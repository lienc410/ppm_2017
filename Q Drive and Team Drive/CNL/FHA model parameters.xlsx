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90" yWindow="15" windowWidth="13830" windowHeight="7920" tabRatio="648" firstSheet="8" activeTab="11"/>
  </bookViews>
  <sheets>
    <sheet name="lockin" sheetId="1" r:id="rId1"/>
    <sheet name="media effect related low" sheetId="2" r:id="rId2"/>
    <sheet name="low media" sheetId="3" r:id="rId3"/>
    <sheet name="mid media" sheetId="4" r:id="rId4"/>
    <sheet name="media effect related mid" sheetId="5" r:id="rId5"/>
    <sheet name="low FICO adjustment" sheetId="6" r:id="rId6"/>
    <sheet name="cashout" sheetId="7" r:id="rId7"/>
    <sheet name="myCashout updated" sheetId="8" r:id="rId8"/>
    <sheet name="tover model ramp updated" sheetId="9" r:id="rId9"/>
    <sheet name="cumHPA updated" sheetId="10" r:id="rId10"/>
    <sheet name="Sheet2" sheetId="11" r:id="rId11"/>
    <sheet name="low media new" sheetId="12" r:id="rId12"/>
  </sheets>
  <definedNames>
    <definedName name="solver_adj" localSheetId="9" hidden="1">'cumHPA updated'!$C$3:$C$15</definedName>
    <definedName name="solver_adj" localSheetId="7" hidden="1">'myCashout updated'!$AF$3:$AF$15</definedName>
    <definedName name="solver_adj" localSheetId="8" hidden="1">'tover model ramp updated'!$AM$24,'tover model ramp updated'!$AM$26,'tover model ramp updated'!$AM$28,'tover model ramp updated'!$AM$30</definedName>
    <definedName name="solver_cvg" localSheetId="9" hidden="1">0.0001</definedName>
    <definedName name="solver_cvg" localSheetId="7" hidden="1">0.0001</definedName>
    <definedName name="solver_cvg" localSheetId="8" hidden="1">0.0001</definedName>
    <definedName name="solver_drv" localSheetId="9" hidden="1">1</definedName>
    <definedName name="solver_drv" localSheetId="7" hidden="1">1</definedName>
    <definedName name="solver_drv" localSheetId="8" hidden="1">1</definedName>
    <definedName name="solver_eng" localSheetId="9" hidden="1">1</definedName>
    <definedName name="solver_eng" localSheetId="7" hidden="1">1</definedName>
    <definedName name="solver_eng" localSheetId="8" hidden="1">1</definedName>
    <definedName name="solver_est" localSheetId="9" hidden="1">1</definedName>
    <definedName name="solver_est" localSheetId="7" hidden="1">1</definedName>
    <definedName name="solver_est" localSheetId="8" hidden="1">1</definedName>
    <definedName name="solver_itr" localSheetId="9" hidden="1">2147483647</definedName>
    <definedName name="solver_itr" localSheetId="7" hidden="1">2147483647</definedName>
    <definedName name="solver_itr" localSheetId="8" hidden="1">2147483647</definedName>
    <definedName name="solver_lhs1" localSheetId="9" hidden="1">'cumHPA updated'!$C$11</definedName>
    <definedName name="solver_lhs1" localSheetId="7" hidden="1">'myCashout updated'!$AF$11</definedName>
    <definedName name="solver_lhs1" localSheetId="8" hidden="1">'tover model ramp updated'!$AM$24</definedName>
    <definedName name="solver_lhs10" localSheetId="9" hidden="1">'cumHPA updated'!$C$7</definedName>
    <definedName name="solver_lhs10" localSheetId="7" hidden="1">'myCashout updated'!$AF$7</definedName>
    <definedName name="solver_lhs11" localSheetId="9" hidden="1">'cumHPA updated'!$C$8</definedName>
    <definedName name="solver_lhs11" localSheetId="7" hidden="1">'myCashout updated'!$AF$8</definedName>
    <definedName name="solver_lhs12" localSheetId="9" hidden="1">'cumHPA updated'!$C$9</definedName>
    <definedName name="solver_lhs12" localSheetId="7" hidden="1">'myCashout updated'!$AF$9</definedName>
    <definedName name="solver_lhs13" localSheetId="9" hidden="1">'cumHPA updated'!$C$10</definedName>
    <definedName name="solver_lhs13" localSheetId="7" hidden="1">'myCashout updated'!$AF$10</definedName>
    <definedName name="solver_lhs2" localSheetId="9" hidden="1">'cumHPA updated'!$C$12</definedName>
    <definedName name="solver_lhs2" localSheetId="7" hidden="1">'myCashout updated'!$AF$12</definedName>
    <definedName name="solver_lhs2" localSheetId="8" hidden="1">'tover model ramp updated'!$AM$26</definedName>
    <definedName name="solver_lhs3" localSheetId="9" hidden="1">'cumHPA updated'!$C$13</definedName>
    <definedName name="solver_lhs3" localSheetId="7" hidden="1">'myCashout updated'!$AF$13</definedName>
    <definedName name="solver_lhs3" localSheetId="8" hidden="1">'tover model ramp updated'!$AM$28</definedName>
    <definedName name="solver_lhs4" localSheetId="9" hidden="1">'cumHPA updated'!$C$14</definedName>
    <definedName name="solver_lhs4" localSheetId="7" hidden="1">'myCashout updated'!$AF$14</definedName>
    <definedName name="solver_lhs5" localSheetId="9" hidden="1">'cumHPA updated'!$C$15</definedName>
    <definedName name="solver_lhs5" localSheetId="7" hidden="1">'myCashout updated'!$AF$15</definedName>
    <definedName name="solver_lhs6" localSheetId="9" hidden="1">'cumHPA updated'!$C$3</definedName>
    <definedName name="solver_lhs6" localSheetId="7" hidden="1">'myCashout updated'!$AF$3</definedName>
    <definedName name="solver_lhs7" localSheetId="9" hidden="1">'cumHPA updated'!$C$4</definedName>
    <definedName name="solver_lhs7" localSheetId="7" hidden="1">'myCashout updated'!$AF$4</definedName>
    <definedName name="solver_lhs8" localSheetId="9" hidden="1">'cumHPA updated'!$C$5</definedName>
    <definedName name="solver_lhs8" localSheetId="7" hidden="1">'myCashout updated'!$AF$5</definedName>
    <definedName name="solver_lhs9" localSheetId="9" hidden="1">'cumHPA updated'!$C$6</definedName>
    <definedName name="solver_lhs9" localSheetId="7" hidden="1">'myCashout updated'!$AF$6</definedName>
    <definedName name="solver_mip" localSheetId="9" hidden="1">2147483647</definedName>
    <definedName name="solver_mip" localSheetId="7" hidden="1">2147483647</definedName>
    <definedName name="solver_mip" localSheetId="8" hidden="1">2147483647</definedName>
    <definedName name="solver_mni" localSheetId="9" hidden="1">30</definedName>
    <definedName name="solver_mni" localSheetId="7" hidden="1">30</definedName>
    <definedName name="solver_mni" localSheetId="8" hidden="1">30</definedName>
    <definedName name="solver_mrt" localSheetId="9" hidden="1">0.075</definedName>
    <definedName name="solver_mrt" localSheetId="7" hidden="1">0.075</definedName>
    <definedName name="solver_mrt" localSheetId="8" hidden="1">0.075</definedName>
    <definedName name="solver_msl" localSheetId="9" hidden="1">2</definedName>
    <definedName name="solver_msl" localSheetId="7" hidden="1">2</definedName>
    <definedName name="solver_msl" localSheetId="8" hidden="1">2</definedName>
    <definedName name="solver_neg" localSheetId="9" hidden="1">1</definedName>
    <definedName name="solver_neg" localSheetId="7" hidden="1">1</definedName>
    <definedName name="solver_neg" localSheetId="8" hidden="1">1</definedName>
    <definedName name="solver_nod" localSheetId="9" hidden="1">2147483647</definedName>
    <definedName name="solver_nod" localSheetId="7" hidden="1">2147483647</definedName>
    <definedName name="solver_nod" localSheetId="8" hidden="1">2147483647</definedName>
    <definedName name="solver_num" localSheetId="9" hidden="1">13</definedName>
    <definedName name="solver_num" localSheetId="7" hidden="1">13</definedName>
    <definedName name="solver_num" localSheetId="8" hidden="1">3</definedName>
    <definedName name="solver_nwt" localSheetId="9" hidden="1">1</definedName>
    <definedName name="solver_nwt" localSheetId="7" hidden="1">1</definedName>
    <definedName name="solver_nwt" localSheetId="8" hidden="1">1</definedName>
    <definedName name="solver_opt" localSheetId="9" hidden="1">'cumHPA updated'!$E$18</definedName>
    <definedName name="solver_opt" localSheetId="7" hidden="1">'myCashout updated'!$AH$18</definedName>
    <definedName name="solver_opt" localSheetId="8" hidden="1">'tover model ramp updated'!$AP$32</definedName>
    <definedName name="solver_pre" localSheetId="9" hidden="1">0.000001</definedName>
    <definedName name="solver_pre" localSheetId="7" hidden="1">0.000001</definedName>
    <definedName name="solver_pre" localSheetId="8" hidden="1">0.000001</definedName>
    <definedName name="solver_rbv" localSheetId="9" hidden="1">1</definedName>
    <definedName name="solver_rbv" localSheetId="7" hidden="1">1</definedName>
    <definedName name="solver_rbv" localSheetId="8" hidden="1">1</definedName>
    <definedName name="solver_rel1" localSheetId="9" hidden="1">1</definedName>
    <definedName name="solver_rel1" localSheetId="7" hidden="1">1</definedName>
    <definedName name="solver_rel1" localSheetId="8" hidden="1">1</definedName>
    <definedName name="solver_rel10" localSheetId="9" hidden="1">1</definedName>
    <definedName name="solver_rel10" localSheetId="7" hidden="1">1</definedName>
    <definedName name="solver_rel11" localSheetId="9" hidden="1">1</definedName>
    <definedName name="solver_rel11" localSheetId="7" hidden="1">1</definedName>
    <definedName name="solver_rel12" localSheetId="9" hidden="1">1</definedName>
    <definedName name="solver_rel12" localSheetId="7" hidden="1">1</definedName>
    <definedName name="solver_rel13" localSheetId="9" hidden="1">1</definedName>
    <definedName name="solver_rel13" localSheetId="7" hidden="1">1</definedName>
    <definedName name="solver_rel2" localSheetId="9" hidden="1">1</definedName>
    <definedName name="solver_rel2" localSheetId="7" hidden="1">1</definedName>
    <definedName name="solver_rel2" localSheetId="8" hidden="1">1</definedName>
    <definedName name="solver_rel3" localSheetId="9" hidden="1">1</definedName>
    <definedName name="solver_rel3" localSheetId="7" hidden="1">1</definedName>
    <definedName name="solver_rel3" localSheetId="8" hidden="1">1</definedName>
    <definedName name="solver_rel4" localSheetId="9" hidden="1">1</definedName>
    <definedName name="solver_rel4" localSheetId="7" hidden="1">1</definedName>
    <definedName name="solver_rel5" localSheetId="9" hidden="1">1</definedName>
    <definedName name="solver_rel5" localSheetId="7" hidden="1">1</definedName>
    <definedName name="solver_rel6" localSheetId="9" hidden="1">1</definedName>
    <definedName name="solver_rel6" localSheetId="7" hidden="1">1</definedName>
    <definedName name="solver_rel7" localSheetId="9" hidden="1">1</definedName>
    <definedName name="solver_rel7" localSheetId="7" hidden="1">1</definedName>
    <definedName name="solver_rel8" localSheetId="9" hidden="1">1</definedName>
    <definedName name="solver_rel8" localSheetId="7" hidden="1">1</definedName>
    <definedName name="solver_rel9" localSheetId="9" hidden="1">1</definedName>
    <definedName name="solver_rel9" localSheetId="7" hidden="1">1</definedName>
    <definedName name="solver_rhs1" localSheetId="9" hidden="1">'cumHPA updated'!$C$12</definedName>
    <definedName name="solver_rhs1" localSheetId="7" hidden="1">'myCashout updated'!$AF$12</definedName>
    <definedName name="solver_rhs1" localSheetId="8" hidden="1">'tover model ramp updated'!$AM$26</definedName>
    <definedName name="solver_rhs10" localSheetId="9" hidden="1">'cumHPA updated'!$C$8</definedName>
    <definedName name="solver_rhs10" localSheetId="7" hidden="1">'myCashout updated'!$AF$8</definedName>
    <definedName name="solver_rhs11" localSheetId="9" hidden="1">'cumHPA updated'!$C$9</definedName>
    <definedName name="solver_rhs11" localSheetId="7" hidden="1">'myCashout updated'!$AF$9</definedName>
    <definedName name="solver_rhs12" localSheetId="9" hidden="1">'cumHPA updated'!$C$10</definedName>
    <definedName name="solver_rhs12" localSheetId="7" hidden="1">'myCashout updated'!$AF$10</definedName>
    <definedName name="solver_rhs13" localSheetId="9" hidden="1">'cumHPA updated'!$C$11</definedName>
    <definedName name="solver_rhs13" localSheetId="7" hidden="1">'myCashout updated'!$AF$11</definedName>
    <definedName name="solver_rhs2" localSheetId="9" hidden="1">'cumHPA updated'!$C$13</definedName>
    <definedName name="solver_rhs2" localSheetId="7" hidden="1">'myCashout updated'!$AF$13</definedName>
    <definedName name="solver_rhs2" localSheetId="8" hidden="1">'tover model ramp updated'!$AM$28</definedName>
    <definedName name="solver_rhs3" localSheetId="9" hidden="1">'cumHPA updated'!$C$14</definedName>
    <definedName name="solver_rhs3" localSheetId="7" hidden="1">'myCashout updated'!$AF$14</definedName>
    <definedName name="solver_rhs3" localSheetId="8" hidden="1">'tover model ramp updated'!$AM$30</definedName>
    <definedName name="solver_rhs4" localSheetId="9" hidden="1">'cumHPA updated'!$C$15</definedName>
    <definedName name="solver_rhs4" localSheetId="7" hidden="1">'myCashout updated'!$AF$15</definedName>
    <definedName name="solver_rhs5" localSheetId="9" hidden="1">'cumHPA updated'!$C$16</definedName>
    <definedName name="solver_rhs5" localSheetId="7" hidden="1">'myCashout updated'!$AF$16</definedName>
    <definedName name="solver_rhs6" localSheetId="9" hidden="1">'cumHPA updated'!$C$4</definedName>
    <definedName name="solver_rhs6" localSheetId="7" hidden="1">'myCashout updated'!$AF$4</definedName>
    <definedName name="solver_rhs7" localSheetId="9" hidden="1">'cumHPA updated'!$C$5</definedName>
    <definedName name="solver_rhs7" localSheetId="7" hidden="1">'myCashout updated'!$AF$5</definedName>
    <definedName name="solver_rhs8" localSheetId="9" hidden="1">'cumHPA updated'!$C$6</definedName>
    <definedName name="solver_rhs8" localSheetId="7" hidden="1">'myCashout updated'!$AF$6</definedName>
    <definedName name="solver_rhs9" localSheetId="9" hidden="1">'cumHPA updated'!$C$7</definedName>
    <definedName name="solver_rhs9" localSheetId="7" hidden="1">'myCashout updated'!$AF$7</definedName>
    <definedName name="solver_rlx" localSheetId="9" hidden="1">2</definedName>
    <definedName name="solver_rlx" localSheetId="7" hidden="1">2</definedName>
    <definedName name="solver_rlx" localSheetId="8" hidden="1">2</definedName>
    <definedName name="solver_rsd" localSheetId="9" hidden="1">0</definedName>
    <definedName name="solver_rsd" localSheetId="7" hidden="1">0</definedName>
    <definedName name="solver_rsd" localSheetId="8" hidden="1">0</definedName>
    <definedName name="solver_scl" localSheetId="9" hidden="1">1</definedName>
    <definedName name="solver_scl" localSheetId="7" hidden="1">1</definedName>
    <definedName name="solver_scl" localSheetId="8" hidden="1">1</definedName>
    <definedName name="solver_sho" localSheetId="9" hidden="1">2</definedName>
    <definedName name="solver_sho" localSheetId="7" hidden="1">2</definedName>
    <definedName name="solver_sho" localSheetId="8" hidden="1">2</definedName>
    <definedName name="solver_ssz" localSheetId="9" hidden="1">100</definedName>
    <definedName name="solver_ssz" localSheetId="7" hidden="1">100</definedName>
    <definedName name="solver_ssz" localSheetId="8" hidden="1">100</definedName>
    <definedName name="solver_tim" localSheetId="9" hidden="1">2147483647</definedName>
    <definedName name="solver_tim" localSheetId="7" hidden="1">2147483647</definedName>
    <definedName name="solver_tim" localSheetId="8" hidden="1">2147483647</definedName>
    <definedName name="solver_tol" localSheetId="9" hidden="1">0.01</definedName>
    <definedName name="solver_tol" localSheetId="7" hidden="1">0.01</definedName>
    <definedName name="solver_tol" localSheetId="8" hidden="1">0.01</definedName>
    <definedName name="solver_typ" localSheetId="9" hidden="1">3</definedName>
    <definedName name="solver_typ" localSheetId="7" hidden="1">3</definedName>
    <definedName name="solver_typ" localSheetId="8" hidden="1">3</definedName>
    <definedName name="solver_val" localSheetId="9" hidden="1">0</definedName>
    <definedName name="solver_val" localSheetId="7" hidden="1">0</definedName>
    <definedName name="solver_val" localSheetId="8" hidden="1">0</definedName>
    <definedName name="solver_ver" localSheetId="9" hidden="1">3</definedName>
    <definedName name="solver_ver" localSheetId="7" hidden="1">3</definedName>
    <definedName name="solver_ver" localSheetId="8" hidden="1">3</definedName>
  </definedNames>
  <calcPr calcId="145621"/>
</workbook>
</file>

<file path=xl/calcChain.xml><?xml version="1.0" encoding="utf-8"?>
<calcChain xmlns="http://schemas.openxmlformats.org/spreadsheetml/2006/main">
  <c r="AM31" i="9" l="1"/>
  <c r="AM29" i="9"/>
  <c r="AM27" i="9"/>
  <c r="AM25" i="9"/>
  <c r="AM23" i="9"/>
  <c r="AS24" i="9"/>
  <c r="AT24" i="9"/>
  <c r="AU24" i="9"/>
  <c r="AR24" i="9"/>
  <c r="AR6" i="9"/>
  <c r="AG31" i="9"/>
  <c r="AE31" i="9"/>
  <c r="N8" i="12"/>
  <c r="M6" i="12"/>
  <c r="M5" i="12"/>
  <c r="K16" i="12"/>
  <c r="K15" i="12"/>
  <c r="L6" i="12"/>
  <c r="L5" i="12"/>
  <c r="J15" i="12"/>
  <c r="J16" i="12" s="1"/>
  <c r="I15" i="12"/>
  <c r="I16" i="12" s="1"/>
  <c r="G16" i="12"/>
  <c r="F16" i="12"/>
  <c r="E16" i="12"/>
  <c r="D16" i="12"/>
  <c r="C16" i="12"/>
  <c r="AN28" i="9" l="1"/>
  <c r="AP28" i="9" s="1"/>
  <c r="AN26" i="9"/>
  <c r="AP26" i="9" s="1"/>
  <c r="AN30" i="9"/>
  <c r="AP30" i="9" s="1"/>
  <c r="AN24" i="9"/>
  <c r="AP24" i="9" s="1"/>
  <c r="AP32" i="9" l="1"/>
  <c r="K5" i="10" l="1"/>
  <c r="J5" i="10"/>
  <c r="AR16" i="9"/>
  <c r="AT17" i="9"/>
  <c r="AS17" i="9"/>
  <c r="AU5" i="9"/>
  <c r="CR11" i="9"/>
  <c r="CR10" i="9"/>
  <c r="CR9" i="9"/>
  <c r="CR8" i="9"/>
  <c r="CR7" i="9"/>
  <c r="CR6" i="9"/>
  <c r="CR5" i="9"/>
  <c r="CR4" i="9"/>
  <c r="CR3" i="9"/>
  <c r="CR2" i="9"/>
  <c r="CR12" i="9"/>
  <c r="CQ3" i="9"/>
  <c r="CQ4" i="9"/>
  <c r="CQ5" i="9"/>
  <c r="CQ6" i="9"/>
  <c r="CQ7" i="9"/>
  <c r="CQ8" i="9"/>
  <c r="CQ9" i="9"/>
  <c r="CQ10" i="9"/>
  <c r="CQ11" i="9"/>
  <c r="CQ12" i="9"/>
  <c r="CQ2" i="9"/>
  <c r="BF24" i="9"/>
  <c r="BF37" i="9"/>
  <c r="BF61" i="9"/>
  <c r="CO3" i="9"/>
  <c r="CO4" i="9"/>
  <c r="CO5" i="9"/>
  <c r="CO6" i="9"/>
  <c r="CO7" i="9"/>
  <c r="CO8" i="9"/>
  <c r="CO9" i="9"/>
  <c r="CO10" i="9"/>
  <c r="CO11" i="9"/>
  <c r="CO12" i="9"/>
  <c r="CO2" i="9"/>
  <c r="CP4" i="9"/>
  <c r="CP5" i="9"/>
  <c r="CP6" i="9"/>
  <c r="CP7" i="9"/>
  <c r="CP8" i="9"/>
  <c r="CP9" i="9"/>
  <c r="CP10" i="9"/>
  <c r="CP11" i="9"/>
  <c r="CP12" i="9"/>
  <c r="CP3" i="9"/>
  <c r="Z9" i="9"/>
  <c r="Z7" i="9"/>
  <c r="Z5" i="9"/>
  <c r="Z3" i="9"/>
  <c r="X10" i="9"/>
  <c r="X2" i="9"/>
  <c r="X8" i="9"/>
  <c r="X6" i="9"/>
  <c r="X4" i="9"/>
  <c r="H8" i="1"/>
  <c r="BI20" i="8"/>
  <c r="BI21" i="8"/>
  <c r="BI22" i="8"/>
  <c r="BI23" i="8"/>
  <c r="BI24" i="8"/>
  <c r="BI25" i="8"/>
  <c r="BI26" i="8"/>
  <c r="BI27" i="8"/>
  <c r="BI28" i="8"/>
  <c r="BI29" i="8"/>
  <c r="BI30" i="8"/>
  <c r="BI19" i="8"/>
  <c r="Y7" i="9" l="1"/>
  <c r="AA7" i="9" s="1"/>
  <c r="Y9" i="9"/>
  <c r="AA9" i="9" s="1"/>
  <c r="Y3" i="9"/>
  <c r="AA3" i="9" s="1"/>
  <c r="Y5" i="9"/>
  <c r="AA5" i="9" s="1"/>
  <c r="AA11" i="9" l="1"/>
  <c r="CR20" i="8" l="1"/>
  <c r="CR21" i="8"/>
  <c r="CR22" i="8"/>
  <c r="CR23" i="8"/>
  <c r="CR24" i="8"/>
  <c r="CR25" i="8"/>
  <c r="CR26" i="8"/>
  <c r="CR27" i="8"/>
  <c r="CR28" i="8"/>
  <c r="CR29" i="8"/>
  <c r="CR30" i="8"/>
  <c r="CR19" i="8"/>
  <c r="CM20" i="8"/>
  <c r="CM21" i="8"/>
  <c r="CM22" i="8"/>
  <c r="CM23" i="8"/>
  <c r="CM24" i="8"/>
  <c r="CM25" i="8"/>
  <c r="CM26" i="8"/>
  <c r="CM27" i="8"/>
  <c r="CM28" i="8"/>
  <c r="CM29" i="8"/>
  <c r="CM30" i="8"/>
  <c r="CM19" i="8"/>
  <c r="CF20" i="8"/>
  <c r="CF21" i="8"/>
  <c r="CF22" i="8"/>
  <c r="CF23" i="8"/>
  <c r="CF24" i="8"/>
  <c r="CF25" i="8"/>
  <c r="CF26" i="8"/>
  <c r="CF27" i="8"/>
  <c r="CF28" i="8"/>
  <c r="CF29" i="8"/>
  <c r="CF30" i="8"/>
  <c r="CF19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CC20" i="8"/>
  <c r="CC21" i="8"/>
  <c r="CC22" i="8"/>
  <c r="CC23" i="8"/>
  <c r="CC24" i="8"/>
  <c r="CC25" i="8"/>
  <c r="CC26" i="8"/>
  <c r="CC27" i="8"/>
  <c r="CC28" i="8"/>
  <c r="CC29" i="8"/>
  <c r="CC30" i="8"/>
  <c r="CC19" i="8"/>
  <c r="CB20" i="8"/>
  <c r="CB21" i="8"/>
  <c r="CB22" i="8"/>
  <c r="CB23" i="8"/>
  <c r="CB24" i="8"/>
  <c r="CB25" i="8"/>
  <c r="CB26" i="8"/>
  <c r="CB27" i="8"/>
  <c r="CB28" i="8"/>
  <c r="CB29" i="8"/>
  <c r="CB30" i="8"/>
  <c r="CB19" i="8"/>
  <c r="BD20" i="8"/>
  <c r="BD21" i="8"/>
  <c r="BD22" i="8"/>
  <c r="BD23" i="8"/>
  <c r="BD24" i="8"/>
  <c r="BD25" i="8"/>
  <c r="BD26" i="8"/>
  <c r="BD27" i="8"/>
  <c r="BD28" i="8"/>
  <c r="BD29" i="8"/>
  <c r="BD30" i="8"/>
  <c r="BD19" i="8"/>
  <c r="CS4" i="8"/>
  <c r="CS5" i="8"/>
  <c r="CS6" i="8"/>
  <c r="CS7" i="8"/>
  <c r="CS8" i="8"/>
  <c r="CS9" i="8"/>
  <c r="CS10" i="8"/>
  <c r="CS11" i="8"/>
  <c r="CS12" i="8"/>
  <c r="CS13" i="8"/>
  <c r="CS14" i="8"/>
  <c r="CS15" i="8"/>
  <c r="CS16" i="8"/>
  <c r="CS17" i="8"/>
  <c r="CS3" i="8"/>
  <c r="CQ4" i="8" l="1"/>
  <c r="CQ5" i="8"/>
  <c r="CQ6" i="8"/>
  <c r="CQ7" i="8"/>
  <c r="CQ8" i="8"/>
  <c r="CQ9" i="8"/>
  <c r="CQ10" i="8"/>
  <c r="CQ11" i="8"/>
  <c r="CQ12" i="8"/>
  <c r="CQ13" i="8"/>
  <c r="CQ14" i="8"/>
  <c r="CQ15" i="8"/>
  <c r="CQ16" i="8"/>
  <c r="CQ3" i="8"/>
  <c r="CN4" i="8"/>
  <c r="CN5" i="8"/>
  <c r="CN6" i="8"/>
  <c r="CN7" i="8"/>
  <c r="CN8" i="8"/>
  <c r="CN9" i="8"/>
  <c r="CN10" i="8"/>
  <c r="CN11" i="8"/>
  <c r="CN12" i="8"/>
  <c r="CN13" i="8"/>
  <c r="CN14" i="8"/>
  <c r="CN15" i="8"/>
  <c r="CN3" i="8"/>
  <c r="CK4" i="8"/>
  <c r="CK5" i="8"/>
  <c r="CK6" i="8"/>
  <c r="CK7" i="8"/>
  <c r="CK8" i="8"/>
  <c r="CK9" i="8"/>
  <c r="CK10" i="8"/>
  <c r="CK11" i="8"/>
  <c r="CK12" i="8"/>
  <c r="CK13" i="8"/>
  <c r="CK14" i="8"/>
  <c r="CK15" i="8"/>
  <c r="CK16" i="8"/>
  <c r="CK3" i="8"/>
  <c r="BA17" i="8" l="1"/>
  <c r="BA18" i="8" s="1"/>
  <c r="BT24" i="9" l="1"/>
  <c r="BS25" i="9" s="1"/>
  <c r="BS26" i="9" s="1"/>
  <c r="BT28" i="9" s="1"/>
  <c r="BS3" i="9"/>
  <c r="BS4" i="9"/>
  <c r="BS5" i="9"/>
  <c r="BS6" i="9"/>
  <c r="BS7" i="9"/>
  <c r="BS8" i="9"/>
  <c r="BS9" i="9"/>
  <c r="BS10" i="9"/>
  <c r="BS11" i="9"/>
  <c r="BM2" i="9"/>
  <c r="BS2" i="9"/>
  <c r="BT4" i="9" s="1"/>
  <c r="BN40" i="9"/>
  <c r="BM26" i="9"/>
  <c r="BM27" i="9" s="1"/>
  <c r="BM28" i="9" s="1"/>
  <c r="BM29" i="9" s="1"/>
  <c r="BM30" i="9" s="1"/>
  <c r="BM31" i="9" s="1"/>
  <c r="BM32" i="9" s="1"/>
  <c r="BM33" i="9" s="1"/>
  <c r="BM34" i="9" s="1"/>
  <c r="BM35" i="9" s="1"/>
  <c r="BM36" i="9" s="1"/>
  <c r="BM25" i="9"/>
  <c r="BM3" i="9"/>
  <c r="BM4" i="9"/>
  <c r="BN4" i="9" s="1"/>
  <c r="BM5" i="9"/>
  <c r="BN7" i="9" s="1"/>
  <c r="BM6" i="9"/>
  <c r="BM7" i="9"/>
  <c r="BM8" i="9"/>
  <c r="BM9" i="9"/>
  <c r="BM10" i="9"/>
  <c r="BM11" i="9"/>
  <c r="BM12" i="9"/>
  <c r="BM13" i="9" s="1"/>
  <c r="BM14" i="9" s="1"/>
  <c r="BH61" i="9"/>
  <c r="BG38" i="9" s="1"/>
  <c r="BH37" i="9"/>
  <c r="BG25" i="9" s="1"/>
  <c r="BG26" i="9" s="1"/>
  <c r="BG13" i="9"/>
  <c r="BG14" i="9" s="1"/>
  <c r="BG3" i="9"/>
  <c r="BG4" i="9"/>
  <c r="BG5" i="9"/>
  <c r="BG6" i="9"/>
  <c r="BG7" i="9"/>
  <c r="BG8" i="9"/>
  <c r="BG9" i="9"/>
  <c r="BG10" i="9"/>
  <c r="BG11" i="9"/>
  <c r="BG2" i="9"/>
  <c r="BH4" i="9" s="1"/>
  <c r="BT7" i="9" l="1"/>
  <c r="BS13" i="9"/>
  <c r="BS14" i="9" s="1"/>
  <c r="BH7" i="9"/>
  <c r="BH13" i="9"/>
  <c r="BN10" i="9"/>
  <c r="BT10" i="9"/>
  <c r="BH10" i="9"/>
  <c r="BT13" i="9"/>
  <c r="BG27" i="9"/>
  <c r="BG28" i="9" s="1"/>
  <c r="BG29" i="9" s="1"/>
  <c r="BH28" i="9"/>
  <c r="BG15" i="9"/>
  <c r="BG16" i="9" s="1"/>
  <c r="BG17" i="9" s="1"/>
  <c r="BG39" i="9"/>
  <c r="BG40" i="9" s="1"/>
  <c r="BG41" i="9" s="1"/>
  <c r="BS15" i="9"/>
  <c r="BS16" i="9" s="1"/>
  <c r="BS17" i="9" s="1"/>
  <c r="BT16" i="9"/>
  <c r="BM15" i="9"/>
  <c r="BM16" i="9" s="1"/>
  <c r="BM17" i="9" s="1"/>
  <c r="BN13" i="9"/>
  <c r="BN37" i="9"/>
  <c r="BN28" i="9"/>
  <c r="BN31" i="9"/>
  <c r="BN34" i="9"/>
  <c r="CV9" i="8"/>
  <c r="CV5" i="8"/>
  <c r="CV3" i="8"/>
  <c r="BX16" i="8"/>
  <c r="BK16" i="8" s="1"/>
  <c r="BX15" i="8"/>
  <c r="BK15" i="8" s="1"/>
  <c r="BX14" i="8"/>
  <c r="BK14" i="8" s="1"/>
  <c r="BX13" i="8"/>
  <c r="BK13" i="8" s="1"/>
  <c r="BX12" i="8"/>
  <c r="BK12" i="8" s="1"/>
  <c r="BX11" i="8"/>
  <c r="BK11" i="8" s="1"/>
  <c r="BX10" i="8"/>
  <c r="BK10" i="8" s="1"/>
  <c r="BX9" i="8"/>
  <c r="BK9" i="8" s="1"/>
  <c r="BX8" i="8"/>
  <c r="BK8" i="8" s="1"/>
  <c r="BX7" i="8"/>
  <c r="BK7" i="8" s="1"/>
  <c r="BX6" i="8"/>
  <c r="BK6" i="8" s="1"/>
  <c r="BX5" i="8"/>
  <c r="BK5" i="8" s="1"/>
  <c r="BX4" i="8"/>
  <c r="BK4" i="8" s="1"/>
  <c r="BX3" i="8"/>
  <c r="BK3" i="8" s="1"/>
  <c r="BX2" i="8"/>
  <c r="BK2" i="8" s="1"/>
  <c r="BX17" i="8"/>
  <c r="BK17" i="8" s="1"/>
  <c r="BN3" i="8"/>
  <c r="BN4" i="8"/>
  <c r="BN5" i="8"/>
  <c r="BN17" i="8"/>
  <c r="BN2" i="8"/>
  <c r="BO3" i="8" s="1"/>
  <c r="BE3" i="8"/>
  <c r="BG3" i="8" s="1"/>
  <c r="BE4" i="8"/>
  <c r="BI4" i="8" s="1"/>
  <c r="BJ5" i="8" s="1"/>
  <c r="BE5" i="8"/>
  <c r="BI5" i="8" s="1"/>
  <c r="BE6" i="8"/>
  <c r="BF6" i="8" s="1"/>
  <c r="BE7" i="8"/>
  <c r="BG7" i="8" s="1"/>
  <c r="BE8" i="8"/>
  <c r="BE9" i="8"/>
  <c r="BI9" i="8" s="1"/>
  <c r="BE10" i="8"/>
  <c r="BF10" i="8" s="1"/>
  <c r="BE11" i="8"/>
  <c r="BG11" i="8" s="1"/>
  <c r="BE12" i="8"/>
  <c r="BE13" i="8"/>
  <c r="BI13" i="8" s="1"/>
  <c r="BE14" i="8"/>
  <c r="BF14" i="8" s="1"/>
  <c r="BE15" i="8"/>
  <c r="BG15" i="8" s="1"/>
  <c r="BE16" i="8"/>
  <c r="BE17" i="8"/>
  <c r="BI17" i="8" s="1"/>
  <c r="BS17" i="8" s="1"/>
  <c r="CR17" i="8" s="1"/>
  <c r="BE2" i="8"/>
  <c r="BB4" i="8"/>
  <c r="BB5" i="8"/>
  <c r="BB3" i="8"/>
  <c r="BA6" i="8"/>
  <c r="BB6" i="8" s="1"/>
  <c r="BA7" i="8"/>
  <c r="BA8" i="8"/>
  <c r="BA9" i="8"/>
  <c r="BA10" i="8"/>
  <c r="BA11" i="8"/>
  <c r="BA12" i="8"/>
  <c r="BA13" i="8"/>
  <c r="BA14" i="8"/>
  <c r="BA15" i="8"/>
  <c r="BA16" i="8"/>
  <c r="BB17" i="8" s="1"/>
  <c r="AY2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3" i="8"/>
  <c r="J16" i="10"/>
  <c r="J14" i="10"/>
  <c r="J12" i="10"/>
  <c r="J10" i="10"/>
  <c r="K8" i="10"/>
  <c r="J8" i="10"/>
  <c r="J7" i="10"/>
  <c r="J3" i="10"/>
  <c r="I7" i="10"/>
  <c r="I5" i="10"/>
  <c r="I6" i="10"/>
  <c r="I3" i="10"/>
  <c r="Q19" i="10"/>
  <c r="Q18" i="10"/>
  <c r="P17" i="10"/>
  <c r="N16" i="10"/>
  <c r="K10" i="10"/>
  <c r="I15" i="10"/>
  <c r="I13" i="10"/>
  <c r="I11" i="10"/>
  <c r="I9" i="10"/>
  <c r="H7" i="10"/>
  <c r="H6" i="10"/>
  <c r="H5" i="10"/>
  <c r="H4" i="10"/>
  <c r="H3" i="10"/>
  <c r="H2" i="10"/>
  <c r="H9" i="10"/>
  <c r="H10" i="10"/>
  <c r="H11" i="10"/>
  <c r="H12" i="10"/>
  <c r="H13" i="10"/>
  <c r="H14" i="10"/>
  <c r="H15" i="10"/>
  <c r="H16" i="10"/>
  <c r="I14" i="10"/>
  <c r="I12" i="10"/>
  <c r="H8" i="10"/>
  <c r="G14" i="10"/>
  <c r="G12" i="10"/>
  <c r="G10" i="10"/>
  <c r="G8" i="10"/>
  <c r="G6" i="10"/>
  <c r="G2" i="10"/>
  <c r="G4" i="10"/>
  <c r="C13" i="10"/>
  <c r="D14" i="10" s="1"/>
  <c r="E14" i="10" s="1"/>
  <c r="D12" i="10"/>
  <c r="E12" i="10" s="1"/>
  <c r="D10" i="10"/>
  <c r="E10" i="10" s="1"/>
  <c r="D8" i="10"/>
  <c r="E8" i="10" s="1"/>
  <c r="D6" i="10"/>
  <c r="E6" i="10" s="1"/>
  <c r="D4" i="10"/>
  <c r="E4" i="10" s="1"/>
  <c r="E18" i="10" s="1"/>
  <c r="D3" i="10"/>
  <c r="BG18" i="9" l="1"/>
  <c r="BG19" i="9" s="1"/>
  <c r="BG20" i="9" s="1"/>
  <c r="BH19" i="9"/>
  <c r="BS18" i="9"/>
  <c r="BS19" i="9" s="1"/>
  <c r="BS20" i="9" s="1"/>
  <c r="BH16" i="9"/>
  <c r="BM18" i="9"/>
  <c r="BM19" i="9" s="1"/>
  <c r="BM20" i="9" s="1"/>
  <c r="BN19" i="9"/>
  <c r="BG42" i="9"/>
  <c r="BG43" i="9" s="1"/>
  <c r="BG44" i="9" s="1"/>
  <c r="BG45" i="9" s="1"/>
  <c r="BG46" i="9" s="1"/>
  <c r="BG47" i="9" s="1"/>
  <c r="BG48" i="9" s="1"/>
  <c r="BG49" i="9" s="1"/>
  <c r="BG50" i="9" s="1"/>
  <c r="BG51" i="9" s="1"/>
  <c r="BG52" i="9" s="1"/>
  <c r="BG53" i="9" s="1"/>
  <c r="BG54" i="9" s="1"/>
  <c r="BG55" i="9" s="1"/>
  <c r="BG56" i="9" s="1"/>
  <c r="BG57" i="9" s="1"/>
  <c r="BG58" i="9" s="1"/>
  <c r="BG59" i="9" s="1"/>
  <c r="BG60" i="9" s="1"/>
  <c r="BN16" i="9"/>
  <c r="BH40" i="9"/>
  <c r="BG30" i="9"/>
  <c r="BG31" i="9" s="1"/>
  <c r="BG32" i="9" s="1"/>
  <c r="BL16" i="8"/>
  <c r="BG9" i="8"/>
  <c r="BM17" i="8"/>
  <c r="BM5" i="8"/>
  <c r="BG5" i="8"/>
  <c r="BF16" i="8"/>
  <c r="BF12" i="8"/>
  <c r="BF8" i="8"/>
  <c r="BF4" i="8"/>
  <c r="BI8" i="8"/>
  <c r="BJ9" i="8" s="1"/>
  <c r="BL3" i="8"/>
  <c r="BF3" i="8"/>
  <c r="BG17" i="8"/>
  <c r="BI16" i="8"/>
  <c r="BJ17" i="8" s="1"/>
  <c r="BG13" i="8"/>
  <c r="BI12" i="8"/>
  <c r="BJ13" i="8" s="1"/>
  <c r="BL7" i="8"/>
  <c r="BL11" i="8"/>
  <c r="BL15" i="8"/>
  <c r="BM3" i="8"/>
  <c r="BL4" i="8"/>
  <c r="BL8" i="8"/>
  <c r="BL14" i="8"/>
  <c r="BM4" i="8"/>
  <c r="BL5" i="8"/>
  <c r="BL9" i="8"/>
  <c r="BL13" i="8"/>
  <c r="BL17" i="8"/>
  <c r="BL12" i="8"/>
  <c r="BS13" i="8"/>
  <c r="BS9" i="8"/>
  <c r="BS5" i="8"/>
  <c r="BT5" i="8" s="1"/>
  <c r="BL10" i="8"/>
  <c r="BF17" i="8"/>
  <c r="BF13" i="8"/>
  <c r="BF9" i="8"/>
  <c r="BF5" i="8"/>
  <c r="BG16" i="8"/>
  <c r="BG12" i="8"/>
  <c r="BG8" i="8"/>
  <c r="BH9" i="8" s="1"/>
  <c r="BG4" i="8"/>
  <c r="BI15" i="8"/>
  <c r="BI11" i="8"/>
  <c r="BI7" i="8"/>
  <c r="BI3" i="8"/>
  <c r="CC2" i="8"/>
  <c r="CC3" i="8"/>
  <c r="BS8" i="8"/>
  <c r="BS4" i="8"/>
  <c r="BI2" i="8"/>
  <c r="BI14" i="8"/>
  <c r="BI10" i="8"/>
  <c r="BI6" i="8"/>
  <c r="CC17" i="8"/>
  <c r="BF15" i="8"/>
  <c r="BF11" i="8"/>
  <c r="BF7" i="8"/>
  <c r="BG2" i="8"/>
  <c r="BH3" i="8" s="1"/>
  <c r="BG14" i="8"/>
  <c r="BH15" i="8" s="1"/>
  <c r="BG10" i="8"/>
  <c r="BH11" i="8" s="1"/>
  <c r="BG6" i="8"/>
  <c r="BH7" i="8" s="1"/>
  <c r="CC5" i="8"/>
  <c r="BL6" i="8"/>
  <c r="BP4" i="8"/>
  <c r="BQ4" i="8" s="1"/>
  <c r="CC4" i="8"/>
  <c r="BO5" i="8"/>
  <c r="BT4" i="8"/>
  <c r="BO4" i="8"/>
  <c r="BT17" i="8"/>
  <c r="BP17" i="8"/>
  <c r="BY3" i="8"/>
  <c r="BB11" i="8"/>
  <c r="BB16" i="8"/>
  <c r="BB12" i="8"/>
  <c r="BB8" i="8"/>
  <c r="BB15" i="8"/>
  <c r="BN14" i="8"/>
  <c r="BB14" i="8"/>
  <c r="BB10" i="8"/>
  <c r="BN13" i="8"/>
  <c r="BM13" i="8" s="1"/>
  <c r="BN9" i="8"/>
  <c r="BM9" i="8" s="1"/>
  <c r="BN6" i="8"/>
  <c r="BB13" i="8"/>
  <c r="BB9" i="8"/>
  <c r="BN16" i="8"/>
  <c r="BN12" i="8"/>
  <c r="BM12" i="8" s="1"/>
  <c r="BN8" i="8"/>
  <c r="BN10" i="8"/>
  <c r="BM10" i="8" s="1"/>
  <c r="BN15" i="8"/>
  <c r="BN11" i="8"/>
  <c r="BN7" i="8"/>
  <c r="BM7" i="8" s="1"/>
  <c r="BB7" i="8"/>
  <c r="BG33" i="9" l="1"/>
  <c r="BG34" i="9" s="1"/>
  <c r="BG35" i="9" s="1"/>
  <c r="BG36" i="9" s="1"/>
  <c r="BH34" i="9"/>
  <c r="BT19" i="9"/>
  <c r="BS21" i="9"/>
  <c r="BS22" i="9" s="1"/>
  <c r="BS23" i="9" s="1"/>
  <c r="BT25" i="9" s="1"/>
  <c r="BM21" i="9"/>
  <c r="BM22" i="9" s="1"/>
  <c r="BM23" i="9" s="1"/>
  <c r="BN25" i="9" s="1"/>
  <c r="BN22" i="9"/>
  <c r="BH31" i="9"/>
  <c r="BH43" i="9"/>
  <c r="BG21" i="9"/>
  <c r="BG22" i="9" s="1"/>
  <c r="BG23" i="9" s="1"/>
  <c r="BH25" i="9" s="1"/>
  <c r="BH5" i="8"/>
  <c r="CM3" i="8"/>
  <c r="CJ3" i="8"/>
  <c r="CP3" i="8"/>
  <c r="CJ5" i="8"/>
  <c r="CP5" i="8"/>
  <c r="CM5" i="8"/>
  <c r="CP4" i="8"/>
  <c r="CM4" i="8"/>
  <c r="CJ4" i="8"/>
  <c r="CF17" i="8"/>
  <c r="CF18" i="8" s="1"/>
  <c r="CP17" i="8"/>
  <c r="CM17" i="8"/>
  <c r="CJ17" i="8"/>
  <c r="BS16" i="8"/>
  <c r="CP2" i="8"/>
  <c r="CM2" i="8"/>
  <c r="BH17" i="8"/>
  <c r="BS12" i="8"/>
  <c r="BU13" i="8" s="1"/>
  <c r="BH13" i="8"/>
  <c r="CC11" i="8"/>
  <c r="CC12" i="8"/>
  <c r="CC6" i="8"/>
  <c r="BM11" i="8"/>
  <c r="BS6" i="8"/>
  <c r="BU6" i="8" s="1"/>
  <c r="BJ7" i="8"/>
  <c r="CR4" i="8"/>
  <c r="BU5" i="8"/>
  <c r="BJ4" i="8"/>
  <c r="BS3" i="8"/>
  <c r="CR5" i="8"/>
  <c r="CR13" i="8"/>
  <c r="BH4" i="8"/>
  <c r="BH10" i="8"/>
  <c r="CC15" i="8"/>
  <c r="CC16" i="8"/>
  <c r="CC9" i="8"/>
  <c r="CC14" i="8"/>
  <c r="BM15" i="8"/>
  <c r="BS10" i="8"/>
  <c r="BT10" i="8" s="1"/>
  <c r="BJ11" i="8"/>
  <c r="CR8" i="8"/>
  <c r="BU9" i="8"/>
  <c r="CD4" i="8"/>
  <c r="CF3" i="8"/>
  <c r="BJ8" i="8"/>
  <c r="BS7" i="8"/>
  <c r="BP7" i="8" s="1"/>
  <c r="BQ7" i="8" s="1"/>
  <c r="BJ10" i="8"/>
  <c r="BH8" i="8"/>
  <c r="CC10" i="8"/>
  <c r="CC13" i="8"/>
  <c r="BS14" i="8"/>
  <c r="BU14" i="8" s="1"/>
  <c r="BJ15" i="8"/>
  <c r="CD3" i="8"/>
  <c r="CJ2" i="8"/>
  <c r="CF2" i="8"/>
  <c r="CG3" i="8" s="1"/>
  <c r="BJ12" i="8"/>
  <c r="BS11" i="8"/>
  <c r="BH14" i="8"/>
  <c r="CR9" i="8"/>
  <c r="BH12" i="8"/>
  <c r="BM14" i="8"/>
  <c r="BM6" i="8"/>
  <c r="CC7" i="8"/>
  <c r="CC8" i="8"/>
  <c r="CF4" i="8"/>
  <c r="CD5" i="8"/>
  <c r="CF5" i="8"/>
  <c r="CD6" i="8"/>
  <c r="BS2" i="8"/>
  <c r="BJ3" i="8"/>
  <c r="CR16" i="8"/>
  <c r="BU17" i="8"/>
  <c r="BJ16" i="8"/>
  <c r="BS15" i="8"/>
  <c r="BT15" i="8" s="1"/>
  <c r="BJ6" i="8"/>
  <c r="BJ14" i="8"/>
  <c r="BM16" i="8"/>
  <c r="BM8" i="8"/>
  <c r="BH6" i="8"/>
  <c r="BH16" i="8"/>
  <c r="BP5" i="8"/>
  <c r="BQ5" i="8" s="1"/>
  <c r="BS18" i="8"/>
  <c r="BT16" i="8"/>
  <c r="BT9" i="8"/>
  <c r="BT14" i="8"/>
  <c r="BT13" i="8"/>
  <c r="BN18" i="8"/>
  <c r="BT8" i="8"/>
  <c r="BT11" i="8"/>
  <c r="BT12" i="8"/>
  <c r="BT6" i="8"/>
  <c r="BQ17" i="8"/>
  <c r="BP18" i="8"/>
  <c r="BO11" i="8"/>
  <c r="BP13" i="8"/>
  <c r="BQ13" i="8" s="1"/>
  <c r="BO14" i="8"/>
  <c r="BO8" i="8"/>
  <c r="BO9" i="8"/>
  <c r="BP8" i="8"/>
  <c r="BQ8" i="8" s="1"/>
  <c r="BO12" i="8"/>
  <c r="BP11" i="8"/>
  <c r="BQ11" i="8" s="1"/>
  <c r="BO13" i="8"/>
  <c r="BO7" i="8"/>
  <c r="BY6" i="8"/>
  <c r="BO6" i="8"/>
  <c r="BO16" i="8"/>
  <c r="BP15" i="8"/>
  <c r="BQ15" i="8" s="1"/>
  <c r="BP16" i="8"/>
  <c r="BO17" i="8"/>
  <c r="BP9" i="8"/>
  <c r="BQ9" i="8" s="1"/>
  <c r="BO10" i="8"/>
  <c r="BO15" i="8"/>
  <c r="BH22" i="9" l="1"/>
  <c r="BT22" i="9"/>
  <c r="CG5" i="8"/>
  <c r="CJ10" i="8"/>
  <c r="CM10" i="8"/>
  <c r="CP10" i="8"/>
  <c r="CM15" i="8"/>
  <c r="CJ15" i="8"/>
  <c r="CP15" i="8"/>
  <c r="BP14" i="8"/>
  <c r="BQ14" i="8" s="1"/>
  <c r="BP12" i="8"/>
  <c r="BT7" i="8"/>
  <c r="CP7" i="8"/>
  <c r="CM7" i="8"/>
  <c r="CJ7" i="8"/>
  <c r="CR12" i="8"/>
  <c r="CM13" i="8"/>
  <c r="CJ13" i="8"/>
  <c r="CP13" i="8"/>
  <c r="CP6" i="8"/>
  <c r="CM6" i="8"/>
  <c r="CJ6" i="8"/>
  <c r="CM11" i="8"/>
  <c r="CJ11" i="8"/>
  <c r="CP11" i="8"/>
  <c r="CP9" i="8"/>
  <c r="CM9" i="8"/>
  <c r="CJ9" i="8"/>
  <c r="CM12" i="8"/>
  <c r="CJ12" i="8"/>
  <c r="CP12" i="8"/>
  <c r="CJ8" i="8"/>
  <c r="CP8" i="8"/>
  <c r="CM8" i="8"/>
  <c r="CG4" i="8"/>
  <c r="CJ14" i="8"/>
  <c r="CM14" i="8"/>
  <c r="CP14" i="8"/>
  <c r="CP16" i="8"/>
  <c r="CM16" i="8"/>
  <c r="CJ16" i="8"/>
  <c r="BU10" i="8"/>
  <c r="BP6" i="8"/>
  <c r="BQ6" i="8" s="1"/>
  <c r="BP10" i="8"/>
  <c r="BQ10" i="8" s="1"/>
  <c r="CF16" i="8"/>
  <c r="CG17" i="8" s="1"/>
  <c r="CD17" i="8"/>
  <c r="CR15" i="8"/>
  <c r="BU16" i="8"/>
  <c r="CD8" i="8"/>
  <c r="CF7" i="8"/>
  <c r="CR11" i="8"/>
  <c r="BU12" i="8"/>
  <c r="CR14" i="8"/>
  <c r="BU15" i="8"/>
  <c r="CF10" i="8"/>
  <c r="CD11" i="8"/>
  <c r="CR7" i="8"/>
  <c r="BU8" i="8"/>
  <c r="CD10" i="8"/>
  <c r="CF9" i="8"/>
  <c r="CD16" i="8"/>
  <c r="CF15" i="8"/>
  <c r="CG16" i="8" s="1"/>
  <c r="CR6" i="8"/>
  <c r="BU7" i="8"/>
  <c r="CR2" i="8"/>
  <c r="BU3" i="8"/>
  <c r="BP2" i="8"/>
  <c r="BR5" i="8"/>
  <c r="CF12" i="8"/>
  <c r="CD13" i="8"/>
  <c r="CF14" i="8"/>
  <c r="CD15" i="8"/>
  <c r="CF6" i="8"/>
  <c r="CD7" i="8"/>
  <c r="CD12" i="8"/>
  <c r="CF11" i="8"/>
  <c r="CF8" i="8"/>
  <c r="CG9" i="8" s="1"/>
  <c r="CD9" i="8"/>
  <c r="CF13" i="8"/>
  <c r="CG14" i="8" s="1"/>
  <c r="CD14" i="8"/>
  <c r="CR10" i="8"/>
  <c r="BU11" i="8"/>
  <c r="CR3" i="8"/>
  <c r="BU4" i="8"/>
  <c r="BP3" i="8"/>
  <c r="BT3" i="8"/>
  <c r="BR17" i="8"/>
  <c r="BQ16" i="8"/>
  <c r="BR13" i="8"/>
  <c r="BQ12" i="8"/>
  <c r="BR9" i="8"/>
  <c r="BR16" i="8"/>
  <c r="BR12" i="8"/>
  <c r="BR8" i="8"/>
  <c r="BR7" i="8" l="1"/>
  <c r="BR15" i="8"/>
  <c r="CG8" i="8"/>
  <c r="BR6" i="8"/>
  <c r="CG13" i="8"/>
  <c r="CG10" i="8"/>
  <c r="CG7" i="8"/>
  <c r="BR14" i="8"/>
  <c r="CG12" i="8"/>
  <c r="CG6" i="8"/>
  <c r="CG15" i="8"/>
  <c r="BR3" i="8"/>
  <c r="CG11" i="8"/>
  <c r="BR11" i="8"/>
  <c r="BR10" i="8"/>
  <c r="BR4" i="8"/>
  <c r="BQ3" i="8"/>
  <c r="AS12" i="9" l="1"/>
  <c r="AT12" i="9"/>
  <c r="AU12" i="9"/>
  <c r="AR12" i="9"/>
  <c r="AI2" i="9"/>
  <c r="AO4" i="9"/>
  <c r="AO3" i="9"/>
  <c r="H9" i="1" l="1"/>
  <c r="H10" i="1"/>
  <c r="H11" i="1"/>
  <c r="H12" i="1"/>
  <c r="H13" i="1"/>
  <c r="H14" i="1"/>
  <c r="AC7" i="9" l="1"/>
  <c r="AC4" i="9"/>
  <c r="AC5" i="9"/>
  <c r="AC3" i="9"/>
  <c r="AC2" i="9"/>
  <c r="AD2" i="9" l="1"/>
  <c r="AD3" i="9"/>
  <c r="AF3" i="9" s="1"/>
  <c r="AG3" i="9" s="1"/>
  <c r="AK3" i="9" s="1"/>
  <c r="AD5" i="9"/>
  <c r="AF5" i="9" s="1"/>
  <c r="AG5" i="9" s="1"/>
  <c r="AH5" i="9" s="1"/>
  <c r="AM3" i="9"/>
  <c r="AK5" i="9"/>
  <c r="AT5" i="9" s="1"/>
  <c r="AG2" i="9"/>
  <c r="AD6" i="9"/>
  <c r="AF6" i="9" s="1"/>
  <c r="AG6" i="9" s="1"/>
  <c r="AD4" i="9"/>
  <c r="AF4" i="9" s="1"/>
  <c r="AG4" i="9" s="1"/>
  <c r="AH3" i="9" s="1"/>
  <c r="AM5" i="9" l="1"/>
  <c r="AN5" i="9" s="1"/>
  <c r="AT4" i="9"/>
  <c r="AT9" i="9"/>
  <c r="AR4" i="9"/>
  <c r="AM2" i="9"/>
  <c r="AH2" i="9"/>
  <c r="AK2" i="9"/>
  <c r="AR5" i="9" s="1"/>
  <c r="AS4" i="9"/>
  <c r="AM4" i="9"/>
  <c r="AK4" i="9"/>
  <c r="AS5" i="9" s="1"/>
  <c r="AT6" i="9" s="1"/>
  <c r="AH4" i="9"/>
  <c r="AT16" i="9"/>
  <c r="AM6" i="9"/>
  <c r="AK6" i="9"/>
  <c r="AU4" i="9"/>
  <c r="AH6" i="9"/>
  <c r="AT10" i="9"/>
  <c r="AN3" i="9"/>
  <c r="CC3" i="9" l="1"/>
  <c r="CD3" i="9" s="1"/>
  <c r="CC7" i="9"/>
  <c r="CD7" i="9" s="1"/>
  <c r="CC11" i="9"/>
  <c r="CD11" i="9" s="1"/>
  <c r="CC4" i="9"/>
  <c r="CD4" i="9" s="1"/>
  <c r="CC8" i="9"/>
  <c r="CD8" i="9" s="1"/>
  <c r="CC12" i="9"/>
  <c r="CD12" i="9" s="1"/>
  <c r="AR17" i="9"/>
  <c r="CC5" i="9"/>
  <c r="CD5" i="9" s="1"/>
  <c r="CC9" i="9"/>
  <c r="CD9" i="9" s="1"/>
  <c r="CC2" i="9"/>
  <c r="CD2" i="9" s="1"/>
  <c r="CC6" i="9"/>
  <c r="CD6" i="9" s="1"/>
  <c r="CC10" i="9"/>
  <c r="CD10" i="9" s="1"/>
  <c r="BK25" i="9"/>
  <c r="BK39" i="9"/>
  <c r="BK43" i="9"/>
  <c r="BK33" i="9"/>
  <c r="BK30" i="9"/>
  <c r="BK6" i="9"/>
  <c r="BK10" i="9"/>
  <c r="BK14" i="9"/>
  <c r="BK18" i="9"/>
  <c r="BK22" i="9"/>
  <c r="BK27" i="9"/>
  <c r="BK40" i="9"/>
  <c r="BK37" i="9"/>
  <c r="BK34" i="9"/>
  <c r="BK3" i="9"/>
  <c r="BK7" i="9"/>
  <c r="BK11" i="9"/>
  <c r="BK15" i="9"/>
  <c r="BK19" i="9"/>
  <c r="BK23" i="9"/>
  <c r="BK28" i="9"/>
  <c r="BK41" i="9"/>
  <c r="BK31" i="9"/>
  <c r="BK35" i="9"/>
  <c r="BK4" i="9"/>
  <c r="BK8" i="9"/>
  <c r="BK12" i="9"/>
  <c r="BK16" i="9"/>
  <c r="BK20" i="9"/>
  <c r="BK24" i="9"/>
  <c r="BK29" i="9"/>
  <c r="BK38" i="9"/>
  <c r="BK42" i="9"/>
  <c r="BK32" i="9"/>
  <c r="BK36" i="9"/>
  <c r="BK5" i="9"/>
  <c r="BK9" i="9"/>
  <c r="BK13" i="9"/>
  <c r="BK17" i="9"/>
  <c r="BK21" i="9"/>
  <c r="BK26" i="9"/>
  <c r="BK2" i="9"/>
  <c r="BK45" i="9"/>
  <c r="BK49" i="9"/>
  <c r="BK53" i="9"/>
  <c r="BK46" i="9"/>
  <c r="BK51" i="9"/>
  <c r="BK56" i="9"/>
  <c r="BK60" i="9"/>
  <c r="BK64" i="9"/>
  <c r="BK68" i="9"/>
  <c r="BK72" i="9"/>
  <c r="BK76" i="9"/>
  <c r="BK80" i="9"/>
  <c r="BK84" i="9"/>
  <c r="BK88" i="9"/>
  <c r="BK92" i="9"/>
  <c r="BK96" i="9"/>
  <c r="BK100" i="9"/>
  <c r="BK47" i="9"/>
  <c r="BK52" i="9"/>
  <c r="BK57" i="9"/>
  <c r="BK61" i="9"/>
  <c r="BK65" i="9"/>
  <c r="BK69" i="9"/>
  <c r="BK73" i="9"/>
  <c r="BK77" i="9"/>
  <c r="BK81" i="9"/>
  <c r="BK85" i="9"/>
  <c r="BK89" i="9"/>
  <c r="BK93" i="9"/>
  <c r="BK97" i="9"/>
  <c r="BK101" i="9"/>
  <c r="BL101" i="9" s="1"/>
  <c r="BK48" i="9"/>
  <c r="BK54" i="9"/>
  <c r="BK58" i="9"/>
  <c r="BK62" i="9"/>
  <c r="BL62" i="9" s="1"/>
  <c r="BK66" i="9"/>
  <c r="BK70" i="9"/>
  <c r="BK74" i="9"/>
  <c r="BK78" i="9"/>
  <c r="BL78" i="9" s="1"/>
  <c r="BK82" i="9"/>
  <c r="BK86" i="9"/>
  <c r="BK90" i="9"/>
  <c r="BK94" i="9"/>
  <c r="BL94" i="9" s="1"/>
  <c r="BK98" i="9"/>
  <c r="BK44" i="9"/>
  <c r="BK50" i="9"/>
  <c r="BK55" i="9"/>
  <c r="BL55" i="9" s="1"/>
  <c r="BK59" i="9"/>
  <c r="BK63" i="9"/>
  <c r="BK67" i="9"/>
  <c r="BK71" i="9"/>
  <c r="BL71" i="9" s="1"/>
  <c r="BK75" i="9"/>
  <c r="BK79" i="9"/>
  <c r="BK83" i="9"/>
  <c r="BK87" i="9"/>
  <c r="BL87" i="9" s="1"/>
  <c r="BK91" i="9"/>
  <c r="BK95" i="9"/>
  <c r="BK99" i="9"/>
  <c r="BQ26" i="9"/>
  <c r="BQ46" i="9"/>
  <c r="BQ50" i="9"/>
  <c r="BQ54" i="9"/>
  <c r="BQ58" i="9"/>
  <c r="BQ62" i="9"/>
  <c r="BQ66" i="9"/>
  <c r="BQ70" i="9"/>
  <c r="BQ74" i="9"/>
  <c r="BQ78" i="9"/>
  <c r="BQ82" i="9"/>
  <c r="BQ86" i="9"/>
  <c r="BQ90" i="9"/>
  <c r="BQ94" i="9"/>
  <c r="BQ98" i="9"/>
  <c r="BQ3" i="9"/>
  <c r="BQ7" i="9"/>
  <c r="BQ11" i="9"/>
  <c r="BQ15" i="9"/>
  <c r="BQ19" i="9"/>
  <c r="BQ23" i="9"/>
  <c r="BQ28" i="9"/>
  <c r="BQ32" i="9"/>
  <c r="BQ36" i="9"/>
  <c r="BQ40" i="9"/>
  <c r="BQ43" i="9"/>
  <c r="BQ47" i="9"/>
  <c r="BQ51" i="9"/>
  <c r="BQ55" i="9"/>
  <c r="BQ59" i="9"/>
  <c r="BQ63" i="9"/>
  <c r="BQ67" i="9"/>
  <c r="BQ71" i="9"/>
  <c r="BQ75" i="9"/>
  <c r="BQ79" i="9"/>
  <c r="BQ83" i="9"/>
  <c r="BQ87" i="9"/>
  <c r="BQ91" i="9"/>
  <c r="BQ95" i="9"/>
  <c r="BQ99" i="9"/>
  <c r="BQ4" i="9"/>
  <c r="BQ8" i="9"/>
  <c r="BQ12" i="9"/>
  <c r="BQ16" i="9"/>
  <c r="BQ20" i="9"/>
  <c r="BQ24" i="9"/>
  <c r="BQ29" i="9"/>
  <c r="BQ33" i="9"/>
  <c r="BQ37" i="9"/>
  <c r="BQ41" i="9"/>
  <c r="BQ44" i="9"/>
  <c r="BQ48" i="9"/>
  <c r="BQ52" i="9"/>
  <c r="BQ56" i="9"/>
  <c r="BQ60" i="9"/>
  <c r="BQ64" i="9"/>
  <c r="BQ68" i="9"/>
  <c r="BQ72" i="9"/>
  <c r="BQ76" i="9"/>
  <c r="BQ80" i="9"/>
  <c r="BQ84" i="9"/>
  <c r="BQ88" i="9"/>
  <c r="BQ92" i="9"/>
  <c r="BQ96" i="9"/>
  <c r="BQ100" i="9"/>
  <c r="BQ5" i="9"/>
  <c r="BQ9" i="9"/>
  <c r="BQ13" i="9"/>
  <c r="BQ17" i="9"/>
  <c r="BQ21" i="9"/>
  <c r="BQ25" i="9"/>
  <c r="BQ30" i="9"/>
  <c r="BQ34" i="9"/>
  <c r="BQ38" i="9"/>
  <c r="BQ42" i="9"/>
  <c r="BQ45" i="9"/>
  <c r="BQ49" i="9"/>
  <c r="BQ53" i="9"/>
  <c r="BQ57" i="9"/>
  <c r="BQ61" i="9"/>
  <c r="BQ65" i="9"/>
  <c r="BQ69" i="9"/>
  <c r="BQ73" i="9"/>
  <c r="BQ77" i="9"/>
  <c r="BQ81" i="9"/>
  <c r="BQ85" i="9"/>
  <c r="BQ89" i="9"/>
  <c r="BQ93" i="9"/>
  <c r="BQ97" i="9"/>
  <c r="BQ101" i="9"/>
  <c r="BR101" i="9" s="1"/>
  <c r="BQ6" i="9"/>
  <c r="BQ10" i="9"/>
  <c r="BQ14" i="9"/>
  <c r="BQ18" i="9"/>
  <c r="BR18" i="9" s="1"/>
  <c r="BW18" i="9" s="1"/>
  <c r="BQ22" i="9"/>
  <c r="BQ27" i="9"/>
  <c r="BQ31" i="9"/>
  <c r="BQ35" i="9"/>
  <c r="BR35" i="9" s="1"/>
  <c r="BQ39" i="9"/>
  <c r="BQ2" i="9"/>
  <c r="BD23" i="9"/>
  <c r="BD19" i="9"/>
  <c r="BD15" i="9"/>
  <c r="BD11" i="9"/>
  <c r="BD7" i="9"/>
  <c r="BD3" i="9"/>
  <c r="BD28" i="9"/>
  <c r="BD32" i="9"/>
  <c r="BD36" i="9"/>
  <c r="BD40" i="9"/>
  <c r="BD25" i="9"/>
  <c r="BD10" i="9"/>
  <c r="BD6" i="9"/>
  <c r="BD29" i="9"/>
  <c r="BD33" i="9"/>
  <c r="BD41" i="9"/>
  <c r="BD5" i="9"/>
  <c r="BD30" i="9"/>
  <c r="BD38" i="9"/>
  <c r="BD42" i="9"/>
  <c r="BD31" i="9"/>
  <c r="BD43" i="9"/>
  <c r="BD22" i="9"/>
  <c r="BD18" i="9"/>
  <c r="BD14" i="9"/>
  <c r="BD2" i="9"/>
  <c r="BD37" i="9"/>
  <c r="BD34" i="9"/>
  <c r="BD21" i="9"/>
  <c r="BD17" i="9"/>
  <c r="BD13" i="9"/>
  <c r="BD9" i="9"/>
  <c r="BD26" i="9"/>
  <c r="BD35" i="9"/>
  <c r="BD24" i="9"/>
  <c r="BD20" i="9"/>
  <c r="BD16" i="9"/>
  <c r="BD12" i="9"/>
  <c r="BD8" i="9"/>
  <c r="BD4" i="9"/>
  <c r="BD27" i="9"/>
  <c r="BD39" i="9"/>
  <c r="AR10" i="9"/>
  <c r="BD48" i="9"/>
  <c r="BD52" i="9"/>
  <c r="BD56" i="9"/>
  <c r="BD60" i="9"/>
  <c r="BD64" i="9"/>
  <c r="BD68" i="9"/>
  <c r="BD72" i="9"/>
  <c r="BD76" i="9"/>
  <c r="BD80" i="9"/>
  <c r="BD84" i="9"/>
  <c r="BD88" i="9"/>
  <c r="BD92" i="9"/>
  <c r="BD96" i="9"/>
  <c r="BD100" i="9"/>
  <c r="BD104" i="9"/>
  <c r="BD108" i="9"/>
  <c r="BD45" i="9"/>
  <c r="BD49" i="9"/>
  <c r="BD53" i="9"/>
  <c r="BD57" i="9"/>
  <c r="BD61" i="9"/>
  <c r="BD65" i="9"/>
  <c r="BD69" i="9"/>
  <c r="BD73" i="9"/>
  <c r="BD77" i="9"/>
  <c r="BD81" i="9"/>
  <c r="BD85" i="9"/>
  <c r="BD89" i="9"/>
  <c r="BD93" i="9"/>
  <c r="BD97" i="9"/>
  <c r="BD101" i="9"/>
  <c r="BD105" i="9"/>
  <c r="BD109" i="9"/>
  <c r="BD46" i="9"/>
  <c r="BD50" i="9"/>
  <c r="BD54" i="9"/>
  <c r="BD58" i="9"/>
  <c r="BD62" i="9"/>
  <c r="BE62" i="9" s="1"/>
  <c r="BD66" i="9"/>
  <c r="BD70" i="9"/>
  <c r="BD74" i="9"/>
  <c r="BD78" i="9"/>
  <c r="BE78" i="9" s="1"/>
  <c r="BD82" i="9"/>
  <c r="BD86" i="9"/>
  <c r="BD90" i="9"/>
  <c r="BD94" i="9"/>
  <c r="BE94" i="9" s="1"/>
  <c r="BD98" i="9"/>
  <c r="BD102" i="9"/>
  <c r="BD106" i="9"/>
  <c r="BD44" i="9"/>
  <c r="BE44" i="9" s="1"/>
  <c r="BD47" i="9"/>
  <c r="BD51" i="9"/>
  <c r="BD55" i="9"/>
  <c r="BD59" i="9"/>
  <c r="BE59" i="9" s="1"/>
  <c r="BD63" i="9"/>
  <c r="BD67" i="9"/>
  <c r="BD71" i="9"/>
  <c r="BD75" i="9"/>
  <c r="BE75" i="9" s="1"/>
  <c r="BD79" i="9"/>
  <c r="BD83" i="9"/>
  <c r="BD87" i="9"/>
  <c r="BD91" i="9"/>
  <c r="BE91" i="9" s="1"/>
  <c r="BD95" i="9"/>
  <c r="BD99" i="9"/>
  <c r="BD103" i="9"/>
  <c r="BD107" i="9"/>
  <c r="CI4" i="9"/>
  <c r="CJ4" i="9" s="1"/>
  <c r="CI8" i="9"/>
  <c r="CJ8" i="9" s="1"/>
  <c r="CI2" i="9"/>
  <c r="CJ2" i="9" s="1"/>
  <c r="CI5" i="9"/>
  <c r="CJ5" i="9" s="1"/>
  <c r="CI9" i="9"/>
  <c r="CJ9" i="9" s="1"/>
  <c r="CI12" i="9"/>
  <c r="CJ12" i="9" s="1"/>
  <c r="CI6" i="9"/>
  <c r="CJ6" i="9" s="1"/>
  <c r="CI10" i="9"/>
  <c r="CJ10" i="9" s="1"/>
  <c r="CI3" i="9"/>
  <c r="CJ3" i="9" s="1"/>
  <c r="CI7" i="9"/>
  <c r="CJ7" i="9" s="1"/>
  <c r="CI11" i="9"/>
  <c r="CJ11" i="9" s="1"/>
  <c r="AU10" i="9"/>
  <c r="AU6" i="9"/>
  <c r="AU16" i="9"/>
  <c r="AN6" i="9"/>
  <c r="AS6" i="9"/>
  <c r="AS10" i="9"/>
  <c r="AN4" i="9"/>
  <c r="AS16" i="9"/>
  <c r="AN2" i="9"/>
  <c r="AU9" i="9"/>
  <c r="AS9" i="9"/>
  <c r="AR9" i="9"/>
  <c r="AR3" i="8"/>
  <c r="BD3" i="8" s="1"/>
  <c r="CH3" i="8" s="1"/>
  <c r="AR4" i="8"/>
  <c r="BD4" i="8" s="1"/>
  <c r="CH4" i="8" s="1"/>
  <c r="AR5" i="8"/>
  <c r="BD5" i="8" s="1"/>
  <c r="CH5" i="8" s="1"/>
  <c r="AR6" i="8"/>
  <c r="BD6" i="8" s="1"/>
  <c r="CH6" i="8" s="1"/>
  <c r="AR7" i="8"/>
  <c r="BD7" i="8" s="1"/>
  <c r="CH7" i="8" s="1"/>
  <c r="AR8" i="8"/>
  <c r="BD8" i="8" s="1"/>
  <c r="CH8" i="8" s="1"/>
  <c r="AR9" i="8"/>
  <c r="BD9" i="8" s="1"/>
  <c r="CH9" i="8" s="1"/>
  <c r="AR10" i="8"/>
  <c r="BD10" i="8" s="1"/>
  <c r="CH10" i="8" s="1"/>
  <c r="AR11" i="8"/>
  <c r="BD11" i="8" s="1"/>
  <c r="CH11" i="8" s="1"/>
  <c r="AR12" i="8"/>
  <c r="BD12" i="8" s="1"/>
  <c r="CH12" i="8" s="1"/>
  <c r="AR13" i="8"/>
  <c r="BD13" i="8" s="1"/>
  <c r="CH13" i="8" s="1"/>
  <c r="AR14" i="8"/>
  <c r="BD14" i="8" s="1"/>
  <c r="CH14" i="8" s="1"/>
  <c r="AR15" i="8"/>
  <c r="BD15" i="8" s="1"/>
  <c r="CH15" i="8" s="1"/>
  <c r="AR16" i="8"/>
  <c r="BD16" i="8" s="1"/>
  <c r="CH16" i="8" s="1"/>
  <c r="AR17" i="8"/>
  <c r="BD17" i="8" s="1"/>
  <c r="CH17" i="8" s="1"/>
  <c r="AR2" i="8"/>
  <c r="BD2" i="8" s="1"/>
  <c r="CH2" i="8" s="1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3" i="8"/>
  <c r="CK9" i="9" l="1"/>
  <c r="BE87" i="9"/>
  <c r="BE71" i="9"/>
  <c r="BE55" i="9"/>
  <c r="BE90" i="9"/>
  <c r="BE74" i="9"/>
  <c r="BE58" i="9"/>
  <c r="BE93" i="9"/>
  <c r="BE77" i="9"/>
  <c r="BE61" i="9"/>
  <c r="BE45" i="9"/>
  <c r="BE96" i="9"/>
  <c r="BE80" i="9"/>
  <c r="BE64" i="9"/>
  <c r="BE48" i="9"/>
  <c r="BE4" i="9"/>
  <c r="BE20" i="9"/>
  <c r="BE9" i="9"/>
  <c r="BE34" i="9"/>
  <c r="BE18" i="9"/>
  <c r="BE42" i="9"/>
  <c r="BE41" i="9"/>
  <c r="BE10" i="9"/>
  <c r="BE32" i="9"/>
  <c r="BE11" i="9"/>
  <c r="BL99" i="9"/>
  <c r="BL83" i="9"/>
  <c r="BL67" i="9"/>
  <c r="BL50" i="9"/>
  <c r="BL90" i="9"/>
  <c r="BL74" i="9"/>
  <c r="BL58" i="9"/>
  <c r="BL97" i="9"/>
  <c r="BL81" i="9"/>
  <c r="BL65" i="9"/>
  <c r="BL47" i="9"/>
  <c r="BL88" i="9"/>
  <c r="BL72" i="9"/>
  <c r="BL56" i="9"/>
  <c r="BL49" i="9"/>
  <c r="BL21" i="9"/>
  <c r="BL5" i="9"/>
  <c r="BL38" i="9"/>
  <c r="BL16" i="9"/>
  <c r="BL35" i="9"/>
  <c r="BL23" i="9"/>
  <c r="BL7" i="9"/>
  <c r="BL40" i="9"/>
  <c r="BE95" i="9"/>
  <c r="BE79" i="9"/>
  <c r="BE63" i="9"/>
  <c r="BE47" i="9"/>
  <c r="BE98" i="9"/>
  <c r="BE82" i="9"/>
  <c r="BE66" i="9"/>
  <c r="BE50" i="9"/>
  <c r="BE101" i="9"/>
  <c r="BE85" i="9"/>
  <c r="BE69" i="9"/>
  <c r="BE53" i="9"/>
  <c r="BE88" i="9"/>
  <c r="BE72" i="9"/>
  <c r="BL91" i="9"/>
  <c r="BL75" i="9"/>
  <c r="BL59" i="9"/>
  <c r="BL98" i="9"/>
  <c r="BL82" i="9"/>
  <c r="BL66" i="9"/>
  <c r="BL48" i="9"/>
  <c r="BL89" i="9"/>
  <c r="BL73" i="9"/>
  <c r="BR2" i="9"/>
  <c r="BR27" i="9"/>
  <c r="BR10" i="9"/>
  <c r="BW10" i="9" s="1"/>
  <c r="BR93" i="9"/>
  <c r="BR77" i="9"/>
  <c r="BR61" i="9"/>
  <c r="BR45" i="9"/>
  <c r="BR30" i="9"/>
  <c r="BR13" i="9"/>
  <c r="BW13" i="9" s="1"/>
  <c r="BR96" i="9"/>
  <c r="BR80" i="9"/>
  <c r="BR64" i="9"/>
  <c r="BR48" i="9"/>
  <c r="BR33" i="9"/>
  <c r="BR16" i="9"/>
  <c r="BW16" i="9" s="1"/>
  <c r="BR99" i="9"/>
  <c r="BR83" i="9"/>
  <c r="BR67" i="9"/>
  <c r="BR51" i="9"/>
  <c r="BR36" i="9"/>
  <c r="BR19" i="9"/>
  <c r="BW19" i="9" s="1"/>
  <c r="BR3" i="9"/>
  <c r="BR86" i="9"/>
  <c r="BR70" i="9"/>
  <c r="BR54" i="9"/>
  <c r="BL14" i="9"/>
  <c r="BL33" i="9"/>
  <c r="CE6" i="9"/>
  <c r="CK6" i="9"/>
  <c r="BE99" i="9"/>
  <c r="BE83" i="9"/>
  <c r="BE67" i="9"/>
  <c r="BE51" i="9"/>
  <c r="BE86" i="9"/>
  <c r="BE70" i="9"/>
  <c r="BE54" i="9"/>
  <c r="BE89" i="9"/>
  <c r="BE73" i="9"/>
  <c r="BE57" i="9"/>
  <c r="BE92" i="9"/>
  <c r="BE76" i="9"/>
  <c r="BE60" i="9"/>
  <c r="BE8" i="9"/>
  <c r="BE24" i="9"/>
  <c r="BE13" i="9"/>
  <c r="BE37" i="9"/>
  <c r="BE22" i="9"/>
  <c r="BE38" i="9"/>
  <c r="BE33" i="9"/>
  <c r="BE25" i="9"/>
  <c r="BE28" i="9"/>
  <c r="BE15" i="9"/>
  <c r="BR39" i="9"/>
  <c r="BR22" i="9"/>
  <c r="BW22" i="9" s="1"/>
  <c r="BR6" i="9"/>
  <c r="BW6" i="9" s="1"/>
  <c r="BR89" i="9"/>
  <c r="BR73" i="9"/>
  <c r="BR57" i="9"/>
  <c r="BR42" i="9"/>
  <c r="BR25" i="9"/>
  <c r="BR9" i="9"/>
  <c r="BW9" i="9" s="1"/>
  <c r="BR92" i="9"/>
  <c r="BR76" i="9"/>
  <c r="BR60" i="9"/>
  <c r="BR44" i="9"/>
  <c r="BR29" i="9"/>
  <c r="BR12" i="9"/>
  <c r="BW12" i="9" s="1"/>
  <c r="BR95" i="9"/>
  <c r="BR79" i="9"/>
  <c r="BR63" i="9"/>
  <c r="BR47" i="9"/>
  <c r="BR32" i="9"/>
  <c r="BR15" i="9"/>
  <c r="BW15" i="9" s="1"/>
  <c r="BR98" i="9"/>
  <c r="BR82" i="9"/>
  <c r="BR66" i="9"/>
  <c r="BR50" i="9"/>
  <c r="BL95" i="9"/>
  <c r="BL79" i="9"/>
  <c r="BL63" i="9"/>
  <c r="BL44" i="9"/>
  <c r="BL86" i="9"/>
  <c r="BL70" i="9"/>
  <c r="BL54" i="9"/>
  <c r="BL93" i="9"/>
  <c r="BL77" i="9"/>
  <c r="BL61" i="9"/>
  <c r="BL100" i="9"/>
  <c r="BL84" i="9"/>
  <c r="BL68" i="9"/>
  <c r="BL51" i="9"/>
  <c r="BL45" i="9"/>
  <c r="BL17" i="9"/>
  <c r="BL36" i="9"/>
  <c r="BL29" i="9"/>
  <c r="BL12" i="9"/>
  <c r="BL31" i="9"/>
  <c r="BL19" i="9"/>
  <c r="BL3" i="9"/>
  <c r="BL27" i="9"/>
  <c r="BL10" i="9"/>
  <c r="BL43" i="9"/>
  <c r="CF3" i="9"/>
  <c r="CG3" i="9" s="1"/>
  <c r="CF7" i="9"/>
  <c r="CG7" i="9" s="1"/>
  <c r="CF11" i="9"/>
  <c r="CG11" i="9" s="1"/>
  <c r="CF4" i="9"/>
  <c r="CG4" i="9" s="1"/>
  <c r="CF8" i="9"/>
  <c r="CG8" i="9" s="1"/>
  <c r="CF12" i="9"/>
  <c r="CG12" i="9" s="1"/>
  <c r="CF5" i="9"/>
  <c r="CG5" i="9" s="1"/>
  <c r="CF9" i="9"/>
  <c r="CG9" i="9" s="1"/>
  <c r="CF2" i="9"/>
  <c r="CG2" i="9" s="1"/>
  <c r="CF6" i="9"/>
  <c r="CG6" i="9" s="1"/>
  <c r="CF10" i="9"/>
  <c r="CG10" i="9" s="1"/>
  <c r="BE56" i="9"/>
  <c r="BE39" i="9"/>
  <c r="BE12" i="9"/>
  <c r="BE35" i="9"/>
  <c r="BE17" i="9"/>
  <c r="BE2" i="9"/>
  <c r="BE43" i="9"/>
  <c r="BE30" i="9"/>
  <c r="BE29" i="9"/>
  <c r="BE40" i="9"/>
  <c r="BE3" i="9"/>
  <c r="BE19" i="9"/>
  <c r="BR85" i="9"/>
  <c r="BR69" i="9"/>
  <c r="BR53" i="9"/>
  <c r="BR38" i="9"/>
  <c r="BR21" i="9"/>
  <c r="BW21" i="9" s="1"/>
  <c r="BR5" i="9"/>
  <c r="BW5" i="9" s="1"/>
  <c r="BR88" i="9"/>
  <c r="BR72" i="9"/>
  <c r="BR56" i="9"/>
  <c r="BR41" i="9"/>
  <c r="BR24" i="9"/>
  <c r="BW24" i="9" s="1"/>
  <c r="BR8" i="9"/>
  <c r="BW8" i="9" s="1"/>
  <c r="BR91" i="9"/>
  <c r="BR75" i="9"/>
  <c r="BR59" i="9"/>
  <c r="BR43" i="9"/>
  <c r="BR28" i="9"/>
  <c r="BR11" i="9"/>
  <c r="BW11" i="9" s="1"/>
  <c r="BR94" i="9"/>
  <c r="BR78" i="9"/>
  <c r="BR62" i="9"/>
  <c r="BR46" i="9"/>
  <c r="BL57" i="9"/>
  <c r="BL96" i="9"/>
  <c r="BL80" i="9"/>
  <c r="BL64" i="9"/>
  <c r="BL46" i="9"/>
  <c r="BL2" i="9"/>
  <c r="BL13" i="9"/>
  <c r="BL32" i="9"/>
  <c r="BL24" i="9"/>
  <c r="BL8" i="9"/>
  <c r="BL41" i="9"/>
  <c r="BL15" i="9"/>
  <c r="BL34" i="9"/>
  <c r="BL22" i="9"/>
  <c r="BL6" i="9"/>
  <c r="BL39" i="9"/>
  <c r="CE9" i="9"/>
  <c r="AU17" i="9"/>
  <c r="CL3" i="9"/>
  <c r="CM3" i="9" s="1"/>
  <c r="CL7" i="9"/>
  <c r="CM7" i="9" s="1"/>
  <c r="CL11" i="9"/>
  <c r="CM11" i="9" s="1"/>
  <c r="CL4" i="9"/>
  <c r="CM4" i="9" s="1"/>
  <c r="CN6" i="9" s="1"/>
  <c r="CL8" i="9"/>
  <c r="CM8" i="9" s="1"/>
  <c r="CL12" i="9"/>
  <c r="CM12" i="9" s="1"/>
  <c r="CL5" i="9"/>
  <c r="CM5" i="9" s="1"/>
  <c r="CL9" i="9"/>
  <c r="CM9" i="9" s="1"/>
  <c r="CL2" i="9"/>
  <c r="CM2" i="9" s="1"/>
  <c r="CL6" i="9"/>
  <c r="CM6" i="9" s="1"/>
  <c r="CL10" i="9"/>
  <c r="CM10" i="9" s="1"/>
  <c r="BE46" i="9"/>
  <c r="BE97" i="9"/>
  <c r="BE81" i="9"/>
  <c r="BE65" i="9"/>
  <c r="BE49" i="9"/>
  <c r="BE100" i="9"/>
  <c r="BE84" i="9"/>
  <c r="BE68" i="9"/>
  <c r="BE52" i="9"/>
  <c r="BE27" i="9"/>
  <c r="BE16" i="9"/>
  <c r="BE26" i="9"/>
  <c r="BE21" i="9"/>
  <c r="BE14" i="9"/>
  <c r="BE31" i="9"/>
  <c r="BE5" i="9"/>
  <c r="BE6" i="9"/>
  <c r="BE36" i="9"/>
  <c r="BE7" i="9"/>
  <c r="BE23" i="9"/>
  <c r="BR31" i="9"/>
  <c r="BR14" i="9"/>
  <c r="BW14" i="9" s="1"/>
  <c r="BR97" i="9"/>
  <c r="BR81" i="9"/>
  <c r="BR65" i="9"/>
  <c r="BR49" i="9"/>
  <c r="BR34" i="9"/>
  <c r="BR17" i="9"/>
  <c r="BW17" i="9" s="1"/>
  <c r="BR100" i="9"/>
  <c r="BR84" i="9"/>
  <c r="BR68" i="9"/>
  <c r="BR52" i="9"/>
  <c r="BR37" i="9"/>
  <c r="BR20" i="9"/>
  <c r="BW20" i="9" s="1"/>
  <c r="BR4" i="9"/>
  <c r="BR87" i="9"/>
  <c r="BR71" i="9"/>
  <c r="BR55" i="9"/>
  <c r="BR40" i="9"/>
  <c r="BR23" i="9"/>
  <c r="BW23" i="9" s="1"/>
  <c r="BR7" i="9"/>
  <c r="BW7" i="9" s="1"/>
  <c r="BR90" i="9"/>
  <c r="BR74" i="9"/>
  <c r="BR58" i="9"/>
  <c r="BR26" i="9"/>
  <c r="BL85" i="9"/>
  <c r="BL69" i="9"/>
  <c r="BL52" i="9"/>
  <c r="BL92" i="9"/>
  <c r="BL76" i="9"/>
  <c r="BL60" i="9"/>
  <c r="BL53" i="9"/>
  <c r="BL26" i="9"/>
  <c r="BL9" i="9"/>
  <c r="BL42" i="9"/>
  <c r="BL20" i="9"/>
  <c r="BL4" i="9"/>
  <c r="BL28" i="9"/>
  <c r="BL11" i="9"/>
  <c r="BL37" i="9"/>
  <c r="BL18" i="9"/>
  <c r="BL30" i="9"/>
  <c r="BL25" i="9"/>
  <c r="AY3" i="8"/>
  <c r="AW3" i="8"/>
  <c r="AY14" i="8"/>
  <c r="AW14" i="8"/>
  <c r="AY10" i="8"/>
  <c r="AW10" i="8"/>
  <c r="AY6" i="8"/>
  <c r="AW6" i="8"/>
  <c r="AW17" i="8"/>
  <c r="AY17" i="8"/>
  <c r="AY13" i="8"/>
  <c r="AW13" i="8"/>
  <c r="AY9" i="8"/>
  <c r="AW9" i="8"/>
  <c r="AY5" i="8"/>
  <c r="AW5" i="8"/>
  <c r="AY16" i="8"/>
  <c r="AW16" i="8"/>
  <c r="AY12" i="8"/>
  <c r="AW12" i="8"/>
  <c r="AY8" i="8"/>
  <c r="AW8" i="8"/>
  <c r="AY4" i="8"/>
  <c r="AW4" i="8"/>
  <c r="AY15" i="8"/>
  <c r="AW15" i="8"/>
  <c r="AY11" i="8"/>
  <c r="AW11" i="8"/>
  <c r="AY7" i="8"/>
  <c r="AW7" i="8"/>
  <c r="AG4" i="8"/>
  <c r="AH4" i="8" s="1"/>
  <c r="AG3" i="8"/>
  <c r="AF13" i="8"/>
  <c r="AG14" i="8" s="1"/>
  <c r="AH14" i="8" s="1"/>
  <c r="AG6" i="8"/>
  <c r="AH6" i="8" s="1"/>
  <c r="AG8" i="8"/>
  <c r="AH8" i="8" s="1"/>
  <c r="AG10" i="8"/>
  <c r="AH10" i="8" s="1"/>
  <c r="Z9" i="8"/>
  <c r="Z10" i="8"/>
  <c r="Z11" i="8"/>
  <c r="Z12" i="8"/>
  <c r="Z13" i="8"/>
  <c r="Z14" i="8"/>
  <c r="Z15" i="8"/>
  <c r="Z16" i="8"/>
  <c r="Z17" i="8"/>
  <c r="Z18" i="8"/>
  <c r="Y4" i="8"/>
  <c r="Y5" i="8"/>
  <c r="Y6" i="8"/>
  <c r="Y7" i="8"/>
  <c r="Z8" i="8" s="1"/>
  <c r="Y3" i="8"/>
  <c r="Z3" i="8" s="1"/>
  <c r="W9" i="8"/>
  <c r="AK9" i="8" s="1"/>
  <c r="AP9" i="8" s="1"/>
  <c r="W10" i="8"/>
  <c r="AK10" i="8" s="1"/>
  <c r="AP10" i="8" s="1"/>
  <c r="W11" i="8"/>
  <c r="AK11" i="8" s="1"/>
  <c r="AP11" i="8" s="1"/>
  <c r="W12" i="8"/>
  <c r="AK12" i="8" s="1"/>
  <c r="AP12" i="8" s="1"/>
  <c r="W13" i="8"/>
  <c r="AK13" i="8" s="1"/>
  <c r="AP13" i="8" s="1"/>
  <c r="W14" i="8"/>
  <c r="AK14" i="8" s="1"/>
  <c r="AP14" i="8" s="1"/>
  <c r="W15" i="8"/>
  <c r="AK15" i="8" s="1"/>
  <c r="AP15" i="8" s="1"/>
  <c r="W16" i="8"/>
  <c r="AK16" i="8" s="1"/>
  <c r="AP16" i="8" s="1"/>
  <c r="W17" i="8"/>
  <c r="AK17" i="8" s="1"/>
  <c r="AP17" i="8" s="1"/>
  <c r="W18" i="8"/>
  <c r="AK18" i="8" s="1"/>
  <c r="W8" i="8"/>
  <c r="W7" i="8"/>
  <c r="W6" i="8"/>
  <c r="W5" i="8"/>
  <c r="W4" i="8"/>
  <c r="S4" i="8"/>
  <c r="AA4" i="8" s="1"/>
  <c r="AQ4" i="8" s="1"/>
  <c r="S5" i="8"/>
  <c r="AA5" i="8" s="1"/>
  <c r="AQ5" i="8" s="1"/>
  <c r="S7" i="8"/>
  <c r="AA7" i="8" s="1"/>
  <c r="AQ7" i="8" s="1"/>
  <c r="S3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L19" i="8"/>
  <c r="CH6" i="9" l="1"/>
  <c r="CH9" i="9"/>
  <c r="CN9" i="9"/>
  <c r="Z5" i="8"/>
  <c r="Z7" i="8"/>
  <c r="Z6" i="8"/>
  <c r="X6" i="8"/>
  <c r="AK6" i="8"/>
  <c r="X7" i="8"/>
  <c r="AK7" i="8"/>
  <c r="Z4" i="8"/>
  <c r="AP18" i="8"/>
  <c r="X8" i="8"/>
  <c r="AK8" i="8"/>
  <c r="AG12" i="8"/>
  <c r="AH12" i="8" s="1"/>
  <c r="AH18" i="8" s="1"/>
  <c r="M6" i="8" l="1"/>
  <c r="N6" i="8"/>
  <c r="O6" i="8"/>
  <c r="P6" i="8"/>
  <c r="Q6" i="8"/>
  <c r="R6" i="8"/>
  <c r="M7" i="8"/>
  <c r="N7" i="8"/>
  <c r="O7" i="8"/>
  <c r="P7" i="8"/>
  <c r="Q7" i="8"/>
  <c r="R7" i="8"/>
  <c r="M8" i="8"/>
  <c r="N8" i="8"/>
  <c r="O8" i="8"/>
  <c r="P8" i="8"/>
  <c r="Q8" i="8"/>
  <c r="R8" i="8"/>
  <c r="M9" i="8"/>
  <c r="N9" i="8"/>
  <c r="O9" i="8"/>
  <c r="P9" i="8"/>
  <c r="Q9" i="8"/>
  <c r="R9" i="8"/>
  <c r="M10" i="8"/>
  <c r="N10" i="8"/>
  <c r="O10" i="8"/>
  <c r="P10" i="8"/>
  <c r="Q10" i="8"/>
  <c r="R10" i="8"/>
  <c r="M11" i="8"/>
  <c r="N11" i="8"/>
  <c r="O11" i="8"/>
  <c r="P11" i="8"/>
  <c r="Q11" i="8"/>
  <c r="R11" i="8"/>
  <c r="M12" i="8"/>
  <c r="N12" i="8"/>
  <c r="O12" i="8"/>
  <c r="P12" i="8"/>
  <c r="Q12" i="8"/>
  <c r="R12" i="8"/>
  <c r="M13" i="8"/>
  <c r="N13" i="8"/>
  <c r="O13" i="8"/>
  <c r="P13" i="8"/>
  <c r="Q13" i="8"/>
  <c r="R13" i="8"/>
  <c r="M14" i="8"/>
  <c r="N14" i="8"/>
  <c r="O14" i="8"/>
  <c r="P14" i="8"/>
  <c r="Q14" i="8"/>
  <c r="R14" i="8"/>
  <c r="M15" i="8"/>
  <c r="N15" i="8"/>
  <c r="O15" i="8"/>
  <c r="P15" i="8"/>
  <c r="Q15" i="8"/>
  <c r="R15" i="8"/>
  <c r="M16" i="8"/>
  <c r="N16" i="8"/>
  <c r="O16" i="8"/>
  <c r="P16" i="8"/>
  <c r="Q16" i="8"/>
  <c r="R16" i="8"/>
  <c r="M17" i="8"/>
  <c r="N17" i="8"/>
  <c r="O17" i="8"/>
  <c r="P17" i="8"/>
  <c r="Q17" i="8"/>
  <c r="R17" i="8"/>
  <c r="M18" i="8"/>
  <c r="N18" i="8"/>
  <c r="O18" i="8"/>
  <c r="P18" i="8"/>
  <c r="Q18" i="8"/>
  <c r="R18" i="8"/>
  <c r="M19" i="8"/>
  <c r="N19" i="8"/>
  <c r="N20" i="8" s="1"/>
  <c r="O19" i="8"/>
  <c r="O20" i="8" s="1"/>
  <c r="P19" i="8"/>
  <c r="P20" i="8" s="1"/>
  <c r="Q19" i="8"/>
  <c r="Q20" i="8" s="1"/>
  <c r="R19" i="8"/>
  <c r="R20" i="8" s="1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M2" i="8"/>
  <c r="N2" i="8"/>
  <c r="O2" i="8"/>
  <c r="P2" i="8"/>
  <c r="Q2" i="8"/>
  <c r="R2" i="8"/>
  <c r="L2" i="8"/>
  <c r="C4" i="8"/>
  <c r="T4" i="8" s="1"/>
  <c r="C3" i="8"/>
  <c r="T3" i="8" s="1"/>
  <c r="C5" i="8"/>
  <c r="T5" i="8" s="1"/>
  <c r="X5" i="8" s="1"/>
  <c r="X9" i="8" s="1"/>
  <c r="A6" i="8"/>
  <c r="S6" i="8" s="1"/>
  <c r="AA6" i="8" s="1"/>
  <c r="AQ6" i="8" s="1"/>
  <c r="A8" i="8"/>
  <c r="S8" i="8" s="1"/>
  <c r="AA8" i="8" s="1"/>
  <c r="AQ8" i="8" s="1"/>
  <c r="A9" i="8" l="1"/>
  <c r="S9" i="8" s="1"/>
  <c r="AA9" i="8" s="1"/>
  <c r="AQ9" i="8" s="1"/>
  <c r="A10" i="8"/>
  <c r="L4" i="8"/>
  <c r="L5" i="8"/>
  <c r="P5" i="8"/>
  <c r="R4" i="8"/>
  <c r="N4" i="8"/>
  <c r="P3" i="8"/>
  <c r="O5" i="8"/>
  <c r="Q4" i="8"/>
  <c r="M4" i="8"/>
  <c r="O3" i="8"/>
  <c r="L3" i="8"/>
  <c r="R5" i="8"/>
  <c r="N5" i="8"/>
  <c r="P4" i="8"/>
  <c r="R3" i="8"/>
  <c r="N3" i="8"/>
  <c r="Q5" i="8"/>
  <c r="M5" i="8"/>
  <c r="O4" i="8"/>
  <c r="Q3" i="8"/>
  <c r="M3" i="8"/>
  <c r="E12" i="1"/>
  <c r="G12" i="1"/>
  <c r="G9" i="1"/>
  <c r="G10" i="1"/>
  <c r="G11" i="1"/>
  <c r="G13" i="1"/>
  <c r="G14" i="1"/>
  <c r="E10" i="1"/>
  <c r="F10" i="1"/>
  <c r="E11" i="1"/>
  <c r="F11" i="1"/>
  <c r="F12" i="1"/>
  <c r="E13" i="1"/>
  <c r="F13" i="1"/>
  <c r="E14" i="1"/>
  <c r="F14" i="1"/>
  <c r="F9" i="1"/>
  <c r="E9" i="1"/>
  <c r="G8" i="1"/>
  <c r="G6" i="1"/>
  <c r="F8" i="1"/>
  <c r="E8" i="1"/>
  <c r="F6" i="1"/>
  <c r="E6" i="1"/>
  <c r="D8" i="1"/>
  <c r="D6" i="1"/>
  <c r="D5" i="1"/>
  <c r="B8" i="1"/>
  <c r="B6" i="1"/>
  <c r="S10" i="8" l="1"/>
  <c r="AA10" i="8" s="1"/>
  <c r="AQ10" i="8" s="1"/>
  <c r="A11" i="8"/>
  <c r="D7" i="1"/>
  <c r="D13" i="1"/>
  <c r="D12" i="1"/>
  <c r="D11" i="1"/>
  <c r="D10" i="1"/>
  <c r="D9" i="1"/>
  <c r="D14" i="1"/>
  <c r="B9" i="1"/>
  <c r="S11" i="8" l="1"/>
  <c r="AA11" i="8" s="1"/>
  <c r="AQ11" i="8" s="1"/>
  <c r="A12" i="8"/>
  <c r="A13" i="8" l="1"/>
  <c r="S12" i="8"/>
  <c r="AA12" i="8" s="1"/>
  <c r="AQ12" i="8" s="1"/>
  <c r="A14" i="8" l="1"/>
  <c r="S13" i="8"/>
  <c r="AA13" i="8" s="1"/>
  <c r="AQ13" i="8" s="1"/>
  <c r="A15" i="8" l="1"/>
  <c r="S14" i="8"/>
  <c r="AA14" i="8" s="1"/>
  <c r="AQ14" i="8" s="1"/>
  <c r="A16" i="8" l="1"/>
  <c r="S15" i="8"/>
  <c r="AA15" i="8" s="1"/>
  <c r="AQ15" i="8" s="1"/>
  <c r="S16" i="8" l="1"/>
  <c r="AA16" i="8" s="1"/>
  <c r="AQ16" i="8" s="1"/>
  <c r="A17" i="8"/>
  <c r="A18" i="8" l="1"/>
  <c r="S18" i="8" s="1"/>
  <c r="AA18" i="8" s="1"/>
  <c r="S17" i="8"/>
  <c r="AA17" i="8" s="1"/>
  <c r="AQ17" i="8" s="1"/>
</calcChain>
</file>

<file path=xl/sharedStrings.xml><?xml version="1.0" encoding="utf-8"?>
<sst xmlns="http://schemas.openxmlformats.org/spreadsheetml/2006/main" count="127" uniqueCount="69">
  <si>
    <t>FICO</t>
  </si>
  <si>
    <t xml:space="preserve"> </t>
  </si>
  <si>
    <t>SATO</t>
  </si>
  <si>
    <t>too sensitive</t>
  </si>
  <si>
    <t>broker</t>
  </si>
  <si>
    <t>corr</t>
  </si>
  <si>
    <t>retail</t>
  </si>
  <si>
    <t>na</t>
  </si>
  <si>
    <t>purchase</t>
  </si>
  <si>
    <t>cashout/refi</t>
  </si>
  <si>
    <t>why is cashout lower for broker and corres?</t>
  </si>
  <si>
    <t>Old</t>
  </si>
  <si>
    <t>New</t>
  </si>
  <si>
    <t>Old Range</t>
  </si>
  <si>
    <t>Ratio</t>
  </si>
  <si>
    <t>&gt;42.5%</t>
  </si>
  <si>
    <t>24-42</t>
  </si>
  <si>
    <t>lockin ajm for ITM</t>
  </si>
  <si>
    <t>Purchase</t>
  </si>
  <si>
    <t>Cashout</t>
  </si>
  <si>
    <t>refi</t>
  </si>
  <si>
    <t>annHPA</t>
  </si>
  <si>
    <t>new annHPA</t>
  </si>
  <si>
    <t xml:space="preserve">  </t>
  </si>
  <si>
    <t>multiplier over base</t>
  </si>
  <si>
    <t>avg</t>
  </si>
  <si>
    <t>adjustment</t>
  </si>
  <si>
    <t>new locking</t>
  </si>
  <si>
    <t>Adj for &gt; 42 wala</t>
  </si>
  <si>
    <t>Refi</t>
  </si>
  <si>
    <t>24-42  refi</t>
  </si>
  <si>
    <t>VA</t>
  </si>
  <si>
    <t>Purchase Ramp</t>
  </si>
  <si>
    <t>42+</t>
  </si>
  <si>
    <t>&lt; 5%</t>
  </si>
  <si>
    <t>5-7%</t>
  </si>
  <si>
    <t>7-9%</t>
  </si>
  <si>
    <t>9+%</t>
  </si>
  <si>
    <t>Purch</t>
  </si>
  <si>
    <t>adj</t>
  </si>
  <si>
    <t>refi 1</t>
  </si>
  <si>
    <t>refi 3</t>
  </si>
  <si>
    <t>refi 2</t>
  </si>
  <si>
    <t>refi 4</t>
  </si>
  <si>
    <t>Avg Ramp</t>
  </si>
  <si>
    <t>&lt;5%</t>
  </si>
  <si>
    <t>5-7% same as 7-9%</t>
  </si>
  <si>
    <t>&gt; 9%</t>
  </si>
  <si>
    <t>Purch Ramp</t>
  </si>
  <si>
    <t>Refi Ramp</t>
  </si>
  <si>
    <t>refi 8 60+</t>
  </si>
  <si>
    <t>refi 1 adjusted 0-13</t>
  </si>
  <si>
    <t>refi 2 13-20</t>
  </si>
  <si>
    <t>purch</t>
  </si>
  <si>
    <t>refi 3 20-36</t>
  </si>
  <si>
    <t>refi 4 36-45</t>
  </si>
  <si>
    <t>refi 5 45-60</t>
  </si>
  <si>
    <t>bucket</t>
  </si>
  <si>
    <t>purchase 8</t>
  </si>
  <si>
    <t>Purchase 5</t>
  </si>
  <si>
    <t>Purchase 1-4</t>
  </si>
  <si>
    <t>json 0</t>
  </si>
  <si>
    <t>json 1</t>
  </si>
  <si>
    <t>json 2</t>
  </si>
  <si>
    <t>json 3</t>
  </si>
  <si>
    <t>json 4</t>
  </si>
  <si>
    <t>json 2, 3</t>
  </si>
  <si>
    <t>json 0,1,2,3</t>
  </si>
  <si>
    <t>model ramp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</si>
</sst>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%"/>
    <numFmt numFmtId="166" formatCode="0.0000"/>
    <numFmt numFmtId="167" formatCode="0.0"/>
    <numFmt numFmtId="168" formatCode="0.00000"/>
    <numFmt numFmtId="170" formatCode="0.000%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7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quotePrefix="1"/>
    <xf numFmtId="0" fontId="1" fillId="4" borderId="0" xfId="0" applyFont="1" applyFill="1"/>
    <xf numFmtId="168" fontId="0" fillId="0" borderId="0" xfId="0" applyNumberFormat="1"/>
    <xf numFmtId="9" fontId="0" fillId="5" borderId="0" xfId="0" applyNumberFormat="1" applyFill="1"/>
    <xf numFmtId="170" fontId="0" fillId="0" borderId="0" xfId="0" applyNumberFormat="1"/>
    <xf numFmtId="10" fontId="0" fillId="0" borderId="0" xfId="0" applyNumberFormat="1"/>
    <xf numFmtId="10" fontId="0" fillId="5" borderId="0" xfId="0" applyNumberFormat="1" applyFill="1"/>
    <xf numFmtId="9" fontId="0" fillId="3" borderId="0" xfId="0" applyNumberFormat="1" applyFill="1"/>
    <xf numFmtId="168" fontId="0" fillId="2" borderId="0" xfId="0" applyNumberFormat="1" applyFill="1"/>
    <xf numFmtId="168" fontId="0" fillId="3" borderId="0" xfId="0" applyNumberFormat="1" applyFill="1"/>
    <xf numFmtId="164" fontId="0" fillId="3" borderId="0" xfId="0" applyNumberFormat="1" applyFill="1"/>
    <xf numFmtId="164" fontId="0" fillId="2" borderId="0" xfId="0" applyNumberFormat="1" applyFill="1"/>
    <xf numFmtId="166" fontId="0" fillId="3" borderId="0" xfId="0" applyNumberFormat="1" applyFill="1"/>
    <xf numFmtId="0" fontId="0" fillId="6" borderId="0" xfId="0" applyFill="1"/>
    <xf numFmtId="9" fontId="0" fillId="6" borderId="0" xfId="0" applyNumberFormat="1" applyFill="1"/>
    <xf numFmtId="165" fontId="0" fillId="6" borderId="0" xfId="0" applyNumberFormat="1" applyFill="1"/>
    <xf numFmtId="166" fontId="0" fillId="6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lockin</c:v>
          </c:tx>
          <c:xVal>
            <c:numRef>
              <c:f>lockin!$A$2:$A$14</c:f>
              <c:numCache>
                <c:formatCode>General</c:formatCode>
                <c:ptCount val="13"/>
                <c:pt idx="0">
                  <c:v>-700</c:v>
                </c:pt>
                <c:pt idx="1">
                  <c:v>-600</c:v>
                </c:pt>
                <c:pt idx="2">
                  <c:v>-400</c:v>
                </c:pt>
                <c:pt idx="3">
                  <c:v>-300</c:v>
                </c:pt>
                <c:pt idx="4">
                  <c:v>-225</c:v>
                </c:pt>
                <c:pt idx="5">
                  <c:v>-200</c:v>
                </c:pt>
                <c:pt idx="6">
                  <c:v>-175</c:v>
                </c:pt>
                <c:pt idx="7">
                  <c:v>-150</c:v>
                </c:pt>
                <c:pt idx="8">
                  <c:v>-125</c:v>
                </c:pt>
                <c:pt idx="9">
                  <c:v>-100</c:v>
                </c:pt>
                <c:pt idx="10">
                  <c:v>-75</c:v>
                </c:pt>
                <c:pt idx="11">
                  <c:v>-50</c:v>
                </c:pt>
                <c:pt idx="12">
                  <c:v>-25</c:v>
                </c:pt>
              </c:numCache>
            </c:numRef>
          </c:xVal>
          <c:yVal>
            <c:numRef>
              <c:f>lockin!$B$2:$B$14</c:f>
              <c:numCache>
                <c:formatCode>General</c:formatCode>
                <c:ptCount val="13"/>
                <c:pt idx="0">
                  <c:v>0.375</c:v>
                </c:pt>
                <c:pt idx="1">
                  <c:v>0.375</c:v>
                </c:pt>
                <c:pt idx="2">
                  <c:v>0.40100000000000002</c:v>
                </c:pt>
                <c:pt idx="3">
                  <c:v>0.48</c:v>
                </c:pt>
                <c:pt idx="4">
                  <c:v>0.61350000000000005</c:v>
                </c:pt>
                <c:pt idx="5">
                  <c:v>0.65800000000000003</c:v>
                </c:pt>
                <c:pt idx="6">
                  <c:v>0.67633333333333334</c:v>
                </c:pt>
                <c:pt idx="7">
                  <c:v>0.69466666666666665</c:v>
                </c:pt>
                <c:pt idx="8">
                  <c:v>0.71299999999999997</c:v>
                </c:pt>
                <c:pt idx="9">
                  <c:v>0.75700000000000001</c:v>
                </c:pt>
                <c:pt idx="10">
                  <c:v>0.89200000000000002</c:v>
                </c:pt>
                <c:pt idx="11">
                  <c:v>0.94499999999999995</c:v>
                </c:pt>
                <c:pt idx="12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new lockin</c:v>
          </c:tx>
          <c:xVal>
            <c:numRef>
              <c:f>lockin!$A$2:$A$14</c:f>
              <c:numCache>
                <c:formatCode>General</c:formatCode>
                <c:ptCount val="13"/>
                <c:pt idx="0">
                  <c:v>-700</c:v>
                </c:pt>
                <c:pt idx="1">
                  <c:v>-600</c:v>
                </c:pt>
                <c:pt idx="2">
                  <c:v>-400</c:v>
                </c:pt>
                <c:pt idx="3">
                  <c:v>-300</c:v>
                </c:pt>
                <c:pt idx="4">
                  <c:v>-225</c:v>
                </c:pt>
                <c:pt idx="5">
                  <c:v>-200</c:v>
                </c:pt>
                <c:pt idx="6">
                  <c:v>-175</c:v>
                </c:pt>
                <c:pt idx="7">
                  <c:v>-150</c:v>
                </c:pt>
                <c:pt idx="8">
                  <c:v>-125</c:v>
                </c:pt>
                <c:pt idx="9">
                  <c:v>-100</c:v>
                </c:pt>
                <c:pt idx="10">
                  <c:v>-75</c:v>
                </c:pt>
                <c:pt idx="11">
                  <c:v>-50</c:v>
                </c:pt>
                <c:pt idx="12">
                  <c:v>-25</c:v>
                </c:pt>
              </c:numCache>
            </c:numRef>
          </c:xVal>
          <c:yVal>
            <c:numRef>
              <c:f>lockin!$D$2:$D$14</c:f>
              <c:numCache>
                <c:formatCode>General</c:formatCode>
                <c:ptCount val="13"/>
                <c:pt idx="3">
                  <c:v>0.48</c:v>
                </c:pt>
                <c:pt idx="4">
                  <c:v>0.62337000000000009</c:v>
                </c:pt>
                <c:pt idx="5">
                  <c:v>0.67116000000000009</c:v>
                </c:pt>
                <c:pt idx="6">
                  <c:v>0.71070000000000011</c:v>
                </c:pt>
                <c:pt idx="7">
                  <c:v>0.75024000000000002</c:v>
                </c:pt>
                <c:pt idx="8">
                  <c:v>0.79143000000000008</c:v>
                </c:pt>
                <c:pt idx="9">
                  <c:v>0.84784000000000004</c:v>
                </c:pt>
                <c:pt idx="10">
                  <c:v>0.90092000000000005</c:v>
                </c:pt>
                <c:pt idx="11">
                  <c:v>0.95444999999999991</c:v>
                </c:pt>
                <c:pt idx="12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72512"/>
        <c:axId val="276674048"/>
      </c:scatterChart>
      <c:valAx>
        <c:axId val="2766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6674048"/>
        <c:crosses val="autoZero"/>
        <c:crossBetween val="midCat"/>
      </c:valAx>
      <c:valAx>
        <c:axId val="27667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66725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SATO</c:v>
          </c:tx>
          <c:xVal>
            <c:numRef>
              <c:f>'media effect related low'!$D$2:$D$7</c:f>
              <c:numCache>
                <c:formatCode>General</c:formatCode>
                <c:ptCount val="6"/>
                <c:pt idx="0">
                  <c:v>-45</c:v>
                </c:pt>
                <c:pt idx="1">
                  <c:v>-25</c:v>
                </c:pt>
                <c:pt idx="2">
                  <c:v>-15</c:v>
                </c:pt>
                <c:pt idx="3">
                  <c:v>15</c:v>
                </c:pt>
                <c:pt idx="4">
                  <c:v>25</c:v>
                </c:pt>
                <c:pt idx="5">
                  <c:v>45</c:v>
                </c:pt>
              </c:numCache>
            </c:numRef>
          </c:xVal>
          <c:yVal>
            <c:numRef>
              <c:f>'media effect related low'!$E$2:$E$7</c:f>
              <c:numCache>
                <c:formatCode>General</c:formatCode>
                <c:ptCount val="6"/>
                <c:pt idx="0">
                  <c:v>1.28</c:v>
                </c:pt>
                <c:pt idx="1">
                  <c:v>1.28</c:v>
                </c:pt>
                <c:pt idx="2">
                  <c:v>1.24</c:v>
                </c:pt>
                <c:pt idx="3">
                  <c:v>1.05</c:v>
                </c:pt>
                <c:pt idx="4">
                  <c:v>0.75</c:v>
                </c:pt>
                <c:pt idx="5">
                  <c:v>0.75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418560"/>
        <c:axId val="300420096"/>
      </c:scatterChart>
      <c:valAx>
        <c:axId val="30041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420096"/>
        <c:crosses val="autoZero"/>
        <c:crossBetween val="midCat"/>
      </c:valAx>
      <c:valAx>
        <c:axId val="30042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4185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broker</c:v>
          </c:tx>
          <c:xVal>
            <c:numRef>
              <c:f>'media effect related low'!$J$2:$J$6</c:f>
              <c:numCache>
                <c:formatCode>General</c:formatCode>
                <c:ptCount val="5"/>
                <c:pt idx="0">
                  <c:v>0</c:v>
                </c:pt>
                <c:pt idx="1">
                  <c:v>68</c:v>
                </c:pt>
                <c:pt idx="2">
                  <c:v>415</c:v>
                </c:pt>
                <c:pt idx="3">
                  <c:v>435</c:v>
                </c:pt>
                <c:pt idx="4">
                  <c:v>455</c:v>
                </c:pt>
              </c:numCache>
            </c:numRef>
          </c:xVal>
          <c:yVal>
            <c:numRef>
              <c:f>'media effect related low'!$K$2:$K$6</c:f>
              <c:numCache>
                <c:formatCode>General</c:formatCode>
                <c:ptCount val="5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0.73</c:v>
                </c:pt>
                <c:pt idx="4">
                  <c:v>0.73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440576"/>
        <c:axId val="300454656"/>
      </c:scatterChart>
      <c:valAx>
        <c:axId val="3004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454656"/>
        <c:crosses val="autoZero"/>
        <c:crossBetween val="midCat"/>
      </c:valAx>
      <c:valAx>
        <c:axId val="3004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4405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broker</c:v>
          </c:tx>
          <c:xVal>
            <c:numRef>
              <c:f>'media effect related low'!$M$2:$M$8</c:f>
              <c:numCache>
                <c:formatCode>General</c:formatCode>
                <c:ptCount val="7"/>
                <c:pt idx="0">
                  <c:v>0</c:v>
                </c:pt>
                <c:pt idx="1">
                  <c:v>68</c:v>
                </c:pt>
                <c:pt idx="2">
                  <c:v>155</c:v>
                </c:pt>
                <c:pt idx="3">
                  <c:v>195</c:v>
                </c:pt>
                <c:pt idx="4">
                  <c:v>415</c:v>
                </c:pt>
                <c:pt idx="5">
                  <c:v>435</c:v>
                </c:pt>
                <c:pt idx="6">
                  <c:v>455</c:v>
                </c:pt>
              </c:numCache>
            </c:numRef>
          </c:xVal>
          <c:yVal>
            <c:numRef>
              <c:f>'media effect related low'!$N$2:$N$8</c:f>
              <c:numCache>
                <c:formatCode>General</c:formatCode>
                <c:ptCount val="7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0.97</c:v>
                </c:pt>
                <c:pt idx="4">
                  <c:v>0.89</c:v>
                </c:pt>
                <c:pt idx="5">
                  <c:v>0.66</c:v>
                </c:pt>
                <c:pt idx="6">
                  <c:v>0.66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479232"/>
        <c:axId val="300480768"/>
      </c:scatterChart>
      <c:valAx>
        <c:axId val="30047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480768"/>
        <c:crosses val="autoZero"/>
        <c:crossBetween val="midCat"/>
      </c:valAx>
      <c:valAx>
        <c:axId val="30048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479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retail</c:v>
          </c:tx>
          <c:xVal>
            <c:numRef>
              <c:f>'media effect related low'!$P$2:$P$9</c:f>
              <c:numCache>
                <c:formatCode>General</c:formatCode>
                <c:ptCount val="8"/>
                <c:pt idx="0">
                  <c:v>0</c:v>
                </c:pt>
                <c:pt idx="1">
                  <c:v>68</c:v>
                </c:pt>
                <c:pt idx="2">
                  <c:v>155</c:v>
                </c:pt>
                <c:pt idx="3">
                  <c:v>195</c:v>
                </c:pt>
                <c:pt idx="4">
                  <c:v>235</c:v>
                </c:pt>
                <c:pt idx="5">
                  <c:v>415</c:v>
                </c:pt>
                <c:pt idx="6">
                  <c:v>435</c:v>
                </c:pt>
                <c:pt idx="7">
                  <c:v>455</c:v>
                </c:pt>
              </c:numCache>
            </c:numRef>
          </c:xVal>
          <c:yVal>
            <c:numRef>
              <c:f>'media effect related low'!$Q$2:$Q$9</c:f>
              <c:numCache>
                <c:formatCode>General</c:formatCode>
                <c:ptCount val="8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0.93</c:v>
                </c:pt>
                <c:pt idx="4">
                  <c:v>0.89</c:v>
                </c:pt>
                <c:pt idx="5">
                  <c:v>0.87</c:v>
                </c:pt>
                <c:pt idx="6">
                  <c:v>0.85</c:v>
                </c:pt>
                <c:pt idx="7">
                  <c:v>0.85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52512"/>
        <c:axId val="301158400"/>
      </c:scatterChart>
      <c:valAx>
        <c:axId val="30115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158400"/>
        <c:crosses val="autoZero"/>
        <c:crossBetween val="midCat"/>
      </c:valAx>
      <c:valAx>
        <c:axId val="30115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525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</c:v>
          </c:tx>
          <c:xVal>
            <c:numRef>
              <c:f>'media effect related low'!$S$2:$S$9</c:f>
              <c:numCache>
                <c:formatCode>General</c:formatCode>
                <c:ptCount val="8"/>
                <c:pt idx="0">
                  <c:v>0</c:v>
                </c:pt>
                <c:pt idx="1">
                  <c:v>68</c:v>
                </c:pt>
                <c:pt idx="2">
                  <c:v>92</c:v>
                </c:pt>
                <c:pt idx="3">
                  <c:v>124</c:v>
                </c:pt>
                <c:pt idx="4">
                  <c:v>155</c:v>
                </c:pt>
                <c:pt idx="5">
                  <c:v>415</c:v>
                </c:pt>
                <c:pt idx="6">
                  <c:v>435</c:v>
                </c:pt>
                <c:pt idx="7">
                  <c:v>455</c:v>
                </c:pt>
              </c:numCache>
            </c:numRef>
          </c:xVal>
          <c:yVal>
            <c:numRef>
              <c:f>'media effect related low'!$T$2:$T$9</c:f>
              <c:numCache>
                <c:formatCode>General</c:formatCode>
                <c:ptCount val="8"/>
                <c:pt idx="0">
                  <c:v>1.27</c:v>
                </c:pt>
                <c:pt idx="1">
                  <c:v>1.27</c:v>
                </c:pt>
                <c:pt idx="2">
                  <c:v>1.27</c:v>
                </c:pt>
                <c:pt idx="3">
                  <c:v>1.07</c:v>
                </c:pt>
                <c:pt idx="4">
                  <c:v>1</c:v>
                </c:pt>
                <c:pt idx="5">
                  <c:v>1</c:v>
                </c:pt>
                <c:pt idx="6">
                  <c:v>0.81</c:v>
                </c:pt>
                <c:pt idx="7">
                  <c:v>0.81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74784"/>
        <c:axId val="301176320"/>
      </c:scatterChart>
      <c:valAx>
        <c:axId val="30117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176320"/>
        <c:crosses val="autoZero"/>
        <c:crossBetween val="midCat"/>
      </c:valAx>
      <c:valAx>
        <c:axId val="30117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74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FICO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SATO</c:v>
          </c:tx>
          <c:xVal>
            <c:numRef>
              <c:f>'media effect related low'!$A$2:$A$12</c:f>
              <c:numCache>
                <c:formatCode>General</c:formatCode>
                <c:ptCount val="11"/>
                <c:pt idx="0">
                  <c:v>500</c:v>
                </c:pt>
                <c:pt idx="1">
                  <c:v>600</c:v>
                </c:pt>
                <c:pt idx="2">
                  <c:v>620</c:v>
                </c:pt>
                <c:pt idx="3">
                  <c:v>640</c:v>
                </c:pt>
                <c:pt idx="4">
                  <c:v>660</c:v>
                </c:pt>
                <c:pt idx="5">
                  <c:v>680</c:v>
                </c:pt>
                <c:pt idx="6">
                  <c:v>700</c:v>
                </c:pt>
                <c:pt idx="7">
                  <c:v>720</c:v>
                </c:pt>
                <c:pt idx="8">
                  <c:v>740</c:v>
                </c:pt>
                <c:pt idx="9">
                  <c:v>760</c:v>
                </c:pt>
                <c:pt idx="10">
                  <c:v>780</c:v>
                </c:pt>
              </c:numCache>
            </c:numRef>
          </c:xVal>
          <c:yVal>
            <c:numRef>
              <c:f>'media effect related low'!$B$2:$B$12</c:f>
              <c:numCache>
                <c:formatCode>General</c:formatCode>
                <c:ptCount val="11"/>
                <c:pt idx="0">
                  <c:v>0.68</c:v>
                </c:pt>
                <c:pt idx="1">
                  <c:v>0.68</c:v>
                </c:pt>
                <c:pt idx="2">
                  <c:v>0.73</c:v>
                </c:pt>
                <c:pt idx="3">
                  <c:v>0.77</c:v>
                </c:pt>
                <c:pt idx="4">
                  <c:v>0.85</c:v>
                </c:pt>
                <c:pt idx="5">
                  <c:v>0.89</c:v>
                </c:pt>
                <c:pt idx="6">
                  <c:v>1.04</c:v>
                </c:pt>
                <c:pt idx="7">
                  <c:v>1.19</c:v>
                </c:pt>
                <c:pt idx="8">
                  <c:v>1.33</c:v>
                </c:pt>
                <c:pt idx="9">
                  <c:v>1.52</c:v>
                </c:pt>
                <c:pt idx="10">
                  <c:v>1.52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70528"/>
        <c:axId val="301272064"/>
      </c:scatterChart>
      <c:valAx>
        <c:axId val="301270528"/>
        <c:scaling>
          <c:orientation val="minMax"/>
          <c:max val="850"/>
          <c:min val="500"/>
        </c:scaling>
        <c:delete val="0"/>
        <c:axPos val="b"/>
        <c:numFmt formatCode="General" sourceLinked="1"/>
        <c:majorTickMark val="out"/>
        <c:minorTickMark val="none"/>
        <c:tickLblPos val="nextTo"/>
        <c:crossAx val="301272064"/>
        <c:crosses val="autoZero"/>
        <c:crossBetween val="midCat"/>
      </c:valAx>
      <c:valAx>
        <c:axId val="301272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2705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media'!$C$3:$C$15</c:f>
              <c:numCache>
                <c:formatCode>0.000</c:formatCode>
                <c:ptCount val="13"/>
                <c:pt idx="0">
                  <c:v>0</c:v>
                </c:pt>
                <c:pt idx="1">
                  <c:v>0.08</c:v>
                </c:pt>
                <c:pt idx="2">
                  <c:v>0.127</c:v>
                </c:pt>
                <c:pt idx="3">
                  <c:v>0.45400000000000001</c:v>
                </c:pt>
                <c:pt idx="4">
                  <c:v>0.68</c:v>
                </c:pt>
                <c:pt idx="5">
                  <c:v>0.9</c:v>
                </c:pt>
                <c:pt idx="6">
                  <c:v>1.08</c:v>
                </c:pt>
                <c:pt idx="7">
                  <c:v>1.27</c:v>
                </c:pt>
                <c:pt idx="8">
                  <c:v>1.35</c:v>
                </c:pt>
                <c:pt idx="9">
                  <c:v>1.41</c:v>
                </c:pt>
                <c:pt idx="10">
                  <c:v>1.43</c:v>
                </c:pt>
                <c:pt idx="11">
                  <c:v>1.43</c:v>
                </c:pt>
                <c:pt idx="12">
                  <c:v>1.43</c:v>
                </c:pt>
              </c:numCache>
            </c:numRef>
          </c:yVal>
          <c:smooth val="1"/>
        </c:ser>
        <c:ser>
          <c:idx val="1"/>
          <c:order val="1"/>
          <c:tx>
            <c:v>1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media'!$D$3:$D$15</c:f>
              <c:numCache>
                <c:formatCode>0.000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0.10199999999999999</c:v>
                </c:pt>
                <c:pt idx="3">
                  <c:v>0.41799999999999998</c:v>
                </c:pt>
                <c:pt idx="4">
                  <c:v>0.64</c:v>
                </c:pt>
                <c:pt idx="5">
                  <c:v>0.84</c:v>
                </c:pt>
                <c:pt idx="6">
                  <c:v>1.01</c:v>
                </c:pt>
                <c:pt idx="7">
                  <c:v>1.17</c:v>
                </c:pt>
                <c:pt idx="8">
                  <c:v>1.27</c:v>
                </c:pt>
                <c:pt idx="9">
                  <c:v>1.37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</c:numCache>
            </c:numRef>
          </c:yVal>
          <c:smooth val="1"/>
        </c:ser>
        <c:ser>
          <c:idx val="2"/>
          <c:order val="2"/>
          <c:tx>
            <c:v>2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media'!$E$3:$E$15</c:f>
              <c:numCache>
                <c:formatCode>0.000</c:formatCode>
                <c:ptCount val="13"/>
                <c:pt idx="0">
                  <c:v>0</c:v>
                </c:pt>
                <c:pt idx="1">
                  <c:v>9.5999999999999992E-3</c:v>
                </c:pt>
                <c:pt idx="2">
                  <c:v>1.04E-2</c:v>
                </c:pt>
                <c:pt idx="3">
                  <c:v>1.4E-2</c:v>
                </c:pt>
                <c:pt idx="4">
                  <c:v>0.34300000000000003</c:v>
                </c:pt>
                <c:pt idx="5">
                  <c:v>0.504</c:v>
                </c:pt>
                <c:pt idx="6">
                  <c:v>0.80900000000000005</c:v>
                </c:pt>
                <c:pt idx="7">
                  <c:v>1.03</c:v>
                </c:pt>
                <c:pt idx="8">
                  <c:v>1.1499999999999999</c:v>
                </c:pt>
                <c:pt idx="9">
                  <c:v>1.27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</c:numCache>
            </c:numRef>
          </c:yVal>
          <c:smooth val="1"/>
        </c:ser>
        <c:ser>
          <c:idx val="3"/>
          <c:order val="3"/>
          <c:tx>
            <c:v>3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media'!$F$3:$F$15</c:f>
              <c:numCache>
                <c:formatCode>0.000</c:formatCode>
                <c:ptCount val="13"/>
                <c:pt idx="0">
                  <c:v>0</c:v>
                </c:pt>
                <c:pt idx="1">
                  <c:v>8.5000000000000006E-3</c:v>
                </c:pt>
                <c:pt idx="2">
                  <c:v>9.5999999999999992E-3</c:v>
                </c:pt>
                <c:pt idx="3">
                  <c:v>1.17E-2</c:v>
                </c:pt>
                <c:pt idx="4">
                  <c:v>1.26E-2</c:v>
                </c:pt>
                <c:pt idx="5">
                  <c:v>0.158</c:v>
                </c:pt>
                <c:pt idx="6">
                  <c:v>0.57799999999999996</c:v>
                </c:pt>
                <c:pt idx="7">
                  <c:v>0.78</c:v>
                </c:pt>
                <c:pt idx="8">
                  <c:v>0.9</c:v>
                </c:pt>
                <c:pt idx="9">
                  <c:v>0.98</c:v>
                </c:pt>
                <c:pt idx="10">
                  <c:v>1.02</c:v>
                </c:pt>
                <c:pt idx="11">
                  <c:v>1.04</c:v>
                </c:pt>
                <c:pt idx="12">
                  <c:v>1.04</c:v>
                </c:pt>
              </c:numCache>
            </c:numRef>
          </c:yVal>
          <c:smooth val="1"/>
        </c:ser>
        <c:ser>
          <c:idx val="4"/>
          <c:order val="4"/>
          <c:tx>
            <c:v>4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media'!$G$3:$G$15</c:f>
              <c:numCache>
                <c:formatCode>0.000</c:formatCode>
                <c:ptCount val="13"/>
                <c:pt idx="0">
                  <c:v>0</c:v>
                </c:pt>
                <c:pt idx="1">
                  <c:v>8.0000000000000002E-3</c:v>
                </c:pt>
                <c:pt idx="2">
                  <c:v>8.3000000000000001E-3</c:v>
                </c:pt>
                <c:pt idx="3">
                  <c:v>1.1299999999999999E-2</c:v>
                </c:pt>
                <c:pt idx="4">
                  <c:v>1.17E-2</c:v>
                </c:pt>
                <c:pt idx="5">
                  <c:v>7.2900000000000006E-2</c:v>
                </c:pt>
                <c:pt idx="6">
                  <c:v>0.22500000000000001</c:v>
                </c:pt>
                <c:pt idx="7">
                  <c:v>0.46</c:v>
                </c:pt>
                <c:pt idx="8">
                  <c:v>0.68</c:v>
                </c:pt>
                <c:pt idx="9">
                  <c:v>0.88</c:v>
                </c:pt>
                <c:pt idx="10">
                  <c:v>0.96</c:v>
                </c:pt>
                <c:pt idx="11">
                  <c:v>0.98</c:v>
                </c:pt>
                <c:pt idx="12">
                  <c:v>0.98</c:v>
                </c:pt>
              </c:numCache>
            </c:numRef>
          </c:yVal>
          <c:smooth val="1"/>
        </c:ser>
        <c:ser>
          <c:idx val="5"/>
          <c:order val="5"/>
          <c:tx>
            <c:v>5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media'!$H$3:$H$15</c:f>
              <c:numCache>
                <c:formatCode>0.000</c:formatCode>
                <c:ptCount val="13"/>
                <c:pt idx="0">
                  <c:v>0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1.1299999999999999E-2</c:v>
                </c:pt>
                <c:pt idx="5">
                  <c:v>7.0000000000000007E-2</c:v>
                </c:pt>
                <c:pt idx="6">
                  <c:v>0.20300000000000001</c:v>
                </c:pt>
                <c:pt idx="7">
                  <c:v>0.26600000000000001</c:v>
                </c:pt>
                <c:pt idx="8">
                  <c:v>0.316</c:v>
                </c:pt>
                <c:pt idx="9">
                  <c:v>0.41</c:v>
                </c:pt>
                <c:pt idx="10">
                  <c:v>0.46</c:v>
                </c:pt>
                <c:pt idx="11">
                  <c:v>0.48799999999999999</c:v>
                </c:pt>
                <c:pt idx="12">
                  <c:v>0.48799999999999999</c:v>
                </c:pt>
              </c:numCache>
            </c:numRef>
          </c:yVal>
          <c:smooth val="1"/>
        </c:ser>
        <c:ser>
          <c:idx val="6"/>
          <c:order val="6"/>
          <c:tx>
            <c:v>6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media'!$I$3:$I$15</c:f>
              <c:numCache>
                <c:formatCode>0.000</c:formatCode>
                <c:ptCount val="13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4.8000000000000001E-2</c:v>
                </c:pt>
                <c:pt idx="6">
                  <c:v>0.14399999999999999</c:v>
                </c:pt>
                <c:pt idx="7">
                  <c:v>0.25600000000000001</c:v>
                </c:pt>
                <c:pt idx="8">
                  <c:v>0.26300000000000001</c:v>
                </c:pt>
                <c:pt idx="9">
                  <c:v>0.27100000000000002</c:v>
                </c:pt>
                <c:pt idx="10">
                  <c:v>0.39200000000000002</c:v>
                </c:pt>
                <c:pt idx="11">
                  <c:v>0.41599999999999998</c:v>
                </c:pt>
                <c:pt idx="12">
                  <c:v>0.41599999999999998</c:v>
                </c:pt>
              </c:numCache>
            </c:numRef>
          </c:yVal>
          <c:smooth val="1"/>
        </c:ser>
        <c:ser>
          <c:idx val="7"/>
          <c:order val="7"/>
          <c:tx>
            <c:v>7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media'!$J$3:$J$15</c:f>
              <c:numCache>
                <c:formatCode>0.000</c:formatCode>
                <c:ptCount val="13"/>
                <c:pt idx="0">
                  <c:v>0</c:v>
                </c:pt>
                <c:pt idx="1">
                  <c:v>2E-3</c:v>
                </c:pt>
                <c:pt idx="2">
                  <c:v>2.5999999999999999E-3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0.04</c:v>
                </c:pt>
                <c:pt idx="6">
                  <c:v>0.115</c:v>
                </c:pt>
                <c:pt idx="7">
                  <c:v>0.192</c:v>
                </c:pt>
                <c:pt idx="8">
                  <c:v>0.26</c:v>
                </c:pt>
                <c:pt idx="9">
                  <c:v>0.26500000000000001</c:v>
                </c:pt>
                <c:pt idx="10">
                  <c:v>0.308</c:v>
                </c:pt>
                <c:pt idx="11">
                  <c:v>0.32100000000000001</c:v>
                </c:pt>
                <c:pt idx="12">
                  <c:v>0.32100000000000001</c:v>
                </c:pt>
              </c:numCache>
            </c:numRef>
          </c:yVal>
          <c:smooth val="1"/>
        </c:ser>
        <c:ser>
          <c:idx val="8"/>
          <c:order val="8"/>
          <c:tx>
            <c:v>8</c:v>
          </c:tx>
          <c:xVal>
            <c:numRef>
              <c:f>'low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'low media'!$K$3:$K$15</c:f>
              <c:numCache>
                <c:formatCode>0.000</c:formatCode>
                <c:ptCount val="13"/>
                <c:pt idx="0">
                  <c:v>0</c:v>
                </c:pt>
                <c:pt idx="1">
                  <c:v>1E-3</c:v>
                </c:pt>
                <c:pt idx="2">
                  <c:v>1.1000000000000001E-3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3.2000000000000001E-2</c:v>
                </c:pt>
                <c:pt idx="6">
                  <c:v>0.107</c:v>
                </c:pt>
                <c:pt idx="7">
                  <c:v>0.188</c:v>
                </c:pt>
                <c:pt idx="8">
                  <c:v>0.25800000000000001</c:v>
                </c:pt>
                <c:pt idx="9">
                  <c:v>0.26100000000000001</c:v>
                </c:pt>
                <c:pt idx="10">
                  <c:v>0.29399999999999998</c:v>
                </c:pt>
                <c:pt idx="11">
                  <c:v>0.30199999999999999</c:v>
                </c:pt>
                <c:pt idx="12">
                  <c:v>0.30199999999999999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492096"/>
        <c:axId val="301493632"/>
      </c:scatterChart>
      <c:valAx>
        <c:axId val="30149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493632"/>
        <c:crosses val="autoZero"/>
        <c:crossBetween val="midCat"/>
      </c:valAx>
      <c:valAx>
        <c:axId val="30149363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14920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media'!$C$5:$L$5</c:f>
              <c:numCache>
                <c:formatCode>0.000</c:formatCode>
                <c:ptCount val="10"/>
                <c:pt idx="0">
                  <c:v>0.127</c:v>
                </c:pt>
                <c:pt idx="1">
                  <c:v>0.10199999999999999</c:v>
                </c:pt>
                <c:pt idx="2">
                  <c:v>1.04E-2</c:v>
                </c:pt>
                <c:pt idx="3">
                  <c:v>9.5999999999999992E-3</c:v>
                </c:pt>
                <c:pt idx="4">
                  <c:v>8.3000000000000001E-3</c:v>
                </c:pt>
                <c:pt idx="5">
                  <c:v>7.0000000000000001E-3</c:v>
                </c:pt>
                <c:pt idx="6">
                  <c:v>5.0000000000000001E-3</c:v>
                </c:pt>
                <c:pt idx="7">
                  <c:v>2.5999999999999999E-3</c:v>
                </c:pt>
                <c:pt idx="8">
                  <c:v>1.1000000000000001E-3</c:v>
                </c:pt>
                <c:pt idx="9">
                  <c:v>1.1000000000000001E-3</c:v>
                </c:pt>
              </c:numCache>
            </c:numRef>
          </c:yVal>
          <c:smooth val="1"/>
        </c:ser>
        <c:ser>
          <c:idx val="1"/>
          <c:order val="1"/>
          <c:tx>
            <c:v>39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media'!$C$6:$L$6</c:f>
              <c:numCache>
                <c:formatCode>0.000</c:formatCode>
                <c:ptCount val="10"/>
                <c:pt idx="0">
                  <c:v>0.45400000000000001</c:v>
                </c:pt>
                <c:pt idx="1">
                  <c:v>0.41799999999999998</c:v>
                </c:pt>
                <c:pt idx="2">
                  <c:v>1.4E-2</c:v>
                </c:pt>
                <c:pt idx="3">
                  <c:v>1.17E-2</c:v>
                </c:pt>
                <c:pt idx="4">
                  <c:v>1.1299999999999999E-2</c:v>
                </c:pt>
                <c:pt idx="5">
                  <c:v>1.0999999999999999E-2</c:v>
                </c:pt>
                <c:pt idx="6">
                  <c:v>0.01</c:v>
                </c:pt>
                <c:pt idx="7">
                  <c:v>8.0000000000000002E-3</c:v>
                </c:pt>
                <c:pt idx="8">
                  <c:v>6.0000000000000001E-3</c:v>
                </c:pt>
                <c:pt idx="9">
                  <c:v>6.0000000000000001E-3</c:v>
                </c:pt>
              </c:numCache>
            </c:numRef>
          </c:yVal>
          <c:smooth val="1"/>
        </c:ser>
        <c:ser>
          <c:idx val="2"/>
          <c:order val="2"/>
          <c:tx>
            <c:v>61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media'!$C$7:$L$7</c:f>
              <c:numCache>
                <c:formatCode>0.000</c:formatCode>
                <c:ptCount val="10"/>
                <c:pt idx="0">
                  <c:v>0.68</c:v>
                </c:pt>
                <c:pt idx="1">
                  <c:v>0.64</c:v>
                </c:pt>
                <c:pt idx="2">
                  <c:v>0.34300000000000003</c:v>
                </c:pt>
                <c:pt idx="3">
                  <c:v>1.26E-2</c:v>
                </c:pt>
                <c:pt idx="4">
                  <c:v>1.17E-2</c:v>
                </c:pt>
                <c:pt idx="5">
                  <c:v>1.1299999999999999E-2</c:v>
                </c:pt>
                <c:pt idx="6">
                  <c:v>1.0999999999999999E-2</c:v>
                </c:pt>
                <c:pt idx="7">
                  <c:v>0.01</c:v>
                </c:pt>
                <c:pt idx="8">
                  <c:v>8.0000000000000002E-3</c:v>
                </c:pt>
                <c:pt idx="9">
                  <c:v>8.0000000000000002E-3</c:v>
                </c:pt>
              </c:numCache>
            </c:numRef>
          </c:yVal>
          <c:smooth val="1"/>
        </c:ser>
        <c:ser>
          <c:idx val="3"/>
          <c:order val="3"/>
          <c:tx>
            <c:v>82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media'!$C$8:$L$8</c:f>
              <c:numCache>
                <c:formatCode>0.000</c:formatCode>
                <c:ptCount val="10"/>
                <c:pt idx="0">
                  <c:v>0.9</c:v>
                </c:pt>
                <c:pt idx="1">
                  <c:v>0.84</c:v>
                </c:pt>
                <c:pt idx="2">
                  <c:v>0.504</c:v>
                </c:pt>
                <c:pt idx="3">
                  <c:v>0.158</c:v>
                </c:pt>
                <c:pt idx="4">
                  <c:v>7.2900000000000006E-2</c:v>
                </c:pt>
                <c:pt idx="5">
                  <c:v>7.0000000000000007E-2</c:v>
                </c:pt>
                <c:pt idx="6">
                  <c:v>4.8000000000000001E-2</c:v>
                </c:pt>
                <c:pt idx="7">
                  <c:v>0.04</c:v>
                </c:pt>
                <c:pt idx="8">
                  <c:v>3.2000000000000001E-2</c:v>
                </c:pt>
                <c:pt idx="9">
                  <c:v>3.2000000000000001E-2</c:v>
                </c:pt>
              </c:numCache>
            </c:numRef>
          </c:yVal>
          <c:smooth val="1"/>
        </c:ser>
        <c:ser>
          <c:idx val="4"/>
          <c:order val="4"/>
          <c:tx>
            <c:v>106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media'!$C$9:$L$9</c:f>
              <c:numCache>
                <c:formatCode>0.000</c:formatCode>
                <c:ptCount val="10"/>
                <c:pt idx="0">
                  <c:v>1.08</c:v>
                </c:pt>
                <c:pt idx="1">
                  <c:v>1.01</c:v>
                </c:pt>
                <c:pt idx="2">
                  <c:v>0.80900000000000005</c:v>
                </c:pt>
                <c:pt idx="3">
                  <c:v>0.57799999999999996</c:v>
                </c:pt>
                <c:pt idx="4">
                  <c:v>0.22500000000000001</c:v>
                </c:pt>
                <c:pt idx="5">
                  <c:v>0.20300000000000001</c:v>
                </c:pt>
                <c:pt idx="6">
                  <c:v>0.14399999999999999</c:v>
                </c:pt>
                <c:pt idx="7">
                  <c:v>0.115</c:v>
                </c:pt>
                <c:pt idx="8">
                  <c:v>0.107</c:v>
                </c:pt>
                <c:pt idx="9">
                  <c:v>0.107</c:v>
                </c:pt>
              </c:numCache>
            </c:numRef>
          </c:yVal>
          <c:smooth val="1"/>
        </c:ser>
        <c:ser>
          <c:idx val="5"/>
          <c:order val="5"/>
          <c:tx>
            <c:v>138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media'!$C$10:$L$10</c:f>
              <c:numCache>
                <c:formatCode>0.000</c:formatCode>
                <c:ptCount val="10"/>
                <c:pt idx="0">
                  <c:v>1.27</c:v>
                </c:pt>
                <c:pt idx="1">
                  <c:v>1.17</c:v>
                </c:pt>
                <c:pt idx="2">
                  <c:v>1.03</c:v>
                </c:pt>
                <c:pt idx="3">
                  <c:v>0.78</c:v>
                </c:pt>
                <c:pt idx="4">
                  <c:v>0.46</c:v>
                </c:pt>
                <c:pt idx="5">
                  <c:v>0.26600000000000001</c:v>
                </c:pt>
                <c:pt idx="6">
                  <c:v>0.25600000000000001</c:v>
                </c:pt>
                <c:pt idx="7">
                  <c:v>0.192</c:v>
                </c:pt>
                <c:pt idx="8">
                  <c:v>0.188</c:v>
                </c:pt>
                <c:pt idx="9">
                  <c:v>0.188</c:v>
                </c:pt>
              </c:numCache>
            </c:numRef>
          </c:yVal>
          <c:smooth val="1"/>
        </c:ser>
        <c:ser>
          <c:idx val="6"/>
          <c:order val="6"/>
          <c:tx>
            <c:v>159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media'!$C$11:$L$11</c:f>
              <c:numCache>
                <c:formatCode>0.000</c:formatCode>
                <c:ptCount val="10"/>
                <c:pt idx="0">
                  <c:v>1.35</c:v>
                </c:pt>
                <c:pt idx="1">
                  <c:v>1.27</c:v>
                </c:pt>
                <c:pt idx="2">
                  <c:v>1.1499999999999999</c:v>
                </c:pt>
                <c:pt idx="3">
                  <c:v>0.9</c:v>
                </c:pt>
                <c:pt idx="4">
                  <c:v>0.68</c:v>
                </c:pt>
                <c:pt idx="5">
                  <c:v>0.316</c:v>
                </c:pt>
                <c:pt idx="6">
                  <c:v>0.26300000000000001</c:v>
                </c:pt>
                <c:pt idx="7">
                  <c:v>0.26</c:v>
                </c:pt>
                <c:pt idx="8">
                  <c:v>0.25800000000000001</c:v>
                </c:pt>
                <c:pt idx="9">
                  <c:v>0.25800000000000001</c:v>
                </c:pt>
              </c:numCache>
            </c:numRef>
          </c:yVal>
          <c:smooth val="1"/>
        </c:ser>
        <c:ser>
          <c:idx val="7"/>
          <c:order val="7"/>
          <c:tx>
            <c:v>187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media'!$C$12:$L$12</c:f>
              <c:numCache>
                <c:formatCode>0.000</c:formatCode>
                <c:ptCount val="10"/>
                <c:pt idx="0">
                  <c:v>1.41</c:v>
                </c:pt>
                <c:pt idx="1">
                  <c:v>1.37</c:v>
                </c:pt>
                <c:pt idx="2">
                  <c:v>1.27</c:v>
                </c:pt>
                <c:pt idx="3">
                  <c:v>0.98</c:v>
                </c:pt>
                <c:pt idx="4">
                  <c:v>0.88</c:v>
                </c:pt>
                <c:pt idx="5">
                  <c:v>0.41</c:v>
                </c:pt>
                <c:pt idx="6">
                  <c:v>0.27100000000000002</c:v>
                </c:pt>
                <c:pt idx="7">
                  <c:v>0.26500000000000001</c:v>
                </c:pt>
                <c:pt idx="8">
                  <c:v>0.26100000000000001</c:v>
                </c:pt>
                <c:pt idx="9">
                  <c:v>0.26100000000000001</c:v>
                </c:pt>
              </c:numCache>
            </c:numRef>
          </c:yVal>
          <c:smooth val="1"/>
        </c:ser>
        <c:ser>
          <c:idx val="8"/>
          <c:order val="8"/>
          <c:tx>
            <c:v>209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media'!$C$13:$L$13</c:f>
              <c:numCache>
                <c:formatCode>0.000</c:formatCode>
                <c:ptCount val="10"/>
                <c:pt idx="0">
                  <c:v>1.43</c:v>
                </c:pt>
                <c:pt idx="1">
                  <c:v>1.4</c:v>
                </c:pt>
                <c:pt idx="2">
                  <c:v>1.3</c:v>
                </c:pt>
                <c:pt idx="3">
                  <c:v>1.02</c:v>
                </c:pt>
                <c:pt idx="4">
                  <c:v>0.96</c:v>
                </c:pt>
                <c:pt idx="5">
                  <c:v>0.46</c:v>
                </c:pt>
                <c:pt idx="6">
                  <c:v>0.39200000000000002</c:v>
                </c:pt>
                <c:pt idx="7">
                  <c:v>0.308</c:v>
                </c:pt>
                <c:pt idx="8">
                  <c:v>0.29399999999999998</c:v>
                </c:pt>
                <c:pt idx="9">
                  <c:v>0.29399999999999998</c:v>
                </c:pt>
              </c:numCache>
            </c:numRef>
          </c:yVal>
          <c:smooth val="1"/>
        </c:ser>
        <c:ser>
          <c:idx val="9"/>
          <c:order val="9"/>
          <c:tx>
            <c:v>225</c:v>
          </c:tx>
          <c:xVal>
            <c:numRef>
              <c:f>'low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media'!$C$14:$L$14</c:f>
              <c:numCache>
                <c:formatCode>0.000</c:formatCode>
                <c:ptCount val="10"/>
                <c:pt idx="0">
                  <c:v>1.43</c:v>
                </c:pt>
                <c:pt idx="1">
                  <c:v>1.4</c:v>
                </c:pt>
                <c:pt idx="2">
                  <c:v>1.3</c:v>
                </c:pt>
                <c:pt idx="3">
                  <c:v>1.04</c:v>
                </c:pt>
                <c:pt idx="4">
                  <c:v>0.98</c:v>
                </c:pt>
                <c:pt idx="5">
                  <c:v>0.48799999999999999</c:v>
                </c:pt>
                <c:pt idx="6">
                  <c:v>0.41599999999999998</c:v>
                </c:pt>
                <c:pt idx="7">
                  <c:v>0.32100000000000001</c:v>
                </c:pt>
                <c:pt idx="8">
                  <c:v>0.30199999999999999</c:v>
                </c:pt>
                <c:pt idx="9">
                  <c:v>0.30199999999999999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755200"/>
        <c:axId val="300761088"/>
      </c:scatterChart>
      <c:valAx>
        <c:axId val="30075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761088"/>
        <c:crosses val="autoZero"/>
        <c:crossBetween val="midCat"/>
      </c:valAx>
      <c:valAx>
        <c:axId val="30076108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0755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media'!$C$3:$C$15</c:f>
              <c:numCache>
                <c:formatCode>0.000</c:formatCode>
                <c:ptCount val="13"/>
                <c:pt idx="0">
                  <c:v>0</c:v>
                </c:pt>
                <c:pt idx="1">
                  <c:v>2.5999999999999999E-2</c:v>
                </c:pt>
                <c:pt idx="2">
                  <c:v>9.0999999999999998E-2</c:v>
                </c:pt>
                <c:pt idx="3">
                  <c:v>9.2999999999999999E-2</c:v>
                </c:pt>
                <c:pt idx="4">
                  <c:v>0.11899999999999999</c:v>
                </c:pt>
                <c:pt idx="5">
                  <c:v>0.19800000000000001</c:v>
                </c:pt>
                <c:pt idx="6">
                  <c:v>0.47099999999999997</c:v>
                </c:pt>
                <c:pt idx="7">
                  <c:v>1.002</c:v>
                </c:pt>
                <c:pt idx="8">
                  <c:v>1.4079999999999999</c:v>
                </c:pt>
                <c:pt idx="9">
                  <c:v>1.536</c:v>
                </c:pt>
                <c:pt idx="10">
                  <c:v>1.5680000000000001</c:v>
                </c:pt>
                <c:pt idx="11">
                  <c:v>1.5680000000000001</c:v>
                </c:pt>
                <c:pt idx="12">
                  <c:v>1.5680000000000001</c:v>
                </c:pt>
              </c:numCache>
            </c:numRef>
          </c:yVal>
          <c:smooth val="1"/>
        </c:ser>
        <c:ser>
          <c:idx val="1"/>
          <c:order val="1"/>
          <c:tx>
            <c:v>1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media'!$D$3:$D$15</c:f>
              <c:numCache>
                <c:formatCode>0.000</c:formatCode>
                <c:ptCount val="13"/>
                <c:pt idx="0">
                  <c:v>0</c:v>
                </c:pt>
                <c:pt idx="1">
                  <c:v>2.5000000000000001E-2</c:v>
                </c:pt>
                <c:pt idx="2">
                  <c:v>8.6999999999999994E-2</c:v>
                </c:pt>
                <c:pt idx="3">
                  <c:v>9.0999999999999998E-2</c:v>
                </c:pt>
                <c:pt idx="4">
                  <c:v>0.11799999999999999</c:v>
                </c:pt>
                <c:pt idx="5">
                  <c:v>0.19400000000000001</c:v>
                </c:pt>
                <c:pt idx="6">
                  <c:v>0.45700000000000002</c:v>
                </c:pt>
                <c:pt idx="7">
                  <c:v>0.998</c:v>
                </c:pt>
                <c:pt idx="8">
                  <c:v>1.361</c:v>
                </c:pt>
                <c:pt idx="9">
                  <c:v>1.488</c:v>
                </c:pt>
                <c:pt idx="10">
                  <c:v>1.528</c:v>
                </c:pt>
                <c:pt idx="11">
                  <c:v>1.528</c:v>
                </c:pt>
                <c:pt idx="12">
                  <c:v>1.528</c:v>
                </c:pt>
              </c:numCache>
            </c:numRef>
          </c:yVal>
          <c:smooth val="1"/>
        </c:ser>
        <c:ser>
          <c:idx val="2"/>
          <c:order val="2"/>
          <c:tx>
            <c:v>2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media'!$E$3:$E$15</c:f>
              <c:numCache>
                <c:formatCode>0.000</c:formatCode>
                <c:ptCount val="13"/>
                <c:pt idx="0">
                  <c:v>0</c:v>
                </c:pt>
                <c:pt idx="1">
                  <c:v>1.2E-2</c:v>
                </c:pt>
                <c:pt idx="2">
                  <c:v>1.2999999999999999E-2</c:v>
                </c:pt>
                <c:pt idx="3">
                  <c:v>1.4E-2</c:v>
                </c:pt>
                <c:pt idx="4">
                  <c:v>8.4000000000000005E-2</c:v>
                </c:pt>
                <c:pt idx="5">
                  <c:v>9.6000000000000002E-2</c:v>
                </c:pt>
                <c:pt idx="6">
                  <c:v>0.23699999999999999</c:v>
                </c:pt>
                <c:pt idx="7">
                  <c:v>0.77800000000000002</c:v>
                </c:pt>
                <c:pt idx="8">
                  <c:v>1.103</c:v>
                </c:pt>
                <c:pt idx="9">
                  <c:v>1.1559999999999999</c:v>
                </c:pt>
                <c:pt idx="10">
                  <c:v>1.1859999999999999</c:v>
                </c:pt>
                <c:pt idx="11">
                  <c:v>1.1859999999999999</c:v>
                </c:pt>
                <c:pt idx="12">
                  <c:v>1.1859999999999999</c:v>
                </c:pt>
              </c:numCache>
            </c:numRef>
          </c:yVal>
          <c:smooth val="1"/>
        </c:ser>
        <c:ser>
          <c:idx val="3"/>
          <c:order val="3"/>
          <c:tx>
            <c:v>3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media'!$F$3:$F$15</c:f>
              <c:numCache>
                <c:formatCode>0.000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1.2E-2</c:v>
                </c:pt>
                <c:pt idx="3">
                  <c:v>1.2999999999999999E-2</c:v>
                </c:pt>
                <c:pt idx="4">
                  <c:v>1.4E-2</c:v>
                </c:pt>
                <c:pt idx="5">
                  <c:v>9.4E-2</c:v>
                </c:pt>
                <c:pt idx="6">
                  <c:v>0.23499999999999999</c:v>
                </c:pt>
                <c:pt idx="7">
                  <c:v>0.32700000000000001</c:v>
                </c:pt>
                <c:pt idx="8">
                  <c:v>0.86699999999999999</c:v>
                </c:pt>
                <c:pt idx="9">
                  <c:v>0.96699999999999997</c:v>
                </c:pt>
                <c:pt idx="10">
                  <c:v>0.99399999999999999</c:v>
                </c:pt>
                <c:pt idx="11">
                  <c:v>0.997</c:v>
                </c:pt>
                <c:pt idx="12">
                  <c:v>0.997</c:v>
                </c:pt>
              </c:numCache>
            </c:numRef>
          </c:yVal>
          <c:smooth val="1"/>
        </c:ser>
        <c:ser>
          <c:idx val="4"/>
          <c:order val="4"/>
          <c:tx>
            <c:v>4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media'!$G$3:$G$15</c:f>
              <c:numCache>
                <c:formatCode>0.000</c:formatCode>
                <c:ptCount val="13"/>
                <c:pt idx="0">
                  <c:v>0</c:v>
                </c:pt>
                <c:pt idx="1">
                  <c:v>8.0000000000000002E-3</c:v>
                </c:pt>
                <c:pt idx="2">
                  <c:v>0.01</c:v>
                </c:pt>
                <c:pt idx="3">
                  <c:v>1.2E-2</c:v>
                </c:pt>
                <c:pt idx="4">
                  <c:v>1.2999999999999999E-2</c:v>
                </c:pt>
                <c:pt idx="5">
                  <c:v>8.1000000000000003E-2</c:v>
                </c:pt>
                <c:pt idx="6">
                  <c:v>0.23400000000000001</c:v>
                </c:pt>
                <c:pt idx="7">
                  <c:v>0.27500000000000002</c:v>
                </c:pt>
                <c:pt idx="8">
                  <c:v>0.78300000000000003</c:v>
                </c:pt>
                <c:pt idx="9">
                  <c:v>0.86399999999999999</c:v>
                </c:pt>
                <c:pt idx="10">
                  <c:v>0.99099999999999999</c:v>
                </c:pt>
                <c:pt idx="11">
                  <c:v>0.995</c:v>
                </c:pt>
                <c:pt idx="12">
                  <c:v>0.995</c:v>
                </c:pt>
              </c:numCache>
            </c:numRef>
          </c:yVal>
          <c:smooth val="1"/>
        </c:ser>
        <c:ser>
          <c:idx val="5"/>
          <c:order val="5"/>
          <c:tx>
            <c:v>5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media'!$H$3:$H$15</c:f>
              <c:numCache>
                <c:formatCode>0.000</c:formatCode>
                <c:ptCount val="13"/>
                <c:pt idx="0">
                  <c:v>0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1.2E-2</c:v>
                </c:pt>
                <c:pt idx="5">
                  <c:v>7.2999999999999995E-2</c:v>
                </c:pt>
                <c:pt idx="6">
                  <c:v>0.23300000000000001</c:v>
                </c:pt>
                <c:pt idx="7">
                  <c:v>0.27300000000000002</c:v>
                </c:pt>
                <c:pt idx="8">
                  <c:v>0.77600000000000002</c:v>
                </c:pt>
                <c:pt idx="9">
                  <c:v>0.86199999999999999</c:v>
                </c:pt>
                <c:pt idx="10">
                  <c:v>0.98899999999999999</c:v>
                </c:pt>
                <c:pt idx="11">
                  <c:v>0.99299999999999999</c:v>
                </c:pt>
                <c:pt idx="12">
                  <c:v>0.99299999999999999</c:v>
                </c:pt>
              </c:numCache>
            </c:numRef>
          </c:yVal>
          <c:smooth val="1"/>
        </c:ser>
        <c:ser>
          <c:idx val="6"/>
          <c:order val="6"/>
          <c:tx>
            <c:v>6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media'!$I$3:$I$15</c:f>
              <c:numCache>
                <c:formatCode>0.000</c:formatCode>
                <c:ptCount val="13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4.8000000000000001E-2</c:v>
                </c:pt>
                <c:pt idx="6">
                  <c:v>0.23100000000000001</c:v>
                </c:pt>
                <c:pt idx="7">
                  <c:v>0.25900000000000001</c:v>
                </c:pt>
                <c:pt idx="8">
                  <c:v>0.46200000000000002</c:v>
                </c:pt>
                <c:pt idx="9">
                  <c:v>0.85899999999999999</c:v>
                </c:pt>
                <c:pt idx="10">
                  <c:v>0.98699999999999999</c:v>
                </c:pt>
                <c:pt idx="11">
                  <c:v>0.99099999999999999</c:v>
                </c:pt>
                <c:pt idx="12">
                  <c:v>0.99099999999999999</c:v>
                </c:pt>
              </c:numCache>
            </c:numRef>
          </c:yVal>
          <c:smooth val="1"/>
        </c:ser>
        <c:ser>
          <c:idx val="7"/>
          <c:order val="7"/>
          <c:tx>
            <c:v>7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media'!$J$3:$J$15</c:f>
              <c:numCache>
                <c:formatCode>0.000</c:formatCode>
                <c:ptCount val="13"/>
                <c:pt idx="0">
                  <c:v>0</c:v>
                </c:pt>
                <c:pt idx="1">
                  <c:v>2E-3</c:v>
                </c:pt>
                <c:pt idx="2">
                  <c:v>2.5999999999999999E-3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0.04</c:v>
                </c:pt>
                <c:pt idx="6">
                  <c:v>0.16</c:v>
                </c:pt>
                <c:pt idx="7">
                  <c:v>0.24</c:v>
                </c:pt>
                <c:pt idx="8">
                  <c:v>0.31</c:v>
                </c:pt>
                <c:pt idx="9">
                  <c:v>0.72099999999999997</c:v>
                </c:pt>
                <c:pt idx="10">
                  <c:v>0.98499999999999999</c:v>
                </c:pt>
                <c:pt idx="11">
                  <c:v>0.98899999999999999</c:v>
                </c:pt>
                <c:pt idx="12">
                  <c:v>0.98899999999999999</c:v>
                </c:pt>
              </c:numCache>
            </c:numRef>
          </c:yVal>
          <c:smooth val="1"/>
        </c:ser>
        <c:ser>
          <c:idx val="8"/>
          <c:order val="8"/>
          <c:tx>
            <c:v>8</c:v>
          </c:tx>
          <c:xVal>
            <c:numRef>
              <c:f>'mid media'!$B$3:$B$15</c:f>
              <c:numCache>
                <c:formatCode>General</c:formatCode>
                <c:ptCount val="13"/>
                <c:pt idx="0">
                  <c:v>-25</c:v>
                </c:pt>
                <c:pt idx="1">
                  <c:v>-10</c:v>
                </c:pt>
                <c:pt idx="2">
                  <c:v>12</c:v>
                </c:pt>
                <c:pt idx="3">
                  <c:v>39</c:v>
                </c:pt>
                <c:pt idx="4">
                  <c:v>61</c:v>
                </c:pt>
                <c:pt idx="5">
                  <c:v>82</c:v>
                </c:pt>
                <c:pt idx="6">
                  <c:v>106</c:v>
                </c:pt>
                <c:pt idx="7">
                  <c:v>138</c:v>
                </c:pt>
                <c:pt idx="8">
                  <c:v>159</c:v>
                </c:pt>
                <c:pt idx="9">
                  <c:v>187</c:v>
                </c:pt>
                <c:pt idx="10">
                  <c:v>209</c:v>
                </c:pt>
                <c:pt idx="11">
                  <c:v>225</c:v>
                </c:pt>
                <c:pt idx="12">
                  <c:v>250</c:v>
                </c:pt>
              </c:numCache>
            </c:numRef>
          </c:xVal>
          <c:yVal>
            <c:numRef>
              <c:f>'mid media'!$K$3:$K$15</c:f>
              <c:numCache>
                <c:formatCode>0.000</c:formatCode>
                <c:ptCount val="13"/>
                <c:pt idx="0">
                  <c:v>0</c:v>
                </c:pt>
                <c:pt idx="1">
                  <c:v>1E-3</c:v>
                </c:pt>
                <c:pt idx="2">
                  <c:v>1.1000000000000001E-3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3.2000000000000001E-2</c:v>
                </c:pt>
                <c:pt idx="6">
                  <c:v>0.14000000000000001</c:v>
                </c:pt>
                <c:pt idx="7">
                  <c:v>0.22</c:v>
                </c:pt>
                <c:pt idx="8">
                  <c:v>0.28999999999999998</c:v>
                </c:pt>
                <c:pt idx="9">
                  <c:v>0.49</c:v>
                </c:pt>
                <c:pt idx="10">
                  <c:v>0.75800000000000001</c:v>
                </c:pt>
                <c:pt idx="11">
                  <c:v>0.91500000000000004</c:v>
                </c:pt>
                <c:pt idx="12">
                  <c:v>0.91500000000000004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78080"/>
        <c:axId val="300888064"/>
      </c:scatterChart>
      <c:valAx>
        <c:axId val="30087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888064"/>
        <c:crosses val="autoZero"/>
        <c:crossBetween val="midCat"/>
      </c:valAx>
      <c:valAx>
        <c:axId val="30088806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0878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media'!$C$5:$L$5</c:f>
              <c:numCache>
                <c:formatCode>0.000</c:formatCode>
                <c:ptCount val="10"/>
                <c:pt idx="0">
                  <c:v>9.0999999999999998E-2</c:v>
                </c:pt>
                <c:pt idx="1">
                  <c:v>8.6999999999999994E-2</c:v>
                </c:pt>
                <c:pt idx="2">
                  <c:v>1.2999999999999999E-2</c:v>
                </c:pt>
                <c:pt idx="3">
                  <c:v>1.2E-2</c:v>
                </c:pt>
                <c:pt idx="4">
                  <c:v>0.01</c:v>
                </c:pt>
                <c:pt idx="5">
                  <c:v>7.0000000000000001E-3</c:v>
                </c:pt>
                <c:pt idx="6">
                  <c:v>5.0000000000000001E-3</c:v>
                </c:pt>
                <c:pt idx="7">
                  <c:v>2.5999999999999999E-3</c:v>
                </c:pt>
                <c:pt idx="8">
                  <c:v>1.1000000000000001E-3</c:v>
                </c:pt>
                <c:pt idx="9">
                  <c:v>1.1000000000000001E-3</c:v>
                </c:pt>
              </c:numCache>
            </c:numRef>
          </c:yVal>
          <c:smooth val="1"/>
        </c:ser>
        <c:ser>
          <c:idx val="1"/>
          <c:order val="1"/>
          <c:tx>
            <c:v>39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media'!$C$6:$L$6</c:f>
              <c:numCache>
                <c:formatCode>0.000</c:formatCode>
                <c:ptCount val="10"/>
                <c:pt idx="0">
                  <c:v>9.2999999999999999E-2</c:v>
                </c:pt>
                <c:pt idx="1">
                  <c:v>9.0999999999999998E-2</c:v>
                </c:pt>
                <c:pt idx="2">
                  <c:v>1.4E-2</c:v>
                </c:pt>
                <c:pt idx="3">
                  <c:v>1.2999999999999999E-2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0.01</c:v>
                </c:pt>
                <c:pt idx="7">
                  <c:v>8.0000000000000002E-3</c:v>
                </c:pt>
                <c:pt idx="8">
                  <c:v>6.0000000000000001E-3</c:v>
                </c:pt>
                <c:pt idx="9">
                  <c:v>6.0000000000000001E-3</c:v>
                </c:pt>
              </c:numCache>
            </c:numRef>
          </c:yVal>
          <c:smooth val="1"/>
        </c:ser>
        <c:ser>
          <c:idx val="2"/>
          <c:order val="2"/>
          <c:tx>
            <c:v>61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media'!$C$7:$L$7</c:f>
              <c:numCache>
                <c:formatCode>0.000</c:formatCode>
                <c:ptCount val="10"/>
                <c:pt idx="0">
                  <c:v>0.11899999999999999</c:v>
                </c:pt>
                <c:pt idx="1">
                  <c:v>0.11799999999999999</c:v>
                </c:pt>
                <c:pt idx="2">
                  <c:v>8.4000000000000005E-2</c:v>
                </c:pt>
                <c:pt idx="3">
                  <c:v>1.4E-2</c:v>
                </c:pt>
                <c:pt idx="4">
                  <c:v>1.2999999999999999E-2</c:v>
                </c:pt>
                <c:pt idx="5">
                  <c:v>1.2E-2</c:v>
                </c:pt>
                <c:pt idx="6">
                  <c:v>1.0999999999999999E-2</c:v>
                </c:pt>
                <c:pt idx="7">
                  <c:v>0.01</c:v>
                </c:pt>
                <c:pt idx="8">
                  <c:v>8.0000000000000002E-3</c:v>
                </c:pt>
                <c:pt idx="9">
                  <c:v>8.0000000000000002E-3</c:v>
                </c:pt>
              </c:numCache>
            </c:numRef>
          </c:yVal>
          <c:smooth val="1"/>
        </c:ser>
        <c:ser>
          <c:idx val="3"/>
          <c:order val="3"/>
          <c:tx>
            <c:v>82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media'!$C$8:$L$8</c:f>
              <c:numCache>
                <c:formatCode>0.000</c:formatCode>
                <c:ptCount val="10"/>
                <c:pt idx="0">
                  <c:v>0.19800000000000001</c:v>
                </c:pt>
                <c:pt idx="1">
                  <c:v>0.19400000000000001</c:v>
                </c:pt>
                <c:pt idx="2">
                  <c:v>9.6000000000000002E-2</c:v>
                </c:pt>
                <c:pt idx="3">
                  <c:v>9.4E-2</c:v>
                </c:pt>
                <c:pt idx="4">
                  <c:v>8.1000000000000003E-2</c:v>
                </c:pt>
                <c:pt idx="5">
                  <c:v>7.2999999999999995E-2</c:v>
                </c:pt>
                <c:pt idx="6">
                  <c:v>4.8000000000000001E-2</c:v>
                </c:pt>
                <c:pt idx="7">
                  <c:v>0.04</c:v>
                </c:pt>
                <c:pt idx="8">
                  <c:v>3.2000000000000001E-2</c:v>
                </c:pt>
                <c:pt idx="9">
                  <c:v>3.2000000000000001E-2</c:v>
                </c:pt>
              </c:numCache>
            </c:numRef>
          </c:yVal>
          <c:smooth val="1"/>
        </c:ser>
        <c:ser>
          <c:idx val="4"/>
          <c:order val="4"/>
          <c:tx>
            <c:v>106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media'!$C$9:$L$9</c:f>
              <c:numCache>
                <c:formatCode>0.000</c:formatCode>
                <c:ptCount val="10"/>
                <c:pt idx="0">
                  <c:v>0.47099999999999997</c:v>
                </c:pt>
                <c:pt idx="1">
                  <c:v>0.45700000000000002</c:v>
                </c:pt>
                <c:pt idx="2">
                  <c:v>0.23699999999999999</c:v>
                </c:pt>
                <c:pt idx="3">
                  <c:v>0.23499999999999999</c:v>
                </c:pt>
                <c:pt idx="4">
                  <c:v>0.23400000000000001</c:v>
                </c:pt>
                <c:pt idx="5">
                  <c:v>0.23300000000000001</c:v>
                </c:pt>
                <c:pt idx="6">
                  <c:v>0.23100000000000001</c:v>
                </c:pt>
                <c:pt idx="7">
                  <c:v>0.16</c:v>
                </c:pt>
                <c:pt idx="8">
                  <c:v>0.14000000000000001</c:v>
                </c:pt>
                <c:pt idx="9">
                  <c:v>0.14000000000000001</c:v>
                </c:pt>
              </c:numCache>
            </c:numRef>
          </c:yVal>
          <c:smooth val="1"/>
        </c:ser>
        <c:ser>
          <c:idx val="5"/>
          <c:order val="5"/>
          <c:tx>
            <c:v>138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media'!$C$10:$L$10</c:f>
              <c:numCache>
                <c:formatCode>0.000</c:formatCode>
                <c:ptCount val="10"/>
                <c:pt idx="0">
                  <c:v>1.002</c:v>
                </c:pt>
                <c:pt idx="1">
                  <c:v>0.998</c:v>
                </c:pt>
                <c:pt idx="2">
                  <c:v>0.77800000000000002</c:v>
                </c:pt>
                <c:pt idx="3">
                  <c:v>0.32700000000000001</c:v>
                </c:pt>
                <c:pt idx="4">
                  <c:v>0.27500000000000002</c:v>
                </c:pt>
                <c:pt idx="5">
                  <c:v>0.27300000000000002</c:v>
                </c:pt>
                <c:pt idx="6">
                  <c:v>0.25900000000000001</c:v>
                </c:pt>
                <c:pt idx="7">
                  <c:v>0.24</c:v>
                </c:pt>
                <c:pt idx="8">
                  <c:v>0.22</c:v>
                </c:pt>
                <c:pt idx="9">
                  <c:v>0.22</c:v>
                </c:pt>
              </c:numCache>
            </c:numRef>
          </c:yVal>
          <c:smooth val="1"/>
        </c:ser>
        <c:ser>
          <c:idx val="6"/>
          <c:order val="6"/>
          <c:tx>
            <c:v>159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media'!$C$11:$L$11</c:f>
              <c:numCache>
                <c:formatCode>0.000</c:formatCode>
                <c:ptCount val="10"/>
                <c:pt idx="0">
                  <c:v>1.4079999999999999</c:v>
                </c:pt>
                <c:pt idx="1">
                  <c:v>1.361</c:v>
                </c:pt>
                <c:pt idx="2">
                  <c:v>1.103</c:v>
                </c:pt>
                <c:pt idx="3">
                  <c:v>0.86699999999999999</c:v>
                </c:pt>
                <c:pt idx="4">
                  <c:v>0.78300000000000003</c:v>
                </c:pt>
                <c:pt idx="5">
                  <c:v>0.77600000000000002</c:v>
                </c:pt>
                <c:pt idx="6">
                  <c:v>0.46200000000000002</c:v>
                </c:pt>
                <c:pt idx="7">
                  <c:v>0.31</c:v>
                </c:pt>
                <c:pt idx="8">
                  <c:v>0.28999999999999998</c:v>
                </c:pt>
                <c:pt idx="9">
                  <c:v>0.28999999999999998</c:v>
                </c:pt>
              </c:numCache>
            </c:numRef>
          </c:yVal>
          <c:smooth val="1"/>
        </c:ser>
        <c:ser>
          <c:idx val="7"/>
          <c:order val="7"/>
          <c:tx>
            <c:v>187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media'!$C$12:$L$12</c:f>
              <c:numCache>
                <c:formatCode>0.000</c:formatCode>
                <c:ptCount val="10"/>
                <c:pt idx="0">
                  <c:v>1.536</c:v>
                </c:pt>
                <c:pt idx="1">
                  <c:v>1.488</c:v>
                </c:pt>
                <c:pt idx="2">
                  <c:v>1.1559999999999999</c:v>
                </c:pt>
                <c:pt idx="3">
                  <c:v>0.96699999999999997</c:v>
                </c:pt>
                <c:pt idx="4">
                  <c:v>0.86399999999999999</c:v>
                </c:pt>
                <c:pt idx="5">
                  <c:v>0.86199999999999999</c:v>
                </c:pt>
                <c:pt idx="6">
                  <c:v>0.85899999999999999</c:v>
                </c:pt>
                <c:pt idx="7">
                  <c:v>0.72099999999999997</c:v>
                </c:pt>
                <c:pt idx="8">
                  <c:v>0.49</c:v>
                </c:pt>
                <c:pt idx="9">
                  <c:v>0.49</c:v>
                </c:pt>
              </c:numCache>
            </c:numRef>
          </c:yVal>
          <c:smooth val="1"/>
        </c:ser>
        <c:ser>
          <c:idx val="8"/>
          <c:order val="8"/>
          <c:tx>
            <c:v>209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media'!$C$13:$L$13</c:f>
              <c:numCache>
                <c:formatCode>0.000</c:formatCode>
                <c:ptCount val="10"/>
                <c:pt idx="0">
                  <c:v>1.5680000000000001</c:v>
                </c:pt>
                <c:pt idx="1">
                  <c:v>1.528</c:v>
                </c:pt>
                <c:pt idx="2">
                  <c:v>1.1859999999999999</c:v>
                </c:pt>
                <c:pt idx="3">
                  <c:v>0.99399999999999999</c:v>
                </c:pt>
                <c:pt idx="4">
                  <c:v>0.99099999999999999</c:v>
                </c:pt>
                <c:pt idx="5">
                  <c:v>0.98899999999999999</c:v>
                </c:pt>
                <c:pt idx="6">
                  <c:v>0.98699999999999999</c:v>
                </c:pt>
                <c:pt idx="7">
                  <c:v>0.98499999999999999</c:v>
                </c:pt>
                <c:pt idx="8">
                  <c:v>0.75800000000000001</c:v>
                </c:pt>
                <c:pt idx="9">
                  <c:v>0.75800000000000001</c:v>
                </c:pt>
              </c:numCache>
            </c:numRef>
          </c:yVal>
          <c:smooth val="1"/>
        </c:ser>
        <c:ser>
          <c:idx val="9"/>
          <c:order val="9"/>
          <c:tx>
            <c:v>225</c:v>
          </c:tx>
          <c:xVal>
            <c:numRef>
              <c:f>'mid media'!$C$2:$L$2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'mid media'!$C$14:$L$14</c:f>
              <c:numCache>
                <c:formatCode>0.000</c:formatCode>
                <c:ptCount val="10"/>
                <c:pt idx="0">
                  <c:v>1.5680000000000001</c:v>
                </c:pt>
                <c:pt idx="1">
                  <c:v>1.528</c:v>
                </c:pt>
                <c:pt idx="2">
                  <c:v>1.1859999999999999</c:v>
                </c:pt>
                <c:pt idx="3">
                  <c:v>0.997</c:v>
                </c:pt>
                <c:pt idx="4">
                  <c:v>0.995</c:v>
                </c:pt>
                <c:pt idx="5">
                  <c:v>0.99299999999999999</c:v>
                </c:pt>
                <c:pt idx="6">
                  <c:v>0.99099999999999999</c:v>
                </c:pt>
                <c:pt idx="7">
                  <c:v>0.98899999999999999</c:v>
                </c:pt>
                <c:pt idx="8">
                  <c:v>0.91500000000000004</c:v>
                </c:pt>
                <c:pt idx="9">
                  <c:v>0.91500000000000004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35808"/>
        <c:axId val="300937600"/>
      </c:scatterChart>
      <c:valAx>
        <c:axId val="30093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937600"/>
        <c:crosses val="autoZero"/>
        <c:crossBetween val="midCat"/>
      </c:valAx>
      <c:valAx>
        <c:axId val="3009376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0935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SATO</c:v>
          </c:tx>
          <c:xVal>
            <c:numRef>
              <c:f>'media effect related mid'!$D$2:$D$7</c:f>
              <c:numCache>
                <c:formatCode>General</c:formatCode>
                <c:ptCount val="6"/>
                <c:pt idx="0">
                  <c:v>-45</c:v>
                </c:pt>
                <c:pt idx="1">
                  <c:v>-25</c:v>
                </c:pt>
                <c:pt idx="2">
                  <c:v>-15</c:v>
                </c:pt>
                <c:pt idx="3">
                  <c:v>15</c:v>
                </c:pt>
                <c:pt idx="4">
                  <c:v>25</c:v>
                </c:pt>
                <c:pt idx="5">
                  <c:v>45</c:v>
                </c:pt>
              </c:numCache>
            </c:numRef>
          </c:xVal>
          <c:yVal>
            <c:numRef>
              <c:f>'media effect related mid'!$E$2:$E$7</c:f>
              <c:numCache>
                <c:formatCode>General</c:formatCode>
                <c:ptCount val="6"/>
                <c:pt idx="0">
                  <c:v>1.28</c:v>
                </c:pt>
                <c:pt idx="1">
                  <c:v>1.28</c:v>
                </c:pt>
                <c:pt idx="2">
                  <c:v>1.1299999999999999</c:v>
                </c:pt>
                <c:pt idx="3">
                  <c:v>0.97</c:v>
                </c:pt>
                <c:pt idx="4">
                  <c:v>0.75</c:v>
                </c:pt>
                <c:pt idx="5">
                  <c:v>0.75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62176"/>
        <c:axId val="300963712"/>
      </c:scatterChart>
      <c:valAx>
        <c:axId val="30096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963712"/>
        <c:crosses val="autoZero"/>
        <c:crossBetween val="midCat"/>
      </c:valAx>
      <c:valAx>
        <c:axId val="30096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9621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broker</c:v>
          </c:tx>
          <c:xVal>
            <c:numRef>
              <c:f>'media effect related mid'!$J$2:$J$6</c:f>
              <c:numCache>
                <c:formatCode>General</c:formatCode>
                <c:ptCount val="5"/>
                <c:pt idx="0">
                  <c:v>0</c:v>
                </c:pt>
                <c:pt idx="1">
                  <c:v>68</c:v>
                </c:pt>
                <c:pt idx="2">
                  <c:v>415</c:v>
                </c:pt>
                <c:pt idx="3">
                  <c:v>435</c:v>
                </c:pt>
                <c:pt idx="4">
                  <c:v>455</c:v>
                </c:pt>
              </c:numCache>
            </c:numRef>
          </c:xVal>
          <c:yVal>
            <c:numRef>
              <c:f>'media effect related mid'!$K$2:$K$6</c:f>
              <c:numCache>
                <c:formatCode>General</c:formatCode>
                <c:ptCount val="5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0.73</c:v>
                </c:pt>
                <c:pt idx="4">
                  <c:v>0.73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91392"/>
        <c:axId val="301292928"/>
      </c:scatterChart>
      <c:valAx>
        <c:axId val="30129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292928"/>
        <c:crosses val="autoZero"/>
        <c:crossBetween val="midCat"/>
      </c:valAx>
      <c:valAx>
        <c:axId val="30129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2913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broker</c:v>
          </c:tx>
          <c:xVal>
            <c:numRef>
              <c:f>'media effect related mid'!$M$2:$M$8</c:f>
              <c:numCache>
                <c:formatCode>General</c:formatCode>
                <c:ptCount val="7"/>
                <c:pt idx="0">
                  <c:v>0</c:v>
                </c:pt>
                <c:pt idx="1">
                  <c:v>68</c:v>
                </c:pt>
                <c:pt idx="2">
                  <c:v>155</c:v>
                </c:pt>
                <c:pt idx="3">
                  <c:v>195</c:v>
                </c:pt>
                <c:pt idx="4">
                  <c:v>415</c:v>
                </c:pt>
                <c:pt idx="5">
                  <c:v>435</c:v>
                </c:pt>
                <c:pt idx="6">
                  <c:v>455</c:v>
                </c:pt>
              </c:numCache>
            </c:numRef>
          </c:xVal>
          <c:yVal>
            <c:numRef>
              <c:f>'media effect related mid'!$N$2:$N$8</c:f>
              <c:numCache>
                <c:formatCode>General</c:formatCode>
                <c:ptCount val="7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0.97</c:v>
                </c:pt>
                <c:pt idx="4">
                  <c:v>0.89</c:v>
                </c:pt>
                <c:pt idx="5">
                  <c:v>0.66</c:v>
                </c:pt>
                <c:pt idx="6">
                  <c:v>0.66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136704"/>
        <c:axId val="302138496"/>
      </c:scatterChart>
      <c:valAx>
        <c:axId val="30213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138496"/>
        <c:crosses val="autoZero"/>
        <c:crossBetween val="midCat"/>
      </c:valAx>
      <c:valAx>
        <c:axId val="30213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13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retail</c:v>
          </c:tx>
          <c:xVal>
            <c:numRef>
              <c:f>'media effect related mid'!$P$2:$P$9</c:f>
              <c:numCache>
                <c:formatCode>General</c:formatCode>
                <c:ptCount val="8"/>
                <c:pt idx="0">
                  <c:v>0</c:v>
                </c:pt>
                <c:pt idx="1">
                  <c:v>68</c:v>
                </c:pt>
                <c:pt idx="2">
                  <c:v>155</c:v>
                </c:pt>
                <c:pt idx="3">
                  <c:v>195</c:v>
                </c:pt>
                <c:pt idx="4">
                  <c:v>235</c:v>
                </c:pt>
                <c:pt idx="5">
                  <c:v>415</c:v>
                </c:pt>
                <c:pt idx="6">
                  <c:v>435</c:v>
                </c:pt>
                <c:pt idx="7">
                  <c:v>455</c:v>
                </c:pt>
              </c:numCache>
            </c:numRef>
          </c:xVal>
          <c:yVal>
            <c:numRef>
              <c:f>'media effect related mid'!$Q$2:$Q$9</c:f>
              <c:numCache>
                <c:formatCode>General</c:formatCode>
                <c:ptCount val="8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0.93</c:v>
                </c:pt>
                <c:pt idx="4">
                  <c:v>0.89</c:v>
                </c:pt>
                <c:pt idx="5">
                  <c:v>0.87</c:v>
                </c:pt>
                <c:pt idx="6">
                  <c:v>0.85</c:v>
                </c:pt>
                <c:pt idx="7">
                  <c:v>0.85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163072"/>
        <c:axId val="302164608"/>
      </c:scatterChart>
      <c:valAx>
        <c:axId val="30216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164608"/>
        <c:crosses val="autoZero"/>
        <c:crossBetween val="midCat"/>
      </c:valAx>
      <c:valAx>
        <c:axId val="30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1630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</c:v>
          </c:tx>
          <c:xVal>
            <c:numRef>
              <c:f>'media effect related mid'!$S$2:$S$9</c:f>
              <c:numCache>
                <c:formatCode>General</c:formatCode>
                <c:ptCount val="8"/>
                <c:pt idx="0">
                  <c:v>0</c:v>
                </c:pt>
                <c:pt idx="1">
                  <c:v>68</c:v>
                </c:pt>
                <c:pt idx="2">
                  <c:v>92</c:v>
                </c:pt>
                <c:pt idx="3">
                  <c:v>124</c:v>
                </c:pt>
                <c:pt idx="4">
                  <c:v>155</c:v>
                </c:pt>
                <c:pt idx="5">
                  <c:v>415</c:v>
                </c:pt>
                <c:pt idx="6">
                  <c:v>435</c:v>
                </c:pt>
                <c:pt idx="7">
                  <c:v>455</c:v>
                </c:pt>
              </c:numCache>
            </c:numRef>
          </c:xVal>
          <c:yVal>
            <c:numRef>
              <c:f>'media effect related mid'!$T$2:$T$9</c:f>
              <c:numCache>
                <c:formatCode>General</c:formatCode>
                <c:ptCount val="8"/>
                <c:pt idx="0">
                  <c:v>1.27</c:v>
                </c:pt>
                <c:pt idx="1">
                  <c:v>1.27</c:v>
                </c:pt>
                <c:pt idx="2">
                  <c:v>1.27</c:v>
                </c:pt>
                <c:pt idx="3">
                  <c:v>1.07</c:v>
                </c:pt>
                <c:pt idx="4">
                  <c:v>1</c:v>
                </c:pt>
                <c:pt idx="5">
                  <c:v>1</c:v>
                </c:pt>
                <c:pt idx="6">
                  <c:v>0.81</c:v>
                </c:pt>
                <c:pt idx="7">
                  <c:v>0.81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180992"/>
        <c:axId val="301859200"/>
      </c:scatterChart>
      <c:valAx>
        <c:axId val="30218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859200"/>
        <c:crosses val="autoZero"/>
        <c:crossBetween val="midCat"/>
      </c:valAx>
      <c:valAx>
        <c:axId val="301859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180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FICO</c:v>
          </c:tx>
          <c:xVal>
            <c:numRef>
              <c:f>'media effect related mid'!$A$2:$A$12</c:f>
              <c:numCache>
                <c:formatCode>General</c:formatCode>
                <c:ptCount val="11"/>
                <c:pt idx="0">
                  <c:v>500</c:v>
                </c:pt>
                <c:pt idx="1">
                  <c:v>600</c:v>
                </c:pt>
                <c:pt idx="2">
                  <c:v>620</c:v>
                </c:pt>
                <c:pt idx="3">
                  <c:v>640</c:v>
                </c:pt>
                <c:pt idx="4">
                  <c:v>660</c:v>
                </c:pt>
                <c:pt idx="5">
                  <c:v>680</c:v>
                </c:pt>
                <c:pt idx="6">
                  <c:v>700</c:v>
                </c:pt>
                <c:pt idx="7">
                  <c:v>720</c:v>
                </c:pt>
                <c:pt idx="8">
                  <c:v>740</c:v>
                </c:pt>
                <c:pt idx="9">
                  <c:v>760</c:v>
                </c:pt>
                <c:pt idx="10">
                  <c:v>780</c:v>
                </c:pt>
              </c:numCache>
            </c:numRef>
          </c:xVal>
          <c:yVal>
            <c:numRef>
              <c:f>'media effect related mid'!$B$2:$B$12</c:f>
              <c:numCache>
                <c:formatCode>General</c:formatCode>
                <c:ptCount val="11"/>
                <c:pt idx="0">
                  <c:v>0.79</c:v>
                </c:pt>
                <c:pt idx="1">
                  <c:v>0.79</c:v>
                </c:pt>
                <c:pt idx="2">
                  <c:v>0.83</c:v>
                </c:pt>
                <c:pt idx="3">
                  <c:v>0.84</c:v>
                </c:pt>
                <c:pt idx="4">
                  <c:v>0.89</c:v>
                </c:pt>
                <c:pt idx="5">
                  <c:v>1.01</c:v>
                </c:pt>
                <c:pt idx="6">
                  <c:v>1.27</c:v>
                </c:pt>
                <c:pt idx="8">
                  <c:v>1.33</c:v>
                </c:pt>
                <c:pt idx="9">
                  <c:v>1.68</c:v>
                </c:pt>
                <c:pt idx="10">
                  <c:v>1.68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91968"/>
        <c:axId val="301893504"/>
      </c:scatterChart>
      <c:valAx>
        <c:axId val="301891968"/>
        <c:scaling>
          <c:orientation val="minMax"/>
          <c:max val="800"/>
          <c:min val="500"/>
        </c:scaling>
        <c:delete val="0"/>
        <c:axPos val="b"/>
        <c:numFmt formatCode="General" sourceLinked="1"/>
        <c:majorTickMark val="out"/>
        <c:minorTickMark val="none"/>
        <c:tickLblPos val="nextTo"/>
        <c:crossAx val="301893504"/>
        <c:crosses val="autoZero"/>
        <c:crossBetween val="midCat"/>
      </c:valAx>
      <c:valAx>
        <c:axId val="30189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91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cashout</c:v>
          </c:tx>
          <c:xVal>
            <c:numRef>
              <c:f>'myCashout updated'!$K$2:$R$2</c:f>
              <c:numCache>
                <c:formatCode>General</c:formatCode>
                <c:ptCount val="8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</c:numCache>
            </c:numRef>
          </c:xVal>
          <c:yVal>
            <c:numRef>
              <c:f>'myCashout updated'!$K$19:$R$19</c:f>
              <c:numCache>
                <c:formatCode>General</c:formatCode>
                <c:ptCount val="8"/>
                <c:pt idx="0" formatCode="0.000">
                  <c:v>1</c:v>
                </c:pt>
                <c:pt idx="1">
                  <c:v>0.84545454545454535</c:v>
                </c:pt>
                <c:pt idx="2">
                  <c:v>0.86363636363636342</c:v>
                </c:pt>
                <c:pt idx="3">
                  <c:v>0.72727272727272729</c:v>
                </c:pt>
                <c:pt idx="4">
                  <c:v>0.54545454545454541</c:v>
                </c:pt>
                <c:pt idx="5">
                  <c:v>0.22727272727272724</c:v>
                </c:pt>
                <c:pt idx="6">
                  <c:v>9.0909090909090912E-2</c:v>
                </c:pt>
                <c:pt idx="7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model 24-42 bucket</c:v>
          </c:tx>
          <c:xVal>
            <c:numRef>
              <c:f>'myCashout updated'!$K$2:$R$2</c:f>
              <c:numCache>
                <c:formatCode>General</c:formatCode>
                <c:ptCount val="8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</c:numCache>
            </c:numRef>
          </c:xVal>
          <c:yVal>
            <c:numRef>
              <c:f>'myCashout updated'!$K$20:$R$20</c:f>
              <c:numCache>
                <c:formatCode>0.0000</c:formatCode>
                <c:ptCount val="8"/>
                <c:pt idx="0">
                  <c:v>1</c:v>
                </c:pt>
                <c:pt idx="1">
                  <c:v>0.89</c:v>
                </c:pt>
                <c:pt idx="2">
                  <c:v>0.82499999999999996</c:v>
                </c:pt>
                <c:pt idx="3">
                  <c:v>0.72727272727272729</c:v>
                </c:pt>
                <c:pt idx="4">
                  <c:v>0.54545454545454541</c:v>
                </c:pt>
                <c:pt idx="5">
                  <c:v>0.22727272727272724</c:v>
                </c:pt>
                <c:pt idx="6">
                  <c:v>9.0909090909090912E-2</c:v>
                </c:pt>
                <c:pt idx="7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model</c:v>
          </c:tx>
          <c:xVal>
            <c:numRef>
              <c:f>'myCashout updated'!$AD$2:$AD$16</c:f>
              <c:numCache>
                <c:formatCode>General</c:formatCode>
                <c:ptCount val="1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  <c:pt idx="5">
                  <c:v>17.5</c:v>
                </c:pt>
                <c:pt idx="6">
                  <c:v>20</c:v>
                </c:pt>
                <c:pt idx="7">
                  <c:v>22.5</c:v>
                </c:pt>
                <c:pt idx="8">
                  <c:v>25</c:v>
                </c:pt>
                <c:pt idx="9">
                  <c:v>27.5</c:v>
                </c:pt>
                <c:pt idx="10">
                  <c:v>30</c:v>
                </c:pt>
                <c:pt idx="11">
                  <c:v>32.5</c:v>
                </c:pt>
                <c:pt idx="12">
                  <c:v>35</c:v>
                </c:pt>
                <c:pt idx="13">
                  <c:v>37.5</c:v>
                </c:pt>
                <c:pt idx="14">
                  <c:v>40</c:v>
                </c:pt>
              </c:numCache>
            </c:numRef>
          </c:xVal>
          <c:yVal>
            <c:numRef>
              <c:f>'myCashout updated'!$AF$2:$AF$16</c:f>
              <c:numCache>
                <c:formatCode>0.0000</c:formatCode>
                <c:ptCount val="15"/>
                <c:pt idx="0">
                  <c:v>0</c:v>
                </c:pt>
                <c:pt idx="1">
                  <c:v>4.4999999999999998E-2</c:v>
                </c:pt>
                <c:pt idx="2">
                  <c:v>9.0899999900647996E-2</c:v>
                </c:pt>
                <c:pt idx="3">
                  <c:v>0.12</c:v>
                </c:pt>
                <c:pt idx="4">
                  <c:v>0.2200324105421505</c:v>
                </c:pt>
                <c:pt idx="5">
                  <c:v>0.3709675783612249</c:v>
                </c:pt>
                <c:pt idx="6">
                  <c:v>0.58346986892485131</c:v>
                </c:pt>
                <c:pt idx="7">
                  <c:v>0.68206250074758745</c:v>
                </c:pt>
                <c:pt idx="8">
                  <c:v>0.7215981792795898</c:v>
                </c:pt>
                <c:pt idx="9">
                  <c:v>0.7782392644949393</c:v>
                </c:pt>
                <c:pt idx="10">
                  <c:v>0.84120530571852603</c:v>
                </c:pt>
                <c:pt idx="11">
                  <c:v>0.86010003954916026</c:v>
                </c:pt>
                <c:pt idx="12">
                  <c:v>0.87899477337979437</c:v>
                </c:pt>
                <c:pt idx="13">
                  <c:v>0.93544980410590295</c:v>
                </c:pt>
                <c:pt idx="14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83072"/>
        <c:axId val="301684608"/>
      </c:scatterChart>
      <c:valAx>
        <c:axId val="3016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84608"/>
        <c:crosses val="autoZero"/>
        <c:crossBetween val="midCat"/>
      </c:valAx>
      <c:valAx>
        <c:axId val="3016846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16830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Cashout lockin Avg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Cashout per bucket</c:v>
          </c:tx>
          <c:xVal>
            <c:numRef>
              <c:f>'myCashout updated'!$A$3:$A$18</c:f>
              <c:numCache>
                <c:formatCode>General</c:formatCode>
                <c:ptCount val="16"/>
                <c:pt idx="0">
                  <c:v>-162.5</c:v>
                </c:pt>
                <c:pt idx="1">
                  <c:v>-137.5</c:v>
                </c:pt>
                <c:pt idx="2">
                  <c:v>-112.5</c:v>
                </c:pt>
                <c:pt idx="3">
                  <c:v>-87.5</c:v>
                </c:pt>
                <c:pt idx="4">
                  <c:v>-62.5</c:v>
                </c:pt>
                <c:pt idx="5">
                  <c:v>-37.5</c:v>
                </c:pt>
                <c:pt idx="6">
                  <c:v>-12.5</c:v>
                </c:pt>
                <c:pt idx="7">
                  <c:v>12.5</c:v>
                </c:pt>
                <c:pt idx="8">
                  <c:v>37.5</c:v>
                </c:pt>
                <c:pt idx="9">
                  <c:v>62.5</c:v>
                </c:pt>
                <c:pt idx="10">
                  <c:v>87.5</c:v>
                </c:pt>
                <c:pt idx="11">
                  <c:v>112.5</c:v>
                </c:pt>
                <c:pt idx="12">
                  <c:v>137.5</c:v>
                </c:pt>
                <c:pt idx="13">
                  <c:v>162.5</c:v>
                </c:pt>
                <c:pt idx="14">
                  <c:v>187.5</c:v>
                </c:pt>
                <c:pt idx="15">
                  <c:v>212.5</c:v>
                </c:pt>
              </c:numCache>
            </c:numRef>
          </c:xVal>
          <c:yVal>
            <c:numRef>
              <c:f>'myCashout updated'!$C$3:$C$18</c:f>
              <c:numCache>
                <c:formatCode>0.000</c:formatCode>
                <c:ptCount val="16"/>
                <c:pt idx="0">
                  <c:v>0</c:v>
                </c:pt>
                <c:pt idx="1">
                  <c:v>1.32</c:v>
                </c:pt>
                <c:pt idx="2">
                  <c:v>2.64</c:v>
                </c:pt>
                <c:pt idx="3">
                  <c:v>3.5200000000000005</c:v>
                </c:pt>
                <c:pt idx="4">
                  <c:v>4.4000000000000004</c:v>
                </c:pt>
                <c:pt idx="5">
                  <c:v>5.7750000000000004</c:v>
                </c:pt>
                <c:pt idx="6">
                  <c:v>6.0500000000000007</c:v>
                </c:pt>
                <c:pt idx="7">
                  <c:v>6.0500000000000007</c:v>
                </c:pt>
                <c:pt idx="8">
                  <c:v>6.0500000000000007</c:v>
                </c:pt>
                <c:pt idx="9">
                  <c:v>6.0500000000000007</c:v>
                </c:pt>
                <c:pt idx="10">
                  <c:v>6.0500000000000007</c:v>
                </c:pt>
                <c:pt idx="11">
                  <c:v>6.0500000000000007</c:v>
                </c:pt>
                <c:pt idx="12">
                  <c:v>6.0500000000000007</c:v>
                </c:pt>
                <c:pt idx="13">
                  <c:v>6.0500000000000007</c:v>
                </c:pt>
                <c:pt idx="14">
                  <c:v>6.0500000000000007</c:v>
                </c:pt>
                <c:pt idx="15">
                  <c:v>6.0500000000000007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'myCashout updated'!$S$3:$S$18</c:f>
              <c:numCache>
                <c:formatCode>General</c:formatCode>
                <c:ptCount val="16"/>
                <c:pt idx="0">
                  <c:v>-162.5</c:v>
                </c:pt>
                <c:pt idx="1">
                  <c:v>-137.5</c:v>
                </c:pt>
                <c:pt idx="2">
                  <c:v>-112.5</c:v>
                </c:pt>
                <c:pt idx="3">
                  <c:v>-87.5</c:v>
                </c:pt>
                <c:pt idx="4">
                  <c:v>-62.5</c:v>
                </c:pt>
                <c:pt idx="5">
                  <c:v>-37.5</c:v>
                </c:pt>
                <c:pt idx="6">
                  <c:v>-12.5</c:v>
                </c:pt>
                <c:pt idx="7">
                  <c:v>12.5</c:v>
                </c:pt>
                <c:pt idx="8">
                  <c:v>37.5</c:v>
                </c:pt>
                <c:pt idx="9">
                  <c:v>62.5</c:v>
                </c:pt>
                <c:pt idx="10">
                  <c:v>87.5</c:v>
                </c:pt>
                <c:pt idx="11">
                  <c:v>112.5</c:v>
                </c:pt>
                <c:pt idx="12">
                  <c:v>137.5</c:v>
                </c:pt>
                <c:pt idx="13">
                  <c:v>162.5</c:v>
                </c:pt>
                <c:pt idx="14">
                  <c:v>187.5</c:v>
                </c:pt>
                <c:pt idx="15">
                  <c:v>212.5</c:v>
                </c:pt>
              </c:numCache>
            </c:numRef>
          </c:xVal>
          <c:yVal>
            <c:numRef>
              <c:f>'myCashout updated'!$W$3:$W$18</c:f>
              <c:numCache>
                <c:formatCode>General</c:formatCode>
                <c:ptCount val="16"/>
                <c:pt idx="0">
                  <c:v>0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05856"/>
        <c:axId val="301715840"/>
      </c:scatterChart>
      <c:valAx>
        <c:axId val="30170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715840"/>
        <c:crosses val="autoZero"/>
        <c:crossBetween val="midCat"/>
      </c:valAx>
      <c:valAx>
        <c:axId val="30171584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17058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cashout lockin</c:v>
          </c:tx>
          <c:xVal>
            <c:numRef>
              <c:f>'myCashout updated'!$U$3:$U$18</c:f>
              <c:numCache>
                <c:formatCode>General</c:formatCode>
                <c:ptCount val="16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  <c:pt idx="5">
                  <c:v>-25</c:v>
                </c:pt>
                <c:pt idx="6">
                  <c:v>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  <c:pt idx="11">
                  <c:v>125</c:v>
                </c:pt>
                <c:pt idx="12">
                  <c:v>150</c:v>
                </c:pt>
                <c:pt idx="13">
                  <c:v>175</c:v>
                </c:pt>
                <c:pt idx="14">
                  <c:v>200</c:v>
                </c:pt>
                <c:pt idx="15">
                  <c:v>225</c:v>
                </c:pt>
              </c:numCache>
            </c:numRef>
          </c:xVal>
          <c:yVal>
            <c:numRef>
              <c:f>'myCashout updated'!$V$3:$V$18</c:f>
              <c:numCache>
                <c:formatCode>0.00</c:formatCode>
                <c:ptCount val="16"/>
                <c:pt idx="0" formatCode="General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5216"/>
        <c:axId val="301946752"/>
      </c:scatterChart>
      <c:valAx>
        <c:axId val="3019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946752"/>
        <c:crosses val="autoZero"/>
        <c:crossBetween val="midCat"/>
      </c:valAx>
      <c:valAx>
        <c:axId val="30194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9452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 HPA</c:v>
          </c:tx>
          <c:xVal>
            <c:numRef>
              <c:f>'myCashout updated'!$AD$2:$AD$16</c:f>
              <c:numCache>
                <c:formatCode>General</c:formatCode>
                <c:ptCount val="1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  <c:pt idx="5">
                  <c:v>17.5</c:v>
                </c:pt>
                <c:pt idx="6">
                  <c:v>20</c:v>
                </c:pt>
                <c:pt idx="7">
                  <c:v>22.5</c:v>
                </c:pt>
                <c:pt idx="8">
                  <c:v>25</c:v>
                </c:pt>
                <c:pt idx="9">
                  <c:v>27.5</c:v>
                </c:pt>
                <c:pt idx="10">
                  <c:v>30</c:v>
                </c:pt>
                <c:pt idx="11">
                  <c:v>32.5</c:v>
                </c:pt>
                <c:pt idx="12">
                  <c:v>35</c:v>
                </c:pt>
                <c:pt idx="13">
                  <c:v>37.5</c:v>
                </c:pt>
                <c:pt idx="14">
                  <c:v>40</c:v>
                </c:pt>
              </c:numCache>
            </c:numRef>
          </c:xVal>
          <c:yVal>
            <c:numRef>
              <c:f>'myCashout updated'!$AF$2:$AF$16</c:f>
              <c:numCache>
                <c:formatCode>0.0000</c:formatCode>
                <c:ptCount val="15"/>
                <c:pt idx="0">
                  <c:v>0</c:v>
                </c:pt>
                <c:pt idx="1">
                  <c:v>4.4999999999999998E-2</c:v>
                </c:pt>
                <c:pt idx="2">
                  <c:v>9.0899999900647996E-2</c:v>
                </c:pt>
                <c:pt idx="3">
                  <c:v>0.12</c:v>
                </c:pt>
                <c:pt idx="4">
                  <c:v>0.2200324105421505</c:v>
                </c:pt>
                <c:pt idx="5">
                  <c:v>0.3709675783612249</c:v>
                </c:pt>
                <c:pt idx="6">
                  <c:v>0.58346986892485131</c:v>
                </c:pt>
                <c:pt idx="7">
                  <c:v>0.68206250074758745</c:v>
                </c:pt>
                <c:pt idx="8">
                  <c:v>0.7215981792795898</c:v>
                </c:pt>
                <c:pt idx="9">
                  <c:v>0.7782392644949393</c:v>
                </c:pt>
                <c:pt idx="10">
                  <c:v>0.84120530571852603</c:v>
                </c:pt>
                <c:pt idx="11">
                  <c:v>0.86010003954916026</c:v>
                </c:pt>
                <c:pt idx="12">
                  <c:v>0.87899477337979437</c:v>
                </c:pt>
                <c:pt idx="13">
                  <c:v>0.93544980410590295</c:v>
                </c:pt>
                <c:pt idx="14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796992"/>
        <c:axId val="369795072"/>
      </c:scatterChart>
      <c:valAx>
        <c:axId val="36979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9795072"/>
        <c:crosses val="autoZero"/>
        <c:crossBetween val="midCat"/>
      </c:valAx>
      <c:valAx>
        <c:axId val="36979507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3697969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'myCashout updated'!$AR$3:$AR$17</c:f>
              <c:numCache>
                <c:formatCode>General</c:formatCode>
                <c:ptCount val="1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  <c:pt idx="5">
                  <c:v>-25</c:v>
                </c:pt>
                <c:pt idx="6">
                  <c:v>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  <c:pt idx="11">
                  <c:v>125</c:v>
                </c:pt>
                <c:pt idx="12">
                  <c:v>150</c:v>
                </c:pt>
                <c:pt idx="13">
                  <c:v>175</c:v>
                </c:pt>
                <c:pt idx="14">
                  <c:v>200</c:v>
                </c:pt>
              </c:numCache>
            </c:numRef>
          </c:xVal>
          <c:yVal>
            <c:numRef>
              <c:f>'myCashout updated'!$AW$3:$AW$17</c:f>
              <c:numCache>
                <c:formatCode>General</c:formatCode>
                <c:ptCount val="15"/>
                <c:pt idx="0">
                  <c:v>6.9999999999999849</c:v>
                </c:pt>
                <c:pt idx="1">
                  <c:v>4.9999999999999991</c:v>
                </c:pt>
                <c:pt idx="2">
                  <c:v>6.5999999999999766</c:v>
                </c:pt>
                <c:pt idx="3">
                  <c:v>8.1999999999999815</c:v>
                </c:pt>
                <c:pt idx="4">
                  <c:v>8.7000000000000135</c:v>
                </c:pt>
                <c:pt idx="5">
                  <c:v>6.1999999999999851</c:v>
                </c:pt>
                <c:pt idx="6">
                  <c:v>6.9999999999999893</c:v>
                </c:pt>
                <c:pt idx="7">
                  <c:v>7.7999999999999723</c:v>
                </c:pt>
                <c:pt idx="8">
                  <c:v>7.9249999999999936</c:v>
                </c:pt>
                <c:pt idx="9">
                  <c:v>7.7499999999999964</c:v>
                </c:pt>
                <c:pt idx="10">
                  <c:v>7.7249999999999908</c:v>
                </c:pt>
                <c:pt idx="11">
                  <c:v>7.5999999999999943</c:v>
                </c:pt>
                <c:pt idx="12">
                  <c:v>7.600000000000005</c:v>
                </c:pt>
                <c:pt idx="13">
                  <c:v>7.5999999999999837</c:v>
                </c:pt>
                <c:pt idx="14">
                  <c:v>7.5999999999999943</c:v>
                </c:pt>
              </c:numCache>
            </c:numRef>
          </c:yVal>
          <c:smooth val="1"/>
        </c:ser>
        <c:ser>
          <c:idx val="1"/>
          <c:order val="1"/>
          <c:tx>
            <c:v>refi</c:v>
          </c:tx>
          <c:xVal>
            <c:numRef>
              <c:f>'myCashout updated'!$AR$2:$AR$17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updated'!$AX$2:$AX$17</c:f>
              <c:numCache>
                <c:formatCode>General</c:formatCode>
                <c:ptCount val="1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6.5</c:v>
                </c:pt>
                <c:pt idx="4">
                  <c:v>7.2</c:v>
                </c:pt>
                <c:pt idx="5">
                  <c:v>7.35</c:v>
                </c:pt>
                <c:pt idx="6">
                  <c:v>7.45</c:v>
                </c:pt>
                <c:pt idx="7">
                  <c:v>7.55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</c:numCache>
            </c:numRef>
          </c:yVal>
          <c:smooth val="1"/>
        </c:ser>
        <c:ser>
          <c:idx val="2"/>
          <c:order val="2"/>
          <c:tx>
            <c:v>purch locking</c:v>
          </c:tx>
          <c:xVal>
            <c:numRef>
              <c:f>'myCashout updated'!$AR$2:$AR$17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updated'!$AN$2:$AN$17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9.25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</c:numCache>
            </c:numRef>
          </c:yVal>
          <c:smooth val="1"/>
        </c:ser>
        <c:ser>
          <c:idx val="3"/>
          <c:order val="3"/>
          <c:tx>
            <c:v>refi locking</c:v>
          </c:tx>
          <c:xVal>
            <c:numRef>
              <c:f>'myCashout updated'!$AR$2:$AR$17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updated'!$BA$2:$BA$17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11.2</c:v>
                </c:pt>
                <c:pt idx="5">
                  <c:v>12.35</c:v>
                </c:pt>
                <c:pt idx="6">
                  <c:v>13.45</c:v>
                </c:pt>
                <c:pt idx="7">
                  <c:v>14.55</c:v>
                </c:pt>
                <c:pt idx="8">
                  <c:v>15.6</c:v>
                </c:pt>
                <c:pt idx="9">
                  <c:v>16.600000000000001</c:v>
                </c:pt>
                <c:pt idx="10">
                  <c:v>16.850000000000001</c:v>
                </c:pt>
                <c:pt idx="11">
                  <c:v>17.100000000000001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17.100000000000001</c:v>
                </c:pt>
                <c:pt idx="15">
                  <c:v>17.100000000000001</c:v>
                </c:pt>
              </c:numCache>
            </c:numRef>
          </c:yVal>
          <c:smooth val="1"/>
        </c:ser>
        <c:ser>
          <c:idx val="4"/>
          <c:order val="4"/>
          <c:tx>
            <c:v>Actual refi (avg)</c:v>
          </c:tx>
          <c:xVal>
            <c:numRef>
              <c:f>'myCashout updated'!$AR$3:$AR$17</c:f>
              <c:numCache>
                <c:formatCode>General</c:formatCode>
                <c:ptCount val="1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  <c:pt idx="5">
                  <c:v>-25</c:v>
                </c:pt>
                <c:pt idx="6">
                  <c:v>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  <c:pt idx="11">
                  <c:v>125</c:v>
                </c:pt>
                <c:pt idx="12">
                  <c:v>150</c:v>
                </c:pt>
                <c:pt idx="13">
                  <c:v>175</c:v>
                </c:pt>
                <c:pt idx="14">
                  <c:v>200</c:v>
                </c:pt>
              </c:numCache>
            </c:numRef>
          </c:xVal>
          <c:yVal>
            <c:numRef>
              <c:f>'myCashout updated'!$AV$3:$AV$17</c:f>
              <c:numCache>
                <c:formatCode>General</c:formatCode>
                <c:ptCount val="15"/>
                <c:pt idx="0">
                  <c:v>7.4999999999999849</c:v>
                </c:pt>
                <c:pt idx="1">
                  <c:v>6.4999999999999991</c:v>
                </c:pt>
                <c:pt idx="2">
                  <c:v>9.0999999999999766</c:v>
                </c:pt>
                <c:pt idx="3">
                  <c:v>11.699999999999982</c:v>
                </c:pt>
                <c:pt idx="4">
                  <c:v>13.200000000000014</c:v>
                </c:pt>
                <c:pt idx="5">
                  <c:v>11.699999999999985</c:v>
                </c:pt>
                <c:pt idx="6">
                  <c:v>13.499999999999989</c:v>
                </c:pt>
                <c:pt idx="7">
                  <c:v>15.299999999999972</c:v>
                </c:pt>
                <c:pt idx="8">
                  <c:v>16.424999999999994</c:v>
                </c:pt>
                <c:pt idx="9">
                  <c:v>16.874999999999996</c:v>
                </c:pt>
                <c:pt idx="10">
                  <c:v>17.099999999999991</c:v>
                </c:pt>
                <c:pt idx="11">
                  <c:v>17.099999999999994</c:v>
                </c:pt>
                <c:pt idx="12">
                  <c:v>17.100000000000005</c:v>
                </c:pt>
                <c:pt idx="13">
                  <c:v>17.099999999999984</c:v>
                </c:pt>
                <c:pt idx="14">
                  <c:v>17.099999999999994</c:v>
                </c:pt>
              </c:numCache>
            </c:numRef>
          </c:yVal>
          <c:smooth val="1"/>
        </c:ser>
        <c:ser>
          <c:idx val="5"/>
          <c:order val="5"/>
          <c:tx>
            <c:v>model refi (avg)</c:v>
          </c:tx>
          <c:xVal>
            <c:numRef>
              <c:f>'myCashout updated'!$AR$3:$AR$17</c:f>
              <c:numCache>
                <c:formatCode>General</c:formatCode>
                <c:ptCount val="1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  <c:pt idx="5">
                  <c:v>-25</c:v>
                </c:pt>
                <c:pt idx="6">
                  <c:v>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  <c:pt idx="11">
                  <c:v>125</c:v>
                </c:pt>
                <c:pt idx="12">
                  <c:v>150</c:v>
                </c:pt>
                <c:pt idx="13">
                  <c:v>175</c:v>
                </c:pt>
                <c:pt idx="14">
                  <c:v>200</c:v>
                </c:pt>
              </c:numCache>
            </c:numRef>
          </c:xVal>
          <c:yVal>
            <c:numRef>
              <c:f>'myCashout updated'!$BB$4:$BB$17</c:f>
              <c:numCache>
                <c:formatCode>General</c:formatCode>
                <c:ptCount val="14"/>
                <c:pt idx="0">
                  <c:v>6</c:v>
                </c:pt>
                <c:pt idx="1">
                  <c:v>9</c:v>
                </c:pt>
                <c:pt idx="2">
                  <c:v>10.6</c:v>
                </c:pt>
                <c:pt idx="3">
                  <c:v>11.774999999999999</c:v>
                </c:pt>
                <c:pt idx="4">
                  <c:v>12.899999999999999</c:v>
                </c:pt>
                <c:pt idx="5">
                  <c:v>14</c:v>
                </c:pt>
                <c:pt idx="6">
                  <c:v>15.074999999999999</c:v>
                </c:pt>
                <c:pt idx="7">
                  <c:v>16.100000000000001</c:v>
                </c:pt>
                <c:pt idx="8">
                  <c:v>16.725000000000001</c:v>
                </c:pt>
                <c:pt idx="9">
                  <c:v>16.975000000000001</c:v>
                </c:pt>
                <c:pt idx="10">
                  <c:v>17.100000000000001</c:v>
                </c:pt>
                <c:pt idx="11">
                  <c:v>17.100000000000001</c:v>
                </c:pt>
                <c:pt idx="12">
                  <c:v>17.100000000000001</c:v>
                </c:pt>
                <c:pt idx="13">
                  <c:v>17.100000000000001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176000"/>
        <c:axId val="372702592"/>
      </c:scatterChart>
      <c:valAx>
        <c:axId val="3721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2702592"/>
        <c:crosses val="autoZero"/>
        <c:crossBetween val="midCat"/>
      </c:valAx>
      <c:valAx>
        <c:axId val="37270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217600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refi 1</c:v>
          </c:tx>
          <c:xVal>
            <c:numRef>
              <c:f>'myCashout updated'!$AR$2:$AR$17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updated'!$BZ$2:$BZ$17</c:f>
              <c:numCache>
                <c:formatCode>0.0</c:formatCode>
                <c:ptCount val="16"/>
                <c:pt idx="0">
                  <c:v>0</c:v>
                </c:pt>
                <c:pt idx="1">
                  <c:v>9</c:v>
                </c:pt>
                <c:pt idx="2">
                  <c:v>15.6</c:v>
                </c:pt>
                <c:pt idx="3">
                  <c:v>17.600000000000001</c:v>
                </c:pt>
                <c:pt idx="4">
                  <c:v>19.600000000000001</c:v>
                </c:pt>
                <c:pt idx="5">
                  <c:v>21.6</c:v>
                </c:pt>
                <c:pt idx="6">
                  <c:v>23.5</c:v>
                </c:pt>
                <c:pt idx="7">
                  <c:v>25.5</c:v>
                </c:pt>
                <c:pt idx="8">
                  <c:v>27.3</c:v>
                </c:pt>
                <c:pt idx="9">
                  <c:v>29.1</c:v>
                </c:pt>
                <c:pt idx="10">
                  <c:v>29.5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</c:numCache>
            </c:numRef>
          </c:yVal>
          <c:smooth val="1"/>
        </c:ser>
        <c:ser>
          <c:idx val="3"/>
          <c:order val="1"/>
          <c:tx>
            <c:v>refi 2</c:v>
          </c:tx>
          <c:xVal>
            <c:numRef>
              <c:f>'myCashout updated'!$AR$2:$AR$17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updated'!$BA$2:$BA$17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11.2</c:v>
                </c:pt>
                <c:pt idx="5">
                  <c:v>12.35</c:v>
                </c:pt>
                <c:pt idx="6">
                  <c:v>13.45</c:v>
                </c:pt>
                <c:pt idx="7">
                  <c:v>14.55</c:v>
                </c:pt>
                <c:pt idx="8">
                  <c:v>15.6</c:v>
                </c:pt>
                <c:pt idx="9">
                  <c:v>16.600000000000001</c:v>
                </c:pt>
                <c:pt idx="10">
                  <c:v>16.850000000000001</c:v>
                </c:pt>
                <c:pt idx="11">
                  <c:v>17.100000000000001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17.100000000000001</c:v>
                </c:pt>
                <c:pt idx="15">
                  <c:v>17.100000000000001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47264"/>
        <c:axId val="372765440"/>
      </c:scatterChart>
      <c:valAx>
        <c:axId val="37274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2765440"/>
        <c:crosses val="autoZero"/>
        <c:crossBetween val="midCat"/>
      </c:valAx>
      <c:valAx>
        <c:axId val="37276544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727472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refi 6-14</c:v>
          </c:tx>
          <c:xVal>
            <c:numRef>
              <c:f>'myCashout updated'!$BD$2:$BD$17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updated'!$CC$2:$CC$17</c:f>
              <c:numCache>
                <c:formatCode>0.00000</c:formatCode>
                <c:ptCount val="16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3.5000000000000003E-2</c:v>
                </c:pt>
                <c:pt idx="4">
                  <c:v>3.9199999999999999E-2</c:v>
                </c:pt>
                <c:pt idx="5">
                  <c:v>4.3225E-2</c:v>
                </c:pt>
                <c:pt idx="6">
                  <c:v>4.7074999999999999E-2</c:v>
                </c:pt>
                <c:pt idx="7">
                  <c:v>5.0924999999999998E-2</c:v>
                </c:pt>
                <c:pt idx="8">
                  <c:v>5.4599999999999996E-2</c:v>
                </c:pt>
                <c:pt idx="9">
                  <c:v>5.8099999999999999E-2</c:v>
                </c:pt>
                <c:pt idx="10">
                  <c:v>5.8975E-2</c:v>
                </c:pt>
                <c:pt idx="11">
                  <c:v>5.985E-2</c:v>
                </c:pt>
                <c:pt idx="12">
                  <c:v>5.985E-2</c:v>
                </c:pt>
                <c:pt idx="13">
                  <c:v>5.985E-2</c:v>
                </c:pt>
                <c:pt idx="14">
                  <c:v>5.985E-2</c:v>
                </c:pt>
                <c:pt idx="15">
                  <c:v>5.985E-2</c:v>
                </c:pt>
              </c:numCache>
            </c:numRef>
          </c:yVal>
          <c:smooth val="1"/>
        </c:ser>
        <c:ser>
          <c:idx val="1"/>
          <c:order val="1"/>
          <c:tx>
            <c:v>refi 13-17</c:v>
          </c:tx>
          <c:xVal>
            <c:numRef>
              <c:f>'myCashout updated'!$BD$2:$BD$17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updated'!$CF$2:$CF$17</c:f>
              <c:numCache>
                <c:formatCode>0.00000</c:formatCode>
                <c:ptCount val="16"/>
                <c:pt idx="0">
                  <c:v>0</c:v>
                </c:pt>
                <c:pt idx="1">
                  <c:v>9.9399999999999992E-3</c:v>
                </c:pt>
                <c:pt idx="2">
                  <c:v>1.9879999999999998E-2</c:v>
                </c:pt>
                <c:pt idx="3">
                  <c:v>2.4850000000000001E-2</c:v>
                </c:pt>
                <c:pt idx="4">
                  <c:v>2.7831999999999999E-2</c:v>
                </c:pt>
                <c:pt idx="5">
                  <c:v>3.0689749999999998E-2</c:v>
                </c:pt>
                <c:pt idx="6">
                  <c:v>3.3423249999999995E-2</c:v>
                </c:pt>
                <c:pt idx="7">
                  <c:v>3.6156749999999994E-2</c:v>
                </c:pt>
                <c:pt idx="8">
                  <c:v>3.8765999999999995E-2</c:v>
                </c:pt>
                <c:pt idx="9">
                  <c:v>4.1250999999999996E-2</c:v>
                </c:pt>
                <c:pt idx="10">
                  <c:v>4.187225E-2</c:v>
                </c:pt>
                <c:pt idx="11">
                  <c:v>4.2493499999999997E-2</c:v>
                </c:pt>
                <c:pt idx="12">
                  <c:v>4.2493499999999997E-2</c:v>
                </c:pt>
                <c:pt idx="13">
                  <c:v>4.2493499999999997E-2</c:v>
                </c:pt>
                <c:pt idx="14">
                  <c:v>4.2493499999999997E-2</c:v>
                </c:pt>
                <c:pt idx="15">
                  <c:v>4.2493499999999997E-2</c:v>
                </c:pt>
              </c:numCache>
            </c:numRef>
          </c:yVal>
          <c:smooth val="1"/>
        </c:ser>
        <c:ser>
          <c:idx val="3"/>
          <c:order val="2"/>
          <c:tx>
            <c:v>refi 22-35</c:v>
          </c:tx>
          <c:xVal>
            <c:numRef>
              <c:f>'myCashout updated'!$BD$2:$BD$17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updated'!$CJ$2:$CJ$17</c:f>
              <c:numCache>
                <c:formatCode>0.00000</c:formatCode>
                <c:ptCount val="16"/>
                <c:pt idx="0">
                  <c:v>0</c:v>
                </c:pt>
                <c:pt idx="1">
                  <c:v>4.8999999999999998E-3</c:v>
                </c:pt>
                <c:pt idx="2">
                  <c:v>9.7999999999999997E-3</c:v>
                </c:pt>
                <c:pt idx="3">
                  <c:v>1.225E-2</c:v>
                </c:pt>
                <c:pt idx="4">
                  <c:v>1.3719999999999998E-2</c:v>
                </c:pt>
                <c:pt idx="5">
                  <c:v>1.5128749999999998E-2</c:v>
                </c:pt>
                <c:pt idx="6">
                  <c:v>1.6476249999999998E-2</c:v>
                </c:pt>
                <c:pt idx="7">
                  <c:v>1.7823749999999999E-2</c:v>
                </c:pt>
                <c:pt idx="8">
                  <c:v>1.9109999999999999E-2</c:v>
                </c:pt>
                <c:pt idx="9">
                  <c:v>2.0334999999999999E-2</c:v>
                </c:pt>
                <c:pt idx="10">
                  <c:v>2.064125E-2</c:v>
                </c:pt>
                <c:pt idx="11">
                  <c:v>2.0947499999999997E-2</c:v>
                </c:pt>
                <c:pt idx="12">
                  <c:v>2.0947499999999997E-2</c:v>
                </c:pt>
                <c:pt idx="13">
                  <c:v>2.0947499999999997E-2</c:v>
                </c:pt>
                <c:pt idx="14">
                  <c:v>2.0947499999999997E-2</c:v>
                </c:pt>
                <c:pt idx="15">
                  <c:v>2.0947499999999997E-2</c:v>
                </c:pt>
              </c:numCache>
            </c:numRef>
          </c:yVal>
          <c:smooth val="1"/>
        </c:ser>
        <c:ser>
          <c:idx val="6"/>
          <c:order val="3"/>
          <c:tx>
            <c:v>purch 60</c:v>
          </c:tx>
          <c:xVal>
            <c:numRef>
              <c:f>'myCashout updated'!$BD$2:$BD$17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updated'!$BI$2:$BI$17</c:f>
              <c:numCache>
                <c:formatCode>General</c:formatCode>
                <c:ptCount val="16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3.2000000000000002E-3</c:v>
                </c:pt>
                <c:pt idx="9">
                  <c:v>3.6000000000000008E-3</c:v>
                </c:pt>
                <c:pt idx="10">
                  <c:v>3.7000000000000002E-3</c:v>
                </c:pt>
                <c:pt idx="11">
                  <c:v>3.8E-3</c:v>
                </c:pt>
                <c:pt idx="12">
                  <c:v>3.8E-3</c:v>
                </c:pt>
                <c:pt idx="13">
                  <c:v>3.8E-3</c:v>
                </c:pt>
                <c:pt idx="14">
                  <c:v>3.8E-3</c:v>
                </c:pt>
                <c:pt idx="15">
                  <c:v>3.8E-3</c:v>
                </c:pt>
              </c:numCache>
            </c:numRef>
          </c:yVal>
          <c:smooth val="1"/>
        </c:ser>
        <c:ser>
          <c:idx val="4"/>
          <c:order val="4"/>
          <c:tx>
            <c:v>refi 35-45</c:v>
          </c:tx>
          <c:xVal>
            <c:numRef>
              <c:f>'myCashout updated'!$CH$2:$CH$17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updated'!$CM$2:$CM$17</c:f>
              <c:numCache>
                <c:formatCode>0.00000</c:formatCode>
                <c:ptCount val="16"/>
                <c:pt idx="0">
                  <c:v>0</c:v>
                </c:pt>
                <c:pt idx="1">
                  <c:v>3.15E-3</c:v>
                </c:pt>
                <c:pt idx="2">
                  <c:v>6.3E-3</c:v>
                </c:pt>
                <c:pt idx="3">
                  <c:v>7.8750000000000018E-3</c:v>
                </c:pt>
                <c:pt idx="4">
                  <c:v>8.8199999999999997E-3</c:v>
                </c:pt>
                <c:pt idx="5">
                  <c:v>9.7256249999999999E-3</c:v>
                </c:pt>
                <c:pt idx="6">
                  <c:v>1.0591875000000001E-2</c:v>
                </c:pt>
                <c:pt idx="7">
                  <c:v>1.1458125E-2</c:v>
                </c:pt>
                <c:pt idx="8">
                  <c:v>1.2284999999999999E-2</c:v>
                </c:pt>
                <c:pt idx="9">
                  <c:v>1.3072500000000001E-2</c:v>
                </c:pt>
                <c:pt idx="10">
                  <c:v>1.3269375E-2</c:v>
                </c:pt>
                <c:pt idx="11">
                  <c:v>1.3466250000000001E-2</c:v>
                </c:pt>
                <c:pt idx="12">
                  <c:v>1.3466250000000001E-2</c:v>
                </c:pt>
                <c:pt idx="13">
                  <c:v>1.3466250000000001E-2</c:v>
                </c:pt>
                <c:pt idx="14">
                  <c:v>1.3466250000000001E-2</c:v>
                </c:pt>
                <c:pt idx="15">
                  <c:v>1.3466250000000001E-2</c:v>
                </c:pt>
              </c:numCache>
            </c:numRef>
          </c:yVal>
          <c:smooth val="1"/>
        </c:ser>
        <c:ser>
          <c:idx val="2"/>
          <c:order val="5"/>
          <c:tx>
            <c:v>refi 45-60</c:v>
          </c:tx>
          <c:xVal>
            <c:numRef>
              <c:f>'myCashout updated'!$CH$2:$CH$17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updated'!$CP$2:$CP$17</c:f>
              <c:numCache>
                <c:formatCode>0.00000</c:formatCode>
                <c:ptCount val="16"/>
                <c:pt idx="0">
                  <c:v>0</c:v>
                </c:pt>
                <c:pt idx="1">
                  <c:v>9.8000000000000019E-4</c:v>
                </c:pt>
                <c:pt idx="2">
                  <c:v>1.9600000000000004E-3</c:v>
                </c:pt>
                <c:pt idx="3">
                  <c:v>2.4500000000000004E-3</c:v>
                </c:pt>
                <c:pt idx="4">
                  <c:v>2.7440000000000003E-3</c:v>
                </c:pt>
                <c:pt idx="5">
                  <c:v>3.0257500000000002E-3</c:v>
                </c:pt>
                <c:pt idx="6">
                  <c:v>3.2952500000000004E-3</c:v>
                </c:pt>
                <c:pt idx="7">
                  <c:v>3.5647500000000002E-3</c:v>
                </c:pt>
                <c:pt idx="8">
                  <c:v>3.8219999999999999E-3</c:v>
                </c:pt>
                <c:pt idx="9">
                  <c:v>4.0670000000000003E-3</c:v>
                </c:pt>
                <c:pt idx="10">
                  <c:v>4.12825E-3</c:v>
                </c:pt>
                <c:pt idx="11">
                  <c:v>4.1895000000000005E-3</c:v>
                </c:pt>
                <c:pt idx="12">
                  <c:v>4.1895000000000005E-3</c:v>
                </c:pt>
                <c:pt idx="13">
                  <c:v>4.1895000000000005E-3</c:v>
                </c:pt>
                <c:pt idx="14">
                  <c:v>4.1895000000000005E-3</c:v>
                </c:pt>
                <c:pt idx="15">
                  <c:v>4.1895000000000005E-3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393472"/>
        <c:axId val="412307456"/>
      </c:scatterChart>
      <c:valAx>
        <c:axId val="41239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2307456"/>
        <c:crosses val="autoZero"/>
        <c:crossBetween val="midCat"/>
      </c:valAx>
      <c:valAx>
        <c:axId val="41230745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412393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6"/>
          <c:order val="0"/>
          <c:tx>
            <c:v>purch 60</c:v>
          </c:tx>
          <c:xVal>
            <c:numRef>
              <c:f>'myCashout updated'!$BD$2:$BD$17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updated'!$BI$2:$BI$17</c:f>
              <c:numCache>
                <c:formatCode>General</c:formatCode>
                <c:ptCount val="16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3.2000000000000002E-3</c:v>
                </c:pt>
                <c:pt idx="9">
                  <c:v>3.6000000000000008E-3</c:v>
                </c:pt>
                <c:pt idx="10">
                  <c:v>3.7000000000000002E-3</c:v>
                </c:pt>
                <c:pt idx="11">
                  <c:v>3.8E-3</c:v>
                </c:pt>
                <c:pt idx="12">
                  <c:v>3.8E-3</c:v>
                </c:pt>
                <c:pt idx="13">
                  <c:v>3.8E-3</c:v>
                </c:pt>
                <c:pt idx="14">
                  <c:v>3.8E-3</c:v>
                </c:pt>
                <c:pt idx="15">
                  <c:v>3.8E-3</c:v>
                </c:pt>
              </c:numCache>
            </c:numRef>
          </c:yVal>
          <c:smooth val="1"/>
        </c:ser>
        <c:ser>
          <c:idx val="4"/>
          <c:order val="1"/>
          <c:tx>
            <c:v>purch 45-60</c:v>
          </c:tx>
          <c:xVal>
            <c:numRef>
              <c:f>'myCashout updated'!$CH$2:$CH$17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updated'!$BG$2:$BG$17</c:f>
              <c:numCache>
                <c:formatCode>General</c:formatCode>
                <c:ptCount val="16"/>
                <c:pt idx="0">
                  <c:v>0</c:v>
                </c:pt>
                <c:pt idx="1">
                  <c:v>6.9999999999999999E-4</c:v>
                </c:pt>
                <c:pt idx="2">
                  <c:v>1.4E-3</c:v>
                </c:pt>
                <c:pt idx="3">
                  <c:v>2.0999999999999999E-3</c:v>
                </c:pt>
                <c:pt idx="4">
                  <c:v>2.8E-3</c:v>
                </c:pt>
                <c:pt idx="5">
                  <c:v>3.4999999999999996E-3</c:v>
                </c:pt>
                <c:pt idx="6">
                  <c:v>4.1999999999999997E-3</c:v>
                </c:pt>
                <c:pt idx="7">
                  <c:v>4.8999999999999998E-3</c:v>
                </c:pt>
                <c:pt idx="8">
                  <c:v>5.5999999999999999E-3</c:v>
                </c:pt>
                <c:pt idx="9">
                  <c:v>6.3E-3</c:v>
                </c:pt>
                <c:pt idx="10">
                  <c:v>6.474999999999999E-3</c:v>
                </c:pt>
                <c:pt idx="11">
                  <c:v>6.6499999999999997E-3</c:v>
                </c:pt>
                <c:pt idx="12">
                  <c:v>6.6499999999999997E-3</c:v>
                </c:pt>
                <c:pt idx="13">
                  <c:v>6.6499999999999997E-3</c:v>
                </c:pt>
                <c:pt idx="14">
                  <c:v>6.6499999999999997E-3</c:v>
                </c:pt>
                <c:pt idx="15">
                  <c:v>6.6499999999999997E-3</c:v>
                </c:pt>
              </c:numCache>
            </c:numRef>
          </c:yVal>
          <c:smooth val="1"/>
        </c:ser>
        <c:ser>
          <c:idx val="2"/>
          <c:order val="2"/>
          <c:tx>
            <c:v>refi 45-60</c:v>
          </c:tx>
          <c:xVal>
            <c:numRef>
              <c:f>'myCashout updated'!$CH$2:$CH$17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updated'!$CP$2:$CP$17</c:f>
              <c:numCache>
                <c:formatCode>0.00000</c:formatCode>
                <c:ptCount val="16"/>
                <c:pt idx="0">
                  <c:v>0</c:v>
                </c:pt>
                <c:pt idx="1">
                  <c:v>9.8000000000000019E-4</c:v>
                </c:pt>
                <c:pt idx="2">
                  <c:v>1.9600000000000004E-3</c:v>
                </c:pt>
                <c:pt idx="3">
                  <c:v>2.4500000000000004E-3</c:v>
                </c:pt>
                <c:pt idx="4">
                  <c:v>2.7440000000000003E-3</c:v>
                </c:pt>
                <c:pt idx="5">
                  <c:v>3.0257500000000002E-3</c:v>
                </c:pt>
                <c:pt idx="6">
                  <c:v>3.2952500000000004E-3</c:v>
                </c:pt>
                <c:pt idx="7">
                  <c:v>3.5647500000000002E-3</c:v>
                </c:pt>
                <c:pt idx="8">
                  <c:v>3.8219999999999999E-3</c:v>
                </c:pt>
                <c:pt idx="9">
                  <c:v>4.0670000000000003E-3</c:v>
                </c:pt>
                <c:pt idx="10">
                  <c:v>4.12825E-3</c:v>
                </c:pt>
                <c:pt idx="11">
                  <c:v>4.1895000000000005E-3</c:v>
                </c:pt>
                <c:pt idx="12">
                  <c:v>4.1895000000000005E-3</c:v>
                </c:pt>
                <c:pt idx="13">
                  <c:v>4.1895000000000005E-3</c:v>
                </c:pt>
                <c:pt idx="14">
                  <c:v>4.1895000000000005E-3</c:v>
                </c:pt>
                <c:pt idx="15">
                  <c:v>4.1895000000000005E-3</c:v>
                </c:pt>
              </c:numCache>
            </c:numRef>
          </c:yVal>
          <c:smooth val="1"/>
        </c:ser>
        <c:ser>
          <c:idx val="0"/>
          <c:order val="3"/>
          <c:tx>
            <c:v>refi 60+</c:v>
          </c:tx>
          <c:xVal>
            <c:numRef>
              <c:f>'myCashout updated'!$CH$2:$CH$17</c:f>
              <c:numCache>
                <c:formatCode>General</c:formatCode>
                <c:ptCount val="16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xVal>
          <c:yVal>
            <c:numRef>
              <c:f>'myCashout updated'!$CS$2:$CS$17</c:f>
              <c:numCache>
                <c:formatCode>0.00000</c:formatCode>
                <c:ptCount val="16"/>
                <c:pt idx="1">
                  <c:v>2.0000000000000001E-4</c:v>
                </c:pt>
                <c:pt idx="2">
                  <c:v>6.0000000000000006E-4</c:v>
                </c:pt>
                <c:pt idx="3">
                  <c:v>1E-3</c:v>
                </c:pt>
                <c:pt idx="4">
                  <c:v>1.4000000000000002E-3</c:v>
                </c:pt>
                <c:pt idx="5">
                  <c:v>1.8E-3</c:v>
                </c:pt>
                <c:pt idx="6">
                  <c:v>2.2000000000000001E-3</c:v>
                </c:pt>
                <c:pt idx="7">
                  <c:v>2.6000000000000003E-3</c:v>
                </c:pt>
                <c:pt idx="8">
                  <c:v>3.0000000000000001E-3</c:v>
                </c:pt>
                <c:pt idx="9">
                  <c:v>3.4000000000000002E-3</c:v>
                </c:pt>
                <c:pt idx="10">
                  <c:v>3.6500000000000005E-3</c:v>
                </c:pt>
                <c:pt idx="11">
                  <c:v>3.7499999999999999E-3</c:v>
                </c:pt>
                <c:pt idx="12">
                  <c:v>3.8E-3</c:v>
                </c:pt>
                <c:pt idx="13">
                  <c:v>3.8E-3</c:v>
                </c:pt>
                <c:pt idx="14">
                  <c:v>3.8E-3</c:v>
                </c:pt>
                <c:pt idx="15">
                  <c:v>3.8E-3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620224"/>
        <c:axId val="573621760"/>
      </c:scatterChart>
      <c:valAx>
        <c:axId val="57362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3621760"/>
        <c:crosses val="autoZero"/>
        <c:crossBetween val="midCat"/>
      </c:valAx>
      <c:valAx>
        <c:axId val="57362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36202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purchase 0</c:v>
          </c:tx>
          <c:xVal>
            <c:numRef>
              <c:f>'tover model ramp updated'!$A$2:$A$9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48</c:v>
                </c:pt>
              </c:numCache>
            </c:numRef>
          </c:xVal>
          <c:yVal>
            <c:numRef>
              <c:f>'tover model ramp updated'!$B$2:$B$9</c:f>
              <c:numCache>
                <c:formatCode>General</c:formatCode>
                <c:ptCount val="8"/>
                <c:pt idx="0">
                  <c:v>0</c:v>
                </c:pt>
                <c:pt idx="1">
                  <c:v>0.13800000000000001</c:v>
                </c:pt>
                <c:pt idx="2">
                  <c:v>0.26200000000000001</c:v>
                </c:pt>
                <c:pt idx="3">
                  <c:v>0.39200000000000002</c:v>
                </c:pt>
                <c:pt idx="4">
                  <c:v>0.60499999999999998</c:v>
                </c:pt>
                <c:pt idx="5">
                  <c:v>0.76500000000000001</c:v>
                </c:pt>
                <c:pt idx="6">
                  <c:v>0.76500000000000001</c:v>
                </c:pt>
                <c:pt idx="7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purchase 1</c:v>
          </c:tx>
          <c:xVal>
            <c:numRef>
              <c:f>'tover model ramp updated'!$A$2:$A$9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48</c:v>
                </c:pt>
              </c:numCache>
            </c:numRef>
          </c:xVal>
          <c:yVal>
            <c:numRef>
              <c:f>'tover model ramp updated'!$C$2:$C$9</c:f>
              <c:numCache>
                <c:formatCode>General</c:formatCode>
                <c:ptCount val="8"/>
                <c:pt idx="0">
                  <c:v>0</c:v>
                </c:pt>
                <c:pt idx="1">
                  <c:v>0.17599999999999999</c:v>
                </c:pt>
                <c:pt idx="2">
                  <c:v>0.32700000000000001</c:v>
                </c:pt>
                <c:pt idx="3">
                  <c:v>0.49399999999999999</c:v>
                </c:pt>
                <c:pt idx="4">
                  <c:v>0.79500000000000004</c:v>
                </c:pt>
                <c:pt idx="5">
                  <c:v>0.85199999999999998</c:v>
                </c:pt>
                <c:pt idx="6">
                  <c:v>0.85199999999999998</c:v>
                </c:pt>
                <c:pt idx="7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63520"/>
        <c:axId val="301985792"/>
      </c:scatterChart>
      <c:valAx>
        <c:axId val="30196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985792"/>
        <c:crosses val="autoZero"/>
        <c:crossBetween val="midCat"/>
      </c:valAx>
      <c:valAx>
        <c:axId val="30198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9635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Purchase 24-42 loan Age</c:v>
          </c:tx>
          <c:xVal>
            <c:numRef>
              <c:f>'tover model ramp updated'!$O$2:$O$6</c:f>
              <c:numCache>
                <c:formatCode>0.0</c:formatCode>
                <c:ptCount val="5"/>
                <c:pt idx="0">
                  <c:v>2.2393784739744262</c:v>
                </c:pt>
                <c:pt idx="1">
                  <c:v>4.0208676674321353</c:v>
                </c:pt>
                <c:pt idx="2">
                  <c:v>5.7371009905327366</c:v>
                </c:pt>
                <c:pt idx="3">
                  <c:v>7.5394290952724115</c:v>
                </c:pt>
                <c:pt idx="4">
                  <c:v>9.0965846132638948</c:v>
                </c:pt>
              </c:numCache>
            </c:numRef>
          </c:xVal>
          <c:yVal>
            <c:numRef>
              <c:f>'tover model ramp updated'!$P$2:$P$6</c:f>
              <c:numCache>
                <c:formatCode>General</c:formatCode>
                <c:ptCount val="5"/>
                <c:pt idx="0">
                  <c:v>5.1031432080539344E-3</c:v>
                </c:pt>
                <c:pt idx="1">
                  <c:v>5.4574534495517284E-3</c:v>
                </c:pt>
                <c:pt idx="2">
                  <c:v>6.781610831383577E-3</c:v>
                </c:pt>
                <c:pt idx="3">
                  <c:v>8.9986235152755729E-3</c:v>
                </c:pt>
                <c:pt idx="4">
                  <c:v>1.1300645848807224E-2</c:v>
                </c:pt>
              </c:numCache>
            </c:numRef>
          </c:yVal>
          <c:smooth val="1"/>
        </c:ser>
        <c:ser>
          <c:idx val="1"/>
          <c:order val="1"/>
          <c:tx>
            <c:v>purchase 24-42 based on annHPA</c:v>
          </c:tx>
          <c:xVal>
            <c:numRef>
              <c:f>'tover model ramp updated'!$U$2:$U$7</c:f>
              <c:numCache>
                <c:formatCode>0.0</c:formatCode>
                <c:ptCount val="6"/>
                <c:pt idx="0">
                  <c:v>2.1925720441007361</c:v>
                </c:pt>
                <c:pt idx="1">
                  <c:v>4.0802166442974199</c:v>
                </c:pt>
                <c:pt idx="2">
                  <c:v>6.0899030598897745</c:v>
                </c:pt>
                <c:pt idx="3">
                  <c:v>7.9000146861644458</c:v>
                </c:pt>
                <c:pt idx="4">
                  <c:v>8.8983402303352843</c:v>
                </c:pt>
                <c:pt idx="5">
                  <c:v>10.430018561650584</c:v>
                </c:pt>
              </c:numCache>
            </c:numRef>
          </c:xVal>
          <c:yVal>
            <c:numRef>
              <c:f>'tover model ramp updated'!$V$2:$V$7</c:f>
              <c:numCache>
                <c:formatCode>General</c:formatCode>
                <c:ptCount val="6"/>
                <c:pt idx="0">
                  <c:v>5.8860803256355456E-3</c:v>
                </c:pt>
                <c:pt idx="1">
                  <c:v>5.254767781019797E-3</c:v>
                </c:pt>
                <c:pt idx="2">
                  <c:v>7.4428475337710966E-3</c:v>
                </c:pt>
                <c:pt idx="3">
                  <c:v>9.0747779035052802E-3</c:v>
                </c:pt>
                <c:pt idx="4">
                  <c:v>9.3354195217028087E-3</c:v>
                </c:pt>
                <c:pt idx="5">
                  <c:v>1.0686216532360493E-2</c:v>
                </c:pt>
              </c:numCache>
            </c:numRef>
          </c:yVal>
          <c:smooth val="1"/>
        </c:ser>
        <c:ser>
          <c:idx val="2"/>
          <c:order val="2"/>
          <c:tx>
            <c:v>purchase 24-42 alt</c:v>
          </c:tx>
          <c:xVal>
            <c:numRef>
              <c:f>'tover model ramp updated'!$AB$2:$AB$6</c:f>
              <c:numCache>
                <c:formatCode>0.0</c:formatCode>
                <c:ptCount val="5"/>
                <c:pt idx="0">
                  <c:v>2.1925720441007361</c:v>
                </c:pt>
                <c:pt idx="1">
                  <c:v>4.0802166442974199</c:v>
                </c:pt>
                <c:pt idx="2">
                  <c:v>6.0899030598897745</c:v>
                </c:pt>
                <c:pt idx="3">
                  <c:v>7.9000146861644458</c:v>
                </c:pt>
                <c:pt idx="4">
                  <c:v>10.430018561650584</c:v>
                </c:pt>
              </c:numCache>
            </c:numRef>
          </c:xVal>
          <c:yVal>
            <c:numRef>
              <c:f>'tover model ramp updated'!$AG$2:$AG$6</c:f>
              <c:numCache>
                <c:formatCode>General</c:formatCode>
                <c:ptCount val="5"/>
                <c:pt idx="0">
                  <c:v>4.8869340363484112E-3</c:v>
                </c:pt>
                <c:pt idx="1">
                  <c:v>4.8869340363484112E-3</c:v>
                </c:pt>
                <c:pt idx="2">
                  <c:v>6.3264204037054321E-3</c:v>
                </c:pt>
                <c:pt idx="3">
                  <c:v>6.9875789856990653E-3</c:v>
                </c:pt>
                <c:pt idx="4">
                  <c:v>7.8009380686231587E-3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614592"/>
        <c:axId val="321317888"/>
      </c:scatterChart>
      <c:valAx>
        <c:axId val="32161459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321317888"/>
        <c:crosses val="autoZero"/>
        <c:crossBetween val="midCat"/>
      </c:valAx>
      <c:valAx>
        <c:axId val="32131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6145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tover by ann HPA</c:v>
          </c:tx>
          <c:xVal>
            <c:numRef>
              <c:f>'tover model ramp updated'!$AB$2:$AB$6</c:f>
              <c:numCache>
                <c:formatCode>0.0</c:formatCode>
                <c:ptCount val="5"/>
                <c:pt idx="0">
                  <c:v>2.1925720441007361</c:v>
                </c:pt>
                <c:pt idx="1">
                  <c:v>4.0802166442974199</c:v>
                </c:pt>
                <c:pt idx="2">
                  <c:v>6.0899030598897745</c:v>
                </c:pt>
                <c:pt idx="3">
                  <c:v>7.9000146861644458</c:v>
                </c:pt>
                <c:pt idx="4">
                  <c:v>10.430018561650584</c:v>
                </c:pt>
              </c:numCache>
            </c:numRef>
          </c:xVal>
          <c:yVal>
            <c:numRef>
              <c:f>'tover model ramp updated'!$AK$2:$AK$6</c:f>
              <c:numCache>
                <c:formatCode>General</c:formatCode>
                <c:ptCount val="5"/>
                <c:pt idx="0">
                  <c:v>6.2552755665259661E-3</c:v>
                </c:pt>
                <c:pt idx="1">
                  <c:v>6.2552755665259661E-3</c:v>
                </c:pt>
                <c:pt idx="2">
                  <c:v>6.8957982400389218E-3</c:v>
                </c:pt>
                <c:pt idx="3">
                  <c:v>7.4068337248410099E-3</c:v>
                </c:pt>
                <c:pt idx="4">
                  <c:v>7.8009380686231587E-3</c:v>
                </c:pt>
              </c:numCache>
            </c:numRef>
          </c:yVal>
          <c:smooth val="1"/>
        </c:ser>
        <c:ser>
          <c:idx val="1"/>
          <c:order val="1"/>
          <c:tx>
            <c:v>refi tover by ann HPA</c:v>
          </c:tx>
          <c:xVal>
            <c:numRef>
              <c:f>'tover model ramp updated'!$AB$2:$AB$6</c:f>
              <c:numCache>
                <c:formatCode>0.0</c:formatCode>
                <c:ptCount val="5"/>
                <c:pt idx="0">
                  <c:v>2.1925720441007361</c:v>
                </c:pt>
                <c:pt idx="1">
                  <c:v>4.0802166442974199</c:v>
                </c:pt>
                <c:pt idx="2">
                  <c:v>6.0899030598897745</c:v>
                </c:pt>
                <c:pt idx="3">
                  <c:v>7.9000146861644458</c:v>
                </c:pt>
                <c:pt idx="4">
                  <c:v>10.430018561650584</c:v>
                </c:pt>
              </c:numCache>
            </c:numRef>
          </c:xVal>
          <c:yVal>
            <c:numRef>
              <c:f>'tover model ramp updated'!$AM$2:$AM$6</c:f>
              <c:numCache>
                <c:formatCode>General</c:formatCode>
                <c:ptCount val="5"/>
                <c:pt idx="0">
                  <c:v>5.5222354610737039E-3</c:v>
                </c:pt>
                <c:pt idx="1">
                  <c:v>5.5222354610737039E-3</c:v>
                </c:pt>
                <c:pt idx="2">
                  <c:v>6.9590624440759759E-3</c:v>
                </c:pt>
                <c:pt idx="3">
                  <c:v>7.6863368842689725E-3</c:v>
                </c:pt>
                <c:pt idx="4">
                  <c:v>7.8009380686231587E-3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73984"/>
        <c:axId val="336766848"/>
      </c:scatterChart>
      <c:valAx>
        <c:axId val="33727398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336766848"/>
        <c:crosses val="autoZero"/>
        <c:crossBetween val="midCat"/>
      </c:valAx>
      <c:valAx>
        <c:axId val="336766848"/>
        <c:scaling>
          <c:orientation val="minMax"/>
          <c:max val="9.0000000000000028E-3"/>
          <c:min val="4.000000000000001E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2739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&lt;5% ramp</c:v>
          </c:tx>
          <c:xVal>
            <c:numRef>
              <c:f>'tover model ramp updated'!$BB$2:$BB$101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'tover model ramp updated'!$BE$2:$BE$101</c:f>
              <c:numCache>
                <c:formatCode>0%</c:formatCode>
                <c:ptCount val="100"/>
                <c:pt idx="0">
                  <c:v>0</c:v>
                </c:pt>
                <c:pt idx="1">
                  <c:v>5.4687500000000007E-2</c:v>
                </c:pt>
                <c:pt idx="2">
                  <c:v>5.4687500000000007E-2</c:v>
                </c:pt>
                <c:pt idx="3">
                  <c:v>5.4687500000000007E-2</c:v>
                </c:pt>
                <c:pt idx="4">
                  <c:v>0.1328125</c:v>
                </c:pt>
                <c:pt idx="5">
                  <c:v>0.140625</c:v>
                </c:pt>
                <c:pt idx="6">
                  <c:v>0.1640625</c:v>
                </c:pt>
                <c:pt idx="7">
                  <c:v>0.21875000000000003</c:v>
                </c:pt>
                <c:pt idx="8">
                  <c:v>0.21875000000000003</c:v>
                </c:pt>
                <c:pt idx="9">
                  <c:v>0.2421875</c:v>
                </c:pt>
                <c:pt idx="10">
                  <c:v>0.28125</c:v>
                </c:pt>
                <c:pt idx="11">
                  <c:v>0.3515625</c:v>
                </c:pt>
                <c:pt idx="12">
                  <c:v>0.42968750000000006</c:v>
                </c:pt>
                <c:pt idx="13">
                  <c:v>0.42968750000000006</c:v>
                </c:pt>
                <c:pt idx="14">
                  <c:v>0.4453125</c:v>
                </c:pt>
                <c:pt idx="15">
                  <c:v>0.4453125</c:v>
                </c:pt>
                <c:pt idx="16">
                  <c:v>0.46875</c:v>
                </c:pt>
                <c:pt idx="17">
                  <c:v>0.4765625</c:v>
                </c:pt>
                <c:pt idx="18">
                  <c:v>0.4765625</c:v>
                </c:pt>
                <c:pt idx="19">
                  <c:v>0.5078125</c:v>
                </c:pt>
                <c:pt idx="20">
                  <c:v>0.53125</c:v>
                </c:pt>
                <c:pt idx="21">
                  <c:v>0.5625</c:v>
                </c:pt>
                <c:pt idx="22">
                  <c:v>0.703125</c:v>
                </c:pt>
                <c:pt idx="23">
                  <c:v>0.7421875</c:v>
                </c:pt>
                <c:pt idx="24">
                  <c:v>0.7421875</c:v>
                </c:pt>
                <c:pt idx="25">
                  <c:v>0.7421875</c:v>
                </c:pt>
                <c:pt idx="26">
                  <c:v>0.7421875</c:v>
                </c:pt>
                <c:pt idx="27">
                  <c:v>0.7421875</c:v>
                </c:pt>
                <c:pt idx="28">
                  <c:v>0.703125</c:v>
                </c:pt>
                <c:pt idx="29">
                  <c:v>0.703125</c:v>
                </c:pt>
                <c:pt idx="30">
                  <c:v>0.7421875</c:v>
                </c:pt>
                <c:pt idx="31">
                  <c:v>0.8203125</c:v>
                </c:pt>
                <c:pt idx="32">
                  <c:v>0.8203125</c:v>
                </c:pt>
                <c:pt idx="33">
                  <c:v>0.8203125</c:v>
                </c:pt>
                <c:pt idx="34">
                  <c:v>0.8984375</c:v>
                </c:pt>
                <c:pt idx="35">
                  <c:v>0.8984375</c:v>
                </c:pt>
                <c:pt idx="36">
                  <c:v>0.8984375</c:v>
                </c:pt>
                <c:pt idx="37">
                  <c:v>0.8984375</c:v>
                </c:pt>
                <c:pt idx="38">
                  <c:v>0.8984375</c:v>
                </c:pt>
                <c:pt idx="39">
                  <c:v>0.78125</c:v>
                </c:pt>
                <c:pt idx="40">
                  <c:v>0.78125</c:v>
                </c:pt>
                <c:pt idx="41">
                  <c:v>0.8203125</c:v>
                </c:pt>
                <c:pt idx="42">
                  <c:v>1.05</c:v>
                </c:pt>
                <c:pt idx="43">
                  <c:v>1.05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test ramp</c:v>
          </c:tx>
          <c:xVal>
            <c:numRef>
              <c:f>'tover model ramp updated'!$BB$2:$BB$61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'tover model ramp updated'!$BG$2:$BG$61</c:f>
              <c:numCache>
                <c:formatCode>0%</c:formatCode>
                <c:ptCount val="60"/>
                <c:pt idx="0">
                  <c:v>2.5454545454545455E-2</c:v>
                </c:pt>
                <c:pt idx="1">
                  <c:v>5.0909090909090911E-2</c:v>
                </c:pt>
                <c:pt idx="2">
                  <c:v>7.636363636363637E-2</c:v>
                </c:pt>
                <c:pt idx="3">
                  <c:v>0.10181818181818182</c:v>
                </c:pt>
                <c:pt idx="4">
                  <c:v>0.12727272727272729</c:v>
                </c:pt>
                <c:pt idx="5">
                  <c:v>0.15272727272727274</c:v>
                </c:pt>
                <c:pt idx="6">
                  <c:v>0.17818181818181819</c:v>
                </c:pt>
                <c:pt idx="7">
                  <c:v>0.20363636363636364</c:v>
                </c:pt>
                <c:pt idx="8">
                  <c:v>0.2290909090909091</c:v>
                </c:pt>
                <c:pt idx="9">
                  <c:v>0.25454545454545457</c:v>
                </c:pt>
                <c:pt idx="10">
                  <c:v>0.28000000000000003</c:v>
                </c:pt>
                <c:pt idx="11" formatCode="0.000%">
                  <c:v>0.315</c:v>
                </c:pt>
                <c:pt idx="12" formatCode="0.000%">
                  <c:v>0.35</c:v>
                </c:pt>
                <c:pt idx="13" formatCode="0.000%">
                  <c:v>0.38499999999999995</c:v>
                </c:pt>
                <c:pt idx="14" formatCode="0.000%">
                  <c:v>0.41999999999999993</c:v>
                </c:pt>
                <c:pt idx="15" formatCode="0.000%">
                  <c:v>0.4549999999999999</c:v>
                </c:pt>
                <c:pt idx="16" formatCode="0.000%">
                  <c:v>0.48999999999999988</c:v>
                </c:pt>
                <c:pt idx="17" formatCode="0.000%">
                  <c:v>0.52499999999999991</c:v>
                </c:pt>
                <c:pt idx="18" formatCode="0.000%">
                  <c:v>0.55999999999999994</c:v>
                </c:pt>
                <c:pt idx="19" formatCode="0.000%">
                  <c:v>0.59499999999999997</c:v>
                </c:pt>
                <c:pt idx="20" formatCode="0.000%">
                  <c:v>0.63</c:v>
                </c:pt>
                <c:pt idx="21" formatCode="0.000%">
                  <c:v>0.66500000000000004</c:v>
                </c:pt>
                <c:pt idx="22">
                  <c:v>0.7</c:v>
                </c:pt>
                <c:pt idx="23">
                  <c:v>0.7153846153846154</c:v>
                </c:pt>
                <c:pt idx="24">
                  <c:v>0.73076923076923084</c:v>
                </c:pt>
                <c:pt idx="25">
                  <c:v>0.74615384615384628</c:v>
                </c:pt>
                <c:pt idx="26">
                  <c:v>0.76153846153846172</c:v>
                </c:pt>
                <c:pt idx="27">
                  <c:v>0.77692307692307716</c:v>
                </c:pt>
                <c:pt idx="28">
                  <c:v>0.7923076923076926</c:v>
                </c:pt>
                <c:pt idx="29">
                  <c:v>0.80769230769230804</c:v>
                </c:pt>
                <c:pt idx="30">
                  <c:v>0.82307692307692348</c:v>
                </c:pt>
                <c:pt idx="31">
                  <c:v>0.83846153846153892</c:v>
                </c:pt>
                <c:pt idx="32">
                  <c:v>0.85384615384615437</c:v>
                </c:pt>
                <c:pt idx="33">
                  <c:v>0.86923076923076981</c:v>
                </c:pt>
                <c:pt idx="34">
                  <c:v>0.88461538461538525</c:v>
                </c:pt>
                <c:pt idx="35">
                  <c:v>0.9</c:v>
                </c:pt>
                <c:pt idx="36">
                  <c:v>0.90416666666666667</c:v>
                </c:pt>
                <c:pt idx="37">
                  <c:v>0.90833333333333333</c:v>
                </c:pt>
                <c:pt idx="38">
                  <c:v>0.91249999999999998</c:v>
                </c:pt>
                <c:pt idx="39">
                  <c:v>0.91666666666666663</c:v>
                </c:pt>
                <c:pt idx="40">
                  <c:v>0.92083333333333328</c:v>
                </c:pt>
                <c:pt idx="41">
                  <c:v>0.92499999999999993</c:v>
                </c:pt>
                <c:pt idx="42">
                  <c:v>0.92916666666666659</c:v>
                </c:pt>
                <c:pt idx="43">
                  <c:v>0.93333333333333324</c:v>
                </c:pt>
                <c:pt idx="44">
                  <c:v>0.93749999999999989</c:v>
                </c:pt>
                <c:pt idx="45">
                  <c:v>0.94166666666666654</c:v>
                </c:pt>
                <c:pt idx="46">
                  <c:v>0.94583333333333319</c:v>
                </c:pt>
                <c:pt idx="47">
                  <c:v>0.94999999999999984</c:v>
                </c:pt>
                <c:pt idx="48">
                  <c:v>0.9541666666666665</c:v>
                </c:pt>
                <c:pt idx="49">
                  <c:v>0.95833333333333315</c:v>
                </c:pt>
                <c:pt idx="50">
                  <c:v>0.9624999999999998</c:v>
                </c:pt>
                <c:pt idx="51">
                  <c:v>0.96666666666666645</c:v>
                </c:pt>
                <c:pt idx="52">
                  <c:v>0.9708333333333331</c:v>
                </c:pt>
                <c:pt idx="53">
                  <c:v>0.97499999999999976</c:v>
                </c:pt>
                <c:pt idx="54">
                  <c:v>0.97916666666666641</c:v>
                </c:pt>
                <c:pt idx="55">
                  <c:v>0.98333333333333306</c:v>
                </c:pt>
                <c:pt idx="56">
                  <c:v>0.98749999999999971</c:v>
                </c:pt>
                <c:pt idx="57">
                  <c:v>0.99166666666666636</c:v>
                </c:pt>
                <c:pt idx="58">
                  <c:v>0.99583333333333302</c:v>
                </c:pt>
                <c:pt idx="5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744448"/>
        <c:axId val="336733312"/>
      </c:scatterChart>
      <c:valAx>
        <c:axId val="33674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733312"/>
        <c:crosses val="autoZero"/>
        <c:crossBetween val="midCat"/>
      </c:valAx>
      <c:valAx>
        <c:axId val="3367333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444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5-7 and 7-9%% ramp</c:v>
          </c:tx>
          <c:xVal>
            <c:numRef>
              <c:f>'tover model ramp updated'!$BB$2:$BB$101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'tover model ramp updated'!$BL$2:$BL$101</c:f>
              <c:numCache>
                <c:formatCode>0%</c:formatCode>
                <c:ptCount val="100"/>
                <c:pt idx="0">
                  <c:v>0</c:v>
                </c:pt>
                <c:pt idx="1">
                  <c:v>6.4220183486238536E-2</c:v>
                </c:pt>
                <c:pt idx="2">
                  <c:v>6.4220183486238536E-2</c:v>
                </c:pt>
                <c:pt idx="3">
                  <c:v>6.4220183486238536E-2</c:v>
                </c:pt>
                <c:pt idx="4">
                  <c:v>0.15596330275229356</c:v>
                </c:pt>
                <c:pt idx="5">
                  <c:v>0.16513761467889904</c:v>
                </c:pt>
                <c:pt idx="6">
                  <c:v>0.19266055045871555</c:v>
                </c:pt>
                <c:pt idx="7">
                  <c:v>0.25688073394495414</c:v>
                </c:pt>
                <c:pt idx="8">
                  <c:v>0.25688073394495414</c:v>
                </c:pt>
                <c:pt idx="9">
                  <c:v>0.2844036697247706</c:v>
                </c:pt>
                <c:pt idx="10">
                  <c:v>0.33027522935779807</c:v>
                </c:pt>
                <c:pt idx="11">
                  <c:v>0.41284403669724767</c:v>
                </c:pt>
                <c:pt idx="12">
                  <c:v>0.50458715596330272</c:v>
                </c:pt>
                <c:pt idx="13">
                  <c:v>0.50458715596330272</c:v>
                </c:pt>
                <c:pt idx="14">
                  <c:v>0.52293577981651373</c:v>
                </c:pt>
                <c:pt idx="15">
                  <c:v>0.52293577981651373</c:v>
                </c:pt>
                <c:pt idx="16">
                  <c:v>0.55045871559633019</c:v>
                </c:pt>
                <c:pt idx="17">
                  <c:v>0.55963302752293576</c:v>
                </c:pt>
                <c:pt idx="18">
                  <c:v>0.55963302752293576</c:v>
                </c:pt>
                <c:pt idx="19">
                  <c:v>0.59633027522935778</c:v>
                </c:pt>
                <c:pt idx="20">
                  <c:v>0.62385321100917424</c:v>
                </c:pt>
                <c:pt idx="21">
                  <c:v>0.66055045871559614</c:v>
                </c:pt>
                <c:pt idx="22">
                  <c:v>0.82568807339449535</c:v>
                </c:pt>
                <c:pt idx="23">
                  <c:v>0.87155963302752282</c:v>
                </c:pt>
                <c:pt idx="24">
                  <c:v>0.87155963302752282</c:v>
                </c:pt>
                <c:pt idx="25">
                  <c:v>0.87155963302752282</c:v>
                </c:pt>
                <c:pt idx="26">
                  <c:v>0.87155963302752282</c:v>
                </c:pt>
                <c:pt idx="27">
                  <c:v>0.87155963302752282</c:v>
                </c:pt>
                <c:pt idx="28">
                  <c:v>0.82568807339449535</c:v>
                </c:pt>
                <c:pt idx="29">
                  <c:v>0.82568807339449535</c:v>
                </c:pt>
                <c:pt idx="30">
                  <c:v>0.87155963302752282</c:v>
                </c:pt>
                <c:pt idx="31">
                  <c:v>0.96330275229357787</c:v>
                </c:pt>
                <c:pt idx="32">
                  <c:v>0.96330275229357787</c:v>
                </c:pt>
                <c:pt idx="33">
                  <c:v>0.96330275229357787</c:v>
                </c:pt>
                <c:pt idx="34">
                  <c:v>1.0550458715596329</c:v>
                </c:pt>
                <c:pt idx="35">
                  <c:v>1.0550458715596329</c:v>
                </c:pt>
                <c:pt idx="36">
                  <c:v>1.0550458715596329</c:v>
                </c:pt>
                <c:pt idx="37">
                  <c:v>1.0550458715596329</c:v>
                </c:pt>
                <c:pt idx="38">
                  <c:v>1.0550458715596329</c:v>
                </c:pt>
                <c:pt idx="39">
                  <c:v>0.9174311926605504</c:v>
                </c:pt>
                <c:pt idx="40">
                  <c:v>0.9174311926605504</c:v>
                </c:pt>
                <c:pt idx="41">
                  <c:v>0.96330275229357787</c:v>
                </c:pt>
                <c:pt idx="42">
                  <c:v>1.05</c:v>
                </c:pt>
                <c:pt idx="43">
                  <c:v>1.05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test ramp</c:v>
          </c:tx>
          <c:xVal>
            <c:numRef>
              <c:f>'tover model ramp updated'!$BB$2:$BB$61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'tover model ramp updated'!$BM$2:$BM$61</c:f>
              <c:numCache>
                <c:formatCode>0.00%</c:formatCode>
                <c:ptCount val="60"/>
                <c:pt idx="0">
                  <c:v>3.0000000000000002E-2</c:v>
                </c:pt>
                <c:pt idx="1">
                  <c:v>6.0000000000000005E-2</c:v>
                </c:pt>
                <c:pt idx="2">
                  <c:v>9.0000000000000011E-2</c:v>
                </c:pt>
                <c:pt idx="3">
                  <c:v>0.12000000000000001</c:v>
                </c:pt>
                <c:pt idx="4">
                  <c:v>0.15000000000000002</c:v>
                </c:pt>
                <c:pt idx="5">
                  <c:v>0.18000000000000002</c:v>
                </c:pt>
                <c:pt idx="6">
                  <c:v>0.21000000000000002</c:v>
                </c:pt>
                <c:pt idx="7">
                  <c:v>0.24000000000000002</c:v>
                </c:pt>
                <c:pt idx="8">
                  <c:v>0.27</c:v>
                </c:pt>
                <c:pt idx="9">
                  <c:v>0.30000000000000004</c:v>
                </c:pt>
                <c:pt idx="10">
                  <c:v>0.33</c:v>
                </c:pt>
                <c:pt idx="11" formatCode="0%">
                  <c:v>0.3716666666666667</c:v>
                </c:pt>
                <c:pt idx="12" formatCode="0%">
                  <c:v>0.41333333333333339</c:v>
                </c:pt>
                <c:pt idx="13" formatCode="0%">
                  <c:v>0.45500000000000007</c:v>
                </c:pt>
                <c:pt idx="14" formatCode="0%">
                  <c:v>0.49666666666666676</c:v>
                </c:pt>
                <c:pt idx="15" formatCode="0%">
                  <c:v>0.53833333333333344</c:v>
                </c:pt>
                <c:pt idx="16" formatCode="0%">
                  <c:v>0.58000000000000007</c:v>
                </c:pt>
                <c:pt idx="17" formatCode="0%">
                  <c:v>0.6216666666666667</c:v>
                </c:pt>
                <c:pt idx="18" formatCode="0%">
                  <c:v>0.66333333333333333</c:v>
                </c:pt>
                <c:pt idx="19" formatCode="0%">
                  <c:v>0.70499999999999996</c:v>
                </c:pt>
                <c:pt idx="20" formatCode="0%">
                  <c:v>0.74666666666666659</c:v>
                </c:pt>
                <c:pt idx="21" formatCode="0%">
                  <c:v>0.78833333333333322</c:v>
                </c:pt>
                <c:pt idx="22" formatCode="0%">
                  <c:v>0.83</c:v>
                </c:pt>
                <c:pt idx="23" formatCode="0%">
                  <c:v>0.84307692307692306</c:v>
                </c:pt>
                <c:pt idx="24" formatCode="0%">
                  <c:v>0.85615384615384615</c:v>
                </c:pt>
                <c:pt idx="25" formatCode="0%">
                  <c:v>0.86923076923076925</c:v>
                </c:pt>
                <c:pt idx="26" formatCode="0%">
                  <c:v>0.88230769230769235</c:v>
                </c:pt>
                <c:pt idx="27" formatCode="0%">
                  <c:v>0.89538461538461545</c:v>
                </c:pt>
                <c:pt idx="28" formatCode="0%">
                  <c:v>0.90846153846153854</c:v>
                </c:pt>
                <c:pt idx="29" formatCode="0%">
                  <c:v>0.92153846153846164</c:v>
                </c:pt>
                <c:pt idx="30" formatCode="0%">
                  <c:v>0.93461538461538474</c:v>
                </c:pt>
                <c:pt idx="31" formatCode="0%">
                  <c:v>0.94769230769230783</c:v>
                </c:pt>
                <c:pt idx="32" formatCode="0%">
                  <c:v>0.96076923076923093</c:v>
                </c:pt>
                <c:pt idx="33" formatCode="0%">
                  <c:v>0.97384615384615403</c:v>
                </c:pt>
                <c:pt idx="34" formatCode="0%">
                  <c:v>0.98692307692307712</c:v>
                </c:pt>
                <c:pt idx="35" formatCode="0%">
                  <c:v>1</c:v>
                </c:pt>
                <c:pt idx="36" formatCode="0%">
                  <c:v>1</c:v>
                </c:pt>
                <c:pt idx="37" formatCode="0%">
                  <c:v>1</c:v>
                </c:pt>
                <c:pt idx="38" formatCode="0%">
                  <c:v>1</c:v>
                </c:pt>
                <c:pt idx="39" formatCode="0%">
                  <c:v>1</c:v>
                </c:pt>
                <c:pt idx="40" formatCode="0%">
                  <c:v>1</c:v>
                </c:pt>
                <c:pt idx="41" formatCode="0%">
                  <c:v>1</c:v>
                </c:pt>
                <c:pt idx="42" formatCode="0%">
                  <c:v>1</c:v>
                </c:pt>
                <c:pt idx="43" formatCode="0%">
                  <c:v>1</c:v>
                </c:pt>
                <c:pt idx="44" formatCode="0%">
                  <c:v>1</c:v>
                </c:pt>
                <c:pt idx="45" formatCode="0%">
                  <c:v>1</c:v>
                </c:pt>
                <c:pt idx="46" formatCode="0%">
                  <c:v>1</c:v>
                </c:pt>
                <c:pt idx="47" formatCode="0%">
                  <c:v>1</c:v>
                </c:pt>
                <c:pt idx="48" formatCode="0%">
                  <c:v>1</c:v>
                </c:pt>
                <c:pt idx="49" formatCode="0%">
                  <c:v>1</c:v>
                </c:pt>
                <c:pt idx="50" formatCode="0%">
                  <c:v>1</c:v>
                </c:pt>
                <c:pt idx="51" formatCode="0%">
                  <c:v>1</c:v>
                </c:pt>
                <c:pt idx="52" formatCode="0%">
                  <c:v>1</c:v>
                </c:pt>
                <c:pt idx="53" formatCode="0%">
                  <c:v>1</c:v>
                </c:pt>
                <c:pt idx="54" formatCode="0%">
                  <c:v>1</c:v>
                </c:pt>
                <c:pt idx="55" formatCode="0%">
                  <c:v>1</c:v>
                </c:pt>
                <c:pt idx="56" formatCode="0%">
                  <c:v>1</c:v>
                </c:pt>
                <c:pt idx="57" formatCode="0%">
                  <c:v>1</c:v>
                </c:pt>
                <c:pt idx="58" formatCode="0%">
                  <c:v>1</c:v>
                </c:pt>
                <c:pt idx="59" formatCode="0%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855552"/>
        <c:axId val="414857088"/>
      </c:scatterChart>
      <c:valAx>
        <c:axId val="41485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4857088"/>
        <c:crosses val="autoZero"/>
        <c:crossBetween val="midCat"/>
      </c:valAx>
      <c:valAx>
        <c:axId val="4148570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48555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9+% ramp</c:v>
          </c:tx>
          <c:xVal>
            <c:numRef>
              <c:f>'tover model ramp updated'!$BB$2:$BB$101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'tover model ramp updated'!$BR$2:$BR$101</c:f>
              <c:numCache>
                <c:formatCode>0%</c:formatCode>
                <c:ptCount val="100"/>
                <c:pt idx="0">
                  <c:v>0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0.17</c:v>
                </c:pt>
                <c:pt idx="5">
                  <c:v>0.18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0.31</c:v>
                </c:pt>
                <c:pt idx="10">
                  <c:v>0.36</c:v>
                </c:pt>
                <c:pt idx="11">
                  <c:v>0.45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0.6</c:v>
                </c:pt>
                <c:pt idx="17">
                  <c:v>0.61</c:v>
                </c:pt>
                <c:pt idx="18">
                  <c:v>0.61</c:v>
                </c:pt>
                <c:pt idx="19">
                  <c:v>0.65</c:v>
                </c:pt>
                <c:pt idx="20">
                  <c:v>0.68</c:v>
                </c:pt>
                <c:pt idx="21">
                  <c:v>0.72</c:v>
                </c:pt>
                <c:pt idx="22">
                  <c:v>0.9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</c:v>
                </c:pt>
                <c:pt idx="29">
                  <c:v>0.9</c:v>
                </c:pt>
                <c:pt idx="30">
                  <c:v>0.95</c:v>
                </c:pt>
                <c:pt idx="31">
                  <c:v>1.05</c:v>
                </c:pt>
                <c:pt idx="32">
                  <c:v>1.05</c:v>
                </c:pt>
                <c:pt idx="33">
                  <c:v>1.05</c:v>
                </c:pt>
                <c:pt idx="34">
                  <c:v>1.1499999999999999</c:v>
                </c:pt>
                <c:pt idx="35">
                  <c:v>1.1499999999999999</c:v>
                </c:pt>
                <c:pt idx="36">
                  <c:v>1.1499999999999999</c:v>
                </c:pt>
                <c:pt idx="37">
                  <c:v>1.1499999999999999</c:v>
                </c:pt>
                <c:pt idx="38">
                  <c:v>1.1499999999999999</c:v>
                </c:pt>
                <c:pt idx="39">
                  <c:v>1</c:v>
                </c:pt>
                <c:pt idx="40">
                  <c:v>1</c:v>
                </c:pt>
                <c:pt idx="41">
                  <c:v>1.05</c:v>
                </c:pt>
                <c:pt idx="42">
                  <c:v>1.05</c:v>
                </c:pt>
                <c:pt idx="43">
                  <c:v>1.05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test ramp</c:v>
          </c:tx>
          <c:xVal>
            <c:numRef>
              <c:f>'tover model ramp updated'!$BB$2:$BB$61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'tover model ramp updated'!$BS$2:$BS$61</c:f>
              <c:numCache>
                <c:formatCode>0%</c:formatCode>
                <c:ptCount val="60"/>
                <c:pt idx="0">
                  <c:v>3.2727272727272723E-2</c:v>
                </c:pt>
                <c:pt idx="1">
                  <c:v>6.5454545454545446E-2</c:v>
                </c:pt>
                <c:pt idx="2">
                  <c:v>9.8181818181818176E-2</c:v>
                </c:pt>
                <c:pt idx="3">
                  <c:v>0.13090909090909089</c:v>
                </c:pt>
                <c:pt idx="4">
                  <c:v>0.16363636363636361</c:v>
                </c:pt>
                <c:pt idx="5">
                  <c:v>0.19636363636363635</c:v>
                </c:pt>
                <c:pt idx="6">
                  <c:v>0.22909090909090907</c:v>
                </c:pt>
                <c:pt idx="7">
                  <c:v>0.26181818181818178</c:v>
                </c:pt>
                <c:pt idx="8">
                  <c:v>0.2945454545454545</c:v>
                </c:pt>
                <c:pt idx="9">
                  <c:v>0.32727272727272722</c:v>
                </c:pt>
                <c:pt idx="10">
                  <c:v>0.36</c:v>
                </c:pt>
                <c:pt idx="11">
                  <c:v>0.40499999999999997</c:v>
                </c:pt>
                <c:pt idx="12">
                  <c:v>0.44999999999999996</c:v>
                </c:pt>
                <c:pt idx="13">
                  <c:v>0.49499999999999994</c:v>
                </c:pt>
                <c:pt idx="14">
                  <c:v>0.53999999999999992</c:v>
                </c:pt>
                <c:pt idx="15">
                  <c:v>0.58499999999999996</c:v>
                </c:pt>
                <c:pt idx="16">
                  <c:v>0.63</c:v>
                </c:pt>
                <c:pt idx="17">
                  <c:v>0.67500000000000004</c:v>
                </c:pt>
                <c:pt idx="18">
                  <c:v>0.72000000000000008</c:v>
                </c:pt>
                <c:pt idx="19">
                  <c:v>0.76500000000000012</c:v>
                </c:pt>
                <c:pt idx="20">
                  <c:v>0.81000000000000016</c:v>
                </c:pt>
                <c:pt idx="21">
                  <c:v>0.8550000000000002</c:v>
                </c:pt>
                <c:pt idx="22">
                  <c:v>0.9</c:v>
                </c:pt>
                <c:pt idx="23">
                  <c:v>0.94500000000000006</c:v>
                </c:pt>
                <c:pt idx="24">
                  <c:v>0.9900000000000001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76160"/>
        <c:axId val="434722304"/>
      </c:scatterChart>
      <c:valAx>
        <c:axId val="41607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722304"/>
        <c:crosses val="autoZero"/>
        <c:crossBetween val="midCat"/>
      </c:valAx>
      <c:valAx>
        <c:axId val="4347223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60761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 HPA</c:v>
          </c:tx>
          <c:xVal>
            <c:numRef>
              <c:f>'cumHPA updated'!$A$2:$A$16</c:f>
              <c:numCache>
                <c:formatCode>General</c:formatCode>
                <c:ptCount val="1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  <c:pt idx="5">
                  <c:v>17.5</c:v>
                </c:pt>
                <c:pt idx="6">
                  <c:v>20</c:v>
                </c:pt>
                <c:pt idx="7">
                  <c:v>22.5</c:v>
                </c:pt>
                <c:pt idx="8">
                  <c:v>25</c:v>
                </c:pt>
                <c:pt idx="9">
                  <c:v>27.5</c:v>
                </c:pt>
                <c:pt idx="10">
                  <c:v>30</c:v>
                </c:pt>
                <c:pt idx="11">
                  <c:v>32.5</c:v>
                </c:pt>
                <c:pt idx="12">
                  <c:v>35</c:v>
                </c:pt>
                <c:pt idx="13">
                  <c:v>37.5</c:v>
                </c:pt>
                <c:pt idx="14">
                  <c:v>40</c:v>
                </c:pt>
              </c:numCache>
            </c:numRef>
          </c:xVal>
          <c:yVal>
            <c:numRef>
              <c:f>'cumHPA updated'!$C$2:$C$16</c:f>
              <c:numCache>
                <c:formatCode>0.0000</c:formatCode>
                <c:ptCount val="15"/>
                <c:pt idx="0">
                  <c:v>0</c:v>
                </c:pt>
                <c:pt idx="1">
                  <c:v>4.4999999999999998E-2</c:v>
                </c:pt>
                <c:pt idx="2">
                  <c:v>9.0899999900647996E-2</c:v>
                </c:pt>
                <c:pt idx="3">
                  <c:v>0.12</c:v>
                </c:pt>
                <c:pt idx="4">
                  <c:v>0.2200324105421505</c:v>
                </c:pt>
                <c:pt idx="5">
                  <c:v>0.3709675783612249</c:v>
                </c:pt>
                <c:pt idx="6">
                  <c:v>0.58346986892485131</c:v>
                </c:pt>
                <c:pt idx="7">
                  <c:v>0.68206250074758745</c:v>
                </c:pt>
                <c:pt idx="8">
                  <c:v>0.7215981792795898</c:v>
                </c:pt>
                <c:pt idx="9">
                  <c:v>0.7782392644949393</c:v>
                </c:pt>
                <c:pt idx="10">
                  <c:v>0.84120530571852603</c:v>
                </c:pt>
                <c:pt idx="11">
                  <c:v>0.86010003954916026</c:v>
                </c:pt>
                <c:pt idx="12">
                  <c:v>0.87899477337979437</c:v>
                </c:pt>
                <c:pt idx="13">
                  <c:v>0.93544980410590295</c:v>
                </c:pt>
                <c:pt idx="14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v>adj cum HPA</c:v>
          </c:tx>
          <c:xVal>
            <c:numRef>
              <c:f>'cumHPA updated'!$H$1:$H$16</c:f>
              <c:numCache>
                <c:formatCode>General</c:formatCode>
                <c:ptCount val="16"/>
                <c:pt idx="0">
                  <c:v>0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  <c:pt idx="11">
                  <c:v>30</c:v>
                </c:pt>
                <c:pt idx="12">
                  <c:v>32.5</c:v>
                </c:pt>
                <c:pt idx="13">
                  <c:v>35</c:v>
                </c:pt>
                <c:pt idx="14">
                  <c:v>37.5</c:v>
                </c:pt>
                <c:pt idx="15">
                  <c:v>40</c:v>
                </c:pt>
              </c:numCache>
            </c:numRef>
          </c:xVal>
          <c:yVal>
            <c:numRef>
              <c:f>'cumHPA updated'!$I$1:$I$16</c:f>
              <c:numCache>
                <c:formatCode>0.0000</c:formatCode>
                <c:ptCount val="16"/>
                <c:pt idx="0" formatCode="General">
                  <c:v>0</c:v>
                </c:pt>
                <c:pt idx="1">
                  <c:v>0.15</c:v>
                </c:pt>
                <c:pt idx="2">
                  <c:v>0.23249999999999998</c:v>
                </c:pt>
                <c:pt idx="3">
                  <c:v>0.315</c:v>
                </c:pt>
                <c:pt idx="4">
                  <c:v>0.39500000000000002</c:v>
                </c:pt>
                <c:pt idx="5">
                  <c:v>0.47499999999999998</c:v>
                </c:pt>
                <c:pt idx="6">
                  <c:v>0.55499999999999994</c:v>
                </c:pt>
                <c:pt idx="7">
                  <c:v>0.63500000000000001</c:v>
                </c:pt>
                <c:pt idx="8">
                  <c:v>0.67500000000000004</c:v>
                </c:pt>
                <c:pt idx="9">
                  <c:v>0.71499999999999997</c:v>
                </c:pt>
                <c:pt idx="10">
                  <c:v>0.75707252021629978</c:v>
                </c:pt>
                <c:pt idx="11">
                  <c:v>0.79914504043259971</c:v>
                </c:pt>
                <c:pt idx="12">
                  <c:v>0.83906990690619709</c:v>
                </c:pt>
                <c:pt idx="13">
                  <c:v>0.87899477337979437</c:v>
                </c:pt>
                <c:pt idx="14">
                  <c:v>0.93949738668989724</c:v>
                </c:pt>
                <c:pt idx="15" formatCode="General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603520"/>
        <c:axId val="372609408"/>
      </c:scatterChart>
      <c:valAx>
        <c:axId val="3726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2609408"/>
        <c:crosses val="autoZero"/>
        <c:crossBetween val="midCat"/>
      </c:valAx>
      <c:valAx>
        <c:axId val="372609408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3726035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new'!$C$4:$C$16</c:f>
              <c:numCache>
                <c:formatCode>0.000</c:formatCode>
                <c:ptCount val="13"/>
                <c:pt idx="0">
                  <c:v>2.4E-2</c:v>
                </c:pt>
                <c:pt idx="1">
                  <c:v>0.13500000000000001</c:v>
                </c:pt>
                <c:pt idx="2">
                  <c:v>0.32500000000000001</c:v>
                </c:pt>
                <c:pt idx="3">
                  <c:v>0.59799999999999998</c:v>
                </c:pt>
                <c:pt idx="4">
                  <c:v>1.25</c:v>
                </c:pt>
                <c:pt idx="5">
                  <c:v>1.7</c:v>
                </c:pt>
                <c:pt idx="6">
                  <c:v>2.1</c:v>
                </c:pt>
                <c:pt idx="7">
                  <c:v>2.4</c:v>
                </c:pt>
                <c:pt idx="8">
                  <c:v>2.7</c:v>
                </c:pt>
                <c:pt idx="9">
                  <c:v>2.9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1"/>
        </c:ser>
        <c:ser>
          <c:idx val="1"/>
          <c:order val="1"/>
          <c:tx>
            <c:v>1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new'!$D$4:$D$16</c:f>
              <c:numCache>
                <c:formatCode>0.000</c:formatCode>
                <c:ptCount val="13"/>
                <c:pt idx="0">
                  <c:v>2.4E-2</c:v>
                </c:pt>
                <c:pt idx="1">
                  <c:v>0.13500000000000001</c:v>
                </c:pt>
                <c:pt idx="2">
                  <c:v>0.31900000000000001</c:v>
                </c:pt>
                <c:pt idx="3">
                  <c:v>0.57999999999999996</c:v>
                </c:pt>
                <c:pt idx="4">
                  <c:v>1.1299999999999999</c:v>
                </c:pt>
                <c:pt idx="5">
                  <c:v>1.58</c:v>
                </c:pt>
                <c:pt idx="6">
                  <c:v>1.9</c:v>
                </c:pt>
                <c:pt idx="7">
                  <c:v>2.2000000000000002</c:v>
                </c:pt>
                <c:pt idx="8">
                  <c:v>2.5</c:v>
                </c:pt>
                <c:pt idx="9">
                  <c:v>2.7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</c:numCache>
            </c:numRef>
          </c:yVal>
          <c:smooth val="1"/>
        </c:ser>
        <c:ser>
          <c:idx val="2"/>
          <c:order val="2"/>
          <c:tx>
            <c:v>2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new'!$E$4:$E$16</c:f>
              <c:numCache>
                <c:formatCode>0.000</c:formatCode>
                <c:ptCount val="13"/>
                <c:pt idx="0">
                  <c:v>0</c:v>
                </c:pt>
                <c:pt idx="1">
                  <c:v>7.2999999999999995E-2</c:v>
                </c:pt>
                <c:pt idx="2">
                  <c:v>0.23200000000000001</c:v>
                </c:pt>
                <c:pt idx="3">
                  <c:v>0.48</c:v>
                </c:pt>
                <c:pt idx="4">
                  <c:v>0.86699999999999999</c:v>
                </c:pt>
                <c:pt idx="5">
                  <c:v>1.3129999999999999</c:v>
                </c:pt>
                <c:pt idx="6">
                  <c:v>1.7</c:v>
                </c:pt>
                <c:pt idx="7">
                  <c:v>2</c:v>
                </c:pt>
                <c:pt idx="8">
                  <c:v>2.2999999999999998</c:v>
                </c:pt>
                <c:pt idx="9">
                  <c:v>2.5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</c:numCache>
            </c:numRef>
          </c:yVal>
          <c:smooth val="1"/>
        </c:ser>
        <c:ser>
          <c:idx val="3"/>
          <c:order val="3"/>
          <c:tx>
            <c:v>3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new'!$F$4:$F$16</c:f>
              <c:numCache>
                <c:formatCode>0.000</c:formatCode>
                <c:ptCount val="13"/>
                <c:pt idx="0">
                  <c:v>0</c:v>
                </c:pt>
                <c:pt idx="1">
                  <c:v>3.5000000000000003E-2</c:v>
                </c:pt>
                <c:pt idx="2">
                  <c:v>0.155</c:v>
                </c:pt>
                <c:pt idx="3">
                  <c:v>0.34200000000000003</c:v>
                </c:pt>
                <c:pt idx="4">
                  <c:v>0.622</c:v>
                </c:pt>
                <c:pt idx="5">
                  <c:v>1.097</c:v>
                </c:pt>
                <c:pt idx="6">
                  <c:v>1.5</c:v>
                </c:pt>
                <c:pt idx="7">
                  <c:v>1.8</c:v>
                </c:pt>
                <c:pt idx="8">
                  <c:v>2.125</c:v>
                </c:pt>
                <c:pt idx="9">
                  <c:v>2.3250000000000002</c:v>
                </c:pt>
                <c:pt idx="10">
                  <c:v>2.4249999999999998</c:v>
                </c:pt>
                <c:pt idx="11">
                  <c:v>2.4249999999999998</c:v>
                </c:pt>
                <c:pt idx="12">
                  <c:v>2.4249999999999998</c:v>
                </c:pt>
              </c:numCache>
            </c:numRef>
          </c:yVal>
          <c:smooth val="1"/>
        </c:ser>
        <c:ser>
          <c:idx val="4"/>
          <c:order val="4"/>
          <c:tx>
            <c:v>4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new'!$G$4:$G$16</c:f>
              <c:numCache>
                <c:formatCode>0.000</c:formatCode>
                <c:ptCount val="13"/>
                <c:pt idx="0">
                  <c:v>0</c:v>
                </c:pt>
                <c:pt idx="1">
                  <c:v>2.5000000000000001E-2</c:v>
                </c:pt>
                <c:pt idx="2">
                  <c:v>0.11</c:v>
                </c:pt>
                <c:pt idx="3">
                  <c:v>0.24</c:v>
                </c:pt>
                <c:pt idx="4">
                  <c:v>0.46</c:v>
                </c:pt>
                <c:pt idx="5">
                  <c:v>0.78400000000000003</c:v>
                </c:pt>
                <c:pt idx="6">
                  <c:v>1.2</c:v>
                </c:pt>
                <c:pt idx="7">
                  <c:v>1.55</c:v>
                </c:pt>
                <c:pt idx="8">
                  <c:v>1.875</c:v>
                </c:pt>
                <c:pt idx="9">
                  <c:v>2.0750000000000002</c:v>
                </c:pt>
                <c:pt idx="10">
                  <c:v>2.1749999999999998</c:v>
                </c:pt>
                <c:pt idx="11">
                  <c:v>2.1749999999999998</c:v>
                </c:pt>
                <c:pt idx="12">
                  <c:v>2.1749999999999998</c:v>
                </c:pt>
              </c:numCache>
            </c:numRef>
          </c:yVal>
          <c:smooth val="1"/>
        </c:ser>
        <c:ser>
          <c:idx val="5"/>
          <c:order val="5"/>
          <c:tx>
            <c:v>5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new'!$H$4:$H$16</c:f>
              <c:numCache>
                <c:formatCode>0.000</c:formatCode>
                <c:ptCount val="13"/>
                <c:pt idx="0">
                  <c:v>0</c:v>
                </c:pt>
                <c:pt idx="1">
                  <c:v>1.4999999999999999E-2</c:v>
                </c:pt>
                <c:pt idx="2">
                  <c:v>6.9000000000000006E-2</c:v>
                </c:pt>
                <c:pt idx="3">
                  <c:v>0.191</c:v>
                </c:pt>
                <c:pt idx="4">
                  <c:v>0.35</c:v>
                </c:pt>
                <c:pt idx="5">
                  <c:v>0.6</c:v>
                </c:pt>
                <c:pt idx="6">
                  <c:v>0.875</c:v>
                </c:pt>
                <c:pt idx="7">
                  <c:v>1.278</c:v>
                </c:pt>
                <c:pt idx="8">
                  <c:v>1.6</c:v>
                </c:pt>
                <c:pt idx="9">
                  <c:v>1.8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</c:numCache>
            </c:numRef>
          </c:yVal>
          <c:smooth val="1"/>
        </c:ser>
        <c:ser>
          <c:idx val="6"/>
          <c:order val="6"/>
          <c:tx>
            <c:v>6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new'!$I$4:$I$16</c:f>
              <c:numCache>
                <c:formatCode>0.000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5.2999999999999999E-2</c:v>
                </c:pt>
                <c:pt idx="3">
                  <c:v>0.15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0.92900000000000005</c:v>
                </c:pt>
                <c:pt idx="8">
                  <c:v>1.2110000000000001</c:v>
                </c:pt>
                <c:pt idx="9">
                  <c:v>1.4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</c:numCache>
            </c:numRef>
          </c:yVal>
          <c:smooth val="1"/>
        </c:ser>
        <c:ser>
          <c:idx val="7"/>
          <c:order val="7"/>
          <c:tx>
            <c:v>7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new'!$J$4:$J$16</c:f>
              <c:numCache>
                <c:formatCode>0.000</c:formatCode>
                <c:ptCount val="13"/>
                <c:pt idx="0">
                  <c:v>0</c:v>
                </c:pt>
                <c:pt idx="1">
                  <c:v>5.0000000000000001E-3</c:v>
                </c:pt>
                <c:pt idx="2">
                  <c:v>4.2000000000000003E-2</c:v>
                </c:pt>
                <c:pt idx="3">
                  <c:v>0.1</c:v>
                </c:pt>
                <c:pt idx="4">
                  <c:v>0.21099999999999999</c:v>
                </c:pt>
                <c:pt idx="5">
                  <c:v>0.443</c:v>
                </c:pt>
                <c:pt idx="6">
                  <c:v>0.6</c:v>
                </c:pt>
                <c:pt idx="7">
                  <c:v>0.8</c:v>
                </c:pt>
                <c:pt idx="8">
                  <c:v>0.95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</c:numCache>
            </c:numRef>
          </c:yVal>
          <c:smooth val="1"/>
        </c:ser>
        <c:ser>
          <c:idx val="8"/>
          <c:order val="8"/>
          <c:tx>
            <c:v>8</c:v>
          </c:tx>
          <c:xVal>
            <c:numRef>
              <c:f>'low media new'!$B$4:$B$16</c:f>
              <c:numCache>
                <c:formatCode>General</c:formatCode>
                <c:ptCount val="13"/>
                <c:pt idx="0">
                  <c:v>-38</c:v>
                </c:pt>
                <c:pt idx="1">
                  <c:v>-13</c:v>
                </c:pt>
                <c:pt idx="2">
                  <c:v>12</c:v>
                </c:pt>
                <c:pt idx="3">
                  <c:v>37</c:v>
                </c:pt>
                <c:pt idx="4">
                  <c:v>62</c:v>
                </c:pt>
                <c:pt idx="5">
                  <c:v>87</c:v>
                </c:pt>
                <c:pt idx="6">
                  <c:v>112</c:v>
                </c:pt>
                <c:pt idx="7">
                  <c:v>137</c:v>
                </c:pt>
                <c:pt idx="8">
                  <c:v>162</c:v>
                </c:pt>
                <c:pt idx="9">
                  <c:v>187</c:v>
                </c:pt>
                <c:pt idx="10">
                  <c:v>212</c:v>
                </c:pt>
                <c:pt idx="11">
                  <c:v>237</c:v>
                </c:pt>
                <c:pt idx="12">
                  <c:v>262</c:v>
                </c:pt>
              </c:numCache>
            </c:numRef>
          </c:xVal>
          <c:yVal>
            <c:numRef>
              <c:f>'low media new'!$K$4:$K$16</c:f>
              <c:numCache>
                <c:formatCode>0.000</c:formatCode>
                <c:ptCount val="13"/>
                <c:pt idx="0">
                  <c:v>0</c:v>
                </c:pt>
                <c:pt idx="1">
                  <c:v>4.0000000000000001E-3</c:v>
                </c:pt>
                <c:pt idx="2">
                  <c:v>3.5000000000000003E-2</c:v>
                </c:pt>
                <c:pt idx="3">
                  <c:v>0.08</c:v>
                </c:pt>
                <c:pt idx="4">
                  <c:v>0.16900000000000001</c:v>
                </c:pt>
                <c:pt idx="5">
                  <c:v>0.34300000000000003</c:v>
                </c:pt>
                <c:pt idx="6">
                  <c:v>0.53</c:v>
                </c:pt>
                <c:pt idx="7">
                  <c:v>0.7</c:v>
                </c:pt>
                <c:pt idx="8">
                  <c:v>0.81299999999999994</c:v>
                </c:pt>
                <c:pt idx="9">
                  <c:v>0.92500000000000004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1"/>
        </c:ser>
        <c:ser>
          <c:idx val="9"/>
          <c:order val="9"/>
          <c:tx>
            <c:v>9</c:v>
          </c:tx>
          <c:xVal>
            <c:numRef>
              <c:f>'low media new'!$B$3:$B$16</c:f>
              <c:numCache>
                <c:formatCode>General</c:formatCode>
                <c:ptCount val="14"/>
                <c:pt idx="0">
                  <c:v>-50</c:v>
                </c:pt>
                <c:pt idx="1">
                  <c:v>-38</c:v>
                </c:pt>
                <c:pt idx="2">
                  <c:v>-13</c:v>
                </c:pt>
                <c:pt idx="3">
                  <c:v>12</c:v>
                </c:pt>
                <c:pt idx="4">
                  <c:v>37</c:v>
                </c:pt>
                <c:pt idx="5">
                  <c:v>62</c:v>
                </c:pt>
                <c:pt idx="6">
                  <c:v>87</c:v>
                </c:pt>
                <c:pt idx="7">
                  <c:v>112</c:v>
                </c:pt>
                <c:pt idx="8">
                  <c:v>137</c:v>
                </c:pt>
                <c:pt idx="9">
                  <c:v>162</c:v>
                </c:pt>
                <c:pt idx="10">
                  <c:v>187</c:v>
                </c:pt>
                <c:pt idx="11">
                  <c:v>212</c:v>
                </c:pt>
                <c:pt idx="12">
                  <c:v>237</c:v>
                </c:pt>
                <c:pt idx="13">
                  <c:v>262</c:v>
                </c:pt>
              </c:numCache>
            </c:numRef>
          </c:xVal>
          <c:yVal>
            <c:numRef>
              <c:f>'low media new'!$L$3:$L$16</c:f>
              <c:numCache>
                <c:formatCode>0.000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4.0000000000000001E-3</c:v>
                </c:pt>
                <c:pt idx="3">
                  <c:v>3.5000000000000003E-2</c:v>
                </c:pt>
                <c:pt idx="4">
                  <c:v>0.08</c:v>
                </c:pt>
                <c:pt idx="5">
                  <c:v>0.14000000000000001</c:v>
                </c:pt>
                <c:pt idx="6">
                  <c:v>0.255</c:v>
                </c:pt>
                <c:pt idx="7">
                  <c:v>0.39</c:v>
                </c:pt>
                <c:pt idx="8">
                  <c:v>0.55000000000000004</c:v>
                </c:pt>
                <c:pt idx="9">
                  <c:v>0.7</c:v>
                </c:pt>
                <c:pt idx="10">
                  <c:v>0.77500000000000002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</c:numCache>
            </c:numRef>
          </c:yVal>
          <c:smooth val="1"/>
        </c:ser>
        <c:ser>
          <c:idx val="10"/>
          <c:order val="10"/>
          <c:tx>
            <c:v>10</c:v>
          </c:tx>
          <c:xVal>
            <c:numRef>
              <c:f>'low media new'!$B$3:$B$16</c:f>
              <c:numCache>
                <c:formatCode>General</c:formatCode>
                <c:ptCount val="14"/>
                <c:pt idx="0">
                  <c:v>-50</c:v>
                </c:pt>
                <c:pt idx="1">
                  <c:v>-38</c:v>
                </c:pt>
                <c:pt idx="2">
                  <c:v>-13</c:v>
                </c:pt>
                <c:pt idx="3">
                  <c:v>12</c:v>
                </c:pt>
                <c:pt idx="4">
                  <c:v>37</c:v>
                </c:pt>
                <c:pt idx="5">
                  <c:v>62</c:v>
                </c:pt>
                <c:pt idx="6">
                  <c:v>87</c:v>
                </c:pt>
                <c:pt idx="7">
                  <c:v>112</c:v>
                </c:pt>
                <c:pt idx="8">
                  <c:v>137</c:v>
                </c:pt>
                <c:pt idx="9">
                  <c:v>162</c:v>
                </c:pt>
                <c:pt idx="10">
                  <c:v>187</c:v>
                </c:pt>
                <c:pt idx="11">
                  <c:v>212</c:v>
                </c:pt>
                <c:pt idx="12">
                  <c:v>237</c:v>
                </c:pt>
                <c:pt idx="13">
                  <c:v>262</c:v>
                </c:pt>
              </c:numCache>
            </c:numRef>
          </c:xVal>
          <c:yVal>
            <c:numRef>
              <c:f>'low media new'!$M$3:$M$16</c:f>
              <c:numCache>
                <c:formatCode>0.000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4.0000000000000001E-3</c:v>
                </c:pt>
                <c:pt idx="3">
                  <c:v>3.5000000000000003E-2</c:v>
                </c:pt>
                <c:pt idx="4">
                  <c:v>0.08</c:v>
                </c:pt>
                <c:pt idx="5">
                  <c:v>0.112</c:v>
                </c:pt>
                <c:pt idx="6">
                  <c:v>0.14499999999999999</c:v>
                </c:pt>
                <c:pt idx="7">
                  <c:v>0.25700000000000001</c:v>
                </c:pt>
                <c:pt idx="8">
                  <c:v>0.373</c:v>
                </c:pt>
                <c:pt idx="9">
                  <c:v>0.51400000000000001</c:v>
                </c:pt>
                <c:pt idx="10">
                  <c:v>0.58499999999999996</c:v>
                </c:pt>
                <c:pt idx="11">
                  <c:v>0.61</c:v>
                </c:pt>
                <c:pt idx="12">
                  <c:v>0.61</c:v>
                </c:pt>
                <c:pt idx="13">
                  <c:v>0.61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94080"/>
        <c:axId val="697695616"/>
      </c:scatterChart>
      <c:valAx>
        <c:axId val="69769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7695616"/>
        <c:crosses val="autoZero"/>
        <c:crossBetween val="midCat"/>
      </c:valAx>
      <c:valAx>
        <c:axId val="6976956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697694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new'!$C$6:$M$6</c:f>
              <c:numCache>
                <c:formatCode>0.000</c:formatCode>
                <c:ptCount val="11"/>
                <c:pt idx="0">
                  <c:v>0.32500000000000001</c:v>
                </c:pt>
                <c:pt idx="1">
                  <c:v>0.31900000000000001</c:v>
                </c:pt>
                <c:pt idx="2">
                  <c:v>0.23200000000000001</c:v>
                </c:pt>
                <c:pt idx="3">
                  <c:v>0.155</c:v>
                </c:pt>
                <c:pt idx="4">
                  <c:v>0.11</c:v>
                </c:pt>
                <c:pt idx="5">
                  <c:v>6.9000000000000006E-2</c:v>
                </c:pt>
                <c:pt idx="6">
                  <c:v>5.2999999999999999E-2</c:v>
                </c:pt>
                <c:pt idx="7">
                  <c:v>4.2000000000000003E-2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</c:numCache>
            </c:numRef>
          </c:yVal>
          <c:smooth val="1"/>
        </c:ser>
        <c:ser>
          <c:idx val="1"/>
          <c:order val="1"/>
          <c:tx>
            <c:v>39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new'!$C$7:$M$7</c:f>
              <c:numCache>
                <c:formatCode>0.000</c:formatCode>
                <c:ptCount val="11"/>
                <c:pt idx="0">
                  <c:v>0.59799999999999998</c:v>
                </c:pt>
                <c:pt idx="1">
                  <c:v>0.57999999999999996</c:v>
                </c:pt>
                <c:pt idx="2">
                  <c:v>0.48</c:v>
                </c:pt>
                <c:pt idx="3">
                  <c:v>0.34200000000000003</c:v>
                </c:pt>
                <c:pt idx="4">
                  <c:v>0.24</c:v>
                </c:pt>
                <c:pt idx="5">
                  <c:v>0.191</c:v>
                </c:pt>
                <c:pt idx="6">
                  <c:v>0.15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</c:numCache>
            </c:numRef>
          </c:yVal>
          <c:smooth val="1"/>
        </c:ser>
        <c:ser>
          <c:idx val="2"/>
          <c:order val="2"/>
          <c:tx>
            <c:v>61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new'!$C$8:$M$8</c:f>
              <c:numCache>
                <c:formatCode>0.000</c:formatCode>
                <c:ptCount val="11"/>
                <c:pt idx="0">
                  <c:v>1.25</c:v>
                </c:pt>
                <c:pt idx="1">
                  <c:v>1.1299999999999999</c:v>
                </c:pt>
                <c:pt idx="2">
                  <c:v>0.86699999999999999</c:v>
                </c:pt>
                <c:pt idx="3">
                  <c:v>0.622</c:v>
                </c:pt>
                <c:pt idx="4">
                  <c:v>0.46</c:v>
                </c:pt>
                <c:pt idx="5">
                  <c:v>0.35</c:v>
                </c:pt>
                <c:pt idx="6">
                  <c:v>0.3</c:v>
                </c:pt>
                <c:pt idx="7">
                  <c:v>0.21099999999999999</c:v>
                </c:pt>
                <c:pt idx="8">
                  <c:v>0.16900000000000001</c:v>
                </c:pt>
                <c:pt idx="9">
                  <c:v>0.14000000000000001</c:v>
                </c:pt>
                <c:pt idx="10">
                  <c:v>0.112</c:v>
                </c:pt>
              </c:numCache>
            </c:numRef>
          </c:yVal>
          <c:smooth val="1"/>
        </c:ser>
        <c:ser>
          <c:idx val="3"/>
          <c:order val="3"/>
          <c:tx>
            <c:v>82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new'!$C$9:$M$9</c:f>
              <c:numCache>
                <c:formatCode>0.000</c:formatCode>
                <c:ptCount val="11"/>
                <c:pt idx="0">
                  <c:v>1.7</c:v>
                </c:pt>
                <c:pt idx="1">
                  <c:v>1.58</c:v>
                </c:pt>
                <c:pt idx="2">
                  <c:v>1.3129999999999999</c:v>
                </c:pt>
                <c:pt idx="3">
                  <c:v>1.097</c:v>
                </c:pt>
                <c:pt idx="4">
                  <c:v>0.78400000000000003</c:v>
                </c:pt>
                <c:pt idx="5">
                  <c:v>0.6</c:v>
                </c:pt>
                <c:pt idx="6">
                  <c:v>0.5</c:v>
                </c:pt>
                <c:pt idx="7">
                  <c:v>0.443</c:v>
                </c:pt>
                <c:pt idx="8">
                  <c:v>0.34300000000000003</c:v>
                </c:pt>
                <c:pt idx="9">
                  <c:v>0.255</c:v>
                </c:pt>
                <c:pt idx="10">
                  <c:v>0.14499999999999999</c:v>
                </c:pt>
              </c:numCache>
            </c:numRef>
          </c:yVal>
          <c:smooth val="1"/>
        </c:ser>
        <c:ser>
          <c:idx val="4"/>
          <c:order val="4"/>
          <c:tx>
            <c:v>106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new'!$C$10:$M$10</c:f>
              <c:numCache>
                <c:formatCode>0.000</c:formatCode>
                <c:ptCount val="11"/>
                <c:pt idx="0">
                  <c:v>2.1</c:v>
                </c:pt>
                <c:pt idx="1">
                  <c:v>1.9</c:v>
                </c:pt>
                <c:pt idx="2">
                  <c:v>1.7</c:v>
                </c:pt>
                <c:pt idx="3">
                  <c:v>1.5</c:v>
                </c:pt>
                <c:pt idx="4">
                  <c:v>1.2</c:v>
                </c:pt>
                <c:pt idx="5">
                  <c:v>0.875</c:v>
                </c:pt>
                <c:pt idx="6">
                  <c:v>0.7</c:v>
                </c:pt>
                <c:pt idx="7">
                  <c:v>0.6</c:v>
                </c:pt>
                <c:pt idx="8">
                  <c:v>0.53</c:v>
                </c:pt>
                <c:pt idx="9">
                  <c:v>0.39</c:v>
                </c:pt>
                <c:pt idx="10">
                  <c:v>0.25700000000000001</c:v>
                </c:pt>
              </c:numCache>
            </c:numRef>
          </c:yVal>
          <c:smooth val="1"/>
        </c:ser>
        <c:ser>
          <c:idx val="5"/>
          <c:order val="5"/>
          <c:tx>
            <c:v>138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new'!$C$11:$M$11</c:f>
              <c:numCache>
                <c:formatCode>0.000</c:formatCode>
                <c:ptCount val="11"/>
                <c:pt idx="0">
                  <c:v>2.4</c:v>
                </c:pt>
                <c:pt idx="1">
                  <c:v>2.2000000000000002</c:v>
                </c:pt>
                <c:pt idx="2">
                  <c:v>2</c:v>
                </c:pt>
                <c:pt idx="3">
                  <c:v>1.8</c:v>
                </c:pt>
                <c:pt idx="4">
                  <c:v>1.55</c:v>
                </c:pt>
                <c:pt idx="5">
                  <c:v>1.278</c:v>
                </c:pt>
                <c:pt idx="6">
                  <c:v>0.92900000000000005</c:v>
                </c:pt>
                <c:pt idx="7">
                  <c:v>0.8</c:v>
                </c:pt>
                <c:pt idx="8">
                  <c:v>0.7</c:v>
                </c:pt>
                <c:pt idx="9">
                  <c:v>0.55000000000000004</c:v>
                </c:pt>
                <c:pt idx="10">
                  <c:v>0.373</c:v>
                </c:pt>
              </c:numCache>
            </c:numRef>
          </c:yVal>
          <c:smooth val="1"/>
        </c:ser>
        <c:ser>
          <c:idx val="6"/>
          <c:order val="6"/>
          <c:tx>
            <c:v>159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new'!$C$12:$M$12</c:f>
              <c:numCache>
                <c:formatCode>0.000</c:formatCode>
                <c:ptCount val="11"/>
                <c:pt idx="0">
                  <c:v>2.7</c:v>
                </c:pt>
                <c:pt idx="1">
                  <c:v>2.5</c:v>
                </c:pt>
                <c:pt idx="2">
                  <c:v>2.2999999999999998</c:v>
                </c:pt>
                <c:pt idx="3">
                  <c:v>2.125</c:v>
                </c:pt>
                <c:pt idx="4">
                  <c:v>1.875</c:v>
                </c:pt>
                <c:pt idx="5">
                  <c:v>1.6</c:v>
                </c:pt>
                <c:pt idx="6">
                  <c:v>1.2110000000000001</c:v>
                </c:pt>
                <c:pt idx="7">
                  <c:v>0.95</c:v>
                </c:pt>
                <c:pt idx="8">
                  <c:v>0.81299999999999994</c:v>
                </c:pt>
                <c:pt idx="9">
                  <c:v>0.7</c:v>
                </c:pt>
                <c:pt idx="10">
                  <c:v>0.51400000000000001</c:v>
                </c:pt>
              </c:numCache>
            </c:numRef>
          </c:yVal>
          <c:smooth val="1"/>
        </c:ser>
        <c:ser>
          <c:idx val="7"/>
          <c:order val="7"/>
          <c:tx>
            <c:v>187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new'!$C$13:$M$13</c:f>
              <c:numCache>
                <c:formatCode>0.000</c:formatCode>
                <c:ptCount val="11"/>
                <c:pt idx="0">
                  <c:v>2.9</c:v>
                </c:pt>
                <c:pt idx="1">
                  <c:v>2.7</c:v>
                </c:pt>
                <c:pt idx="2">
                  <c:v>2.5</c:v>
                </c:pt>
                <c:pt idx="3">
                  <c:v>2.3250000000000002</c:v>
                </c:pt>
                <c:pt idx="4">
                  <c:v>2.0750000000000002</c:v>
                </c:pt>
                <c:pt idx="5">
                  <c:v>1.8</c:v>
                </c:pt>
                <c:pt idx="6">
                  <c:v>1.4</c:v>
                </c:pt>
                <c:pt idx="7">
                  <c:v>1.1000000000000001</c:v>
                </c:pt>
                <c:pt idx="8">
                  <c:v>0.92500000000000004</c:v>
                </c:pt>
                <c:pt idx="9">
                  <c:v>0.77500000000000002</c:v>
                </c:pt>
                <c:pt idx="10">
                  <c:v>0.58499999999999996</c:v>
                </c:pt>
              </c:numCache>
            </c:numRef>
          </c:yVal>
          <c:smooth val="1"/>
        </c:ser>
        <c:ser>
          <c:idx val="8"/>
          <c:order val="8"/>
          <c:tx>
            <c:v>209</c:v>
          </c:tx>
          <c:xVal>
            <c:numRef>
              <c:f>'low media new'!$C$2:$L$2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'low media new'!$C$14:$L$14</c:f>
              <c:numCache>
                <c:formatCode>0.000</c:formatCode>
                <c:ptCount val="10"/>
                <c:pt idx="0">
                  <c:v>3</c:v>
                </c:pt>
                <c:pt idx="1">
                  <c:v>2.8</c:v>
                </c:pt>
                <c:pt idx="2">
                  <c:v>2.6</c:v>
                </c:pt>
                <c:pt idx="3">
                  <c:v>2.4249999999999998</c:v>
                </c:pt>
                <c:pt idx="4">
                  <c:v>2.1749999999999998</c:v>
                </c:pt>
                <c:pt idx="5">
                  <c:v>1.9</c:v>
                </c:pt>
                <c:pt idx="6">
                  <c:v>1.5</c:v>
                </c:pt>
                <c:pt idx="7">
                  <c:v>1.2</c:v>
                </c:pt>
                <c:pt idx="8">
                  <c:v>1</c:v>
                </c:pt>
                <c:pt idx="9">
                  <c:v>0.8</c:v>
                </c:pt>
              </c:numCache>
            </c:numRef>
          </c:yVal>
          <c:smooth val="1"/>
        </c:ser>
        <c:ser>
          <c:idx val="9"/>
          <c:order val="9"/>
          <c:tx>
            <c:v>225</c:v>
          </c:tx>
          <c:xVal>
            <c:numRef>
              <c:f>'low media new'!$C$2:$M$2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'low media new'!$C$15:$M$15</c:f>
              <c:numCache>
                <c:formatCode>0.000</c:formatCode>
                <c:ptCount val="11"/>
                <c:pt idx="0">
                  <c:v>3</c:v>
                </c:pt>
                <c:pt idx="1">
                  <c:v>2.8</c:v>
                </c:pt>
                <c:pt idx="2">
                  <c:v>2.6</c:v>
                </c:pt>
                <c:pt idx="3">
                  <c:v>2.4249999999999998</c:v>
                </c:pt>
                <c:pt idx="4">
                  <c:v>2.1749999999999998</c:v>
                </c:pt>
                <c:pt idx="5">
                  <c:v>1.9</c:v>
                </c:pt>
                <c:pt idx="6">
                  <c:v>1.5</c:v>
                </c:pt>
                <c:pt idx="7">
                  <c:v>1.2</c:v>
                </c:pt>
                <c:pt idx="8">
                  <c:v>1</c:v>
                </c:pt>
                <c:pt idx="9">
                  <c:v>0.8</c:v>
                </c:pt>
                <c:pt idx="10">
                  <c:v>0.61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22464"/>
        <c:axId val="698224000"/>
      </c:scatterChart>
      <c:valAx>
        <c:axId val="6982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8224000"/>
        <c:crosses val="autoZero"/>
        <c:crossBetween val="midCat"/>
      </c:valAx>
      <c:valAx>
        <c:axId val="6982240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698222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328612</xdr:colOff>
      <xdr:row>0</xdr:row>
      <xdr:rowOff>76200</xdr:rowOff>
    </xdr:from>
    <xdr:to>
      <xdr:col>15</xdr:col>
      <xdr:colOff>200025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519112</xdr:colOff>
      <xdr:row>13</xdr:row>
      <xdr:rowOff>104774</xdr:rowOff>
    </xdr:from>
    <xdr:to>
      <xdr:col>8</xdr:col>
      <xdr:colOff>590550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13</xdr:row>
      <xdr:rowOff>171450</xdr:rowOff>
    </xdr:from>
    <xdr:to>
      <xdr:col>15</xdr:col>
      <xdr:colOff>571500</xdr:colOff>
      <xdr:row>25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15</xdr:col>
      <xdr:colOff>466725</xdr:colOff>
      <xdr:row>38</xdr:row>
      <xdr:rowOff>176212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266700</xdr:colOff>
      <xdr:row>14</xdr:row>
      <xdr:rowOff>28575</xdr:rowOff>
    </xdr:from>
    <xdr:to>
      <xdr:col>23</xdr:col>
      <xdr:colOff>342900</xdr:colOff>
      <xdr:row>25</xdr:row>
      <xdr:rowOff>133351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461962</xdr:colOff>
      <xdr:row>26</xdr:row>
      <xdr:rowOff>33337</xdr:rowOff>
    </xdr:from>
    <xdr:to>
      <xdr:col>24</xdr:col>
      <xdr:colOff>157162</xdr:colOff>
      <xdr:row>40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27</xdr:row>
      <xdr:rowOff>0</xdr:rowOff>
    </xdr:from>
    <xdr:to>
      <xdr:col>8</xdr:col>
      <xdr:colOff>71438</xdr:colOff>
      <xdr:row>39</xdr:row>
      <xdr:rowOff>104776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223837</xdr:colOff>
      <xdr:row>17</xdr:row>
      <xdr:rowOff>80962</xdr:rowOff>
    </xdr:from>
    <xdr:to>
      <xdr:col>8</xdr:col>
      <xdr:colOff>528637</xdr:colOff>
      <xdr:row>31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17</xdr:row>
      <xdr:rowOff>33337</xdr:rowOff>
    </xdr:from>
    <xdr:to>
      <xdr:col>16</xdr:col>
      <xdr:colOff>538162</xdr:colOff>
      <xdr:row>31</xdr:row>
      <xdr:rowOff>109537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223837</xdr:colOff>
      <xdr:row>17</xdr:row>
      <xdr:rowOff>80962</xdr:rowOff>
    </xdr:from>
    <xdr:to>
      <xdr:col>8</xdr:col>
      <xdr:colOff>528637</xdr:colOff>
      <xdr:row>31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17</xdr:row>
      <xdr:rowOff>33337</xdr:rowOff>
    </xdr:from>
    <xdr:to>
      <xdr:col>16</xdr:col>
      <xdr:colOff>538162</xdr:colOff>
      <xdr:row>31</xdr:row>
      <xdr:rowOff>109537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519112</xdr:colOff>
      <xdr:row>13</xdr:row>
      <xdr:rowOff>104774</xdr:rowOff>
    </xdr:from>
    <xdr:to>
      <xdr:col>8</xdr:col>
      <xdr:colOff>590550</xdr:colOff>
      <xdr:row>26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13</xdr:row>
      <xdr:rowOff>171450</xdr:rowOff>
    </xdr:from>
    <xdr:to>
      <xdr:col>15</xdr:col>
      <xdr:colOff>571500</xdr:colOff>
      <xdr:row>25</xdr:row>
      <xdr:rowOff>157162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26</xdr:row>
      <xdr:rowOff>180975</xdr:rowOff>
    </xdr:from>
    <xdr:to>
      <xdr:col>15</xdr:col>
      <xdr:colOff>590550</xdr:colOff>
      <xdr:row>38</xdr:row>
      <xdr:rowOff>166687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266700</xdr:colOff>
      <xdr:row>14</xdr:row>
      <xdr:rowOff>28575</xdr:rowOff>
    </xdr:from>
    <xdr:to>
      <xdr:col>23</xdr:col>
      <xdr:colOff>342900</xdr:colOff>
      <xdr:row>25</xdr:row>
      <xdr:rowOff>133351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328612</xdr:colOff>
      <xdr:row>26</xdr:row>
      <xdr:rowOff>52387</xdr:rowOff>
    </xdr:from>
    <xdr:to>
      <xdr:col>24</xdr:col>
      <xdr:colOff>23812</xdr:colOff>
      <xdr:row>40</xdr:row>
      <xdr:rowOff>128587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314325</xdr:colOff>
      <xdr:row>27</xdr:row>
      <xdr:rowOff>9524</xdr:rowOff>
    </xdr:from>
    <xdr:to>
      <xdr:col>9</xdr:col>
      <xdr:colOff>85725</xdr:colOff>
      <xdr:row>38</xdr:row>
      <xdr:rowOff>19049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14286</xdr:colOff>
      <xdr:row>20</xdr:row>
      <xdr:rowOff>152400</xdr:rowOff>
    </xdr:from>
    <xdr:to>
      <xdr:col>16</xdr:col>
      <xdr:colOff>342900</xdr:colOff>
      <xdr:row>32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</xdr:colOff>
      <xdr:row>18</xdr:row>
      <xdr:rowOff>171450</xdr:rowOff>
    </xdr:from>
    <xdr:to>
      <xdr:col>8</xdr:col>
      <xdr:colOff>85726</xdr:colOff>
      <xdr:row>32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19</xdr:row>
      <xdr:rowOff>47625</xdr:rowOff>
    </xdr:from>
    <xdr:to>
      <xdr:col>25</xdr:col>
      <xdr:colOff>314325</xdr:colOff>
      <xdr:row>33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9525</xdr:colOff>
      <xdr:row>19</xdr:row>
      <xdr:rowOff>9524</xdr:rowOff>
    </xdr:from>
    <xdr:to>
      <xdr:col>39</xdr:col>
      <xdr:colOff>209550</xdr:colOff>
      <xdr:row>30</xdr:row>
      <xdr:rowOff>23811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523875</xdr:colOff>
      <xdr:row>18</xdr:row>
      <xdr:rowOff>9525</xdr:rowOff>
    </xdr:from>
    <xdr:to>
      <xdr:col>47</xdr:col>
      <xdr:colOff>285750</xdr:colOff>
      <xdr:row>30</xdr:row>
      <xdr:rowOff>147637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66675</xdr:colOff>
      <xdr:row>30</xdr:row>
      <xdr:rowOff>19050</xdr:rowOff>
    </xdr:from>
    <xdr:to>
      <xdr:col>67</xdr:col>
      <xdr:colOff>438150</xdr:colOff>
      <xdr:row>42</xdr:row>
      <xdr:rowOff>157162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190500</xdr:colOff>
      <xdr:row>31</xdr:row>
      <xdr:rowOff>133350</xdr:rowOff>
    </xdr:from>
    <xdr:to>
      <xdr:col>107</xdr:col>
      <xdr:colOff>561975</xdr:colOff>
      <xdr:row>46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82</xdr:col>
      <xdr:colOff>95250</xdr:colOff>
      <xdr:row>31</xdr:row>
      <xdr:rowOff>85725</xdr:rowOff>
    </xdr:from>
    <xdr:to>
      <xdr:col>93</xdr:col>
      <xdr:colOff>466725</xdr:colOff>
      <xdr:row>46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11</xdr:row>
      <xdr:rowOff>23812</xdr:rowOff>
    </xdr:from>
    <xdr:to>
      <xdr:col>8</xdr:col>
      <xdr:colOff>238125</xdr:colOff>
      <xdr:row>25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11</xdr:row>
      <xdr:rowOff>23812</xdr:rowOff>
    </xdr:from>
    <xdr:to>
      <xdr:col>17</xdr:col>
      <xdr:colOff>190500</xdr:colOff>
      <xdr:row>25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8</xdr:row>
      <xdr:rowOff>104775</xdr:rowOff>
    </xdr:from>
    <xdr:to>
      <xdr:col>35</xdr:col>
      <xdr:colOff>247650</xdr:colOff>
      <xdr:row>22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128587</xdr:colOff>
      <xdr:row>67</xdr:row>
      <xdr:rowOff>0</xdr:rowOff>
    </xdr:from>
    <xdr:to>
      <xdr:col>39</xdr:col>
      <xdr:colOff>433387</xdr:colOff>
      <xdr:row>81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67</xdr:row>
      <xdr:rowOff>0</xdr:rowOff>
    </xdr:from>
    <xdr:to>
      <xdr:col>47</xdr:col>
      <xdr:colOff>304800</xdr:colOff>
      <xdr:row>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83</xdr:row>
      <xdr:rowOff>0</xdr:rowOff>
    </xdr:from>
    <xdr:to>
      <xdr:col>39</xdr:col>
      <xdr:colOff>304800</xdr:colOff>
      <xdr:row>97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</xdr:row>
      <xdr:rowOff>104774</xdr:rowOff>
    </xdr:from>
    <xdr:to>
      <xdr:col>18</xdr:col>
      <xdr:colOff>304800</xdr:colOff>
      <xdr:row>12</xdr:row>
      <xdr:rowOff>119061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223836</xdr:colOff>
      <xdr:row>18</xdr:row>
      <xdr:rowOff>80962</xdr:rowOff>
    </xdr:from>
    <xdr:to>
      <xdr:col>9</xdr:col>
      <xdr:colOff>552449</xdr:colOff>
      <xdr:row>37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376236</xdr:colOff>
      <xdr:row>18</xdr:row>
      <xdr:rowOff>90486</xdr:rowOff>
    </xdr:from>
    <xdr:to>
      <xdr:col>19</xdr:col>
      <xdr:colOff>380999</xdr:colOff>
      <xdr:row>36</xdr:row>
      <xdr:rowOff>152399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H9" sqref="H9"/>
    </sheetView>
  </sheetViews>
  <sheetFormatPr defaultRowHeight="15" x14ac:dyDescent="0.25"/>
  <sheetData>
    <row r="1" spans="1:8" x14ac:dyDescent="0.25">
      <c r="B1" t="s">
        <v>11</v>
      </c>
      <c r="D1" t="s">
        <v>12</v>
      </c>
      <c r="E1" t="s">
        <v>13</v>
      </c>
      <c r="H1" t="s">
        <v>25</v>
      </c>
    </row>
    <row r="2" spans="1:8" x14ac:dyDescent="0.25">
      <c r="A2">
        <v>-700</v>
      </c>
      <c r="B2">
        <v>0.375</v>
      </c>
    </row>
    <row r="3" spans="1:8" x14ac:dyDescent="0.25">
      <c r="A3">
        <v>-600</v>
      </c>
      <c r="B3">
        <v>0.375</v>
      </c>
    </row>
    <row r="4" spans="1:8" x14ac:dyDescent="0.25">
      <c r="A4">
        <v>-400</v>
      </c>
      <c r="B4">
        <v>0.40100000000000002</v>
      </c>
    </row>
    <row r="5" spans="1:8" x14ac:dyDescent="0.25">
      <c r="A5">
        <v>-300</v>
      </c>
      <c r="B5">
        <v>0.48</v>
      </c>
      <c r="D5">
        <f>B5</f>
        <v>0.48</v>
      </c>
      <c r="G5" t="s">
        <v>14</v>
      </c>
    </row>
    <row r="6" spans="1:8" x14ac:dyDescent="0.25">
      <c r="A6">
        <v>-225</v>
      </c>
      <c r="B6">
        <f>B7*3/4+B5/4</f>
        <v>0.61350000000000005</v>
      </c>
      <c r="D6">
        <f>D7*3/4+D5/4</f>
        <v>0.62337000000000009</v>
      </c>
      <c r="E6">
        <f>AVERAGE(B5:B6)</f>
        <v>0.54675000000000007</v>
      </c>
      <c r="F6">
        <f>AVERAGE(D5:D6)</f>
        <v>0.55168499999999998</v>
      </c>
      <c r="G6" s="3">
        <f>F6/E6</f>
        <v>1.0090260631001371</v>
      </c>
    </row>
    <row r="7" spans="1:8" x14ac:dyDescent="0.25">
      <c r="A7">
        <v>-200</v>
      </c>
      <c r="B7">
        <v>0.65800000000000003</v>
      </c>
      <c r="C7" s="1">
        <v>1.02</v>
      </c>
      <c r="D7">
        <f t="shared" ref="D7:D13" si="0">C7*B7</f>
        <v>0.67116000000000009</v>
      </c>
    </row>
    <row r="8" spans="1:8" x14ac:dyDescent="0.25">
      <c r="A8">
        <v>-175</v>
      </c>
      <c r="B8">
        <f>AVERAGE(B7,B9)</f>
        <v>0.67633333333333334</v>
      </c>
      <c r="C8" s="1"/>
      <c r="D8">
        <f>AVERAGE(D7,D9)</f>
        <v>0.71070000000000011</v>
      </c>
      <c r="E8">
        <f>AVERAGE(B6,B8)</f>
        <v>0.64491666666666669</v>
      </c>
      <c r="F8">
        <f>AVERAGE(D6,D8)</f>
        <v>0.66703500000000004</v>
      </c>
      <c r="G8" s="3">
        <f>F8/E8</f>
        <v>1.034296420726192</v>
      </c>
      <c r="H8">
        <f>AVERAGE(D7:D8)</f>
        <v>0.69093000000000004</v>
      </c>
    </row>
    <row r="9" spans="1:8" x14ac:dyDescent="0.25">
      <c r="A9">
        <v>-150</v>
      </c>
      <c r="B9">
        <f>B10*2/3+B7/3</f>
        <v>0.69466666666666665</v>
      </c>
      <c r="C9" s="1">
        <v>1.08</v>
      </c>
      <c r="D9">
        <f t="shared" si="0"/>
        <v>0.75024000000000002</v>
      </c>
      <c r="E9">
        <f t="shared" ref="E9:E14" si="1">AVERAGE(B8:B9)</f>
        <v>0.6855</v>
      </c>
      <c r="F9">
        <f t="shared" ref="F9:F14" si="2">AVERAGE(D8:D9)</f>
        <v>0.73047000000000006</v>
      </c>
      <c r="G9" s="3">
        <f t="shared" ref="G9:G14" si="3">F9/E9</f>
        <v>1.0656017505470461</v>
      </c>
      <c r="H9">
        <f t="shared" ref="H9:H14" si="4">AVERAGE(D8:D9)</f>
        <v>0.73047000000000006</v>
      </c>
    </row>
    <row r="10" spans="1:8" x14ac:dyDescent="0.25">
      <c r="A10">
        <v>-125</v>
      </c>
      <c r="B10">
        <v>0.71299999999999997</v>
      </c>
      <c r="C10" s="1">
        <v>1.1100000000000001</v>
      </c>
      <c r="D10">
        <f t="shared" si="0"/>
        <v>0.79143000000000008</v>
      </c>
      <c r="E10">
        <f t="shared" si="1"/>
        <v>0.70383333333333331</v>
      </c>
      <c r="F10">
        <f t="shared" si="2"/>
        <v>0.77083500000000005</v>
      </c>
      <c r="G10" s="3">
        <f t="shared" si="3"/>
        <v>1.0951953587497041</v>
      </c>
      <c r="H10">
        <f t="shared" si="4"/>
        <v>0.77083500000000005</v>
      </c>
    </row>
    <row r="11" spans="1:8" x14ac:dyDescent="0.25">
      <c r="A11">
        <v>-100</v>
      </c>
      <c r="B11">
        <v>0.75700000000000001</v>
      </c>
      <c r="C11" s="1">
        <v>1.1200000000000001</v>
      </c>
      <c r="D11">
        <f t="shared" si="0"/>
        <v>0.84784000000000004</v>
      </c>
      <c r="E11">
        <f t="shared" si="1"/>
        <v>0.73499999999999999</v>
      </c>
      <c r="F11">
        <f t="shared" si="2"/>
        <v>0.81963500000000011</v>
      </c>
      <c r="G11" s="3">
        <f t="shared" si="3"/>
        <v>1.1151496598639457</v>
      </c>
      <c r="H11">
        <f t="shared" si="4"/>
        <v>0.81963500000000011</v>
      </c>
    </row>
    <row r="12" spans="1:8" x14ac:dyDescent="0.25">
      <c r="A12">
        <v>-75</v>
      </c>
      <c r="B12">
        <v>0.89200000000000002</v>
      </c>
      <c r="C12" s="1">
        <v>1.01</v>
      </c>
      <c r="D12">
        <f t="shared" si="0"/>
        <v>0.90092000000000005</v>
      </c>
      <c r="E12">
        <f t="shared" si="1"/>
        <v>0.82450000000000001</v>
      </c>
      <c r="F12">
        <f t="shared" si="2"/>
        <v>0.87438000000000005</v>
      </c>
      <c r="G12" s="3">
        <f>F12/E12</f>
        <v>1.0604972710733778</v>
      </c>
      <c r="H12">
        <f t="shared" si="4"/>
        <v>0.87438000000000005</v>
      </c>
    </row>
    <row r="13" spans="1:8" x14ac:dyDescent="0.25">
      <c r="A13">
        <v>-50</v>
      </c>
      <c r="B13">
        <v>0.94499999999999995</v>
      </c>
      <c r="C13" s="1">
        <v>1.01</v>
      </c>
      <c r="D13">
        <f t="shared" si="0"/>
        <v>0.95444999999999991</v>
      </c>
      <c r="E13">
        <f t="shared" si="1"/>
        <v>0.91849999999999998</v>
      </c>
      <c r="F13">
        <f t="shared" si="2"/>
        <v>0.92768499999999998</v>
      </c>
      <c r="G13" s="3">
        <f t="shared" si="3"/>
        <v>1.01</v>
      </c>
      <c r="H13">
        <f t="shared" si="4"/>
        <v>0.92768499999999998</v>
      </c>
    </row>
    <row r="14" spans="1:8" x14ac:dyDescent="0.25">
      <c r="A14">
        <v>-25</v>
      </c>
      <c r="B14">
        <v>1</v>
      </c>
      <c r="C14" s="1">
        <v>1</v>
      </c>
      <c r="D14">
        <f>C14*B14</f>
        <v>1</v>
      </c>
      <c r="E14">
        <f t="shared" si="1"/>
        <v>0.97249999999999992</v>
      </c>
      <c r="F14">
        <f t="shared" si="2"/>
        <v>0.97722500000000001</v>
      </c>
      <c r="G14" s="3">
        <f t="shared" si="3"/>
        <v>1.004858611825193</v>
      </c>
      <c r="H14">
        <f t="shared" si="4"/>
        <v>0.97722500000000001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>
      <selection activeCell="Y20" sqref="Y20"/>
    </sheetView>
  </sheetViews>
  <sheetFormatPr defaultRowHeight="15" x14ac:dyDescent="0.25"/>
  <sheetData>
    <row r="1" spans="1:30" x14ac:dyDescent="0.25">
      <c r="A1" t="s">
        <v>0</v>
      </c>
      <c r="D1" t="s">
        <v>2</v>
      </c>
      <c r="E1" t="s">
        <v>3</v>
      </c>
      <c r="J1" t="s">
        <v>4</v>
      </c>
      <c r="M1" t="s">
        <v>5</v>
      </c>
      <c r="P1" t="s">
        <v>6</v>
      </c>
      <c r="S1" t="s">
        <v>7</v>
      </c>
      <c r="Z1" t="s">
        <v>8</v>
      </c>
      <c r="AC1" t="s">
        <v>9</v>
      </c>
    </row>
    <row r="2" spans="1:30" x14ac:dyDescent="0.25">
      <c r="A2">
        <v>500</v>
      </c>
      <c r="B2">
        <v>0.68</v>
      </c>
      <c r="D2">
        <v>-45</v>
      </c>
      <c r="E2">
        <v>1.28</v>
      </c>
      <c r="J2">
        <v>0</v>
      </c>
      <c r="K2">
        <v>0.81</v>
      </c>
      <c r="M2">
        <v>0</v>
      </c>
      <c r="N2">
        <v>1.03</v>
      </c>
      <c r="P2">
        <v>0</v>
      </c>
      <c r="Q2">
        <v>0.99</v>
      </c>
      <c r="S2">
        <v>0</v>
      </c>
      <c r="T2">
        <v>1.27</v>
      </c>
      <c r="Z2">
        <v>0</v>
      </c>
      <c r="AA2">
        <v>-65</v>
      </c>
      <c r="AC2">
        <v>0</v>
      </c>
      <c r="AD2">
        <v>-65</v>
      </c>
    </row>
    <row r="3" spans="1:30" x14ac:dyDescent="0.25">
      <c r="A3">
        <v>600</v>
      </c>
      <c r="B3">
        <v>0.68</v>
      </c>
      <c r="D3">
        <v>-25</v>
      </c>
      <c r="E3">
        <v>1.28</v>
      </c>
      <c r="J3">
        <v>68</v>
      </c>
      <c r="K3">
        <v>0.81</v>
      </c>
      <c r="M3">
        <v>68</v>
      </c>
      <c r="N3">
        <v>1.03</v>
      </c>
      <c r="P3">
        <v>68</v>
      </c>
      <c r="Q3">
        <v>0.99</v>
      </c>
      <c r="S3">
        <v>68</v>
      </c>
      <c r="T3">
        <v>1.27</v>
      </c>
      <c r="Z3">
        <v>68</v>
      </c>
      <c r="AA3">
        <v>-55</v>
      </c>
      <c r="AC3">
        <v>68</v>
      </c>
      <c r="AD3">
        <v>-55</v>
      </c>
    </row>
    <row r="4" spans="1:30" x14ac:dyDescent="0.25">
      <c r="A4">
        <v>620</v>
      </c>
      <c r="B4">
        <v>0.73</v>
      </c>
      <c r="C4" t="s">
        <v>1</v>
      </c>
      <c r="D4">
        <v>-15</v>
      </c>
      <c r="E4">
        <v>1.24</v>
      </c>
      <c r="J4">
        <v>415</v>
      </c>
      <c r="K4">
        <v>0.81</v>
      </c>
      <c r="M4">
        <v>155</v>
      </c>
      <c r="N4">
        <v>1.03</v>
      </c>
      <c r="P4">
        <v>155</v>
      </c>
      <c r="Q4">
        <v>0.99</v>
      </c>
      <c r="S4">
        <v>92</v>
      </c>
      <c r="T4">
        <v>1.27</v>
      </c>
      <c r="Z4">
        <v>90</v>
      </c>
      <c r="AA4">
        <v>-18</v>
      </c>
      <c r="AC4">
        <v>90</v>
      </c>
      <c r="AD4">
        <v>-18</v>
      </c>
    </row>
    <row r="5" spans="1:30" x14ac:dyDescent="0.25">
      <c r="A5">
        <v>640</v>
      </c>
      <c r="B5">
        <v>0.77</v>
      </c>
      <c r="D5">
        <v>15</v>
      </c>
      <c r="E5">
        <v>1.05</v>
      </c>
      <c r="J5">
        <v>435</v>
      </c>
      <c r="K5">
        <v>0.73</v>
      </c>
      <c r="M5">
        <v>195</v>
      </c>
      <c r="N5">
        <v>0.97</v>
      </c>
      <c r="P5">
        <v>195</v>
      </c>
      <c r="Q5">
        <v>0.93</v>
      </c>
      <c r="S5">
        <v>124</v>
      </c>
      <c r="T5">
        <v>1.07</v>
      </c>
      <c r="Z5">
        <v>115</v>
      </c>
      <c r="AA5">
        <v>-10</v>
      </c>
      <c r="AC5">
        <v>115</v>
      </c>
      <c r="AD5">
        <v>-10</v>
      </c>
    </row>
    <row r="6" spans="1:30" x14ac:dyDescent="0.25">
      <c r="A6">
        <v>660</v>
      </c>
      <c r="B6">
        <v>0.85</v>
      </c>
      <c r="D6">
        <v>25</v>
      </c>
      <c r="E6">
        <v>0.75</v>
      </c>
      <c r="J6">
        <v>455</v>
      </c>
      <c r="K6">
        <v>0.73</v>
      </c>
      <c r="M6">
        <v>415</v>
      </c>
      <c r="N6">
        <v>0.89</v>
      </c>
      <c r="P6">
        <v>235</v>
      </c>
      <c r="Q6">
        <v>0.89</v>
      </c>
      <c r="S6">
        <v>155</v>
      </c>
      <c r="T6">
        <v>1</v>
      </c>
      <c r="Z6">
        <v>150</v>
      </c>
      <c r="AA6">
        <v>-5</v>
      </c>
      <c r="AC6">
        <v>150</v>
      </c>
      <c r="AD6">
        <v>-5</v>
      </c>
    </row>
    <row r="7" spans="1:30" x14ac:dyDescent="0.25">
      <c r="A7">
        <v>680</v>
      </c>
      <c r="B7">
        <v>0.89</v>
      </c>
      <c r="D7">
        <v>45</v>
      </c>
      <c r="E7">
        <v>0.75</v>
      </c>
      <c r="M7">
        <v>435</v>
      </c>
      <c r="N7">
        <v>0.66</v>
      </c>
      <c r="P7">
        <v>415</v>
      </c>
      <c r="Q7">
        <v>0.87</v>
      </c>
      <c r="S7">
        <v>415</v>
      </c>
      <c r="T7">
        <v>1</v>
      </c>
      <c r="Z7">
        <v>175</v>
      </c>
      <c r="AA7">
        <v>0</v>
      </c>
      <c r="AC7">
        <v>175</v>
      </c>
      <c r="AD7">
        <v>0</v>
      </c>
    </row>
    <row r="8" spans="1:30" x14ac:dyDescent="0.25">
      <c r="A8">
        <v>700</v>
      </c>
      <c r="B8">
        <v>1.04</v>
      </c>
      <c r="M8">
        <v>455</v>
      </c>
      <c r="N8">
        <v>0.66</v>
      </c>
      <c r="P8">
        <v>435</v>
      </c>
      <c r="Q8">
        <v>0.85</v>
      </c>
      <c r="S8">
        <v>435</v>
      </c>
      <c r="T8">
        <v>0.81</v>
      </c>
      <c r="Z8">
        <v>185</v>
      </c>
      <c r="AA8">
        <v>0</v>
      </c>
      <c r="AC8">
        <v>185</v>
      </c>
      <c r="AD8">
        <v>0</v>
      </c>
    </row>
    <row r="9" spans="1:30" x14ac:dyDescent="0.25">
      <c r="A9">
        <v>720</v>
      </c>
      <c r="B9">
        <v>1.19</v>
      </c>
      <c r="P9">
        <v>455</v>
      </c>
      <c r="Q9">
        <v>0.85</v>
      </c>
      <c r="S9">
        <v>455</v>
      </c>
      <c r="T9">
        <v>0.81</v>
      </c>
      <c r="Z9">
        <v>415</v>
      </c>
      <c r="AA9">
        <v>0</v>
      </c>
      <c r="AC9">
        <v>415</v>
      </c>
      <c r="AD9">
        <v>0</v>
      </c>
    </row>
    <row r="10" spans="1:30" x14ac:dyDescent="0.25">
      <c r="A10">
        <v>740</v>
      </c>
      <c r="B10">
        <v>1.33</v>
      </c>
      <c r="Z10">
        <v>450</v>
      </c>
      <c r="AA10">
        <v>20</v>
      </c>
      <c r="AC10">
        <v>450</v>
      </c>
      <c r="AD10">
        <v>20</v>
      </c>
    </row>
    <row r="11" spans="1:30" x14ac:dyDescent="0.25">
      <c r="A11">
        <v>760</v>
      </c>
      <c r="B11">
        <v>1.52</v>
      </c>
      <c r="Z11">
        <v>475</v>
      </c>
      <c r="AA11">
        <v>20</v>
      </c>
      <c r="AC11">
        <v>475</v>
      </c>
      <c r="AD11">
        <v>20</v>
      </c>
    </row>
    <row r="12" spans="1:30" x14ac:dyDescent="0.25">
      <c r="A12">
        <v>780</v>
      </c>
      <c r="B12">
        <v>1.52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topLeftCell="A2" workbookViewId="0">
      <selection activeCell="K18" sqref="K18"/>
    </sheetView>
  </sheetViews>
  <sheetFormatPr defaultRowHeight="15" x14ac:dyDescent="0.25"/>
  <sheetData>
    <row r="2" spans="2:12" x14ac:dyDescent="0.2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</row>
    <row r="3" spans="2:12" x14ac:dyDescent="0.25">
      <c r="B3">
        <v>-25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2:12" x14ac:dyDescent="0.25">
      <c r="B4">
        <v>-10</v>
      </c>
      <c r="C4" s="2">
        <v>0.08</v>
      </c>
      <c r="D4" s="2">
        <v>0.05</v>
      </c>
      <c r="E4" s="2">
        <v>9.5999999999999992E-3</v>
      </c>
      <c r="F4" s="2">
        <v>8.5000000000000006E-3</v>
      </c>
      <c r="G4" s="2">
        <v>8.0000000000000002E-3</v>
      </c>
      <c r="H4" s="2">
        <v>6.0000000000000001E-3</v>
      </c>
      <c r="I4" s="2">
        <v>4.0000000000000001E-3</v>
      </c>
      <c r="J4" s="2">
        <v>2E-3</v>
      </c>
      <c r="K4" s="2">
        <v>1E-3</v>
      </c>
      <c r="L4" s="2">
        <v>1E-3</v>
      </c>
    </row>
    <row r="5" spans="2:12" x14ac:dyDescent="0.25">
      <c r="B5">
        <v>12</v>
      </c>
      <c r="C5" s="2">
        <v>0.127</v>
      </c>
      <c r="D5" s="2">
        <v>0.10199999999999999</v>
      </c>
      <c r="E5" s="2">
        <v>1.04E-2</v>
      </c>
      <c r="F5" s="2">
        <v>9.5999999999999992E-3</v>
      </c>
      <c r="G5" s="2">
        <v>8.3000000000000001E-3</v>
      </c>
      <c r="H5" s="2">
        <v>7.0000000000000001E-3</v>
      </c>
      <c r="I5" s="2">
        <v>5.0000000000000001E-3</v>
      </c>
      <c r="J5" s="2">
        <v>2.5999999999999999E-3</v>
      </c>
      <c r="K5" s="2">
        <v>1.1000000000000001E-3</v>
      </c>
      <c r="L5" s="2">
        <v>1.1000000000000001E-3</v>
      </c>
    </row>
    <row r="6" spans="2:12" x14ac:dyDescent="0.25">
      <c r="B6">
        <v>39</v>
      </c>
      <c r="C6" s="2">
        <v>0.45400000000000001</v>
      </c>
      <c r="D6" s="2">
        <v>0.41799999999999998</v>
      </c>
      <c r="E6" s="2">
        <v>1.4E-2</v>
      </c>
      <c r="F6" s="2">
        <v>1.17E-2</v>
      </c>
      <c r="G6" s="2">
        <v>1.1299999999999999E-2</v>
      </c>
      <c r="H6" s="2">
        <v>1.0999999999999999E-2</v>
      </c>
      <c r="I6" s="2">
        <v>0.01</v>
      </c>
      <c r="J6" s="2">
        <v>8.0000000000000002E-3</v>
      </c>
      <c r="K6" s="2">
        <v>6.0000000000000001E-3</v>
      </c>
      <c r="L6" s="2">
        <v>6.0000000000000001E-3</v>
      </c>
    </row>
    <row r="7" spans="2:12" x14ac:dyDescent="0.25">
      <c r="B7">
        <v>61</v>
      </c>
      <c r="C7" s="2">
        <v>0.68</v>
      </c>
      <c r="D7" s="2">
        <v>0.64</v>
      </c>
      <c r="E7" s="2">
        <v>0.34300000000000003</v>
      </c>
      <c r="F7" s="2">
        <v>1.26E-2</v>
      </c>
      <c r="G7" s="2">
        <v>1.17E-2</v>
      </c>
      <c r="H7" s="2">
        <v>1.1299999999999999E-2</v>
      </c>
      <c r="I7" s="2">
        <v>1.0999999999999999E-2</v>
      </c>
      <c r="J7" s="2">
        <v>0.01</v>
      </c>
      <c r="K7" s="2">
        <v>8.0000000000000002E-3</v>
      </c>
      <c r="L7" s="2">
        <v>8.0000000000000002E-3</v>
      </c>
    </row>
    <row r="8" spans="2:12" x14ac:dyDescent="0.25">
      <c r="B8">
        <v>82</v>
      </c>
      <c r="C8" s="2">
        <v>0.9</v>
      </c>
      <c r="D8" s="2">
        <v>0.84</v>
      </c>
      <c r="E8" s="2">
        <v>0.504</v>
      </c>
      <c r="F8" s="2">
        <v>0.158</v>
      </c>
      <c r="G8" s="2">
        <v>7.2900000000000006E-2</v>
      </c>
      <c r="H8" s="2">
        <v>7.0000000000000007E-2</v>
      </c>
      <c r="I8" s="2">
        <v>4.8000000000000001E-2</v>
      </c>
      <c r="J8" s="2">
        <v>0.04</v>
      </c>
      <c r="K8" s="2">
        <v>3.2000000000000001E-2</v>
      </c>
      <c r="L8" s="2">
        <v>3.2000000000000001E-2</v>
      </c>
    </row>
    <row r="9" spans="2:12" x14ac:dyDescent="0.25">
      <c r="B9">
        <v>106</v>
      </c>
      <c r="C9" s="2">
        <v>1.08</v>
      </c>
      <c r="D9" s="2">
        <v>1.01</v>
      </c>
      <c r="E9" s="2">
        <v>0.80900000000000005</v>
      </c>
      <c r="F9" s="2">
        <v>0.57799999999999996</v>
      </c>
      <c r="G9" s="2">
        <v>0.22500000000000001</v>
      </c>
      <c r="H9" s="2">
        <v>0.20300000000000001</v>
      </c>
      <c r="I9" s="2">
        <v>0.14399999999999999</v>
      </c>
      <c r="J9" s="2">
        <v>0.115</v>
      </c>
      <c r="K9" s="2">
        <v>0.107</v>
      </c>
      <c r="L9" s="2">
        <v>0.107</v>
      </c>
    </row>
    <row r="10" spans="2:12" x14ac:dyDescent="0.25">
      <c r="B10">
        <v>138</v>
      </c>
      <c r="C10" s="2">
        <v>1.27</v>
      </c>
      <c r="D10" s="2">
        <v>1.17</v>
      </c>
      <c r="E10" s="2">
        <v>1.03</v>
      </c>
      <c r="F10" s="2">
        <v>0.78</v>
      </c>
      <c r="G10" s="2">
        <v>0.46</v>
      </c>
      <c r="H10" s="2">
        <v>0.26600000000000001</v>
      </c>
      <c r="I10" s="2">
        <v>0.25600000000000001</v>
      </c>
      <c r="J10" s="2">
        <v>0.192</v>
      </c>
      <c r="K10" s="2">
        <v>0.188</v>
      </c>
      <c r="L10" s="2">
        <v>0.188</v>
      </c>
    </row>
    <row r="11" spans="2:12" x14ac:dyDescent="0.25">
      <c r="B11">
        <v>159</v>
      </c>
      <c r="C11" s="2">
        <v>1.35</v>
      </c>
      <c r="D11" s="2">
        <v>1.27</v>
      </c>
      <c r="E11" s="2">
        <v>1.1499999999999999</v>
      </c>
      <c r="F11" s="2">
        <v>0.9</v>
      </c>
      <c r="G11" s="2">
        <v>0.68</v>
      </c>
      <c r="H11" s="2">
        <v>0.316</v>
      </c>
      <c r="I11" s="2">
        <v>0.26300000000000001</v>
      </c>
      <c r="J11" s="2">
        <v>0.26</v>
      </c>
      <c r="K11" s="2">
        <v>0.25800000000000001</v>
      </c>
      <c r="L11" s="2">
        <v>0.25800000000000001</v>
      </c>
    </row>
    <row r="12" spans="2:12" x14ac:dyDescent="0.25">
      <c r="B12">
        <v>187</v>
      </c>
      <c r="C12" s="2">
        <v>1.41</v>
      </c>
      <c r="D12" s="2">
        <v>1.37</v>
      </c>
      <c r="E12" s="2">
        <v>1.27</v>
      </c>
      <c r="F12" s="2">
        <v>0.98</v>
      </c>
      <c r="G12" s="2">
        <v>0.88</v>
      </c>
      <c r="H12" s="2">
        <v>0.41</v>
      </c>
      <c r="I12" s="2">
        <v>0.27100000000000002</v>
      </c>
      <c r="J12" s="2">
        <v>0.26500000000000001</v>
      </c>
      <c r="K12" s="2">
        <v>0.26100000000000001</v>
      </c>
      <c r="L12" s="2">
        <v>0.26100000000000001</v>
      </c>
    </row>
    <row r="13" spans="2:12" x14ac:dyDescent="0.25">
      <c r="B13">
        <v>209</v>
      </c>
      <c r="C13" s="2">
        <v>1.43</v>
      </c>
      <c r="D13" s="2">
        <v>1.4</v>
      </c>
      <c r="E13" s="2">
        <v>1.3</v>
      </c>
      <c r="F13" s="2">
        <v>1.02</v>
      </c>
      <c r="G13" s="2">
        <v>0.96</v>
      </c>
      <c r="H13" s="2">
        <v>0.46</v>
      </c>
      <c r="I13" s="2">
        <v>0.39200000000000002</v>
      </c>
      <c r="J13" s="2">
        <v>0.308</v>
      </c>
      <c r="K13" s="2">
        <v>0.29399999999999998</v>
      </c>
      <c r="L13" s="2">
        <v>0.29399999999999998</v>
      </c>
    </row>
    <row r="14" spans="2:12" x14ac:dyDescent="0.25">
      <c r="B14">
        <v>225</v>
      </c>
      <c r="C14" s="2">
        <v>1.43</v>
      </c>
      <c r="D14" s="2">
        <v>1.4</v>
      </c>
      <c r="E14" s="2">
        <v>1.3</v>
      </c>
      <c r="F14" s="2">
        <v>1.04</v>
      </c>
      <c r="G14" s="2">
        <v>0.98</v>
      </c>
      <c r="H14" s="2">
        <v>0.48799999999999999</v>
      </c>
      <c r="I14" s="2">
        <v>0.41599999999999998</v>
      </c>
      <c r="J14" s="2">
        <v>0.32100000000000001</v>
      </c>
      <c r="K14" s="2">
        <v>0.30199999999999999</v>
      </c>
      <c r="L14" s="2">
        <v>0.30199999999999999</v>
      </c>
    </row>
    <row r="15" spans="2:12" x14ac:dyDescent="0.25">
      <c r="B15">
        <v>250</v>
      </c>
      <c r="C15" s="2">
        <v>1.43</v>
      </c>
      <c r="D15" s="2">
        <v>1.4</v>
      </c>
      <c r="E15" s="2">
        <v>1.3</v>
      </c>
      <c r="F15" s="2">
        <v>1.04</v>
      </c>
      <c r="G15" s="2">
        <v>0.98</v>
      </c>
      <c r="H15" s="2">
        <v>0.48799999999999999</v>
      </c>
      <c r="I15" s="2">
        <v>0.41599999999999998</v>
      </c>
      <c r="J15" s="2">
        <v>0.32100000000000001</v>
      </c>
      <c r="K15" s="2">
        <v>0.30199999999999999</v>
      </c>
      <c r="L15" s="2">
        <v>0.30199999999999999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"/>
  <sheetViews>
    <sheetView workbookViewId="0">
      <selection activeCell="P11" sqref="P11"/>
    </sheetView>
  </sheetViews>
  <sheetFormatPr defaultRowHeight="15" x14ac:dyDescent="0.25"/>
  <sheetData>
    <row r="2" spans="2:16" x14ac:dyDescent="0.2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</row>
    <row r="3" spans="2:16" x14ac:dyDescent="0.25">
      <c r="B3">
        <v>-25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2:16" x14ac:dyDescent="0.25">
      <c r="B4">
        <v>-10</v>
      </c>
      <c r="C4" s="2">
        <v>2.5999999999999999E-2</v>
      </c>
      <c r="D4" s="2">
        <v>2.5000000000000001E-2</v>
      </c>
      <c r="E4" s="2">
        <v>1.2E-2</v>
      </c>
      <c r="F4" s="2">
        <v>0.01</v>
      </c>
      <c r="G4" s="2">
        <v>8.0000000000000002E-3</v>
      </c>
      <c r="H4" s="2">
        <v>6.0000000000000001E-3</v>
      </c>
      <c r="I4" s="2">
        <v>4.0000000000000001E-3</v>
      </c>
      <c r="J4" s="2">
        <v>2E-3</v>
      </c>
      <c r="K4" s="2">
        <v>1E-3</v>
      </c>
      <c r="L4" s="2">
        <v>1E-3</v>
      </c>
    </row>
    <row r="5" spans="2:16" x14ac:dyDescent="0.25">
      <c r="B5">
        <v>12</v>
      </c>
      <c r="C5" s="2">
        <v>9.0999999999999998E-2</v>
      </c>
      <c r="D5" s="2">
        <v>8.6999999999999994E-2</v>
      </c>
      <c r="E5" s="2">
        <v>1.2999999999999999E-2</v>
      </c>
      <c r="F5" s="2">
        <v>1.2E-2</v>
      </c>
      <c r="G5" s="2">
        <v>0.01</v>
      </c>
      <c r="H5" s="2">
        <v>7.0000000000000001E-3</v>
      </c>
      <c r="I5" s="2">
        <v>5.0000000000000001E-3</v>
      </c>
      <c r="J5" s="2">
        <v>2.5999999999999999E-3</v>
      </c>
      <c r="K5" s="2">
        <v>1.1000000000000001E-3</v>
      </c>
      <c r="L5" s="2">
        <v>1.1000000000000001E-3</v>
      </c>
    </row>
    <row r="6" spans="2:16" x14ac:dyDescent="0.25">
      <c r="B6">
        <v>39</v>
      </c>
      <c r="C6" s="2">
        <v>9.2999999999999999E-2</v>
      </c>
      <c r="D6" s="2">
        <v>9.0999999999999998E-2</v>
      </c>
      <c r="E6" s="2">
        <v>1.4E-2</v>
      </c>
      <c r="F6" s="2">
        <v>1.2999999999999999E-2</v>
      </c>
      <c r="G6" s="2">
        <v>1.2E-2</v>
      </c>
      <c r="H6" s="2">
        <v>1.0999999999999999E-2</v>
      </c>
      <c r="I6" s="2">
        <v>0.01</v>
      </c>
      <c r="J6" s="2">
        <v>8.0000000000000002E-3</v>
      </c>
      <c r="K6" s="2">
        <v>6.0000000000000001E-3</v>
      </c>
      <c r="L6" s="2">
        <v>6.0000000000000001E-3</v>
      </c>
    </row>
    <row r="7" spans="2:16" x14ac:dyDescent="0.25">
      <c r="B7">
        <v>61</v>
      </c>
      <c r="C7" s="2">
        <v>0.11899999999999999</v>
      </c>
      <c r="D7" s="2">
        <v>0.11799999999999999</v>
      </c>
      <c r="E7" s="2">
        <v>8.4000000000000005E-2</v>
      </c>
      <c r="F7" s="2">
        <v>1.4E-2</v>
      </c>
      <c r="G7" s="2">
        <v>1.2999999999999999E-2</v>
      </c>
      <c r="H7" s="2">
        <v>1.2E-2</v>
      </c>
      <c r="I7" s="2">
        <v>1.0999999999999999E-2</v>
      </c>
      <c r="J7" s="2">
        <v>0.01</v>
      </c>
      <c r="K7" s="2">
        <v>8.0000000000000002E-3</v>
      </c>
      <c r="L7" s="2">
        <v>8.0000000000000002E-3</v>
      </c>
    </row>
    <row r="8" spans="2:16" x14ac:dyDescent="0.25">
      <c r="B8">
        <v>82</v>
      </c>
      <c r="C8" s="2">
        <v>0.19800000000000001</v>
      </c>
      <c r="D8" s="2">
        <v>0.19400000000000001</v>
      </c>
      <c r="E8" s="2">
        <v>9.6000000000000002E-2</v>
      </c>
      <c r="F8" s="2">
        <v>9.4E-2</v>
      </c>
      <c r="G8" s="2">
        <v>8.1000000000000003E-2</v>
      </c>
      <c r="H8" s="2">
        <v>7.2999999999999995E-2</v>
      </c>
      <c r="I8" s="2">
        <v>4.8000000000000001E-2</v>
      </c>
      <c r="J8" s="2">
        <v>0.04</v>
      </c>
      <c r="K8" s="2">
        <v>3.2000000000000001E-2</v>
      </c>
      <c r="L8" s="2">
        <v>3.2000000000000001E-2</v>
      </c>
    </row>
    <row r="9" spans="2:16" x14ac:dyDescent="0.25">
      <c r="B9">
        <v>106</v>
      </c>
      <c r="C9" s="2">
        <v>0.47099999999999997</v>
      </c>
      <c r="D9" s="2">
        <v>0.45700000000000002</v>
      </c>
      <c r="E9" s="2">
        <v>0.23699999999999999</v>
      </c>
      <c r="F9" s="2">
        <v>0.23499999999999999</v>
      </c>
      <c r="G9" s="2">
        <v>0.23400000000000001</v>
      </c>
      <c r="H9" s="2">
        <v>0.23300000000000001</v>
      </c>
      <c r="I9" s="2">
        <v>0.23100000000000001</v>
      </c>
      <c r="J9" s="2">
        <v>0.16</v>
      </c>
      <c r="K9" s="2">
        <v>0.14000000000000001</v>
      </c>
      <c r="L9" s="2">
        <v>0.14000000000000001</v>
      </c>
    </row>
    <row r="10" spans="2:16" x14ac:dyDescent="0.25">
      <c r="B10">
        <v>138</v>
      </c>
      <c r="C10" s="2">
        <v>1.002</v>
      </c>
      <c r="D10" s="2">
        <v>0.998</v>
      </c>
      <c r="E10" s="2">
        <v>0.77800000000000002</v>
      </c>
      <c r="F10" s="2">
        <v>0.32700000000000001</v>
      </c>
      <c r="G10" s="2">
        <v>0.27500000000000002</v>
      </c>
      <c r="H10" s="2">
        <v>0.27300000000000002</v>
      </c>
      <c r="I10" s="2">
        <v>0.25900000000000001</v>
      </c>
      <c r="J10" s="2">
        <v>0.24</v>
      </c>
      <c r="K10" s="2">
        <v>0.22</v>
      </c>
      <c r="L10" s="2">
        <v>0.22</v>
      </c>
    </row>
    <row r="11" spans="2:16" x14ac:dyDescent="0.25">
      <c r="B11">
        <v>159</v>
      </c>
      <c r="C11" s="2">
        <v>1.4079999999999999</v>
      </c>
      <c r="D11" s="2">
        <v>1.361</v>
      </c>
      <c r="E11" s="2">
        <v>1.103</v>
      </c>
      <c r="F11" s="2">
        <v>0.86699999999999999</v>
      </c>
      <c r="G11" s="2">
        <v>0.78300000000000003</v>
      </c>
      <c r="H11" s="2">
        <v>0.77600000000000002</v>
      </c>
      <c r="I11" s="2">
        <v>0.46200000000000002</v>
      </c>
      <c r="J11" s="2">
        <v>0.31</v>
      </c>
      <c r="K11" s="2">
        <v>0.28999999999999998</v>
      </c>
      <c r="L11" s="2">
        <v>0.28999999999999998</v>
      </c>
    </row>
    <row r="12" spans="2:16" x14ac:dyDescent="0.25">
      <c r="B12">
        <v>187</v>
      </c>
      <c r="C12" s="2">
        <v>1.536</v>
      </c>
      <c r="D12" s="2">
        <v>1.488</v>
      </c>
      <c r="E12" s="2">
        <v>1.1559999999999999</v>
      </c>
      <c r="F12" s="2">
        <v>0.96699999999999997</v>
      </c>
      <c r="G12" s="2">
        <v>0.86399999999999999</v>
      </c>
      <c r="H12" s="2">
        <v>0.86199999999999999</v>
      </c>
      <c r="I12" s="2">
        <v>0.85899999999999999</v>
      </c>
      <c r="J12" s="2">
        <v>0.72099999999999997</v>
      </c>
      <c r="K12" s="2">
        <v>0.49</v>
      </c>
      <c r="L12" s="2">
        <v>0.49</v>
      </c>
      <c r="P12" t="s">
        <v>1</v>
      </c>
    </row>
    <row r="13" spans="2:16" x14ac:dyDescent="0.25">
      <c r="B13">
        <v>209</v>
      </c>
      <c r="C13" s="2">
        <v>1.5680000000000001</v>
      </c>
      <c r="D13" s="2">
        <v>1.528</v>
      </c>
      <c r="E13" s="2">
        <v>1.1859999999999999</v>
      </c>
      <c r="F13" s="2">
        <v>0.99399999999999999</v>
      </c>
      <c r="G13" s="2">
        <v>0.99099999999999999</v>
      </c>
      <c r="H13" s="2">
        <v>0.98899999999999999</v>
      </c>
      <c r="I13" s="2">
        <v>0.98699999999999999</v>
      </c>
      <c r="J13" s="2">
        <v>0.98499999999999999</v>
      </c>
      <c r="K13" s="2">
        <v>0.75800000000000001</v>
      </c>
      <c r="L13" s="2">
        <v>0.75800000000000001</v>
      </c>
    </row>
    <row r="14" spans="2:16" x14ac:dyDescent="0.25">
      <c r="B14">
        <v>225</v>
      </c>
      <c r="C14" s="2">
        <v>1.5680000000000001</v>
      </c>
      <c r="D14" s="2">
        <v>1.528</v>
      </c>
      <c r="E14" s="2">
        <v>1.1859999999999999</v>
      </c>
      <c r="F14" s="2">
        <v>0.997</v>
      </c>
      <c r="G14" s="2">
        <v>0.995</v>
      </c>
      <c r="H14" s="2">
        <v>0.99299999999999999</v>
      </c>
      <c r="I14" s="2">
        <v>0.99099999999999999</v>
      </c>
      <c r="J14" s="2">
        <v>0.98899999999999999</v>
      </c>
      <c r="K14" s="2">
        <v>0.91500000000000004</v>
      </c>
      <c r="L14" s="2">
        <v>0.91500000000000004</v>
      </c>
    </row>
    <row r="15" spans="2:16" x14ac:dyDescent="0.25">
      <c r="B15">
        <v>250</v>
      </c>
      <c r="C15" s="2">
        <v>1.5680000000000001</v>
      </c>
      <c r="D15" s="2">
        <v>1.528</v>
      </c>
      <c r="E15" s="2">
        <v>1.1859999999999999</v>
      </c>
      <c r="F15" s="2">
        <v>0.997</v>
      </c>
      <c r="G15" s="2">
        <v>0.995</v>
      </c>
      <c r="H15" s="2">
        <v>0.99299999999999999</v>
      </c>
      <c r="I15" s="2">
        <v>0.99099999999999999</v>
      </c>
      <c r="J15" s="2">
        <v>0.98899999999999999</v>
      </c>
      <c r="K15" s="2">
        <v>0.91500000000000004</v>
      </c>
      <c r="L15" s="2">
        <v>0.91500000000000004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>
      <selection activeCell="AD12" sqref="AD12"/>
    </sheetView>
  </sheetViews>
  <sheetFormatPr defaultRowHeight="15" x14ac:dyDescent="0.25"/>
  <sheetData>
    <row r="1" spans="1:30" x14ac:dyDescent="0.25">
      <c r="A1" t="s">
        <v>0</v>
      </c>
      <c r="D1" t="s">
        <v>2</v>
      </c>
      <c r="E1" t="s">
        <v>3</v>
      </c>
      <c r="J1" t="s">
        <v>4</v>
      </c>
      <c r="M1" t="s">
        <v>5</v>
      </c>
      <c r="P1" t="s">
        <v>6</v>
      </c>
      <c r="S1" t="s">
        <v>7</v>
      </c>
      <c r="Z1" t="s">
        <v>8</v>
      </c>
      <c r="AC1" t="s">
        <v>9</v>
      </c>
    </row>
    <row r="2" spans="1:30" x14ac:dyDescent="0.25">
      <c r="A2">
        <v>500</v>
      </c>
      <c r="B2">
        <v>0.79</v>
      </c>
      <c r="D2">
        <v>-45</v>
      </c>
      <c r="E2">
        <v>1.28</v>
      </c>
      <c r="J2">
        <v>0</v>
      </c>
      <c r="K2">
        <v>0.81</v>
      </c>
      <c r="M2">
        <v>0</v>
      </c>
      <c r="N2">
        <v>1.03</v>
      </c>
      <c r="P2">
        <v>0</v>
      </c>
      <c r="Q2">
        <v>0.99</v>
      </c>
      <c r="S2">
        <v>0</v>
      </c>
      <c r="T2">
        <v>1.27</v>
      </c>
      <c r="Z2">
        <v>0</v>
      </c>
      <c r="AA2">
        <v>-105</v>
      </c>
      <c r="AC2">
        <v>0</v>
      </c>
      <c r="AD2">
        <v>-105</v>
      </c>
    </row>
    <row r="3" spans="1:30" x14ac:dyDescent="0.25">
      <c r="A3">
        <v>600</v>
      </c>
      <c r="B3">
        <v>0.79</v>
      </c>
      <c r="D3">
        <v>-25</v>
      </c>
      <c r="E3">
        <v>1.28</v>
      </c>
      <c r="J3">
        <v>68</v>
      </c>
      <c r="K3">
        <v>0.81</v>
      </c>
      <c r="M3">
        <v>68</v>
      </c>
      <c r="N3">
        <v>1.03</v>
      </c>
      <c r="P3">
        <v>68</v>
      </c>
      <c r="Q3">
        <v>0.99</v>
      </c>
      <c r="S3">
        <v>68</v>
      </c>
      <c r="T3">
        <v>1.27</v>
      </c>
      <c r="Z3">
        <v>68</v>
      </c>
      <c r="AA3">
        <v>-95</v>
      </c>
      <c r="AC3">
        <v>68</v>
      </c>
      <c r="AD3">
        <v>-95</v>
      </c>
    </row>
    <row r="4" spans="1:30" x14ac:dyDescent="0.25">
      <c r="A4">
        <v>620</v>
      </c>
      <c r="B4">
        <v>0.83</v>
      </c>
      <c r="C4" t="s">
        <v>1</v>
      </c>
      <c r="D4">
        <v>-15</v>
      </c>
      <c r="E4">
        <v>1.1299999999999999</v>
      </c>
      <c r="J4">
        <v>415</v>
      </c>
      <c r="K4">
        <v>0.81</v>
      </c>
      <c r="M4">
        <v>155</v>
      </c>
      <c r="N4">
        <v>1.03</v>
      </c>
      <c r="P4">
        <v>155</v>
      </c>
      <c r="Q4">
        <v>0.99</v>
      </c>
      <c r="S4">
        <v>92</v>
      </c>
      <c r="T4">
        <v>1.27</v>
      </c>
      <c r="Z4">
        <v>90</v>
      </c>
      <c r="AA4">
        <v>-32</v>
      </c>
      <c r="AC4">
        <v>90</v>
      </c>
      <c r="AD4">
        <v>-32</v>
      </c>
    </row>
    <row r="5" spans="1:30" x14ac:dyDescent="0.25">
      <c r="A5">
        <v>640</v>
      </c>
      <c r="B5">
        <v>0.84</v>
      </c>
      <c r="D5">
        <v>15</v>
      </c>
      <c r="E5">
        <v>0.97</v>
      </c>
      <c r="J5">
        <v>435</v>
      </c>
      <c r="K5">
        <v>0.73</v>
      </c>
      <c r="M5">
        <v>195</v>
      </c>
      <c r="N5">
        <v>0.97</v>
      </c>
      <c r="P5">
        <v>195</v>
      </c>
      <c r="Q5">
        <v>0.93</v>
      </c>
      <c r="S5">
        <v>124</v>
      </c>
      <c r="T5">
        <v>1.07</v>
      </c>
      <c r="Z5">
        <v>115</v>
      </c>
      <c r="AA5">
        <v>-20</v>
      </c>
      <c r="AC5">
        <v>115</v>
      </c>
      <c r="AD5">
        <v>-20</v>
      </c>
    </row>
    <row r="6" spans="1:30" x14ac:dyDescent="0.25">
      <c r="A6">
        <v>660</v>
      </c>
      <c r="B6">
        <v>0.89</v>
      </c>
      <c r="D6">
        <v>25</v>
      </c>
      <c r="E6">
        <v>0.75</v>
      </c>
      <c r="J6">
        <v>455</v>
      </c>
      <c r="K6">
        <v>0.73</v>
      </c>
      <c r="M6">
        <v>415</v>
      </c>
      <c r="N6">
        <v>0.89</v>
      </c>
      <c r="P6">
        <v>235</v>
      </c>
      <c r="Q6">
        <v>0.89</v>
      </c>
      <c r="S6">
        <v>155</v>
      </c>
      <c r="T6">
        <v>1</v>
      </c>
      <c r="Z6">
        <v>150</v>
      </c>
      <c r="AA6">
        <v>-5</v>
      </c>
      <c r="AC6">
        <v>150</v>
      </c>
      <c r="AD6">
        <v>-5</v>
      </c>
    </row>
    <row r="7" spans="1:30" x14ac:dyDescent="0.25">
      <c r="A7">
        <v>680</v>
      </c>
      <c r="B7">
        <v>1.01</v>
      </c>
      <c r="D7">
        <v>45</v>
      </c>
      <c r="E7">
        <v>0.75</v>
      </c>
      <c r="M7">
        <v>435</v>
      </c>
      <c r="N7">
        <v>0.66</v>
      </c>
      <c r="P7">
        <v>415</v>
      </c>
      <c r="Q7">
        <v>0.87</v>
      </c>
      <c r="S7">
        <v>415</v>
      </c>
      <c r="T7">
        <v>1</v>
      </c>
      <c r="Z7">
        <v>175</v>
      </c>
      <c r="AA7">
        <v>0</v>
      </c>
      <c r="AC7">
        <v>175</v>
      </c>
      <c r="AD7">
        <v>0</v>
      </c>
    </row>
    <row r="8" spans="1:30" x14ac:dyDescent="0.25">
      <c r="A8">
        <v>700</v>
      </c>
      <c r="B8">
        <v>1.27</v>
      </c>
      <c r="M8">
        <v>455</v>
      </c>
      <c r="N8">
        <v>0.66</v>
      </c>
      <c r="P8">
        <v>435</v>
      </c>
      <c r="Q8">
        <v>0.85</v>
      </c>
      <c r="S8">
        <v>435</v>
      </c>
      <c r="T8">
        <v>0.81</v>
      </c>
      <c r="Z8">
        <v>185</v>
      </c>
      <c r="AA8">
        <v>0</v>
      </c>
      <c r="AC8">
        <v>185</v>
      </c>
      <c r="AD8">
        <v>0</v>
      </c>
    </row>
    <row r="9" spans="1:30" x14ac:dyDescent="0.25">
      <c r="A9">
        <v>720</v>
      </c>
      <c r="P9">
        <v>455</v>
      </c>
      <c r="Q9">
        <v>0.85</v>
      </c>
      <c r="S9">
        <v>455</v>
      </c>
      <c r="T9">
        <v>0.81</v>
      </c>
      <c r="Z9">
        <v>415</v>
      </c>
      <c r="AA9">
        <v>0</v>
      </c>
      <c r="AC9">
        <v>415</v>
      </c>
      <c r="AD9">
        <v>0</v>
      </c>
    </row>
    <row r="10" spans="1:30" x14ac:dyDescent="0.25">
      <c r="A10">
        <v>740</v>
      </c>
      <c r="B10">
        <v>1.33</v>
      </c>
      <c r="Z10">
        <v>450</v>
      </c>
      <c r="AA10">
        <v>30</v>
      </c>
      <c r="AC10">
        <v>450</v>
      </c>
      <c r="AD10">
        <v>0</v>
      </c>
    </row>
    <row r="11" spans="1:30" x14ac:dyDescent="0.25">
      <c r="A11">
        <v>760</v>
      </c>
      <c r="B11">
        <v>1.68</v>
      </c>
      <c r="Z11">
        <v>475</v>
      </c>
      <c r="AA11">
        <v>30</v>
      </c>
      <c r="AC11">
        <v>475</v>
      </c>
      <c r="AD11">
        <v>0</v>
      </c>
    </row>
    <row r="12" spans="1:30" x14ac:dyDescent="0.25">
      <c r="A12">
        <v>780</v>
      </c>
      <c r="B12">
        <v>1.68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workbookViewId="0">
      <selection activeCell="C8" sqref="C8"/>
    </sheetView>
  </sheetViews>
  <sheetFormatPr defaultRowHeight="15" x14ac:dyDescent="0.25"/>
  <sheetData>
    <row r="3" spans="2:3" x14ac:dyDescent="0.25">
      <c r="B3">
        <v>500</v>
      </c>
      <c r="C3">
        <v>1.59</v>
      </c>
    </row>
    <row r="4" spans="2:3" x14ac:dyDescent="0.25">
      <c r="B4">
        <v>600</v>
      </c>
      <c r="C4">
        <v>1.59</v>
      </c>
    </row>
    <row r="5" spans="2:3" x14ac:dyDescent="0.25">
      <c r="B5">
        <v>620</v>
      </c>
      <c r="C5">
        <v>1.53</v>
      </c>
    </row>
    <row r="6" spans="2:3" x14ac:dyDescent="0.25">
      <c r="B6">
        <v>640</v>
      </c>
      <c r="C6">
        <v>1.42</v>
      </c>
    </row>
    <row r="7" spans="2:3" x14ac:dyDescent="0.25">
      <c r="B7">
        <v>660</v>
      </c>
      <c r="C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0"/>
  <sheetViews>
    <sheetView topLeftCell="BB1" workbookViewId="0">
      <pane xSplit="13830" topLeftCell="BY1"/>
      <selection activeCell="BI19" sqref="BI19:BI30"/>
      <selection pane="topRight" activeCell="CR19" sqref="CR19:CR30"/>
    </sheetView>
  </sheetViews>
  <sheetFormatPr defaultRowHeight="15" x14ac:dyDescent="0.25"/>
  <cols>
    <col min="33" max="33" width="9.140625" style="4"/>
    <col min="34" max="34" width="11" bestFit="1" customWidth="1"/>
    <col min="55" max="55" width="9.140625" style="12"/>
    <col min="79" max="79" width="9.140625" style="12"/>
    <col min="92" max="92" width="9.140625" style="4"/>
    <col min="95" max="95" width="9.140625" style="4"/>
  </cols>
  <sheetData>
    <row r="1" spans="1:106" x14ac:dyDescent="0.25">
      <c r="BD1" t="s">
        <v>60</v>
      </c>
      <c r="BF1" t="s">
        <v>25</v>
      </c>
      <c r="BG1" t="s">
        <v>59</v>
      </c>
      <c r="BI1" t="s">
        <v>58</v>
      </c>
      <c r="BK1" t="s">
        <v>40</v>
      </c>
      <c r="BN1" t="s">
        <v>42</v>
      </c>
      <c r="BP1" t="s">
        <v>41</v>
      </c>
      <c r="BS1" t="s">
        <v>43</v>
      </c>
      <c r="CB1" t="s">
        <v>51</v>
      </c>
      <c r="CC1" t="s">
        <v>61</v>
      </c>
      <c r="CE1" t="s">
        <v>52</v>
      </c>
      <c r="CF1" t="s">
        <v>62</v>
      </c>
      <c r="CI1" t="s">
        <v>54</v>
      </c>
      <c r="CJ1" t="s">
        <v>63</v>
      </c>
      <c r="CL1" t="s">
        <v>55</v>
      </c>
      <c r="CM1" t="s">
        <v>64</v>
      </c>
      <c r="CO1" t="s">
        <v>56</v>
      </c>
      <c r="CR1" t="s">
        <v>50</v>
      </c>
      <c r="CS1" t="s">
        <v>65</v>
      </c>
      <c r="CY1" t="s">
        <v>20</v>
      </c>
      <c r="DA1" t="s">
        <v>53</v>
      </c>
      <c r="DB1" t="s">
        <v>57</v>
      </c>
    </row>
    <row r="2" spans="1:106" x14ac:dyDescent="0.25">
      <c r="B2" t="s">
        <v>15</v>
      </c>
      <c r="C2">
        <v>40</v>
      </c>
      <c r="D2">
        <v>35</v>
      </c>
      <c r="E2">
        <v>30</v>
      </c>
      <c r="F2">
        <v>25</v>
      </c>
      <c r="G2">
        <v>20</v>
      </c>
      <c r="H2">
        <v>15</v>
      </c>
      <c r="I2">
        <v>10</v>
      </c>
      <c r="J2">
        <v>5</v>
      </c>
      <c r="K2">
        <v>40</v>
      </c>
      <c r="L2">
        <f>D2</f>
        <v>35</v>
      </c>
      <c r="M2">
        <f t="shared" ref="M2:R2" si="0">E2</f>
        <v>30</v>
      </c>
      <c r="N2">
        <f t="shared" si="0"/>
        <v>25</v>
      </c>
      <c r="O2">
        <f t="shared" si="0"/>
        <v>20</v>
      </c>
      <c r="P2">
        <f t="shared" si="0"/>
        <v>15</v>
      </c>
      <c r="Q2">
        <f t="shared" si="0"/>
        <v>10</v>
      </c>
      <c r="R2">
        <f t="shared" si="0"/>
        <v>5</v>
      </c>
      <c r="U2" s="6">
        <v>-175</v>
      </c>
      <c r="V2" s="6">
        <v>0</v>
      </c>
      <c r="Y2">
        <v>0</v>
      </c>
      <c r="AD2">
        <v>5</v>
      </c>
      <c r="AF2" s="5">
        <v>0</v>
      </c>
      <c r="AJ2" t="s">
        <v>17</v>
      </c>
      <c r="AN2" s="6">
        <v>0</v>
      </c>
      <c r="AO2">
        <v>0</v>
      </c>
      <c r="AR2">
        <f>U2</f>
        <v>-175</v>
      </c>
      <c r="AU2">
        <v>0</v>
      </c>
      <c r="AX2">
        <v>0</v>
      </c>
      <c r="AY2">
        <f>AO2+AX2</f>
        <v>0</v>
      </c>
      <c r="BA2" s="6">
        <v>0</v>
      </c>
      <c r="BD2">
        <f>AR2</f>
        <v>-175</v>
      </c>
      <c r="BE2" s="13">
        <f>AN2*0.001</f>
        <v>0</v>
      </c>
      <c r="BG2">
        <f>0.7*BE2</f>
        <v>0</v>
      </c>
      <c r="BI2" s="6">
        <f>BE2*0.4</f>
        <v>0</v>
      </c>
      <c r="BK2" s="13">
        <f>BX2</f>
        <v>0</v>
      </c>
      <c r="BN2" s="19">
        <f>BA2*0.001</f>
        <v>0</v>
      </c>
      <c r="BP2" s="20">
        <f>AVERAGE(BN2,BS2)</f>
        <v>0</v>
      </c>
      <c r="BQ2" s="20"/>
      <c r="BR2" t="s">
        <v>1</v>
      </c>
      <c r="BS2">
        <f>BI2</f>
        <v>0</v>
      </c>
      <c r="BW2" s="1">
        <v>1.75</v>
      </c>
      <c r="BX2" s="13">
        <f t="shared" ref="BX2:BX16" si="1">BZ2/1000</f>
        <v>0</v>
      </c>
      <c r="BZ2" s="8">
        <v>0</v>
      </c>
      <c r="CB2" s="1">
        <v>3.5</v>
      </c>
      <c r="CC2" s="13">
        <f>CB2*BN2</f>
        <v>0</v>
      </c>
      <c r="CE2" s="16">
        <v>0.71</v>
      </c>
      <c r="CF2" s="13">
        <f>CE2*CC2</f>
        <v>0</v>
      </c>
      <c r="CG2" s="13"/>
      <c r="CH2">
        <f>BD2</f>
        <v>-175</v>
      </c>
      <c r="CI2" s="16">
        <v>0.35</v>
      </c>
      <c r="CJ2" s="19">
        <f>CI2*CC2</f>
        <v>0</v>
      </c>
      <c r="CK2" s="19"/>
      <c r="CL2" s="16">
        <v>0.22500000000000001</v>
      </c>
      <c r="CM2" s="19">
        <f>CL2*CC2</f>
        <v>0</v>
      </c>
      <c r="CN2" s="5"/>
      <c r="CO2" s="16">
        <v>7.0000000000000007E-2</v>
      </c>
      <c r="CP2" s="19">
        <f>CO2*CC2</f>
        <v>0</v>
      </c>
      <c r="CR2" s="19">
        <f>BS2</f>
        <v>0</v>
      </c>
      <c r="CS2" s="19"/>
      <c r="CT2">
        <v>12</v>
      </c>
      <c r="CU2" s="1">
        <v>2.5</v>
      </c>
      <c r="CX2">
        <v>0</v>
      </c>
      <c r="CY2">
        <v>13</v>
      </c>
      <c r="DB2">
        <v>1</v>
      </c>
    </row>
    <row r="3" spans="1:106" x14ac:dyDescent="0.25">
      <c r="A3">
        <v>-162.5</v>
      </c>
      <c r="B3" s="2"/>
      <c r="C3" s="2">
        <f>H3*4.4</f>
        <v>0</v>
      </c>
      <c r="D3" s="2"/>
      <c r="E3" s="2"/>
      <c r="F3" s="2"/>
      <c r="G3" s="2">
        <v>0</v>
      </c>
      <c r="H3" s="2">
        <v>0</v>
      </c>
      <c r="I3" s="2">
        <v>0</v>
      </c>
      <c r="J3" s="2"/>
      <c r="K3" s="2">
        <v>1</v>
      </c>
      <c r="L3" t="e">
        <f>D3/$C3</f>
        <v>#DIV/0!</v>
      </c>
      <c r="M3" t="e">
        <f t="shared" ref="M3:R18" si="2">E3/$C3</f>
        <v>#DIV/0!</v>
      </c>
      <c r="N3" t="e">
        <f t="shared" si="2"/>
        <v>#DIV/0!</v>
      </c>
      <c r="O3" t="e">
        <f t="shared" si="2"/>
        <v>#DIV/0!</v>
      </c>
      <c r="P3" t="e">
        <f t="shared" si="2"/>
        <v>#DIV/0!</v>
      </c>
      <c r="Q3" t="e">
        <f t="shared" si="2"/>
        <v>#DIV/0!</v>
      </c>
      <c r="R3" t="e">
        <f t="shared" si="2"/>
        <v>#DIV/0!</v>
      </c>
      <c r="S3">
        <f>A3</f>
        <v>-162.5</v>
      </c>
      <c r="T3" s="2">
        <f>C3</f>
        <v>0</v>
      </c>
      <c r="U3" s="6">
        <v>-150</v>
      </c>
      <c r="V3" s="6">
        <v>1</v>
      </c>
      <c r="W3">
        <v>0</v>
      </c>
      <c r="Y3">
        <f>V3*0.001</f>
        <v>1E-3</v>
      </c>
      <c r="Z3">
        <f>AVERAGE(Y2:Y3)</f>
        <v>5.0000000000000001E-4</v>
      </c>
      <c r="AD3">
        <v>7.5</v>
      </c>
      <c r="AF3" s="5">
        <v>4.4999999999999998E-2</v>
      </c>
      <c r="AG3" s="4">
        <f>AVERAGE(AF2:AF3)</f>
        <v>2.2499999999999999E-2</v>
      </c>
      <c r="AN3" s="6">
        <v>1</v>
      </c>
      <c r="AO3">
        <f>AVERAGE(AN2:AN3)</f>
        <v>0.5</v>
      </c>
      <c r="AR3">
        <f t="shared" ref="AR3:AR17" si="3">U3</f>
        <v>-150</v>
      </c>
      <c r="AU3">
        <v>7.499999999999985E-3</v>
      </c>
      <c r="AV3">
        <f>AU3/0.001</f>
        <v>7.4999999999999849</v>
      </c>
      <c r="AW3">
        <f t="shared" ref="AW3:AW16" si="4">AV3-AO3</f>
        <v>6.9999999999999849</v>
      </c>
      <c r="AX3">
        <v>2.5</v>
      </c>
      <c r="AY3">
        <f>AO3+AX3</f>
        <v>3</v>
      </c>
      <c r="BA3" s="6">
        <v>4</v>
      </c>
      <c r="BB3">
        <f>AVERAGE(BA2:BA3)</f>
        <v>2</v>
      </c>
      <c r="BD3">
        <f t="shared" ref="BD3:BD17" si="5">AR3</f>
        <v>-150</v>
      </c>
      <c r="BE3" s="13">
        <f t="shared" ref="BE3:BE17" si="6">AN3*0.001</f>
        <v>1E-3</v>
      </c>
      <c r="BF3">
        <f>AVERAGE(BE2:BE3)</f>
        <v>5.0000000000000001E-4</v>
      </c>
      <c r="BG3">
        <f t="shared" ref="BG3:BG17" si="7">0.7*BE3</f>
        <v>6.9999999999999999E-4</v>
      </c>
      <c r="BH3">
        <f>AVERAGE(BG2:BG3)</f>
        <v>3.5E-4</v>
      </c>
      <c r="BI3" s="6">
        <f t="shared" ref="BI3:BI17" si="8">BE3*0.4</f>
        <v>4.0000000000000002E-4</v>
      </c>
      <c r="BJ3">
        <f>AVERAGE(BI2:BI3)</f>
        <v>2.0000000000000001E-4</v>
      </c>
      <c r="BK3" s="13">
        <f t="shared" ref="BK3:BK17" si="9">BX3</f>
        <v>8.9999999999999993E-3</v>
      </c>
      <c r="BL3" s="13">
        <f t="shared" ref="BL3:BL16" si="10">AVERAGE(BK2:BK3)</f>
        <v>4.4999999999999997E-3</v>
      </c>
      <c r="BM3" s="13">
        <f>BK3/BN3</f>
        <v>2.25</v>
      </c>
      <c r="BN3" s="19">
        <f>BA3*0.001</f>
        <v>4.0000000000000001E-3</v>
      </c>
      <c r="BO3" s="13">
        <f>AVERAGE(BN2:BN3)</f>
        <v>2E-3</v>
      </c>
      <c r="BP3" s="20">
        <f>AVERAGE(BN3,BS3)</f>
        <v>2.2000000000000001E-3</v>
      </c>
      <c r="BQ3" s="20">
        <f>BP3/BN3</f>
        <v>0.55000000000000004</v>
      </c>
      <c r="BR3" s="13">
        <f>AVERAGE(BP2:BP3)</f>
        <v>1.1000000000000001E-3</v>
      </c>
      <c r="BS3">
        <f t="shared" ref="BS3:BS17" si="11">BI3</f>
        <v>4.0000000000000002E-4</v>
      </c>
      <c r="BT3">
        <f>BS3/BN3</f>
        <v>0.1</v>
      </c>
      <c r="BU3">
        <f>AVERAGE(BS2:BS3)</f>
        <v>2.0000000000000001E-4</v>
      </c>
      <c r="BW3" s="1">
        <v>1.75</v>
      </c>
      <c r="BX3" s="13">
        <f t="shared" si="1"/>
        <v>8.9999999999999993E-3</v>
      </c>
      <c r="BY3">
        <f>BX3/BN3</f>
        <v>2.25</v>
      </c>
      <c r="BZ3" s="8">
        <v>9</v>
      </c>
      <c r="CB3" s="1">
        <v>3.5</v>
      </c>
      <c r="CC3" s="13">
        <f t="shared" ref="CC3:CC17" si="12">CB3*BN3</f>
        <v>1.4E-2</v>
      </c>
      <c r="CD3" s="13">
        <f>AVERAGE(CC2:CC3)</f>
        <v>7.0000000000000001E-3</v>
      </c>
      <c r="CE3" s="16">
        <v>0.71</v>
      </c>
      <c r="CF3" s="13">
        <f t="shared" ref="CF3:CF17" si="13">CE3*CC3</f>
        <v>9.9399999999999992E-3</v>
      </c>
      <c r="CG3" s="13">
        <f>AVERAGE(CF2:CF3)</f>
        <v>4.9699999999999996E-3</v>
      </c>
      <c r="CH3">
        <f t="shared" ref="CH3:CH17" si="14">BD3</f>
        <v>-150</v>
      </c>
      <c r="CI3" s="16">
        <v>0.35</v>
      </c>
      <c r="CJ3" s="19">
        <f t="shared" ref="CJ3:CJ17" si="15">CI3*CC3</f>
        <v>4.8999999999999998E-3</v>
      </c>
      <c r="CK3" s="19">
        <f>AVERAGE(CJ2:CJ3)</f>
        <v>2.4499999999999999E-3</v>
      </c>
      <c r="CL3" s="16">
        <v>0.22500000000000001</v>
      </c>
      <c r="CM3" s="19">
        <f t="shared" ref="CM3:CM17" si="16">CL3*CC3</f>
        <v>3.15E-3</v>
      </c>
      <c r="CN3" s="5">
        <f>AVERAGE(CM2:CM3)</f>
        <v>1.575E-3</v>
      </c>
      <c r="CO3" s="16">
        <v>7.0000000000000007E-2</v>
      </c>
      <c r="CP3" s="19">
        <f t="shared" ref="CP3:CP17" si="17">CO3*CC3</f>
        <v>9.8000000000000019E-4</v>
      </c>
      <c r="CQ3" s="4">
        <f>AVERAGE(CP2:CP3)</f>
        <v>4.9000000000000009E-4</v>
      </c>
      <c r="CR3" s="19">
        <f t="shared" ref="CR3:CR17" si="18">BS3</f>
        <v>4.0000000000000002E-4</v>
      </c>
      <c r="CS3" s="19">
        <f>AVERAGE(CR2:CR3)</f>
        <v>2.0000000000000001E-4</v>
      </c>
      <c r="CT3">
        <v>18</v>
      </c>
      <c r="CU3" s="1">
        <v>1.75</v>
      </c>
      <c r="CV3" s="1">
        <f>(CU2+2*CU3+CU4)/4</f>
        <v>1.75</v>
      </c>
      <c r="CX3">
        <v>1</v>
      </c>
      <c r="CY3">
        <v>20</v>
      </c>
      <c r="DB3">
        <v>2</v>
      </c>
    </row>
    <row r="4" spans="1:106" x14ac:dyDescent="0.25">
      <c r="A4">
        <v>-137.5</v>
      </c>
      <c r="B4" s="2"/>
      <c r="C4" s="2">
        <f>H4*4.4</f>
        <v>1.32</v>
      </c>
      <c r="D4" s="2"/>
      <c r="E4" s="2"/>
      <c r="F4" s="2">
        <v>0.96</v>
      </c>
      <c r="G4" s="2">
        <v>0.72</v>
      </c>
      <c r="H4" s="2">
        <v>0.3</v>
      </c>
      <c r="I4" s="2">
        <v>0.12</v>
      </c>
      <c r="J4" s="2"/>
      <c r="K4" s="2">
        <v>1</v>
      </c>
      <c r="L4">
        <f t="shared" ref="L4:L18" si="19">D4/$C4</f>
        <v>0</v>
      </c>
      <c r="M4">
        <f t="shared" si="2"/>
        <v>0</v>
      </c>
      <c r="N4">
        <f t="shared" si="2"/>
        <v>0.72727272727272718</v>
      </c>
      <c r="O4">
        <f t="shared" si="2"/>
        <v>0.54545454545454541</v>
      </c>
      <c r="P4">
        <f t="shared" si="2"/>
        <v>0.22727272727272727</v>
      </c>
      <c r="Q4">
        <f t="shared" si="2"/>
        <v>9.0909090909090898E-2</v>
      </c>
      <c r="R4">
        <f t="shared" si="2"/>
        <v>0</v>
      </c>
      <c r="S4">
        <f t="shared" ref="S4:S18" si="20">A4</f>
        <v>-137.5</v>
      </c>
      <c r="T4" s="2">
        <f t="shared" ref="T4:T18" si="21">C4</f>
        <v>1.32</v>
      </c>
      <c r="U4" s="6">
        <v>-125</v>
      </c>
      <c r="V4" s="7">
        <v>2</v>
      </c>
      <c r="W4">
        <f>AVERAGE(V3:V4)</f>
        <v>1.5</v>
      </c>
      <c r="X4" t="s">
        <v>1</v>
      </c>
      <c r="Y4">
        <f>V4*0.001</f>
        <v>2E-3</v>
      </c>
      <c r="Z4">
        <f t="shared" ref="Z4:Z18" si="22">AVERAGE(Y3:Y4)</f>
        <v>1.5E-3</v>
      </c>
      <c r="AA4">
        <f>S4</f>
        <v>-137.5</v>
      </c>
      <c r="AD4">
        <v>10</v>
      </c>
      <c r="AE4">
        <v>9.0899999999999995E-2</v>
      </c>
      <c r="AF4" s="5">
        <v>9.0899999900647996E-2</v>
      </c>
      <c r="AG4" s="4">
        <f>AVERAGE(AF3:AF5)</f>
        <v>8.5299999966882659E-2</v>
      </c>
      <c r="AH4">
        <f>(AG4-AE4)^2</f>
        <v>3.1360000370914167E-5</v>
      </c>
      <c r="AN4" s="6">
        <v>2</v>
      </c>
      <c r="AO4">
        <f t="shared" ref="AO4:AO17" si="23">AVERAGE(AN3:AN4)</f>
        <v>1.5</v>
      </c>
      <c r="AQ4">
        <f>AA4</f>
        <v>-137.5</v>
      </c>
      <c r="AR4">
        <f t="shared" si="3"/>
        <v>-125</v>
      </c>
      <c r="AU4">
        <v>6.4999999999999988E-3</v>
      </c>
      <c r="AV4">
        <f t="shared" ref="AV4:AV17" si="24">AU4/0.001</f>
        <v>6.4999999999999991</v>
      </c>
      <c r="AW4">
        <f t="shared" si="4"/>
        <v>4.9999999999999991</v>
      </c>
      <c r="AX4">
        <v>5</v>
      </c>
      <c r="AY4">
        <f t="shared" ref="AY4:AY17" si="25">AO4+AX4</f>
        <v>6.5</v>
      </c>
      <c r="BA4" s="6">
        <v>8</v>
      </c>
      <c r="BB4">
        <f t="shared" ref="BB4:BB17" si="26">AVERAGE(BA3:BA4)</f>
        <v>6</v>
      </c>
      <c r="BD4">
        <f t="shared" si="5"/>
        <v>-125</v>
      </c>
      <c r="BE4" s="13">
        <f t="shared" si="6"/>
        <v>2E-3</v>
      </c>
      <c r="BF4">
        <f t="shared" ref="BF4:BF17" si="27">AVERAGE(BE3:BE4)</f>
        <v>1.5E-3</v>
      </c>
      <c r="BG4">
        <f t="shared" si="7"/>
        <v>1.4E-3</v>
      </c>
      <c r="BH4">
        <f t="shared" ref="BH4:BH17" si="28">AVERAGE(BG3:BG4)</f>
        <v>1.0499999999999999E-3</v>
      </c>
      <c r="BI4" s="6">
        <f t="shared" si="8"/>
        <v>8.0000000000000004E-4</v>
      </c>
      <c r="BJ4">
        <f t="shared" ref="BJ4:BJ17" si="29">AVERAGE(BI3:BI4)</f>
        <v>6.0000000000000006E-4</v>
      </c>
      <c r="BK4" s="13">
        <f t="shared" si="9"/>
        <v>1.5599999999999999E-2</v>
      </c>
      <c r="BL4" s="13">
        <f t="shared" si="10"/>
        <v>1.2299999999999998E-2</v>
      </c>
      <c r="BM4" s="13">
        <f t="shared" ref="BM4:BM17" si="30">BK4/BN4</f>
        <v>1.95</v>
      </c>
      <c r="BN4" s="19">
        <f>BA4*0.001</f>
        <v>8.0000000000000002E-3</v>
      </c>
      <c r="BO4" s="13">
        <f t="shared" ref="BO4:BO17" si="31">AVERAGE(BN3:BN4)</f>
        <v>6.0000000000000001E-3</v>
      </c>
      <c r="BP4" s="20">
        <f t="shared" ref="BP4:BP17" si="32">AVERAGE(BN4,BS4)</f>
        <v>4.4000000000000003E-3</v>
      </c>
      <c r="BQ4" s="20">
        <f t="shared" ref="BQ4:BQ17" si="33">BP4/BN4</f>
        <v>0.55000000000000004</v>
      </c>
      <c r="BR4" s="13">
        <f t="shared" ref="BR4:BR17" si="34">AVERAGE(BP3:BP4)</f>
        <v>3.3E-3</v>
      </c>
      <c r="BS4">
        <f t="shared" si="11"/>
        <v>8.0000000000000004E-4</v>
      </c>
      <c r="BT4">
        <f t="shared" ref="BT4:BT17" si="35">BS4/BN4</f>
        <v>0.1</v>
      </c>
      <c r="BU4">
        <f t="shared" ref="BU4:BU17" si="36">AVERAGE(BS3:BS4)</f>
        <v>6.0000000000000006E-4</v>
      </c>
      <c r="BW4" s="1">
        <v>1.75</v>
      </c>
      <c r="BX4" s="13">
        <f t="shared" si="1"/>
        <v>1.5599999999999999E-2</v>
      </c>
      <c r="BY4">
        <v>2.08</v>
      </c>
      <c r="BZ4" s="8">
        <v>15.6</v>
      </c>
      <c r="CB4" s="1">
        <v>3.5</v>
      </c>
      <c r="CC4" s="13">
        <f t="shared" si="12"/>
        <v>2.8000000000000001E-2</v>
      </c>
      <c r="CD4" s="13">
        <f t="shared" ref="CD4:CD17" si="37">AVERAGE(CC3:CC4)</f>
        <v>2.1000000000000001E-2</v>
      </c>
      <c r="CE4" s="16">
        <v>0.71</v>
      </c>
      <c r="CF4" s="13">
        <f t="shared" si="13"/>
        <v>1.9879999999999998E-2</v>
      </c>
      <c r="CG4" s="13">
        <f t="shared" ref="CG4:CG17" si="38">AVERAGE(CF3:CF4)</f>
        <v>1.491E-2</v>
      </c>
      <c r="CH4">
        <f t="shared" si="14"/>
        <v>-125</v>
      </c>
      <c r="CI4" s="16">
        <v>0.35</v>
      </c>
      <c r="CJ4" s="19">
        <f t="shared" si="15"/>
        <v>9.7999999999999997E-3</v>
      </c>
      <c r="CK4" s="19">
        <f t="shared" ref="CK4:CK16" si="39">AVERAGE(CJ3:CJ4)</f>
        <v>7.3499999999999998E-3</v>
      </c>
      <c r="CL4" s="16">
        <v>0.22500000000000001</v>
      </c>
      <c r="CM4" s="19">
        <f t="shared" si="16"/>
        <v>6.3E-3</v>
      </c>
      <c r="CN4" s="5">
        <f t="shared" ref="CN4:CN15" si="40">AVERAGE(CM3:CM4)</f>
        <v>4.725E-3</v>
      </c>
      <c r="CO4" s="16">
        <v>7.0000000000000007E-2</v>
      </c>
      <c r="CP4" s="19">
        <f t="shared" si="17"/>
        <v>1.9600000000000004E-3</v>
      </c>
      <c r="CQ4" s="4">
        <f t="shared" ref="CQ4:CQ16" si="41">AVERAGE(CP3:CP4)</f>
        <v>1.4700000000000004E-3</v>
      </c>
      <c r="CR4" s="19">
        <f t="shared" si="18"/>
        <v>8.0000000000000004E-4</v>
      </c>
      <c r="CS4" s="19">
        <f t="shared" ref="CS4:CS17" si="42">AVERAGE(CR3:CR4)</f>
        <v>6.0000000000000006E-4</v>
      </c>
      <c r="CT4">
        <v>24</v>
      </c>
      <c r="CU4" s="1">
        <v>1</v>
      </c>
      <c r="CV4" s="1"/>
      <c r="CX4">
        <v>2</v>
      </c>
      <c r="CY4">
        <v>36</v>
      </c>
      <c r="DB4">
        <v>3</v>
      </c>
    </row>
    <row r="5" spans="1:106" x14ac:dyDescent="0.25">
      <c r="A5">
        <v>-112.5</v>
      </c>
      <c r="B5" s="2"/>
      <c r="C5" s="2">
        <f>H5*4.4</f>
        <v>2.64</v>
      </c>
      <c r="D5" s="2">
        <v>2.2320000000000002</v>
      </c>
      <c r="E5" s="2">
        <v>2.2799999999999998</v>
      </c>
      <c r="F5" s="2">
        <v>1.92</v>
      </c>
      <c r="G5" s="2">
        <v>1.44</v>
      </c>
      <c r="H5" s="2">
        <v>0.6</v>
      </c>
      <c r="I5" s="2">
        <v>0.24</v>
      </c>
      <c r="J5" s="2">
        <v>0</v>
      </c>
      <c r="K5" s="2">
        <v>1</v>
      </c>
      <c r="L5">
        <f t="shared" si="19"/>
        <v>0.84545454545454546</v>
      </c>
      <c r="M5">
        <f t="shared" si="2"/>
        <v>0.86363636363636354</v>
      </c>
      <c r="N5">
        <f t="shared" si="2"/>
        <v>0.72727272727272718</v>
      </c>
      <c r="O5">
        <f t="shared" si="2"/>
        <v>0.54545454545454541</v>
      </c>
      <c r="P5">
        <f t="shared" si="2"/>
        <v>0.22727272727272727</v>
      </c>
      <c r="Q5">
        <f t="shared" si="2"/>
        <v>9.0909090909090898E-2</v>
      </c>
      <c r="R5">
        <f t="shared" si="2"/>
        <v>0</v>
      </c>
      <c r="S5">
        <f t="shared" si="20"/>
        <v>-112.5</v>
      </c>
      <c r="T5" s="2">
        <f t="shared" si="21"/>
        <v>2.64</v>
      </c>
      <c r="U5" s="6">
        <v>-100</v>
      </c>
      <c r="V5" s="7">
        <v>3</v>
      </c>
      <c r="W5">
        <f>AVERAGE(V4:V5)</f>
        <v>2.5</v>
      </c>
      <c r="X5">
        <f>(T5-W5)^2</f>
        <v>1.9600000000000034E-2</v>
      </c>
      <c r="Y5">
        <f>V5*0.001</f>
        <v>3.0000000000000001E-3</v>
      </c>
      <c r="Z5">
        <f t="shared" si="22"/>
        <v>2.5000000000000001E-3</v>
      </c>
      <c r="AA5">
        <f t="shared" ref="AA5:AA18" si="43">S5</f>
        <v>-112.5</v>
      </c>
      <c r="AD5">
        <v>12.5</v>
      </c>
      <c r="AF5" s="5">
        <v>0.12</v>
      </c>
      <c r="AN5" s="6">
        <v>3</v>
      </c>
      <c r="AO5">
        <f t="shared" si="23"/>
        <v>2.5</v>
      </c>
      <c r="AQ5">
        <f t="shared" ref="AQ5:AQ17" si="44">AA5</f>
        <v>-112.5</v>
      </c>
      <c r="AR5">
        <f t="shared" si="3"/>
        <v>-100</v>
      </c>
      <c r="AU5">
        <v>9.0999999999999762E-3</v>
      </c>
      <c r="AV5">
        <f t="shared" si="24"/>
        <v>9.0999999999999766</v>
      </c>
      <c r="AW5">
        <f t="shared" si="4"/>
        <v>6.5999999999999766</v>
      </c>
      <c r="AX5">
        <v>6.5</v>
      </c>
      <c r="AY5">
        <f t="shared" si="25"/>
        <v>9</v>
      </c>
      <c r="BA5" s="6">
        <v>10</v>
      </c>
      <c r="BB5">
        <f t="shared" si="26"/>
        <v>9</v>
      </c>
      <c r="BD5">
        <f t="shared" si="5"/>
        <v>-100</v>
      </c>
      <c r="BE5" s="13">
        <f t="shared" si="6"/>
        <v>3.0000000000000001E-3</v>
      </c>
      <c r="BF5">
        <f t="shared" si="27"/>
        <v>2.5000000000000001E-3</v>
      </c>
      <c r="BG5">
        <f t="shared" si="7"/>
        <v>2.0999999999999999E-3</v>
      </c>
      <c r="BH5">
        <f t="shared" si="28"/>
        <v>1.7499999999999998E-3</v>
      </c>
      <c r="BI5" s="6">
        <f t="shared" si="8"/>
        <v>1.2000000000000001E-3</v>
      </c>
      <c r="BJ5">
        <f t="shared" si="29"/>
        <v>1E-3</v>
      </c>
      <c r="BK5" s="13">
        <f t="shared" si="9"/>
        <v>1.7600000000000001E-2</v>
      </c>
      <c r="BL5" s="13">
        <f t="shared" si="10"/>
        <v>1.66E-2</v>
      </c>
      <c r="BM5" s="13">
        <f t="shared" si="30"/>
        <v>1.76</v>
      </c>
      <c r="BN5" s="19">
        <f>BA5*0.001</f>
        <v>0.01</v>
      </c>
      <c r="BO5" s="13">
        <f t="shared" si="31"/>
        <v>9.0000000000000011E-3</v>
      </c>
      <c r="BP5" s="20">
        <f t="shared" si="32"/>
        <v>5.5999999999999999E-3</v>
      </c>
      <c r="BQ5" s="20">
        <f t="shared" si="33"/>
        <v>0.55999999999999994</v>
      </c>
      <c r="BR5" s="13">
        <f t="shared" si="34"/>
        <v>5.0000000000000001E-3</v>
      </c>
      <c r="BS5">
        <f t="shared" si="11"/>
        <v>1.2000000000000001E-3</v>
      </c>
      <c r="BT5">
        <f t="shared" si="35"/>
        <v>0.12000000000000001</v>
      </c>
      <c r="BU5">
        <f t="shared" si="36"/>
        <v>1E-3</v>
      </c>
      <c r="BW5" s="1">
        <v>1.75</v>
      </c>
      <c r="BX5" s="13">
        <f t="shared" si="1"/>
        <v>1.7600000000000001E-2</v>
      </c>
      <c r="BY5">
        <v>1.92</v>
      </c>
      <c r="BZ5" s="8">
        <v>17.600000000000001</v>
      </c>
      <c r="CB5" s="1">
        <v>3.5</v>
      </c>
      <c r="CC5" s="13">
        <f t="shared" si="12"/>
        <v>3.5000000000000003E-2</v>
      </c>
      <c r="CD5" s="13">
        <f t="shared" si="37"/>
        <v>3.15E-2</v>
      </c>
      <c r="CE5" s="16">
        <v>0.71</v>
      </c>
      <c r="CF5" s="13">
        <f t="shared" si="13"/>
        <v>2.4850000000000001E-2</v>
      </c>
      <c r="CG5" s="13">
        <f t="shared" si="38"/>
        <v>2.2364999999999999E-2</v>
      </c>
      <c r="CH5">
        <f t="shared" si="14"/>
        <v>-100</v>
      </c>
      <c r="CI5" s="16">
        <v>0.35</v>
      </c>
      <c r="CJ5" s="19">
        <f t="shared" si="15"/>
        <v>1.225E-2</v>
      </c>
      <c r="CK5" s="19">
        <f t="shared" si="39"/>
        <v>1.1025E-2</v>
      </c>
      <c r="CL5" s="16">
        <v>0.22500000000000001</v>
      </c>
      <c r="CM5" s="19">
        <f t="shared" si="16"/>
        <v>7.8750000000000018E-3</v>
      </c>
      <c r="CN5" s="5">
        <f t="shared" si="40"/>
        <v>7.0875000000000009E-3</v>
      </c>
      <c r="CO5" s="16">
        <v>7.0000000000000007E-2</v>
      </c>
      <c r="CP5" s="19">
        <f t="shared" si="17"/>
        <v>2.4500000000000004E-3</v>
      </c>
      <c r="CQ5" s="4">
        <f t="shared" si="41"/>
        <v>2.2050000000000004E-3</v>
      </c>
      <c r="CR5" s="19">
        <f t="shared" si="18"/>
        <v>1.2000000000000001E-3</v>
      </c>
      <c r="CS5" s="19">
        <f t="shared" si="42"/>
        <v>1E-3</v>
      </c>
      <c r="CT5">
        <v>30</v>
      </c>
      <c r="CU5" s="1">
        <v>1</v>
      </c>
      <c r="CV5" s="1">
        <f>(CU4+2*CU5+2*CU6+CU7)/6</f>
        <v>1</v>
      </c>
      <c r="CX5">
        <v>3</v>
      </c>
      <c r="CY5">
        <v>45</v>
      </c>
      <c r="DA5">
        <v>45</v>
      </c>
      <c r="DB5">
        <v>4</v>
      </c>
    </row>
    <row r="6" spans="1:106" x14ac:dyDescent="0.25">
      <c r="A6">
        <f>A5+25</f>
        <v>-87.5</v>
      </c>
      <c r="B6" s="2"/>
      <c r="C6" s="2">
        <v>3.5200000000000005</v>
      </c>
      <c r="D6" s="2">
        <v>2.9760000000000004</v>
      </c>
      <c r="E6" s="2">
        <v>3.04</v>
      </c>
      <c r="F6" s="2">
        <v>2.5600000000000005</v>
      </c>
      <c r="G6" s="2">
        <v>1.92</v>
      </c>
      <c r="H6" s="2">
        <v>0.8</v>
      </c>
      <c r="I6" s="2">
        <v>0.32000000000000006</v>
      </c>
      <c r="J6" s="2">
        <v>0</v>
      </c>
      <c r="K6" s="2">
        <v>1</v>
      </c>
      <c r="L6">
        <f t="shared" si="19"/>
        <v>0.84545454545454546</v>
      </c>
      <c r="M6">
        <f t="shared" si="2"/>
        <v>0.86363636363636354</v>
      </c>
      <c r="N6">
        <f t="shared" si="2"/>
        <v>0.72727272727272729</v>
      </c>
      <c r="O6">
        <f t="shared" si="2"/>
        <v>0.54545454545454541</v>
      </c>
      <c r="P6">
        <f t="shared" si="2"/>
        <v>0.22727272727272727</v>
      </c>
      <c r="Q6">
        <f t="shared" si="2"/>
        <v>9.0909090909090912E-2</v>
      </c>
      <c r="R6">
        <f t="shared" si="2"/>
        <v>0</v>
      </c>
      <c r="S6">
        <f t="shared" si="20"/>
        <v>-87.5</v>
      </c>
      <c r="T6" s="2">
        <f t="shared" si="21"/>
        <v>3.5200000000000005</v>
      </c>
      <c r="U6" s="6">
        <v>-75</v>
      </c>
      <c r="V6" s="7">
        <v>4</v>
      </c>
      <c r="W6">
        <f>AVERAGE(V5:V6)</f>
        <v>3.5</v>
      </c>
      <c r="X6">
        <f>(T6-W6)^2</f>
        <v>4.0000000000001845E-4</v>
      </c>
      <c r="Y6">
        <f>V6*0.001</f>
        <v>4.0000000000000001E-3</v>
      </c>
      <c r="Z6">
        <f t="shared" si="22"/>
        <v>3.5000000000000001E-3</v>
      </c>
      <c r="AA6">
        <f t="shared" si="43"/>
        <v>-87.5</v>
      </c>
      <c r="AD6">
        <v>15</v>
      </c>
      <c r="AE6">
        <v>0.2273</v>
      </c>
      <c r="AF6" s="5">
        <v>0.2200324105421505</v>
      </c>
      <c r="AG6" s="4">
        <f>AVERAGE(AF5:AF7)</f>
        <v>0.23699999630112512</v>
      </c>
      <c r="AH6">
        <f>(AG6-AE6)^2</f>
        <v>9.4089928241840881E-5</v>
      </c>
      <c r="AJ6" s="1">
        <v>0.99763925291429945</v>
      </c>
      <c r="AK6">
        <f>AJ6*W6</f>
        <v>3.4917373852000479</v>
      </c>
      <c r="AN6" s="6">
        <v>4</v>
      </c>
      <c r="AO6">
        <f t="shared" si="23"/>
        <v>3.5</v>
      </c>
      <c r="AQ6">
        <f t="shared" si="44"/>
        <v>-87.5</v>
      </c>
      <c r="AR6">
        <f t="shared" si="3"/>
        <v>-75</v>
      </c>
      <c r="AU6">
        <v>1.1699999999999981E-2</v>
      </c>
      <c r="AV6">
        <f t="shared" si="24"/>
        <v>11.699999999999982</v>
      </c>
      <c r="AW6">
        <f t="shared" si="4"/>
        <v>8.1999999999999815</v>
      </c>
      <c r="AX6">
        <v>7.2</v>
      </c>
      <c r="AY6">
        <f t="shared" si="25"/>
        <v>10.7</v>
      </c>
      <c r="BA6" s="6">
        <f t="shared" ref="BA6:BA16" si="45">AN6+AX6</f>
        <v>11.2</v>
      </c>
      <c r="BB6">
        <f t="shared" si="26"/>
        <v>10.6</v>
      </c>
      <c r="BD6">
        <f t="shared" si="5"/>
        <v>-75</v>
      </c>
      <c r="BE6" s="13">
        <f t="shared" si="6"/>
        <v>4.0000000000000001E-3</v>
      </c>
      <c r="BF6">
        <f t="shared" si="27"/>
        <v>3.5000000000000001E-3</v>
      </c>
      <c r="BG6">
        <f t="shared" si="7"/>
        <v>2.8E-3</v>
      </c>
      <c r="BH6">
        <f t="shared" si="28"/>
        <v>2.4499999999999999E-3</v>
      </c>
      <c r="BI6" s="6">
        <f t="shared" si="8"/>
        <v>1.6000000000000001E-3</v>
      </c>
      <c r="BJ6">
        <f t="shared" si="29"/>
        <v>1.4000000000000002E-3</v>
      </c>
      <c r="BK6" s="13">
        <f t="shared" si="9"/>
        <v>1.9600000000000003E-2</v>
      </c>
      <c r="BL6" s="13">
        <f t="shared" si="10"/>
        <v>1.8600000000000002E-2</v>
      </c>
      <c r="BM6" s="13">
        <f t="shared" si="30"/>
        <v>1.7500000000000002</v>
      </c>
      <c r="BN6" s="19">
        <f>BA6*0.001</f>
        <v>1.12E-2</v>
      </c>
      <c r="BO6" s="13">
        <f t="shared" si="31"/>
        <v>1.06E-2</v>
      </c>
      <c r="BP6" s="20">
        <f t="shared" si="32"/>
        <v>6.4000000000000003E-3</v>
      </c>
      <c r="BQ6" s="20">
        <f t="shared" si="33"/>
        <v>0.57142857142857151</v>
      </c>
      <c r="BR6" s="13">
        <f t="shared" si="34"/>
        <v>6.0000000000000001E-3</v>
      </c>
      <c r="BS6">
        <f t="shared" si="11"/>
        <v>1.6000000000000001E-3</v>
      </c>
      <c r="BT6">
        <f t="shared" si="35"/>
        <v>0.14285714285714288</v>
      </c>
      <c r="BU6">
        <f t="shared" si="36"/>
        <v>1.4000000000000002E-3</v>
      </c>
      <c r="BW6" s="1">
        <v>1.75</v>
      </c>
      <c r="BX6" s="13">
        <f t="shared" si="1"/>
        <v>1.9600000000000003E-2</v>
      </c>
      <c r="BY6">
        <f>BX6/BN6</f>
        <v>1.7500000000000002</v>
      </c>
      <c r="BZ6" s="8">
        <v>19.600000000000001</v>
      </c>
      <c r="CB6" s="1">
        <v>3.5</v>
      </c>
      <c r="CC6" s="13">
        <f t="shared" si="12"/>
        <v>3.9199999999999999E-2</v>
      </c>
      <c r="CD6" s="13">
        <f t="shared" si="37"/>
        <v>3.7100000000000001E-2</v>
      </c>
      <c r="CE6" s="16">
        <v>0.71</v>
      </c>
      <c r="CF6" s="13">
        <f t="shared" si="13"/>
        <v>2.7831999999999999E-2</v>
      </c>
      <c r="CG6" s="13">
        <f t="shared" si="38"/>
        <v>2.6341E-2</v>
      </c>
      <c r="CH6">
        <f t="shared" si="14"/>
        <v>-75</v>
      </c>
      <c r="CI6" s="16">
        <v>0.35</v>
      </c>
      <c r="CJ6" s="19">
        <f t="shared" si="15"/>
        <v>1.3719999999999998E-2</v>
      </c>
      <c r="CK6" s="19">
        <f t="shared" si="39"/>
        <v>1.2985E-2</v>
      </c>
      <c r="CL6" s="16">
        <v>0.22500000000000001</v>
      </c>
      <c r="CM6" s="19">
        <f t="shared" si="16"/>
        <v>8.8199999999999997E-3</v>
      </c>
      <c r="CN6" s="5">
        <f t="shared" si="40"/>
        <v>8.3475000000000008E-3</v>
      </c>
      <c r="CO6" s="16">
        <v>7.0000000000000007E-2</v>
      </c>
      <c r="CP6" s="19">
        <f t="shared" si="17"/>
        <v>2.7440000000000003E-3</v>
      </c>
      <c r="CQ6" s="4">
        <f t="shared" si="41"/>
        <v>2.5970000000000003E-3</v>
      </c>
      <c r="CR6" s="19">
        <f t="shared" si="18"/>
        <v>1.6000000000000001E-3</v>
      </c>
      <c r="CS6" s="19">
        <f t="shared" si="42"/>
        <v>1.4000000000000002E-3</v>
      </c>
      <c r="CT6">
        <v>36</v>
      </c>
      <c r="CU6" s="1">
        <v>1</v>
      </c>
      <c r="CV6" s="1"/>
      <c r="CX6">
        <v>4</v>
      </c>
      <c r="CY6">
        <v>60</v>
      </c>
      <c r="DA6">
        <v>60</v>
      </c>
      <c r="DB6">
        <v>5</v>
      </c>
    </row>
    <row r="7" spans="1:106" x14ac:dyDescent="0.25">
      <c r="A7">
        <v>-62.5</v>
      </c>
      <c r="B7" s="2">
        <v>11.440000000000001</v>
      </c>
      <c r="C7" s="2">
        <v>4.4000000000000004</v>
      </c>
      <c r="D7" s="2">
        <v>3.72</v>
      </c>
      <c r="E7" s="2">
        <v>3.8</v>
      </c>
      <c r="F7" s="2">
        <v>3.2</v>
      </c>
      <c r="G7" s="2">
        <v>2.4</v>
      </c>
      <c r="H7" s="2">
        <v>1</v>
      </c>
      <c r="I7" s="2">
        <v>0.4</v>
      </c>
      <c r="J7" s="2">
        <v>0</v>
      </c>
      <c r="K7" s="2">
        <v>1</v>
      </c>
      <c r="L7">
        <f t="shared" si="19"/>
        <v>0.84545454545454546</v>
      </c>
      <c r="M7">
        <f t="shared" si="2"/>
        <v>0.86363636363636354</v>
      </c>
      <c r="N7">
        <f t="shared" si="2"/>
        <v>0.72727272727272729</v>
      </c>
      <c r="O7">
        <f t="shared" si="2"/>
        <v>0.54545454545454541</v>
      </c>
      <c r="P7">
        <f t="shared" si="2"/>
        <v>0.22727272727272727</v>
      </c>
      <c r="Q7">
        <f t="shared" si="2"/>
        <v>9.0909090909090912E-2</v>
      </c>
      <c r="R7">
        <f t="shared" si="2"/>
        <v>0</v>
      </c>
      <c r="S7">
        <f t="shared" si="20"/>
        <v>-62.5</v>
      </c>
      <c r="T7" s="2">
        <f t="shared" si="21"/>
        <v>4.4000000000000004</v>
      </c>
      <c r="U7" s="6">
        <v>-50</v>
      </c>
      <c r="V7" s="7">
        <v>5</v>
      </c>
      <c r="W7">
        <f>AVERAGE(V6:V7)</f>
        <v>4.5</v>
      </c>
      <c r="X7">
        <f>(T7-W7)^2</f>
        <v>9.9999999999999291E-3</v>
      </c>
      <c r="Y7">
        <f>V7*0.001</f>
        <v>5.0000000000000001E-3</v>
      </c>
      <c r="Z7">
        <f t="shared" si="22"/>
        <v>4.5000000000000005E-3</v>
      </c>
      <c r="AA7">
        <f t="shared" si="43"/>
        <v>-62.5</v>
      </c>
      <c r="AD7">
        <v>17.5</v>
      </c>
      <c r="AF7" s="5">
        <v>0.3709675783612249</v>
      </c>
      <c r="AJ7" s="1">
        <v>0.96076460841770839</v>
      </c>
      <c r="AK7">
        <f>AJ7*W7</f>
        <v>4.3234407378796877</v>
      </c>
      <c r="AN7" s="6">
        <v>5</v>
      </c>
      <c r="AO7">
        <f t="shared" si="23"/>
        <v>4.5</v>
      </c>
      <c r="AQ7">
        <f t="shared" si="44"/>
        <v>-62.5</v>
      </c>
      <c r="AR7">
        <f t="shared" si="3"/>
        <v>-50</v>
      </c>
      <c r="AU7">
        <v>1.3200000000000014E-2</v>
      </c>
      <c r="AV7">
        <f t="shared" si="24"/>
        <v>13.200000000000014</v>
      </c>
      <c r="AW7">
        <f t="shared" si="4"/>
        <v>8.7000000000000135</v>
      </c>
      <c r="AX7">
        <v>7.35</v>
      </c>
      <c r="AY7">
        <f t="shared" si="25"/>
        <v>11.85</v>
      </c>
      <c r="BA7" s="6">
        <f t="shared" si="45"/>
        <v>12.35</v>
      </c>
      <c r="BB7">
        <f t="shared" si="26"/>
        <v>11.774999999999999</v>
      </c>
      <c r="BD7">
        <f t="shared" si="5"/>
        <v>-50</v>
      </c>
      <c r="BE7" s="13">
        <f t="shared" si="6"/>
        <v>5.0000000000000001E-3</v>
      </c>
      <c r="BF7">
        <f t="shared" si="27"/>
        <v>4.5000000000000005E-3</v>
      </c>
      <c r="BG7">
        <f t="shared" si="7"/>
        <v>3.4999999999999996E-3</v>
      </c>
      <c r="BH7">
        <f t="shared" si="28"/>
        <v>3.15E-3</v>
      </c>
      <c r="BI7" s="6">
        <f t="shared" si="8"/>
        <v>2E-3</v>
      </c>
      <c r="BJ7">
        <f t="shared" si="29"/>
        <v>1.8E-3</v>
      </c>
      <c r="BK7" s="13">
        <f t="shared" si="9"/>
        <v>2.1600000000000001E-2</v>
      </c>
      <c r="BL7" s="13">
        <f t="shared" si="10"/>
        <v>2.06E-2</v>
      </c>
      <c r="BM7" s="13">
        <f t="shared" si="30"/>
        <v>1.7489878542510122</v>
      </c>
      <c r="BN7" s="19">
        <f>BA7*0.001</f>
        <v>1.235E-2</v>
      </c>
      <c r="BO7" s="13">
        <f t="shared" si="31"/>
        <v>1.1775000000000001E-2</v>
      </c>
      <c r="BP7" s="20">
        <f t="shared" si="32"/>
        <v>7.175E-3</v>
      </c>
      <c r="BQ7" s="20">
        <f t="shared" si="33"/>
        <v>0.58097165991902833</v>
      </c>
      <c r="BR7" s="13">
        <f t="shared" si="34"/>
        <v>6.7875000000000001E-3</v>
      </c>
      <c r="BS7">
        <f t="shared" si="11"/>
        <v>2E-3</v>
      </c>
      <c r="BT7">
        <f t="shared" si="35"/>
        <v>0.16194331983805668</v>
      </c>
      <c r="BU7">
        <f t="shared" si="36"/>
        <v>1.8E-3</v>
      </c>
      <c r="BW7" s="1">
        <v>1.75</v>
      </c>
      <c r="BX7" s="13">
        <f t="shared" si="1"/>
        <v>2.1600000000000001E-2</v>
      </c>
      <c r="BZ7" s="8">
        <v>21.6</v>
      </c>
      <c r="CB7" s="1">
        <v>3.5</v>
      </c>
      <c r="CC7" s="13">
        <f t="shared" si="12"/>
        <v>4.3225E-2</v>
      </c>
      <c r="CD7" s="13">
        <f t="shared" si="37"/>
        <v>4.1212499999999999E-2</v>
      </c>
      <c r="CE7" s="16">
        <v>0.71</v>
      </c>
      <c r="CF7" s="13">
        <f t="shared" si="13"/>
        <v>3.0689749999999998E-2</v>
      </c>
      <c r="CG7" s="13">
        <f t="shared" si="38"/>
        <v>2.9260874999999999E-2</v>
      </c>
      <c r="CH7">
        <f t="shared" si="14"/>
        <v>-50</v>
      </c>
      <c r="CI7" s="16">
        <v>0.35</v>
      </c>
      <c r="CJ7" s="19">
        <f t="shared" si="15"/>
        <v>1.5128749999999998E-2</v>
      </c>
      <c r="CK7" s="19">
        <f t="shared" si="39"/>
        <v>1.4424374999999998E-2</v>
      </c>
      <c r="CL7" s="16">
        <v>0.22500000000000001</v>
      </c>
      <c r="CM7" s="19">
        <f t="shared" si="16"/>
        <v>9.7256249999999999E-3</v>
      </c>
      <c r="CN7" s="5">
        <f t="shared" si="40"/>
        <v>9.2728124999999998E-3</v>
      </c>
      <c r="CO7" s="16">
        <v>7.0000000000000007E-2</v>
      </c>
      <c r="CP7" s="19">
        <f t="shared" si="17"/>
        <v>3.0257500000000002E-3</v>
      </c>
      <c r="CQ7" s="4">
        <f t="shared" si="41"/>
        <v>2.8848750000000003E-3</v>
      </c>
      <c r="CR7" s="19">
        <f t="shared" si="18"/>
        <v>2E-3</v>
      </c>
      <c r="CS7" s="19">
        <f t="shared" si="42"/>
        <v>1.8E-3</v>
      </c>
      <c r="CT7">
        <v>42</v>
      </c>
      <c r="CU7" s="1">
        <v>1</v>
      </c>
      <c r="CV7" s="1"/>
    </row>
    <row r="8" spans="1:106" x14ac:dyDescent="0.25">
      <c r="A8">
        <f>A7+25</f>
        <v>-37.5</v>
      </c>
      <c r="B8" s="2">
        <v>15.015000000000001</v>
      </c>
      <c r="C8" s="2">
        <v>5.7750000000000004</v>
      </c>
      <c r="D8" s="2">
        <v>4.8825000000000003</v>
      </c>
      <c r="E8" s="2">
        <v>4.9874999999999998</v>
      </c>
      <c r="F8" s="2">
        <v>4.2</v>
      </c>
      <c r="G8" s="2">
        <v>3.15</v>
      </c>
      <c r="H8" s="2">
        <v>1.3125</v>
      </c>
      <c r="I8" s="2">
        <v>0.52500000000000002</v>
      </c>
      <c r="J8" s="2">
        <v>0</v>
      </c>
      <c r="K8" s="2">
        <v>1</v>
      </c>
      <c r="L8">
        <f t="shared" si="19"/>
        <v>0.84545454545454546</v>
      </c>
      <c r="M8">
        <f t="shared" si="2"/>
        <v>0.86363636363636354</v>
      </c>
      <c r="N8">
        <f t="shared" si="2"/>
        <v>0.72727272727272729</v>
      </c>
      <c r="O8">
        <f t="shared" si="2"/>
        <v>0.54545454545454541</v>
      </c>
      <c r="P8">
        <f t="shared" si="2"/>
        <v>0.22727272727272727</v>
      </c>
      <c r="Q8">
        <f t="shared" si="2"/>
        <v>9.0909090909090912E-2</v>
      </c>
      <c r="R8">
        <f t="shared" si="2"/>
        <v>0</v>
      </c>
      <c r="S8">
        <f t="shared" si="20"/>
        <v>-37.5</v>
      </c>
      <c r="T8" s="2">
        <f t="shared" si="21"/>
        <v>5.7750000000000004</v>
      </c>
      <c r="U8" s="6">
        <v>-25</v>
      </c>
      <c r="V8" s="7">
        <v>6</v>
      </c>
      <c r="W8">
        <f>AVERAGE(V7:V8)</f>
        <v>5.5</v>
      </c>
      <c r="X8">
        <f>(T8-W8)^2</f>
        <v>7.5625000000000192E-2</v>
      </c>
      <c r="Y8">
        <v>6.0000000000000001E-3</v>
      </c>
      <c r="Z8">
        <f t="shared" si="22"/>
        <v>5.4999999999999997E-3</v>
      </c>
      <c r="AA8">
        <f t="shared" si="43"/>
        <v>-37.5</v>
      </c>
      <c r="AD8">
        <v>20</v>
      </c>
      <c r="AE8">
        <v>0.54549999999999998</v>
      </c>
      <c r="AF8" s="5">
        <v>0.58346986892485131</v>
      </c>
      <c r="AG8" s="4">
        <f>AVERAGE(AF7:AF9)</f>
        <v>0.54549998267788791</v>
      </c>
      <c r="AH8">
        <f>(AG8-AE8)^2</f>
        <v>3.000555668447107E-16</v>
      </c>
      <c r="AJ8" s="1">
        <v>0.98900718484795069</v>
      </c>
      <c r="AK8">
        <f>AJ8*W8</f>
        <v>5.4395395166637286</v>
      </c>
      <c r="AN8" s="6">
        <v>6</v>
      </c>
      <c r="AO8">
        <f t="shared" si="23"/>
        <v>5.5</v>
      </c>
      <c r="AQ8">
        <f t="shared" si="44"/>
        <v>-37.5</v>
      </c>
      <c r="AR8">
        <f t="shared" si="3"/>
        <v>-25</v>
      </c>
      <c r="AU8">
        <v>1.1699999999999985E-2</v>
      </c>
      <c r="AV8">
        <f t="shared" si="24"/>
        <v>11.699999999999985</v>
      </c>
      <c r="AW8">
        <f t="shared" si="4"/>
        <v>6.1999999999999851</v>
      </c>
      <c r="AX8">
        <v>7.45</v>
      </c>
      <c r="AY8">
        <f t="shared" si="25"/>
        <v>12.95</v>
      </c>
      <c r="BA8" s="6">
        <f t="shared" si="45"/>
        <v>13.45</v>
      </c>
      <c r="BB8">
        <f t="shared" si="26"/>
        <v>12.899999999999999</v>
      </c>
      <c r="BD8">
        <f t="shared" si="5"/>
        <v>-25</v>
      </c>
      <c r="BE8" s="13">
        <f t="shared" si="6"/>
        <v>6.0000000000000001E-3</v>
      </c>
      <c r="BF8">
        <f t="shared" si="27"/>
        <v>5.4999999999999997E-3</v>
      </c>
      <c r="BG8">
        <f t="shared" si="7"/>
        <v>4.1999999999999997E-3</v>
      </c>
      <c r="BH8">
        <f t="shared" si="28"/>
        <v>3.8499999999999997E-3</v>
      </c>
      <c r="BI8" s="6">
        <f t="shared" si="8"/>
        <v>2.4000000000000002E-3</v>
      </c>
      <c r="BJ8">
        <f t="shared" si="29"/>
        <v>2.2000000000000001E-3</v>
      </c>
      <c r="BK8" s="13">
        <f t="shared" si="9"/>
        <v>2.35E-2</v>
      </c>
      <c r="BL8" s="13">
        <f t="shared" si="10"/>
        <v>2.2550000000000001E-2</v>
      </c>
      <c r="BM8" s="13">
        <f t="shared" si="30"/>
        <v>1.7472118959107807</v>
      </c>
      <c r="BN8" s="19">
        <f>BA8*0.001</f>
        <v>1.345E-2</v>
      </c>
      <c r="BO8" s="13">
        <f t="shared" si="31"/>
        <v>1.29E-2</v>
      </c>
      <c r="BP8" s="20">
        <f t="shared" si="32"/>
        <v>7.9249999999999998E-3</v>
      </c>
      <c r="BQ8" s="20">
        <f t="shared" si="33"/>
        <v>0.58921933085501854</v>
      </c>
      <c r="BR8" s="13">
        <f t="shared" si="34"/>
        <v>7.5499999999999994E-3</v>
      </c>
      <c r="BS8">
        <f t="shared" si="11"/>
        <v>2.4000000000000002E-3</v>
      </c>
      <c r="BT8">
        <f t="shared" si="35"/>
        <v>0.17843866171003719</v>
      </c>
      <c r="BU8">
        <f t="shared" si="36"/>
        <v>2.2000000000000001E-3</v>
      </c>
      <c r="BW8" s="1">
        <v>1.75</v>
      </c>
      <c r="BX8" s="13">
        <f t="shared" si="1"/>
        <v>2.35E-2</v>
      </c>
      <c r="BZ8" s="8">
        <v>23.5</v>
      </c>
      <c r="CB8" s="1">
        <v>3.5</v>
      </c>
      <c r="CC8" s="13">
        <f t="shared" si="12"/>
        <v>4.7074999999999999E-2</v>
      </c>
      <c r="CD8" s="13">
        <f t="shared" si="37"/>
        <v>4.5149999999999996E-2</v>
      </c>
      <c r="CE8" s="16">
        <v>0.71</v>
      </c>
      <c r="CF8" s="13">
        <f t="shared" si="13"/>
        <v>3.3423249999999995E-2</v>
      </c>
      <c r="CG8" s="13">
        <f t="shared" si="38"/>
        <v>3.2056499999999995E-2</v>
      </c>
      <c r="CH8">
        <f t="shared" si="14"/>
        <v>-25</v>
      </c>
      <c r="CI8" s="16">
        <v>0.35</v>
      </c>
      <c r="CJ8" s="19">
        <f t="shared" si="15"/>
        <v>1.6476249999999998E-2</v>
      </c>
      <c r="CK8" s="19">
        <f t="shared" si="39"/>
        <v>1.5802499999999997E-2</v>
      </c>
      <c r="CL8" s="16">
        <v>0.22500000000000001</v>
      </c>
      <c r="CM8" s="19">
        <f t="shared" si="16"/>
        <v>1.0591875000000001E-2</v>
      </c>
      <c r="CN8" s="5">
        <f t="shared" si="40"/>
        <v>1.0158750000000001E-2</v>
      </c>
      <c r="CO8" s="16">
        <v>7.0000000000000007E-2</v>
      </c>
      <c r="CP8" s="19">
        <f t="shared" si="17"/>
        <v>3.2952500000000004E-3</v>
      </c>
      <c r="CQ8" s="4">
        <f t="shared" si="41"/>
        <v>3.1605000000000001E-3</v>
      </c>
      <c r="CR8" s="19">
        <f t="shared" si="18"/>
        <v>2.4000000000000002E-3</v>
      </c>
      <c r="CS8" s="19">
        <f t="shared" si="42"/>
        <v>2.2000000000000001E-3</v>
      </c>
      <c r="CT8">
        <v>48</v>
      </c>
      <c r="CU8" s="1">
        <v>0.8</v>
      </c>
      <c r="CV8" s="1"/>
    </row>
    <row r="9" spans="1:106" x14ac:dyDescent="0.25">
      <c r="A9">
        <f t="shared" ref="A9:A18" si="46">A8+25</f>
        <v>-12.5</v>
      </c>
      <c r="B9" s="2">
        <v>15.730000000000002</v>
      </c>
      <c r="C9" s="2">
        <v>6.0500000000000007</v>
      </c>
      <c r="D9" s="2">
        <v>5.1150000000000002</v>
      </c>
      <c r="E9" s="2">
        <v>5.2249999999999996</v>
      </c>
      <c r="F9" s="2">
        <v>4.4000000000000004</v>
      </c>
      <c r="G9" s="2">
        <v>3.3</v>
      </c>
      <c r="H9" s="2">
        <v>1.375</v>
      </c>
      <c r="I9" s="2">
        <v>0.55000000000000004</v>
      </c>
      <c r="J9" s="2">
        <v>0</v>
      </c>
      <c r="K9" s="2">
        <v>1</v>
      </c>
      <c r="L9">
        <f t="shared" si="19"/>
        <v>0.84545454545454535</v>
      </c>
      <c r="M9">
        <f t="shared" si="2"/>
        <v>0.86363636363636342</v>
      </c>
      <c r="N9">
        <f t="shared" si="2"/>
        <v>0.72727272727272729</v>
      </c>
      <c r="O9">
        <f t="shared" si="2"/>
        <v>0.54545454545454541</v>
      </c>
      <c r="P9">
        <f t="shared" si="2"/>
        <v>0.22727272727272724</v>
      </c>
      <c r="Q9">
        <f t="shared" si="2"/>
        <v>9.0909090909090912E-2</v>
      </c>
      <c r="R9">
        <f t="shared" si="2"/>
        <v>0</v>
      </c>
      <c r="S9">
        <f t="shared" si="20"/>
        <v>-12.5</v>
      </c>
      <c r="T9" s="2">
        <f t="shared" si="21"/>
        <v>6.0500000000000007</v>
      </c>
      <c r="U9" s="6">
        <v>0</v>
      </c>
      <c r="V9" s="7">
        <v>6</v>
      </c>
      <c r="W9">
        <f t="shared" ref="W9:W18" si="47">AVERAGE(V8:V9)</f>
        <v>6</v>
      </c>
      <c r="X9">
        <f>SUM(X4:X8)</f>
        <v>0.10562500000000018</v>
      </c>
      <c r="Y9">
        <v>6.0000000000000001E-3</v>
      </c>
      <c r="Z9">
        <f t="shared" si="22"/>
        <v>6.0000000000000001E-3</v>
      </c>
      <c r="AA9">
        <f t="shared" si="43"/>
        <v>-12.5</v>
      </c>
      <c r="AD9">
        <v>22.5</v>
      </c>
      <c r="AF9" s="5">
        <v>0.68206250074758745</v>
      </c>
      <c r="AJ9" s="1">
        <v>1.1384652311015442</v>
      </c>
      <c r="AK9">
        <f t="shared" ref="AK9:AK18" si="48">AJ9*W9</f>
        <v>6.8307913866092651</v>
      </c>
      <c r="AN9" s="6">
        <v>7</v>
      </c>
      <c r="AO9">
        <f t="shared" si="23"/>
        <v>6.5</v>
      </c>
      <c r="AP9" s="8">
        <f>(AK9-AO9)^2</f>
        <v>0.1094229414548803</v>
      </c>
      <c r="AQ9">
        <f t="shared" si="44"/>
        <v>-12.5</v>
      </c>
      <c r="AR9">
        <f t="shared" si="3"/>
        <v>0</v>
      </c>
      <c r="AU9">
        <v>1.3499999999999989E-2</v>
      </c>
      <c r="AV9">
        <f t="shared" si="24"/>
        <v>13.499999999999989</v>
      </c>
      <c r="AW9">
        <f t="shared" si="4"/>
        <v>6.9999999999999893</v>
      </c>
      <c r="AX9">
        <v>7.55</v>
      </c>
      <c r="AY9">
        <f t="shared" si="25"/>
        <v>14.05</v>
      </c>
      <c r="BA9" s="6">
        <f t="shared" si="45"/>
        <v>14.55</v>
      </c>
      <c r="BB9">
        <f t="shared" si="26"/>
        <v>14</v>
      </c>
      <c r="BD9">
        <f t="shared" si="5"/>
        <v>0</v>
      </c>
      <c r="BE9" s="13">
        <f t="shared" si="6"/>
        <v>7.0000000000000001E-3</v>
      </c>
      <c r="BF9">
        <f t="shared" si="27"/>
        <v>6.5000000000000006E-3</v>
      </c>
      <c r="BG9">
        <f t="shared" si="7"/>
        <v>4.8999999999999998E-3</v>
      </c>
      <c r="BH9">
        <f t="shared" si="28"/>
        <v>4.5500000000000002E-3</v>
      </c>
      <c r="BI9" s="6">
        <f t="shared" si="8"/>
        <v>2.8000000000000004E-3</v>
      </c>
      <c r="BJ9">
        <f t="shared" si="29"/>
        <v>2.6000000000000003E-3</v>
      </c>
      <c r="BK9" s="13">
        <f t="shared" si="9"/>
        <v>2.5499999999999998E-2</v>
      </c>
      <c r="BL9" s="13">
        <f t="shared" si="10"/>
        <v>2.4500000000000001E-2</v>
      </c>
      <c r="BM9" s="13">
        <f t="shared" si="30"/>
        <v>1.7525773195876286</v>
      </c>
      <c r="BN9" s="19">
        <f>BA9*0.001</f>
        <v>1.455E-2</v>
      </c>
      <c r="BO9" s="13">
        <f t="shared" si="31"/>
        <v>1.4E-2</v>
      </c>
      <c r="BP9" s="20">
        <f t="shared" si="32"/>
        <v>8.6750000000000004E-3</v>
      </c>
      <c r="BQ9" s="20">
        <f t="shared" si="33"/>
        <v>0.59621993127147765</v>
      </c>
      <c r="BR9" s="13">
        <f t="shared" si="34"/>
        <v>8.3000000000000001E-3</v>
      </c>
      <c r="BS9">
        <f t="shared" si="11"/>
        <v>2.8000000000000004E-3</v>
      </c>
      <c r="BT9">
        <f t="shared" si="35"/>
        <v>0.19243986254295534</v>
      </c>
      <c r="BU9">
        <f t="shared" si="36"/>
        <v>2.6000000000000003E-3</v>
      </c>
      <c r="BW9" s="1">
        <v>1.75</v>
      </c>
      <c r="BX9" s="13">
        <f t="shared" si="1"/>
        <v>2.5499999999999998E-2</v>
      </c>
      <c r="BY9" t="s">
        <v>1</v>
      </c>
      <c r="BZ9" s="8">
        <v>25.5</v>
      </c>
      <c r="CB9" s="1">
        <v>3.5</v>
      </c>
      <c r="CC9" s="13">
        <f t="shared" si="12"/>
        <v>5.0924999999999998E-2</v>
      </c>
      <c r="CD9" s="13">
        <f t="shared" si="37"/>
        <v>4.9000000000000002E-2</v>
      </c>
      <c r="CE9" s="16">
        <v>0.71</v>
      </c>
      <c r="CF9" s="13">
        <f t="shared" si="13"/>
        <v>3.6156749999999994E-2</v>
      </c>
      <c r="CG9" s="13">
        <f t="shared" si="38"/>
        <v>3.4789999999999995E-2</v>
      </c>
      <c r="CH9">
        <f t="shared" si="14"/>
        <v>0</v>
      </c>
      <c r="CI9" s="16">
        <v>0.35</v>
      </c>
      <c r="CJ9" s="19">
        <f t="shared" si="15"/>
        <v>1.7823749999999999E-2</v>
      </c>
      <c r="CK9" s="19">
        <f t="shared" si="39"/>
        <v>1.7149999999999999E-2</v>
      </c>
      <c r="CL9" s="16">
        <v>0.22500000000000001</v>
      </c>
      <c r="CM9" s="19">
        <f t="shared" si="16"/>
        <v>1.1458125E-2</v>
      </c>
      <c r="CN9" s="5">
        <f t="shared" si="40"/>
        <v>1.1025E-2</v>
      </c>
      <c r="CO9" s="16">
        <v>7.0000000000000007E-2</v>
      </c>
      <c r="CP9" s="19">
        <f t="shared" si="17"/>
        <v>3.5647500000000002E-3</v>
      </c>
      <c r="CQ9" s="4">
        <f t="shared" si="41"/>
        <v>3.4300000000000003E-3</v>
      </c>
      <c r="CR9" s="19">
        <f t="shared" si="18"/>
        <v>2.8000000000000004E-3</v>
      </c>
      <c r="CS9" s="19">
        <f t="shared" si="42"/>
        <v>2.6000000000000003E-3</v>
      </c>
      <c r="CT9">
        <v>54</v>
      </c>
      <c r="CU9" s="1">
        <v>0.6</v>
      </c>
      <c r="CV9" s="1">
        <f>(CU7+2*CU8+2*CU9+CU10)/6</f>
        <v>0.70000000000000007</v>
      </c>
    </row>
    <row r="10" spans="1:106" x14ac:dyDescent="0.25">
      <c r="A10">
        <f t="shared" si="46"/>
        <v>12.5</v>
      </c>
      <c r="B10" s="2">
        <v>15.730000000000002</v>
      </c>
      <c r="C10" s="2">
        <v>6.0500000000000007</v>
      </c>
      <c r="D10" s="2">
        <v>5.1150000000000002</v>
      </c>
      <c r="E10" s="2">
        <v>5.2249999999999996</v>
      </c>
      <c r="F10" s="2">
        <v>4.4000000000000004</v>
      </c>
      <c r="G10" s="2">
        <v>3.3</v>
      </c>
      <c r="H10" s="2">
        <v>1.375</v>
      </c>
      <c r="I10" s="2">
        <v>0.55000000000000004</v>
      </c>
      <c r="J10" s="2">
        <v>0</v>
      </c>
      <c r="K10" s="2">
        <v>1</v>
      </c>
      <c r="L10">
        <f t="shared" si="19"/>
        <v>0.84545454545454535</v>
      </c>
      <c r="M10">
        <f t="shared" si="2"/>
        <v>0.86363636363636342</v>
      </c>
      <c r="N10">
        <f t="shared" si="2"/>
        <v>0.72727272727272729</v>
      </c>
      <c r="O10">
        <f t="shared" si="2"/>
        <v>0.54545454545454541</v>
      </c>
      <c r="P10">
        <f t="shared" si="2"/>
        <v>0.22727272727272724</v>
      </c>
      <c r="Q10">
        <f t="shared" si="2"/>
        <v>9.0909090909090912E-2</v>
      </c>
      <c r="R10">
        <f t="shared" si="2"/>
        <v>0</v>
      </c>
      <c r="S10">
        <f t="shared" si="20"/>
        <v>12.5</v>
      </c>
      <c r="T10" s="2">
        <f t="shared" si="21"/>
        <v>6.0500000000000007</v>
      </c>
      <c r="U10" s="6">
        <v>25</v>
      </c>
      <c r="V10" s="7">
        <v>6</v>
      </c>
      <c r="W10">
        <f t="shared" si="47"/>
        <v>6</v>
      </c>
      <c r="Y10">
        <v>6.0000000000000001E-3</v>
      </c>
      <c r="Z10">
        <f t="shared" si="22"/>
        <v>6.0000000000000001E-3</v>
      </c>
      <c r="AA10">
        <f t="shared" si="43"/>
        <v>12.5</v>
      </c>
      <c r="AD10">
        <v>25</v>
      </c>
      <c r="AE10">
        <v>0.72729999999999995</v>
      </c>
      <c r="AF10" s="5">
        <v>0.7215981792795898</v>
      </c>
      <c r="AG10" s="4">
        <f>AVERAGE(AF9:AF11)</f>
        <v>0.72729998150737218</v>
      </c>
      <c r="AH10">
        <f>(AG10-AE10)^2</f>
        <v>3.4197728155995251E-16</v>
      </c>
      <c r="AJ10" s="1">
        <v>1.4196360572754196</v>
      </c>
      <c r="AK10">
        <f t="shared" si="48"/>
        <v>8.5178163436525178</v>
      </c>
      <c r="AN10" s="6">
        <v>8</v>
      </c>
      <c r="AO10">
        <f t="shared" si="23"/>
        <v>7.5</v>
      </c>
      <c r="AP10" s="8">
        <f t="shared" ref="AP10:AP17" si="49">(AK10-AO10)^2</f>
        <v>1.0359501094061803</v>
      </c>
      <c r="AQ10">
        <f t="shared" si="44"/>
        <v>12.5</v>
      </c>
      <c r="AR10">
        <f t="shared" si="3"/>
        <v>25</v>
      </c>
      <c r="AU10">
        <v>1.5299999999999973E-2</v>
      </c>
      <c r="AV10">
        <f t="shared" si="24"/>
        <v>15.299999999999972</v>
      </c>
      <c r="AW10">
        <f t="shared" si="4"/>
        <v>7.7999999999999723</v>
      </c>
      <c r="AX10">
        <v>7.6</v>
      </c>
      <c r="AY10">
        <f t="shared" si="25"/>
        <v>15.1</v>
      </c>
      <c r="BA10" s="6">
        <f t="shared" si="45"/>
        <v>15.6</v>
      </c>
      <c r="BB10">
        <f t="shared" si="26"/>
        <v>15.074999999999999</v>
      </c>
      <c r="BD10">
        <f t="shared" si="5"/>
        <v>25</v>
      </c>
      <c r="BE10" s="13">
        <f t="shared" si="6"/>
        <v>8.0000000000000002E-3</v>
      </c>
      <c r="BF10">
        <f t="shared" si="27"/>
        <v>7.4999999999999997E-3</v>
      </c>
      <c r="BG10">
        <f t="shared" si="7"/>
        <v>5.5999999999999999E-3</v>
      </c>
      <c r="BH10">
        <f t="shared" si="28"/>
        <v>5.2499999999999995E-3</v>
      </c>
      <c r="BI10" s="6">
        <f t="shared" si="8"/>
        <v>3.2000000000000002E-3</v>
      </c>
      <c r="BJ10">
        <f t="shared" si="29"/>
        <v>3.0000000000000001E-3</v>
      </c>
      <c r="BK10" s="13">
        <f t="shared" si="9"/>
        <v>2.7300000000000001E-2</v>
      </c>
      <c r="BL10" s="13">
        <f t="shared" si="10"/>
        <v>2.64E-2</v>
      </c>
      <c r="BM10" s="13">
        <f t="shared" si="30"/>
        <v>1.7500000000000002</v>
      </c>
      <c r="BN10" s="19">
        <f>BA10*0.001</f>
        <v>1.5599999999999999E-2</v>
      </c>
      <c r="BO10" s="13">
        <f t="shared" si="31"/>
        <v>1.5075E-2</v>
      </c>
      <c r="BP10" s="20">
        <f t="shared" si="32"/>
        <v>9.4000000000000004E-3</v>
      </c>
      <c r="BQ10" s="20">
        <f t="shared" si="33"/>
        <v>0.60256410256410264</v>
      </c>
      <c r="BR10" s="13">
        <f t="shared" si="34"/>
        <v>9.0375000000000004E-3</v>
      </c>
      <c r="BS10">
        <f t="shared" si="11"/>
        <v>3.2000000000000002E-3</v>
      </c>
      <c r="BT10">
        <f t="shared" si="35"/>
        <v>0.20512820512820515</v>
      </c>
      <c r="BU10">
        <f t="shared" si="36"/>
        <v>3.0000000000000001E-3</v>
      </c>
      <c r="BW10" s="1">
        <v>1.75</v>
      </c>
      <c r="BX10" s="13">
        <f t="shared" si="1"/>
        <v>2.7300000000000001E-2</v>
      </c>
      <c r="BZ10" s="8">
        <v>27.3</v>
      </c>
      <c r="CB10" s="1">
        <v>3.5</v>
      </c>
      <c r="CC10" s="13">
        <f t="shared" si="12"/>
        <v>5.4599999999999996E-2</v>
      </c>
      <c r="CD10" s="13">
        <f t="shared" si="37"/>
        <v>5.2762499999999997E-2</v>
      </c>
      <c r="CE10" s="16">
        <v>0.71</v>
      </c>
      <c r="CF10" s="13">
        <f t="shared" si="13"/>
        <v>3.8765999999999995E-2</v>
      </c>
      <c r="CG10" s="13">
        <f t="shared" si="38"/>
        <v>3.7461374999999991E-2</v>
      </c>
      <c r="CH10">
        <f t="shared" si="14"/>
        <v>25</v>
      </c>
      <c r="CI10" s="16">
        <v>0.35</v>
      </c>
      <c r="CJ10" s="19">
        <f t="shared" si="15"/>
        <v>1.9109999999999999E-2</v>
      </c>
      <c r="CK10" s="19">
        <f t="shared" si="39"/>
        <v>1.8466875000000001E-2</v>
      </c>
      <c r="CL10" s="16">
        <v>0.22500000000000001</v>
      </c>
      <c r="CM10" s="19">
        <f t="shared" si="16"/>
        <v>1.2284999999999999E-2</v>
      </c>
      <c r="CN10" s="5">
        <f t="shared" si="40"/>
        <v>1.1871562499999998E-2</v>
      </c>
      <c r="CO10" s="16">
        <v>7.0000000000000007E-2</v>
      </c>
      <c r="CP10" s="19">
        <f t="shared" si="17"/>
        <v>3.8219999999999999E-3</v>
      </c>
      <c r="CQ10" s="4">
        <f t="shared" si="41"/>
        <v>3.693375E-3</v>
      </c>
      <c r="CR10" s="19">
        <f t="shared" si="18"/>
        <v>3.2000000000000002E-3</v>
      </c>
      <c r="CS10" s="19">
        <f t="shared" si="42"/>
        <v>3.0000000000000001E-3</v>
      </c>
      <c r="CT10">
        <v>60</v>
      </c>
      <c r="CU10" s="1">
        <v>0.4</v>
      </c>
    </row>
    <row r="11" spans="1:106" x14ac:dyDescent="0.25">
      <c r="A11">
        <f t="shared" si="46"/>
        <v>37.5</v>
      </c>
      <c r="B11" s="2">
        <v>15.730000000000002</v>
      </c>
      <c r="C11" s="2">
        <v>6.0500000000000007</v>
      </c>
      <c r="D11" s="2">
        <v>5.1150000000000002</v>
      </c>
      <c r="E11" s="2">
        <v>5.2249999999999996</v>
      </c>
      <c r="F11" s="2">
        <v>4.4000000000000004</v>
      </c>
      <c r="G11" s="2">
        <v>3.3</v>
      </c>
      <c r="H11" s="2">
        <v>1.375</v>
      </c>
      <c r="I11" s="2">
        <v>0.55000000000000004</v>
      </c>
      <c r="J11" s="2">
        <v>0</v>
      </c>
      <c r="K11" s="2">
        <v>1</v>
      </c>
      <c r="L11">
        <f t="shared" si="19"/>
        <v>0.84545454545454535</v>
      </c>
      <c r="M11">
        <f t="shared" si="2"/>
        <v>0.86363636363636342</v>
      </c>
      <c r="N11">
        <f t="shared" si="2"/>
        <v>0.72727272727272729</v>
      </c>
      <c r="O11">
        <f t="shared" si="2"/>
        <v>0.54545454545454541</v>
      </c>
      <c r="P11">
        <f t="shared" si="2"/>
        <v>0.22727272727272724</v>
      </c>
      <c r="Q11">
        <f t="shared" si="2"/>
        <v>9.0909090909090912E-2</v>
      </c>
      <c r="R11">
        <f t="shared" si="2"/>
        <v>0</v>
      </c>
      <c r="S11">
        <f t="shared" si="20"/>
        <v>37.5</v>
      </c>
      <c r="T11" s="2">
        <f t="shared" si="21"/>
        <v>6.0500000000000007</v>
      </c>
      <c r="U11" s="6">
        <v>50</v>
      </c>
      <c r="V11" s="7">
        <v>6</v>
      </c>
      <c r="W11">
        <f t="shared" si="47"/>
        <v>6</v>
      </c>
      <c r="Y11">
        <v>6.0000000000000001E-3</v>
      </c>
      <c r="Z11">
        <f t="shared" si="22"/>
        <v>6.0000000000000001E-3</v>
      </c>
      <c r="AA11">
        <f t="shared" si="43"/>
        <v>37.5</v>
      </c>
      <c r="AD11">
        <v>27.5</v>
      </c>
      <c r="AF11" s="5">
        <v>0.7782392644949393</v>
      </c>
      <c r="AJ11" s="1">
        <v>1.5085940471979737</v>
      </c>
      <c r="AK11">
        <f t="shared" si="48"/>
        <v>9.051564283187842</v>
      </c>
      <c r="AN11" s="6">
        <v>9</v>
      </c>
      <c r="AO11">
        <f t="shared" si="23"/>
        <v>8.5</v>
      </c>
      <c r="AP11" s="8">
        <f t="shared" si="49"/>
        <v>0.304223158488518</v>
      </c>
      <c r="AQ11">
        <f t="shared" si="44"/>
        <v>37.5</v>
      </c>
      <c r="AR11">
        <f t="shared" si="3"/>
        <v>50</v>
      </c>
      <c r="AU11">
        <v>1.6424999999999995E-2</v>
      </c>
      <c r="AV11">
        <f t="shared" si="24"/>
        <v>16.424999999999994</v>
      </c>
      <c r="AW11">
        <f t="shared" si="4"/>
        <v>7.9249999999999936</v>
      </c>
      <c r="AX11">
        <v>7.6</v>
      </c>
      <c r="AY11">
        <f t="shared" si="25"/>
        <v>16.100000000000001</v>
      </c>
      <c r="BA11" s="6">
        <f t="shared" si="45"/>
        <v>16.600000000000001</v>
      </c>
      <c r="BB11">
        <f t="shared" si="26"/>
        <v>16.100000000000001</v>
      </c>
      <c r="BD11">
        <f t="shared" si="5"/>
        <v>50</v>
      </c>
      <c r="BE11" s="13">
        <f t="shared" si="6"/>
        <v>9.0000000000000011E-3</v>
      </c>
      <c r="BF11">
        <f t="shared" si="27"/>
        <v>8.5000000000000006E-3</v>
      </c>
      <c r="BG11">
        <f t="shared" si="7"/>
        <v>6.3E-3</v>
      </c>
      <c r="BH11">
        <f t="shared" si="28"/>
        <v>5.9500000000000004E-3</v>
      </c>
      <c r="BI11" s="6">
        <f t="shared" si="8"/>
        <v>3.6000000000000008E-3</v>
      </c>
      <c r="BJ11">
        <f t="shared" si="29"/>
        <v>3.4000000000000002E-3</v>
      </c>
      <c r="BK11" s="13">
        <f t="shared" si="9"/>
        <v>2.9100000000000001E-2</v>
      </c>
      <c r="BL11" s="13">
        <f t="shared" si="10"/>
        <v>2.8200000000000003E-2</v>
      </c>
      <c r="BM11" s="13">
        <f t="shared" si="30"/>
        <v>1.7530120481927711</v>
      </c>
      <c r="BN11" s="19">
        <f>BA11*0.001</f>
        <v>1.66E-2</v>
      </c>
      <c r="BO11" s="13">
        <f t="shared" si="31"/>
        <v>1.61E-2</v>
      </c>
      <c r="BP11" s="20">
        <f t="shared" si="32"/>
        <v>1.0100000000000001E-2</v>
      </c>
      <c r="BQ11" s="20">
        <f t="shared" si="33"/>
        <v>0.60843373493975916</v>
      </c>
      <c r="BR11" s="13">
        <f t="shared" si="34"/>
        <v>9.7500000000000017E-3</v>
      </c>
      <c r="BS11">
        <f t="shared" si="11"/>
        <v>3.6000000000000008E-3</v>
      </c>
      <c r="BT11">
        <f t="shared" si="35"/>
        <v>0.2168674698795181</v>
      </c>
      <c r="BU11">
        <f t="shared" si="36"/>
        <v>3.4000000000000002E-3</v>
      </c>
      <c r="BW11" s="1">
        <v>1.75</v>
      </c>
      <c r="BX11" s="13">
        <f t="shared" si="1"/>
        <v>2.9100000000000001E-2</v>
      </c>
      <c r="BZ11" s="8">
        <v>29.1</v>
      </c>
      <c r="CB11" s="1">
        <v>3.5</v>
      </c>
      <c r="CC11" s="13">
        <f t="shared" si="12"/>
        <v>5.8099999999999999E-2</v>
      </c>
      <c r="CD11" s="13">
        <f t="shared" si="37"/>
        <v>5.6349999999999997E-2</v>
      </c>
      <c r="CE11" s="16">
        <v>0.71</v>
      </c>
      <c r="CF11" s="13">
        <f t="shared" si="13"/>
        <v>4.1250999999999996E-2</v>
      </c>
      <c r="CG11" s="13">
        <f t="shared" si="38"/>
        <v>4.0008499999999995E-2</v>
      </c>
      <c r="CH11">
        <f t="shared" si="14"/>
        <v>50</v>
      </c>
      <c r="CI11" s="16">
        <v>0.35</v>
      </c>
      <c r="CJ11" s="19">
        <f t="shared" si="15"/>
        <v>2.0334999999999999E-2</v>
      </c>
      <c r="CK11" s="19">
        <f t="shared" si="39"/>
        <v>1.9722499999999997E-2</v>
      </c>
      <c r="CL11" s="16">
        <v>0.22500000000000001</v>
      </c>
      <c r="CM11" s="19">
        <f t="shared" si="16"/>
        <v>1.3072500000000001E-2</v>
      </c>
      <c r="CN11" s="5">
        <f t="shared" si="40"/>
        <v>1.2678749999999999E-2</v>
      </c>
      <c r="CO11" s="16">
        <v>7.0000000000000007E-2</v>
      </c>
      <c r="CP11" s="19">
        <f t="shared" si="17"/>
        <v>4.0670000000000003E-3</v>
      </c>
      <c r="CQ11" s="4">
        <f t="shared" si="41"/>
        <v>3.9445000000000001E-3</v>
      </c>
      <c r="CR11" s="19">
        <f t="shared" si="18"/>
        <v>3.6000000000000008E-3</v>
      </c>
      <c r="CS11" s="19">
        <f t="shared" si="42"/>
        <v>3.4000000000000002E-3</v>
      </c>
    </row>
    <row r="12" spans="1:106" x14ac:dyDescent="0.25">
      <c r="A12">
        <f t="shared" si="46"/>
        <v>62.5</v>
      </c>
      <c r="B12" s="2">
        <v>15.730000000000002</v>
      </c>
      <c r="C12" s="2">
        <v>6.0500000000000007</v>
      </c>
      <c r="D12" s="2">
        <v>5.1150000000000002</v>
      </c>
      <c r="E12" s="2">
        <v>5.2249999999999996</v>
      </c>
      <c r="F12" s="2">
        <v>4.4000000000000004</v>
      </c>
      <c r="G12" s="2">
        <v>3.3</v>
      </c>
      <c r="H12" s="2">
        <v>1.375</v>
      </c>
      <c r="I12" s="2">
        <v>0.55000000000000004</v>
      </c>
      <c r="J12" s="2">
        <v>0</v>
      </c>
      <c r="K12" s="2">
        <v>1</v>
      </c>
      <c r="L12">
        <f t="shared" si="19"/>
        <v>0.84545454545454535</v>
      </c>
      <c r="M12">
        <f t="shared" si="2"/>
        <v>0.86363636363636342</v>
      </c>
      <c r="N12">
        <f t="shared" si="2"/>
        <v>0.72727272727272729</v>
      </c>
      <c r="O12">
        <f t="shared" si="2"/>
        <v>0.54545454545454541</v>
      </c>
      <c r="P12">
        <f t="shared" si="2"/>
        <v>0.22727272727272724</v>
      </c>
      <c r="Q12">
        <f t="shared" si="2"/>
        <v>9.0909090909090912E-2</v>
      </c>
      <c r="R12">
        <f t="shared" si="2"/>
        <v>0</v>
      </c>
      <c r="S12">
        <f t="shared" si="20"/>
        <v>62.5</v>
      </c>
      <c r="T12" s="2">
        <f t="shared" si="21"/>
        <v>6.0500000000000007</v>
      </c>
      <c r="U12" s="6">
        <v>75</v>
      </c>
      <c r="V12" s="7">
        <v>6</v>
      </c>
      <c r="W12">
        <f t="shared" si="47"/>
        <v>6</v>
      </c>
      <c r="Y12">
        <v>6.0000000000000001E-3</v>
      </c>
      <c r="Z12">
        <f t="shared" si="22"/>
        <v>6.0000000000000001E-3</v>
      </c>
      <c r="AA12">
        <f t="shared" si="43"/>
        <v>62.5</v>
      </c>
      <c r="AD12">
        <v>30</v>
      </c>
      <c r="AE12">
        <v>0.82499999999999996</v>
      </c>
      <c r="AF12" s="5">
        <v>0.84120530571852603</v>
      </c>
      <c r="AG12" s="4">
        <f>AVERAGE(AF11:AF13)</f>
        <v>0.82651486992087531</v>
      </c>
      <c r="AH12">
        <f>(AG12-AE12)^2</f>
        <v>2.2948308771728897E-6</v>
      </c>
      <c r="AJ12" s="1">
        <v>1.5198191322584913</v>
      </c>
      <c r="AK12">
        <f t="shared" si="48"/>
        <v>9.1189147935509478</v>
      </c>
      <c r="AN12" s="6">
        <v>9.25</v>
      </c>
      <c r="AO12">
        <f t="shared" si="23"/>
        <v>9.125</v>
      </c>
      <c r="AP12" s="8">
        <f t="shared" si="49"/>
        <v>3.7029737527586414E-5</v>
      </c>
      <c r="AQ12">
        <f t="shared" si="44"/>
        <v>62.5</v>
      </c>
      <c r="AR12">
        <f t="shared" si="3"/>
        <v>75</v>
      </c>
      <c r="AU12">
        <v>1.6874999999999998E-2</v>
      </c>
      <c r="AV12">
        <f t="shared" si="24"/>
        <v>16.874999999999996</v>
      </c>
      <c r="AW12">
        <f t="shared" si="4"/>
        <v>7.7499999999999964</v>
      </c>
      <c r="AX12">
        <v>7.6</v>
      </c>
      <c r="AY12">
        <f t="shared" si="25"/>
        <v>16.725000000000001</v>
      </c>
      <c r="BA12" s="6">
        <f t="shared" si="45"/>
        <v>16.850000000000001</v>
      </c>
      <c r="BB12">
        <f t="shared" si="26"/>
        <v>16.725000000000001</v>
      </c>
      <c r="BD12">
        <f t="shared" si="5"/>
        <v>75</v>
      </c>
      <c r="BE12" s="13">
        <f t="shared" si="6"/>
        <v>9.2499999999999995E-3</v>
      </c>
      <c r="BF12">
        <f t="shared" si="27"/>
        <v>9.1250000000000012E-3</v>
      </c>
      <c r="BG12">
        <f t="shared" si="7"/>
        <v>6.474999999999999E-3</v>
      </c>
      <c r="BH12">
        <f t="shared" si="28"/>
        <v>6.3874999999999991E-3</v>
      </c>
      <c r="BI12" s="6">
        <f t="shared" si="8"/>
        <v>3.7000000000000002E-3</v>
      </c>
      <c r="BJ12">
        <f t="shared" si="29"/>
        <v>3.6500000000000005E-3</v>
      </c>
      <c r="BK12" s="13">
        <f t="shared" si="9"/>
        <v>2.9499999999999998E-2</v>
      </c>
      <c r="BL12" s="13">
        <f t="shared" si="10"/>
        <v>2.93E-2</v>
      </c>
      <c r="BM12" s="13">
        <f t="shared" si="30"/>
        <v>1.7507418397626111</v>
      </c>
      <c r="BN12" s="19">
        <f>BA12*0.001</f>
        <v>1.685E-2</v>
      </c>
      <c r="BO12" s="13">
        <f t="shared" si="31"/>
        <v>1.6725E-2</v>
      </c>
      <c r="BP12" s="20">
        <f t="shared" si="32"/>
        <v>1.0274999999999999E-2</v>
      </c>
      <c r="BQ12" s="20">
        <f t="shared" si="33"/>
        <v>0.60979228486646875</v>
      </c>
      <c r="BR12" s="13">
        <f t="shared" si="34"/>
        <v>1.01875E-2</v>
      </c>
      <c r="BS12">
        <f t="shared" si="11"/>
        <v>3.7000000000000002E-3</v>
      </c>
      <c r="BT12">
        <f t="shared" si="35"/>
        <v>0.21958456973293769</v>
      </c>
      <c r="BU12">
        <f t="shared" si="36"/>
        <v>3.6500000000000005E-3</v>
      </c>
      <c r="BW12" s="1">
        <v>1.75</v>
      </c>
      <c r="BX12" s="13">
        <f t="shared" si="1"/>
        <v>2.9499999999999998E-2</v>
      </c>
      <c r="BZ12" s="8">
        <v>29.5</v>
      </c>
      <c r="CB12" s="1">
        <v>3.5</v>
      </c>
      <c r="CC12" s="13">
        <f t="shared" si="12"/>
        <v>5.8975E-2</v>
      </c>
      <c r="CD12" s="13">
        <f t="shared" si="37"/>
        <v>5.8537499999999999E-2</v>
      </c>
      <c r="CE12" s="16">
        <v>0.71</v>
      </c>
      <c r="CF12" s="13">
        <f t="shared" si="13"/>
        <v>4.187225E-2</v>
      </c>
      <c r="CG12" s="13">
        <f t="shared" si="38"/>
        <v>4.1561624999999998E-2</v>
      </c>
      <c r="CH12">
        <f t="shared" si="14"/>
        <v>75</v>
      </c>
      <c r="CI12" s="16">
        <v>0.35</v>
      </c>
      <c r="CJ12" s="19">
        <f t="shared" si="15"/>
        <v>2.064125E-2</v>
      </c>
      <c r="CK12" s="19">
        <f t="shared" si="39"/>
        <v>2.0488124999999999E-2</v>
      </c>
      <c r="CL12" s="16">
        <v>0.22500000000000001</v>
      </c>
      <c r="CM12" s="19">
        <f t="shared" si="16"/>
        <v>1.3269375E-2</v>
      </c>
      <c r="CN12" s="5">
        <f t="shared" si="40"/>
        <v>1.31709375E-2</v>
      </c>
      <c r="CO12" s="16">
        <v>7.0000000000000007E-2</v>
      </c>
      <c r="CP12" s="19">
        <f t="shared" si="17"/>
        <v>4.12825E-3</v>
      </c>
      <c r="CQ12" s="4">
        <f t="shared" si="41"/>
        <v>4.0976250000000006E-3</v>
      </c>
      <c r="CR12" s="19">
        <f t="shared" si="18"/>
        <v>3.7000000000000002E-3</v>
      </c>
      <c r="CS12" s="19">
        <f t="shared" si="42"/>
        <v>3.6500000000000005E-3</v>
      </c>
    </row>
    <row r="13" spans="1:106" x14ac:dyDescent="0.25">
      <c r="A13">
        <f t="shared" si="46"/>
        <v>87.5</v>
      </c>
      <c r="B13" s="2">
        <v>15.730000000000002</v>
      </c>
      <c r="C13" s="2">
        <v>6.0500000000000007</v>
      </c>
      <c r="D13" s="2">
        <v>5.1150000000000002</v>
      </c>
      <c r="E13" s="2">
        <v>5.2249999999999996</v>
      </c>
      <c r="F13" s="2">
        <v>4.4000000000000004</v>
      </c>
      <c r="G13" s="2">
        <v>3.3</v>
      </c>
      <c r="H13" s="2">
        <v>1.375</v>
      </c>
      <c r="I13" s="2">
        <v>0.55000000000000004</v>
      </c>
      <c r="J13" s="2">
        <v>0</v>
      </c>
      <c r="K13" s="2">
        <v>1</v>
      </c>
      <c r="L13">
        <f t="shared" si="19"/>
        <v>0.84545454545454535</v>
      </c>
      <c r="M13">
        <f t="shared" si="2"/>
        <v>0.86363636363636342</v>
      </c>
      <c r="N13">
        <f t="shared" si="2"/>
        <v>0.72727272727272729</v>
      </c>
      <c r="O13">
        <f t="shared" si="2"/>
        <v>0.54545454545454541</v>
      </c>
      <c r="P13">
        <f t="shared" si="2"/>
        <v>0.22727272727272724</v>
      </c>
      <c r="Q13">
        <f t="shared" si="2"/>
        <v>9.0909090909090912E-2</v>
      </c>
      <c r="R13">
        <f t="shared" si="2"/>
        <v>0</v>
      </c>
      <c r="S13">
        <f t="shared" si="20"/>
        <v>87.5</v>
      </c>
      <c r="T13" s="2">
        <f t="shared" si="21"/>
        <v>6.0500000000000007</v>
      </c>
      <c r="U13" s="6">
        <v>100</v>
      </c>
      <c r="V13" s="7">
        <v>6</v>
      </c>
      <c r="W13">
        <f t="shared" si="47"/>
        <v>6</v>
      </c>
      <c r="Y13">
        <v>6.0000000000000001E-3</v>
      </c>
      <c r="Z13">
        <f t="shared" si="22"/>
        <v>6.0000000000000001E-3</v>
      </c>
      <c r="AA13">
        <f t="shared" si="43"/>
        <v>87.5</v>
      </c>
      <c r="AD13">
        <v>32.5</v>
      </c>
      <c r="AF13" s="5">
        <f>AVERAGE(AF12,AF14)</f>
        <v>0.86010003954916026</v>
      </c>
      <c r="AJ13" s="1">
        <v>1.5659773706034652</v>
      </c>
      <c r="AK13">
        <f t="shared" si="48"/>
        <v>9.3958642236207908</v>
      </c>
      <c r="AN13" s="6">
        <v>9.5</v>
      </c>
      <c r="AO13">
        <f t="shared" si="23"/>
        <v>9.375</v>
      </c>
      <c r="AP13" s="8">
        <f t="shared" si="49"/>
        <v>4.3531582729836342E-4</v>
      </c>
      <c r="AQ13">
        <f t="shared" si="44"/>
        <v>87.5</v>
      </c>
      <c r="AR13">
        <f t="shared" si="3"/>
        <v>100</v>
      </c>
      <c r="AU13">
        <v>1.709999999999999E-2</v>
      </c>
      <c r="AV13">
        <f t="shared" si="24"/>
        <v>17.099999999999991</v>
      </c>
      <c r="AW13">
        <f t="shared" si="4"/>
        <v>7.7249999999999908</v>
      </c>
      <c r="AX13">
        <v>7.6</v>
      </c>
      <c r="AY13">
        <f t="shared" si="25"/>
        <v>16.975000000000001</v>
      </c>
      <c r="BA13" s="6">
        <f t="shared" si="45"/>
        <v>17.100000000000001</v>
      </c>
      <c r="BB13">
        <f t="shared" si="26"/>
        <v>16.975000000000001</v>
      </c>
      <c r="BD13">
        <f t="shared" si="5"/>
        <v>100</v>
      </c>
      <c r="BE13" s="13">
        <f t="shared" si="6"/>
        <v>9.4999999999999998E-3</v>
      </c>
      <c r="BF13">
        <f t="shared" si="27"/>
        <v>9.3749999999999997E-3</v>
      </c>
      <c r="BG13">
        <f t="shared" si="7"/>
        <v>6.6499999999999997E-3</v>
      </c>
      <c r="BH13">
        <f t="shared" si="28"/>
        <v>6.5624999999999989E-3</v>
      </c>
      <c r="BI13" s="6">
        <f t="shared" si="8"/>
        <v>3.8E-3</v>
      </c>
      <c r="BJ13">
        <f t="shared" si="29"/>
        <v>3.7499999999999999E-3</v>
      </c>
      <c r="BK13" s="13">
        <f t="shared" si="9"/>
        <v>2.9899999999999999E-2</v>
      </c>
      <c r="BL13" s="13">
        <f t="shared" si="10"/>
        <v>2.9699999999999997E-2</v>
      </c>
      <c r="BM13" s="13">
        <f t="shared" si="30"/>
        <v>1.7485380116959064</v>
      </c>
      <c r="BN13" s="19">
        <f>BA13*0.001</f>
        <v>1.7100000000000001E-2</v>
      </c>
      <c r="BO13" s="13">
        <f t="shared" si="31"/>
        <v>1.6975000000000001E-2</v>
      </c>
      <c r="BP13" s="20">
        <f t="shared" si="32"/>
        <v>1.0450000000000001E-2</v>
      </c>
      <c r="BQ13" s="20">
        <f t="shared" si="33"/>
        <v>0.61111111111111116</v>
      </c>
      <c r="BR13" s="13">
        <f t="shared" si="34"/>
        <v>1.03625E-2</v>
      </c>
      <c r="BS13">
        <f t="shared" si="11"/>
        <v>3.8E-3</v>
      </c>
      <c r="BT13">
        <f t="shared" si="35"/>
        <v>0.22222222222222221</v>
      </c>
      <c r="BU13">
        <f t="shared" si="36"/>
        <v>3.7499999999999999E-3</v>
      </c>
      <c r="BW13" s="1">
        <v>1.75</v>
      </c>
      <c r="BX13" s="13">
        <f t="shared" si="1"/>
        <v>2.9899999999999999E-2</v>
      </c>
      <c r="BZ13" s="8">
        <v>29.9</v>
      </c>
      <c r="CB13" s="1">
        <v>3.5</v>
      </c>
      <c r="CC13" s="13">
        <f t="shared" si="12"/>
        <v>5.985E-2</v>
      </c>
      <c r="CD13" s="13">
        <f t="shared" si="37"/>
        <v>5.94125E-2</v>
      </c>
      <c r="CE13" s="16">
        <v>0.71</v>
      </c>
      <c r="CF13" s="13">
        <f t="shared" si="13"/>
        <v>4.2493499999999997E-2</v>
      </c>
      <c r="CG13" s="13">
        <f t="shared" si="38"/>
        <v>4.2182874999999995E-2</v>
      </c>
      <c r="CH13">
        <f t="shared" si="14"/>
        <v>100</v>
      </c>
      <c r="CI13" s="16">
        <v>0.35</v>
      </c>
      <c r="CJ13" s="19">
        <f t="shared" si="15"/>
        <v>2.0947499999999997E-2</v>
      </c>
      <c r="CK13" s="19">
        <f t="shared" si="39"/>
        <v>2.0794374999999997E-2</v>
      </c>
      <c r="CL13" s="16">
        <v>0.22500000000000001</v>
      </c>
      <c r="CM13" s="19">
        <f t="shared" si="16"/>
        <v>1.3466250000000001E-2</v>
      </c>
      <c r="CN13" s="5">
        <f t="shared" si="40"/>
        <v>1.3367812499999999E-2</v>
      </c>
      <c r="CO13" s="16">
        <v>7.0000000000000007E-2</v>
      </c>
      <c r="CP13" s="19">
        <f t="shared" si="17"/>
        <v>4.1895000000000005E-3</v>
      </c>
      <c r="CQ13" s="4">
        <f t="shared" si="41"/>
        <v>4.1588750000000002E-3</v>
      </c>
      <c r="CR13" s="19">
        <f t="shared" si="18"/>
        <v>3.8E-3</v>
      </c>
      <c r="CS13" s="19">
        <f t="shared" si="42"/>
        <v>3.7499999999999999E-3</v>
      </c>
    </row>
    <row r="14" spans="1:106" x14ac:dyDescent="0.25">
      <c r="A14">
        <f t="shared" si="46"/>
        <v>112.5</v>
      </c>
      <c r="B14" s="2">
        <v>15.730000000000002</v>
      </c>
      <c r="C14" s="2">
        <v>6.0500000000000007</v>
      </c>
      <c r="D14" s="2">
        <v>5.1150000000000002</v>
      </c>
      <c r="E14" s="2">
        <v>5.2249999999999996</v>
      </c>
      <c r="F14" s="2">
        <v>4.4000000000000004</v>
      </c>
      <c r="G14" s="2">
        <v>3.3</v>
      </c>
      <c r="H14" s="2">
        <v>1.375</v>
      </c>
      <c r="I14" s="2">
        <v>0.55000000000000004</v>
      </c>
      <c r="J14" s="2">
        <v>0</v>
      </c>
      <c r="K14" s="2">
        <v>1</v>
      </c>
      <c r="L14">
        <f t="shared" si="19"/>
        <v>0.84545454545454535</v>
      </c>
      <c r="M14">
        <f t="shared" si="2"/>
        <v>0.86363636363636342</v>
      </c>
      <c r="N14">
        <f t="shared" si="2"/>
        <v>0.72727272727272729</v>
      </c>
      <c r="O14">
        <f t="shared" si="2"/>
        <v>0.54545454545454541</v>
      </c>
      <c r="P14">
        <f t="shared" si="2"/>
        <v>0.22727272727272724</v>
      </c>
      <c r="Q14">
        <f t="shared" si="2"/>
        <v>9.0909090909090912E-2</v>
      </c>
      <c r="R14">
        <f t="shared" si="2"/>
        <v>0</v>
      </c>
      <c r="S14">
        <f t="shared" si="20"/>
        <v>112.5</v>
      </c>
      <c r="T14" s="2">
        <f t="shared" si="21"/>
        <v>6.0500000000000007</v>
      </c>
      <c r="U14" s="6">
        <v>125</v>
      </c>
      <c r="V14" s="7">
        <v>6</v>
      </c>
      <c r="W14">
        <f t="shared" si="47"/>
        <v>6</v>
      </c>
      <c r="Y14">
        <v>6.0000000000000001E-3</v>
      </c>
      <c r="Z14">
        <f t="shared" si="22"/>
        <v>6.0000000000000001E-3</v>
      </c>
      <c r="AA14">
        <f t="shared" si="43"/>
        <v>112.5</v>
      </c>
      <c r="AD14">
        <v>35</v>
      </c>
      <c r="AE14">
        <v>0.89</v>
      </c>
      <c r="AF14" s="5">
        <v>0.87899477337979437</v>
      </c>
      <c r="AG14" s="4">
        <f>AVERAGE(AF13:AF15)</f>
        <v>0.89151487234495252</v>
      </c>
      <c r="AH14">
        <f>(AG14-AE14)^2</f>
        <v>2.2948382215019209E-6</v>
      </c>
      <c r="AJ14" s="1">
        <v>1.4316317842920454</v>
      </c>
      <c r="AK14">
        <f t="shared" si="48"/>
        <v>8.5897907057522715</v>
      </c>
      <c r="AN14" s="6">
        <v>9.5</v>
      </c>
      <c r="AO14">
        <f t="shared" si="23"/>
        <v>9.5</v>
      </c>
      <c r="AP14" s="8">
        <f t="shared" si="49"/>
        <v>0.82848095933494792</v>
      </c>
      <c r="AQ14">
        <f t="shared" si="44"/>
        <v>112.5</v>
      </c>
      <c r="AR14">
        <f t="shared" si="3"/>
        <v>125</v>
      </c>
      <c r="AU14">
        <v>1.7099999999999994E-2</v>
      </c>
      <c r="AV14">
        <f t="shared" si="24"/>
        <v>17.099999999999994</v>
      </c>
      <c r="AW14">
        <f t="shared" si="4"/>
        <v>7.5999999999999943</v>
      </c>
      <c r="AX14">
        <v>7.6</v>
      </c>
      <c r="AY14">
        <f t="shared" si="25"/>
        <v>17.100000000000001</v>
      </c>
      <c r="BA14" s="6">
        <f t="shared" si="45"/>
        <v>17.100000000000001</v>
      </c>
      <c r="BB14">
        <f t="shared" si="26"/>
        <v>17.100000000000001</v>
      </c>
      <c r="BD14">
        <f t="shared" si="5"/>
        <v>125</v>
      </c>
      <c r="BE14" s="13">
        <f t="shared" si="6"/>
        <v>9.4999999999999998E-3</v>
      </c>
      <c r="BF14">
        <f t="shared" si="27"/>
        <v>9.4999999999999998E-3</v>
      </c>
      <c r="BG14">
        <f t="shared" si="7"/>
        <v>6.6499999999999997E-3</v>
      </c>
      <c r="BH14">
        <f t="shared" si="28"/>
        <v>6.6499999999999997E-3</v>
      </c>
      <c r="BI14" s="6">
        <f t="shared" si="8"/>
        <v>3.8E-3</v>
      </c>
      <c r="BJ14">
        <f t="shared" si="29"/>
        <v>3.8E-3</v>
      </c>
      <c r="BK14" s="13">
        <f t="shared" si="9"/>
        <v>2.9899999999999999E-2</v>
      </c>
      <c r="BL14" s="13">
        <f t="shared" si="10"/>
        <v>2.9899999999999999E-2</v>
      </c>
      <c r="BM14" s="13">
        <f t="shared" si="30"/>
        <v>1.7485380116959064</v>
      </c>
      <c r="BN14" s="19">
        <f>BA14*0.001</f>
        <v>1.7100000000000001E-2</v>
      </c>
      <c r="BO14" s="13">
        <f t="shared" si="31"/>
        <v>1.7100000000000001E-2</v>
      </c>
      <c r="BP14" s="20">
        <f t="shared" si="32"/>
        <v>1.0450000000000001E-2</v>
      </c>
      <c r="BQ14" s="20">
        <f t="shared" si="33"/>
        <v>0.61111111111111116</v>
      </c>
      <c r="BR14" s="13">
        <f t="shared" si="34"/>
        <v>1.0450000000000001E-2</v>
      </c>
      <c r="BS14">
        <f t="shared" si="11"/>
        <v>3.8E-3</v>
      </c>
      <c r="BT14">
        <f t="shared" si="35"/>
        <v>0.22222222222222221</v>
      </c>
      <c r="BU14">
        <f t="shared" si="36"/>
        <v>3.8E-3</v>
      </c>
      <c r="BW14" s="1">
        <v>1.75</v>
      </c>
      <c r="BX14" s="13">
        <f t="shared" si="1"/>
        <v>2.9899999999999999E-2</v>
      </c>
      <c r="BZ14" s="8">
        <v>29.9</v>
      </c>
      <c r="CB14" s="1">
        <v>3.5</v>
      </c>
      <c r="CC14" s="13">
        <f t="shared" si="12"/>
        <v>5.985E-2</v>
      </c>
      <c r="CD14" s="13">
        <f t="shared" si="37"/>
        <v>5.985E-2</v>
      </c>
      <c r="CE14" s="16">
        <v>0.71</v>
      </c>
      <c r="CF14" s="13">
        <f t="shared" si="13"/>
        <v>4.2493499999999997E-2</v>
      </c>
      <c r="CG14" s="13">
        <f t="shared" si="38"/>
        <v>4.2493499999999997E-2</v>
      </c>
      <c r="CH14">
        <f t="shared" si="14"/>
        <v>125</v>
      </c>
      <c r="CI14" s="16">
        <v>0.35</v>
      </c>
      <c r="CJ14" s="19">
        <f t="shared" si="15"/>
        <v>2.0947499999999997E-2</v>
      </c>
      <c r="CK14" s="19">
        <f t="shared" si="39"/>
        <v>2.0947499999999997E-2</v>
      </c>
      <c r="CL14" s="16">
        <v>0.22500000000000001</v>
      </c>
      <c r="CM14" s="19">
        <f t="shared" si="16"/>
        <v>1.3466250000000001E-2</v>
      </c>
      <c r="CN14" s="5">
        <f t="shared" si="40"/>
        <v>1.3466250000000001E-2</v>
      </c>
      <c r="CO14" s="16">
        <v>7.0000000000000007E-2</v>
      </c>
      <c r="CP14" s="19">
        <f t="shared" si="17"/>
        <v>4.1895000000000005E-3</v>
      </c>
      <c r="CQ14" s="4">
        <f t="shared" si="41"/>
        <v>4.1895000000000005E-3</v>
      </c>
      <c r="CR14" s="19">
        <f t="shared" si="18"/>
        <v>3.8E-3</v>
      </c>
      <c r="CS14" s="19">
        <f t="shared" si="42"/>
        <v>3.8E-3</v>
      </c>
    </row>
    <row r="15" spans="1:106" x14ac:dyDescent="0.25">
      <c r="A15">
        <f t="shared" si="46"/>
        <v>137.5</v>
      </c>
      <c r="B15" s="2">
        <v>15.730000000000002</v>
      </c>
      <c r="C15" s="2">
        <v>6.0500000000000007</v>
      </c>
      <c r="D15" s="2">
        <v>5.1150000000000002</v>
      </c>
      <c r="E15" s="2">
        <v>5.2249999999999996</v>
      </c>
      <c r="F15" s="2">
        <v>4.4000000000000004</v>
      </c>
      <c r="G15" s="2">
        <v>3.3</v>
      </c>
      <c r="H15" s="2">
        <v>1.375</v>
      </c>
      <c r="I15" s="2">
        <v>0.55000000000000004</v>
      </c>
      <c r="J15" s="2">
        <v>0</v>
      </c>
      <c r="K15" s="2">
        <v>1</v>
      </c>
      <c r="L15">
        <f t="shared" si="19"/>
        <v>0.84545454545454535</v>
      </c>
      <c r="M15">
        <f t="shared" si="2"/>
        <v>0.86363636363636342</v>
      </c>
      <c r="N15">
        <f t="shared" si="2"/>
        <v>0.72727272727272729</v>
      </c>
      <c r="O15">
        <f t="shared" si="2"/>
        <v>0.54545454545454541</v>
      </c>
      <c r="P15">
        <f t="shared" si="2"/>
        <v>0.22727272727272724</v>
      </c>
      <c r="Q15">
        <f t="shared" si="2"/>
        <v>9.0909090909090912E-2</v>
      </c>
      <c r="R15">
        <f t="shared" si="2"/>
        <v>0</v>
      </c>
      <c r="S15">
        <f t="shared" si="20"/>
        <v>137.5</v>
      </c>
      <c r="T15" s="2">
        <f t="shared" si="21"/>
        <v>6.0500000000000007</v>
      </c>
      <c r="U15" s="6">
        <v>150</v>
      </c>
      <c r="V15" s="7">
        <v>6</v>
      </c>
      <c r="W15">
        <f t="shared" si="47"/>
        <v>6</v>
      </c>
      <c r="Y15">
        <v>6.0000000000000001E-3</v>
      </c>
      <c r="Z15">
        <f t="shared" si="22"/>
        <v>6.0000000000000001E-3</v>
      </c>
      <c r="AA15">
        <f t="shared" si="43"/>
        <v>137.5</v>
      </c>
      <c r="AD15">
        <v>37.5</v>
      </c>
      <c r="AF15" s="5">
        <v>0.93544980410590295</v>
      </c>
      <c r="AJ15" s="1">
        <v>1.6087998843661211</v>
      </c>
      <c r="AK15">
        <f t="shared" si="48"/>
        <v>9.6527993061967265</v>
      </c>
      <c r="AN15" s="6">
        <v>9.5</v>
      </c>
      <c r="AO15">
        <f t="shared" si="23"/>
        <v>9.5</v>
      </c>
      <c r="AP15" s="8">
        <f t="shared" si="49"/>
        <v>2.3347627974200997E-2</v>
      </c>
      <c r="AQ15">
        <f t="shared" si="44"/>
        <v>137.5</v>
      </c>
      <c r="AR15">
        <f t="shared" si="3"/>
        <v>150</v>
      </c>
      <c r="AU15">
        <v>1.7100000000000004E-2</v>
      </c>
      <c r="AV15">
        <f t="shared" si="24"/>
        <v>17.100000000000005</v>
      </c>
      <c r="AW15">
        <f t="shared" si="4"/>
        <v>7.600000000000005</v>
      </c>
      <c r="AX15">
        <v>7.6</v>
      </c>
      <c r="AY15">
        <f t="shared" si="25"/>
        <v>17.100000000000001</v>
      </c>
      <c r="BA15" s="6">
        <f t="shared" si="45"/>
        <v>17.100000000000001</v>
      </c>
      <c r="BB15">
        <f t="shared" si="26"/>
        <v>17.100000000000001</v>
      </c>
      <c r="BD15">
        <f t="shared" si="5"/>
        <v>150</v>
      </c>
      <c r="BE15" s="13">
        <f t="shared" si="6"/>
        <v>9.4999999999999998E-3</v>
      </c>
      <c r="BF15">
        <f t="shared" si="27"/>
        <v>9.4999999999999998E-3</v>
      </c>
      <c r="BG15">
        <f t="shared" si="7"/>
        <v>6.6499999999999997E-3</v>
      </c>
      <c r="BH15">
        <f t="shared" si="28"/>
        <v>6.6499999999999997E-3</v>
      </c>
      <c r="BI15" s="6">
        <f t="shared" si="8"/>
        <v>3.8E-3</v>
      </c>
      <c r="BJ15">
        <f t="shared" si="29"/>
        <v>3.8E-3</v>
      </c>
      <c r="BK15" s="13">
        <f t="shared" si="9"/>
        <v>2.9899999999999999E-2</v>
      </c>
      <c r="BL15" s="13">
        <f t="shared" si="10"/>
        <v>2.9899999999999999E-2</v>
      </c>
      <c r="BM15" s="13">
        <f t="shared" si="30"/>
        <v>1.7485380116959064</v>
      </c>
      <c r="BN15" s="19">
        <f>BA15*0.001</f>
        <v>1.7100000000000001E-2</v>
      </c>
      <c r="BO15" s="13">
        <f t="shared" si="31"/>
        <v>1.7100000000000001E-2</v>
      </c>
      <c r="BP15" s="20">
        <f t="shared" si="32"/>
        <v>1.0450000000000001E-2</v>
      </c>
      <c r="BQ15" s="20">
        <f t="shared" si="33"/>
        <v>0.61111111111111116</v>
      </c>
      <c r="BR15" s="13">
        <f t="shared" si="34"/>
        <v>1.0450000000000001E-2</v>
      </c>
      <c r="BS15">
        <f t="shared" si="11"/>
        <v>3.8E-3</v>
      </c>
      <c r="BT15">
        <f t="shared" si="35"/>
        <v>0.22222222222222221</v>
      </c>
      <c r="BU15">
        <f t="shared" si="36"/>
        <v>3.8E-3</v>
      </c>
      <c r="BW15" s="1">
        <v>1.75</v>
      </c>
      <c r="BX15" s="13">
        <f t="shared" si="1"/>
        <v>2.9899999999999999E-2</v>
      </c>
      <c r="BZ15" s="8">
        <v>29.9</v>
      </c>
      <c r="CB15" s="1">
        <v>3.5</v>
      </c>
      <c r="CC15" s="13">
        <f t="shared" si="12"/>
        <v>5.985E-2</v>
      </c>
      <c r="CD15" s="13">
        <f t="shared" si="37"/>
        <v>5.985E-2</v>
      </c>
      <c r="CE15" s="16">
        <v>0.71</v>
      </c>
      <c r="CF15" s="13">
        <f t="shared" si="13"/>
        <v>4.2493499999999997E-2</v>
      </c>
      <c r="CG15" s="13">
        <f t="shared" si="38"/>
        <v>4.2493499999999997E-2</v>
      </c>
      <c r="CH15">
        <f t="shared" si="14"/>
        <v>150</v>
      </c>
      <c r="CI15" s="16">
        <v>0.35</v>
      </c>
      <c r="CJ15" s="19">
        <f t="shared" si="15"/>
        <v>2.0947499999999997E-2</v>
      </c>
      <c r="CK15" s="19">
        <f t="shared" si="39"/>
        <v>2.0947499999999997E-2</v>
      </c>
      <c r="CL15" s="16">
        <v>0.22500000000000001</v>
      </c>
      <c r="CM15" s="19">
        <f t="shared" si="16"/>
        <v>1.3466250000000001E-2</v>
      </c>
      <c r="CN15" s="5">
        <f t="shared" si="40"/>
        <v>1.3466250000000001E-2</v>
      </c>
      <c r="CO15" s="16">
        <v>7.0000000000000007E-2</v>
      </c>
      <c r="CP15" s="19">
        <f t="shared" si="17"/>
        <v>4.1895000000000005E-3</v>
      </c>
      <c r="CQ15" s="4">
        <f t="shared" si="41"/>
        <v>4.1895000000000005E-3</v>
      </c>
      <c r="CR15" s="19">
        <f t="shared" si="18"/>
        <v>3.8E-3</v>
      </c>
      <c r="CS15" s="19">
        <f t="shared" si="42"/>
        <v>3.8E-3</v>
      </c>
    </row>
    <row r="16" spans="1:106" x14ac:dyDescent="0.25">
      <c r="A16">
        <f t="shared" si="46"/>
        <v>162.5</v>
      </c>
      <c r="B16" s="2">
        <v>15.730000000000002</v>
      </c>
      <c r="C16" s="2">
        <v>6.0500000000000007</v>
      </c>
      <c r="D16" s="2">
        <v>5.1150000000000002</v>
      </c>
      <c r="E16" s="2">
        <v>5.2249999999999996</v>
      </c>
      <c r="F16" s="2">
        <v>4.4000000000000004</v>
      </c>
      <c r="G16" s="2">
        <v>3.3</v>
      </c>
      <c r="H16" s="2">
        <v>1.375</v>
      </c>
      <c r="I16" s="2">
        <v>0.55000000000000004</v>
      </c>
      <c r="J16" s="2">
        <v>0</v>
      </c>
      <c r="K16" s="2">
        <v>1</v>
      </c>
      <c r="L16">
        <f t="shared" si="19"/>
        <v>0.84545454545454535</v>
      </c>
      <c r="M16">
        <f t="shared" si="2"/>
        <v>0.86363636363636342</v>
      </c>
      <c r="N16">
        <f t="shared" si="2"/>
        <v>0.72727272727272729</v>
      </c>
      <c r="O16">
        <f t="shared" si="2"/>
        <v>0.54545454545454541</v>
      </c>
      <c r="P16">
        <f t="shared" si="2"/>
        <v>0.22727272727272724</v>
      </c>
      <c r="Q16">
        <f t="shared" si="2"/>
        <v>9.0909090909090912E-2</v>
      </c>
      <c r="R16">
        <f t="shared" si="2"/>
        <v>0</v>
      </c>
      <c r="S16">
        <f t="shared" si="20"/>
        <v>162.5</v>
      </c>
      <c r="T16" s="2">
        <f t="shared" si="21"/>
        <v>6.0500000000000007</v>
      </c>
      <c r="U16" s="6">
        <v>175</v>
      </c>
      <c r="V16" s="7">
        <v>6</v>
      </c>
      <c r="W16">
        <f t="shared" si="47"/>
        <v>6</v>
      </c>
      <c r="Y16">
        <v>6.0000000000000001E-3</v>
      </c>
      <c r="Z16">
        <f t="shared" si="22"/>
        <v>6.0000000000000001E-3</v>
      </c>
      <c r="AA16">
        <f t="shared" si="43"/>
        <v>162.5</v>
      </c>
      <c r="AD16">
        <v>40</v>
      </c>
      <c r="AE16">
        <v>1</v>
      </c>
      <c r="AF16" s="5">
        <v>1</v>
      </c>
      <c r="AJ16" s="1">
        <v>1.6151550871696316</v>
      </c>
      <c r="AK16">
        <f t="shared" si="48"/>
        <v>9.6909305230177907</v>
      </c>
      <c r="AN16" s="6">
        <v>9.5</v>
      </c>
      <c r="AO16">
        <f t="shared" si="23"/>
        <v>9.5</v>
      </c>
      <c r="AP16" s="8">
        <f t="shared" si="49"/>
        <v>3.6454464619847096E-2</v>
      </c>
      <c r="AQ16">
        <f t="shared" si="44"/>
        <v>162.5</v>
      </c>
      <c r="AR16">
        <f t="shared" si="3"/>
        <v>175</v>
      </c>
      <c r="AU16">
        <v>1.7099999999999983E-2</v>
      </c>
      <c r="AV16">
        <f t="shared" si="24"/>
        <v>17.099999999999984</v>
      </c>
      <c r="AW16">
        <f t="shared" si="4"/>
        <v>7.5999999999999837</v>
      </c>
      <c r="AX16">
        <v>7.6</v>
      </c>
      <c r="AY16">
        <f t="shared" si="25"/>
        <v>17.100000000000001</v>
      </c>
      <c r="BA16" s="6">
        <f t="shared" si="45"/>
        <v>17.100000000000001</v>
      </c>
      <c r="BB16">
        <f t="shared" si="26"/>
        <v>17.100000000000001</v>
      </c>
      <c r="BD16">
        <f t="shared" si="5"/>
        <v>175</v>
      </c>
      <c r="BE16" s="13">
        <f t="shared" si="6"/>
        <v>9.4999999999999998E-3</v>
      </c>
      <c r="BF16">
        <f t="shared" si="27"/>
        <v>9.4999999999999998E-3</v>
      </c>
      <c r="BG16">
        <f t="shared" si="7"/>
        <v>6.6499999999999997E-3</v>
      </c>
      <c r="BH16">
        <f t="shared" si="28"/>
        <v>6.6499999999999997E-3</v>
      </c>
      <c r="BI16" s="6">
        <f t="shared" si="8"/>
        <v>3.8E-3</v>
      </c>
      <c r="BJ16">
        <f t="shared" si="29"/>
        <v>3.8E-3</v>
      </c>
      <c r="BK16" s="13">
        <f t="shared" si="9"/>
        <v>2.9899999999999999E-2</v>
      </c>
      <c r="BL16" s="13">
        <f t="shared" si="10"/>
        <v>2.9899999999999999E-2</v>
      </c>
      <c r="BM16" s="13">
        <f t="shared" si="30"/>
        <v>1.7485380116959064</v>
      </c>
      <c r="BN16" s="19">
        <f>BA16*0.001</f>
        <v>1.7100000000000001E-2</v>
      </c>
      <c r="BO16" s="13">
        <f t="shared" si="31"/>
        <v>1.7100000000000001E-2</v>
      </c>
      <c r="BP16" s="20">
        <f t="shared" si="32"/>
        <v>1.0450000000000001E-2</v>
      </c>
      <c r="BQ16" s="20">
        <f t="shared" si="33"/>
        <v>0.61111111111111116</v>
      </c>
      <c r="BR16" s="13">
        <f t="shared" si="34"/>
        <v>1.0450000000000001E-2</v>
      </c>
      <c r="BS16">
        <f t="shared" si="11"/>
        <v>3.8E-3</v>
      </c>
      <c r="BT16">
        <f t="shared" si="35"/>
        <v>0.22222222222222221</v>
      </c>
      <c r="BU16">
        <f t="shared" si="36"/>
        <v>3.8E-3</v>
      </c>
      <c r="BW16" s="1">
        <v>1.75</v>
      </c>
      <c r="BX16" s="13">
        <f t="shared" si="1"/>
        <v>2.9899999999999999E-2</v>
      </c>
      <c r="BZ16" s="8">
        <v>29.9</v>
      </c>
      <c r="CB16" s="1">
        <v>3.5</v>
      </c>
      <c r="CC16" s="13">
        <f t="shared" si="12"/>
        <v>5.985E-2</v>
      </c>
      <c r="CD16" s="13">
        <f t="shared" si="37"/>
        <v>5.985E-2</v>
      </c>
      <c r="CE16" s="16">
        <v>0.71</v>
      </c>
      <c r="CF16" s="13">
        <f t="shared" si="13"/>
        <v>4.2493499999999997E-2</v>
      </c>
      <c r="CG16" s="13">
        <f t="shared" si="38"/>
        <v>4.2493499999999997E-2</v>
      </c>
      <c r="CH16">
        <f t="shared" si="14"/>
        <v>175</v>
      </c>
      <c r="CI16" s="16">
        <v>0.35</v>
      </c>
      <c r="CJ16" s="19">
        <f t="shared" si="15"/>
        <v>2.0947499999999997E-2</v>
      </c>
      <c r="CK16" s="19">
        <f t="shared" si="39"/>
        <v>2.0947499999999997E-2</v>
      </c>
      <c r="CL16" s="16">
        <v>0.22500000000000001</v>
      </c>
      <c r="CM16" s="19">
        <f t="shared" si="16"/>
        <v>1.3466250000000001E-2</v>
      </c>
      <c r="CN16" s="5"/>
      <c r="CO16" s="16">
        <v>7.0000000000000007E-2</v>
      </c>
      <c r="CP16" s="19">
        <f t="shared" si="17"/>
        <v>4.1895000000000005E-3</v>
      </c>
      <c r="CQ16" s="4">
        <f t="shared" si="41"/>
        <v>4.1895000000000005E-3</v>
      </c>
      <c r="CR16" s="19">
        <f t="shared" si="18"/>
        <v>3.8E-3</v>
      </c>
      <c r="CS16" s="19">
        <f t="shared" si="42"/>
        <v>3.8E-3</v>
      </c>
    </row>
    <row r="17" spans="1:97" x14ac:dyDescent="0.25">
      <c r="A17">
        <f t="shared" si="46"/>
        <v>187.5</v>
      </c>
      <c r="B17" s="2">
        <v>15.730000000000002</v>
      </c>
      <c r="C17" s="2">
        <v>6.0500000000000007</v>
      </c>
      <c r="D17" s="2">
        <v>5.1150000000000002</v>
      </c>
      <c r="E17" s="2">
        <v>5.2249999999999996</v>
      </c>
      <c r="F17" s="2">
        <v>4.4000000000000004</v>
      </c>
      <c r="G17" s="2">
        <v>3.3</v>
      </c>
      <c r="H17" s="2">
        <v>1.375</v>
      </c>
      <c r="I17" s="2">
        <v>0.55000000000000004</v>
      </c>
      <c r="J17" s="2">
        <v>0</v>
      </c>
      <c r="K17" s="2">
        <v>1</v>
      </c>
      <c r="L17">
        <f t="shared" si="19"/>
        <v>0.84545454545454535</v>
      </c>
      <c r="M17">
        <f t="shared" si="2"/>
        <v>0.86363636363636342</v>
      </c>
      <c r="N17">
        <f t="shared" si="2"/>
        <v>0.72727272727272729</v>
      </c>
      <c r="O17">
        <f t="shared" si="2"/>
        <v>0.54545454545454541</v>
      </c>
      <c r="P17">
        <f t="shared" si="2"/>
        <v>0.22727272727272724</v>
      </c>
      <c r="Q17">
        <f t="shared" si="2"/>
        <v>9.0909090909090912E-2</v>
      </c>
      <c r="R17">
        <f t="shared" si="2"/>
        <v>0</v>
      </c>
      <c r="S17">
        <f t="shared" si="20"/>
        <v>187.5</v>
      </c>
      <c r="T17" s="2">
        <f t="shared" si="21"/>
        <v>6.0500000000000007</v>
      </c>
      <c r="U17" s="6">
        <v>200</v>
      </c>
      <c r="V17" s="7">
        <v>6</v>
      </c>
      <c r="W17">
        <f t="shared" si="47"/>
        <v>6</v>
      </c>
      <c r="Y17">
        <v>6.0000000000000001E-3</v>
      </c>
      <c r="Z17">
        <f t="shared" si="22"/>
        <v>6.0000000000000001E-3</v>
      </c>
      <c r="AA17">
        <f t="shared" si="43"/>
        <v>187.5</v>
      </c>
      <c r="AD17">
        <v>42.5</v>
      </c>
      <c r="AJ17" s="1">
        <v>1.5807037468531291</v>
      </c>
      <c r="AK17">
        <f t="shared" si="48"/>
        <v>9.4842224811187741</v>
      </c>
      <c r="AN17" s="6">
        <v>9.5</v>
      </c>
      <c r="AO17">
        <f t="shared" si="23"/>
        <v>9.5</v>
      </c>
      <c r="AP17" s="8">
        <f t="shared" si="49"/>
        <v>2.4893010204744029E-4</v>
      </c>
      <c r="AQ17">
        <f t="shared" si="44"/>
        <v>187.5</v>
      </c>
      <c r="AR17">
        <f t="shared" si="3"/>
        <v>200</v>
      </c>
      <c r="AU17">
        <v>1.7099999999999994E-2</v>
      </c>
      <c r="AV17">
        <f t="shared" si="24"/>
        <v>17.099999999999994</v>
      </c>
      <c r="AW17">
        <f>AV17-AO17</f>
        <v>7.5999999999999943</v>
      </c>
      <c r="AX17">
        <v>7.6</v>
      </c>
      <c r="AY17">
        <f t="shared" si="25"/>
        <v>17.100000000000001</v>
      </c>
      <c r="BA17" s="6">
        <f>AN17+AX17</f>
        <v>17.100000000000001</v>
      </c>
      <c r="BB17">
        <f t="shared" si="26"/>
        <v>17.100000000000001</v>
      </c>
      <c r="BD17">
        <f t="shared" si="5"/>
        <v>200</v>
      </c>
      <c r="BE17" s="13">
        <f t="shared" si="6"/>
        <v>9.4999999999999998E-3</v>
      </c>
      <c r="BF17">
        <f t="shared" si="27"/>
        <v>9.4999999999999998E-3</v>
      </c>
      <c r="BG17">
        <f t="shared" si="7"/>
        <v>6.6499999999999997E-3</v>
      </c>
      <c r="BH17">
        <f t="shared" si="28"/>
        <v>6.6499999999999997E-3</v>
      </c>
      <c r="BI17" s="6">
        <f t="shared" si="8"/>
        <v>3.8E-3</v>
      </c>
      <c r="BJ17">
        <f t="shared" si="29"/>
        <v>3.8E-3</v>
      </c>
      <c r="BK17" s="13">
        <f t="shared" si="9"/>
        <v>2.9899999999999999E-2</v>
      </c>
      <c r="BL17" s="13">
        <f>AVERAGE(BK16:BK17)</f>
        <v>2.9899999999999999E-2</v>
      </c>
      <c r="BM17" s="13">
        <f t="shared" si="30"/>
        <v>1.7485380116959064</v>
      </c>
      <c r="BN17" s="19">
        <f>BA17*0.001</f>
        <v>1.7100000000000001E-2</v>
      </c>
      <c r="BO17" s="13">
        <f t="shared" si="31"/>
        <v>1.7100000000000001E-2</v>
      </c>
      <c r="BP17" s="20">
        <f t="shared" si="32"/>
        <v>1.0450000000000001E-2</v>
      </c>
      <c r="BQ17" s="20">
        <f t="shared" si="33"/>
        <v>0.61111111111111116</v>
      </c>
      <c r="BR17" s="13">
        <f t="shared" si="34"/>
        <v>1.0450000000000001E-2</v>
      </c>
      <c r="BS17">
        <f t="shared" si="11"/>
        <v>3.8E-3</v>
      </c>
      <c r="BT17">
        <f t="shared" si="35"/>
        <v>0.22222222222222221</v>
      </c>
      <c r="BU17">
        <f t="shared" si="36"/>
        <v>3.8E-3</v>
      </c>
      <c r="BW17" s="1">
        <v>1.75</v>
      </c>
      <c r="BX17" s="13">
        <f>BZ17/1000</f>
        <v>2.9899999999999999E-2</v>
      </c>
      <c r="BZ17" s="8">
        <v>29.9</v>
      </c>
      <c r="CB17" s="1">
        <v>3.5</v>
      </c>
      <c r="CC17" s="13">
        <f t="shared" si="12"/>
        <v>5.985E-2</v>
      </c>
      <c r="CD17" s="13">
        <f t="shared" si="37"/>
        <v>5.985E-2</v>
      </c>
      <c r="CE17" s="16">
        <v>0.71</v>
      </c>
      <c r="CF17" s="13">
        <f t="shared" si="13"/>
        <v>4.2493499999999997E-2</v>
      </c>
      <c r="CG17" s="13">
        <f t="shared" si="38"/>
        <v>4.2493499999999997E-2</v>
      </c>
      <c r="CH17">
        <f t="shared" si="14"/>
        <v>200</v>
      </c>
      <c r="CI17" s="16">
        <v>0.35</v>
      </c>
      <c r="CJ17" s="13">
        <f t="shared" si="15"/>
        <v>2.0947499999999997E-2</v>
      </c>
      <c r="CK17" s="13"/>
      <c r="CL17" s="16">
        <v>0.22500000000000001</v>
      </c>
      <c r="CM17" s="19">
        <f t="shared" si="16"/>
        <v>1.3466250000000001E-2</v>
      </c>
      <c r="CN17" s="5"/>
      <c r="CO17" s="16">
        <v>7.0000000000000007E-2</v>
      </c>
      <c r="CP17" s="19">
        <f t="shared" si="17"/>
        <v>4.1895000000000005E-3</v>
      </c>
      <c r="CR17" s="19">
        <f t="shared" si="18"/>
        <v>3.8E-3</v>
      </c>
      <c r="CS17" s="19">
        <f t="shared" si="42"/>
        <v>3.8E-3</v>
      </c>
    </row>
    <row r="18" spans="1:97" x14ac:dyDescent="0.25">
      <c r="A18">
        <f t="shared" si="46"/>
        <v>212.5</v>
      </c>
      <c r="B18" s="2">
        <v>15.730000000000002</v>
      </c>
      <c r="C18" s="2">
        <v>6.0500000000000007</v>
      </c>
      <c r="D18" s="2">
        <v>5.1150000000000002</v>
      </c>
      <c r="E18" s="2">
        <v>5.2249999999999996</v>
      </c>
      <c r="F18" s="2">
        <v>4.4000000000000004</v>
      </c>
      <c r="G18" s="2">
        <v>3.3</v>
      </c>
      <c r="H18" s="2">
        <v>1.375</v>
      </c>
      <c r="I18" s="2">
        <v>0.55000000000000004</v>
      </c>
      <c r="J18" s="2">
        <v>0</v>
      </c>
      <c r="K18" s="2">
        <v>1</v>
      </c>
      <c r="L18">
        <f t="shared" si="19"/>
        <v>0.84545454545454535</v>
      </c>
      <c r="M18">
        <f t="shared" si="2"/>
        <v>0.86363636363636342</v>
      </c>
      <c r="N18">
        <f t="shared" si="2"/>
        <v>0.72727272727272729</v>
      </c>
      <c r="O18">
        <f t="shared" si="2"/>
        <v>0.54545454545454541</v>
      </c>
      <c r="P18">
        <f t="shared" si="2"/>
        <v>0.22727272727272724</v>
      </c>
      <c r="Q18">
        <f t="shared" si="2"/>
        <v>9.0909090909090912E-2</v>
      </c>
      <c r="R18">
        <f t="shared" si="2"/>
        <v>0</v>
      </c>
      <c r="S18">
        <f t="shared" si="20"/>
        <v>212.5</v>
      </c>
      <c r="T18" s="2">
        <f t="shared" si="21"/>
        <v>6.0500000000000007</v>
      </c>
      <c r="U18" s="6">
        <v>225</v>
      </c>
      <c r="V18" s="7">
        <v>6</v>
      </c>
      <c r="W18">
        <f t="shared" si="47"/>
        <v>6</v>
      </c>
      <c r="Y18">
        <v>6.0000000000000001E-3</v>
      </c>
      <c r="Z18">
        <f t="shared" si="22"/>
        <v>6.0000000000000001E-3</v>
      </c>
      <c r="AA18">
        <f t="shared" si="43"/>
        <v>212.5</v>
      </c>
      <c r="AH18">
        <f>SUM(AH4:AH14)*1000</f>
        <v>0.13003959771207188</v>
      </c>
      <c r="AJ18" s="1">
        <v>1.485437743717603</v>
      </c>
      <c r="AK18">
        <f t="shared" si="48"/>
        <v>8.9126264623056173</v>
      </c>
      <c r="AP18">
        <f>SUM(AP9:AP17)</f>
        <v>2.3386005369454477</v>
      </c>
      <c r="BA18" s="7">
        <f>BA17/AN17</f>
        <v>1.8</v>
      </c>
      <c r="BE18" t="s">
        <v>67</v>
      </c>
      <c r="BI18" t="s">
        <v>65</v>
      </c>
      <c r="BN18" s="1">
        <f>BN17/$BN$16</f>
        <v>1</v>
      </c>
      <c r="BP18" s="1">
        <f>BP17/$BN$16</f>
        <v>0.61111111111111116</v>
      </c>
      <c r="BS18" s="1">
        <f>BS17/$BN$16</f>
        <v>0.22222222222222221</v>
      </c>
      <c r="CC18" t="s">
        <v>61</v>
      </c>
      <c r="CE18" t="s">
        <v>62</v>
      </c>
      <c r="CF18" s="13">
        <f>CF17+CM17</f>
        <v>5.5959749999999996E-2</v>
      </c>
      <c r="CG18" s="13"/>
      <c r="CL18" t="s">
        <v>66</v>
      </c>
      <c r="CR18" t="s">
        <v>65</v>
      </c>
    </row>
    <row r="19" spans="1:97" x14ac:dyDescent="0.25">
      <c r="B19" s="2"/>
      <c r="C19" s="2">
        <v>6.0500000000000007</v>
      </c>
      <c r="D19" s="2">
        <v>5.1150000000000002</v>
      </c>
      <c r="E19" s="2">
        <v>5.2249999999999996</v>
      </c>
      <c r="F19" s="2">
        <v>4.4000000000000004</v>
      </c>
      <c r="G19" s="2">
        <v>3.3</v>
      </c>
      <c r="H19" s="2">
        <v>1.375</v>
      </c>
      <c r="I19" s="2">
        <v>0.55000000000000004</v>
      </c>
      <c r="J19" s="2">
        <v>0</v>
      </c>
      <c r="K19" s="2">
        <v>1</v>
      </c>
      <c r="L19">
        <f t="shared" ref="L19:R19" si="50">D19/$C19</f>
        <v>0.84545454545454535</v>
      </c>
      <c r="M19">
        <f t="shared" si="50"/>
        <v>0.86363636363636342</v>
      </c>
      <c r="N19">
        <f t="shared" si="50"/>
        <v>0.72727272727272729</v>
      </c>
      <c r="O19">
        <f t="shared" si="50"/>
        <v>0.54545454545454541</v>
      </c>
      <c r="P19">
        <f t="shared" si="50"/>
        <v>0.22727272727272724</v>
      </c>
      <c r="Q19">
        <f t="shared" si="50"/>
        <v>9.0909090909090912E-2</v>
      </c>
      <c r="R19">
        <f t="shared" si="50"/>
        <v>0</v>
      </c>
      <c r="T19" s="2"/>
      <c r="BD19">
        <f>BD2</f>
        <v>-175</v>
      </c>
      <c r="BE19" s="2">
        <f>BE2/0.01</f>
        <v>0</v>
      </c>
      <c r="BI19" s="22">
        <f>BI2/0.01</f>
        <v>0</v>
      </c>
      <c r="CB19">
        <f>BD19</f>
        <v>-175</v>
      </c>
      <c r="CC19" s="2">
        <f>CC2/0.01</f>
        <v>0</v>
      </c>
      <c r="CE19" s="1">
        <v>0.5</v>
      </c>
      <c r="CF19" s="2">
        <f>CE19*CC19</f>
        <v>0</v>
      </c>
      <c r="CL19" s="16">
        <v>0.22500000000000001</v>
      </c>
      <c r="CM19" s="21">
        <f>CC19*CL19</f>
        <v>0</v>
      </c>
      <c r="CR19" s="21">
        <f>CR2/0.01</f>
        <v>0</v>
      </c>
    </row>
    <row r="20" spans="1:97" x14ac:dyDescent="0.25">
      <c r="K20" s="4">
        <v>1</v>
      </c>
      <c r="L20" s="4">
        <v>0.89</v>
      </c>
      <c r="M20" s="4">
        <v>0.82499999999999996</v>
      </c>
      <c r="N20" s="4">
        <f>N19</f>
        <v>0.72727272727272729</v>
      </c>
      <c r="O20" s="4">
        <f>O19</f>
        <v>0.54545454545454541</v>
      </c>
      <c r="P20" s="4">
        <f>P19</f>
        <v>0.22727272727272724</v>
      </c>
      <c r="Q20" s="4">
        <f>Q19</f>
        <v>9.0909090909090912E-2</v>
      </c>
      <c r="R20" s="4">
        <f>R19</f>
        <v>0</v>
      </c>
      <c r="T20" s="2"/>
      <c r="BD20">
        <f t="shared" ref="BD20:BD30" si="51">BD3</f>
        <v>-150</v>
      </c>
      <c r="BE20" s="2">
        <f t="shared" ref="BE20:BE30" si="52">BE3/0.01</f>
        <v>0.1</v>
      </c>
      <c r="BI20" s="22">
        <f t="shared" ref="BI20:BI30" si="53">BI3/0.01</f>
        <v>0.04</v>
      </c>
      <c r="CB20">
        <f t="shared" ref="CB20:CB30" si="54">BD20</f>
        <v>-150</v>
      </c>
      <c r="CC20" s="2">
        <f t="shared" ref="CC20:CC30" si="55">CC3/0.01</f>
        <v>1.4</v>
      </c>
      <c r="CE20" s="1">
        <v>0.5</v>
      </c>
      <c r="CF20" s="2">
        <f t="shared" ref="CF20:CF30" si="56">CE20*CC20</f>
        <v>0.7</v>
      </c>
      <c r="CL20" s="16">
        <v>0.22500000000000001</v>
      </c>
      <c r="CM20" s="21">
        <f t="shared" ref="CM20:CM30" si="57">CC20*CL20</f>
        <v>0.315</v>
      </c>
      <c r="CR20" s="21">
        <f t="shared" ref="CR20:CR30" si="58">CR3/0.01</f>
        <v>0.04</v>
      </c>
    </row>
    <row r="21" spans="1:97" x14ac:dyDescent="0.25">
      <c r="BD21">
        <f t="shared" si="51"/>
        <v>-125</v>
      </c>
      <c r="BE21" s="2">
        <f t="shared" si="52"/>
        <v>0.2</v>
      </c>
      <c r="BI21" s="22">
        <f t="shared" si="53"/>
        <v>0.08</v>
      </c>
      <c r="CB21">
        <f t="shared" si="54"/>
        <v>-125</v>
      </c>
      <c r="CC21" s="2">
        <f t="shared" si="55"/>
        <v>2.8</v>
      </c>
      <c r="CE21" s="1">
        <v>0.5</v>
      </c>
      <c r="CF21" s="2">
        <f t="shared" si="56"/>
        <v>1.4</v>
      </c>
      <c r="CL21" s="16">
        <v>0.22500000000000001</v>
      </c>
      <c r="CM21" s="21">
        <f t="shared" si="57"/>
        <v>0.63</v>
      </c>
      <c r="CR21" s="21">
        <f t="shared" si="58"/>
        <v>0.08</v>
      </c>
    </row>
    <row r="22" spans="1:97" x14ac:dyDescent="0.25">
      <c r="BD22">
        <f t="shared" si="51"/>
        <v>-100</v>
      </c>
      <c r="BE22" s="2">
        <f t="shared" si="52"/>
        <v>0.3</v>
      </c>
      <c r="BI22" s="22">
        <f t="shared" si="53"/>
        <v>0.12000000000000001</v>
      </c>
      <c r="CB22">
        <f t="shared" si="54"/>
        <v>-100</v>
      </c>
      <c r="CC22" s="2">
        <f t="shared" si="55"/>
        <v>3.5000000000000004</v>
      </c>
      <c r="CE22" s="1">
        <v>0.5</v>
      </c>
      <c r="CF22" s="2">
        <f t="shared" si="56"/>
        <v>1.7500000000000002</v>
      </c>
      <c r="CL22" s="16">
        <v>0.22500000000000001</v>
      </c>
      <c r="CM22" s="21">
        <f t="shared" si="57"/>
        <v>0.78750000000000009</v>
      </c>
      <c r="CR22" s="21">
        <f t="shared" si="58"/>
        <v>0.12000000000000001</v>
      </c>
    </row>
    <row r="23" spans="1:97" x14ac:dyDescent="0.25">
      <c r="R23" t="s">
        <v>16</v>
      </c>
      <c r="BD23">
        <f t="shared" si="51"/>
        <v>-75</v>
      </c>
      <c r="BE23" s="2">
        <f t="shared" si="52"/>
        <v>0.4</v>
      </c>
      <c r="BI23" s="22">
        <f t="shared" si="53"/>
        <v>0.16</v>
      </c>
      <c r="CB23">
        <f t="shared" si="54"/>
        <v>-75</v>
      </c>
      <c r="CC23" s="2">
        <f t="shared" si="55"/>
        <v>3.92</v>
      </c>
      <c r="CE23" s="1">
        <v>0.5</v>
      </c>
      <c r="CF23" s="2">
        <f t="shared" si="56"/>
        <v>1.96</v>
      </c>
      <c r="CL23" s="16">
        <v>0.22500000000000001</v>
      </c>
      <c r="CM23" s="21">
        <f t="shared" si="57"/>
        <v>0.88200000000000001</v>
      </c>
      <c r="CR23" s="21">
        <f t="shared" si="58"/>
        <v>0.16</v>
      </c>
    </row>
    <row r="24" spans="1:97" x14ac:dyDescent="0.25">
      <c r="BD24">
        <f t="shared" si="51"/>
        <v>-50</v>
      </c>
      <c r="BE24" s="2">
        <f t="shared" si="52"/>
        <v>0.5</v>
      </c>
      <c r="BI24" s="22">
        <f t="shared" si="53"/>
        <v>0.2</v>
      </c>
      <c r="CB24">
        <f t="shared" si="54"/>
        <v>-50</v>
      </c>
      <c r="CC24" s="2">
        <f t="shared" si="55"/>
        <v>4.3224999999999998</v>
      </c>
      <c r="CE24" s="1">
        <v>0.5</v>
      </c>
      <c r="CF24" s="2">
        <f t="shared" si="56"/>
        <v>2.1612499999999999</v>
      </c>
      <c r="CL24" s="16">
        <v>0.22500000000000001</v>
      </c>
      <c r="CM24" s="21">
        <f t="shared" si="57"/>
        <v>0.9725625</v>
      </c>
      <c r="CR24" s="21">
        <f t="shared" si="58"/>
        <v>0.2</v>
      </c>
    </row>
    <row r="25" spans="1:97" x14ac:dyDescent="0.25">
      <c r="BD25">
        <f t="shared" si="51"/>
        <v>-25</v>
      </c>
      <c r="BE25" s="2">
        <f t="shared" si="52"/>
        <v>0.6</v>
      </c>
      <c r="BI25" s="22">
        <f t="shared" si="53"/>
        <v>0.24000000000000002</v>
      </c>
      <c r="CB25">
        <f t="shared" si="54"/>
        <v>-25</v>
      </c>
      <c r="CC25" s="2">
        <f t="shared" si="55"/>
        <v>4.7074999999999996</v>
      </c>
      <c r="CE25" s="1">
        <v>0.5</v>
      </c>
      <c r="CF25" s="2">
        <f t="shared" si="56"/>
        <v>2.3537499999999998</v>
      </c>
      <c r="CL25" s="16">
        <v>0.22500000000000001</v>
      </c>
      <c r="CM25" s="21">
        <f t="shared" si="57"/>
        <v>1.0591874999999999</v>
      </c>
      <c r="CR25" s="21">
        <f t="shared" si="58"/>
        <v>0.24000000000000002</v>
      </c>
    </row>
    <row r="26" spans="1:97" x14ac:dyDescent="0.25">
      <c r="BD26">
        <f t="shared" si="51"/>
        <v>0</v>
      </c>
      <c r="BE26" s="2">
        <f t="shared" si="52"/>
        <v>0.7</v>
      </c>
      <c r="BI26" s="22">
        <f t="shared" si="53"/>
        <v>0.28000000000000003</v>
      </c>
      <c r="CB26">
        <f t="shared" si="54"/>
        <v>0</v>
      </c>
      <c r="CC26" s="2">
        <f t="shared" si="55"/>
        <v>5.0924999999999994</v>
      </c>
      <c r="CE26" s="1">
        <v>0.5</v>
      </c>
      <c r="CF26" s="2">
        <f t="shared" si="56"/>
        <v>2.5462499999999997</v>
      </c>
      <c r="CL26" s="16">
        <v>0.22500000000000001</v>
      </c>
      <c r="CM26" s="21">
        <f t="shared" si="57"/>
        <v>1.1458124999999999</v>
      </c>
      <c r="CR26" s="21">
        <f t="shared" si="58"/>
        <v>0.28000000000000003</v>
      </c>
    </row>
    <row r="27" spans="1:97" x14ac:dyDescent="0.25">
      <c r="BD27">
        <f t="shared" si="51"/>
        <v>25</v>
      </c>
      <c r="BE27" s="2">
        <f t="shared" si="52"/>
        <v>0.8</v>
      </c>
      <c r="BI27" s="22">
        <f t="shared" si="53"/>
        <v>0.32</v>
      </c>
      <c r="CB27">
        <f t="shared" si="54"/>
        <v>25</v>
      </c>
      <c r="CC27" s="2">
        <f t="shared" si="55"/>
        <v>5.4599999999999991</v>
      </c>
      <c r="CE27" s="1">
        <v>0.5</v>
      </c>
      <c r="CF27" s="2">
        <f t="shared" si="56"/>
        <v>2.7299999999999995</v>
      </c>
      <c r="CL27" s="16">
        <v>0.22500000000000001</v>
      </c>
      <c r="CM27" s="21">
        <f t="shared" si="57"/>
        <v>1.2284999999999999</v>
      </c>
      <c r="CR27" s="21">
        <f t="shared" si="58"/>
        <v>0.32</v>
      </c>
    </row>
    <row r="28" spans="1:97" x14ac:dyDescent="0.25">
      <c r="BD28">
        <f t="shared" si="51"/>
        <v>50</v>
      </c>
      <c r="BE28" s="2">
        <f t="shared" si="52"/>
        <v>0.90000000000000013</v>
      </c>
      <c r="BI28" s="22">
        <f t="shared" si="53"/>
        <v>0.36000000000000004</v>
      </c>
      <c r="CB28">
        <f t="shared" si="54"/>
        <v>50</v>
      </c>
      <c r="CC28" s="2">
        <f t="shared" si="55"/>
        <v>5.81</v>
      </c>
      <c r="CE28" s="1">
        <v>0.5</v>
      </c>
      <c r="CF28" s="2">
        <f t="shared" si="56"/>
        <v>2.9049999999999998</v>
      </c>
      <c r="CL28" s="16">
        <v>0.22500000000000001</v>
      </c>
      <c r="CM28" s="21">
        <f t="shared" si="57"/>
        <v>1.30725</v>
      </c>
      <c r="CR28" s="21">
        <f t="shared" si="58"/>
        <v>0.36000000000000004</v>
      </c>
    </row>
    <row r="29" spans="1:97" x14ac:dyDescent="0.25">
      <c r="BD29">
        <f t="shared" si="51"/>
        <v>75</v>
      </c>
      <c r="BE29" s="2">
        <f t="shared" si="52"/>
        <v>0.92499999999999993</v>
      </c>
      <c r="BI29" s="22">
        <f t="shared" si="53"/>
        <v>0.37</v>
      </c>
      <c r="CB29">
        <f t="shared" si="54"/>
        <v>75</v>
      </c>
      <c r="CC29" s="2">
        <f t="shared" si="55"/>
        <v>5.8975</v>
      </c>
      <c r="CE29" s="1">
        <v>0.5</v>
      </c>
      <c r="CF29" s="2">
        <f t="shared" si="56"/>
        <v>2.94875</v>
      </c>
      <c r="CL29" s="16">
        <v>0.22500000000000001</v>
      </c>
      <c r="CM29" s="21">
        <f t="shared" si="57"/>
        <v>1.3269375000000001</v>
      </c>
      <c r="CR29" s="21">
        <f t="shared" si="58"/>
        <v>0.37</v>
      </c>
    </row>
    <row r="30" spans="1:97" x14ac:dyDescent="0.25">
      <c r="BD30">
        <f t="shared" si="51"/>
        <v>100</v>
      </c>
      <c r="BE30" s="2">
        <f t="shared" si="52"/>
        <v>0.95</v>
      </c>
      <c r="BI30" s="22">
        <f t="shared" si="53"/>
        <v>0.38</v>
      </c>
      <c r="CB30">
        <f t="shared" si="54"/>
        <v>100</v>
      </c>
      <c r="CC30" s="2">
        <f t="shared" si="55"/>
        <v>5.9850000000000003</v>
      </c>
      <c r="CE30" s="1">
        <v>0.5</v>
      </c>
      <c r="CF30" s="2">
        <f t="shared" si="56"/>
        <v>2.9925000000000002</v>
      </c>
      <c r="CL30" s="16">
        <v>0.22500000000000001</v>
      </c>
      <c r="CM30" s="21">
        <f t="shared" si="57"/>
        <v>1.3466250000000002</v>
      </c>
      <c r="CR30" s="21">
        <f t="shared" si="58"/>
        <v>0.38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9"/>
  <sheetViews>
    <sheetView topLeftCell="M1" workbookViewId="0">
      <selection activeCell="Z1" sqref="Z1:Z1048576"/>
    </sheetView>
  </sheetViews>
  <sheetFormatPr defaultRowHeight="15" x14ac:dyDescent="0.25"/>
  <cols>
    <col min="65" max="65" width="20.42578125" bestFit="1" customWidth="1"/>
    <col min="66" max="66" width="9.140625" style="1"/>
  </cols>
  <sheetData>
    <row r="1" spans="1:101" x14ac:dyDescent="0.25">
      <c r="A1" t="s">
        <v>18</v>
      </c>
      <c r="B1">
        <v>0</v>
      </c>
      <c r="C1">
        <v>1</v>
      </c>
      <c r="E1" t="s">
        <v>19</v>
      </c>
      <c r="F1">
        <v>0</v>
      </c>
      <c r="G1">
        <v>1</v>
      </c>
      <c r="I1" t="s">
        <v>20</v>
      </c>
      <c r="J1">
        <v>0</v>
      </c>
      <c r="K1">
        <v>1</v>
      </c>
      <c r="O1" t="s">
        <v>21</v>
      </c>
      <c r="U1" t="s">
        <v>22</v>
      </c>
      <c r="AD1" s="4" t="s">
        <v>24</v>
      </c>
      <c r="AE1" t="s">
        <v>26</v>
      </c>
      <c r="AG1" t="s">
        <v>27</v>
      </c>
      <c r="AH1" t="s">
        <v>1</v>
      </c>
      <c r="AI1" t="s">
        <v>32</v>
      </c>
      <c r="AJ1" t="s">
        <v>28</v>
      </c>
      <c r="AL1" t="s">
        <v>29</v>
      </c>
      <c r="AN1" t="s">
        <v>30</v>
      </c>
      <c r="AO1" t="s">
        <v>31</v>
      </c>
      <c r="AQ1" t="s">
        <v>38</v>
      </c>
      <c r="AR1" t="s">
        <v>34</v>
      </c>
      <c r="AS1" t="s">
        <v>35</v>
      </c>
      <c r="AT1" t="s">
        <v>36</v>
      </c>
      <c r="AU1" t="s">
        <v>37</v>
      </c>
      <c r="BB1" t="s">
        <v>48</v>
      </c>
      <c r="BC1" t="s">
        <v>44</v>
      </c>
      <c r="BG1" t="s">
        <v>45</v>
      </c>
      <c r="BK1" t="s">
        <v>46</v>
      </c>
      <c r="BM1" t="s">
        <v>68</v>
      </c>
      <c r="BN1" s="1" t="s">
        <v>1</v>
      </c>
      <c r="BQ1" t="s">
        <v>47</v>
      </c>
      <c r="CA1" t="s">
        <v>49</v>
      </c>
      <c r="CD1" t="s">
        <v>34</v>
      </c>
      <c r="CF1" t="s">
        <v>20</v>
      </c>
      <c r="CG1" t="s">
        <v>35</v>
      </c>
      <c r="CI1" t="s">
        <v>36</v>
      </c>
      <c r="CL1" t="s">
        <v>37</v>
      </c>
      <c r="CO1" s="24" t="s">
        <v>20</v>
      </c>
      <c r="CP1" s="26">
        <v>0.04</v>
      </c>
      <c r="CQ1" s="26">
        <v>7.0000000000000007E-2</v>
      </c>
      <c r="CR1" s="26">
        <v>0.1</v>
      </c>
      <c r="CS1" s="24" t="s">
        <v>53</v>
      </c>
      <c r="CT1" s="25">
        <v>0.04</v>
      </c>
      <c r="CU1" s="25">
        <v>7.0000000000000007E-2</v>
      </c>
      <c r="CV1" s="25">
        <v>0.1</v>
      </c>
      <c r="CW1" s="1"/>
    </row>
    <row r="2" spans="1:101" x14ac:dyDescent="0.25">
      <c r="A2">
        <v>0</v>
      </c>
      <c r="B2">
        <v>0</v>
      </c>
      <c r="C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O2" s="8">
        <v>2.2393784739744262</v>
      </c>
      <c r="P2">
        <v>5.1031432080539344E-3</v>
      </c>
      <c r="U2" s="8">
        <v>2.1925720441007361</v>
      </c>
      <c r="V2">
        <v>5.8860803256355456E-3</v>
      </c>
      <c r="X2" s="4">
        <f>X3</f>
        <v>0.73586986385652065</v>
      </c>
      <c r="AB2" s="8">
        <v>2.1925720441007361</v>
      </c>
      <c r="AC2">
        <f>V3</f>
        <v>5.254767781019797E-3</v>
      </c>
      <c r="AD2" s="4">
        <f>AC2/$AC$4</f>
        <v>0.70601577651253367</v>
      </c>
      <c r="AE2" t="s">
        <v>1</v>
      </c>
      <c r="AF2">
        <v>0.65659467215665634</v>
      </c>
      <c r="AG2" s="6">
        <f>AF2*$AC$4</f>
        <v>4.8869340363484112E-3</v>
      </c>
      <c r="AH2" s="5">
        <f>AG2/$AG$4</f>
        <v>0.77246432018430156</v>
      </c>
      <c r="AI2">
        <f>1/AJ2</f>
        <v>0.78125</v>
      </c>
      <c r="AJ2" s="1">
        <v>1.28</v>
      </c>
      <c r="AK2" s="6">
        <f t="shared" ref="AK2:AK3" si="0">AG2*AJ2</f>
        <v>6.2552755665259661E-3</v>
      </c>
      <c r="AL2" s="1">
        <v>1.1299999999999999</v>
      </c>
      <c r="AM2" s="9">
        <f>AL2*AG2</f>
        <v>5.5222354610737039E-3</v>
      </c>
      <c r="AN2">
        <f>AM2/AK2</f>
        <v>0.88281249999999989</v>
      </c>
      <c r="AO2">
        <v>7.6810000000000003E-3</v>
      </c>
      <c r="BB2">
        <v>1</v>
      </c>
      <c r="BC2">
        <v>0</v>
      </c>
      <c r="BD2">
        <f t="shared" ref="BD2:BD24" si="1">$AR$4*BC2</f>
        <v>0</v>
      </c>
      <c r="BE2" s="1">
        <f>BD2/$BD$62</f>
        <v>0</v>
      </c>
      <c r="BG2" s="1">
        <f>28%/11*BB2</f>
        <v>2.5454545454545455E-2</v>
      </c>
      <c r="BK2" s="13">
        <f>BC2*$AS$4</f>
        <v>0</v>
      </c>
      <c r="BL2" s="1">
        <f>BK2/$BK$101</f>
        <v>0</v>
      </c>
      <c r="BM2" s="16">
        <f>33%/11*BB2</f>
        <v>3.0000000000000002E-2</v>
      </c>
      <c r="BQ2" s="13">
        <f>$AU$4*BC2</f>
        <v>0</v>
      </c>
      <c r="BR2" s="1">
        <f>BQ2/$BQ$101</f>
        <v>0</v>
      </c>
      <c r="BS2" s="1">
        <f>36%/11*BB2</f>
        <v>3.2727272727272723E-2</v>
      </c>
      <c r="CA2">
        <v>1</v>
      </c>
      <c r="CB2">
        <v>0.1</v>
      </c>
      <c r="CC2">
        <f>CB2*$AR$16</f>
        <v>5.5222354610737039E-4</v>
      </c>
      <c r="CD2" s="1">
        <f t="shared" ref="CD2:CD11" si="2">CC2/$AR$5</f>
        <v>8.8281249999999992E-2</v>
      </c>
      <c r="CF2">
        <f>$AS$16*CB2</f>
        <v>6.9590624440759761E-4</v>
      </c>
      <c r="CG2" s="1">
        <f t="shared" ref="CG2:CG11" si="3">CF2/$AS$5</f>
        <v>0.10091743119266056</v>
      </c>
      <c r="CI2">
        <f>$AT$16*CB2</f>
        <v>7.6863368842689731E-4</v>
      </c>
      <c r="CJ2" s="1">
        <f t="shared" ref="CJ2:CJ11" si="4">CI2/$AT$5</f>
        <v>0.10377358490566038</v>
      </c>
      <c r="CL2">
        <f>$AU$16*CB2</f>
        <v>7.8009380686231593E-4</v>
      </c>
      <c r="CM2" s="1">
        <f t="shared" ref="CM2:CM11" si="5">CL2/$AU$5</f>
        <v>0.1</v>
      </c>
      <c r="CO2" s="24">
        <f>CA2</f>
        <v>1</v>
      </c>
      <c r="CP2" s="25">
        <v>0.09</v>
      </c>
      <c r="CQ2" s="25">
        <f>AVERAGE(CG2,CJ2)</f>
        <v>0.10234550804916047</v>
      </c>
      <c r="CR2" s="25">
        <f t="shared" ref="CR2:CR11" si="6">CM2</f>
        <v>0.1</v>
      </c>
      <c r="CS2" s="24">
        <v>0</v>
      </c>
      <c r="CT2" s="25">
        <v>0</v>
      </c>
      <c r="CU2" s="25">
        <v>0</v>
      </c>
      <c r="CV2" s="25">
        <v>0</v>
      </c>
    </row>
    <row r="3" spans="1:101" x14ac:dyDescent="0.25">
      <c r="A3">
        <v>6</v>
      </c>
      <c r="B3">
        <v>0.13800000000000001</v>
      </c>
      <c r="C3">
        <v>0.17599999999999999</v>
      </c>
      <c r="E3">
        <v>6</v>
      </c>
      <c r="F3">
        <v>0.68</v>
      </c>
      <c r="G3">
        <v>0.68</v>
      </c>
      <c r="I3">
        <v>6</v>
      </c>
      <c r="J3">
        <v>0.62</v>
      </c>
      <c r="K3">
        <v>0.62</v>
      </c>
      <c r="O3" s="8">
        <v>4.0208676674321353</v>
      </c>
      <c r="P3">
        <v>5.4574534495517284E-3</v>
      </c>
      <c r="U3" s="8">
        <v>4.0802166442974199</v>
      </c>
      <c r="V3">
        <v>5.254767781019797E-3</v>
      </c>
      <c r="W3">
        <v>4</v>
      </c>
      <c r="X3" s="5">
        <v>0.73586986385652065</v>
      </c>
      <c r="Y3">
        <f>(X2+X3*2+X4)/4</f>
        <v>0.77246431955599748</v>
      </c>
      <c r="Z3" s="4">
        <f>AH2</f>
        <v>0.77246432018430156</v>
      </c>
      <c r="AA3" s="4">
        <f>(Y3-Z3)^2</f>
        <v>3.947660112069941E-19</v>
      </c>
      <c r="AB3" s="8">
        <v>4.0802166442974199</v>
      </c>
      <c r="AC3">
        <f>V3</f>
        <v>5.254767781019797E-3</v>
      </c>
      <c r="AD3" s="4">
        <f>AC3/$AC$4</f>
        <v>0.70601577651253367</v>
      </c>
      <c r="AE3" s="1">
        <v>0.93</v>
      </c>
      <c r="AF3">
        <f t="shared" ref="AF3:AF5" si="7">AE3*AD3</f>
        <v>0.65659467215665634</v>
      </c>
      <c r="AG3" s="6">
        <f t="shared" ref="AG2:AG3" si="8">AF3*$AC$4</f>
        <v>4.8869340363484112E-3</v>
      </c>
      <c r="AH3" s="5">
        <f>AG3/$AG$4</f>
        <v>0.77246432018430156</v>
      </c>
      <c r="AJ3" s="1">
        <v>1.28</v>
      </c>
      <c r="AK3" s="6">
        <f t="shared" si="0"/>
        <v>6.2552755665259661E-3</v>
      </c>
      <c r="AL3" s="1">
        <v>1.1299999999999999</v>
      </c>
      <c r="AM3" s="9">
        <f t="shared" ref="AM3:AM6" si="9">AL3*AG3</f>
        <v>5.5222354610737039E-3</v>
      </c>
      <c r="AN3">
        <f t="shared" ref="AN3:AN6" si="10">AM3/AK3</f>
        <v>0.88281249999999989</v>
      </c>
      <c r="AO3">
        <f>AO2*0.88</f>
        <v>6.7592800000000003E-3</v>
      </c>
      <c r="BB3">
        <v>2</v>
      </c>
      <c r="BC3">
        <v>7.0000000000000007E-2</v>
      </c>
      <c r="BD3">
        <f t="shared" si="1"/>
        <v>3.420853825443888E-4</v>
      </c>
      <c r="BE3" s="1">
        <f t="shared" ref="BE3:BE66" si="11">BD3/$BD$62</f>
        <v>5.4687500000000007E-2</v>
      </c>
      <c r="BG3" s="1">
        <f t="shared" ref="BG3:BG11" si="12">28%/11*BB3</f>
        <v>5.0909090909090911E-2</v>
      </c>
      <c r="BK3" s="13">
        <f t="shared" ref="BK3:BK30" si="13">BC3*$AS$4</f>
        <v>4.4284942825938031E-4</v>
      </c>
      <c r="BL3" s="1">
        <f t="shared" ref="BL3:BL66" si="14">BK3/$BK$101</f>
        <v>6.4220183486238536E-2</v>
      </c>
      <c r="BM3" s="16">
        <f t="shared" ref="BM3:BM12" si="15">33%/11*BB3</f>
        <v>6.0000000000000005E-2</v>
      </c>
      <c r="BQ3" s="13">
        <f t="shared" ref="BQ3:BQ66" si="16">$AU$4*BC3</f>
        <v>5.4606566480362121E-4</v>
      </c>
      <c r="BR3" s="1">
        <f t="shared" ref="BR3:BR66" si="17">BQ3/$BQ$101</f>
        <v>7.0000000000000007E-2</v>
      </c>
      <c r="BS3" s="1">
        <f t="shared" ref="BS3:BS11" si="18">36%/11*BB3</f>
        <v>6.5454545454545446E-2</v>
      </c>
      <c r="CA3">
        <v>2</v>
      </c>
      <c r="CB3">
        <v>0.45</v>
      </c>
      <c r="CC3">
        <f t="shared" ref="CC3:CC12" si="19">CB3*$AR$16</f>
        <v>2.4850059574831667E-3</v>
      </c>
      <c r="CD3" s="1">
        <f t="shared" si="2"/>
        <v>0.39726562499999996</v>
      </c>
      <c r="CF3">
        <f t="shared" ref="CF3:CF12" si="20">$AS$16*CB3</f>
        <v>3.1315780998341894E-3</v>
      </c>
      <c r="CG3" s="1">
        <f t="shared" si="3"/>
        <v>0.45412844036697247</v>
      </c>
      <c r="CI3">
        <f t="shared" ref="CI3:CI11" si="21">$AT$16*CB3</f>
        <v>3.4588515979210375E-3</v>
      </c>
      <c r="CJ3" s="1">
        <f t="shared" si="4"/>
        <v>0.46698113207547171</v>
      </c>
      <c r="CL3">
        <f t="shared" ref="CL3:CL12" si="22">$AU$16*CB3</f>
        <v>3.5104221308804215E-3</v>
      </c>
      <c r="CM3" s="1">
        <f t="shared" si="5"/>
        <v>0.45</v>
      </c>
      <c r="CO3" s="24">
        <f t="shared" ref="CO3:CO12" si="23">CA3</f>
        <v>2</v>
      </c>
      <c r="CP3" s="25">
        <f>CD3</f>
        <v>0.39726562499999996</v>
      </c>
      <c r="CQ3" s="25">
        <f t="shared" ref="CQ3:CQ12" si="24">AVERAGE(CG3,CJ3)</f>
        <v>0.46055478622122209</v>
      </c>
      <c r="CR3" s="25">
        <f t="shared" si="6"/>
        <v>0.45</v>
      </c>
      <c r="CS3" s="24">
        <v>11</v>
      </c>
      <c r="CT3" s="25">
        <v>0.28000000000000003</v>
      </c>
      <c r="CU3" s="25">
        <v>0.33</v>
      </c>
      <c r="CV3" s="25">
        <v>0.36</v>
      </c>
      <c r="CW3" s="1"/>
    </row>
    <row r="4" spans="1:101" x14ac:dyDescent="0.25">
      <c r="A4">
        <v>12</v>
      </c>
      <c r="B4">
        <v>0.26200000000000001</v>
      </c>
      <c r="C4">
        <v>0.32700000000000001</v>
      </c>
      <c r="E4">
        <v>12</v>
      </c>
      <c r="F4">
        <v>0.9</v>
      </c>
      <c r="G4">
        <v>0.9</v>
      </c>
      <c r="I4">
        <v>12</v>
      </c>
      <c r="J4">
        <v>0.82</v>
      </c>
      <c r="K4">
        <v>0.82</v>
      </c>
      <c r="O4" s="8">
        <v>5.7371009905327366</v>
      </c>
      <c r="P4">
        <v>6.781610831383577E-3</v>
      </c>
      <c r="U4" s="8">
        <v>6.0899030598897745</v>
      </c>
      <c r="V4">
        <v>7.4428475337710966E-3</v>
      </c>
      <c r="W4">
        <v>5</v>
      </c>
      <c r="X4" s="4">
        <f>AVERAGE(X3,X5)</f>
        <v>0.88224768665442821</v>
      </c>
      <c r="AB4" s="8">
        <v>6.0899030598897745</v>
      </c>
      <c r="AC4" s="10">
        <f>V4</f>
        <v>7.4428475337710966E-3</v>
      </c>
      <c r="AD4" s="4">
        <f t="shared" ref="AD4:AD6" si="25">AC4/$AC$4</f>
        <v>1</v>
      </c>
      <c r="AE4" s="1">
        <v>0.85</v>
      </c>
      <c r="AF4">
        <f t="shared" si="7"/>
        <v>0.85</v>
      </c>
      <c r="AG4" s="6">
        <f>AF4*$AC$4</f>
        <v>6.3264204037054321E-3</v>
      </c>
      <c r="AH4" s="5">
        <f>AG4/$AG$4</f>
        <v>1</v>
      </c>
      <c r="AJ4" s="1">
        <v>1.0900000000000001</v>
      </c>
      <c r="AK4" s="6">
        <f>AG4*AJ4</f>
        <v>6.8957982400389218E-3</v>
      </c>
      <c r="AL4" s="1">
        <v>1.1000000000000001</v>
      </c>
      <c r="AM4" s="9">
        <f t="shared" si="9"/>
        <v>6.9590624440759759E-3</v>
      </c>
      <c r="AN4">
        <f t="shared" si="10"/>
        <v>1.0091743119266054</v>
      </c>
      <c r="AO4">
        <f>AO2*1.3</f>
        <v>9.9853000000000008E-3</v>
      </c>
      <c r="AQ4" s="11" t="s">
        <v>16</v>
      </c>
      <c r="AR4">
        <f>AG2</f>
        <v>4.8869340363484112E-3</v>
      </c>
      <c r="AS4">
        <f>AG4</f>
        <v>6.3264204037054321E-3</v>
      </c>
      <c r="AT4">
        <f>AG5</f>
        <v>6.9875789856990653E-3</v>
      </c>
      <c r="AU4">
        <f>AG6</f>
        <v>7.8009380686231587E-3</v>
      </c>
      <c r="BB4">
        <v>3</v>
      </c>
      <c r="BC4">
        <v>7.0000000000000007E-2</v>
      </c>
      <c r="BD4">
        <f t="shared" si="1"/>
        <v>3.420853825443888E-4</v>
      </c>
      <c r="BE4" s="1">
        <f t="shared" si="11"/>
        <v>5.4687500000000007E-2</v>
      </c>
      <c r="BG4" s="1">
        <f t="shared" si="12"/>
        <v>7.636363636363637E-2</v>
      </c>
      <c r="BH4" s="1">
        <f>AVERAGE(BG2:BG4)</f>
        <v>5.0909090909090911E-2</v>
      </c>
      <c r="BK4" s="13">
        <f t="shared" si="13"/>
        <v>4.4284942825938031E-4</v>
      </c>
      <c r="BL4" s="1">
        <f t="shared" si="14"/>
        <v>6.4220183486238536E-2</v>
      </c>
      <c r="BM4" s="16">
        <f t="shared" si="15"/>
        <v>9.0000000000000011E-2</v>
      </c>
      <c r="BN4" s="1">
        <f>AVERAGE(BM2:BM4)</f>
        <v>6.0000000000000005E-2</v>
      </c>
      <c r="BQ4" s="13">
        <f t="shared" si="16"/>
        <v>5.4606566480362121E-4</v>
      </c>
      <c r="BR4" s="1">
        <f t="shared" si="17"/>
        <v>7.0000000000000007E-2</v>
      </c>
      <c r="BS4" s="1">
        <f t="shared" si="18"/>
        <v>9.8181818181818176E-2</v>
      </c>
      <c r="BT4" s="1">
        <f>AVERAGE(BS2:BS4)</f>
        <v>6.5454545454545446E-2</v>
      </c>
      <c r="CA4">
        <v>3</v>
      </c>
      <c r="CB4">
        <v>0.8</v>
      </c>
      <c r="CC4">
        <f t="shared" si="19"/>
        <v>4.4177883688589631E-3</v>
      </c>
      <c r="CD4" s="1">
        <f t="shared" si="2"/>
        <v>0.70624999999999993</v>
      </c>
      <c r="CF4">
        <f t="shared" si="20"/>
        <v>5.5672499552607809E-3</v>
      </c>
      <c r="CG4" s="1">
        <f t="shared" si="3"/>
        <v>0.80733944954128445</v>
      </c>
      <c r="CI4">
        <f t="shared" si="21"/>
        <v>6.1490695074151785E-3</v>
      </c>
      <c r="CJ4" s="1">
        <f t="shared" si="4"/>
        <v>0.83018867924528306</v>
      </c>
      <c r="CL4">
        <f t="shared" si="22"/>
        <v>6.2407504548985275E-3</v>
      </c>
      <c r="CM4" s="1">
        <f t="shared" si="5"/>
        <v>0.8</v>
      </c>
      <c r="CO4" s="24">
        <f t="shared" si="23"/>
        <v>3</v>
      </c>
      <c r="CP4" s="25">
        <f t="shared" ref="CP4:CP12" si="26">CD4</f>
        <v>0.70624999999999993</v>
      </c>
      <c r="CQ4" s="25">
        <f t="shared" si="24"/>
        <v>0.81876406439328375</v>
      </c>
      <c r="CR4" s="25">
        <f t="shared" si="6"/>
        <v>0.8</v>
      </c>
      <c r="CS4" s="24">
        <v>23</v>
      </c>
      <c r="CT4" s="25">
        <v>0.7</v>
      </c>
      <c r="CU4" s="25">
        <v>0.83</v>
      </c>
      <c r="CV4" s="25">
        <v>0.9</v>
      </c>
      <c r="CW4" s="1"/>
    </row>
    <row r="5" spans="1:101" x14ac:dyDescent="0.25">
      <c r="A5">
        <v>18</v>
      </c>
      <c r="B5">
        <v>0.39200000000000002</v>
      </c>
      <c r="C5">
        <v>0.49399999999999999</v>
      </c>
      <c r="E5">
        <v>18</v>
      </c>
      <c r="F5">
        <v>0.9</v>
      </c>
      <c r="G5">
        <v>0.9</v>
      </c>
      <c r="I5">
        <v>18</v>
      </c>
      <c r="J5">
        <v>0.82</v>
      </c>
      <c r="K5">
        <v>0.82</v>
      </c>
      <c r="O5" s="8">
        <v>7.5394290952724115</v>
      </c>
      <c r="P5">
        <v>8.9986235152755729E-3</v>
      </c>
      <c r="U5" s="8">
        <v>7.9000146861644458</v>
      </c>
      <c r="V5">
        <v>9.0747779035052802E-3</v>
      </c>
      <c r="W5">
        <v>6</v>
      </c>
      <c r="X5" s="5">
        <v>1.0286255094523358</v>
      </c>
      <c r="Y5">
        <f>(X4+X5*2+X6)/4</f>
        <v>0.99999999718821309</v>
      </c>
      <c r="Z5" s="4">
        <f>AH4</f>
        <v>1</v>
      </c>
      <c r="AA5" s="4">
        <f>(Y5-Z5)^2</f>
        <v>7.9061456520696442E-18</v>
      </c>
      <c r="AB5" s="8">
        <v>7.9000146861644458</v>
      </c>
      <c r="AC5">
        <f>V5</f>
        <v>9.0747779035052802E-3</v>
      </c>
      <c r="AD5" s="4">
        <f t="shared" si="25"/>
        <v>1.219261561160494</v>
      </c>
      <c r="AE5" s="1">
        <v>0.77</v>
      </c>
      <c r="AF5">
        <f t="shared" si="7"/>
        <v>0.9388314020935804</v>
      </c>
      <c r="AG5" s="6">
        <f t="shared" ref="AG5:AG6" si="27">AF5*$AC$4</f>
        <v>6.9875789856990653E-3</v>
      </c>
      <c r="AH5" s="5">
        <f t="shared" ref="AH5:AH6" si="28">AG5/$AG$4</f>
        <v>1.1045075318748003</v>
      </c>
      <c r="AJ5" s="1">
        <v>1.06</v>
      </c>
      <c r="AK5" s="6">
        <f t="shared" ref="AK5:AK6" si="29">AG5*AJ5</f>
        <v>7.4068337248410099E-3</v>
      </c>
      <c r="AL5" s="1">
        <v>1.1000000000000001</v>
      </c>
      <c r="AM5" s="9">
        <f t="shared" si="9"/>
        <v>7.6863368842689725E-3</v>
      </c>
      <c r="AN5">
        <f t="shared" si="10"/>
        <v>1.0377358490566038</v>
      </c>
      <c r="AQ5" s="11" t="s">
        <v>33</v>
      </c>
      <c r="AR5">
        <f>AK2</f>
        <v>6.2552755665259661E-3</v>
      </c>
      <c r="AS5">
        <f>AK4</f>
        <v>6.8957982400389218E-3</v>
      </c>
      <c r="AT5">
        <f>AK5</f>
        <v>7.4068337248410099E-3</v>
      </c>
      <c r="AU5">
        <f>AK6</f>
        <v>7.8009380686231587E-3</v>
      </c>
      <c r="BB5">
        <v>4</v>
      </c>
      <c r="BC5">
        <v>7.0000000000000007E-2</v>
      </c>
      <c r="BD5">
        <f t="shared" si="1"/>
        <v>3.420853825443888E-4</v>
      </c>
      <c r="BE5" s="1">
        <f t="shared" si="11"/>
        <v>5.4687500000000007E-2</v>
      </c>
      <c r="BG5" s="1">
        <f t="shared" si="12"/>
        <v>0.10181818181818182</v>
      </c>
      <c r="BK5" s="13">
        <f t="shared" si="13"/>
        <v>4.4284942825938031E-4</v>
      </c>
      <c r="BL5" s="1">
        <f t="shared" si="14"/>
        <v>6.4220183486238536E-2</v>
      </c>
      <c r="BM5" s="16">
        <f t="shared" si="15"/>
        <v>0.12000000000000001</v>
      </c>
      <c r="BQ5" s="13">
        <f t="shared" si="16"/>
        <v>5.4606566480362121E-4</v>
      </c>
      <c r="BR5" s="1">
        <f t="shared" si="17"/>
        <v>7.0000000000000007E-2</v>
      </c>
      <c r="BS5" s="1">
        <f t="shared" si="18"/>
        <v>0.13090909090909089</v>
      </c>
      <c r="BV5" s="1">
        <v>1</v>
      </c>
      <c r="BW5" s="16">
        <f>BV5*BR5</f>
        <v>7.0000000000000007E-2</v>
      </c>
      <c r="CA5">
        <v>4</v>
      </c>
      <c r="CB5">
        <v>0.83</v>
      </c>
      <c r="CC5">
        <f t="shared" si="19"/>
        <v>4.5834554326911739E-3</v>
      </c>
      <c r="CD5" s="1">
        <f t="shared" si="2"/>
        <v>0.73273437499999983</v>
      </c>
      <c r="CF5">
        <f t="shared" si="20"/>
        <v>5.7760218285830599E-3</v>
      </c>
      <c r="CG5" s="1">
        <f t="shared" si="3"/>
        <v>0.83761467889908259</v>
      </c>
      <c r="CI5">
        <f t="shared" si="21"/>
        <v>6.3796596139432471E-3</v>
      </c>
      <c r="CJ5" s="1">
        <f t="shared" si="4"/>
        <v>0.86132075471698111</v>
      </c>
      <c r="CL5">
        <f t="shared" si="22"/>
        <v>6.4747785969572211E-3</v>
      </c>
      <c r="CM5" s="1">
        <f t="shared" si="5"/>
        <v>0.83</v>
      </c>
      <c r="CO5" s="24">
        <f t="shared" si="23"/>
        <v>4</v>
      </c>
      <c r="CP5" s="25">
        <f t="shared" si="26"/>
        <v>0.73273437499999983</v>
      </c>
      <c r="CQ5" s="25">
        <f t="shared" si="24"/>
        <v>0.84946771680803179</v>
      </c>
      <c r="CR5" s="25">
        <f t="shared" si="6"/>
        <v>0.83</v>
      </c>
      <c r="CS5" s="24">
        <v>36</v>
      </c>
      <c r="CT5" s="25">
        <v>0.9</v>
      </c>
      <c r="CU5" s="25">
        <v>1</v>
      </c>
      <c r="CV5" s="25">
        <v>1</v>
      </c>
      <c r="CW5" s="1"/>
    </row>
    <row r="6" spans="1:101" x14ac:dyDescent="0.25">
      <c r="A6">
        <v>24</v>
      </c>
      <c r="B6">
        <v>0.60499999999999998</v>
      </c>
      <c r="C6">
        <v>0.79500000000000004</v>
      </c>
      <c r="O6" s="8">
        <v>9.0965846132638948</v>
      </c>
      <c r="P6">
        <v>1.1300645848807224E-2</v>
      </c>
      <c r="U6" s="8">
        <v>8.8983402303352843</v>
      </c>
      <c r="V6">
        <v>9.3354195217028087E-3</v>
      </c>
      <c r="W6">
        <v>7</v>
      </c>
      <c r="X6" s="23">
        <f>AVERAGE(X5,X7)</f>
        <v>1.0605012831937528</v>
      </c>
      <c r="AB6" s="8">
        <v>10.430018561650584</v>
      </c>
      <c r="AC6">
        <v>1.0686216532360493E-2</v>
      </c>
      <c r="AD6" s="4">
        <f>AC6/$AC$4</f>
        <v>1.4357699098191878</v>
      </c>
      <c r="AE6" s="1">
        <v>0.73</v>
      </c>
      <c r="AF6">
        <f>AE6*AD6</f>
        <v>1.048112034168007</v>
      </c>
      <c r="AG6" s="6">
        <f t="shared" si="27"/>
        <v>7.8009380686231587E-3</v>
      </c>
      <c r="AH6" s="5">
        <f t="shared" si="28"/>
        <v>1.2330729813741259</v>
      </c>
      <c r="AJ6" s="1">
        <v>1</v>
      </c>
      <c r="AK6" s="6">
        <f t="shared" si="29"/>
        <v>7.8009380686231587E-3</v>
      </c>
      <c r="AL6" s="1">
        <v>1</v>
      </c>
      <c r="AM6" s="9">
        <f t="shared" si="9"/>
        <v>7.8009380686231587E-3</v>
      </c>
      <c r="AN6">
        <f t="shared" si="10"/>
        <v>1</v>
      </c>
      <c r="AR6" s="4">
        <f>AR5/$AS$5</f>
        <v>0.90711406406963835</v>
      </c>
      <c r="AS6" s="4">
        <f t="shared" ref="AS6:AU6" si="30">AS5/$AS$5</f>
        <v>1</v>
      </c>
      <c r="AT6" s="4">
        <f t="shared" si="30"/>
        <v>1.0741082420066865</v>
      </c>
      <c r="AU6" s="4">
        <f t="shared" si="30"/>
        <v>1.1312596159395649</v>
      </c>
      <c r="BB6">
        <v>5</v>
      </c>
      <c r="BC6">
        <v>0.17</v>
      </c>
      <c r="BD6">
        <f t="shared" si="1"/>
        <v>8.3077878617922991E-4</v>
      </c>
      <c r="BE6" s="1">
        <f t="shared" si="11"/>
        <v>0.1328125</v>
      </c>
      <c r="BG6" s="1">
        <f t="shared" si="12"/>
        <v>0.12727272727272729</v>
      </c>
      <c r="BK6" s="13">
        <f t="shared" si="13"/>
        <v>1.0754914686299235E-3</v>
      </c>
      <c r="BL6" s="1">
        <f t="shared" si="14"/>
        <v>0.15596330275229356</v>
      </c>
      <c r="BM6" s="16">
        <f t="shared" si="15"/>
        <v>0.15000000000000002</v>
      </c>
      <c r="BQ6" s="13">
        <f t="shared" si="16"/>
        <v>1.3261594716659371E-3</v>
      </c>
      <c r="BR6" s="1">
        <f t="shared" si="17"/>
        <v>0.17</v>
      </c>
      <c r="BS6" s="1">
        <f t="shared" si="18"/>
        <v>0.16363636363636361</v>
      </c>
      <c r="BV6" s="1">
        <v>1</v>
      </c>
      <c r="BW6" s="16">
        <f t="shared" ref="BW6:BW24" si="31">BV6*BR6</f>
        <v>0.17</v>
      </c>
      <c r="CA6">
        <v>5</v>
      </c>
      <c r="CB6">
        <v>0.86</v>
      </c>
      <c r="CC6">
        <f t="shared" si="19"/>
        <v>4.7491224965233855E-3</v>
      </c>
      <c r="CD6" s="1">
        <f t="shared" si="2"/>
        <v>0.75921874999999994</v>
      </c>
      <c r="CE6" s="1">
        <f>AVERAGE(CD4:CD6)</f>
        <v>0.73273437499999983</v>
      </c>
      <c r="CF6">
        <f t="shared" si="20"/>
        <v>5.9847937019053389E-3</v>
      </c>
      <c r="CG6" s="1">
        <f t="shared" si="3"/>
        <v>0.86788990825688062</v>
      </c>
      <c r="CH6" s="1">
        <f>AVERAGE(CG4:CG6)</f>
        <v>0.83761467889908259</v>
      </c>
      <c r="CI6">
        <f t="shared" si="21"/>
        <v>6.6102497204713166E-3</v>
      </c>
      <c r="CJ6" s="1">
        <f t="shared" si="4"/>
        <v>0.89245283018867927</v>
      </c>
      <c r="CK6" s="1">
        <f>AVERAGE(CJ4:CJ6)</f>
        <v>0.86132075471698111</v>
      </c>
      <c r="CL6">
        <f t="shared" si="22"/>
        <v>6.7088067390159165E-3</v>
      </c>
      <c r="CM6" s="1">
        <f t="shared" si="5"/>
        <v>0.86</v>
      </c>
      <c r="CN6" s="1">
        <f>AVERAGE(CM4:CM6)</f>
        <v>0.83</v>
      </c>
      <c r="CO6" s="24">
        <f t="shared" si="23"/>
        <v>5</v>
      </c>
      <c r="CP6" s="25">
        <f t="shared" si="26"/>
        <v>0.75921874999999994</v>
      </c>
      <c r="CQ6" s="25">
        <f t="shared" si="24"/>
        <v>0.88017136922277994</v>
      </c>
      <c r="CR6" s="25">
        <f t="shared" si="6"/>
        <v>0.86</v>
      </c>
      <c r="CS6" s="24">
        <v>60</v>
      </c>
      <c r="CT6" s="25">
        <v>1</v>
      </c>
      <c r="CU6" s="25">
        <v>1</v>
      </c>
      <c r="CV6" s="25">
        <v>1</v>
      </c>
    </row>
    <row r="7" spans="1:101" x14ac:dyDescent="0.25">
      <c r="A7">
        <v>30</v>
      </c>
      <c r="B7">
        <v>0.76500000000000001</v>
      </c>
      <c r="C7">
        <v>0.85199999999999998</v>
      </c>
      <c r="U7" s="8">
        <v>10.430018561650584</v>
      </c>
      <c r="V7">
        <v>1.0686216532360493E-2</v>
      </c>
      <c r="W7">
        <v>8</v>
      </c>
      <c r="X7" s="5">
        <v>1.0923770569351698</v>
      </c>
      <c r="Y7">
        <f>(X6+2*X7+X8)/4</f>
        <v>1.104507530706941</v>
      </c>
      <c r="Z7" s="4">
        <f>AH5</f>
        <v>1.1045075318748003</v>
      </c>
      <c r="AA7" s="4">
        <f>(Y7-Z7)^2</f>
        <v>1.3638954958813426E-18</v>
      </c>
      <c r="AC7">
        <f>V7</f>
        <v>1.0686216532360493E-2</v>
      </c>
      <c r="AD7" s="4"/>
      <c r="BB7">
        <v>6</v>
      </c>
      <c r="BC7">
        <v>0.18</v>
      </c>
      <c r="BD7">
        <f t="shared" si="1"/>
        <v>8.7964812654271393E-4</v>
      </c>
      <c r="BE7" s="1">
        <f t="shared" si="11"/>
        <v>0.140625</v>
      </c>
      <c r="BG7" s="1">
        <f t="shared" si="12"/>
        <v>0.15272727272727274</v>
      </c>
      <c r="BH7" s="1">
        <f>AVERAGE(BG5:BG7)</f>
        <v>0.12727272727272729</v>
      </c>
      <c r="BK7" s="13">
        <f t="shared" si="13"/>
        <v>1.1387556726669777E-3</v>
      </c>
      <c r="BL7" s="1">
        <f t="shared" si="14"/>
        <v>0.16513761467889904</v>
      </c>
      <c r="BM7" s="16">
        <f t="shared" si="15"/>
        <v>0.18000000000000002</v>
      </c>
      <c r="BN7" s="1">
        <f>AVERAGE(BM5:BM7)</f>
        <v>0.15000000000000002</v>
      </c>
      <c r="BQ7" s="13">
        <f t="shared" si="16"/>
        <v>1.4041688523521686E-3</v>
      </c>
      <c r="BR7" s="1">
        <f t="shared" si="17"/>
        <v>0.18</v>
      </c>
      <c r="BS7" s="1">
        <f t="shared" si="18"/>
        <v>0.19636363636363635</v>
      </c>
      <c r="BT7" s="1">
        <f>AVERAGE(BS5:BS7)</f>
        <v>0.16363636363636361</v>
      </c>
      <c r="BV7" s="1">
        <v>1</v>
      </c>
      <c r="BW7" s="16">
        <f t="shared" si="31"/>
        <v>0.18</v>
      </c>
      <c r="CA7">
        <v>6</v>
      </c>
      <c r="CB7">
        <v>0.89</v>
      </c>
      <c r="CC7">
        <f t="shared" si="19"/>
        <v>4.9147895603555963E-3</v>
      </c>
      <c r="CD7" s="1">
        <f t="shared" si="2"/>
        <v>0.78570312499999984</v>
      </c>
      <c r="CF7">
        <f t="shared" si="20"/>
        <v>6.1935655752276188E-3</v>
      </c>
      <c r="CG7" s="1">
        <f t="shared" si="3"/>
        <v>0.89816513761467887</v>
      </c>
      <c r="CI7">
        <f t="shared" si="21"/>
        <v>6.8408398269993852E-3</v>
      </c>
      <c r="CJ7" s="1">
        <f t="shared" si="4"/>
        <v>0.92358490566037732</v>
      </c>
      <c r="CL7">
        <f t="shared" si="22"/>
        <v>6.942834881074611E-3</v>
      </c>
      <c r="CM7" s="1">
        <f t="shared" si="5"/>
        <v>0.89</v>
      </c>
      <c r="CO7" s="24">
        <f t="shared" si="23"/>
        <v>6</v>
      </c>
      <c r="CP7" s="25">
        <f t="shared" si="26"/>
        <v>0.78570312499999984</v>
      </c>
      <c r="CQ7" s="25">
        <f t="shared" si="24"/>
        <v>0.91087502163752809</v>
      </c>
      <c r="CR7" s="25">
        <f t="shared" si="6"/>
        <v>0.89</v>
      </c>
      <c r="CS7" s="24"/>
      <c r="CT7" s="24"/>
      <c r="CU7" s="24"/>
      <c r="CV7" s="24"/>
    </row>
    <row r="8" spans="1:101" x14ac:dyDescent="0.25">
      <c r="A8">
        <v>36</v>
      </c>
      <c r="B8">
        <v>0.76500000000000001</v>
      </c>
      <c r="C8">
        <v>0.85199999999999998</v>
      </c>
      <c r="W8">
        <v>9</v>
      </c>
      <c r="X8" s="4">
        <f>AVERAGE(X7,X9)</f>
        <v>1.1727747257636714</v>
      </c>
      <c r="AI8" t="s">
        <v>1</v>
      </c>
      <c r="BB8">
        <v>7</v>
      </c>
      <c r="BC8">
        <v>0.21</v>
      </c>
      <c r="BD8">
        <f t="shared" si="1"/>
        <v>1.0262561476331662E-3</v>
      </c>
      <c r="BE8" s="1">
        <f t="shared" si="11"/>
        <v>0.1640625</v>
      </c>
      <c r="BG8" s="1">
        <f t="shared" si="12"/>
        <v>0.17818181818181819</v>
      </c>
      <c r="BK8" s="13">
        <f t="shared" si="13"/>
        <v>1.3285482847781407E-3</v>
      </c>
      <c r="BL8" s="1">
        <f t="shared" si="14"/>
        <v>0.19266055045871555</v>
      </c>
      <c r="BM8" s="16">
        <f t="shared" si="15"/>
        <v>0.21000000000000002</v>
      </c>
      <c r="BQ8" s="13">
        <f t="shared" si="16"/>
        <v>1.6381969944108633E-3</v>
      </c>
      <c r="BR8" s="1">
        <f t="shared" si="17"/>
        <v>0.21</v>
      </c>
      <c r="BS8" s="1">
        <f t="shared" si="18"/>
        <v>0.22909090909090907</v>
      </c>
      <c r="BV8" s="1">
        <v>1</v>
      </c>
      <c r="BW8" s="16">
        <f t="shared" si="31"/>
        <v>0.21</v>
      </c>
      <c r="CA8">
        <v>7</v>
      </c>
      <c r="CB8">
        <v>0.92</v>
      </c>
      <c r="CC8">
        <f t="shared" si="19"/>
        <v>5.0804566241878079E-3</v>
      </c>
      <c r="CD8" s="1">
        <f t="shared" si="2"/>
        <v>0.81218749999999995</v>
      </c>
      <c r="CF8">
        <f t="shared" si="20"/>
        <v>6.4023374485498979E-3</v>
      </c>
      <c r="CG8" s="1">
        <f t="shared" si="3"/>
        <v>0.928440366972477</v>
      </c>
      <c r="CI8">
        <f t="shared" si="21"/>
        <v>7.0714299335274547E-3</v>
      </c>
      <c r="CJ8" s="1">
        <f t="shared" si="4"/>
        <v>0.95471698113207548</v>
      </c>
      <c r="CL8">
        <f t="shared" si="22"/>
        <v>7.1768630231333064E-3</v>
      </c>
      <c r="CM8" s="1">
        <f t="shared" si="5"/>
        <v>0.92</v>
      </c>
      <c r="CO8" s="24">
        <f t="shared" si="23"/>
        <v>7</v>
      </c>
      <c r="CP8" s="25">
        <f t="shared" si="26"/>
        <v>0.81218749999999995</v>
      </c>
      <c r="CQ8" s="25">
        <f t="shared" si="24"/>
        <v>0.94157867405227624</v>
      </c>
      <c r="CR8" s="25">
        <f t="shared" si="6"/>
        <v>0.92</v>
      </c>
    </row>
    <row r="9" spans="1:101" x14ac:dyDescent="0.25">
      <c r="A9">
        <v>48</v>
      </c>
      <c r="B9">
        <v>1</v>
      </c>
      <c r="C9">
        <v>1</v>
      </c>
      <c r="W9">
        <v>10</v>
      </c>
      <c r="X9" s="5">
        <v>1.2531723945921729</v>
      </c>
      <c r="Y9">
        <f>(X8+2*X9+X10)/4</f>
        <v>1.2330729773850475</v>
      </c>
      <c r="Z9" s="4">
        <f>AH6</f>
        <v>1.2330729813741259</v>
      </c>
      <c r="AA9" s="4">
        <f>(Y9-Z9)^2</f>
        <v>1.5912746488801601E-17</v>
      </c>
      <c r="AD9" t="s">
        <v>1</v>
      </c>
      <c r="AQ9" s="11" t="s">
        <v>16</v>
      </c>
      <c r="AR9" s="1">
        <f>AR4/AR5</f>
        <v>0.78125</v>
      </c>
      <c r="AS9" s="1">
        <f t="shared" ref="AS9:AU9" si="32">AS4/AS5</f>
        <v>0.9174311926605504</v>
      </c>
      <c r="AT9" s="1">
        <f t="shared" si="32"/>
        <v>0.94339622641509424</v>
      </c>
      <c r="AU9" s="1">
        <f t="shared" si="32"/>
        <v>1</v>
      </c>
      <c r="BB9">
        <v>8</v>
      </c>
      <c r="BC9">
        <v>0.28000000000000003</v>
      </c>
      <c r="BD9">
        <f t="shared" si="1"/>
        <v>1.3683415301775552E-3</v>
      </c>
      <c r="BE9" s="1">
        <f t="shared" si="11"/>
        <v>0.21875000000000003</v>
      </c>
      <c r="BG9" s="1">
        <f t="shared" si="12"/>
        <v>0.20363636363636364</v>
      </c>
      <c r="BK9" s="13">
        <f t="shared" si="13"/>
        <v>1.7713977130375212E-3</v>
      </c>
      <c r="BL9" s="1">
        <f t="shared" si="14"/>
        <v>0.25688073394495414</v>
      </c>
      <c r="BM9" s="16">
        <f t="shared" si="15"/>
        <v>0.24000000000000002</v>
      </c>
      <c r="BQ9" s="13">
        <f t="shared" si="16"/>
        <v>2.1842626592144848E-3</v>
      </c>
      <c r="BR9" s="1">
        <f t="shared" si="17"/>
        <v>0.28000000000000003</v>
      </c>
      <c r="BS9" s="1">
        <f t="shared" si="18"/>
        <v>0.26181818181818178</v>
      </c>
      <c r="BV9" s="1">
        <v>1</v>
      </c>
      <c r="BW9" s="16">
        <f t="shared" si="31"/>
        <v>0.28000000000000003</v>
      </c>
      <c r="CA9">
        <v>8</v>
      </c>
      <c r="CB9">
        <v>0.95</v>
      </c>
      <c r="CC9">
        <f t="shared" si="19"/>
        <v>5.2461236880200187E-3</v>
      </c>
      <c r="CD9" s="1">
        <f t="shared" si="2"/>
        <v>0.83867187499999996</v>
      </c>
      <c r="CE9" s="1">
        <f>AVERAGE(CD7:CD9)</f>
        <v>0.81218749999999995</v>
      </c>
      <c r="CF9">
        <f t="shared" si="20"/>
        <v>6.6111093218721769E-3</v>
      </c>
      <c r="CG9" s="1">
        <f t="shared" si="3"/>
        <v>0.95871559633027514</v>
      </c>
      <c r="CH9" s="1">
        <f>AVERAGE(CG7:CG9)</f>
        <v>0.928440366972477</v>
      </c>
      <c r="CI9">
        <f t="shared" si="21"/>
        <v>7.3020200400555233E-3</v>
      </c>
      <c r="CJ9" s="1">
        <f t="shared" si="4"/>
        <v>0.98584905660377353</v>
      </c>
      <c r="CK9" s="1">
        <f>AVERAGE(CJ7:CJ9)</f>
        <v>0.95471698113207548</v>
      </c>
      <c r="CL9">
        <f t="shared" si="22"/>
        <v>7.410891165192E-3</v>
      </c>
      <c r="CM9" s="1">
        <f t="shared" si="5"/>
        <v>0.95</v>
      </c>
      <c r="CN9" s="1">
        <f>AVERAGE(CM7:CM9)</f>
        <v>0.91999999999999993</v>
      </c>
      <c r="CO9" s="24">
        <f t="shared" si="23"/>
        <v>8</v>
      </c>
      <c r="CP9" s="25">
        <f t="shared" si="26"/>
        <v>0.83867187499999996</v>
      </c>
      <c r="CQ9" s="25">
        <f t="shared" si="24"/>
        <v>0.97228232646702439</v>
      </c>
      <c r="CR9" s="25">
        <f t="shared" si="6"/>
        <v>0.95</v>
      </c>
    </row>
    <row r="10" spans="1:101" x14ac:dyDescent="0.25">
      <c r="B10" t="s">
        <v>1</v>
      </c>
      <c r="W10">
        <v>11</v>
      </c>
      <c r="X10" s="23">
        <f>X9</f>
        <v>1.2531723945921729</v>
      </c>
      <c r="AG10" t="s">
        <v>1</v>
      </c>
      <c r="AQ10" s="11" t="s">
        <v>33</v>
      </c>
      <c r="AR10" s="1">
        <f>AR5/$AR$5</f>
        <v>1</v>
      </c>
      <c r="AS10" s="1">
        <f>AS5/AS$5</f>
        <v>1</v>
      </c>
      <c r="AT10" s="1">
        <f t="shared" ref="AT10:AU10" si="33">AT5/AT$5</f>
        <v>1</v>
      </c>
      <c r="AU10" s="1">
        <f t="shared" si="33"/>
        <v>1</v>
      </c>
      <c r="BB10">
        <v>9</v>
      </c>
      <c r="BC10">
        <v>0.28000000000000003</v>
      </c>
      <c r="BD10">
        <f t="shared" si="1"/>
        <v>1.3683415301775552E-3</v>
      </c>
      <c r="BE10" s="1">
        <f t="shared" si="11"/>
        <v>0.21875000000000003</v>
      </c>
      <c r="BG10" s="1">
        <f t="shared" si="12"/>
        <v>0.2290909090909091</v>
      </c>
      <c r="BH10" s="1">
        <f>AVERAGE(BG8:BG10)</f>
        <v>0.20363636363636364</v>
      </c>
      <c r="BK10" s="13">
        <f t="shared" si="13"/>
        <v>1.7713977130375212E-3</v>
      </c>
      <c r="BL10" s="1">
        <f t="shared" si="14"/>
        <v>0.25688073394495414</v>
      </c>
      <c r="BM10" s="16">
        <f t="shared" si="15"/>
        <v>0.27</v>
      </c>
      <c r="BN10" s="1">
        <f>AVERAGE(BM8:BM10)</f>
        <v>0.24000000000000002</v>
      </c>
      <c r="BQ10" s="13">
        <f t="shared" si="16"/>
        <v>2.1842626592144848E-3</v>
      </c>
      <c r="BR10" s="1">
        <f t="shared" si="17"/>
        <v>0.28000000000000003</v>
      </c>
      <c r="BS10" s="1">
        <f t="shared" si="18"/>
        <v>0.2945454545454545</v>
      </c>
      <c r="BT10" s="1">
        <f>AVERAGE(BS8:BS10)</f>
        <v>0.26181818181818178</v>
      </c>
      <c r="BV10" s="1">
        <v>1</v>
      </c>
      <c r="BW10" s="16">
        <f t="shared" si="31"/>
        <v>0.28000000000000003</v>
      </c>
      <c r="CA10">
        <v>9</v>
      </c>
      <c r="CB10">
        <v>1</v>
      </c>
      <c r="CC10">
        <f t="shared" si="19"/>
        <v>5.5222354610737039E-3</v>
      </c>
      <c r="CD10" s="1">
        <f t="shared" si="2"/>
        <v>0.88281249999999989</v>
      </c>
      <c r="CF10">
        <f t="shared" si="20"/>
        <v>6.9590624440759759E-3</v>
      </c>
      <c r="CG10" s="1">
        <f t="shared" si="3"/>
        <v>1.0091743119266054</v>
      </c>
      <c r="CI10">
        <f t="shared" si="21"/>
        <v>7.6863368842689725E-3</v>
      </c>
      <c r="CJ10" s="1">
        <f t="shared" si="4"/>
        <v>1.0377358490566038</v>
      </c>
      <c r="CL10">
        <f t="shared" si="22"/>
        <v>7.8009380686231587E-3</v>
      </c>
      <c r="CM10" s="1">
        <f t="shared" si="5"/>
        <v>1</v>
      </c>
      <c r="CO10" s="24">
        <f t="shared" si="23"/>
        <v>9</v>
      </c>
      <c r="CP10" s="25">
        <f t="shared" si="26"/>
        <v>0.88281249999999989</v>
      </c>
      <c r="CQ10" s="25">
        <f t="shared" si="24"/>
        <v>1.0234550804916047</v>
      </c>
      <c r="CR10" s="25">
        <f t="shared" si="6"/>
        <v>1</v>
      </c>
    </row>
    <row r="11" spans="1:101" x14ac:dyDescent="0.25">
      <c r="AA11" s="4">
        <f>SUM(AA3:AA9)*10000</f>
        <v>2.5577553647959582E-13</v>
      </c>
      <c r="AF11" t="s">
        <v>1</v>
      </c>
      <c r="AG11" t="s">
        <v>1</v>
      </c>
      <c r="BB11">
        <v>10</v>
      </c>
      <c r="BC11">
        <v>0.31</v>
      </c>
      <c r="BD11">
        <f t="shared" si="1"/>
        <v>1.5149495512680074E-3</v>
      </c>
      <c r="BE11" s="1">
        <f t="shared" si="11"/>
        <v>0.2421875</v>
      </c>
      <c r="BG11" s="1">
        <f t="shared" si="12"/>
        <v>0.25454545454545457</v>
      </c>
      <c r="BK11" s="13">
        <f t="shared" si="13"/>
        <v>1.9611903251486838E-3</v>
      </c>
      <c r="BL11" s="1">
        <f t="shared" si="14"/>
        <v>0.2844036697247706</v>
      </c>
      <c r="BM11" s="16">
        <f t="shared" si="15"/>
        <v>0.30000000000000004</v>
      </c>
      <c r="BQ11" s="13">
        <f t="shared" si="16"/>
        <v>2.4182908012731793E-3</v>
      </c>
      <c r="BR11" s="1">
        <f t="shared" si="17"/>
        <v>0.31</v>
      </c>
      <c r="BS11" s="1">
        <f t="shared" si="18"/>
        <v>0.32727272727272722</v>
      </c>
      <c r="BV11" s="1">
        <v>1</v>
      </c>
      <c r="BW11" s="16">
        <f t="shared" si="31"/>
        <v>0.31</v>
      </c>
      <c r="CA11">
        <v>10</v>
      </c>
      <c r="CB11">
        <v>1</v>
      </c>
      <c r="CC11">
        <f t="shared" si="19"/>
        <v>5.5222354610737039E-3</v>
      </c>
      <c r="CD11" s="1">
        <f t="shared" si="2"/>
        <v>0.88281249999999989</v>
      </c>
      <c r="CF11">
        <f t="shared" si="20"/>
        <v>6.9590624440759759E-3</v>
      </c>
      <c r="CG11" s="1">
        <f t="shared" si="3"/>
        <v>1.0091743119266054</v>
      </c>
      <c r="CI11">
        <f t="shared" si="21"/>
        <v>7.6863368842689725E-3</v>
      </c>
      <c r="CJ11" s="1">
        <f t="shared" si="4"/>
        <v>1.0377358490566038</v>
      </c>
      <c r="CL11">
        <f t="shared" si="22"/>
        <v>7.8009380686231587E-3</v>
      </c>
      <c r="CM11" s="1">
        <f t="shared" si="5"/>
        <v>1</v>
      </c>
      <c r="CO11" s="24">
        <f t="shared" si="23"/>
        <v>10</v>
      </c>
      <c r="CP11" s="25">
        <f t="shared" si="26"/>
        <v>0.88281249999999989</v>
      </c>
      <c r="CQ11" s="25">
        <f t="shared" si="24"/>
        <v>1.0234550804916047</v>
      </c>
      <c r="CR11" s="25">
        <f t="shared" si="6"/>
        <v>1</v>
      </c>
    </row>
    <row r="12" spans="1:101" x14ac:dyDescent="0.25">
      <c r="AC12" t="s">
        <v>23</v>
      </c>
      <c r="AQ12" t="s">
        <v>29</v>
      </c>
      <c r="AR12" t="str">
        <f>AR1</f>
        <v>&lt; 5%</v>
      </c>
      <c r="AS12" t="str">
        <f t="shared" ref="AS12:AU12" si="34">AS1</f>
        <v>5-7%</v>
      </c>
      <c r="AT12" t="str">
        <f t="shared" si="34"/>
        <v>7-9%</v>
      </c>
      <c r="AU12" t="str">
        <f t="shared" si="34"/>
        <v>9+%</v>
      </c>
      <c r="BB12">
        <v>11</v>
      </c>
      <c r="BC12">
        <v>0.36</v>
      </c>
      <c r="BD12">
        <f t="shared" si="1"/>
        <v>1.7592962530854279E-3</v>
      </c>
      <c r="BE12" s="1">
        <f t="shared" si="11"/>
        <v>0.28125</v>
      </c>
      <c r="BF12">
        <v>11</v>
      </c>
      <c r="BG12" s="14">
        <v>0.28000000000000003</v>
      </c>
      <c r="BK12" s="13">
        <f t="shared" si="13"/>
        <v>2.2775113453339553E-3</v>
      </c>
      <c r="BL12" s="1">
        <f t="shared" si="14"/>
        <v>0.33027522935779807</v>
      </c>
      <c r="BM12" s="17">
        <f t="shared" si="15"/>
        <v>0.33</v>
      </c>
      <c r="BQ12" s="13">
        <f t="shared" si="16"/>
        <v>2.8083377047043371E-3</v>
      </c>
      <c r="BR12" s="18">
        <f t="shared" si="17"/>
        <v>0.36</v>
      </c>
      <c r="BS12" s="14">
        <v>0.36</v>
      </c>
      <c r="BV12" s="1">
        <v>1</v>
      </c>
      <c r="BW12" s="16">
        <f t="shared" si="31"/>
        <v>0.36</v>
      </c>
      <c r="CA12">
        <v>11</v>
      </c>
      <c r="CB12">
        <v>1</v>
      </c>
      <c r="CC12">
        <f t="shared" si="19"/>
        <v>5.5222354610737039E-3</v>
      </c>
      <c r="CD12" s="1">
        <f>CC12/$AR$5</f>
        <v>0.88281249999999989</v>
      </c>
      <c r="CF12">
        <f t="shared" si="20"/>
        <v>6.9590624440759759E-3</v>
      </c>
      <c r="CG12" s="1">
        <f>CF12/$AS$5</f>
        <v>1.0091743119266054</v>
      </c>
      <c r="CI12">
        <f>$AT$16*CB12</f>
        <v>7.6863368842689725E-3</v>
      </c>
      <c r="CJ12" s="1">
        <f>CI12/$AT$5</f>
        <v>1.0377358490566038</v>
      </c>
      <c r="CL12">
        <f t="shared" si="22"/>
        <v>7.8009380686231587E-3</v>
      </c>
      <c r="CM12" s="1">
        <f>CL12/$AU$5</f>
        <v>1</v>
      </c>
      <c r="CO12" s="24">
        <f t="shared" si="23"/>
        <v>11</v>
      </c>
      <c r="CP12" s="25">
        <f t="shared" si="26"/>
        <v>0.88281249999999989</v>
      </c>
      <c r="CQ12" s="25">
        <f t="shared" si="24"/>
        <v>1.0234550804916047</v>
      </c>
      <c r="CR12" s="25">
        <f>CM12</f>
        <v>1</v>
      </c>
    </row>
    <row r="13" spans="1:101" x14ac:dyDescent="0.25">
      <c r="BB13">
        <v>12</v>
      </c>
      <c r="BC13">
        <v>0.45</v>
      </c>
      <c r="BD13">
        <f t="shared" si="1"/>
        <v>2.1991203163567851E-3</v>
      </c>
      <c r="BE13" s="1">
        <f t="shared" si="11"/>
        <v>0.3515625</v>
      </c>
      <c r="BG13" s="15">
        <f>BG12+42%/12</f>
        <v>0.315</v>
      </c>
      <c r="BH13" s="1">
        <f>AVERAGE(BG11:BG13)</f>
        <v>0.2831818181818182</v>
      </c>
      <c r="BK13" s="13">
        <f t="shared" si="13"/>
        <v>2.8468891816674446E-3</v>
      </c>
      <c r="BL13" s="1">
        <f t="shared" si="14"/>
        <v>0.41284403669724767</v>
      </c>
      <c r="BM13" s="1">
        <f>BM12+50%/12</f>
        <v>0.3716666666666667</v>
      </c>
      <c r="BN13" s="1">
        <f>AVERAGE(BM11:BM13)</f>
        <v>0.33388888888888896</v>
      </c>
      <c r="BQ13" s="13">
        <f t="shared" si="16"/>
        <v>3.5104221308804215E-3</v>
      </c>
      <c r="BR13" s="1">
        <f t="shared" si="17"/>
        <v>0.45</v>
      </c>
      <c r="BS13" s="1">
        <f>BS12+$BT$24</f>
        <v>0.40499999999999997</v>
      </c>
      <c r="BT13" s="1">
        <f>AVERAGE(BS11:BS13)</f>
        <v>0.36409090909090908</v>
      </c>
      <c r="BV13" s="1">
        <v>1</v>
      </c>
      <c r="BW13" s="16">
        <f t="shared" si="31"/>
        <v>0.45</v>
      </c>
      <c r="CG13" t="s">
        <v>1</v>
      </c>
    </row>
    <row r="14" spans="1:101" x14ac:dyDescent="0.25">
      <c r="BB14">
        <v>13</v>
      </c>
      <c r="BC14">
        <v>0.55000000000000004</v>
      </c>
      <c r="BD14">
        <f t="shared" si="1"/>
        <v>2.6878137199916265E-3</v>
      </c>
      <c r="BE14" s="1">
        <f t="shared" si="11"/>
        <v>0.42968750000000006</v>
      </c>
      <c r="BG14" s="15">
        <f t="shared" ref="BG14:BG23" si="35">BG13+42%/12</f>
        <v>0.35</v>
      </c>
      <c r="BK14" s="13">
        <f t="shared" si="13"/>
        <v>3.4795312220379879E-3</v>
      </c>
      <c r="BL14" s="1">
        <f t="shared" si="14"/>
        <v>0.50458715596330272</v>
      </c>
      <c r="BM14" s="1">
        <f t="shared" ref="BM14:BM23" si="36">BM13+50%/12</f>
        <v>0.41333333333333339</v>
      </c>
      <c r="BQ14" s="13">
        <f t="shared" si="16"/>
        <v>4.2905159377427376E-3</v>
      </c>
      <c r="BR14" s="1">
        <f t="shared" si="17"/>
        <v>0.55000000000000004</v>
      </c>
      <c r="BS14" s="1">
        <f t="shared" ref="BS14:BS23" si="37">BS13+$BT$24</f>
        <v>0.44999999999999996</v>
      </c>
      <c r="BV14" s="1">
        <v>1</v>
      </c>
      <c r="BW14" s="16">
        <f t="shared" si="31"/>
        <v>0.55000000000000004</v>
      </c>
    </row>
    <row r="15" spans="1:101" x14ac:dyDescent="0.25">
      <c r="AQ15" s="11" t="s">
        <v>16</v>
      </c>
      <c r="BB15">
        <v>14</v>
      </c>
      <c r="BC15">
        <v>0.55000000000000004</v>
      </c>
      <c r="BD15">
        <f t="shared" si="1"/>
        <v>2.6878137199916265E-3</v>
      </c>
      <c r="BE15" s="1">
        <f t="shared" si="11"/>
        <v>0.42968750000000006</v>
      </c>
      <c r="BG15" s="15">
        <f t="shared" si="35"/>
        <v>0.38499999999999995</v>
      </c>
      <c r="BK15" s="13">
        <f t="shared" si="13"/>
        <v>3.4795312220379879E-3</v>
      </c>
      <c r="BL15" s="1">
        <f t="shared" si="14"/>
        <v>0.50458715596330272</v>
      </c>
      <c r="BM15" s="1">
        <f t="shared" si="36"/>
        <v>0.45500000000000007</v>
      </c>
      <c r="BQ15" s="13">
        <f t="shared" si="16"/>
        <v>4.2905159377427376E-3</v>
      </c>
      <c r="BR15" s="1">
        <f t="shared" si="17"/>
        <v>0.55000000000000004</v>
      </c>
      <c r="BS15" s="1">
        <f t="shared" si="37"/>
        <v>0.49499999999999994</v>
      </c>
      <c r="BV15" s="1">
        <v>1</v>
      </c>
      <c r="BW15" s="16">
        <f t="shared" si="31"/>
        <v>0.55000000000000004</v>
      </c>
    </row>
    <row r="16" spans="1:101" x14ac:dyDescent="0.25">
      <c r="AQ16" s="11" t="s">
        <v>33</v>
      </c>
      <c r="AR16">
        <f>AM3</f>
        <v>5.5222354610737039E-3</v>
      </c>
      <c r="AS16">
        <f>AM4</f>
        <v>6.9590624440759759E-3</v>
      </c>
      <c r="AT16">
        <f>AM5</f>
        <v>7.6863368842689725E-3</v>
      </c>
      <c r="AU16">
        <f>AM6</f>
        <v>7.8009380686231587E-3</v>
      </c>
      <c r="BB16">
        <v>15</v>
      </c>
      <c r="BC16">
        <v>0.56999999999999995</v>
      </c>
      <c r="BD16">
        <f t="shared" si="1"/>
        <v>2.7855524007185943E-3</v>
      </c>
      <c r="BE16" s="1">
        <f t="shared" si="11"/>
        <v>0.4453125</v>
      </c>
      <c r="BG16" s="15">
        <f t="shared" si="35"/>
        <v>0.41999999999999993</v>
      </c>
      <c r="BH16" s="1">
        <f>AVERAGE(BG14:BG16)</f>
        <v>0.38499999999999995</v>
      </c>
      <c r="BK16" s="13">
        <f t="shared" si="13"/>
        <v>3.6060596301120962E-3</v>
      </c>
      <c r="BL16" s="1">
        <f t="shared" si="14"/>
        <v>0.52293577981651373</v>
      </c>
      <c r="BM16" s="1">
        <f t="shared" si="36"/>
        <v>0.49666666666666676</v>
      </c>
      <c r="BN16" s="1">
        <f>AVERAGE(BM14:BM16)</f>
        <v>0.45500000000000007</v>
      </c>
      <c r="BQ16" s="13">
        <f t="shared" si="16"/>
        <v>4.4465346991152E-3</v>
      </c>
      <c r="BR16" s="1">
        <f t="shared" si="17"/>
        <v>0.56999999999999995</v>
      </c>
      <c r="BS16" s="1">
        <f t="shared" si="37"/>
        <v>0.53999999999999992</v>
      </c>
      <c r="BT16" s="1">
        <f>AVERAGE(BS14:BS16)</f>
        <v>0.49499999999999994</v>
      </c>
      <c r="BV16" s="1">
        <v>1</v>
      </c>
      <c r="BW16" s="16">
        <f t="shared" si="31"/>
        <v>0.56999999999999995</v>
      </c>
      <c r="CH16" t="s">
        <v>1</v>
      </c>
    </row>
    <row r="17" spans="29:88" x14ac:dyDescent="0.25">
      <c r="AR17" s="4">
        <f>AR16/AR5</f>
        <v>0.88281249999999989</v>
      </c>
      <c r="AS17" s="4">
        <f>AS16/AS5</f>
        <v>1.0091743119266054</v>
      </c>
      <c r="AT17" s="4">
        <f>AT16/AT5</f>
        <v>1.0377358490566038</v>
      </c>
      <c r="AU17" s="4">
        <f t="shared" ref="AS17:AU17" si="38">AU16/AU5</f>
        <v>1</v>
      </c>
      <c r="BB17">
        <v>16</v>
      </c>
      <c r="BC17">
        <v>0.56999999999999995</v>
      </c>
      <c r="BD17">
        <f t="shared" si="1"/>
        <v>2.7855524007185943E-3</v>
      </c>
      <c r="BE17" s="1">
        <f t="shared" si="11"/>
        <v>0.4453125</v>
      </c>
      <c r="BG17" s="15">
        <f t="shared" si="35"/>
        <v>0.4549999999999999</v>
      </c>
      <c r="BK17" s="13">
        <f t="shared" si="13"/>
        <v>3.6060596301120962E-3</v>
      </c>
      <c r="BL17" s="1">
        <f t="shared" si="14"/>
        <v>0.52293577981651373</v>
      </c>
      <c r="BM17" s="1">
        <f t="shared" si="36"/>
        <v>0.53833333333333344</v>
      </c>
      <c r="BQ17" s="13">
        <f t="shared" si="16"/>
        <v>4.4465346991152E-3</v>
      </c>
      <c r="BR17" s="1">
        <f t="shared" si="17"/>
        <v>0.56999999999999995</v>
      </c>
      <c r="BS17" s="1">
        <f t="shared" si="37"/>
        <v>0.58499999999999996</v>
      </c>
      <c r="BV17" s="1">
        <v>0.9</v>
      </c>
      <c r="BW17" s="16">
        <f t="shared" si="31"/>
        <v>0.51300000000000001</v>
      </c>
    </row>
    <row r="18" spans="29:88" x14ac:dyDescent="0.25">
      <c r="BB18">
        <v>17</v>
      </c>
      <c r="BC18">
        <v>0.6</v>
      </c>
      <c r="BD18">
        <f t="shared" si="1"/>
        <v>2.9321604218090465E-3</v>
      </c>
      <c r="BE18" s="1">
        <f t="shared" si="11"/>
        <v>0.46875</v>
      </c>
      <c r="BG18" s="15">
        <f t="shared" si="35"/>
        <v>0.48999999999999988</v>
      </c>
      <c r="BK18" s="13">
        <f t="shared" si="13"/>
        <v>3.795852242223259E-3</v>
      </c>
      <c r="BL18" s="1">
        <f t="shared" si="14"/>
        <v>0.55045871559633019</v>
      </c>
      <c r="BM18" s="1">
        <f t="shared" si="36"/>
        <v>0.58000000000000007</v>
      </c>
      <c r="BQ18" s="13">
        <f t="shared" si="16"/>
        <v>4.6805628411738954E-3</v>
      </c>
      <c r="BR18" s="1">
        <f t="shared" si="17"/>
        <v>0.6</v>
      </c>
      <c r="BS18" s="1">
        <f t="shared" si="37"/>
        <v>0.63</v>
      </c>
      <c r="BV18" s="1">
        <v>0.75</v>
      </c>
      <c r="BW18" s="16">
        <f t="shared" si="31"/>
        <v>0.44999999999999996</v>
      </c>
    </row>
    <row r="19" spans="29:88" x14ac:dyDescent="0.25">
      <c r="BB19">
        <v>18</v>
      </c>
      <c r="BC19">
        <v>0.61</v>
      </c>
      <c r="BD19">
        <f t="shared" si="1"/>
        <v>2.9810297621725309E-3</v>
      </c>
      <c r="BE19" s="1">
        <f t="shared" si="11"/>
        <v>0.4765625</v>
      </c>
      <c r="BG19" s="15">
        <f t="shared" si="35"/>
        <v>0.52499999999999991</v>
      </c>
      <c r="BH19" s="1">
        <f>AVERAGE(BG17:BG19)</f>
        <v>0.48999999999999994</v>
      </c>
      <c r="BK19" s="13">
        <f t="shared" si="13"/>
        <v>3.8591164462603135E-3</v>
      </c>
      <c r="BL19" s="1">
        <f t="shared" si="14"/>
        <v>0.55963302752293576</v>
      </c>
      <c r="BM19" s="1">
        <f t="shared" si="36"/>
        <v>0.6216666666666667</v>
      </c>
      <c r="BN19" s="1">
        <f>AVERAGE(BM17:BM19)</f>
        <v>0.58000000000000007</v>
      </c>
      <c r="BQ19" s="13">
        <f t="shared" si="16"/>
        <v>4.7585722218601266E-3</v>
      </c>
      <c r="BR19" s="1">
        <f t="shared" si="17"/>
        <v>0.61</v>
      </c>
      <c r="BS19" s="1">
        <f t="shared" si="37"/>
        <v>0.67500000000000004</v>
      </c>
      <c r="BT19" s="1">
        <f>AVERAGE(BS17:BS19)</f>
        <v>0.63</v>
      </c>
      <c r="BV19" s="1">
        <v>0.75</v>
      </c>
      <c r="BW19" s="16">
        <f t="shared" si="31"/>
        <v>0.45750000000000002</v>
      </c>
    </row>
    <row r="20" spans="29:88" x14ac:dyDescent="0.25">
      <c r="BB20">
        <v>19</v>
      </c>
      <c r="BC20">
        <v>0.61</v>
      </c>
      <c r="BD20">
        <f t="shared" si="1"/>
        <v>2.9810297621725309E-3</v>
      </c>
      <c r="BE20" s="1">
        <f t="shared" si="11"/>
        <v>0.4765625</v>
      </c>
      <c r="BG20" s="15">
        <f t="shared" si="35"/>
        <v>0.55999999999999994</v>
      </c>
      <c r="BK20" s="13">
        <f t="shared" si="13"/>
        <v>3.8591164462603135E-3</v>
      </c>
      <c r="BL20" s="1">
        <f t="shared" si="14"/>
        <v>0.55963302752293576</v>
      </c>
      <c r="BM20" s="1">
        <f t="shared" si="36"/>
        <v>0.66333333333333333</v>
      </c>
      <c r="BQ20" s="13">
        <f t="shared" si="16"/>
        <v>4.7585722218601266E-3</v>
      </c>
      <c r="BR20" s="1">
        <f t="shared" si="17"/>
        <v>0.61</v>
      </c>
      <c r="BS20" s="1">
        <f t="shared" si="37"/>
        <v>0.72000000000000008</v>
      </c>
      <c r="BV20" s="1">
        <v>0.75</v>
      </c>
      <c r="BW20" s="16">
        <f t="shared" si="31"/>
        <v>0.45750000000000002</v>
      </c>
    </row>
    <row r="21" spans="29:88" x14ac:dyDescent="0.25">
      <c r="BB21">
        <v>20</v>
      </c>
      <c r="BC21">
        <v>0.65</v>
      </c>
      <c r="BD21">
        <f t="shared" si="1"/>
        <v>3.1765071236264674E-3</v>
      </c>
      <c r="BE21" s="1">
        <f t="shared" si="11"/>
        <v>0.5078125</v>
      </c>
      <c r="BG21" s="15">
        <f t="shared" si="35"/>
        <v>0.59499999999999997</v>
      </c>
      <c r="BK21" s="13">
        <f t="shared" si="13"/>
        <v>4.1121732624085309E-3</v>
      </c>
      <c r="BL21" s="1">
        <f t="shared" si="14"/>
        <v>0.59633027522935778</v>
      </c>
      <c r="BM21" s="1">
        <f t="shared" si="36"/>
        <v>0.70499999999999996</v>
      </c>
      <c r="BQ21" s="13">
        <f t="shared" si="16"/>
        <v>5.0706097446050532E-3</v>
      </c>
      <c r="BR21" s="1">
        <f t="shared" si="17"/>
        <v>0.65</v>
      </c>
      <c r="BS21" s="1">
        <f t="shared" si="37"/>
        <v>0.76500000000000012</v>
      </c>
      <c r="BV21" s="1">
        <v>0.75</v>
      </c>
      <c r="BW21" s="16">
        <f t="shared" si="31"/>
        <v>0.48750000000000004</v>
      </c>
    </row>
    <row r="22" spans="29:88" x14ac:dyDescent="0.25">
      <c r="AR22">
        <v>0.90710000000000002</v>
      </c>
      <c r="AS22">
        <v>1</v>
      </c>
      <c r="AT22">
        <v>1.0741000000000001</v>
      </c>
      <c r="AU22">
        <v>1.1313</v>
      </c>
      <c r="BB22">
        <v>21</v>
      </c>
      <c r="BC22">
        <v>0.68</v>
      </c>
      <c r="BD22">
        <f t="shared" si="1"/>
        <v>3.3231151447169196E-3</v>
      </c>
      <c r="BE22" s="1">
        <f t="shared" si="11"/>
        <v>0.53125</v>
      </c>
      <c r="BG22" s="15">
        <f t="shared" si="35"/>
        <v>0.63</v>
      </c>
      <c r="BH22" s="1">
        <f>AVERAGE(BG20:BG22)</f>
        <v>0.59499999999999986</v>
      </c>
      <c r="BK22" s="13">
        <f t="shared" si="13"/>
        <v>4.3019658745196941E-3</v>
      </c>
      <c r="BL22" s="1">
        <f t="shared" si="14"/>
        <v>0.62385321100917424</v>
      </c>
      <c r="BM22" s="1">
        <f t="shared" si="36"/>
        <v>0.74666666666666659</v>
      </c>
      <c r="BN22" s="1">
        <f>AVERAGE(BM20:BM22)</f>
        <v>0.70499999999999996</v>
      </c>
      <c r="BQ22" s="13">
        <f t="shared" si="16"/>
        <v>5.3046378866637486E-3</v>
      </c>
      <c r="BR22" s="1">
        <f t="shared" si="17"/>
        <v>0.68</v>
      </c>
      <c r="BS22" s="1">
        <f t="shared" si="37"/>
        <v>0.81000000000000016</v>
      </c>
      <c r="BT22" s="1">
        <f>AVERAGE(BS20:BS22)</f>
        <v>0.76500000000000012</v>
      </c>
      <c r="BV22" s="1">
        <v>0.75</v>
      </c>
      <c r="BW22" s="16">
        <f t="shared" si="31"/>
        <v>0.51</v>
      </c>
      <c r="CJ22" t="s">
        <v>1</v>
      </c>
    </row>
    <row r="23" spans="29:88" x14ac:dyDescent="0.25">
      <c r="AM23">
        <f>AM24</f>
        <v>0.89306025394524502</v>
      </c>
      <c r="AR23">
        <v>6.8960000000000002E-3</v>
      </c>
      <c r="AS23">
        <v>6.8960000000000002E-3</v>
      </c>
      <c r="AT23">
        <v>6.8960000000000002E-3</v>
      </c>
      <c r="AU23">
        <v>6.8960000000000002E-3</v>
      </c>
      <c r="BB23">
        <v>22</v>
      </c>
      <c r="BC23">
        <v>0.72</v>
      </c>
      <c r="BD23">
        <f t="shared" si="1"/>
        <v>3.5185925061708557E-3</v>
      </c>
      <c r="BE23" s="1">
        <f t="shared" si="11"/>
        <v>0.5625</v>
      </c>
      <c r="BG23" s="15">
        <f t="shared" si="35"/>
        <v>0.66500000000000004</v>
      </c>
      <c r="BK23" s="13">
        <f t="shared" si="13"/>
        <v>4.5550226906679106E-3</v>
      </c>
      <c r="BL23" s="1">
        <f t="shared" si="14"/>
        <v>0.66055045871559614</v>
      </c>
      <c r="BM23" s="1">
        <f t="shared" si="36"/>
        <v>0.78833333333333322</v>
      </c>
      <c r="BQ23" s="13">
        <f t="shared" si="16"/>
        <v>5.6166754094086743E-3</v>
      </c>
      <c r="BR23" s="1">
        <f t="shared" si="17"/>
        <v>0.72</v>
      </c>
      <c r="BS23" s="1">
        <f t="shared" si="37"/>
        <v>0.8550000000000002</v>
      </c>
      <c r="BV23" s="1">
        <v>0.75</v>
      </c>
      <c r="BW23" s="16">
        <f t="shared" si="31"/>
        <v>0.54</v>
      </c>
    </row>
    <row r="24" spans="29:88" x14ac:dyDescent="0.25">
      <c r="AL24">
        <v>4</v>
      </c>
      <c r="AM24" s="6">
        <v>0.89306025394524502</v>
      </c>
      <c r="AN24">
        <f>(AM23+AM24*2+AM25)/4</f>
        <v>0.90709996272531224</v>
      </c>
      <c r="AO24">
        <v>0.90710000000000002</v>
      </c>
      <c r="AP24">
        <f>(AN24-AO24)^2</f>
        <v>1.3894023491567422E-15</v>
      </c>
      <c r="AR24">
        <f>AR22*AR23</f>
        <v>6.2553616000000003E-3</v>
      </c>
      <c r="AS24">
        <f t="shared" ref="AS24:AU24" si="39">AS22*AS23</f>
        <v>6.8960000000000002E-3</v>
      </c>
      <c r="AT24">
        <f t="shared" si="39"/>
        <v>7.4069936000000008E-3</v>
      </c>
      <c r="AU24">
        <f t="shared" si="39"/>
        <v>7.8014447999999997E-3</v>
      </c>
      <c r="BB24">
        <v>23</v>
      </c>
      <c r="BC24">
        <v>0.9</v>
      </c>
      <c r="BD24">
        <f t="shared" si="1"/>
        <v>4.3982406327135702E-3</v>
      </c>
      <c r="BE24" s="1">
        <f t="shared" si="11"/>
        <v>0.703125</v>
      </c>
      <c r="BF24">
        <f>BB24</f>
        <v>23</v>
      </c>
      <c r="BG24" s="14">
        <v>0.7</v>
      </c>
      <c r="BK24" s="13">
        <f t="shared" si="13"/>
        <v>5.6937783633348891E-3</v>
      </c>
      <c r="BL24" s="1">
        <f t="shared" si="14"/>
        <v>0.82568807339449535</v>
      </c>
      <c r="BM24" s="14">
        <v>0.83</v>
      </c>
      <c r="BQ24" s="13">
        <f t="shared" si="16"/>
        <v>7.0208442617608431E-3</v>
      </c>
      <c r="BR24" s="1">
        <f t="shared" si="17"/>
        <v>0.9</v>
      </c>
      <c r="BS24" s="14">
        <v>0.9</v>
      </c>
      <c r="BT24">
        <f>(BS24-BS12)/12</f>
        <v>4.5000000000000005E-2</v>
      </c>
      <c r="BV24" s="1">
        <v>1.05</v>
      </c>
      <c r="BW24" s="16">
        <f t="shared" si="31"/>
        <v>0.94500000000000006</v>
      </c>
    </row>
    <row r="25" spans="29:88" x14ac:dyDescent="0.25">
      <c r="AL25">
        <v>5</v>
      </c>
      <c r="AM25">
        <f>AVERAGE(AM24,AM26)</f>
        <v>0.94921908906551367</v>
      </c>
      <c r="BB25">
        <v>24</v>
      </c>
      <c r="BC25">
        <v>0.95</v>
      </c>
      <c r="BD25">
        <f>$AR$4*BC25</f>
        <v>4.6425873345309907E-3</v>
      </c>
      <c r="BE25" s="1">
        <f t="shared" si="11"/>
        <v>0.7421875</v>
      </c>
      <c r="BG25" s="1">
        <f>BG24+$BH$37</f>
        <v>0.7153846153846154</v>
      </c>
      <c r="BH25" s="1">
        <f>AVERAGE(BG23:BG25)</f>
        <v>0.69346153846153846</v>
      </c>
      <c r="BK25" s="13">
        <f>BC25*$AS$4</f>
        <v>6.0100993835201606E-3</v>
      </c>
      <c r="BL25" s="1">
        <f t="shared" si="14"/>
        <v>0.87155963302752282</v>
      </c>
      <c r="BM25" s="1">
        <f>BM24+17%/13</f>
        <v>0.84307692307692306</v>
      </c>
      <c r="BN25" s="1">
        <f>AVERAGE(BM23:BM25)</f>
        <v>0.82047008547008549</v>
      </c>
      <c r="BQ25" s="13">
        <f t="shared" si="16"/>
        <v>7.410891165192E-3</v>
      </c>
      <c r="BR25" s="1">
        <f t="shared" si="17"/>
        <v>0.95</v>
      </c>
      <c r="BS25" s="1">
        <f>BS24+$BT$24</f>
        <v>0.94500000000000006</v>
      </c>
      <c r="BT25" s="1">
        <f>AVERAGE(BS23:BS25)</f>
        <v>0.9</v>
      </c>
      <c r="BV25" s="1">
        <v>1.1000000000000001</v>
      </c>
    </row>
    <row r="26" spans="29:88" x14ac:dyDescent="0.25">
      <c r="AL26">
        <v>6</v>
      </c>
      <c r="AM26" s="6">
        <v>1.0053779241857823</v>
      </c>
      <c r="AN26">
        <f>(AM25+AM26*2+AM27)/4</f>
        <v>0.99999997797959261</v>
      </c>
      <c r="AO26">
        <v>1</v>
      </c>
      <c r="AP26">
        <f>(AN26-AO26)^2</f>
        <v>4.8489834146363029E-16</v>
      </c>
      <c r="BB26">
        <v>25</v>
      </c>
      <c r="BC26">
        <v>0.95</v>
      </c>
      <c r="BD26">
        <f t="shared" ref="BD26:BD43" si="40">$AR$4*BC26</f>
        <v>4.6425873345309907E-3</v>
      </c>
      <c r="BE26" s="1">
        <f t="shared" si="11"/>
        <v>0.7421875</v>
      </c>
      <c r="BG26" s="1">
        <f t="shared" ref="BG26:BG36" si="41">BG25+$BH$37</f>
        <v>0.73076923076923084</v>
      </c>
      <c r="BK26" s="13">
        <f t="shared" si="13"/>
        <v>6.0100993835201606E-3</v>
      </c>
      <c r="BL26" s="1">
        <f t="shared" si="14"/>
        <v>0.87155963302752282</v>
      </c>
      <c r="BM26" s="1">
        <f t="shared" ref="BM26:BM36" si="42">BM25+17%/13</f>
        <v>0.85615384615384615</v>
      </c>
      <c r="BQ26" s="13">
        <f>$AU$4*BC26</f>
        <v>7.410891165192E-3</v>
      </c>
      <c r="BR26" s="1">
        <f t="shared" si="17"/>
        <v>0.95</v>
      </c>
      <c r="BS26" s="1">
        <f>BS25+$BT$24</f>
        <v>0.9900000000000001</v>
      </c>
      <c r="BV26" s="1">
        <v>1</v>
      </c>
    </row>
    <row r="27" spans="29:88" x14ac:dyDescent="0.25">
      <c r="AL27">
        <v>7</v>
      </c>
      <c r="AM27">
        <f>AVERAGE(AM26,AM28)</f>
        <v>1.0400249744812924</v>
      </c>
      <c r="BB27">
        <v>26</v>
      </c>
      <c r="BC27">
        <v>0.95</v>
      </c>
      <c r="BD27">
        <f t="shared" si="40"/>
        <v>4.6425873345309907E-3</v>
      </c>
      <c r="BE27" s="1">
        <f t="shared" si="11"/>
        <v>0.7421875</v>
      </c>
      <c r="BG27" s="1">
        <f t="shared" si="41"/>
        <v>0.74615384615384628</v>
      </c>
      <c r="BK27" s="13">
        <f t="shared" si="13"/>
        <v>6.0100993835201606E-3</v>
      </c>
      <c r="BL27" s="1">
        <f t="shared" si="14"/>
        <v>0.87155963302752282</v>
      </c>
      <c r="BM27" s="1">
        <f t="shared" si="42"/>
        <v>0.86923076923076925</v>
      </c>
      <c r="BQ27" s="13">
        <f t="shared" si="16"/>
        <v>7.410891165192E-3</v>
      </c>
      <c r="BR27" s="1">
        <f t="shared" si="17"/>
        <v>0.95</v>
      </c>
      <c r="BS27" s="1">
        <v>1</v>
      </c>
      <c r="BV27" s="1">
        <v>1</v>
      </c>
    </row>
    <row r="28" spans="29:88" x14ac:dyDescent="0.25">
      <c r="AL28">
        <v>8</v>
      </c>
      <c r="AM28" s="6">
        <v>1.0746720247768025</v>
      </c>
      <c r="AN28">
        <f>(AM27+2*AM28+AM29)/4</f>
        <v>1.0740999623119978</v>
      </c>
      <c r="AO28">
        <v>1.0741000000000001</v>
      </c>
      <c r="AP28">
        <f>(AN28-AO28)^2</f>
        <v>1.420385515446456E-15</v>
      </c>
      <c r="BB28">
        <v>27</v>
      </c>
      <c r="BC28">
        <v>0.95</v>
      </c>
      <c r="BD28">
        <f t="shared" si="40"/>
        <v>4.6425873345309907E-3</v>
      </c>
      <c r="BE28" s="1">
        <f t="shared" si="11"/>
        <v>0.7421875</v>
      </c>
      <c r="BG28" s="1">
        <f t="shared" si="41"/>
        <v>0.76153846153846172</v>
      </c>
      <c r="BH28" s="1">
        <f>AVERAGE(BG26:BG28)</f>
        <v>0.74615384615384617</v>
      </c>
      <c r="BK28" s="13">
        <f t="shared" si="13"/>
        <v>6.0100993835201606E-3</v>
      </c>
      <c r="BL28" s="1">
        <f t="shared" si="14"/>
        <v>0.87155963302752282</v>
      </c>
      <c r="BM28" s="1">
        <f t="shared" si="42"/>
        <v>0.88230769230769235</v>
      </c>
      <c r="BN28" s="1">
        <f>AVERAGE(BM26:BM28)</f>
        <v>0.86923076923076925</v>
      </c>
      <c r="BQ28" s="13">
        <f t="shared" si="16"/>
        <v>7.410891165192E-3</v>
      </c>
      <c r="BR28" s="1">
        <f t="shared" si="17"/>
        <v>0.95</v>
      </c>
      <c r="BS28" s="1">
        <v>1</v>
      </c>
      <c r="BT28" s="1">
        <f>AVERAGE(BS26:BS28)</f>
        <v>0.9966666666666667</v>
      </c>
      <c r="BV28" s="1">
        <v>1</v>
      </c>
    </row>
    <row r="29" spans="29:88" x14ac:dyDescent="0.25">
      <c r="AL29">
        <v>9</v>
      </c>
      <c r="AM29">
        <f>AVERAGE(AM28,AM30)</f>
        <v>1.107030825213094</v>
      </c>
      <c r="BB29">
        <v>28</v>
      </c>
      <c r="BC29">
        <v>0.95</v>
      </c>
      <c r="BD29">
        <f t="shared" si="40"/>
        <v>4.6425873345309907E-3</v>
      </c>
      <c r="BE29" s="1">
        <f t="shared" si="11"/>
        <v>0.7421875</v>
      </c>
      <c r="BG29" s="1">
        <f t="shared" si="41"/>
        <v>0.77692307692307716</v>
      </c>
      <c r="BK29" s="13">
        <f t="shared" si="13"/>
        <v>6.0100993835201606E-3</v>
      </c>
      <c r="BL29" s="1">
        <f t="shared" si="14"/>
        <v>0.87155963302752282</v>
      </c>
      <c r="BM29" s="1">
        <f t="shared" si="42"/>
        <v>0.89538461538461545</v>
      </c>
      <c r="BQ29" s="13">
        <f t="shared" si="16"/>
        <v>7.410891165192E-3</v>
      </c>
      <c r="BR29" s="1">
        <f t="shared" si="17"/>
        <v>0.95</v>
      </c>
      <c r="BS29" s="1">
        <v>1</v>
      </c>
      <c r="BV29" s="1">
        <v>1</v>
      </c>
    </row>
    <row r="30" spans="29:88" x14ac:dyDescent="0.25">
      <c r="AL30">
        <v>10</v>
      </c>
      <c r="AM30" s="6">
        <v>1.1393896256493856</v>
      </c>
      <c r="AN30">
        <f>(AM29+2*AM30+AM31)/4</f>
        <v>1.1312999255403127</v>
      </c>
      <c r="AO30">
        <v>1.1313</v>
      </c>
      <c r="AP30">
        <f>(AN30-AO30)^2</f>
        <v>5.5442450335279021E-15</v>
      </c>
      <c r="BB30">
        <v>29</v>
      </c>
      <c r="BC30">
        <v>0.9</v>
      </c>
      <c r="BD30">
        <f t="shared" si="40"/>
        <v>4.3982406327135702E-3</v>
      </c>
      <c r="BE30" s="1">
        <f t="shared" si="11"/>
        <v>0.703125</v>
      </c>
      <c r="BG30" s="1">
        <f t="shared" si="41"/>
        <v>0.7923076923076926</v>
      </c>
      <c r="BK30" s="13">
        <f>BC30*$AS$4</f>
        <v>5.6937783633348891E-3</v>
      </c>
      <c r="BL30" s="1">
        <f t="shared" si="14"/>
        <v>0.82568807339449535</v>
      </c>
      <c r="BM30" s="1">
        <f t="shared" si="42"/>
        <v>0.90846153846153854</v>
      </c>
      <c r="BQ30" s="13">
        <f t="shared" si="16"/>
        <v>7.0208442617608431E-3</v>
      </c>
      <c r="BR30" s="1">
        <f t="shared" si="17"/>
        <v>0.9</v>
      </c>
      <c r="BS30" s="1">
        <v>1</v>
      </c>
      <c r="BV30" s="1">
        <v>1</v>
      </c>
    </row>
    <row r="31" spans="29:88" x14ac:dyDescent="0.25">
      <c r="AC31">
        <v>0.90710000000000002</v>
      </c>
      <c r="AD31">
        <v>6.8960000000000002E-3</v>
      </c>
      <c r="AE31">
        <f>AC31*AD31</f>
        <v>6.2553616000000003E-3</v>
      </c>
      <c r="AF31">
        <v>0.96299999999999997</v>
      </c>
      <c r="AG31">
        <f>AE31*AF31</f>
        <v>6.0239132208000003E-3</v>
      </c>
      <c r="AL31">
        <v>11</v>
      </c>
      <c r="AM31">
        <f>AM30</f>
        <v>1.1393896256493856</v>
      </c>
      <c r="BB31">
        <v>30</v>
      </c>
      <c r="BC31">
        <v>0.9</v>
      </c>
      <c r="BD31">
        <f t="shared" si="40"/>
        <v>4.3982406327135702E-3</v>
      </c>
      <c r="BE31" s="1">
        <f t="shared" si="11"/>
        <v>0.703125</v>
      </c>
      <c r="BG31" s="1">
        <f t="shared" si="41"/>
        <v>0.80769230769230804</v>
      </c>
      <c r="BH31" s="1">
        <f>AVERAGE(BG29:BG31)</f>
        <v>0.7923076923076926</v>
      </c>
      <c r="BK31" s="13">
        <f t="shared" ref="BK31:BK37" si="43">BC31*$AS$4</f>
        <v>5.6937783633348891E-3</v>
      </c>
      <c r="BL31" s="1">
        <f t="shared" si="14"/>
        <v>0.82568807339449535</v>
      </c>
      <c r="BM31" s="1">
        <f t="shared" si="42"/>
        <v>0.92153846153846164</v>
      </c>
      <c r="BN31" s="1">
        <f>AVERAGE(BM29:BM31)</f>
        <v>0.90846153846153854</v>
      </c>
      <c r="BQ31" s="13">
        <f t="shared" si="16"/>
        <v>7.0208442617608431E-3</v>
      </c>
      <c r="BR31" s="1">
        <f t="shared" si="17"/>
        <v>0.9</v>
      </c>
      <c r="BS31" s="1">
        <v>1</v>
      </c>
    </row>
    <row r="32" spans="29:88" x14ac:dyDescent="0.25">
      <c r="AP32">
        <f>SUM(AP24:AP30)*100</f>
        <v>8.838931239594731E-13</v>
      </c>
      <c r="BB32">
        <v>31</v>
      </c>
      <c r="BC32">
        <v>0.95</v>
      </c>
      <c r="BD32">
        <f t="shared" si="40"/>
        <v>4.6425873345309907E-3</v>
      </c>
      <c r="BE32" s="1">
        <f t="shared" si="11"/>
        <v>0.7421875</v>
      </c>
      <c r="BG32" s="1">
        <f t="shared" si="41"/>
        <v>0.82307692307692348</v>
      </c>
      <c r="BK32" s="13">
        <f t="shared" si="43"/>
        <v>6.0100993835201606E-3</v>
      </c>
      <c r="BL32" s="1">
        <f t="shared" si="14"/>
        <v>0.87155963302752282</v>
      </c>
      <c r="BM32" s="1">
        <f t="shared" si="42"/>
        <v>0.93461538461538474</v>
      </c>
      <c r="BQ32" s="13">
        <f t="shared" si="16"/>
        <v>7.410891165192E-3</v>
      </c>
      <c r="BR32" s="1">
        <f t="shared" si="17"/>
        <v>0.95</v>
      </c>
      <c r="BS32" s="1">
        <v>1</v>
      </c>
    </row>
    <row r="33" spans="43:71" x14ac:dyDescent="0.25">
      <c r="AQ33" t="s">
        <v>1</v>
      </c>
      <c r="BB33">
        <v>32</v>
      </c>
      <c r="BC33">
        <v>1.05</v>
      </c>
      <c r="BD33">
        <f t="shared" si="40"/>
        <v>5.1312807381658316E-3</v>
      </c>
      <c r="BE33" s="1">
        <f t="shared" si="11"/>
        <v>0.8203125</v>
      </c>
      <c r="BG33" s="1">
        <f t="shared" si="41"/>
        <v>0.83846153846153892</v>
      </c>
      <c r="BK33" s="13">
        <f t="shared" si="43"/>
        <v>6.6427414238907035E-3</v>
      </c>
      <c r="BL33" s="1">
        <f t="shared" si="14"/>
        <v>0.96330275229357787</v>
      </c>
      <c r="BM33" s="1">
        <f t="shared" si="42"/>
        <v>0.94769230769230783</v>
      </c>
      <c r="BQ33" s="13">
        <f t="shared" si="16"/>
        <v>8.1909849720543174E-3</v>
      </c>
      <c r="BR33" s="1">
        <f t="shared" si="17"/>
        <v>1.05</v>
      </c>
      <c r="BS33" s="1">
        <v>1</v>
      </c>
    </row>
    <row r="34" spans="43:71" x14ac:dyDescent="0.25">
      <c r="BB34">
        <v>33</v>
      </c>
      <c r="BC34">
        <v>1.05</v>
      </c>
      <c r="BD34">
        <f t="shared" si="40"/>
        <v>5.1312807381658316E-3</v>
      </c>
      <c r="BE34" s="1">
        <f t="shared" si="11"/>
        <v>0.8203125</v>
      </c>
      <c r="BG34" s="1">
        <f t="shared" si="41"/>
        <v>0.85384615384615437</v>
      </c>
      <c r="BH34" s="1">
        <f>AVERAGE(BG32:BG34)</f>
        <v>0.83846153846153892</v>
      </c>
      <c r="BK34" s="13">
        <f t="shared" si="43"/>
        <v>6.6427414238907035E-3</v>
      </c>
      <c r="BL34" s="1">
        <f t="shared" si="14"/>
        <v>0.96330275229357787</v>
      </c>
      <c r="BM34" s="1">
        <f t="shared" si="42"/>
        <v>0.96076923076923093</v>
      </c>
      <c r="BN34" s="1">
        <f>AVERAGE(BM32:BM34)</f>
        <v>0.94769230769230772</v>
      </c>
      <c r="BQ34" s="13">
        <f t="shared" si="16"/>
        <v>8.1909849720543174E-3</v>
      </c>
      <c r="BR34" s="1">
        <f t="shared" si="17"/>
        <v>1.05</v>
      </c>
      <c r="BS34" s="1">
        <v>1</v>
      </c>
    </row>
    <row r="35" spans="43:71" x14ac:dyDescent="0.25">
      <c r="BB35">
        <v>34</v>
      </c>
      <c r="BC35">
        <v>1.05</v>
      </c>
      <c r="BD35">
        <f t="shared" si="40"/>
        <v>5.1312807381658316E-3</v>
      </c>
      <c r="BE35" s="1">
        <f t="shared" si="11"/>
        <v>0.8203125</v>
      </c>
      <c r="BG35" s="1">
        <f t="shared" si="41"/>
        <v>0.86923076923076981</v>
      </c>
      <c r="BK35" s="13">
        <f t="shared" si="43"/>
        <v>6.6427414238907035E-3</v>
      </c>
      <c r="BL35" s="1">
        <f t="shared" si="14"/>
        <v>0.96330275229357787</v>
      </c>
      <c r="BM35" s="1">
        <f t="shared" si="42"/>
        <v>0.97384615384615403</v>
      </c>
      <c r="BQ35" s="13">
        <f t="shared" si="16"/>
        <v>8.1909849720543174E-3</v>
      </c>
      <c r="BR35" s="1">
        <f t="shared" si="17"/>
        <v>1.05</v>
      </c>
      <c r="BS35" s="1">
        <v>1</v>
      </c>
    </row>
    <row r="36" spans="43:71" x14ac:dyDescent="0.25">
      <c r="BB36">
        <v>35</v>
      </c>
      <c r="BC36">
        <v>1.1499999999999999</v>
      </c>
      <c r="BD36">
        <f t="shared" si="40"/>
        <v>5.6199741418006726E-3</v>
      </c>
      <c r="BE36" s="1">
        <f t="shared" si="11"/>
        <v>0.8984375</v>
      </c>
      <c r="BG36" s="1">
        <f t="shared" si="41"/>
        <v>0.88461538461538525</v>
      </c>
      <c r="BK36" s="13">
        <f t="shared" si="43"/>
        <v>7.2753834642612465E-3</v>
      </c>
      <c r="BL36" s="1">
        <f t="shared" si="14"/>
        <v>1.0550458715596329</v>
      </c>
      <c r="BM36" s="1">
        <f t="shared" si="42"/>
        <v>0.98692307692307712</v>
      </c>
      <c r="BQ36" s="13">
        <f t="shared" si="16"/>
        <v>8.9710787789166312E-3</v>
      </c>
      <c r="BR36" s="1">
        <f t="shared" si="17"/>
        <v>1.1499999999999999</v>
      </c>
      <c r="BS36" s="1">
        <v>1</v>
      </c>
    </row>
    <row r="37" spans="43:71" x14ac:dyDescent="0.25">
      <c r="BB37">
        <v>36</v>
      </c>
      <c r="BC37">
        <v>1.1499999999999999</v>
      </c>
      <c r="BD37">
        <f t="shared" si="40"/>
        <v>5.6199741418006726E-3</v>
      </c>
      <c r="BE37" s="1">
        <f t="shared" si="11"/>
        <v>0.8984375</v>
      </c>
      <c r="BF37">
        <f>BB37</f>
        <v>36</v>
      </c>
      <c r="BG37" s="14">
        <v>0.9</v>
      </c>
      <c r="BH37">
        <f>(BG37-BG24)/13</f>
        <v>1.5384615384615389E-2</v>
      </c>
      <c r="BK37" s="13">
        <f>BC37*$AS$4</f>
        <v>7.2753834642612465E-3</v>
      </c>
      <c r="BL37" s="1">
        <f t="shared" si="14"/>
        <v>1.0550458715596329</v>
      </c>
      <c r="BM37" s="14">
        <v>1</v>
      </c>
      <c r="BN37" s="1">
        <f>AVERAGE(BM35:BM37)</f>
        <v>0.98692307692307712</v>
      </c>
      <c r="BQ37" s="13">
        <f t="shared" si="16"/>
        <v>8.9710787789166312E-3</v>
      </c>
      <c r="BR37" s="1">
        <f t="shared" si="17"/>
        <v>1.1499999999999999</v>
      </c>
      <c r="BS37" s="1">
        <v>1</v>
      </c>
    </row>
    <row r="38" spans="43:71" x14ac:dyDescent="0.25">
      <c r="BB38">
        <v>37</v>
      </c>
      <c r="BC38">
        <v>1.1499999999999999</v>
      </c>
      <c r="BD38">
        <f t="shared" si="40"/>
        <v>5.6199741418006726E-3</v>
      </c>
      <c r="BE38" s="1">
        <f t="shared" si="11"/>
        <v>0.8984375</v>
      </c>
      <c r="BG38" s="1">
        <f>BG37+$BH$61</f>
        <v>0.90416666666666667</v>
      </c>
      <c r="BK38" s="13">
        <f t="shared" ref="BK38:BK44" si="44">BC38*$AS$4</f>
        <v>7.2753834642612465E-3</v>
      </c>
      <c r="BL38" s="1">
        <f t="shared" si="14"/>
        <v>1.0550458715596329</v>
      </c>
      <c r="BM38" s="1">
        <v>1</v>
      </c>
      <c r="BQ38" s="13">
        <f t="shared" si="16"/>
        <v>8.9710787789166312E-3</v>
      </c>
      <c r="BR38" s="1">
        <f t="shared" si="17"/>
        <v>1.1499999999999999</v>
      </c>
      <c r="BS38" s="1">
        <v>1</v>
      </c>
    </row>
    <row r="39" spans="43:71" x14ac:dyDescent="0.25">
      <c r="BB39">
        <v>38</v>
      </c>
      <c r="BC39">
        <v>1.1499999999999999</v>
      </c>
      <c r="BD39">
        <f t="shared" si="40"/>
        <v>5.6199741418006726E-3</v>
      </c>
      <c r="BE39" s="1">
        <f t="shared" si="11"/>
        <v>0.8984375</v>
      </c>
      <c r="BG39" s="1">
        <f t="shared" ref="BG39:BG60" si="45">BG38+$BH$61</f>
        <v>0.90833333333333333</v>
      </c>
      <c r="BK39" s="13">
        <f t="shared" si="44"/>
        <v>7.2753834642612465E-3</v>
      </c>
      <c r="BL39" s="1">
        <f t="shared" si="14"/>
        <v>1.0550458715596329</v>
      </c>
      <c r="BM39" s="1">
        <v>1</v>
      </c>
      <c r="BQ39" s="13">
        <f t="shared" si="16"/>
        <v>8.9710787789166312E-3</v>
      </c>
      <c r="BR39" s="1">
        <f t="shared" si="17"/>
        <v>1.1499999999999999</v>
      </c>
      <c r="BS39" s="1">
        <v>1</v>
      </c>
    </row>
    <row r="40" spans="43:71" x14ac:dyDescent="0.25">
      <c r="BB40">
        <v>39</v>
      </c>
      <c r="BC40">
        <v>1.1499999999999999</v>
      </c>
      <c r="BD40">
        <f t="shared" si="40"/>
        <v>5.6199741418006726E-3</v>
      </c>
      <c r="BE40" s="1">
        <f t="shared" si="11"/>
        <v>0.8984375</v>
      </c>
      <c r="BG40" s="1">
        <f t="shared" si="45"/>
        <v>0.91249999999999998</v>
      </c>
      <c r="BH40" s="1">
        <f>AVERAGE(BG38:BG40)</f>
        <v>0.90833333333333333</v>
      </c>
      <c r="BK40" s="13">
        <f t="shared" si="44"/>
        <v>7.2753834642612465E-3</v>
      </c>
      <c r="BL40" s="1">
        <f t="shared" si="14"/>
        <v>1.0550458715596329</v>
      </c>
      <c r="BM40" s="1">
        <v>1</v>
      </c>
      <c r="BN40" s="1">
        <f>AVERAGE(BM38:BM40)</f>
        <v>1</v>
      </c>
      <c r="BQ40" s="13">
        <f t="shared" si="16"/>
        <v>8.9710787789166312E-3</v>
      </c>
      <c r="BR40" s="1">
        <f t="shared" si="17"/>
        <v>1.1499999999999999</v>
      </c>
      <c r="BS40" s="1">
        <v>1</v>
      </c>
    </row>
    <row r="41" spans="43:71" x14ac:dyDescent="0.25">
      <c r="BB41">
        <v>40</v>
      </c>
      <c r="BC41">
        <v>1</v>
      </c>
      <c r="BD41">
        <f t="shared" si="40"/>
        <v>4.8869340363484112E-3</v>
      </c>
      <c r="BE41" s="1">
        <f t="shared" si="11"/>
        <v>0.78125</v>
      </c>
      <c r="BG41" s="1">
        <f t="shared" si="45"/>
        <v>0.91666666666666663</v>
      </c>
      <c r="BK41" s="13">
        <f t="shared" si="44"/>
        <v>6.3264204037054321E-3</v>
      </c>
      <c r="BL41" s="1">
        <f t="shared" si="14"/>
        <v>0.9174311926605504</v>
      </c>
      <c r="BM41" s="1">
        <v>1</v>
      </c>
      <c r="BQ41" s="13">
        <f t="shared" si="16"/>
        <v>7.8009380686231587E-3</v>
      </c>
      <c r="BR41" s="1">
        <f t="shared" si="17"/>
        <v>1</v>
      </c>
      <c r="BS41" s="1">
        <v>1</v>
      </c>
    </row>
    <row r="42" spans="43:71" x14ac:dyDescent="0.25">
      <c r="BB42">
        <v>41</v>
      </c>
      <c r="BC42">
        <v>1</v>
      </c>
      <c r="BD42">
        <f t="shared" si="40"/>
        <v>4.8869340363484112E-3</v>
      </c>
      <c r="BE42" s="1">
        <f t="shared" si="11"/>
        <v>0.78125</v>
      </c>
      <c r="BG42" s="1">
        <f t="shared" si="45"/>
        <v>0.92083333333333328</v>
      </c>
      <c r="BK42" s="13">
        <f t="shared" si="44"/>
        <v>6.3264204037054321E-3</v>
      </c>
      <c r="BL42" s="1">
        <f t="shared" si="14"/>
        <v>0.9174311926605504</v>
      </c>
      <c r="BM42" s="1">
        <v>1</v>
      </c>
      <c r="BQ42" s="13">
        <f t="shared" si="16"/>
        <v>7.8009380686231587E-3</v>
      </c>
      <c r="BR42" s="1">
        <f t="shared" si="17"/>
        <v>1</v>
      </c>
      <c r="BS42" s="1">
        <v>1</v>
      </c>
    </row>
    <row r="43" spans="43:71" x14ac:dyDescent="0.25">
      <c r="BB43">
        <v>42</v>
      </c>
      <c r="BC43">
        <v>1.05</v>
      </c>
      <c r="BD43">
        <f t="shared" si="40"/>
        <v>5.1312807381658316E-3</v>
      </c>
      <c r="BE43" s="1">
        <f t="shared" si="11"/>
        <v>0.8203125</v>
      </c>
      <c r="BG43" s="1">
        <f t="shared" si="45"/>
        <v>0.92499999999999993</v>
      </c>
      <c r="BH43" s="1">
        <f>AVERAGE(BG41:BG43)</f>
        <v>0.92083333333333328</v>
      </c>
      <c r="BK43" s="13">
        <f t="shared" si="44"/>
        <v>6.6427414238907035E-3</v>
      </c>
      <c r="BL43" s="1">
        <f t="shared" si="14"/>
        <v>0.96330275229357787</v>
      </c>
      <c r="BM43" s="1">
        <v>1</v>
      </c>
      <c r="BQ43" s="13">
        <f t="shared" si="16"/>
        <v>8.1909849720543174E-3</v>
      </c>
      <c r="BR43" s="1">
        <f t="shared" si="17"/>
        <v>1.05</v>
      </c>
      <c r="BS43" s="1">
        <v>1</v>
      </c>
    </row>
    <row r="44" spans="43:71" x14ac:dyDescent="0.25">
      <c r="BB44">
        <v>43</v>
      </c>
      <c r="BC44">
        <v>1.05</v>
      </c>
      <c r="BD44">
        <f>BC44*$AR$5</f>
        <v>6.5680393448522651E-3</v>
      </c>
      <c r="BE44" s="1">
        <f t="shared" si="11"/>
        <v>1.05</v>
      </c>
      <c r="BG44" s="1">
        <f t="shared" si="45"/>
        <v>0.92916666666666659</v>
      </c>
      <c r="BK44" s="13">
        <f>BC44*$AS$5</f>
        <v>7.2405881520408678E-3</v>
      </c>
      <c r="BL44" s="1">
        <f t="shared" si="14"/>
        <v>1.05</v>
      </c>
      <c r="BM44" s="1">
        <v>1</v>
      </c>
      <c r="BQ44" s="13">
        <f t="shared" si="16"/>
        <v>8.1909849720543174E-3</v>
      </c>
      <c r="BR44" s="1">
        <f t="shared" si="17"/>
        <v>1.05</v>
      </c>
      <c r="BS44" s="1">
        <v>1</v>
      </c>
    </row>
    <row r="45" spans="43:71" x14ac:dyDescent="0.25">
      <c r="BB45">
        <v>44</v>
      </c>
      <c r="BC45">
        <v>1.05</v>
      </c>
      <c r="BD45">
        <f t="shared" ref="BD45:BD108" si="46">BC45*$AR$5</f>
        <v>6.5680393448522651E-3</v>
      </c>
      <c r="BE45" s="1">
        <f t="shared" si="11"/>
        <v>1.05</v>
      </c>
      <c r="BG45" s="1">
        <f t="shared" si="45"/>
        <v>0.93333333333333324</v>
      </c>
      <c r="BK45" s="13">
        <f t="shared" ref="BK45:BK101" si="47">BC45*$AS$5</f>
        <v>7.2405881520408678E-3</v>
      </c>
      <c r="BL45" s="1">
        <f t="shared" si="14"/>
        <v>1.05</v>
      </c>
      <c r="BM45" s="1">
        <v>1</v>
      </c>
      <c r="BQ45" s="13">
        <f t="shared" si="16"/>
        <v>8.1909849720543174E-3</v>
      </c>
      <c r="BR45" s="1">
        <f t="shared" si="17"/>
        <v>1.05</v>
      </c>
      <c r="BS45" s="1">
        <v>1</v>
      </c>
    </row>
    <row r="46" spans="43:71" x14ac:dyDescent="0.25">
      <c r="BB46" s="6">
        <v>45</v>
      </c>
      <c r="BC46" s="6">
        <v>1</v>
      </c>
      <c r="BD46" s="6">
        <f t="shared" si="46"/>
        <v>6.2552755665259661E-3</v>
      </c>
      <c r="BE46" s="1">
        <f t="shared" si="11"/>
        <v>1</v>
      </c>
      <c r="BG46" s="1">
        <f t="shared" si="45"/>
        <v>0.93749999999999989</v>
      </c>
      <c r="BK46" s="13">
        <f t="shared" si="47"/>
        <v>6.8957982400389218E-3</v>
      </c>
      <c r="BL46" s="1">
        <f t="shared" si="14"/>
        <v>1</v>
      </c>
      <c r="BM46" s="1">
        <v>1</v>
      </c>
      <c r="BQ46" s="13">
        <f t="shared" si="16"/>
        <v>7.8009380686231587E-3</v>
      </c>
      <c r="BR46" s="1">
        <f t="shared" si="17"/>
        <v>1</v>
      </c>
      <c r="BS46" s="1">
        <v>1</v>
      </c>
    </row>
    <row r="47" spans="43:71" x14ac:dyDescent="0.25">
      <c r="BB47" s="6">
        <v>46</v>
      </c>
      <c r="BC47" s="6">
        <v>1</v>
      </c>
      <c r="BD47" s="6">
        <f t="shared" si="46"/>
        <v>6.2552755665259661E-3</v>
      </c>
      <c r="BE47" s="1">
        <f t="shared" si="11"/>
        <v>1</v>
      </c>
      <c r="BG47" s="1">
        <f t="shared" si="45"/>
        <v>0.94166666666666654</v>
      </c>
      <c r="BK47" s="13">
        <f t="shared" si="47"/>
        <v>6.8957982400389218E-3</v>
      </c>
      <c r="BL47" s="1">
        <f t="shared" si="14"/>
        <v>1</v>
      </c>
      <c r="BM47" s="1">
        <v>1</v>
      </c>
      <c r="BQ47" s="13">
        <f t="shared" si="16"/>
        <v>7.8009380686231587E-3</v>
      </c>
      <c r="BR47" s="1">
        <f t="shared" si="17"/>
        <v>1</v>
      </c>
      <c r="BS47" s="1">
        <v>1</v>
      </c>
    </row>
    <row r="48" spans="43:71" x14ac:dyDescent="0.25">
      <c r="BB48" s="6">
        <v>47</v>
      </c>
      <c r="BC48" s="6">
        <v>1</v>
      </c>
      <c r="BD48" s="6">
        <f t="shared" si="46"/>
        <v>6.2552755665259661E-3</v>
      </c>
      <c r="BE48" s="1">
        <f t="shared" si="11"/>
        <v>1</v>
      </c>
      <c r="BG48" s="1">
        <f t="shared" si="45"/>
        <v>0.94583333333333319</v>
      </c>
      <c r="BK48" s="13">
        <f t="shared" si="47"/>
        <v>6.8957982400389218E-3</v>
      </c>
      <c r="BL48" s="1">
        <f t="shared" si="14"/>
        <v>1</v>
      </c>
      <c r="BM48" s="1">
        <v>1</v>
      </c>
      <c r="BQ48" s="13">
        <f t="shared" si="16"/>
        <v>7.8009380686231587E-3</v>
      </c>
      <c r="BR48" s="1">
        <f t="shared" si="17"/>
        <v>1</v>
      </c>
      <c r="BS48" s="1">
        <v>1</v>
      </c>
    </row>
    <row r="49" spans="54:71" x14ac:dyDescent="0.25">
      <c r="BB49" s="6">
        <v>48</v>
      </c>
      <c r="BC49" s="6">
        <v>1</v>
      </c>
      <c r="BD49" s="6">
        <f t="shared" si="46"/>
        <v>6.2552755665259661E-3</v>
      </c>
      <c r="BE49" s="1">
        <f t="shared" si="11"/>
        <v>1</v>
      </c>
      <c r="BG49" s="1">
        <f t="shared" si="45"/>
        <v>0.94999999999999984</v>
      </c>
      <c r="BK49" s="13">
        <f t="shared" si="47"/>
        <v>6.8957982400389218E-3</v>
      </c>
      <c r="BL49" s="1">
        <f t="shared" si="14"/>
        <v>1</v>
      </c>
      <c r="BM49" s="1">
        <v>1</v>
      </c>
      <c r="BQ49" s="13">
        <f t="shared" si="16"/>
        <v>7.8009380686231587E-3</v>
      </c>
      <c r="BR49" s="1">
        <f t="shared" si="17"/>
        <v>1</v>
      </c>
      <c r="BS49" s="1">
        <v>1</v>
      </c>
    </row>
    <row r="50" spans="54:71" x14ac:dyDescent="0.25">
      <c r="BB50" s="6">
        <v>49</v>
      </c>
      <c r="BC50" s="6">
        <v>1</v>
      </c>
      <c r="BD50" s="6">
        <f t="shared" si="46"/>
        <v>6.2552755665259661E-3</v>
      </c>
      <c r="BE50" s="1">
        <f t="shared" si="11"/>
        <v>1</v>
      </c>
      <c r="BG50" s="1">
        <f t="shared" si="45"/>
        <v>0.9541666666666665</v>
      </c>
      <c r="BK50" s="13">
        <f t="shared" si="47"/>
        <v>6.8957982400389218E-3</v>
      </c>
      <c r="BL50" s="1">
        <f t="shared" si="14"/>
        <v>1</v>
      </c>
      <c r="BM50" s="1">
        <v>1</v>
      </c>
      <c r="BQ50" s="13">
        <f t="shared" si="16"/>
        <v>7.8009380686231587E-3</v>
      </c>
      <c r="BR50" s="1">
        <f t="shared" si="17"/>
        <v>1</v>
      </c>
      <c r="BS50" s="1">
        <v>1</v>
      </c>
    </row>
    <row r="51" spans="54:71" x14ac:dyDescent="0.25">
      <c r="BB51" s="6">
        <v>50</v>
      </c>
      <c r="BC51" s="6">
        <v>1</v>
      </c>
      <c r="BD51" s="6">
        <f t="shared" si="46"/>
        <v>6.2552755665259661E-3</v>
      </c>
      <c r="BE51" s="1">
        <f t="shared" si="11"/>
        <v>1</v>
      </c>
      <c r="BG51" s="1">
        <f t="shared" si="45"/>
        <v>0.95833333333333315</v>
      </c>
      <c r="BK51" s="13">
        <f t="shared" si="47"/>
        <v>6.8957982400389218E-3</v>
      </c>
      <c r="BL51" s="1">
        <f t="shared" si="14"/>
        <v>1</v>
      </c>
      <c r="BM51" s="1">
        <v>1</v>
      </c>
      <c r="BQ51" s="13">
        <f t="shared" si="16"/>
        <v>7.8009380686231587E-3</v>
      </c>
      <c r="BR51" s="1">
        <f t="shared" si="17"/>
        <v>1</v>
      </c>
      <c r="BS51" s="1">
        <v>1</v>
      </c>
    </row>
    <row r="52" spans="54:71" x14ac:dyDescent="0.25">
      <c r="BB52" s="6">
        <v>51</v>
      </c>
      <c r="BC52" s="6">
        <v>1</v>
      </c>
      <c r="BD52" s="6">
        <f t="shared" si="46"/>
        <v>6.2552755665259661E-3</v>
      </c>
      <c r="BE52" s="1">
        <f t="shared" si="11"/>
        <v>1</v>
      </c>
      <c r="BG52" s="1">
        <f t="shared" si="45"/>
        <v>0.9624999999999998</v>
      </c>
      <c r="BK52" s="13">
        <f t="shared" si="47"/>
        <v>6.8957982400389218E-3</v>
      </c>
      <c r="BL52" s="1">
        <f t="shared" si="14"/>
        <v>1</v>
      </c>
      <c r="BM52" s="1">
        <v>1</v>
      </c>
      <c r="BQ52" s="13">
        <f t="shared" si="16"/>
        <v>7.8009380686231587E-3</v>
      </c>
      <c r="BR52" s="1">
        <f t="shared" si="17"/>
        <v>1</v>
      </c>
      <c r="BS52" s="1">
        <v>1</v>
      </c>
    </row>
    <row r="53" spans="54:71" x14ac:dyDescent="0.25">
      <c r="BB53" s="6">
        <v>52</v>
      </c>
      <c r="BC53" s="6">
        <v>1</v>
      </c>
      <c r="BD53" s="6">
        <f t="shared" si="46"/>
        <v>6.2552755665259661E-3</v>
      </c>
      <c r="BE53" s="1">
        <f t="shared" si="11"/>
        <v>1</v>
      </c>
      <c r="BG53" s="1">
        <f t="shared" si="45"/>
        <v>0.96666666666666645</v>
      </c>
      <c r="BK53" s="13">
        <f t="shared" si="47"/>
        <v>6.8957982400389218E-3</v>
      </c>
      <c r="BL53" s="1">
        <f t="shared" si="14"/>
        <v>1</v>
      </c>
      <c r="BM53" s="1">
        <v>1</v>
      </c>
      <c r="BQ53" s="13">
        <f t="shared" si="16"/>
        <v>7.8009380686231587E-3</v>
      </c>
      <c r="BR53" s="1">
        <f t="shared" si="17"/>
        <v>1</v>
      </c>
      <c r="BS53" s="1">
        <v>1</v>
      </c>
    </row>
    <row r="54" spans="54:71" x14ac:dyDescent="0.25">
      <c r="BB54" s="6">
        <v>53</v>
      </c>
      <c r="BC54" s="6">
        <v>1</v>
      </c>
      <c r="BD54" s="6">
        <f t="shared" si="46"/>
        <v>6.2552755665259661E-3</v>
      </c>
      <c r="BE54" s="1">
        <f t="shared" si="11"/>
        <v>1</v>
      </c>
      <c r="BG54" s="1">
        <f t="shared" si="45"/>
        <v>0.9708333333333331</v>
      </c>
      <c r="BK54" s="13">
        <f t="shared" si="47"/>
        <v>6.8957982400389218E-3</v>
      </c>
      <c r="BL54" s="1">
        <f t="shared" si="14"/>
        <v>1</v>
      </c>
      <c r="BM54" s="1">
        <v>1</v>
      </c>
      <c r="BQ54" s="13">
        <f t="shared" si="16"/>
        <v>7.8009380686231587E-3</v>
      </c>
      <c r="BR54" s="1">
        <f t="shared" si="17"/>
        <v>1</v>
      </c>
      <c r="BS54" s="1">
        <v>1</v>
      </c>
    </row>
    <row r="55" spans="54:71" x14ac:dyDescent="0.25">
      <c r="BB55" s="6">
        <v>54</v>
      </c>
      <c r="BC55" s="6">
        <v>1</v>
      </c>
      <c r="BD55" s="6">
        <f t="shared" si="46"/>
        <v>6.2552755665259661E-3</v>
      </c>
      <c r="BE55" s="1">
        <f t="shared" si="11"/>
        <v>1</v>
      </c>
      <c r="BG55" s="1">
        <f t="shared" si="45"/>
        <v>0.97499999999999976</v>
      </c>
      <c r="BK55" s="13">
        <f t="shared" si="47"/>
        <v>6.8957982400389218E-3</v>
      </c>
      <c r="BL55" s="1">
        <f t="shared" si="14"/>
        <v>1</v>
      </c>
      <c r="BM55" s="1">
        <v>1</v>
      </c>
      <c r="BQ55" s="13">
        <f t="shared" si="16"/>
        <v>7.8009380686231587E-3</v>
      </c>
      <c r="BR55" s="1">
        <f t="shared" si="17"/>
        <v>1</v>
      </c>
      <c r="BS55" s="1">
        <v>1</v>
      </c>
    </row>
    <row r="56" spans="54:71" x14ac:dyDescent="0.25">
      <c r="BB56" s="6">
        <v>55</v>
      </c>
      <c r="BC56" s="6">
        <v>1</v>
      </c>
      <c r="BD56" s="6">
        <f t="shared" si="46"/>
        <v>6.2552755665259661E-3</v>
      </c>
      <c r="BE56" s="1">
        <f t="shared" si="11"/>
        <v>1</v>
      </c>
      <c r="BG56" s="1">
        <f t="shared" si="45"/>
        <v>0.97916666666666641</v>
      </c>
      <c r="BK56" s="13">
        <f t="shared" si="47"/>
        <v>6.8957982400389218E-3</v>
      </c>
      <c r="BL56" s="1">
        <f t="shared" si="14"/>
        <v>1</v>
      </c>
      <c r="BM56" s="1">
        <v>1</v>
      </c>
      <c r="BQ56" s="13">
        <f t="shared" si="16"/>
        <v>7.8009380686231587E-3</v>
      </c>
      <c r="BR56" s="1">
        <f t="shared" si="17"/>
        <v>1</v>
      </c>
      <c r="BS56" s="1">
        <v>1</v>
      </c>
    </row>
    <row r="57" spans="54:71" x14ac:dyDescent="0.25">
      <c r="BB57" s="6">
        <v>56</v>
      </c>
      <c r="BC57" s="6">
        <v>1</v>
      </c>
      <c r="BD57" s="6">
        <f t="shared" si="46"/>
        <v>6.2552755665259661E-3</v>
      </c>
      <c r="BE57" s="1">
        <f t="shared" si="11"/>
        <v>1</v>
      </c>
      <c r="BG57" s="1">
        <f t="shared" si="45"/>
        <v>0.98333333333333306</v>
      </c>
      <c r="BK57" s="13">
        <f t="shared" si="47"/>
        <v>6.8957982400389218E-3</v>
      </c>
      <c r="BL57" s="1">
        <f t="shared" si="14"/>
        <v>1</v>
      </c>
      <c r="BM57" s="1">
        <v>1</v>
      </c>
      <c r="BQ57" s="13">
        <f t="shared" si="16"/>
        <v>7.8009380686231587E-3</v>
      </c>
      <c r="BR57" s="1">
        <f t="shared" si="17"/>
        <v>1</v>
      </c>
      <c r="BS57" s="1">
        <v>1</v>
      </c>
    </row>
    <row r="58" spans="54:71" x14ac:dyDescent="0.25">
      <c r="BB58" s="6">
        <v>57</v>
      </c>
      <c r="BC58" s="6">
        <v>1</v>
      </c>
      <c r="BD58" s="6">
        <f t="shared" si="46"/>
        <v>6.2552755665259661E-3</v>
      </c>
      <c r="BE58" s="1">
        <f t="shared" si="11"/>
        <v>1</v>
      </c>
      <c r="BG58" s="1">
        <f t="shared" si="45"/>
        <v>0.98749999999999971</v>
      </c>
      <c r="BK58" s="13">
        <f t="shared" si="47"/>
        <v>6.8957982400389218E-3</v>
      </c>
      <c r="BL58" s="1">
        <f t="shared" si="14"/>
        <v>1</v>
      </c>
      <c r="BM58" s="1">
        <v>1</v>
      </c>
      <c r="BQ58" s="13">
        <f t="shared" si="16"/>
        <v>7.8009380686231587E-3</v>
      </c>
      <c r="BR58" s="1">
        <f t="shared" si="17"/>
        <v>1</v>
      </c>
      <c r="BS58" s="1">
        <v>1</v>
      </c>
    </row>
    <row r="59" spans="54:71" x14ac:dyDescent="0.25">
      <c r="BB59" s="6">
        <v>58</v>
      </c>
      <c r="BC59" s="6">
        <v>1</v>
      </c>
      <c r="BD59" s="6">
        <f t="shared" si="46"/>
        <v>6.2552755665259661E-3</v>
      </c>
      <c r="BE59" s="1">
        <f t="shared" si="11"/>
        <v>1</v>
      </c>
      <c r="BG59" s="1">
        <f t="shared" si="45"/>
        <v>0.99166666666666636</v>
      </c>
      <c r="BK59" s="13">
        <f t="shared" si="47"/>
        <v>6.8957982400389218E-3</v>
      </c>
      <c r="BL59" s="1">
        <f t="shared" si="14"/>
        <v>1</v>
      </c>
      <c r="BM59" s="1">
        <v>1</v>
      </c>
      <c r="BQ59" s="13">
        <f t="shared" si="16"/>
        <v>7.8009380686231587E-3</v>
      </c>
      <c r="BR59" s="1">
        <f t="shared" si="17"/>
        <v>1</v>
      </c>
      <c r="BS59" s="1">
        <v>1</v>
      </c>
    </row>
    <row r="60" spans="54:71" x14ac:dyDescent="0.25">
      <c r="BB60" s="6">
        <v>59</v>
      </c>
      <c r="BC60" s="6">
        <v>1</v>
      </c>
      <c r="BD60" s="6">
        <f t="shared" si="46"/>
        <v>6.2552755665259661E-3</v>
      </c>
      <c r="BE60" s="1">
        <f t="shared" si="11"/>
        <v>1</v>
      </c>
      <c r="BG60" s="1">
        <f t="shared" si="45"/>
        <v>0.99583333333333302</v>
      </c>
      <c r="BK60" s="13">
        <f t="shared" si="47"/>
        <v>6.8957982400389218E-3</v>
      </c>
      <c r="BL60" s="1">
        <f t="shared" si="14"/>
        <v>1</v>
      </c>
      <c r="BM60" s="1">
        <v>1</v>
      </c>
      <c r="BQ60" s="13">
        <f t="shared" si="16"/>
        <v>7.8009380686231587E-3</v>
      </c>
      <c r="BR60" s="1">
        <f t="shared" si="17"/>
        <v>1</v>
      </c>
      <c r="BS60" s="1">
        <v>1</v>
      </c>
    </row>
    <row r="61" spans="54:71" x14ac:dyDescent="0.25">
      <c r="BB61" s="6">
        <v>60</v>
      </c>
      <c r="BC61" s="6">
        <v>1</v>
      </c>
      <c r="BD61" s="6">
        <f t="shared" si="46"/>
        <v>6.2552755665259661E-3</v>
      </c>
      <c r="BE61" s="1">
        <f t="shared" si="11"/>
        <v>1</v>
      </c>
      <c r="BF61">
        <f>BB61</f>
        <v>60</v>
      </c>
      <c r="BG61" s="14">
        <v>1</v>
      </c>
      <c r="BH61">
        <f>(BG61-BG37)/(24)</f>
        <v>4.1666666666666657E-3</v>
      </c>
      <c r="BK61" s="13">
        <f t="shared" si="47"/>
        <v>6.8957982400389218E-3</v>
      </c>
      <c r="BL61" s="1">
        <f t="shared" si="14"/>
        <v>1</v>
      </c>
      <c r="BM61" s="1">
        <v>1</v>
      </c>
      <c r="BQ61" s="13">
        <f t="shared" si="16"/>
        <v>7.8009380686231587E-3</v>
      </c>
      <c r="BR61" s="1">
        <f t="shared" si="17"/>
        <v>1</v>
      </c>
      <c r="BS61" s="1">
        <v>1</v>
      </c>
    </row>
    <row r="62" spans="54:71" x14ac:dyDescent="0.25">
      <c r="BB62">
        <v>61</v>
      </c>
      <c r="BC62">
        <v>1</v>
      </c>
      <c r="BD62">
        <f t="shared" si="46"/>
        <v>6.2552755665259661E-3</v>
      </c>
      <c r="BE62" s="1">
        <f t="shared" si="11"/>
        <v>1</v>
      </c>
      <c r="BK62" s="13">
        <f t="shared" si="47"/>
        <v>6.8957982400389218E-3</v>
      </c>
      <c r="BL62" s="1">
        <f t="shared" si="14"/>
        <v>1</v>
      </c>
      <c r="BM62" s="1">
        <v>1</v>
      </c>
      <c r="BQ62" s="13">
        <f t="shared" si="16"/>
        <v>7.8009380686231587E-3</v>
      </c>
      <c r="BR62" s="1">
        <f t="shared" si="17"/>
        <v>1</v>
      </c>
      <c r="BS62" s="1">
        <v>1</v>
      </c>
    </row>
    <row r="63" spans="54:71" x14ac:dyDescent="0.25">
      <c r="BB63">
        <v>62</v>
      </c>
      <c r="BC63">
        <v>1</v>
      </c>
      <c r="BD63">
        <f t="shared" si="46"/>
        <v>6.2552755665259661E-3</v>
      </c>
      <c r="BE63" s="1">
        <f t="shared" si="11"/>
        <v>1</v>
      </c>
      <c r="BK63" s="13">
        <f t="shared" si="47"/>
        <v>6.8957982400389218E-3</v>
      </c>
      <c r="BL63" s="1">
        <f t="shared" si="14"/>
        <v>1</v>
      </c>
      <c r="BM63" s="1">
        <v>1</v>
      </c>
      <c r="BQ63" s="13">
        <f t="shared" si="16"/>
        <v>7.8009380686231587E-3</v>
      </c>
      <c r="BR63" s="1">
        <f t="shared" si="17"/>
        <v>1</v>
      </c>
      <c r="BS63" s="1">
        <v>1</v>
      </c>
    </row>
    <row r="64" spans="54:71" x14ac:dyDescent="0.25">
      <c r="BB64">
        <v>63</v>
      </c>
      <c r="BC64">
        <v>1</v>
      </c>
      <c r="BD64">
        <f t="shared" si="46"/>
        <v>6.2552755665259661E-3</v>
      </c>
      <c r="BE64" s="1">
        <f t="shared" si="11"/>
        <v>1</v>
      </c>
      <c r="BK64" s="13">
        <f t="shared" si="47"/>
        <v>6.8957982400389218E-3</v>
      </c>
      <c r="BL64" s="1">
        <f t="shared" si="14"/>
        <v>1</v>
      </c>
      <c r="BM64" s="1">
        <v>1</v>
      </c>
      <c r="BQ64" s="13">
        <f t="shared" si="16"/>
        <v>7.8009380686231587E-3</v>
      </c>
      <c r="BR64" s="1">
        <f t="shared" si="17"/>
        <v>1</v>
      </c>
      <c r="BS64" s="1">
        <v>1</v>
      </c>
    </row>
    <row r="65" spans="54:71" x14ac:dyDescent="0.25">
      <c r="BB65">
        <v>64</v>
      </c>
      <c r="BC65">
        <v>1</v>
      </c>
      <c r="BD65">
        <f t="shared" si="46"/>
        <v>6.2552755665259661E-3</v>
      </c>
      <c r="BE65" s="1">
        <f t="shared" si="11"/>
        <v>1</v>
      </c>
      <c r="BK65" s="13">
        <f t="shared" si="47"/>
        <v>6.8957982400389218E-3</v>
      </c>
      <c r="BL65" s="1">
        <f t="shared" si="14"/>
        <v>1</v>
      </c>
      <c r="BM65" s="1">
        <v>1</v>
      </c>
      <c r="BQ65" s="13">
        <f t="shared" si="16"/>
        <v>7.8009380686231587E-3</v>
      </c>
      <c r="BR65" s="1">
        <f t="shared" si="17"/>
        <v>1</v>
      </c>
      <c r="BS65" s="1">
        <v>1</v>
      </c>
    </row>
    <row r="66" spans="54:71" x14ac:dyDescent="0.25">
      <c r="BB66">
        <v>65</v>
      </c>
      <c r="BC66">
        <v>1</v>
      </c>
      <c r="BD66">
        <f t="shared" si="46"/>
        <v>6.2552755665259661E-3</v>
      </c>
      <c r="BE66" s="1">
        <f t="shared" si="11"/>
        <v>1</v>
      </c>
      <c r="BK66" s="13">
        <f t="shared" si="47"/>
        <v>6.8957982400389218E-3</v>
      </c>
      <c r="BL66" s="1">
        <f t="shared" si="14"/>
        <v>1</v>
      </c>
      <c r="BM66" s="1">
        <v>1</v>
      </c>
      <c r="BQ66" s="13">
        <f t="shared" si="16"/>
        <v>7.8009380686231587E-3</v>
      </c>
      <c r="BR66" s="1">
        <f t="shared" si="17"/>
        <v>1</v>
      </c>
      <c r="BS66" s="1">
        <v>1</v>
      </c>
    </row>
    <row r="67" spans="54:71" x14ac:dyDescent="0.25">
      <c r="BB67">
        <v>66</v>
      </c>
      <c r="BC67">
        <v>1</v>
      </c>
      <c r="BD67">
        <f t="shared" si="46"/>
        <v>6.2552755665259661E-3</v>
      </c>
      <c r="BE67" s="1">
        <f t="shared" ref="BE67:BE101" si="48">BD67/$BD$62</f>
        <v>1</v>
      </c>
      <c r="BK67" s="13">
        <f t="shared" si="47"/>
        <v>6.8957982400389218E-3</v>
      </c>
      <c r="BL67" s="1">
        <f t="shared" ref="BL67:BL101" si="49">BK67/$BK$101</f>
        <v>1</v>
      </c>
      <c r="BM67" s="1">
        <v>1</v>
      </c>
      <c r="BQ67" s="13">
        <f t="shared" ref="BQ67:BQ101" si="50">$AU$4*BC67</f>
        <v>7.8009380686231587E-3</v>
      </c>
      <c r="BR67" s="1">
        <f t="shared" ref="BR67:BR101" si="51">BQ67/$BQ$101</f>
        <v>1</v>
      </c>
      <c r="BS67" s="1">
        <v>1</v>
      </c>
    </row>
    <row r="68" spans="54:71" x14ac:dyDescent="0.25">
      <c r="BB68">
        <v>67</v>
      </c>
      <c r="BC68">
        <v>1</v>
      </c>
      <c r="BD68">
        <f t="shared" si="46"/>
        <v>6.2552755665259661E-3</v>
      </c>
      <c r="BE68" s="1">
        <f t="shared" si="48"/>
        <v>1</v>
      </c>
      <c r="BK68" s="13">
        <f t="shared" si="47"/>
        <v>6.8957982400389218E-3</v>
      </c>
      <c r="BL68" s="1">
        <f t="shared" si="49"/>
        <v>1</v>
      </c>
      <c r="BM68" s="1">
        <v>1</v>
      </c>
      <c r="BQ68" s="13">
        <f t="shared" si="50"/>
        <v>7.8009380686231587E-3</v>
      </c>
      <c r="BR68" s="1">
        <f t="shared" si="51"/>
        <v>1</v>
      </c>
      <c r="BS68" s="1">
        <v>1</v>
      </c>
    </row>
    <row r="69" spans="54:71" x14ac:dyDescent="0.25">
      <c r="BB69">
        <v>68</v>
      </c>
      <c r="BC69">
        <v>1</v>
      </c>
      <c r="BD69">
        <f t="shared" si="46"/>
        <v>6.2552755665259661E-3</v>
      </c>
      <c r="BE69" s="1">
        <f t="shared" si="48"/>
        <v>1</v>
      </c>
      <c r="BK69" s="13">
        <f t="shared" si="47"/>
        <v>6.8957982400389218E-3</v>
      </c>
      <c r="BL69" s="1">
        <f t="shared" si="49"/>
        <v>1</v>
      </c>
      <c r="BM69" s="1">
        <v>1</v>
      </c>
      <c r="BQ69" s="13">
        <f t="shared" si="50"/>
        <v>7.8009380686231587E-3</v>
      </c>
      <c r="BR69" s="1">
        <f t="shared" si="51"/>
        <v>1</v>
      </c>
      <c r="BS69" s="1">
        <v>1</v>
      </c>
    </row>
    <row r="70" spans="54:71" x14ac:dyDescent="0.25">
      <c r="BB70">
        <v>69</v>
      </c>
      <c r="BC70">
        <v>1</v>
      </c>
      <c r="BD70">
        <f t="shared" si="46"/>
        <v>6.2552755665259661E-3</v>
      </c>
      <c r="BE70" s="1">
        <f t="shared" si="48"/>
        <v>1</v>
      </c>
      <c r="BK70" s="13">
        <f t="shared" si="47"/>
        <v>6.8957982400389218E-3</v>
      </c>
      <c r="BL70" s="1">
        <f t="shared" si="49"/>
        <v>1</v>
      </c>
      <c r="BM70" s="1">
        <v>1</v>
      </c>
      <c r="BQ70" s="13">
        <f t="shared" si="50"/>
        <v>7.8009380686231587E-3</v>
      </c>
      <c r="BR70" s="1">
        <f t="shared" si="51"/>
        <v>1</v>
      </c>
      <c r="BS70" s="1">
        <v>1</v>
      </c>
    </row>
    <row r="71" spans="54:71" x14ac:dyDescent="0.25">
      <c r="BB71">
        <v>70</v>
      </c>
      <c r="BC71">
        <v>1</v>
      </c>
      <c r="BD71">
        <f t="shared" si="46"/>
        <v>6.2552755665259661E-3</v>
      </c>
      <c r="BE71" s="1">
        <f t="shared" si="48"/>
        <v>1</v>
      </c>
      <c r="BK71" s="13">
        <f t="shared" si="47"/>
        <v>6.8957982400389218E-3</v>
      </c>
      <c r="BL71" s="1">
        <f t="shared" si="49"/>
        <v>1</v>
      </c>
      <c r="BM71" s="1">
        <v>1</v>
      </c>
      <c r="BQ71" s="13">
        <f t="shared" si="50"/>
        <v>7.8009380686231587E-3</v>
      </c>
      <c r="BR71" s="1">
        <f t="shared" si="51"/>
        <v>1</v>
      </c>
      <c r="BS71" s="1">
        <v>1</v>
      </c>
    </row>
    <row r="72" spans="54:71" x14ac:dyDescent="0.25">
      <c r="BB72">
        <v>71</v>
      </c>
      <c r="BC72">
        <v>1</v>
      </c>
      <c r="BD72">
        <f t="shared" si="46"/>
        <v>6.2552755665259661E-3</v>
      </c>
      <c r="BE72" s="1">
        <f t="shared" si="48"/>
        <v>1</v>
      </c>
      <c r="BK72" s="13">
        <f t="shared" si="47"/>
        <v>6.8957982400389218E-3</v>
      </c>
      <c r="BL72" s="1">
        <f t="shared" si="49"/>
        <v>1</v>
      </c>
      <c r="BM72" s="1">
        <v>1</v>
      </c>
      <c r="BQ72" s="13">
        <f t="shared" si="50"/>
        <v>7.8009380686231587E-3</v>
      </c>
      <c r="BR72" s="1">
        <f t="shared" si="51"/>
        <v>1</v>
      </c>
      <c r="BS72" s="1">
        <v>1</v>
      </c>
    </row>
    <row r="73" spans="54:71" x14ac:dyDescent="0.25">
      <c r="BB73">
        <v>72</v>
      </c>
      <c r="BC73">
        <v>1</v>
      </c>
      <c r="BD73">
        <f t="shared" si="46"/>
        <v>6.2552755665259661E-3</v>
      </c>
      <c r="BE73" s="1">
        <f t="shared" si="48"/>
        <v>1</v>
      </c>
      <c r="BK73" s="13">
        <f t="shared" si="47"/>
        <v>6.8957982400389218E-3</v>
      </c>
      <c r="BL73" s="1">
        <f t="shared" si="49"/>
        <v>1</v>
      </c>
      <c r="BM73" s="1">
        <v>1</v>
      </c>
      <c r="BQ73" s="13">
        <f t="shared" si="50"/>
        <v>7.8009380686231587E-3</v>
      </c>
      <c r="BR73" s="1">
        <f t="shared" si="51"/>
        <v>1</v>
      </c>
      <c r="BS73" s="1">
        <v>1</v>
      </c>
    </row>
    <row r="74" spans="54:71" x14ac:dyDescent="0.25">
      <c r="BB74">
        <v>73</v>
      </c>
      <c r="BC74">
        <v>1</v>
      </c>
      <c r="BD74">
        <f t="shared" si="46"/>
        <v>6.2552755665259661E-3</v>
      </c>
      <c r="BE74" s="1">
        <f t="shared" si="48"/>
        <v>1</v>
      </c>
      <c r="BK74" s="13">
        <f t="shared" si="47"/>
        <v>6.8957982400389218E-3</v>
      </c>
      <c r="BL74" s="1">
        <f t="shared" si="49"/>
        <v>1</v>
      </c>
      <c r="BM74" s="1">
        <v>1</v>
      </c>
      <c r="BQ74" s="13">
        <f t="shared" si="50"/>
        <v>7.8009380686231587E-3</v>
      </c>
      <c r="BR74" s="1">
        <f t="shared" si="51"/>
        <v>1</v>
      </c>
      <c r="BS74" s="1">
        <v>1</v>
      </c>
    </row>
    <row r="75" spans="54:71" x14ac:dyDescent="0.25">
      <c r="BB75">
        <v>74</v>
      </c>
      <c r="BC75">
        <v>1</v>
      </c>
      <c r="BD75">
        <f t="shared" si="46"/>
        <v>6.2552755665259661E-3</v>
      </c>
      <c r="BE75" s="1">
        <f t="shared" si="48"/>
        <v>1</v>
      </c>
      <c r="BK75" s="13">
        <f t="shared" si="47"/>
        <v>6.8957982400389218E-3</v>
      </c>
      <c r="BL75" s="1">
        <f t="shared" si="49"/>
        <v>1</v>
      </c>
      <c r="BM75" s="1">
        <v>1</v>
      </c>
      <c r="BQ75" s="13">
        <f t="shared" si="50"/>
        <v>7.8009380686231587E-3</v>
      </c>
      <c r="BR75" s="1">
        <f t="shared" si="51"/>
        <v>1</v>
      </c>
      <c r="BS75" s="1">
        <v>1</v>
      </c>
    </row>
    <row r="76" spans="54:71" x14ac:dyDescent="0.25">
      <c r="BB76">
        <v>75</v>
      </c>
      <c r="BC76">
        <v>1</v>
      </c>
      <c r="BD76">
        <f t="shared" si="46"/>
        <v>6.2552755665259661E-3</v>
      </c>
      <c r="BE76" s="1">
        <f t="shared" si="48"/>
        <v>1</v>
      </c>
      <c r="BK76" s="13">
        <f t="shared" si="47"/>
        <v>6.8957982400389218E-3</v>
      </c>
      <c r="BL76" s="1">
        <f t="shared" si="49"/>
        <v>1</v>
      </c>
      <c r="BM76" s="1">
        <v>1</v>
      </c>
      <c r="BQ76" s="13">
        <f t="shared" si="50"/>
        <v>7.8009380686231587E-3</v>
      </c>
      <c r="BR76" s="1">
        <f t="shared" si="51"/>
        <v>1</v>
      </c>
      <c r="BS76" s="1">
        <v>1</v>
      </c>
    </row>
    <row r="77" spans="54:71" x14ac:dyDescent="0.25">
      <c r="BB77">
        <v>76</v>
      </c>
      <c r="BC77">
        <v>1</v>
      </c>
      <c r="BD77">
        <f t="shared" si="46"/>
        <v>6.2552755665259661E-3</v>
      </c>
      <c r="BE77" s="1">
        <f t="shared" si="48"/>
        <v>1</v>
      </c>
      <c r="BK77" s="13">
        <f t="shared" si="47"/>
        <v>6.8957982400389218E-3</v>
      </c>
      <c r="BL77" s="1">
        <f t="shared" si="49"/>
        <v>1</v>
      </c>
      <c r="BM77" s="1">
        <v>1</v>
      </c>
      <c r="BQ77" s="13">
        <f t="shared" si="50"/>
        <v>7.8009380686231587E-3</v>
      </c>
      <c r="BR77" s="1">
        <f t="shared" si="51"/>
        <v>1</v>
      </c>
      <c r="BS77" s="1">
        <v>1</v>
      </c>
    </row>
    <row r="78" spans="54:71" x14ac:dyDescent="0.25">
      <c r="BB78">
        <v>77</v>
      </c>
      <c r="BC78">
        <v>1</v>
      </c>
      <c r="BD78">
        <f t="shared" si="46"/>
        <v>6.2552755665259661E-3</v>
      </c>
      <c r="BE78" s="1">
        <f t="shared" si="48"/>
        <v>1</v>
      </c>
      <c r="BK78" s="13">
        <f t="shared" si="47"/>
        <v>6.8957982400389218E-3</v>
      </c>
      <c r="BL78" s="1">
        <f t="shared" si="49"/>
        <v>1</v>
      </c>
      <c r="BM78" s="1">
        <v>1</v>
      </c>
      <c r="BQ78" s="13">
        <f t="shared" si="50"/>
        <v>7.8009380686231587E-3</v>
      </c>
      <c r="BR78" s="1">
        <f t="shared" si="51"/>
        <v>1</v>
      </c>
      <c r="BS78" s="1">
        <v>1</v>
      </c>
    </row>
    <row r="79" spans="54:71" x14ac:dyDescent="0.25">
      <c r="BB79">
        <v>78</v>
      </c>
      <c r="BC79">
        <v>1</v>
      </c>
      <c r="BD79">
        <f t="shared" si="46"/>
        <v>6.2552755665259661E-3</v>
      </c>
      <c r="BE79" s="1">
        <f t="shared" si="48"/>
        <v>1</v>
      </c>
      <c r="BK79" s="13">
        <f t="shared" si="47"/>
        <v>6.8957982400389218E-3</v>
      </c>
      <c r="BL79" s="1">
        <f t="shared" si="49"/>
        <v>1</v>
      </c>
      <c r="BM79" s="1">
        <v>1</v>
      </c>
      <c r="BQ79" s="13">
        <f t="shared" si="50"/>
        <v>7.8009380686231587E-3</v>
      </c>
      <c r="BR79" s="1">
        <f t="shared" si="51"/>
        <v>1</v>
      </c>
      <c r="BS79" s="1">
        <v>1</v>
      </c>
    </row>
    <row r="80" spans="54:71" x14ac:dyDescent="0.25">
      <c r="BB80">
        <v>79</v>
      </c>
      <c r="BC80">
        <v>1</v>
      </c>
      <c r="BD80">
        <f t="shared" si="46"/>
        <v>6.2552755665259661E-3</v>
      </c>
      <c r="BE80" s="1">
        <f t="shared" si="48"/>
        <v>1</v>
      </c>
      <c r="BK80" s="13">
        <f t="shared" si="47"/>
        <v>6.8957982400389218E-3</v>
      </c>
      <c r="BL80" s="1">
        <f t="shared" si="49"/>
        <v>1</v>
      </c>
      <c r="BM80" s="1">
        <v>1</v>
      </c>
      <c r="BQ80" s="13">
        <f t="shared" si="50"/>
        <v>7.8009380686231587E-3</v>
      </c>
      <c r="BR80" s="1">
        <f t="shared" si="51"/>
        <v>1</v>
      </c>
      <c r="BS80" s="1">
        <v>1</v>
      </c>
    </row>
    <row r="81" spans="54:71" x14ac:dyDescent="0.25">
      <c r="BB81">
        <v>80</v>
      </c>
      <c r="BC81">
        <v>1</v>
      </c>
      <c r="BD81">
        <f t="shared" si="46"/>
        <v>6.2552755665259661E-3</v>
      </c>
      <c r="BE81" s="1">
        <f t="shared" si="48"/>
        <v>1</v>
      </c>
      <c r="BK81" s="13">
        <f t="shared" si="47"/>
        <v>6.8957982400389218E-3</v>
      </c>
      <c r="BL81" s="1">
        <f t="shared" si="49"/>
        <v>1</v>
      </c>
      <c r="BM81" s="1">
        <v>1</v>
      </c>
      <c r="BQ81" s="13">
        <f t="shared" si="50"/>
        <v>7.8009380686231587E-3</v>
      </c>
      <c r="BR81" s="1">
        <f t="shared" si="51"/>
        <v>1</v>
      </c>
      <c r="BS81" s="1">
        <v>1</v>
      </c>
    </row>
    <row r="82" spans="54:71" x14ac:dyDescent="0.25">
      <c r="BB82">
        <v>81</v>
      </c>
      <c r="BC82">
        <v>1</v>
      </c>
      <c r="BD82">
        <f t="shared" si="46"/>
        <v>6.2552755665259661E-3</v>
      </c>
      <c r="BE82" s="1">
        <f t="shared" si="48"/>
        <v>1</v>
      </c>
      <c r="BK82" s="13">
        <f t="shared" si="47"/>
        <v>6.8957982400389218E-3</v>
      </c>
      <c r="BL82" s="1">
        <f t="shared" si="49"/>
        <v>1</v>
      </c>
      <c r="BM82" s="1">
        <v>1</v>
      </c>
      <c r="BQ82" s="13">
        <f t="shared" si="50"/>
        <v>7.8009380686231587E-3</v>
      </c>
      <c r="BR82" s="1">
        <f t="shared" si="51"/>
        <v>1</v>
      </c>
      <c r="BS82" s="1">
        <v>1</v>
      </c>
    </row>
    <row r="83" spans="54:71" x14ac:dyDescent="0.25">
      <c r="BB83">
        <v>82</v>
      </c>
      <c r="BC83">
        <v>1</v>
      </c>
      <c r="BD83">
        <f t="shared" si="46"/>
        <v>6.2552755665259661E-3</v>
      </c>
      <c r="BE83" s="1">
        <f t="shared" si="48"/>
        <v>1</v>
      </c>
      <c r="BK83" s="13">
        <f t="shared" si="47"/>
        <v>6.8957982400389218E-3</v>
      </c>
      <c r="BL83" s="1">
        <f t="shared" si="49"/>
        <v>1</v>
      </c>
      <c r="BM83" s="1">
        <v>1</v>
      </c>
      <c r="BQ83" s="13">
        <f t="shared" si="50"/>
        <v>7.8009380686231587E-3</v>
      </c>
      <c r="BR83" s="1">
        <f t="shared" si="51"/>
        <v>1</v>
      </c>
      <c r="BS83" s="1">
        <v>1</v>
      </c>
    </row>
    <row r="84" spans="54:71" x14ac:dyDescent="0.25">
      <c r="BB84">
        <v>83</v>
      </c>
      <c r="BC84">
        <v>1</v>
      </c>
      <c r="BD84">
        <f t="shared" si="46"/>
        <v>6.2552755665259661E-3</v>
      </c>
      <c r="BE84" s="1">
        <f t="shared" si="48"/>
        <v>1</v>
      </c>
      <c r="BK84" s="13">
        <f t="shared" si="47"/>
        <v>6.8957982400389218E-3</v>
      </c>
      <c r="BL84" s="1">
        <f t="shared" si="49"/>
        <v>1</v>
      </c>
      <c r="BM84" s="1">
        <v>1</v>
      </c>
      <c r="BQ84" s="13">
        <f t="shared" si="50"/>
        <v>7.8009380686231587E-3</v>
      </c>
      <c r="BR84" s="1">
        <f t="shared" si="51"/>
        <v>1</v>
      </c>
      <c r="BS84" s="1">
        <v>1</v>
      </c>
    </row>
    <row r="85" spans="54:71" x14ac:dyDescent="0.25">
      <c r="BB85">
        <v>84</v>
      </c>
      <c r="BC85">
        <v>1</v>
      </c>
      <c r="BD85">
        <f t="shared" si="46"/>
        <v>6.2552755665259661E-3</v>
      </c>
      <c r="BE85" s="1">
        <f t="shared" si="48"/>
        <v>1</v>
      </c>
      <c r="BK85" s="13">
        <f t="shared" si="47"/>
        <v>6.8957982400389218E-3</v>
      </c>
      <c r="BL85" s="1">
        <f t="shared" si="49"/>
        <v>1</v>
      </c>
      <c r="BM85" s="1">
        <v>1</v>
      </c>
      <c r="BQ85" s="13">
        <f t="shared" si="50"/>
        <v>7.8009380686231587E-3</v>
      </c>
      <c r="BR85" s="1">
        <f t="shared" si="51"/>
        <v>1</v>
      </c>
      <c r="BS85" s="1">
        <v>1</v>
      </c>
    </row>
    <row r="86" spans="54:71" x14ac:dyDescent="0.25">
      <c r="BB86">
        <v>85</v>
      </c>
      <c r="BC86">
        <v>1</v>
      </c>
      <c r="BD86">
        <f t="shared" si="46"/>
        <v>6.2552755665259661E-3</v>
      </c>
      <c r="BE86" s="1">
        <f t="shared" si="48"/>
        <v>1</v>
      </c>
      <c r="BK86" s="13">
        <f t="shared" si="47"/>
        <v>6.8957982400389218E-3</v>
      </c>
      <c r="BL86" s="1">
        <f t="shared" si="49"/>
        <v>1</v>
      </c>
      <c r="BM86" s="1">
        <v>1</v>
      </c>
      <c r="BQ86" s="13">
        <f t="shared" si="50"/>
        <v>7.8009380686231587E-3</v>
      </c>
      <c r="BR86" s="1">
        <f t="shared" si="51"/>
        <v>1</v>
      </c>
      <c r="BS86" s="1">
        <v>1</v>
      </c>
    </row>
    <row r="87" spans="54:71" x14ac:dyDescent="0.25">
      <c r="BB87">
        <v>86</v>
      </c>
      <c r="BC87">
        <v>1</v>
      </c>
      <c r="BD87">
        <f t="shared" si="46"/>
        <v>6.2552755665259661E-3</v>
      </c>
      <c r="BE87" s="1">
        <f t="shared" si="48"/>
        <v>1</v>
      </c>
      <c r="BK87" s="13">
        <f t="shared" si="47"/>
        <v>6.8957982400389218E-3</v>
      </c>
      <c r="BL87" s="1">
        <f t="shared" si="49"/>
        <v>1</v>
      </c>
      <c r="BM87" s="1">
        <v>1</v>
      </c>
      <c r="BQ87" s="13">
        <f t="shared" si="50"/>
        <v>7.8009380686231587E-3</v>
      </c>
      <c r="BR87" s="1">
        <f t="shared" si="51"/>
        <v>1</v>
      </c>
      <c r="BS87" s="1">
        <v>1</v>
      </c>
    </row>
    <row r="88" spans="54:71" x14ac:dyDescent="0.25">
      <c r="BB88">
        <v>87</v>
      </c>
      <c r="BC88">
        <v>1</v>
      </c>
      <c r="BD88">
        <f t="shared" si="46"/>
        <v>6.2552755665259661E-3</v>
      </c>
      <c r="BE88" s="1">
        <f t="shared" si="48"/>
        <v>1</v>
      </c>
      <c r="BK88" s="13">
        <f t="shared" si="47"/>
        <v>6.8957982400389218E-3</v>
      </c>
      <c r="BL88" s="1">
        <f t="shared" si="49"/>
        <v>1</v>
      </c>
      <c r="BM88" s="1">
        <v>1</v>
      </c>
      <c r="BQ88" s="13">
        <f t="shared" si="50"/>
        <v>7.8009380686231587E-3</v>
      </c>
      <c r="BR88" s="1">
        <f t="shared" si="51"/>
        <v>1</v>
      </c>
      <c r="BS88" s="1">
        <v>1</v>
      </c>
    </row>
    <row r="89" spans="54:71" x14ac:dyDescent="0.25">
      <c r="BB89">
        <v>88</v>
      </c>
      <c r="BC89">
        <v>1</v>
      </c>
      <c r="BD89">
        <f t="shared" si="46"/>
        <v>6.2552755665259661E-3</v>
      </c>
      <c r="BE89" s="1">
        <f t="shared" si="48"/>
        <v>1</v>
      </c>
      <c r="BK89" s="13">
        <f t="shared" si="47"/>
        <v>6.8957982400389218E-3</v>
      </c>
      <c r="BL89" s="1">
        <f t="shared" si="49"/>
        <v>1</v>
      </c>
      <c r="BM89" s="1">
        <v>1</v>
      </c>
      <c r="BQ89" s="13">
        <f t="shared" si="50"/>
        <v>7.8009380686231587E-3</v>
      </c>
      <c r="BR89" s="1">
        <f t="shared" si="51"/>
        <v>1</v>
      </c>
      <c r="BS89" s="1">
        <v>1</v>
      </c>
    </row>
    <row r="90" spans="54:71" x14ac:dyDescent="0.25">
      <c r="BB90">
        <v>89</v>
      </c>
      <c r="BC90">
        <v>1</v>
      </c>
      <c r="BD90">
        <f t="shared" si="46"/>
        <v>6.2552755665259661E-3</v>
      </c>
      <c r="BE90" s="1">
        <f t="shared" si="48"/>
        <v>1</v>
      </c>
      <c r="BK90" s="13">
        <f t="shared" si="47"/>
        <v>6.8957982400389218E-3</v>
      </c>
      <c r="BL90" s="1">
        <f t="shared" si="49"/>
        <v>1</v>
      </c>
      <c r="BM90" s="1">
        <v>1</v>
      </c>
      <c r="BQ90" s="13">
        <f t="shared" si="50"/>
        <v>7.8009380686231587E-3</v>
      </c>
      <c r="BR90" s="1">
        <f t="shared" si="51"/>
        <v>1</v>
      </c>
      <c r="BS90" s="1">
        <v>1</v>
      </c>
    </row>
    <row r="91" spans="54:71" x14ac:dyDescent="0.25">
      <c r="BB91">
        <v>90</v>
      </c>
      <c r="BC91">
        <v>1</v>
      </c>
      <c r="BD91">
        <f t="shared" si="46"/>
        <v>6.2552755665259661E-3</v>
      </c>
      <c r="BE91" s="1">
        <f t="shared" si="48"/>
        <v>1</v>
      </c>
      <c r="BK91" s="13">
        <f t="shared" si="47"/>
        <v>6.8957982400389218E-3</v>
      </c>
      <c r="BL91" s="1">
        <f t="shared" si="49"/>
        <v>1</v>
      </c>
      <c r="BM91" s="1">
        <v>1</v>
      </c>
      <c r="BQ91" s="13">
        <f t="shared" si="50"/>
        <v>7.8009380686231587E-3</v>
      </c>
      <c r="BR91" s="1">
        <f t="shared" si="51"/>
        <v>1</v>
      </c>
      <c r="BS91" s="1">
        <v>1</v>
      </c>
    </row>
    <row r="92" spans="54:71" x14ac:dyDescent="0.25">
      <c r="BB92">
        <v>91</v>
      </c>
      <c r="BC92">
        <v>1</v>
      </c>
      <c r="BD92">
        <f t="shared" si="46"/>
        <v>6.2552755665259661E-3</v>
      </c>
      <c r="BE92" s="1">
        <f t="shared" si="48"/>
        <v>1</v>
      </c>
      <c r="BK92" s="13">
        <f t="shared" si="47"/>
        <v>6.8957982400389218E-3</v>
      </c>
      <c r="BL92" s="1">
        <f t="shared" si="49"/>
        <v>1</v>
      </c>
      <c r="BM92" s="1">
        <v>1</v>
      </c>
      <c r="BQ92" s="13">
        <f t="shared" si="50"/>
        <v>7.8009380686231587E-3</v>
      </c>
      <c r="BR92" s="1">
        <f t="shared" si="51"/>
        <v>1</v>
      </c>
      <c r="BS92" s="1">
        <v>1</v>
      </c>
    </row>
    <row r="93" spans="54:71" x14ac:dyDescent="0.25">
      <c r="BB93">
        <v>92</v>
      </c>
      <c r="BC93">
        <v>1</v>
      </c>
      <c r="BD93">
        <f t="shared" si="46"/>
        <v>6.2552755665259661E-3</v>
      </c>
      <c r="BE93" s="1">
        <f t="shared" si="48"/>
        <v>1</v>
      </c>
      <c r="BK93" s="13">
        <f t="shared" si="47"/>
        <v>6.8957982400389218E-3</v>
      </c>
      <c r="BL93" s="1">
        <f t="shared" si="49"/>
        <v>1</v>
      </c>
      <c r="BM93" s="1">
        <v>1</v>
      </c>
      <c r="BQ93" s="13">
        <f t="shared" si="50"/>
        <v>7.8009380686231587E-3</v>
      </c>
      <c r="BR93" s="1">
        <f t="shared" si="51"/>
        <v>1</v>
      </c>
      <c r="BS93" s="1">
        <v>1</v>
      </c>
    </row>
    <row r="94" spans="54:71" x14ac:dyDescent="0.25">
      <c r="BB94">
        <v>93</v>
      </c>
      <c r="BC94">
        <v>1</v>
      </c>
      <c r="BD94">
        <f t="shared" si="46"/>
        <v>6.2552755665259661E-3</v>
      </c>
      <c r="BE94" s="1">
        <f t="shared" si="48"/>
        <v>1</v>
      </c>
      <c r="BK94" s="13">
        <f t="shared" si="47"/>
        <v>6.8957982400389218E-3</v>
      </c>
      <c r="BL94" s="1">
        <f t="shared" si="49"/>
        <v>1</v>
      </c>
      <c r="BM94" s="1">
        <v>1</v>
      </c>
      <c r="BQ94" s="13">
        <f t="shared" si="50"/>
        <v>7.8009380686231587E-3</v>
      </c>
      <c r="BR94" s="1">
        <f t="shared" si="51"/>
        <v>1</v>
      </c>
      <c r="BS94" s="1">
        <v>1</v>
      </c>
    </row>
    <row r="95" spans="54:71" x14ac:dyDescent="0.25">
      <c r="BB95">
        <v>94</v>
      </c>
      <c r="BC95">
        <v>1</v>
      </c>
      <c r="BD95">
        <f t="shared" si="46"/>
        <v>6.2552755665259661E-3</v>
      </c>
      <c r="BE95" s="1">
        <f t="shared" si="48"/>
        <v>1</v>
      </c>
      <c r="BK95" s="13">
        <f t="shared" si="47"/>
        <v>6.8957982400389218E-3</v>
      </c>
      <c r="BL95" s="1">
        <f t="shared" si="49"/>
        <v>1</v>
      </c>
      <c r="BM95" s="1">
        <v>1</v>
      </c>
      <c r="BQ95" s="13">
        <f t="shared" si="50"/>
        <v>7.8009380686231587E-3</v>
      </c>
      <c r="BR95" s="1">
        <f t="shared" si="51"/>
        <v>1</v>
      </c>
      <c r="BS95" s="1">
        <v>1</v>
      </c>
    </row>
    <row r="96" spans="54:71" x14ac:dyDescent="0.25">
      <c r="BB96">
        <v>95</v>
      </c>
      <c r="BC96">
        <v>1</v>
      </c>
      <c r="BD96">
        <f t="shared" si="46"/>
        <v>6.2552755665259661E-3</v>
      </c>
      <c r="BE96" s="1">
        <f t="shared" si="48"/>
        <v>1</v>
      </c>
      <c r="BK96" s="13">
        <f t="shared" si="47"/>
        <v>6.8957982400389218E-3</v>
      </c>
      <c r="BL96" s="1">
        <f t="shared" si="49"/>
        <v>1</v>
      </c>
      <c r="BM96" s="1">
        <v>1</v>
      </c>
      <c r="BQ96" s="13">
        <f t="shared" si="50"/>
        <v>7.8009380686231587E-3</v>
      </c>
      <c r="BR96" s="1">
        <f t="shared" si="51"/>
        <v>1</v>
      </c>
      <c r="BS96" s="1">
        <v>1</v>
      </c>
    </row>
    <row r="97" spans="54:71" x14ac:dyDescent="0.25">
      <c r="BB97">
        <v>96</v>
      </c>
      <c r="BC97">
        <v>1</v>
      </c>
      <c r="BD97">
        <f t="shared" si="46"/>
        <v>6.2552755665259661E-3</v>
      </c>
      <c r="BE97" s="1">
        <f t="shared" si="48"/>
        <v>1</v>
      </c>
      <c r="BK97" s="13">
        <f t="shared" si="47"/>
        <v>6.8957982400389218E-3</v>
      </c>
      <c r="BL97" s="1">
        <f t="shared" si="49"/>
        <v>1</v>
      </c>
      <c r="BM97" s="1">
        <v>1</v>
      </c>
      <c r="BQ97" s="13">
        <f t="shared" si="50"/>
        <v>7.8009380686231587E-3</v>
      </c>
      <c r="BR97" s="1">
        <f t="shared" si="51"/>
        <v>1</v>
      </c>
      <c r="BS97" s="1">
        <v>1</v>
      </c>
    </row>
    <row r="98" spans="54:71" x14ac:dyDescent="0.25">
      <c r="BB98">
        <v>97</v>
      </c>
      <c r="BC98">
        <v>1</v>
      </c>
      <c r="BD98">
        <f t="shared" si="46"/>
        <v>6.2552755665259661E-3</v>
      </c>
      <c r="BE98" s="1">
        <f t="shared" si="48"/>
        <v>1</v>
      </c>
      <c r="BK98" s="13">
        <f t="shared" si="47"/>
        <v>6.8957982400389218E-3</v>
      </c>
      <c r="BL98" s="1">
        <f t="shared" si="49"/>
        <v>1</v>
      </c>
      <c r="BM98" s="1">
        <v>1</v>
      </c>
      <c r="BQ98" s="13">
        <f t="shared" si="50"/>
        <v>7.8009380686231587E-3</v>
      </c>
      <c r="BR98" s="1">
        <f t="shared" si="51"/>
        <v>1</v>
      </c>
      <c r="BS98" s="1">
        <v>1</v>
      </c>
    </row>
    <row r="99" spans="54:71" x14ac:dyDescent="0.25">
      <c r="BB99">
        <v>98</v>
      </c>
      <c r="BC99">
        <v>1</v>
      </c>
      <c r="BD99">
        <f t="shared" si="46"/>
        <v>6.2552755665259661E-3</v>
      </c>
      <c r="BE99" s="1">
        <f t="shared" si="48"/>
        <v>1</v>
      </c>
      <c r="BK99" s="13">
        <f t="shared" si="47"/>
        <v>6.8957982400389218E-3</v>
      </c>
      <c r="BL99" s="1">
        <f t="shared" si="49"/>
        <v>1</v>
      </c>
      <c r="BM99" s="1">
        <v>1</v>
      </c>
      <c r="BQ99" s="13">
        <f t="shared" si="50"/>
        <v>7.8009380686231587E-3</v>
      </c>
      <c r="BR99" s="1">
        <f t="shared" si="51"/>
        <v>1</v>
      </c>
      <c r="BS99" s="1">
        <v>1</v>
      </c>
    </row>
    <row r="100" spans="54:71" x14ac:dyDescent="0.25">
      <c r="BB100">
        <v>99</v>
      </c>
      <c r="BC100">
        <v>1</v>
      </c>
      <c r="BD100">
        <f t="shared" si="46"/>
        <v>6.2552755665259661E-3</v>
      </c>
      <c r="BE100" s="1">
        <f t="shared" si="48"/>
        <v>1</v>
      </c>
      <c r="BK100" s="13">
        <f t="shared" si="47"/>
        <v>6.8957982400389218E-3</v>
      </c>
      <c r="BL100" s="1">
        <f t="shared" si="49"/>
        <v>1</v>
      </c>
      <c r="BM100" s="1">
        <v>1</v>
      </c>
      <c r="BQ100" s="13">
        <f t="shared" si="50"/>
        <v>7.8009380686231587E-3</v>
      </c>
      <c r="BR100" s="1">
        <f t="shared" si="51"/>
        <v>1</v>
      </c>
      <c r="BS100" s="1">
        <v>1</v>
      </c>
    </row>
    <row r="101" spans="54:71" x14ac:dyDescent="0.25">
      <c r="BB101">
        <v>100</v>
      </c>
      <c r="BC101">
        <v>1</v>
      </c>
      <c r="BD101">
        <f t="shared" si="46"/>
        <v>6.2552755665259661E-3</v>
      </c>
      <c r="BE101" s="1">
        <f t="shared" si="48"/>
        <v>1</v>
      </c>
      <c r="BK101" s="13">
        <f t="shared" si="47"/>
        <v>6.8957982400389218E-3</v>
      </c>
      <c r="BL101" s="1">
        <f t="shared" si="49"/>
        <v>1</v>
      </c>
      <c r="BM101" s="1">
        <v>1</v>
      </c>
      <c r="BQ101" s="13">
        <f t="shared" si="50"/>
        <v>7.8009380686231587E-3</v>
      </c>
      <c r="BR101" s="1">
        <f t="shared" si="51"/>
        <v>1</v>
      </c>
      <c r="BS101" s="1">
        <v>1</v>
      </c>
    </row>
    <row r="102" spans="54:71" x14ac:dyDescent="0.25">
      <c r="BB102">
        <v>101</v>
      </c>
      <c r="BD102">
        <f t="shared" si="46"/>
        <v>0</v>
      </c>
    </row>
    <row r="103" spans="54:71" x14ac:dyDescent="0.25">
      <c r="BB103">
        <v>102</v>
      </c>
      <c r="BD103">
        <f t="shared" si="46"/>
        <v>0</v>
      </c>
    </row>
    <row r="104" spans="54:71" x14ac:dyDescent="0.25">
      <c r="BB104">
        <v>103</v>
      </c>
      <c r="BD104">
        <f t="shared" si="46"/>
        <v>0</v>
      </c>
    </row>
    <row r="105" spans="54:71" x14ac:dyDescent="0.25">
      <c r="BB105">
        <v>104</v>
      </c>
      <c r="BD105">
        <f t="shared" si="46"/>
        <v>0</v>
      </c>
    </row>
    <row r="106" spans="54:71" x14ac:dyDescent="0.25">
      <c r="BB106">
        <v>105</v>
      </c>
      <c r="BD106">
        <f t="shared" si="46"/>
        <v>0</v>
      </c>
    </row>
    <row r="107" spans="54:71" x14ac:dyDescent="0.25">
      <c r="BB107">
        <v>106</v>
      </c>
      <c r="BD107">
        <f t="shared" si="46"/>
        <v>0</v>
      </c>
    </row>
    <row r="108" spans="54:71" x14ac:dyDescent="0.25">
      <c r="BB108">
        <v>107</v>
      </c>
      <c r="BD108">
        <f t="shared" si="46"/>
        <v>0</v>
      </c>
    </row>
    <row r="109" spans="54:71" x14ac:dyDescent="0.25">
      <c r="BB109">
        <v>108</v>
      </c>
      <c r="BD109">
        <f t="shared" ref="BD109" si="52">BC109*$AR$5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I3" sqref="I3"/>
    </sheetView>
  </sheetViews>
  <sheetFormatPr defaultRowHeight="15" x14ac:dyDescent="0.25"/>
  <cols>
    <col min="4" max="4" width="9.140625" style="4"/>
    <col min="5" max="5" width="11" bestFit="1" customWidth="1"/>
  </cols>
  <sheetData>
    <row r="1" spans="1:18" x14ac:dyDescent="0.25">
      <c r="F1" t="s">
        <v>39</v>
      </c>
      <c r="H1" s="24">
        <v>0</v>
      </c>
      <c r="I1" s="24">
        <v>0</v>
      </c>
    </row>
    <row r="2" spans="1:18" x14ac:dyDescent="0.25">
      <c r="A2">
        <v>5</v>
      </c>
      <c r="C2" s="5">
        <v>0</v>
      </c>
      <c r="F2">
        <v>1</v>
      </c>
      <c r="G2" s="4">
        <f>C2*F2</f>
        <v>0</v>
      </c>
      <c r="H2" s="24">
        <f t="shared" ref="H2:H7" si="0">A2</f>
        <v>5</v>
      </c>
      <c r="I2" s="27">
        <v>0.15</v>
      </c>
      <c r="J2" t="s">
        <v>1</v>
      </c>
    </row>
    <row r="3" spans="1:18" x14ac:dyDescent="0.25">
      <c r="A3">
        <v>7.5</v>
      </c>
      <c r="C3" s="5">
        <v>4.4999999999999998E-2</v>
      </c>
      <c r="D3" s="4">
        <f>AVERAGE(C2:C3)</f>
        <v>2.2499999999999999E-2</v>
      </c>
      <c r="H3" s="24">
        <f t="shared" si="0"/>
        <v>7.5</v>
      </c>
      <c r="I3" s="27">
        <f>AVERAGE(I2,I4)</f>
        <v>0.23249999999999998</v>
      </c>
      <c r="J3" s="4">
        <f>AVERAGE(I2:I3)</f>
        <v>0.19124999999999998</v>
      </c>
    </row>
    <row r="4" spans="1:18" x14ac:dyDescent="0.25">
      <c r="A4">
        <v>10</v>
      </c>
      <c r="B4">
        <v>9.0899999999999995E-2</v>
      </c>
      <c r="C4" s="5">
        <v>9.0899999900647996E-2</v>
      </c>
      <c r="D4" s="4">
        <f>AVERAGE(C3:C5)</f>
        <v>8.5299999966882659E-2</v>
      </c>
      <c r="E4">
        <f>(D4-B4)^2</f>
        <v>3.1360000370914167E-5</v>
      </c>
      <c r="F4">
        <v>1</v>
      </c>
      <c r="G4" s="4">
        <f>C4*F4</f>
        <v>9.0899999900647996E-2</v>
      </c>
      <c r="H4" s="24">
        <f t="shared" si="0"/>
        <v>10</v>
      </c>
      <c r="I4" s="27">
        <v>0.315</v>
      </c>
      <c r="K4" t="s">
        <v>1</v>
      </c>
    </row>
    <row r="5" spans="1:18" x14ac:dyDescent="0.25">
      <c r="A5">
        <v>12.5</v>
      </c>
      <c r="C5" s="5">
        <v>0.12</v>
      </c>
      <c r="F5" t="s">
        <v>1</v>
      </c>
      <c r="H5" s="24">
        <f t="shared" si="0"/>
        <v>12.5</v>
      </c>
      <c r="I5" s="27">
        <f>AVERAGE(I4,I6)</f>
        <v>0.39500000000000002</v>
      </c>
      <c r="J5" s="4">
        <f>AVERAGE(I3,I5)</f>
        <v>0.31374999999999997</v>
      </c>
      <c r="K5">
        <f>(I3+2*I4+I5)/4</f>
        <v>0.31437500000000002</v>
      </c>
    </row>
    <row r="6" spans="1:18" x14ac:dyDescent="0.25">
      <c r="A6">
        <v>15</v>
      </c>
      <c r="B6">
        <v>0.2273</v>
      </c>
      <c r="C6" s="5">
        <v>0.2200324105421505</v>
      </c>
      <c r="D6" s="4">
        <f>AVERAGE(C5:C7)</f>
        <v>0.23699999630112512</v>
      </c>
      <c r="E6">
        <f>(D6-B6)^2</f>
        <v>9.4089928241840881E-5</v>
      </c>
      <c r="F6">
        <v>1</v>
      </c>
      <c r="G6" s="4">
        <f>C6*F6</f>
        <v>0.2200324105421505</v>
      </c>
      <c r="H6" s="24">
        <f t="shared" si="0"/>
        <v>15</v>
      </c>
      <c r="I6" s="27">
        <f>AVERAGE(I4,I8)</f>
        <v>0.47499999999999998</v>
      </c>
    </row>
    <row r="7" spans="1:18" x14ac:dyDescent="0.25">
      <c r="A7">
        <v>17.5</v>
      </c>
      <c r="C7" s="5">
        <v>0.3709675783612249</v>
      </c>
      <c r="F7" t="s">
        <v>1</v>
      </c>
      <c r="G7" s="1"/>
      <c r="H7" s="24">
        <f t="shared" si="0"/>
        <v>17.5</v>
      </c>
      <c r="I7" s="27">
        <f>AVERAGE(I6,I8)</f>
        <v>0.55499999999999994</v>
      </c>
      <c r="J7" s="4">
        <f>AVERAGE(I5,I7)</f>
        <v>0.47499999999999998</v>
      </c>
    </row>
    <row r="8" spans="1:18" x14ac:dyDescent="0.25">
      <c r="A8">
        <v>20</v>
      </c>
      <c r="B8">
        <v>0.54549999999999998</v>
      </c>
      <c r="C8" s="5">
        <v>0.58346986892485131</v>
      </c>
      <c r="D8" s="4">
        <f>AVERAGE(C7:C9)</f>
        <v>0.54549998267788791</v>
      </c>
      <c r="E8">
        <f>(D8-B8)^2</f>
        <v>3.000555668447107E-16</v>
      </c>
      <c r="F8">
        <v>1.2</v>
      </c>
      <c r="G8" s="4">
        <f>C8*F8</f>
        <v>0.70016384270982157</v>
      </c>
      <c r="H8" s="24">
        <f>A8</f>
        <v>20</v>
      </c>
      <c r="I8" s="27">
        <v>0.63500000000000001</v>
      </c>
      <c r="J8" s="4">
        <f>(I7+I8*2+I9)/4</f>
        <v>0.625</v>
      </c>
      <c r="K8">
        <f>J8/D8</f>
        <v>1.1457378915611369</v>
      </c>
    </row>
    <row r="9" spans="1:18" x14ac:dyDescent="0.25">
      <c r="A9">
        <v>22.5</v>
      </c>
      <c r="C9" s="5">
        <v>0.68206250074758745</v>
      </c>
      <c r="F9" t="s">
        <v>1</v>
      </c>
      <c r="G9" s="1"/>
      <c r="H9" s="24">
        <f t="shared" ref="H9:H16" si="1">A9</f>
        <v>22.5</v>
      </c>
      <c r="I9" s="27">
        <f>AVERAGE(I8,I10)</f>
        <v>0.67500000000000004</v>
      </c>
      <c r="J9" s="4" t="s">
        <v>1</v>
      </c>
      <c r="K9" s="8"/>
    </row>
    <row r="10" spans="1:18" x14ac:dyDescent="0.25">
      <c r="A10">
        <v>25</v>
      </c>
      <c r="B10">
        <v>0.72729999999999995</v>
      </c>
      <c r="C10" s="5">
        <v>0.7215981792795898</v>
      </c>
      <c r="D10" s="4">
        <f>AVERAGE(C9:C11)</f>
        <v>0.72729998150737218</v>
      </c>
      <c r="E10">
        <f>(D10-B10)^2</f>
        <v>3.4197728155995251E-16</v>
      </c>
      <c r="F10">
        <v>0.9</v>
      </c>
      <c r="G10" s="4">
        <f>C10*F10</f>
        <v>0.6494383613516308</v>
      </c>
      <c r="H10" s="24">
        <f t="shared" si="1"/>
        <v>25</v>
      </c>
      <c r="I10" s="27">
        <v>0.71499999999999997</v>
      </c>
      <c r="J10" s="4">
        <f>(I9+I10*2+I11)/4</f>
        <v>0.71551813005407494</v>
      </c>
      <c r="K10" s="8">
        <f>AVERAGE(I9:I11)</f>
        <v>0.71569084007209993</v>
      </c>
    </row>
    <row r="11" spans="1:18" x14ac:dyDescent="0.25">
      <c r="A11">
        <v>27.5</v>
      </c>
      <c r="C11" s="5">
        <v>0.7782392644949393</v>
      </c>
      <c r="F11" t="s">
        <v>1</v>
      </c>
      <c r="G11" s="1"/>
      <c r="H11" s="24">
        <f t="shared" si="1"/>
        <v>27.5</v>
      </c>
      <c r="I11" s="27">
        <f>AVERAGE(I10,I12)</f>
        <v>0.75707252021629978</v>
      </c>
      <c r="K11" s="8"/>
    </row>
    <row r="12" spans="1:18" x14ac:dyDescent="0.25">
      <c r="A12">
        <v>30</v>
      </c>
      <c r="B12">
        <v>0.82499999999999996</v>
      </c>
      <c r="C12" s="5">
        <v>0.84120530571852603</v>
      </c>
      <c r="D12" s="4">
        <f>AVERAGE(C11:C13)</f>
        <v>0.82651486992087531</v>
      </c>
      <c r="E12">
        <f>(D12-B12)^2</f>
        <v>2.2948308771728897E-6</v>
      </c>
      <c r="F12">
        <v>0.95</v>
      </c>
      <c r="G12" s="4">
        <f>C12*F12</f>
        <v>0.79914504043259971</v>
      </c>
      <c r="H12" s="24">
        <f t="shared" si="1"/>
        <v>30</v>
      </c>
      <c r="I12" s="27">
        <f>G12</f>
        <v>0.79914504043259971</v>
      </c>
      <c r="J12" s="4">
        <f>(I11+I12*2+I13)/4</f>
        <v>0.79860812699692407</v>
      </c>
      <c r="K12" s="8"/>
    </row>
    <row r="13" spans="1:18" x14ac:dyDescent="0.25">
      <c r="A13">
        <v>32.5</v>
      </c>
      <c r="C13" s="5">
        <f>AVERAGE(C12,C14)</f>
        <v>0.86010003954916026</v>
      </c>
      <c r="F13" t="s">
        <v>1</v>
      </c>
      <c r="G13" s="1"/>
      <c r="H13" s="24">
        <f t="shared" si="1"/>
        <v>32.5</v>
      </c>
      <c r="I13" s="27">
        <f>AVERAGE(I12,I14)</f>
        <v>0.83906990690619709</v>
      </c>
      <c r="K13" s="8"/>
    </row>
    <row r="14" spans="1:18" x14ac:dyDescent="0.25">
      <c r="A14">
        <v>35</v>
      </c>
      <c r="B14">
        <v>0.89</v>
      </c>
      <c r="C14" s="5">
        <v>0.87899477337979437</v>
      </c>
      <c r="D14" s="4">
        <f>AVERAGE(C13:C15)</f>
        <v>0.89151487234495252</v>
      </c>
      <c r="E14">
        <f>(D14-B14)^2</f>
        <v>2.2948382215019209E-6</v>
      </c>
      <c r="F14">
        <v>1</v>
      </c>
      <c r="G14" s="4">
        <f>C14*F14</f>
        <v>0.87899477337979437</v>
      </c>
      <c r="H14" s="24">
        <f t="shared" si="1"/>
        <v>35</v>
      </c>
      <c r="I14" s="27">
        <f>G14</f>
        <v>0.87899477337979437</v>
      </c>
      <c r="J14" s="4">
        <f>(I13+I14*2+I15)/4</f>
        <v>0.88413921008892071</v>
      </c>
      <c r="K14" s="8"/>
    </row>
    <row r="15" spans="1:18" x14ac:dyDescent="0.25">
      <c r="A15">
        <v>37.5</v>
      </c>
      <c r="C15" s="5">
        <v>0.93544980410590295</v>
      </c>
      <c r="F15" t="s">
        <v>1</v>
      </c>
      <c r="G15" s="1"/>
      <c r="H15" s="24">
        <f t="shared" si="1"/>
        <v>37.5</v>
      </c>
      <c r="I15" s="27">
        <f>AVERAGE(I14,I16)</f>
        <v>0.93949738668989724</v>
      </c>
      <c r="K15" s="8"/>
      <c r="O15">
        <v>1</v>
      </c>
      <c r="P15">
        <v>2.2999999999999998</v>
      </c>
      <c r="R15">
        <v>40</v>
      </c>
    </row>
    <row r="16" spans="1:18" x14ac:dyDescent="0.25">
      <c r="A16">
        <v>40</v>
      </c>
      <c r="B16">
        <v>1</v>
      </c>
      <c r="C16" s="5">
        <v>1</v>
      </c>
      <c r="F16" t="s">
        <v>1</v>
      </c>
      <c r="G16" s="1">
        <v>1</v>
      </c>
      <c r="H16" s="24">
        <f t="shared" si="1"/>
        <v>40</v>
      </c>
      <c r="I16" s="24">
        <v>1</v>
      </c>
      <c r="J16" s="4">
        <f>(I15+I16*2+I17)/4</f>
        <v>0.98487434667247431</v>
      </c>
      <c r="K16" s="8"/>
      <c r="N16">
        <f>95/(1.225)</f>
        <v>77.551020408163254</v>
      </c>
      <c r="O16">
        <v>0.63</v>
      </c>
      <c r="P16">
        <v>1.6</v>
      </c>
      <c r="R16">
        <v>20</v>
      </c>
    </row>
    <row r="17" spans="1:18" x14ac:dyDescent="0.25">
      <c r="A17">
        <v>42.5</v>
      </c>
      <c r="G17" s="1"/>
      <c r="I17">
        <v>1</v>
      </c>
      <c r="K17" s="8"/>
      <c r="P17">
        <f>P16/P15</f>
        <v>0.69565217391304357</v>
      </c>
      <c r="R17" t="s">
        <v>1</v>
      </c>
    </row>
    <row r="18" spans="1:18" x14ac:dyDescent="0.25">
      <c r="E18">
        <f>SUM(E4:E14)*1000</f>
        <v>0.13003959771207188</v>
      </c>
      <c r="G18" s="1"/>
      <c r="O18">
        <v>0.315</v>
      </c>
      <c r="P18">
        <v>0.8</v>
      </c>
      <c r="Q18">
        <f>P18/P15</f>
        <v>0.34782608695652178</v>
      </c>
      <c r="R18">
        <v>10</v>
      </c>
    </row>
    <row r="19" spans="1:18" x14ac:dyDescent="0.25">
      <c r="O19">
        <v>0.15</v>
      </c>
      <c r="P19">
        <v>0.45</v>
      </c>
      <c r="Q19">
        <f>P19/P15</f>
        <v>0.19565217391304349</v>
      </c>
      <c r="R19">
        <v>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tabSelected="1" workbookViewId="0">
      <selection activeCell="A3" sqref="A3"/>
    </sheetView>
  </sheetViews>
  <sheetFormatPr defaultRowHeight="15" x14ac:dyDescent="0.25"/>
  <sheetData>
    <row r="1" spans="2:16" x14ac:dyDescent="0.25">
      <c r="C1">
        <v>0</v>
      </c>
      <c r="D1">
        <v>500</v>
      </c>
      <c r="E1">
        <v>1000</v>
      </c>
      <c r="F1">
        <v>1500</v>
      </c>
      <c r="G1">
        <v>2000</v>
      </c>
      <c r="H1">
        <v>2750</v>
      </c>
      <c r="I1">
        <v>4000</v>
      </c>
      <c r="J1">
        <v>6000</v>
      </c>
      <c r="K1">
        <v>8000</v>
      </c>
      <c r="L1">
        <v>10000</v>
      </c>
      <c r="M1">
        <v>12000</v>
      </c>
      <c r="N1">
        <v>14000</v>
      </c>
    </row>
    <row r="2" spans="2:16" x14ac:dyDescent="0.2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2:16" x14ac:dyDescent="0.25">
      <c r="B3">
        <v>-50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2:16" x14ac:dyDescent="0.25">
      <c r="B4">
        <v>-38</v>
      </c>
      <c r="C4" s="2">
        <v>2.4E-2</v>
      </c>
      <c r="D4" s="2">
        <v>2.4E-2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2:16" x14ac:dyDescent="0.25">
      <c r="B5">
        <v>-13</v>
      </c>
      <c r="C5" s="28">
        <v>0.13500000000000001</v>
      </c>
      <c r="D5" s="28">
        <v>0.13500000000000001</v>
      </c>
      <c r="E5" s="28">
        <v>7.2999999999999995E-2</v>
      </c>
      <c r="F5" s="28">
        <v>3.5000000000000003E-2</v>
      </c>
      <c r="G5" s="28">
        <v>2.5000000000000001E-2</v>
      </c>
      <c r="H5" s="28">
        <v>1.4999999999999999E-2</v>
      </c>
      <c r="I5" s="28">
        <v>0.01</v>
      </c>
      <c r="J5" s="2">
        <v>5.0000000000000001E-3</v>
      </c>
      <c r="K5" s="2">
        <v>4.0000000000000001E-3</v>
      </c>
      <c r="L5" s="2">
        <f>K5</f>
        <v>4.0000000000000001E-3</v>
      </c>
      <c r="M5" s="2">
        <f>L5</f>
        <v>4.0000000000000001E-3</v>
      </c>
    </row>
    <row r="6" spans="2:16" x14ac:dyDescent="0.25">
      <c r="B6">
        <v>12</v>
      </c>
      <c r="C6" s="28">
        <v>0.32500000000000001</v>
      </c>
      <c r="D6" s="28">
        <v>0.31900000000000001</v>
      </c>
      <c r="E6" s="28">
        <v>0.23200000000000001</v>
      </c>
      <c r="F6" s="28">
        <v>0.155</v>
      </c>
      <c r="G6" s="28">
        <v>0.11</v>
      </c>
      <c r="H6" s="28">
        <v>6.9000000000000006E-2</v>
      </c>
      <c r="I6" s="28">
        <v>5.2999999999999999E-2</v>
      </c>
      <c r="J6" s="28">
        <v>4.2000000000000003E-2</v>
      </c>
      <c r="K6" s="2">
        <v>3.5000000000000003E-2</v>
      </c>
      <c r="L6" s="2">
        <f>K6</f>
        <v>3.5000000000000003E-2</v>
      </c>
      <c r="M6" s="2">
        <f>L6</f>
        <v>3.5000000000000003E-2</v>
      </c>
    </row>
    <row r="7" spans="2:16" x14ac:dyDescent="0.25">
      <c r="B7">
        <v>37</v>
      </c>
      <c r="C7" s="28">
        <v>0.59799999999999998</v>
      </c>
      <c r="D7" s="28">
        <v>0.57999999999999996</v>
      </c>
      <c r="E7" s="28">
        <v>0.48</v>
      </c>
      <c r="F7" s="28">
        <v>0.34200000000000003</v>
      </c>
      <c r="G7" s="28">
        <v>0.24</v>
      </c>
      <c r="H7" s="28">
        <v>0.191</v>
      </c>
      <c r="I7" s="28">
        <v>0.15</v>
      </c>
      <c r="J7" s="28">
        <v>0.1</v>
      </c>
      <c r="K7" s="2">
        <v>0.08</v>
      </c>
      <c r="L7" s="2">
        <v>0.08</v>
      </c>
      <c r="M7" s="2">
        <v>0.08</v>
      </c>
    </row>
    <row r="8" spans="2:16" x14ac:dyDescent="0.25">
      <c r="B8">
        <v>62</v>
      </c>
      <c r="C8" s="2">
        <v>1.25</v>
      </c>
      <c r="D8" s="28">
        <v>1.1299999999999999</v>
      </c>
      <c r="E8" s="28">
        <v>0.86699999999999999</v>
      </c>
      <c r="F8" s="28">
        <v>0.622</v>
      </c>
      <c r="G8" s="28">
        <v>0.46</v>
      </c>
      <c r="H8" s="28">
        <v>0.35</v>
      </c>
      <c r="I8" s="28">
        <v>0.3</v>
      </c>
      <c r="J8" s="28">
        <v>0.21099999999999999</v>
      </c>
      <c r="K8" s="2">
        <v>0.16900000000000001</v>
      </c>
      <c r="L8" s="2">
        <v>0.14000000000000001</v>
      </c>
      <c r="M8" s="28">
        <v>0.112</v>
      </c>
      <c r="N8" s="2">
        <f>AVERAGE(K8:M8)</f>
        <v>0.14033333333333334</v>
      </c>
      <c r="P8" t="s">
        <v>1</v>
      </c>
    </row>
    <row r="9" spans="2:16" x14ac:dyDescent="0.25">
      <c r="B9">
        <v>87</v>
      </c>
      <c r="C9" s="2">
        <v>1.7</v>
      </c>
      <c r="D9" s="2">
        <v>1.58</v>
      </c>
      <c r="E9" s="28">
        <v>1.3129999999999999</v>
      </c>
      <c r="F9" s="28">
        <v>1.097</v>
      </c>
      <c r="G9" s="28">
        <v>0.78400000000000003</v>
      </c>
      <c r="H9" s="28">
        <v>0.6</v>
      </c>
      <c r="I9" s="28">
        <v>0.5</v>
      </c>
      <c r="J9" s="28">
        <v>0.443</v>
      </c>
      <c r="K9" s="2">
        <v>0.34300000000000003</v>
      </c>
      <c r="L9" s="2">
        <v>0.255</v>
      </c>
      <c r="M9" s="28">
        <v>0.14499999999999999</v>
      </c>
    </row>
    <row r="10" spans="2:16" x14ac:dyDescent="0.25">
      <c r="B10">
        <v>112</v>
      </c>
      <c r="C10" s="2">
        <v>2.1</v>
      </c>
      <c r="D10" s="2">
        <v>1.9</v>
      </c>
      <c r="E10" s="2">
        <v>1.7</v>
      </c>
      <c r="F10" s="2">
        <v>1.5</v>
      </c>
      <c r="G10" s="2">
        <v>1.2</v>
      </c>
      <c r="H10" s="28">
        <v>0.875</v>
      </c>
      <c r="I10" s="28">
        <v>0.7</v>
      </c>
      <c r="J10" s="28">
        <v>0.6</v>
      </c>
      <c r="K10" s="2">
        <v>0.53</v>
      </c>
      <c r="L10" s="2">
        <v>0.39</v>
      </c>
      <c r="M10" s="28">
        <v>0.25700000000000001</v>
      </c>
    </row>
    <row r="11" spans="2:16" x14ac:dyDescent="0.25">
      <c r="B11">
        <v>137</v>
      </c>
      <c r="C11" s="2">
        <v>2.4</v>
      </c>
      <c r="D11" s="2">
        <v>2.2000000000000002</v>
      </c>
      <c r="E11" s="2">
        <v>2</v>
      </c>
      <c r="F11" s="2">
        <v>1.8</v>
      </c>
      <c r="G11" s="2">
        <v>1.55</v>
      </c>
      <c r="H11" s="28">
        <v>1.278</v>
      </c>
      <c r="I11" s="28">
        <v>0.92900000000000005</v>
      </c>
      <c r="J11" s="28">
        <v>0.8</v>
      </c>
      <c r="K11" s="2">
        <v>0.7</v>
      </c>
      <c r="L11" s="2">
        <v>0.55000000000000004</v>
      </c>
      <c r="M11" s="28">
        <v>0.373</v>
      </c>
    </row>
    <row r="12" spans="2:16" x14ac:dyDescent="0.25">
      <c r="B12">
        <v>162</v>
      </c>
      <c r="C12" s="2">
        <v>2.7</v>
      </c>
      <c r="D12" s="2">
        <v>2.5</v>
      </c>
      <c r="E12" s="2">
        <v>2.2999999999999998</v>
      </c>
      <c r="F12" s="2">
        <v>2.125</v>
      </c>
      <c r="G12" s="2">
        <v>1.875</v>
      </c>
      <c r="H12" s="2">
        <v>1.6</v>
      </c>
      <c r="I12" s="28">
        <v>1.2110000000000001</v>
      </c>
      <c r="J12" s="28">
        <v>0.95</v>
      </c>
      <c r="K12" s="2">
        <v>0.81299999999999994</v>
      </c>
      <c r="L12" s="2">
        <v>0.7</v>
      </c>
      <c r="M12" s="28">
        <v>0.51400000000000001</v>
      </c>
    </row>
    <row r="13" spans="2:16" x14ac:dyDescent="0.25">
      <c r="B13">
        <v>187</v>
      </c>
      <c r="C13" s="2">
        <v>2.9</v>
      </c>
      <c r="D13" s="2">
        <v>2.7</v>
      </c>
      <c r="E13" s="2">
        <v>2.5</v>
      </c>
      <c r="F13" s="2">
        <v>2.3250000000000002</v>
      </c>
      <c r="G13" s="2">
        <v>2.0750000000000002</v>
      </c>
      <c r="H13" s="2">
        <v>1.8</v>
      </c>
      <c r="I13" s="2">
        <v>1.4</v>
      </c>
      <c r="J13" s="28">
        <v>1.1000000000000001</v>
      </c>
      <c r="K13" s="2">
        <v>0.92500000000000004</v>
      </c>
      <c r="L13" s="2">
        <v>0.77500000000000002</v>
      </c>
      <c r="M13" s="28">
        <v>0.58499999999999996</v>
      </c>
    </row>
    <row r="14" spans="2:16" x14ac:dyDescent="0.25">
      <c r="B14">
        <v>212</v>
      </c>
      <c r="C14" s="2">
        <v>3</v>
      </c>
      <c r="D14" s="2">
        <v>2.8</v>
      </c>
      <c r="E14" s="2">
        <v>2.6</v>
      </c>
      <c r="F14" s="2">
        <v>2.4249999999999998</v>
      </c>
      <c r="G14" s="2">
        <v>2.1749999999999998</v>
      </c>
      <c r="H14" s="2">
        <v>1.9</v>
      </c>
      <c r="I14" s="2">
        <v>1.5</v>
      </c>
      <c r="J14" s="2">
        <v>1.2</v>
      </c>
      <c r="K14" s="2">
        <v>1</v>
      </c>
      <c r="L14" s="2">
        <v>0.8</v>
      </c>
      <c r="M14" s="28">
        <v>0.61</v>
      </c>
    </row>
    <row r="15" spans="2:16" x14ac:dyDescent="0.25">
      <c r="B15">
        <v>237</v>
      </c>
      <c r="C15" s="2">
        <v>3</v>
      </c>
      <c r="D15" s="2">
        <v>2.8</v>
      </c>
      <c r="E15" s="2">
        <v>2.6</v>
      </c>
      <c r="F15" s="2">
        <v>2.4249999999999998</v>
      </c>
      <c r="G15" s="2">
        <v>2.1749999999999998</v>
      </c>
      <c r="H15" s="2">
        <v>1.9</v>
      </c>
      <c r="I15" s="2">
        <f t="shared" ref="I14:I16" si="0">I14</f>
        <v>1.5</v>
      </c>
      <c r="J15" s="2">
        <f t="shared" ref="J15:J16" si="1">J14</f>
        <v>1.2</v>
      </c>
      <c r="K15" s="2">
        <f>K14</f>
        <v>1</v>
      </c>
      <c r="L15" s="2">
        <v>0.8</v>
      </c>
      <c r="M15" s="28">
        <v>0.61</v>
      </c>
    </row>
    <row r="16" spans="2:16" x14ac:dyDescent="0.25">
      <c r="B16">
        <v>262</v>
      </c>
      <c r="C16" s="2">
        <f t="shared" ref="C10:C16" si="2">C15</f>
        <v>3</v>
      </c>
      <c r="D16" s="2">
        <f t="shared" ref="D10:D16" si="3">D15</f>
        <v>2.8</v>
      </c>
      <c r="E16" s="2">
        <f t="shared" ref="E11:E16" si="4">E15</f>
        <v>2.6</v>
      </c>
      <c r="F16" s="2">
        <f t="shared" ref="F11:F16" si="5">F15</f>
        <v>2.4249999999999998</v>
      </c>
      <c r="G16" s="2">
        <f t="shared" ref="G12:G16" si="6">G15</f>
        <v>2.1749999999999998</v>
      </c>
      <c r="H16" s="2">
        <v>1.9</v>
      </c>
      <c r="I16" s="2">
        <f t="shared" si="0"/>
        <v>1.5</v>
      </c>
      <c r="J16" s="2">
        <f t="shared" si="1"/>
        <v>1.2</v>
      </c>
      <c r="K16" s="2">
        <f>K15</f>
        <v>1</v>
      </c>
      <c r="L16" s="2">
        <v>0.8</v>
      </c>
      <c r="M16" s="28">
        <v>0.61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lockin</vt:lpstr>
      <vt:lpstr>media effect related low</vt:lpstr>
      <vt:lpstr>low media</vt:lpstr>
      <vt:lpstr>mid media</vt:lpstr>
      <vt:lpstr>media effect related mid</vt:lpstr>
      <vt:lpstr>low FICO adjustment</vt:lpstr>
      <vt:lpstr>cashout</vt:lpstr>
      <vt:lpstr>myCashout updated</vt:lpstr>
      <vt:lpstr>tover model ramp updated</vt:lpstr>
      <vt:lpstr>cumHPA updated</vt:lpstr>
      <vt:lpstr>Sheet2</vt:lpstr>
      <vt:lpstr>low media new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 Lee</dc:creator>
  <cp:lastModifiedBy>Chunnip Lee</cp:lastModifiedBy>
  <dcterms:created xsi:type="dcterms:W3CDTF">2019-02-11T03:21:37Z</dcterms:created>
  <dcterms:modified xsi:type="dcterms:W3CDTF">2019-02-23T05:00:50Z</dcterms:modified>
</cp:coreProperties>
</file>