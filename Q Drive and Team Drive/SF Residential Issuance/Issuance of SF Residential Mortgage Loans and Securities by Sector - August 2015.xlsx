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18195" windowHeight="8190"/>
  </bookViews>
  <sheets>
    <sheet name="Issuance" sheetId="1" r:id="rId1"/>
    <sheet name="Default Assumption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I26" i="1" l="1"/>
  <c r="Z26" i="1" l="1"/>
  <c r="Z25" i="1"/>
  <c r="Z24" i="1"/>
  <c r="Z23" i="1"/>
  <c r="Z22" i="1"/>
  <c r="Z21" i="1"/>
  <c r="Z20" i="1"/>
  <c r="Z19" i="1"/>
  <c r="Z17" i="1"/>
  <c r="Z16" i="1"/>
  <c r="Z15" i="1"/>
  <c r="Z14" i="1"/>
  <c r="Z13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I25" i="1"/>
  <c r="I21" i="1"/>
  <c r="I20" i="1"/>
  <c r="F26" i="1"/>
  <c r="F25" i="1"/>
  <c r="F24" i="1"/>
  <c r="F23" i="1"/>
  <c r="F22" i="1"/>
  <c r="F21" i="1"/>
  <c r="V26" i="1" l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</calcChain>
</file>

<file path=xl/comments1.xml><?xml version="1.0" encoding="utf-8"?>
<comments xmlns="http://schemas.openxmlformats.org/spreadsheetml/2006/main">
  <authors>
    <author>Sharad Chaudhary</author>
  </authors>
  <commentList>
    <comment ref="I4" authorId="0">
      <text>
        <r>
          <rPr>
            <b/>
            <sz val="9"/>
            <color indexed="81"/>
            <rFont val="Tahoma"/>
            <family val="2"/>
          </rPr>
          <t xml:space="preserve">Sharad Chaudhary: </t>
        </r>
        <r>
          <rPr>
            <sz val="9"/>
            <color indexed="81"/>
            <rFont val="Tahoma"/>
            <family val="2"/>
          </rPr>
          <t>Non-agency loans</t>
        </r>
      </text>
    </comment>
  </commentList>
</comments>
</file>

<file path=xl/sharedStrings.xml><?xml version="1.0" encoding="utf-8"?>
<sst xmlns="http://schemas.openxmlformats.org/spreadsheetml/2006/main" count="40" uniqueCount="20">
  <si>
    <t xml:space="preserve">Loans </t>
  </si>
  <si>
    <t>MBS</t>
  </si>
  <si>
    <t>Loans</t>
  </si>
  <si>
    <t>FHA/VA</t>
  </si>
  <si>
    <t>Conforming</t>
  </si>
  <si>
    <t>Jumbo</t>
  </si>
  <si>
    <t>Alt-A</t>
  </si>
  <si>
    <t>Subprime</t>
  </si>
  <si>
    <t>HEL</t>
  </si>
  <si>
    <t>Total</t>
  </si>
  <si>
    <t>Issuance of Single-family Residential Mortgage Loans and Securities by Subsector ($bb)</t>
  </si>
  <si>
    <t>Product Type</t>
  </si>
  <si>
    <t>Source</t>
  </si>
  <si>
    <t>FHA</t>
  </si>
  <si>
    <t>VA</t>
  </si>
  <si>
    <t>Accordion</t>
  </si>
  <si>
    <t>2x FHA</t>
  </si>
  <si>
    <t>FHA + 0.5 Conforming</t>
  </si>
  <si>
    <t>ARMs</t>
  </si>
  <si>
    <t>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</si>
</sst>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/>
    <xf numFmtId="164" fontId="0" fillId="0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28"/>
  <sheetViews>
    <sheetView tabSelected="1" topLeftCell="A3" workbookViewId="0">
      <selection activeCell="L24" sqref="L24"/>
    </sheetView>
  </sheetViews>
  <sheetFormatPr defaultRowHeight="15" x14ac:dyDescent="0.25"/>
  <cols>
    <col min="3" max="4" width="9.5703125" bestFit="1" customWidth="1"/>
    <col min="5" max="5" width="1.140625" customWidth="1"/>
    <col min="6" max="7" width="10.7109375" bestFit="1" customWidth="1"/>
    <col min="8" max="8" width="1.140625" customWidth="1"/>
    <col min="9" max="10" width="9.5703125" bestFit="1" customWidth="1"/>
    <col min="11" max="11" width="1.140625" customWidth="1"/>
    <col min="12" max="13" width="9.5703125" bestFit="1" customWidth="1"/>
    <col min="14" max="14" width="1.140625" customWidth="1"/>
    <col min="15" max="16" width="9.5703125" bestFit="1" customWidth="1"/>
    <col min="17" max="17" width="1.140625" customWidth="1"/>
    <col min="18" max="19" width="9.5703125" bestFit="1" customWidth="1"/>
    <col min="20" max="20" width="1.140625" customWidth="1"/>
    <col min="21" max="22" width="10.7109375" bestFit="1" customWidth="1"/>
    <col min="23" max="23" width="1.140625" customWidth="1"/>
    <col min="24" max="24" width="9.5703125" bestFit="1" customWidth="1"/>
    <col min="25" max="25" width="1.140625" customWidth="1"/>
    <col min="26" max="26" width="9.5703125" bestFit="1" customWidth="1"/>
  </cols>
  <sheetData>
    <row r="2" spans="2:26" ht="15.75" x14ac:dyDescent="0.25">
      <c r="B2" s="5" t="s">
        <v>10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2:26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Y3" s="1"/>
    </row>
    <row r="4" spans="2:26" x14ac:dyDescent="0.25">
      <c r="C4" s="4" t="s">
        <v>3</v>
      </c>
      <c r="D4" s="4"/>
      <c r="E4" s="1"/>
      <c r="F4" s="4" t="s">
        <v>4</v>
      </c>
      <c r="G4" s="4"/>
      <c r="H4" s="1"/>
      <c r="I4" s="4" t="s">
        <v>5</v>
      </c>
      <c r="J4" s="4"/>
      <c r="K4" s="1"/>
      <c r="L4" s="4" t="s">
        <v>6</v>
      </c>
      <c r="M4" s="4"/>
      <c r="N4" s="1"/>
      <c r="O4" s="4" t="s">
        <v>7</v>
      </c>
      <c r="P4" s="4"/>
      <c r="Q4" s="1"/>
      <c r="R4" s="4" t="s">
        <v>8</v>
      </c>
      <c r="S4" s="4"/>
      <c r="T4" s="1"/>
      <c r="U4" s="4" t="s">
        <v>9</v>
      </c>
      <c r="V4" s="4"/>
      <c r="W4" s="1"/>
      <c r="Y4" s="1"/>
    </row>
    <row r="5" spans="2:26" x14ac:dyDescent="0.25">
      <c r="C5" s="2" t="s">
        <v>0</v>
      </c>
      <c r="D5" s="2" t="s">
        <v>1</v>
      </c>
      <c r="E5" s="1"/>
      <c r="F5" s="2" t="s">
        <v>2</v>
      </c>
      <c r="G5" s="2" t="s">
        <v>1</v>
      </c>
      <c r="H5" s="1"/>
      <c r="I5" s="2" t="s">
        <v>2</v>
      </c>
      <c r="J5" s="2" t="s">
        <v>1</v>
      </c>
      <c r="K5" s="1"/>
      <c r="L5" s="2" t="s">
        <v>2</v>
      </c>
      <c r="M5" s="2" t="s">
        <v>1</v>
      </c>
      <c r="N5" s="1"/>
      <c r="O5" s="2" t="s">
        <v>2</v>
      </c>
      <c r="P5" s="2" t="s">
        <v>1</v>
      </c>
      <c r="Q5" s="1"/>
      <c r="R5" s="2" t="s">
        <v>2</v>
      </c>
      <c r="S5" s="2" t="s">
        <v>1</v>
      </c>
      <c r="T5" s="1"/>
      <c r="U5" s="2" t="s">
        <v>2</v>
      </c>
      <c r="V5" s="2" t="s">
        <v>1</v>
      </c>
      <c r="W5" s="1"/>
      <c r="X5" s="2" t="s">
        <v>18</v>
      </c>
      <c r="Y5" s="1"/>
      <c r="Z5" s="2" t="s">
        <v>19</v>
      </c>
    </row>
    <row r="6" spans="2:26" x14ac:dyDescent="0.25">
      <c r="B6">
        <v>1995</v>
      </c>
      <c r="C6" s="3">
        <v>75</v>
      </c>
      <c r="D6" s="3">
        <v>73</v>
      </c>
      <c r="E6" s="3"/>
      <c r="F6" s="3">
        <v>315</v>
      </c>
      <c r="G6" s="3">
        <v>192</v>
      </c>
      <c r="H6" s="3"/>
      <c r="I6" s="3">
        <v>135</v>
      </c>
      <c r="J6" s="3">
        <v>26</v>
      </c>
      <c r="K6" s="3"/>
      <c r="L6" s="3">
        <v>10</v>
      </c>
      <c r="M6" s="3">
        <v>1</v>
      </c>
      <c r="N6" s="3"/>
      <c r="O6" s="3">
        <v>60</v>
      </c>
      <c r="P6" s="3">
        <v>18</v>
      </c>
      <c r="Q6" s="3"/>
      <c r="R6" s="3">
        <v>44</v>
      </c>
      <c r="S6" s="3">
        <v>2</v>
      </c>
      <c r="T6" s="3"/>
      <c r="U6" s="3">
        <f>C6+F6+I6+L6+O6+R6</f>
        <v>639</v>
      </c>
      <c r="V6" s="3">
        <f>D6+G6+J6+M6+P6+S6</f>
        <v>312</v>
      </c>
      <c r="W6" s="3"/>
      <c r="X6" s="3"/>
      <c r="Y6" s="3"/>
      <c r="Z6" s="3"/>
    </row>
    <row r="7" spans="2:26" x14ac:dyDescent="0.25">
      <c r="B7">
        <v>1996</v>
      </c>
      <c r="C7" s="3">
        <v>105</v>
      </c>
      <c r="D7" s="3">
        <v>101</v>
      </c>
      <c r="E7" s="3"/>
      <c r="F7" s="3">
        <v>380</v>
      </c>
      <c r="G7" s="3">
        <v>263</v>
      </c>
      <c r="H7" s="3"/>
      <c r="I7" s="3">
        <v>160</v>
      </c>
      <c r="J7" s="3">
        <v>31</v>
      </c>
      <c r="K7" s="3"/>
      <c r="L7" s="3">
        <v>20</v>
      </c>
      <c r="M7" s="3">
        <v>2</v>
      </c>
      <c r="N7" s="3"/>
      <c r="O7" s="3">
        <v>70</v>
      </c>
      <c r="P7" s="3">
        <v>31</v>
      </c>
      <c r="Q7" s="3"/>
      <c r="R7" s="3">
        <v>50</v>
      </c>
      <c r="S7" s="3">
        <v>5</v>
      </c>
      <c r="T7" s="3"/>
      <c r="U7" s="3">
        <f t="shared" ref="U7:U26" si="0">C7+F7+I7+L7+O7+R7</f>
        <v>785</v>
      </c>
      <c r="V7" s="3">
        <f t="shared" ref="V7:V26" si="1">D7+G7+J7+M7+P7+S7</f>
        <v>433</v>
      </c>
      <c r="W7" s="3"/>
      <c r="X7" s="3"/>
      <c r="Y7" s="3"/>
      <c r="Z7" s="3"/>
    </row>
    <row r="8" spans="2:26" x14ac:dyDescent="0.25">
      <c r="B8">
        <v>1997</v>
      </c>
      <c r="C8" s="3">
        <v>100</v>
      </c>
      <c r="D8" s="3">
        <v>104</v>
      </c>
      <c r="E8" s="3"/>
      <c r="F8" s="3">
        <v>405</v>
      </c>
      <c r="G8" s="3">
        <v>257</v>
      </c>
      <c r="H8" s="3"/>
      <c r="I8" s="3">
        <v>190</v>
      </c>
      <c r="J8" s="3">
        <v>50</v>
      </c>
      <c r="K8" s="3"/>
      <c r="L8" s="3">
        <v>25</v>
      </c>
      <c r="M8" s="3">
        <v>7</v>
      </c>
      <c r="N8" s="3"/>
      <c r="O8" s="3">
        <v>85</v>
      </c>
      <c r="P8" s="3">
        <v>57</v>
      </c>
      <c r="Q8" s="3"/>
      <c r="R8" s="3">
        <v>55</v>
      </c>
      <c r="S8" s="3">
        <v>5</v>
      </c>
      <c r="T8" s="3"/>
      <c r="U8" s="3">
        <f t="shared" si="0"/>
        <v>860</v>
      </c>
      <c r="V8" s="3">
        <f t="shared" si="1"/>
        <v>480</v>
      </c>
      <c r="W8" s="3"/>
      <c r="X8" s="3"/>
      <c r="Y8" s="3"/>
      <c r="Z8" s="3"/>
    </row>
    <row r="9" spans="2:26" x14ac:dyDescent="0.25">
      <c r="B9">
        <v>1998</v>
      </c>
      <c r="C9" s="3">
        <v>145</v>
      </c>
      <c r="D9" s="3">
        <v>149</v>
      </c>
      <c r="E9" s="3"/>
      <c r="F9" s="3">
        <v>705</v>
      </c>
      <c r="G9" s="3">
        <v>577</v>
      </c>
      <c r="H9" s="3"/>
      <c r="I9" s="3">
        <v>355</v>
      </c>
      <c r="J9" s="3">
        <v>97</v>
      </c>
      <c r="K9" s="3"/>
      <c r="L9" s="3">
        <v>35</v>
      </c>
      <c r="M9" s="3">
        <v>21</v>
      </c>
      <c r="N9" s="3"/>
      <c r="O9" s="3">
        <v>135</v>
      </c>
      <c r="P9" s="3">
        <v>76</v>
      </c>
      <c r="Q9" s="3"/>
      <c r="R9" s="3">
        <v>75</v>
      </c>
      <c r="S9" s="3">
        <v>7</v>
      </c>
      <c r="T9" s="3"/>
      <c r="U9" s="3">
        <f t="shared" si="0"/>
        <v>1450</v>
      </c>
      <c r="V9" s="3">
        <f t="shared" si="1"/>
        <v>927</v>
      </c>
      <c r="W9" s="3"/>
      <c r="X9" s="3"/>
      <c r="Y9" s="3"/>
      <c r="Z9" s="3"/>
    </row>
    <row r="10" spans="2:26" x14ac:dyDescent="0.25">
      <c r="B10">
        <v>1999</v>
      </c>
      <c r="C10" s="3">
        <v>172</v>
      </c>
      <c r="D10" s="3">
        <v>151</v>
      </c>
      <c r="E10" s="3"/>
      <c r="F10" s="3">
        <v>595</v>
      </c>
      <c r="G10" s="3">
        <v>534</v>
      </c>
      <c r="H10" s="3"/>
      <c r="I10" s="3">
        <v>315</v>
      </c>
      <c r="J10" s="3">
        <v>74</v>
      </c>
      <c r="K10" s="3"/>
      <c r="L10" s="3">
        <v>40</v>
      </c>
      <c r="M10" s="3">
        <v>12</v>
      </c>
      <c r="N10" s="3"/>
      <c r="O10" s="3">
        <v>130</v>
      </c>
      <c r="P10" s="3">
        <v>56</v>
      </c>
      <c r="Q10" s="3"/>
      <c r="R10" s="3">
        <v>58</v>
      </c>
      <c r="S10" s="3">
        <v>3</v>
      </c>
      <c r="T10" s="3"/>
      <c r="U10" s="3">
        <f t="shared" si="0"/>
        <v>1310</v>
      </c>
      <c r="V10" s="3">
        <f t="shared" si="1"/>
        <v>830</v>
      </c>
      <c r="W10" s="3"/>
      <c r="X10" s="3"/>
      <c r="Y10" s="3"/>
      <c r="Z10" s="3"/>
    </row>
    <row r="11" spans="2:26" x14ac:dyDescent="0.25">
      <c r="B11">
        <v>2000</v>
      </c>
      <c r="C11" s="3">
        <v>115</v>
      </c>
      <c r="D11" s="3">
        <v>103</v>
      </c>
      <c r="E11" s="3"/>
      <c r="F11" s="3">
        <v>495</v>
      </c>
      <c r="G11" s="3">
        <v>379</v>
      </c>
      <c r="H11" s="3"/>
      <c r="I11" s="3">
        <v>260</v>
      </c>
      <c r="J11" s="3">
        <v>54</v>
      </c>
      <c r="K11" s="3"/>
      <c r="L11" s="3">
        <v>25</v>
      </c>
      <c r="M11" s="3">
        <v>16</v>
      </c>
      <c r="N11" s="3"/>
      <c r="O11" s="3">
        <v>100</v>
      </c>
      <c r="P11" s="3">
        <v>53</v>
      </c>
      <c r="Q11" s="3"/>
      <c r="R11" s="3">
        <v>53</v>
      </c>
      <c r="S11" s="3">
        <v>10</v>
      </c>
      <c r="T11" s="3"/>
      <c r="U11" s="3">
        <f t="shared" si="0"/>
        <v>1048</v>
      </c>
      <c r="V11" s="3">
        <f t="shared" si="1"/>
        <v>615</v>
      </c>
      <c r="W11" s="3"/>
      <c r="X11" s="3">
        <f>311</f>
        <v>311</v>
      </c>
      <c r="Y11" s="3"/>
      <c r="Z11" s="3">
        <v>460</v>
      </c>
    </row>
    <row r="12" spans="2:26" x14ac:dyDescent="0.25">
      <c r="B12">
        <v>2001</v>
      </c>
      <c r="C12" s="3">
        <v>175</v>
      </c>
      <c r="D12" s="3">
        <v>173</v>
      </c>
      <c r="E12" s="3"/>
      <c r="F12" s="3">
        <v>1265</v>
      </c>
      <c r="G12" s="3">
        <v>915</v>
      </c>
      <c r="H12" s="3"/>
      <c r="I12" s="3">
        <v>460</v>
      </c>
      <c r="J12" s="3">
        <v>142</v>
      </c>
      <c r="K12" s="3"/>
      <c r="L12" s="3">
        <v>40</v>
      </c>
      <c r="M12" s="3">
        <v>11</v>
      </c>
      <c r="N12" s="3"/>
      <c r="O12" s="3">
        <v>160</v>
      </c>
      <c r="P12" s="3">
        <v>87</v>
      </c>
      <c r="Q12" s="3"/>
      <c r="R12" s="3">
        <v>115</v>
      </c>
      <c r="S12" s="3">
        <v>16</v>
      </c>
      <c r="T12" s="3"/>
      <c r="U12" s="3">
        <f t="shared" si="0"/>
        <v>2215</v>
      </c>
      <c r="V12" s="3">
        <f t="shared" si="1"/>
        <v>1344</v>
      </c>
      <c r="W12" s="3"/>
      <c r="X12" s="3">
        <f>355</f>
        <v>355</v>
      </c>
      <c r="Y12" s="3"/>
      <c r="Z12" s="3">
        <v>1298</v>
      </c>
    </row>
    <row r="13" spans="2:26" x14ac:dyDescent="0.25">
      <c r="B13">
        <v>2002</v>
      </c>
      <c r="C13" s="3">
        <v>176</v>
      </c>
      <c r="D13" s="3">
        <v>172</v>
      </c>
      <c r="E13" s="3"/>
      <c r="F13" s="3">
        <v>1706</v>
      </c>
      <c r="G13" s="3">
        <v>1270</v>
      </c>
      <c r="H13" s="3"/>
      <c r="I13" s="3">
        <v>571</v>
      </c>
      <c r="J13" s="3">
        <v>172</v>
      </c>
      <c r="K13" s="3"/>
      <c r="L13" s="3">
        <v>67</v>
      </c>
      <c r="M13" s="3">
        <v>54</v>
      </c>
      <c r="N13" s="3"/>
      <c r="O13" s="3">
        <v>200</v>
      </c>
      <c r="P13" s="3">
        <v>123</v>
      </c>
      <c r="Q13" s="3"/>
      <c r="R13" s="3">
        <v>165</v>
      </c>
      <c r="S13" s="3">
        <v>25</v>
      </c>
      <c r="T13" s="3"/>
      <c r="U13" s="3">
        <f t="shared" si="0"/>
        <v>2885</v>
      </c>
      <c r="V13" s="3">
        <f t="shared" si="1"/>
        <v>1816</v>
      </c>
      <c r="W13" s="3"/>
      <c r="X13" s="3">
        <f>679</f>
        <v>679</v>
      </c>
      <c r="Y13" s="3"/>
      <c r="Z13" s="3">
        <f>1821</f>
        <v>1821</v>
      </c>
    </row>
    <row r="14" spans="2:26" x14ac:dyDescent="0.25">
      <c r="B14">
        <v>2003</v>
      </c>
      <c r="C14" s="3">
        <v>220</v>
      </c>
      <c r="D14" s="3">
        <v>218</v>
      </c>
      <c r="E14" s="3"/>
      <c r="F14" s="3">
        <v>2460</v>
      </c>
      <c r="G14" s="3">
        <v>1912</v>
      </c>
      <c r="H14" s="3"/>
      <c r="I14" s="3">
        <v>650</v>
      </c>
      <c r="J14" s="3">
        <v>238</v>
      </c>
      <c r="K14" s="3"/>
      <c r="L14" s="3">
        <v>85</v>
      </c>
      <c r="M14" s="3">
        <v>74</v>
      </c>
      <c r="N14" s="3"/>
      <c r="O14" s="3">
        <v>310</v>
      </c>
      <c r="P14" s="3">
        <v>195</v>
      </c>
      <c r="Q14" s="3"/>
      <c r="R14" s="3">
        <v>220</v>
      </c>
      <c r="S14" s="3">
        <v>20</v>
      </c>
      <c r="T14" s="3"/>
      <c r="U14" s="3">
        <f t="shared" si="0"/>
        <v>3945</v>
      </c>
      <c r="V14" s="3">
        <f t="shared" si="1"/>
        <v>2657</v>
      </c>
      <c r="W14" s="3"/>
      <c r="X14" s="3">
        <f>1034</f>
        <v>1034</v>
      </c>
      <c r="Y14" s="3"/>
      <c r="Z14" s="3">
        <f>2839</f>
        <v>2839</v>
      </c>
    </row>
    <row r="15" spans="2:26" x14ac:dyDescent="0.25">
      <c r="B15">
        <v>2004</v>
      </c>
      <c r="C15" s="3">
        <v>135</v>
      </c>
      <c r="D15" s="3">
        <v>124</v>
      </c>
      <c r="E15" s="3"/>
      <c r="F15" s="3">
        <v>1210</v>
      </c>
      <c r="G15" s="3">
        <v>892</v>
      </c>
      <c r="H15" s="3"/>
      <c r="I15" s="3">
        <v>515</v>
      </c>
      <c r="J15" s="3">
        <v>233</v>
      </c>
      <c r="K15" s="3"/>
      <c r="L15" s="3">
        <v>190</v>
      </c>
      <c r="M15" s="3">
        <v>159</v>
      </c>
      <c r="N15" s="3"/>
      <c r="O15" s="3">
        <v>540</v>
      </c>
      <c r="P15" s="3">
        <v>363</v>
      </c>
      <c r="Q15" s="3"/>
      <c r="R15" s="3">
        <v>330</v>
      </c>
      <c r="S15" s="3">
        <v>49</v>
      </c>
      <c r="T15" s="3"/>
      <c r="U15" s="3">
        <f t="shared" si="0"/>
        <v>2920</v>
      </c>
      <c r="V15" s="3">
        <f t="shared" si="1"/>
        <v>1820</v>
      </c>
      <c r="W15" s="3"/>
      <c r="X15" s="3">
        <f>1464</f>
        <v>1464</v>
      </c>
      <c r="Y15" s="3"/>
      <c r="Z15" s="3">
        <f>1511</f>
        <v>1511</v>
      </c>
    </row>
    <row r="16" spans="2:26" x14ac:dyDescent="0.25">
      <c r="B16">
        <v>2005</v>
      </c>
      <c r="C16" s="3">
        <v>90</v>
      </c>
      <c r="D16" s="3">
        <v>86</v>
      </c>
      <c r="E16" s="3"/>
      <c r="F16" s="3">
        <v>1090</v>
      </c>
      <c r="G16" s="3">
        <v>879</v>
      </c>
      <c r="H16" s="3"/>
      <c r="I16" s="3">
        <v>570</v>
      </c>
      <c r="J16" s="3">
        <v>281</v>
      </c>
      <c r="K16" s="3"/>
      <c r="L16" s="3">
        <v>380</v>
      </c>
      <c r="M16" s="3">
        <v>332</v>
      </c>
      <c r="N16" s="3"/>
      <c r="O16" s="3">
        <v>625</v>
      </c>
      <c r="P16" s="3">
        <v>465</v>
      </c>
      <c r="Q16" s="3"/>
      <c r="R16" s="3">
        <v>365</v>
      </c>
      <c r="S16" s="3">
        <v>61</v>
      </c>
      <c r="T16" s="3"/>
      <c r="U16" s="3">
        <f t="shared" si="0"/>
        <v>3120</v>
      </c>
      <c r="V16" s="3">
        <f t="shared" si="1"/>
        <v>2104</v>
      </c>
      <c r="W16" s="3"/>
      <c r="X16" s="3">
        <f>1490</f>
        <v>1490</v>
      </c>
      <c r="Y16" s="3"/>
      <c r="Z16" s="3">
        <f>1575</f>
        <v>1575</v>
      </c>
    </row>
    <row r="17" spans="2:26" x14ac:dyDescent="0.25">
      <c r="B17">
        <v>2006</v>
      </c>
      <c r="C17" s="3">
        <v>80</v>
      </c>
      <c r="D17" s="3">
        <v>82</v>
      </c>
      <c r="E17" s="3"/>
      <c r="F17" s="3">
        <v>990</v>
      </c>
      <c r="G17" s="3">
        <v>817</v>
      </c>
      <c r="H17" s="3"/>
      <c r="I17" s="3">
        <v>480</v>
      </c>
      <c r="J17" s="3">
        <v>219</v>
      </c>
      <c r="K17" s="3"/>
      <c r="L17" s="3">
        <v>400</v>
      </c>
      <c r="M17" s="3">
        <v>366</v>
      </c>
      <c r="N17" s="3"/>
      <c r="O17" s="3">
        <v>600</v>
      </c>
      <c r="P17" s="3">
        <v>449</v>
      </c>
      <c r="Q17" s="3"/>
      <c r="R17" s="3">
        <v>430</v>
      </c>
      <c r="S17" s="3">
        <v>74</v>
      </c>
      <c r="T17" s="3"/>
      <c r="U17" s="3">
        <f t="shared" si="0"/>
        <v>2980</v>
      </c>
      <c r="V17" s="3">
        <f t="shared" si="1"/>
        <v>2007</v>
      </c>
      <c r="W17" s="3"/>
      <c r="X17" s="3">
        <f>1340</f>
        <v>1340</v>
      </c>
      <c r="Y17" s="3"/>
      <c r="Z17" s="3">
        <f>1460</f>
        <v>1460</v>
      </c>
    </row>
    <row r="18" spans="2:26" x14ac:dyDescent="0.25">
      <c r="B18">
        <v>2007</v>
      </c>
      <c r="C18" s="3">
        <v>116</v>
      </c>
      <c r="D18" s="3">
        <v>96</v>
      </c>
      <c r="E18" s="3"/>
      <c r="F18" s="3">
        <v>1151</v>
      </c>
      <c r="G18" s="3">
        <v>1062</v>
      </c>
      <c r="H18" s="3"/>
      <c r="I18" s="3">
        <v>348</v>
      </c>
      <c r="J18" s="3">
        <v>181</v>
      </c>
      <c r="K18" s="3"/>
      <c r="L18" s="3">
        <v>275</v>
      </c>
      <c r="M18" s="3">
        <v>250</v>
      </c>
      <c r="N18" s="3"/>
      <c r="O18" s="3">
        <v>191</v>
      </c>
      <c r="P18" s="3">
        <v>202</v>
      </c>
      <c r="Q18" s="3"/>
      <c r="R18" s="3">
        <v>349</v>
      </c>
      <c r="S18" s="3">
        <v>33</v>
      </c>
      <c r="T18" s="3"/>
      <c r="U18" s="3">
        <f t="shared" si="0"/>
        <v>2430</v>
      </c>
      <c r="V18" s="3">
        <f t="shared" si="1"/>
        <v>1824</v>
      </c>
      <c r="W18" s="3"/>
      <c r="X18" s="3">
        <f>724</f>
        <v>724</v>
      </c>
      <c r="Y18" s="3"/>
      <c r="Z18" s="3">
        <v>1262</v>
      </c>
    </row>
    <row r="19" spans="2:26" x14ac:dyDescent="0.25">
      <c r="B19">
        <v>2008</v>
      </c>
      <c r="C19" s="3">
        <v>293</v>
      </c>
      <c r="D19" s="3">
        <v>269</v>
      </c>
      <c r="E19" s="3"/>
      <c r="F19" s="3">
        <v>928</v>
      </c>
      <c r="G19" s="3">
        <v>900</v>
      </c>
      <c r="H19" s="3"/>
      <c r="I19" s="3">
        <v>98</v>
      </c>
      <c r="J19" s="3">
        <v>7</v>
      </c>
      <c r="K19" s="3"/>
      <c r="L19" s="3">
        <v>42</v>
      </c>
      <c r="M19" s="3">
        <v>2</v>
      </c>
      <c r="N19" s="3"/>
      <c r="O19" s="3">
        <v>23</v>
      </c>
      <c r="P19" s="3">
        <v>2</v>
      </c>
      <c r="Q19" s="3"/>
      <c r="R19" s="3">
        <v>219</v>
      </c>
      <c r="S19" s="3">
        <v>0</v>
      </c>
      <c r="T19" s="3"/>
      <c r="U19" s="3">
        <f t="shared" si="0"/>
        <v>1603</v>
      </c>
      <c r="V19" s="3">
        <f t="shared" si="1"/>
        <v>1180</v>
      </c>
      <c r="W19" s="3"/>
      <c r="X19" s="3">
        <f>236</f>
        <v>236</v>
      </c>
      <c r="Y19" s="3"/>
      <c r="Z19" s="3">
        <f>763</f>
        <v>763</v>
      </c>
    </row>
    <row r="20" spans="2:26" x14ac:dyDescent="0.25">
      <c r="B20">
        <v>2009</v>
      </c>
      <c r="C20" s="3">
        <v>451</v>
      </c>
      <c r="D20" s="3">
        <v>446</v>
      </c>
      <c r="E20" s="3"/>
      <c r="F20" s="3">
        <v>1201</v>
      </c>
      <c r="G20" s="3">
        <v>1107</v>
      </c>
      <c r="H20" s="3"/>
      <c r="I20" s="3">
        <f>97</f>
        <v>97</v>
      </c>
      <c r="J20" s="3">
        <v>6</v>
      </c>
      <c r="K20" s="3"/>
      <c r="L20" s="3">
        <v>6</v>
      </c>
      <c r="M20" s="3">
        <v>0</v>
      </c>
      <c r="N20" s="3"/>
      <c r="O20" s="3">
        <v>4</v>
      </c>
      <c r="P20" s="3">
        <v>1</v>
      </c>
      <c r="Q20" s="3"/>
      <c r="R20" s="3">
        <v>162</v>
      </c>
      <c r="S20" s="3">
        <v>0</v>
      </c>
      <c r="T20" s="3"/>
      <c r="U20" s="3">
        <f t="shared" si="0"/>
        <v>1921</v>
      </c>
      <c r="V20" s="3">
        <f t="shared" si="1"/>
        <v>1560</v>
      </c>
      <c r="W20" s="3"/>
      <c r="X20" s="3">
        <f>114</f>
        <v>114</v>
      </c>
      <c r="Y20" s="3"/>
      <c r="Z20" s="3">
        <f>1274</f>
        <v>1274</v>
      </c>
    </row>
    <row r="21" spans="2:26" x14ac:dyDescent="0.25">
      <c r="B21">
        <v>2010</v>
      </c>
      <c r="C21" s="3">
        <v>377</v>
      </c>
      <c r="D21" s="3">
        <v>384</v>
      </c>
      <c r="E21" s="3"/>
      <c r="F21" s="3">
        <f>1092</f>
        <v>1092</v>
      </c>
      <c r="G21" s="3">
        <v>953</v>
      </c>
      <c r="H21" s="3"/>
      <c r="I21" s="3">
        <f>104</f>
        <v>104</v>
      </c>
      <c r="J21" s="3">
        <v>1</v>
      </c>
      <c r="K21" s="3"/>
      <c r="L21" s="3">
        <v>4</v>
      </c>
      <c r="M21" s="3">
        <v>1</v>
      </c>
      <c r="N21" s="3"/>
      <c r="O21" s="3">
        <v>4</v>
      </c>
      <c r="P21" s="3">
        <v>0</v>
      </c>
      <c r="Q21" s="3"/>
      <c r="R21" s="3">
        <v>139</v>
      </c>
      <c r="S21" s="3">
        <v>0</v>
      </c>
      <c r="T21" s="3"/>
      <c r="U21" s="3">
        <f t="shared" si="0"/>
        <v>1720</v>
      </c>
      <c r="V21" s="3">
        <f t="shared" si="1"/>
        <v>1339</v>
      </c>
      <c r="W21" s="3"/>
      <c r="X21" s="3">
        <f>156</f>
        <v>156</v>
      </c>
      <c r="Y21" s="3"/>
      <c r="Z21" s="3">
        <f>1095</f>
        <v>1095</v>
      </c>
    </row>
    <row r="22" spans="2:26" x14ac:dyDescent="0.25">
      <c r="B22">
        <v>2011</v>
      </c>
      <c r="C22" s="3">
        <v>294</v>
      </c>
      <c r="D22" s="3"/>
      <c r="E22" s="3"/>
      <c r="F22" s="3">
        <f>963</f>
        <v>963</v>
      </c>
      <c r="G22" s="3"/>
      <c r="H22" s="3"/>
      <c r="I22" s="3">
        <v>170</v>
      </c>
      <c r="J22" s="3"/>
      <c r="K22" s="3"/>
      <c r="L22" s="3">
        <v>14</v>
      </c>
      <c r="M22" s="3"/>
      <c r="N22" s="3"/>
      <c r="O22" s="3">
        <v>4</v>
      </c>
      <c r="P22" s="3"/>
      <c r="Q22" s="3"/>
      <c r="R22" s="3">
        <v>128</v>
      </c>
      <c r="S22" s="3"/>
      <c r="T22" s="3"/>
      <c r="U22" s="3">
        <f t="shared" si="0"/>
        <v>1573</v>
      </c>
      <c r="V22" s="3">
        <f t="shared" si="1"/>
        <v>0</v>
      </c>
      <c r="W22" s="3"/>
      <c r="X22" s="3">
        <f>197</f>
        <v>197</v>
      </c>
      <c r="Y22" s="3"/>
      <c r="Z22" s="3">
        <f>977</f>
        <v>977</v>
      </c>
    </row>
    <row r="23" spans="2:26" x14ac:dyDescent="0.25">
      <c r="B23">
        <v>2012</v>
      </c>
      <c r="C23" s="3">
        <v>390</v>
      </c>
      <c r="D23" s="3"/>
      <c r="E23" s="3"/>
      <c r="F23" s="3">
        <f>1438</f>
        <v>1438</v>
      </c>
      <c r="G23" s="3"/>
      <c r="H23" s="3"/>
      <c r="I23" s="3">
        <v>225</v>
      </c>
      <c r="J23" s="3"/>
      <c r="K23" s="3"/>
      <c r="L23" s="3">
        <v>19</v>
      </c>
      <c r="M23" s="3"/>
      <c r="N23" s="3"/>
      <c r="O23" s="3">
        <v>4</v>
      </c>
      <c r="P23" s="3"/>
      <c r="Q23" s="3"/>
      <c r="R23" s="3">
        <v>123</v>
      </c>
      <c r="S23" s="3"/>
      <c r="T23" s="3"/>
      <c r="U23" s="3">
        <f t="shared" si="0"/>
        <v>2199</v>
      </c>
      <c r="V23" s="3">
        <f t="shared" si="1"/>
        <v>0</v>
      </c>
      <c r="W23" s="3"/>
      <c r="X23" s="3">
        <f>213</f>
        <v>213</v>
      </c>
      <c r="Y23" s="3"/>
      <c r="Z23" s="3">
        <f>1520</f>
        <v>1520</v>
      </c>
    </row>
    <row r="24" spans="2:26" x14ac:dyDescent="0.25">
      <c r="B24">
        <v>2013</v>
      </c>
      <c r="C24" s="3">
        <v>366</v>
      </c>
      <c r="D24" s="3"/>
      <c r="E24" s="3"/>
      <c r="F24" s="3">
        <f>1174</f>
        <v>1174</v>
      </c>
      <c r="G24" s="3"/>
      <c r="H24" s="3"/>
      <c r="I24" s="3">
        <v>272</v>
      </c>
      <c r="J24" s="3"/>
      <c r="K24" s="3"/>
      <c r="L24" s="3">
        <v>14</v>
      </c>
      <c r="M24" s="3"/>
      <c r="N24" s="3"/>
      <c r="O24" s="3">
        <v>4</v>
      </c>
      <c r="P24" s="3"/>
      <c r="Q24" s="3"/>
      <c r="R24" s="3">
        <v>159</v>
      </c>
      <c r="S24" s="3"/>
      <c r="T24" s="3"/>
      <c r="U24" s="3">
        <f t="shared" si="0"/>
        <v>1989</v>
      </c>
      <c r="V24" s="3">
        <f t="shared" si="1"/>
        <v>0</v>
      </c>
      <c r="W24" s="3"/>
      <c r="X24" s="3">
        <f>196</f>
        <v>196</v>
      </c>
      <c r="Y24" s="3"/>
      <c r="Z24" s="3">
        <f>1138</f>
        <v>1138</v>
      </c>
    </row>
    <row r="25" spans="2:26" x14ac:dyDescent="0.25">
      <c r="B25">
        <v>2014</v>
      </c>
      <c r="C25" s="3">
        <v>277</v>
      </c>
      <c r="D25" s="3"/>
      <c r="E25" s="3"/>
      <c r="F25" s="3">
        <f>649</f>
        <v>649</v>
      </c>
      <c r="G25" s="3"/>
      <c r="H25" s="3"/>
      <c r="I25" s="3">
        <f>235</f>
        <v>235</v>
      </c>
      <c r="J25" s="3"/>
      <c r="K25" s="3"/>
      <c r="L25" s="3">
        <v>4</v>
      </c>
      <c r="M25" s="3"/>
      <c r="N25" s="3"/>
      <c r="O25" s="3">
        <v>4</v>
      </c>
      <c r="P25" s="3"/>
      <c r="Q25" s="3"/>
      <c r="R25" s="3">
        <v>152</v>
      </c>
      <c r="S25" s="3"/>
      <c r="T25" s="3"/>
      <c r="U25" s="3">
        <f t="shared" si="0"/>
        <v>1321</v>
      </c>
      <c r="V25" s="3">
        <f t="shared" si="1"/>
        <v>0</v>
      </c>
      <c r="W25" s="3"/>
      <c r="X25" s="3">
        <f>198</f>
        <v>198</v>
      </c>
      <c r="Y25" s="3"/>
      <c r="Z25" s="3">
        <f>466</f>
        <v>466</v>
      </c>
    </row>
    <row r="26" spans="2:26" x14ac:dyDescent="0.25">
      <c r="B26">
        <v>2015</v>
      </c>
      <c r="C26" s="3">
        <v>196</v>
      </c>
      <c r="D26" s="3"/>
      <c r="E26" s="3"/>
      <c r="F26" s="3">
        <f>442</f>
        <v>442</v>
      </c>
      <c r="G26" s="3"/>
      <c r="H26" s="3"/>
      <c r="I26" s="3">
        <f>328</f>
        <v>328</v>
      </c>
      <c r="J26" s="3"/>
      <c r="K26" s="3"/>
      <c r="L26" s="3">
        <v>2</v>
      </c>
      <c r="M26" s="3"/>
      <c r="N26" s="3"/>
      <c r="O26" s="3">
        <v>2</v>
      </c>
      <c r="P26" s="3"/>
      <c r="Q26" s="3"/>
      <c r="R26" s="3">
        <v>183</v>
      </c>
      <c r="S26" s="3"/>
      <c r="T26" s="3"/>
      <c r="U26" s="3">
        <f t="shared" si="0"/>
        <v>1153</v>
      </c>
      <c r="V26" s="3">
        <f t="shared" si="1"/>
        <v>0</v>
      </c>
      <c r="W26" s="3"/>
      <c r="X26" s="3">
        <v>90</v>
      </c>
      <c r="Y26" s="3"/>
      <c r="Z26" s="3">
        <f>444</f>
        <v>444</v>
      </c>
    </row>
    <row r="27" spans="2:26" s="6" customFormat="1" x14ac:dyDescent="0.25">
      <c r="B27" s="6">
        <v>2016</v>
      </c>
      <c r="I27" s="6">
        <v>77</v>
      </c>
      <c r="R27" s="7">
        <v>45</v>
      </c>
    </row>
    <row r="28" spans="2:26" x14ac:dyDescent="0.25">
      <c r="B28">
        <v>2017</v>
      </c>
      <c r="C28" s="3">
        <v>237</v>
      </c>
    </row>
  </sheetData>
  <mergeCells count="8">
    <mergeCell ref="U4:V4"/>
    <mergeCell ref="B2:V2"/>
    <mergeCell ref="C4:D4"/>
    <mergeCell ref="F4:G4"/>
    <mergeCell ref="I4:J4"/>
    <mergeCell ref="L4:M4"/>
    <mergeCell ref="O4:P4"/>
    <mergeCell ref="R4:S4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0"/>
  <sheetViews>
    <sheetView workbookViewId="0">
      <selection activeCell="L20" sqref="L20"/>
    </sheetView>
  </sheetViews>
  <sheetFormatPr defaultRowHeight="15" x14ac:dyDescent="0.25"/>
  <cols>
    <col min="2" max="2" width="12.7109375" customWidth="1"/>
    <col min="3" max="3" width="1.5703125" customWidth="1"/>
    <col min="4" max="4" width="20.140625" customWidth="1"/>
  </cols>
  <sheetData>
    <row r="3" spans="2:4" x14ac:dyDescent="0.25">
      <c r="B3" s="2" t="s">
        <v>11</v>
      </c>
      <c r="D3" s="2" t="s">
        <v>12</v>
      </c>
    </row>
    <row r="4" spans="2:4" x14ac:dyDescent="0.25">
      <c r="B4" t="s">
        <v>13</v>
      </c>
      <c r="D4" t="s">
        <v>15</v>
      </c>
    </row>
    <row r="5" spans="2:4" x14ac:dyDescent="0.25">
      <c r="B5" t="s">
        <v>14</v>
      </c>
      <c r="D5" t="s">
        <v>15</v>
      </c>
    </row>
    <row r="6" spans="2:4" x14ac:dyDescent="0.25">
      <c r="B6" t="s">
        <v>4</v>
      </c>
      <c r="D6" t="s">
        <v>15</v>
      </c>
    </row>
    <row r="7" spans="2:4" x14ac:dyDescent="0.25">
      <c r="B7" t="s">
        <v>5</v>
      </c>
      <c r="D7" t="s">
        <v>4</v>
      </c>
    </row>
    <row r="8" spans="2:4" x14ac:dyDescent="0.25">
      <c r="B8" t="s">
        <v>6</v>
      </c>
      <c r="D8" t="s">
        <v>17</v>
      </c>
    </row>
    <row r="9" spans="2:4" x14ac:dyDescent="0.25">
      <c r="B9" t="s">
        <v>7</v>
      </c>
      <c r="D9" t="s">
        <v>16</v>
      </c>
    </row>
    <row r="10" spans="2:4" x14ac:dyDescent="0.25">
      <c r="B10" t="s">
        <v>8</v>
      </c>
      <c r="D1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Issuance</vt:lpstr>
      <vt:lpstr>Default Assumptions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Chaudhary</dc:creator>
  <cp:lastModifiedBy>Sharad Chaudhary</cp:lastModifiedBy>
  <dcterms:created xsi:type="dcterms:W3CDTF">2015-08-25T13:40:14Z</dcterms:created>
  <dcterms:modified xsi:type="dcterms:W3CDTF">2018-03-02T19:32:39Z</dcterms:modified>
</cp:coreProperties>
</file>