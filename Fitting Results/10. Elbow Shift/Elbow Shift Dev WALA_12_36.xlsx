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675" windowWidth="25470" windowHeight="16035" activeTab="1"/>
  </bookViews>
  <sheets>
    <sheet name="Symph" sheetId="1" r:id="rId1"/>
    <sheet name="Model" sheetId="2" r:id="rId2"/>
  </sheets>
  <definedNames>
    <definedName name="solver_adj" localSheetId="1" hidden="1">Model!$Q$2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Model!$T$9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45621"/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2" i="2"/>
  <c r="Q3" i="2"/>
  <c r="I4" i="2"/>
  <c r="H4" i="2"/>
  <c r="R3" i="2" l="1"/>
  <c r="S3" i="2" s="1"/>
  <c r="Q4" i="2"/>
  <c r="Q5" i="2"/>
  <c r="Q6" i="2"/>
  <c r="Q7" i="2"/>
  <c r="Q8" i="2"/>
  <c r="R8" i="2" s="1"/>
  <c r="S8" i="2" s="1"/>
  <c r="P4" i="2"/>
  <c r="P5" i="2"/>
  <c r="P6" i="2"/>
  <c r="P7" i="2"/>
  <c r="P8" i="2"/>
  <c r="P3" i="2"/>
  <c r="R7" i="2" l="1"/>
  <c r="S7" i="2" s="1"/>
  <c r="T7" i="2" s="1"/>
  <c r="T3" i="2"/>
  <c r="R5" i="2"/>
  <c r="S5" i="2" s="1"/>
  <c r="R4" i="2"/>
  <c r="S4" i="2" s="1"/>
  <c r="T4" i="2" s="1"/>
  <c r="R6" i="2"/>
  <c r="S6" i="2" s="1"/>
  <c r="T6" i="2" s="1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2" i="2"/>
  <c r="T9" i="2" l="1"/>
  <c r="N6" i="2"/>
  <c r="N5" i="2"/>
  <c r="N4" i="2"/>
  <c r="N3" i="2"/>
  <c r="D32" i="2"/>
  <c r="E2" i="2" l="1"/>
  <c r="W7" i="1"/>
  <c r="W6" i="1"/>
  <c r="W5" i="1"/>
  <c r="W4" i="1"/>
  <c r="W3" i="1"/>
  <c r="X7" i="1"/>
  <c r="X6" i="1"/>
  <c r="X5" i="1"/>
  <c r="X4" i="1"/>
  <c r="X3" i="1"/>
  <c r="B8" i="2"/>
  <c r="B33" i="2" l="1"/>
  <c r="B22" i="2"/>
  <c r="H7" i="2"/>
  <c r="B12" i="2"/>
  <c r="B20" i="2"/>
  <c r="D20" i="2" s="1"/>
  <c r="B27" i="2"/>
  <c r="B23" i="2"/>
  <c r="B14" i="2"/>
  <c r="D14" i="2" s="1"/>
  <c r="B5" i="2"/>
  <c r="B31" i="2"/>
  <c r="B13" i="2"/>
  <c r="B21" i="2"/>
  <c r="B2" i="2"/>
  <c r="B11" i="2"/>
  <c r="B28" i="2"/>
  <c r="B10" i="2"/>
  <c r="B18" i="2"/>
  <c r="B35" i="2"/>
  <c r="B26" i="2"/>
  <c r="D26" i="2" s="1"/>
  <c r="B17" i="2"/>
  <c r="B7" i="2"/>
  <c r="B4" i="2"/>
  <c r="B30" i="2"/>
  <c r="B3" i="2"/>
  <c r="B29" i="2"/>
  <c r="B37" i="2"/>
  <c r="B19" i="2"/>
  <c r="B36" i="2"/>
  <c r="B9" i="2"/>
  <c r="B34" i="2"/>
  <c r="B25" i="2"/>
  <c r="B15" i="2"/>
  <c r="B6" i="2"/>
  <c r="E3" i="2"/>
  <c r="E33" i="2"/>
  <c r="E34" i="2"/>
  <c r="E18" i="2"/>
  <c r="E25" i="2"/>
  <c r="E32" i="2"/>
  <c r="E8" i="2"/>
  <c r="E31" i="2"/>
  <c r="E7" i="2"/>
  <c r="E30" i="2"/>
  <c r="E6" i="2"/>
  <c r="E37" i="2"/>
  <c r="E29" i="2"/>
  <c r="E21" i="2"/>
  <c r="E13" i="2"/>
  <c r="E5" i="2"/>
  <c r="E17" i="2"/>
  <c r="E16" i="2"/>
  <c r="E23" i="2"/>
  <c r="E14" i="2"/>
  <c r="E36" i="2"/>
  <c r="E28" i="2"/>
  <c r="E20" i="2"/>
  <c r="E12" i="2"/>
  <c r="E4" i="2"/>
  <c r="E26" i="2"/>
  <c r="E10" i="2"/>
  <c r="E9" i="2"/>
  <c r="E24" i="2"/>
  <c r="I7" i="2"/>
  <c r="E15" i="2"/>
  <c r="E22" i="2"/>
  <c r="E35" i="2"/>
  <c r="E27" i="2"/>
  <c r="E19" i="2"/>
  <c r="E11" i="2"/>
  <c r="B32" i="2"/>
  <c r="B24" i="2"/>
  <c r="B16" i="2"/>
</calcChain>
</file>

<file path=xl/sharedStrings.xml><?xml version="1.0" encoding="utf-8"?>
<sst xmlns="http://schemas.openxmlformats.org/spreadsheetml/2006/main" count="75" uniqueCount="30">
  <si>
    <t>Row Labels</t>
  </si>
  <si>
    <t>act</t>
  </si>
  <si>
    <t>mdl</t>
  </si>
  <si>
    <t>LLB</t>
  </si>
  <si>
    <t>AVG_LOANSIZE_SCHAMBALANCE</t>
  </si>
  <si>
    <t>MLB</t>
  </si>
  <si>
    <t>HLB</t>
  </si>
  <si>
    <t>HHLB</t>
  </si>
  <si>
    <t>417K</t>
  </si>
  <si>
    <t>Loan Size</t>
  </si>
  <si>
    <t>minWACLS</t>
  </si>
  <si>
    <t>conv30WACLS</t>
  </si>
  <si>
    <t>conversionFact</t>
  </si>
  <si>
    <t>fixedRefiCosts</t>
  </si>
  <si>
    <t>Prod</t>
  </si>
  <si>
    <t>costMaxWACLS</t>
  </si>
  <si>
    <t>LS</t>
  </si>
  <si>
    <t>Adj</t>
  </si>
  <si>
    <t>Symph</t>
  </si>
  <si>
    <t>Target</t>
  </si>
  <si>
    <t>Dev</t>
  </si>
  <si>
    <t>half of 25</t>
  </si>
  <si>
    <t>empirical</t>
  </si>
  <si>
    <t>Additional Adj</t>
  </si>
  <si>
    <t>Jumbo</t>
  </si>
  <si>
    <t>Cost to ACLS Ratio</t>
  </si>
  <si>
    <t>JUMBO</t>
  </si>
  <si>
    <t>IO mult</t>
  </si>
  <si>
    <t>Fixed Cost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</si>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</sst>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0_);_(* \(#,##0.0000\);_(* &quot;-&quot;??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65" fontId="0" fillId="0" borderId="0" xfId="2" applyNumberFormat="1" applyFont="1"/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Symph!$F$3:$F$18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Symph!$G$3:$G$18</c:f>
              <c:numCache>
                <c:formatCode>_(* #,##0.00_);_(* \(#,##0.00\);_(* "-"??_);_(@_)</c:formatCode>
                <c:ptCount val="16"/>
                <c:pt idx="0">
                  <c:v>0.19055956495843701</c:v>
                </c:pt>
                <c:pt idx="1">
                  <c:v>0.122271068251723</c:v>
                </c:pt>
                <c:pt idx="2">
                  <c:v>5.3277835316716899</c:v>
                </c:pt>
                <c:pt idx="3">
                  <c:v>3.6368321366091299</c:v>
                </c:pt>
                <c:pt idx="4">
                  <c:v>4.3599346530279597</c:v>
                </c:pt>
                <c:pt idx="5">
                  <c:v>4.9883666912103202</c:v>
                </c:pt>
                <c:pt idx="6">
                  <c:v>5.8517980728211603</c:v>
                </c:pt>
                <c:pt idx="7">
                  <c:v>6.7094520550810302</c:v>
                </c:pt>
                <c:pt idx="8">
                  <c:v>7.4486072440294198</c:v>
                </c:pt>
                <c:pt idx="9">
                  <c:v>8.1936042820211306</c:v>
                </c:pt>
                <c:pt idx="10">
                  <c:v>9.1605175159313301</c:v>
                </c:pt>
                <c:pt idx="11">
                  <c:v>10.464957108662899</c:v>
                </c:pt>
                <c:pt idx="12">
                  <c:v>12.029218670108399</c:v>
                </c:pt>
                <c:pt idx="13">
                  <c:v>13.304031367729699</c:v>
                </c:pt>
                <c:pt idx="14">
                  <c:v>14.9996466827326</c:v>
                </c:pt>
                <c:pt idx="15">
                  <c:v>15.519320694084801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Symph!$F$3:$F$18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Symph!$H$3:$H$18</c:f>
              <c:numCache>
                <c:formatCode>_(* #,##0.00_);_(* \(#,##0.00\);_(* "-"??_);_(@_)</c:formatCode>
                <c:ptCount val="16"/>
                <c:pt idx="2">
                  <c:v>6.7680867093393102</c:v>
                </c:pt>
                <c:pt idx="3">
                  <c:v>7.6176612341893701</c:v>
                </c:pt>
                <c:pt idx="4">
                  <c:v>8.1870568291572106</c:v>
                </c:pt>
                <c:pt idx="5">
                  <c:v>7.9004901683547599</c:v>
                </c:pt>
                <c:pt idx="6">
                  <c:v>6.8523930738147802</c:v>
                </c:pt>
                <c:pt idx="7">
                  <c:v>6.6015894907108796</c:v>
                </c:pt>
                <c:pt idx="8">
                  <c:v>7.3651659981071802</c:v>
                </c:pt>
                <c:pt idx="9">
                  <c:v>8.1484618862714893</c:v>
                </c:pt>
                <c:pt idx="10">
                  <c:v>8.8908082345503292</c:v>
                </c:pt>
                <c:pt idx="11">
                  <c:v>9.7052584302077403</c:v>
                </c:pt>
                <c:pt idx="12">
                  <c:v>11.067849897678901</c:v>
                </c:pt>
                <c:pt idx="13">
                  <c:v>13.7188250965996</c:v>
                </c:pt>
                <c:pt idx="14">
                  <c:v>16.574761054096001</c:v>
                </c:pt>
                <c:pt idx="15">
                  <c:v>18.482054513994601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137408"/>
        <c:axId val="247138944"/>
      </c:lineChart>
      <c:catAx>
        <c:axId val="24713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7138944"/>
        <c:crosses val="autoZero"/>
        <c:auto val="1"/>
        <c:lblAlgn val="ctr"/>
        <c:lblOffset val="100"/>
        <c:noMultiLvlLbl val="0"/>
      </c:catAx>
      <c:valAx>
        <c:axId val="2471389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47137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Symph!$F$25:$F$40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Symph!$G$25:$G$40</c:f>
              <c:numCache>
                <c:formatCode>_(* #,##0.00_);_(* \(#,##0.00\);_(* "-"??_);_(@_)</c:formatCode>
                <c:ptCount val="16"/>
                <c:pt idx="0">
                  <c:v>9.1644408356784002E-2</c:v>
                </c:pt>
                <c:pt idx="1">
                  <c:v>2.93536515089062</c:v>
                </c:pt>
                <c:pt idx="2">
                  <c:v>3.2543073590130498</c:v>
                </c:pt>
                <c:pt idx="3">
                  <c:v>3.32431951824028</c:v>
                </c:pt>
                <c:pt idx="4">
                  <c:v>4.5154221907489402</c:v>
                </c:pt>
                <c:pt idx="5">
                  <c:v>4.8359556318429497</c:v>
                </c:pt>
                <c:pt idx="6">
                  <c:v>5.92330328289896</c:v>
                </c:pt>
                <c:pt idx="7">
                  <c:v>6.50657632913342</c:v>
                </c:pt>
                <c:pt idx="8">
                  <c:v>7.5640878892813896</c:v>
                </c:pt>
                <c:pt idx="9">
                  <c:v>8.7148815300453908</c:v>
                </c:pt>
                <c:pt idx="10">
                  <c:v>10.123925720428099</c:v>
                </c:pt>
                <c:pt idx="11">
                  <c:v>12.237040908857299</c:v>
                </c:pt>
                <c:pt idx="12">
                  <c:v>15.031488561715101</c:v>
                </c:pt>
                <c:pt idx="13">
                  <c:v>17.700515804032399</c:v>
                </c:pt>
                <c:pt idx="14">
                  <c:v>19.531360829288101</c:v>
                </c:pt>
                <c:pt idx="15">
                  <c:v>20.654331277901399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Symph!$F$25:$F$40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Symph!$H$25:$H$40</c:f>
              <c:numCache>
                <c:formatCode>_(* #,##0.00_);_(* \(#,##0.00\);_(* "-"??_);_(@_)</c:formatCode>
                <c:ptCount val="16"/>
                <c:pt idx="1">
                  <c:v>6.3757506028818103</c:v>
                </c:pt>
                <c:pt idx="2">
                  <c:v>6.8472902704991698</c:v>
                </c:pt>
                <c:pt idx="3">
                  <c:v>7.2122613805399904</c:v>
                </c:pt>
                <c:pt idx="4">
                  <c:v>6.7960020544682704</c:v>
                </c:pt>
                <c:pt idx="5">
                  <c:v>5.93774754116839</c:v>
                </c:pt>
                <c:pt idx="6">
                  <c:v>5.9661561601313702</c:v>
                </c:pt>
                <c:pt idx="7">
                  <c:v>6.7929222871816597</c:v>
                </c:pt>
                <c:pt idx="8">
                  <c:v>7.6201004054839201</c:v>
                </c:pt>
                <c:pt idx="9">
                  <c:v>8.5719505288343605</c:v>
                </c:pt>
                <c:pt idx="10">
                  <c:v>9.9262572488015408</c:v>
                </c:pt>
                <c:pt idx="11">
                  <c:v>12.3923241056322</c:v>
                </c:pt>
                <c:pt idx="12">
                  <c:v>16.2547338691937</c:v>
                </c:pt>
                <c:pt idx="13">
                  <c:v>19.4760036729521</c:v>
                </c:pt>
                <c:pt idx="14">
                  <c:v>21.4499608852752</c:v>
                </c:pt>
                <c:pt idx="15">
                  <c:v>22.320948033011199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602816"/>
        <c:axId val="253612800"/>
      </c:lineChart>
      <c:catAx>
        <c:axId val="25360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3612800"/>
        <c:crosses val="autoZero"/>
        <c:auto val="1"/>
        <c:lblAlgn val="ctr"/>
        <c:lblOffset val="100"/>
        <c:noMultiLvlLbl val="0"/>
      </c:catAx>
      <c:valAx>
        <c:axId val="25361280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360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Symph!$F$46:$F$61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Symph!$G$46:$G$61</c:f>
              <c:numCache>
                <c:formatCode>_(* #,##0.00_);_(* \(#,##0.00\);_(* "-"??_);_(@_)</c:formatCode>
                <c:ptCount val="16"/>
                <c:pt idx="0">
                  <c:v>2.5801281295523001E-2</c:v>
                </c:pt>
                <c:pt idx="1">
                  <c:v>8.6636343039326005E-2</c:v>
                </c:pt>
                <c:pt idx="2">
                  <c:v>4.1576886802173298</c:v>
                </c:pt>
                <c:pt idx="3">
                  <c:v>3.8563966568517598</c:v>
                </c:pt>
                <c:pt idx="4">
                  <c:v>3.88019701935213</c:v>
                </c:pt>
                <c:pt idx="5">
                  <c:v>4.5806653122934504</c:v>
                </c:pt>
                <c:pt idx="6">
                  <c:v>5.4342396877025996</c:v>
                </c:pt>
                <c:pt idx="7">
                  <c:v>6.3792009702084496</c:v>
                </c:pt>
                <c:pt idx="8">
                  <c:v>7.7459253953391398</c:v>
                </c:pt>
                <c:pt idx="9">
                  <c:v>9.6796977257871699</c:v>
                </c:pt>
                <c:pt idx="10">
                  <c:v>11.9092859118894</c:v>
                </c:pt>
                <c:pt idx="11">
                  <c:v>15.4707341294286</c:v>
                </c:pt>
                <c:pt idx="12">
                  <c:v>19.258139942395498</c:v>
                </c:pt>
                <c:pt idx="13">
                  <c:v>22.193489744130598</c:v>
                </c:pt>
                <c:pt idx="14">
                  <c:v>24.2328196063294</c:v>
                </c:pt>
                <c:pt idx="15">
                  <c:v>24.8789360913213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Symph!$F$46:$F$61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Symph!$H$46:$H$61</c:f>
              <c:numCache>
                <c:formatCode>_(* #,##0.00_);_(* \(#,##0.00\);_(* "-"??_);_(@_)</c:formatCode>
                <c:ptCount val="16"/>
                <c:pt idx="1">
                  <c:v>5.7171214508425496</c:v>
                </c:pt>
                <c:pt idx="2">
                  <c:v>6.4589350073380398</c:v>
                </c:pt>
                <c:pt idx="3">
                  <c:v>6.5021579061293604</c:v>
                </c:pt>
                <c:pt idx="4">
                  <c:v>5.9406705577572296</c:v>
                </c:pt>
                <c:pt idx="5">
                  <c:v>5.2304109931901701</c:v>
                </c:pt>
                <c:pt idx="6">
                  <c:v>5.43702160572031</c:v>
                </c:pt>
                <c:pt idx="7">
                  <c:v>6.2616024474400103</c:v>
                </c:pt>
                <c:pt idx="8">
                  <c:v>7.1195715022533896</c:v>
                </c:pt>
                <c:pt idx="9">
                  <c:v>8.3075025513688008</c:v>
                </c:pt>
                <c:pt idx="10">
                  <c:v>10.333973703957399</c:v>
                </c:pt>
                <c:pt idx="11">
                  <c:v>13.8261923936348</c:v>
                </c:pt>
                <c:pt idx="12">
                  <c:v>18.467386107142701</c:v>
                </c:pt>
                <c:pt idx="13">
                  <c:v>21.843671496684699</c:v>
                </c:pt>
                <c:pt idx="14">
                  <c:v>23.9203870996656</c:v>
                </c:pt>
                <c:pt idx="15">
                  <c:v>24.657187811889301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451712"/>
        <c:axId val="256453248"/>
      </c:lineChart>
      <c:catAx>
        <c:axId val="25645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453248"/>
        <c:crosses val="autoZero"/>
        <c:auto val="1"/>
        <c:lblAlgn val="ctr"/>
        <c:lblOffset val="100"/>
        <c:noMultiLvlLbl val="0"/>
      </c:catAx>
      <c:valAx>
        <c:axId val="256453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6451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Symph!$F$67:$F$82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Symph!$G$67:$G$82</c:f>
              <c:numCache>
                <c:formatCode>_(* #,##0.00_);_(* \(#,##0.00\);_(* "-"??_);_(@_)</c:formatCode>
                <c:ptCount val="16"/>
                <c:pt idx="0">
                  <c:v>0.121346516273213</c:v>
                </c:pt>
                <c:pt idx="1">
                  <c:v>0.26565967817568897</c:v>
                </c:pt>
                <c:pt idx="2">
                  <c:v>5.2904048354472</c:v>
                </c:pt>
                <c:pt idx="3">
                  <c:v>3.1181644215981601</c:v>
                </c:pt>
                <c:pt idx="4">
                  <c:v>3.7168333260478499</c:v>
                </c:pt>
                <c:pt idx="5">
                  <c:v>4.3349671406062598</c:v>
                </c:pt>
                <c:pt idx="6">
                  <c:v>5.32501542445016</c:v>
                </c:pt>
                <c:pt idx="7">
                  <c:v>6.4176031181215096</c:v>
                </c:pt>
                <c:pt idx="8">
                  <c:v>8.0782050614384708</c:v>
                </c:pt>
                <c:pt idx="9">
                  <c:v>10.656961812836901</c:v>
                </c:pt>
                <c:pt idx="10">
                  <c:v>13.9987020211349</c:v>
                </c:pt>
                <c:pt idx="11">
                  <c:v>18.504335490851499</c:v>
                </c:pt>
                <c:pt idx="12">
                  <c:v>23.294100364884901</c:v>
                </c:pt>
                <c:pt idx="13">
                  <c:v>26.0901118490066</c:v>
                </c:pt>
                <c:pt idx="14">
                  <c:v>27.389882578796701</c:v>
                </c:pt>
                <c:pt idx="15">
                  <c:v>28.462302070354902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Symph!$F$67:$F$82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Symph!$H$67:$H$82</c:f>
              <c:numCache>
                <c:formatCode>_(* #,##0.00_);_(* \(#,##0.00\);_(* "-"??_);_(@_)</c:formatCode>
                <c:ptCount val="16"/>
                <c:pt idx="0">
                  <c:v>5.2935947949256201</c:v>
                </c:pt>
                <c:pt idx="1">
                  <c:v>5.9332656591151096</c:v>
                </c:pt>
                <c:pt idx="2">
                  <c:v>6.3034702360509698</c:v>
                </c:pt>
                <c:pt idx="3">
                  <c:v>5.6123641197710699</c:v>
                </c:pt>
                <c:pt idx="4">
                  <c:v>4.84088291098778</c:v>
                </c:pt>
                <c:pt idx="5">
                  <c:v>5.0771701716611704</c:v>
                </c:pt>
                <c:pt idx="6">
                  <c:v>5.8809949048736199</c:v>
                </c:pt>
                <c:pt idx="7">
                  <c:v>6.7694326318017</c:v>
                </c:pt>
                <c:pt idx="8">
                  <c:v>8.1693415089930106</c:v>
                </c:pt>
                <c:pt idx="9">
                  <c:v>10.8218334475152</c:v>
                </c:pt>
                <c:pt idx="10">
                  <c:v>15.186231960591501</c:v>
                </c:pt>
                <c:pt idx="11">
                  <c:v>20.477797671426099</c:v>
                </c:pt>
                <c:pt idx="12">
                  <c:v>24.012325823032199</c:v>
                </c:pt>
                <c:pt idx="13">
                  <c:v>26.1963904133152</c:v>
                </c:pt>
                <c:pt idx="14">
                  <c:v>26.929603474108799</c:v>
                </c:pt>
                <c:pt idx="15">
                  <c:v>26.396945903755199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316160"/>
        <c:axId val="260326144"/>
      </c:lineChart>
      <c:catAx>
        <c:axId val="26031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326144"/>
        <c:crosses val="autoZero"/>
        <c:auto val="1"/>
        <c:lblAlgn val="ctr"/>
        <c:lblOffset val="100"/>
        <c:noMultiLvlLbl val="0"/>
      </c:catAx>
      <c:valAx>
        <c:axId val="2603261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6031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Symph!$F$88:$F$103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Symph!$G$88:$G$103</c:f>
              <c:numCache>
                <c:formatCode>_(* #,##0.00_);_(* \(#,##0.00\);_(* "-"??_);_(@_)</c:formatCode>
                <c:ptCount val="16"/>
                <c:pt idx="0">
                  <c:v>1.776161323827455</c:v>
                </c:pt>
                <c:pt idx="1">
                  <c:v>2.0966878910230693</c:v>
                </c:pt>
                <c:pt idx="2">
                  <c:v>11.274984470710059</c:v>
                </c:pt>
                <c:pt idx="3">
                  <c:v>5.5985534501260457</c:v>
                </c:pt>
                <c:pt idx="4">
                  <c:v>3.5466871238070201</c:v>
                </c:pt>
                <c:pt idx="5">
                  <c:v>4.4716656127322949</c:v>
                </c:pt>
                <c:pt idx="6">
                  <c:v>5.6446282282277505</c:v>
                </c:pt>
                <c:pt idx="7">
                  <c:v>6.6942611860063455</c:v>
                </c:pt>
                <c:pt idx="8">
                  <c:v>9.2815054718753487</c:v>
                </c:pt>
                <c:pt idx="9">
                  <c:v>14.369746815013151</c:v>
                </c:pt>
                <c:pt idx="10">
                  <c:v>19.52683904609485</c:v>
                </c:pt>
                <c:pt idx="11">
                  <c:v>24.314549513352048</c:v>
                </c:pt>
                <c:pt idx="12">
                  <c:v>27.789747629531</c:v>
                </c:pt>
                <c:pt idx="13">
                  <c:v>31.326222104979202</c:v>
                </c:pt>
                <c:pt idx="14">
                  <c:v>32.318240280840946</c:v>
                </c:pt>
                <c:pt idx="15">
                  <c:v>32.325286769212099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Symph!$F$88:$F$103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Symph!$H$88:$H$103</c:f>
              <c:numCache>
                <c:formatCode>_(* #,##0.00_);_(* \(#,##0.00\);_(* "-"??_);_(@_)</c:formatCode>
                <c:ptCount val="16"/>
                <c:pt idx="0">
                  <c:v>6.9549009292574855</c:v>
                </c:pt>
                <c:pt idx="1">
                  <c:v>5.7831832892474653</c:v>
                </c:pt>
                <c:pt idx="2">
                  <c:v>5.8877015449539902</c:v>
                </c:pt>
                <c:pt idx="3">
                  <c:v>5.8828646856118203</c:v>
                </c:pt>
                <c:pt idx="4">
                  <c:v>5.3273431392796349</c:v>
                </c:pt>
                <c:pt idx="5">
                  <c:v>5.3368477267456349</c:v>
                </c:pt>
                <c:pt idx="6">
                  <c:v>6.1712747457206945</c:v>
                </c:pt>
                <c:pt idx="7">
                  <c:v>7.3022817943167349</c:v>
                </c:pt>
                <c:pt idx="8">
                  <c:v>9.438508188910756</c:v>
                </c:pt>
                <c:pt idx="9">
                  <c:v>13.42475227907175</c:v>
                </c:pt>
                <c:pt idx="10">
                  <c:v>18.454633704660353</c:v>
                </c:pt>
                <c:pt idx="11">
                  <c:v>23.089898452836401</c:v>
                </c:pt>
                <c:pt idx="12">
                  <c:v>26.08405712371605</c:v>
                </c:pt>
                <c:pt idx="13">
                  <c:v>28.995565418630651</c:v>
                </c:pt>
                <c:pt idx="14">
                  <c:v>30.0424127126747</c:v>
                </c:pt>
                <c:pt idx="15">
                  <c:v>30.096866711390351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356736"/>
        <c:axId val="260362624"/>
      </c:lineChart>
      <c:catAx>
        <c:axId val="26035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362624"/>
        <c:crosses val="autoZero"/>
        <c:auto val="1"/>
        <c:lblAlgn val="ctr"/>
        <c:lblOffset val="100"/>
        <c:noMultiLvlLbl val="0"/>
      </c:catAx>
      <c:valAx>
        <c:axId val="26036262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60356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Symph!$F$109:$F$124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Symph!$G$109:$G$124</c:f>
              <c:numCache>
                <c:formatCode>_(* #,##0.00_);_(* \(#,##0.00\);_(* "-"??_);_(@_)</c:formatCode>
                <c:ptCount val="16"/>
                <c:pt idx="0">
                  <c:v>8.3305118791710001E-2</c:v>
                </c:pt>
                <c:pt idx="1">
                  <c:v>0.309698089122734</c:v>
                </c:pt>
                <c:pt idx="2">
                  <c:v>6.2502109047393999</c:v>
                </c:pt>
                <c:pt idx="3">
                  <c:v>2.4641245681817399</c:v>
                </c:pt>
                <c:pt idx="4">
                  <c:v>2.6472921745818701</c:v>
                </c:pt>
                <c:pt idx="5">
                  <c:v>3.1447498962807301</c:v>
                </c:pt>
                <c:pt idx="6">
                  <c:v>4.4133705711767703</c:v>
                </c:pt>
                <c:pt idx="7">
                  <c:v>5.8840050860247102</c:v>
                </c:pt>
                <c:pt idx="8">
                  <c:v>10.5048058479089</c:v>
                </c:pt>
                <c:pt idx="9">
                  <c:v>21.7570748217654</c:v>
                </c:pt>
                <c:pt idx="10">
                  <c:v>33.3437315019209</c:v>
                </c:pt>
                <c:pt idx="11">
                  <c:v>41.583286286427303</c:v>
                </c:pt>
                <c:pt idx="12">
                  <c:v>45.712885184764097</c:v>
                </c:pt>
                <c:pt idx="13">
                  <c:v>46.525266366938297</c:v>
                </c:pt>
                <c:pt idx="14">
                  <c:v>46.608857010842399</c:v>
                </c:pt>
                <c:pt idx="15">
                  <c:v>42.719870839175698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Symph!$F$109:$F$124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Symph!$H$110:$H$125</c:f>
              <c:numCache>
                <c:formatCode>_(* #,##0.00_);_(* \(#,##0.00\);_(* "-"??_);_(@_)</c:formatCode>
                <c:ptCount val="16"/>
                <c:pt idx="0">
                  <c:v>4.2367714913629104</c:v>
                </c:pt>
                <c:pt idx="1">
                  <c:v>4.5721930421356003</c:v>
                </c:pt>
                <c:pt idx="2">
                  <c:v>3.9166512930806801</c:v>
                </c:pt>
                <c:pt idx="3">
                  <c:v>3.8770237382400699</c:v>
                </c:pt>
                <c:pt idx="4">
                  <c:v>4.5638661148653696</c:v>
                </c:pt>
                <c:pt idx="5">
                  <c:v>5.6755898292355198</c:v>
                </c:pt>
                <c:pt idx="6">
                  <c:v>7.0429657232852101</c:v>
                </c:pt>
                <c:pt idx="7">
                  <c:v>9.8924695533300806</c:v>
                </c:pt>
                <c:pt idx="8">
                  <c:v>16.6804403591488</c:v>
                </c:pt>
                <c:pt idx="9">
                  <c:v>25.518513838353499</c:v>
                </c:pt>
                <c:pt idx="10">
                  <c:v>33.9983559450136</c:v>
                </c:pt>
                <c:pt idx="11">
                  <c:v>39.351225604964597</c:v>
                </c:pt>
                <c:pt idx="12">
                  <c:v>42.748011277576303</c:v>
                </c:pt>
                <c:pt idx="13">
                  <c:v>44.082154012030301</c:v>
                </c:pt>
                <c:pt idx="14">
                  <c:v>43.936944428908802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859008"/>
        <c:axId val="260860544"/>
      </c:lineChart>
      <c:catAx>
        <c:axId val="26085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860544"/>
        <c:crosses val="autoZero"/>
        <c:auto val="1"/>
        <c:lblAlgn val="ctr"/>
        <c:lblOffset val="100"/>
        <c:noMultiLvlLbl val="0"/>
      </c:catAx>
      <c:valAx>
        <c:axId val="2608605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6085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Model!$B$1</c:f>
              <c:strCache>
                <c:ptCount val="1"/>
                <c:pt idx="0">
                  <c:v>Prod</c:v>
                </c:pt>
              </c:strCache>
            </c:strRef>
          </c:tx>
          <c:cat>
            <c:numRef>
              <c:f>Model!$A$2:$A$36</c:f>
              <c:numCache>
                <c:formatCode>General</c:formatCode>
                <c:ptCount val="3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numCache>
            </c:numRef>
          </c:cat>
          <c:val>
            <c:numRef>
              <c:f>Model!$B$2:$B$36</c:f>
              <c:numCache>
                <c:formatCode>_(* #,##0_);_(* \(#,##0\);_(* "-"??_);_(@_)</c:formatCode>
                <c:ptCount val="35"/>
                <c:pt idx="0">
                  <c:v>2485.7142857142858</c:v>
                </c:pt>
                <c:pt idx="1">
                  <c:v>485.71428571428572</c:v>
                </c:pt>
                <c:pt idx="2">
                  <c:v>235.71428571428572</c:v>
                </c:pt>
                <c:pt idx="3">
                  <c:v>152.38095238095238</c:v>
                </c:pt>
                <c:pt idx="4">
                  <c:v>110.71428571428572</c:v>
                </c:pt>
                <c:pt idx="5">
                  <c:v>85.714285714285722</c:v>
                </c:pt>
                <c:pt idx="6">
                  <c:v>69.047619047619051</c:v>
                </c:pt>
                <c:pt idx="7">
                  <c:v>57.142857142857146</c:v>
                </c:pt>
                <c:pt idx="8">
                  <c:v>48.214285714285722</c:v>
                </c:pt>
                <c:pt idx="9">
                  <c:v>41.269841269841272</c:v>
                </c:pt>
                <c:pt idx="10">
                  <c:v>35.714285714285715</c:v>
                </c:pt>
                <c:pt idx="11">
                  <c:v>31.168831168831169</c:v>
                </c:pt>
                <c:pt idx="12">
                  <c:v>27.380952380952383</c:v>
                </c:pt>
                <c:pt idx="13">
                  <c:v>24.175824175824179</c:v>
                </c:pt>
                <c:pt idx="14">
                  <c:v>21.428571428571427</c:v>
                </c:pt>
                <c:pt idx="15">
                  <c:v>19.047619047619051</c:v>
                </c:pt>
                <c:pt idx="16">
                  <c:v>16.964285714285715</c:v>
                </c:pt>
                <c:pt idx="17">
                  <c:v>15.126050420168067</c:v>
                </c:pt>
                <c:pt idx="18">
                  <c:v>13.492063492063494</c:v>
                </c:pt>
                <c:pt idx="19">
                  <c:v>12.030075187969924</c:v>
                </c:pt>
                <c:pt idx="20">
                  <c:v>10.714285714285715</c:v>
                </c:pt>
                <c:pt idx="21">
                  <c:v>9.5238095238095255</c:v>
                </c:pt>
                <c:pt idx="22">
                  <c:v>8.4415584415584402</c:v>
                </c:pt>
                <c:pt idx="23">
                  <c:v>7.4534161490683228</c:v>
                </c:pt>
                <c:pt idx="24">
                  <c:v>6.5476190476190474</c:v>
                </c:pt>
                <c:pt idx="25">
                  <c:v>5.7142857142857144</c:v>
                </c:pt>
                <c:pt idx="26">
                  <c:v>4.9450549450549461</c:v>
                </c:pt>
                <c:pt idx="27">
                  <c:v>4.2328042328042335</c:v>
                </c:pt>
                <c:pt idx="28">
                  <c:v>3.5714285714285707</c:v>
                </c:pt>
                <c:pt idx="29">
                  <c:v>2.9556650246305418</c:v>
                </c:pt>
                <c:pt idx="30">
                  <c:v>2.3809523809523818</c:v>
                </c:pt>
                <c:pt idx="31">
                  <c:v>1.8433179723502304</c:v>
                </c:pt>
                <c:pt idx="32">
                  <c:v>1.3392857142857151</c:v>
                </c:pt>
                <c:pt idx="33">
                  <c:v>0.86580086580086579</c:v>
                </c:pt>
                <c:pt idx="34">
                  <c:v>0.42016806722689054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Model!$D$1</c:f>
              <c:strCache>
                <c:ptCount val="1"/>
                <c:pt idx="0">
                  <c:v>Target</c:v>
                </c:pt>
              </c:strCache>
            </c:strRef>
          </c:tx>
          <c:cat>
            <c:numRef>
              <c:f>Model!$A$2:$A$36</c:f>
              <c:numCache>
                <c:formatCode>General</c:formatCode>
                <c:ptCount val="3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</c:numCache>
            </c:numRef>
          </c:cat>
          <c:val>
            <c:numRef>
              <c:f>Model!$D$2:$D$36</c:f>
              <c:numCache>
                <c:formatCode>General</c:formatCode>
                <c:ptCount val="35"/>
                <c:pt idx="12" formatCode="_(* #,##0_);_(* \(#,##0\);_(* &quot;-&quot;??_);_(@_)">
                  <c:v>77.38095238095238</c:v>
                </c:pt>
                <c:pt idx="18" formatCode="_(* #,##0_);_(* \(#,##0\);_(* &quot;-&quot;??_);_(@_)">
                  <c:v>38.492063492063494</c:v>
                </c:pt>
                <c:pt idx="24" formatCode="_(* #,##0_);_(* \(#,##0\);_(* &quot;-&quot;??_);_(@_)">
                  <c:v>18.547619047619047</c:v>
                </c:pt>
                <c:pt idx="30" formatCode="_(* #,##0_);_(* \(#,##0\);_(* &quot;-&quot;??_);_(@_)">
                  <c:v>2.3809523809523818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883968"/>
        <c:axId val="260885504"/>
      </c:lineChart>
      <c:catAx>
        <c:axId val="260883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0885504"/>
        <c:crosses val="autoZero"/>
        <c:auto val="1"/>
        <c:lblAlgn val="ctr"/>
        <c:lblOffset val="100"/>
        <c:noMultiLvlLbl val="0"/>
      </c:catAx>
      <c:valAx>
        <c:axId val="2608855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608839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Model!$V$1</c:f>
              <c:strCache>
                <c:ptCount val="1"/>
                <c:pt idx="0">
                  <c:v>Cost to ACLS Ratio</c:v>
                </c:pt>
              </c:strCache>
            </c:strRef>
          </c:tx>
          <c:marker>
            <c:symbol val="none"/>
          </c:marker>
          <c:cat>
            <c:numRef>
              <c:f>Model!$U$2:$U$52</c:f>
              <c:numCache>
                <c:formatCode>General</c:formatCode>
                <c:ptCount val="51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cat>
          <c:val>
            <c:numRef>
              <c:f>Model!$V$2:$V$52</c:f>
              <c:numCache>
                <c:formatCode>0.0%</c:formatCode>
                <c:ptCount val="51"/>
                <c:pt idx="0">
                  <c:v>2</c:v>
                </c:pt>
                <c:pt idx="1">
                  <c:v>0.2</c:v>
                </c:pt>
                <c:pt idx="2">
                  <c:v>0.1</c:v>
                </c:pt>
                <c:pt idx="3">
                  <c:v>6.6666666666666666E-2</c:v>
                </c:pt>
                <c:pt idx="4">
                  <c:v>0.05</c:v>
                </c:pt>
                <c:pt idx="5">
                  <c:v>0.04</c:v>
                </c:pt>
                <c:pt idx="6">
                  <c:v>3.3333333333333333E-2</c:v>
                </c:pt>
                <c:pt idx="7">
                  <c:v>2.8571428571428571E-2</c:v>
                </c:pt>
                <c:pt idx="8">
                  <c:v>2.5000000000000001E-2</c:v>
                </c:pt>
                <c:pt idx="9">
                  <c:v>2.2222222222222223E-2</c:v>
                </c:pt>
                <c:pt idx="10">
                  <c:v>0.02</c:v>
                </c:pt>
                <c:pt idx="11">
                  <c:v>1.8181818181818181E-2</c:v>
                </c:pt>
                <c:pt idx="12">
                  <c:v>1.6666666666666666E-2</c:v>
                </c:pt>
                <c:pt idx="13">
                  <c:v>1.5384615384615385E-2</c:v>
                </c:pt>
                <c:pt idx="14">
                  <c:v>1.4285714285714285E-2</c:v>
                </c:pt>
                <c:pt idx="15">
                  <c:v>1.3333333333333334E-2</c:v>
                </c:pt>
                <c:pt idx="16">
                  <c:v>1.2500000000000001E-2</c:v>
                </c:pt>
                <c:pt idx="17">
                  <c:v>1.1764705882352941E-2</c:v>
                </c:pt>
                <c:pt idx="18">
                  <c:v>1.1111111111111112E-2</c:v>
                </c:pt>
                <c:pt idx="19">
                  <c:v>1.0526315789473684E-2</c:v>
                </c:pt>
                <c:pt idx="20">
                  <c:v>0.01</c:v>
                </c:pt>
                <c:pt idx="21">
                  <c:v>9.5238095238095247E-3</c:v>
                </c:pt>
                <c:pt idx="22">
                  <c:v>9.0909090909090905E-3</c:v>
                </c:pt>
                <c:pt idx="23">
                  <c:v>8.6956521739130436E-3</c:v>
                </c:pt>
                <c:pt idx="24">
                  <c:v>8.3333333333333332E-3</c:v>
                </c:pt>
                <c:pt idx="25">
                  <c:v>8.0000000000000002E-3</c:v>
                </c:pt>
                <c:pt idx="26">
                  <c:v>7.6923076923076927E-3</c:v>
                </c:pt>
                <c:pt idx="27">
                  <c:v>7.4074074074074077E-3</c:v>
                </c:pt>
                <c:pt idx="28">
                  <c:v>7.1428571428571426E-3</c:v>
                </c:pt>
                <c:pt idx="29">
                  <c:v>6.8965517241379309E-3</c:v>
                </c:pt>
                <c:pt idx="30">
                  <c:v>6.6666666666666671E-3</c:v>
                </c:pt>
                <c:pt idx="31">
                  <c:v>6.4516129032258064E-3</c:v>
                </c:pt>
                <c:pt idx="32">
                  <c:v>6.2500000000000003E-3</c:v>
                </c:pt>
                <c:pt idx="33">
                  <c:v>6.0606060606060606E-3</c:v>
                </c:pt>
                <c:pt idx="34">
                  <c:v>5.8823529411764705E-3</c:v>
                </c:pt>
                <c:pt idx="35">
                  <c:v>5.7142857142857143E-3</c:v>
                </c:pt>
                <c:pt idx="36">
                  <c:v>5.5555555555555558E-3</c:v>
                </c:pt>
                <c:pt idx="37">
                  <c:v>5.4054054054054057E-3</c:v>
                </c:pt>
                <c:pt idx="38">
                  <c:v>5.263157894736842E-3</c:v>
                </c:pt>
                <c:pt idx="39">
                  <c:v>5.1282051282051282E-3</c:v>
                </c:pt>
                <c:pt idx="40">
                  <c:v>5.0000000000000001E-3</c:v>
                </c:pt>
                <c:pt idx="41">
                  <c:v>4.8780487804878049E-3</c:v>
                </c:pt>
                <c:pt idx="42">
                  <c:v>4.7619047619047623E-3</c:v>
                </c:pt>
                <c:pt idx="43">
                  <c:v>4.6511627906976744E-3</c:v>
                </c:pt>
                <c:pt idx="44">
                  <c:v>4.5454545454545452E-3</c:v>
                </c:pt>
                <c:pt idx="45">
                  <c:v>4.4444444444444444E-3</c:v>
                </c:pt>
                <c:pt idx="46">
                  <c:v>4.3478260869565218E-3</c:v>
                </c:pt>
                <c:pt idx="47">
                  <c:v>4.2553191489361703E-3</c:v>
                </c:pt>
                <c:pt idx="48">
                  <c:v>4.1666666666666666E-3</c:v>
                </c:pt>
                <c:pt idx="49">
                  <c:v>4.0816326530612249E-3</c:v>
                </c:pt>
                <c:pt idx="50">
                  <c:v>4.0000000000000001E-3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404992"/>
        <c:axId val="268414976"/>
      </c:lineChart>
      <c:catAx>
        <c:axId val="26840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8414976"/>
        <c:crosses val="autoZero"/>
        <c:auto val="1"/>
        <c:lblAlgn val="ctr"/>
        <c:lblOffset val="100"/>
        <c:noMultiLvlLbl val="0"/>
      </c:catAx>
      <c:valAx>
        <c:axId val="26841497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68404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empirical</c:v>
          </c:tx>
          <c:xVal>
            <c:numRef>
              <c:f>Model!$L$3:$L$8</c:f>
              <c:numCache>
                <c:formatCode>_(* #,##0.00_);_(* \(#,##0.00\);_(* "-"??_);_(@_)</c:formatCode>
                <c:ptCount val="6"/>
                <c:pt idx="0">
                  <c:v>63.088454393967801</c:v>
                </c:pt>
                <c:pt idx="1">
                  <c:v>93.810540228364715</c:v>
                </c:pt>
                <c:pt idx="2">
                  <c:v>124.13977224550588</c:v>
                </c:pt>
                <c:pt idx="3">
                  <c:v>155.3478612449797</c:v>
                </c:pt>
                <c:pt idx="4">
                  <c:v>256.35299902894985</c:v>
                </c:pt>
                <c:pt idx="5">
                  <c:v>460</c:v>
                </c:pt>
              </c:numCache>
            </c:numRef>
          </c:xVal>
          <c:yVal>
            <c:numRef>
              <c:f>Model!$P$3:$P$8</c:f>
              <c:numCache>
                <c:formatCode>General</c:formatCode>
                <c:ptCount val="6"/>
                <c:pt idx="0">
                  <c:v>55</c:v>
                </c:pt>
                <c:pt idx="1">
                  <c:v>35</c:v>
                </c:pt>
                <c:pt idx="2">
                  <c:v>33</c:v>
                </c:pt>
                <c:pt idx="3">
                  <c:v>25</c:v>
                </c:pt>
                <c:pt idx="4">
                  <c:v>5</c:v>
                </c:pt>
                <c:pt idx="5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Formula</c:v>
          </c:tx>
          <c:xVal>
            <c:numRef>
              <c:f>Model!$L$3:$L$8</c:f>
              <c:numCache>
                <c:formatCode>_(* #,##0.00_);_(* \(#,##0.00\);_(* "-"??_);_(@_)</c:formatCode>
                <c:ptCount val="6"/>
                <c:pt idx="0">
                  <c:v>63.088454393967801</c:v>
                </c:pt>
                <c:pt idx="1">
                  <c:v>93.810540228364715</c:v>
                </c:pt>
                <c:pt idx="2">
                  <c:v>124.13977224550588</c:v>
                </c:pt>
                <c:pt idx="3">
                  <c:v>155.3478612449797</c:v>
                </c:pt>
                <c:pt idx="4">
                  <c:v>256.35299902894985</c:v>
                </c:pt>
                <c:pt idx="5">
                  <c:v>460</c:v>
                </c:pt>
              </c:numCache>
            </c:numRef>
          </c:xVal>
          <c:yVal>
            <c:numRef>
              <c:f>Model!$S$3:$S$8</c:f>
              <c:numCache>
                <c:formatCode>_(* #,##0.00_);_(* \(#,##0.00\);_(* "-"??_);_(@_)</c:formatCode>
                <c:ptCount val="6"/>
                <c:pt idx="0">
                  <c:v>54.707391036200214</c:v>
                </c:pt>
                <c:pt idx="1">
                  <c:v>33.943479743062674</c:v>
                </c:pt>
                <c:pt idx="2">
                  <c:v>23.52609213611656</c:v>
                </c:pt>
                <c:pt idx="3">
                  <c:v>17.053012583640974</c:v>
                </c:pt>
                <c:pt idx="4">
                  <c:v>6.9078321432268606</c:v>
                </c:pt>
                <c:pt idx="5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664448"/>
        <c:axId val="270665984"/>
      </c:scatterChart>
      <c:valAx>
        <c:axId val="270664448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out"/>
        <c:minorTickMark val="none"/>
        <c:tickLblPos val="nextTo"/>
        <c:crossAx val="270665984"/>
        <c:crosses val="autoZero"/>
        <c:crossBetween val="midCat"/>
      </c:valAx>
      <c:valAx>
        <c:axId val="270665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0664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1</xdr:row>
      <xdr:rowOff>47625</xdr:rowOff>
    </xdr:from>
    <xdr:to>
      <xdr:col>20</xdr:col>
      <xdr:colOff>276224</xdr:colOff>
      <xdr:row>17</xdr:row>
      <xdr:rowOff>171451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590549</xdr:colOff>
      <xdr:row>23</xdr:row>
      <xdr:rowOff>47625</xdr:rowOff>
    </xdr:from>
    <xdr:to>
      <xdr:col>20</xdr:col>
      <xdr:colOff>276224</xdr:colOff>
      <xdr:row>40</xdr:row>
      <xdr:rowOff>19051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590549</xdr:colOff>
      <xdr:row>44</xdr:row>
      <xdr:rowOff>47625</xdr:rowOff>
    </xdr:from>
    <xdr:to>
      <xdr:col>20</xdr:col>
      <xdr:colOff>276224</xdr:colOff>
      <xdr:row>61</xdr:row>
      <xdr:rowOff>19051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590549</xdr:colOff>
      <xdr:row>65</xdr:row>
      <xdr:rowOff>47625</xdr:rowOff>
    </xdr:from>
    <xdr:to>
      <xdr:col>20</xdr:col>
      <xdr:colOff>276224</xdr:colOff>
      <xdr:row>82</xdr:row>
      <xdr:rowOff>19051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590549</xdr:colOff>
      <xdr:row>86</xdr:row>
      <xdr:rowOff>47625</xdr:rowOff>
    </xdr:from>
    <xdr:to>
      <xdr:col>20</xdr:col>
      <xdr:colOff>276224</xdr:colOff>
      <xdr:row>103</xdr:row>
      <xdr:rowOff>19051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590549</xdr:colOff>
      <xdr:row>107</xdr:row>
      <xdr:rowOff>47625</xdr:rowOff>
    </xdr:from>
    <xdr:to>
      <xdr:col>20</xdr:col>
      <xdr:colOff>276224</xdr:colOff>
      <xdr:row>124</xdr:row>
      <xdr:rowOff>19051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10</xdr:row>
      <xdr:rowOff>85724</xdr:rowOff>
    </xdr:from>
    <xdr:to>
      <xdr:col>17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523874</xdr:colOff>
      <xdr:row>9</xdr:row>
      <xdr:rowOff>38100</xdr:rowOff>
    </xdr:from>
    <xdr:to>
      <xdr:col>35</xdr:col>
      <xdr:colOff>419099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619124</xdr:colOff>
      <xdr:row>41</xdr:row>
      <xdr:rowOff>152400</xdr:rowOff>
    </xdr:from>
    <xdr:to>
      <xdr:col>14</xdr:col>
      <xdr:colOff>142874</xdr:colOff>
      <xdr:row>56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topLeftCell="A73" workbookViewId="0">
      <selection activeCell="C132" sqref="C132"/>
    </sheetView>
  </sheetViews>
  <sheetFormatPr defaultRowHeight="15" x14ac:dyDescent="0.25"/>
  <cols>
    <col min="4" max="4" width="27" customWidth="1"/>
    <col min="23" max="23" width="11.5703125" bestFit="1" customWidth="1"/>
  </cols>
  <sheetData>
    <row r="1" spans="1:24" x14ac:dyDescent="0.25">
      <c r="A1" t="s">
        <v>3</v>
      </c>
    </row>
    <row r="2" spans="1:24" x14ac:dyDescent="0.25">
      <c r="A2" s="1" t="s">
        <v>0</v>
      </c>
      <c r="B2" s="1" t="s">
        <v>1</v>
      </c>
      <c r="C2" s="1" t="s">
        <v>2</v>
      </c>
      <c r="D2" s="1" t="s">
        <v>4</v>
      </c>
      <c r="F2" s="1"/>
      <c r="G2" s="1" t="s">
        <v>1</v>
      </c>
      <c r="H2" s="1" t="s">
        <v>2</v>
      </c>
      <c r="I2">
        <v>50</v>
      </c>
      <c r="W2" t="s">
        <v>16</v>
      </c>
      <c r="X2" t="s">
        <v>17</v>
      </c>
    </row>
    <row r="3" spans="1:24" x14ac:dyDescent="0.25">
      <c r="A3" s="2">
        <v>-200</v>
      </c>
      <c r="B3" s="3">
        <v>0.19055956495843701</v>
      </c>
      <c r="C3" s="3">
        <v>6.7680867093393102</v>
      </c>
      <c r="D3" s="3">
        <v>61809.436699999998</v>
      </c>
      <c r="F3" s="2">
        <v>-200</v>
      </c>
      <c r="G3" s="3">
        <v>0.19055956495843701</v>
      </c>
      <c r="H3" s="3"/>
      <c r="V3" t="s">
        <v>3</v>
      </c>
      <c r="W3" s="3">
        <f>AVERAGE(D3:D18)/1000</f>
        <v>63.088454393967801</v>
      </c>
      <c r="X3">
        <f>I2</f>
        <v>50</v>
      </c>
    </row>
    <row r="4" spans="1:24" x14ac:dyDescent="0.25">
      <c r="A4" s="2">
        <v>-150</v>
      </c>
      <c r="B4" s="3">
        <v>0.122271068251723</v>
      </c>
      <c r="C4" s="3">
        <v>7.6176612341893701</v>
      </c>
      <c r="D4" s="3">
        <v>63001.850800781198</v>
      </c>
      <c r="F4" s="2">
        <v>-150</v>
      </c>
      <c r="G4" s="3">
        <v>0.122271068251723</v>
      </c>
      <c r="H4" s="3"/>
      <c r="V4" t="s">
        <v>5</v>
      </c>
      <c r="W4" s="3">
        <f>AVERAGE(D25:D40)/1000</f>
        <v>93.810540228364715</v>
      </c>
      <c r="X4">
        <f>I24</f>
        <v>25</v>
      </c>
    </row>
    <row r="5" spans="1:24" x14ac:dyDescent="0.25">
      <c r="A5" s="2">
        <v>-125</v>
      </c>
      <c r="B5" s="3">
        <v>5.3277835316716899</v>
      </c>
      <c r="C5" s="3">
        <v>8.1870568291572106</v>
      </c>
      <c r="D5" s="3">
        <v>64034.467763471599</v>
      </c>
      <c r="F5" s="2">
        <v>-125</v>
      </c>
      <c r="G5" s="3">
        <v>5.3277835316716899</v>
      </c>
      <c r="H5" s="3">
        <v>6.7680867093393102</v>
      </c>
      <c r="V5" t="s">
        <v>6</v>
      </c>
      <c r="W5" s="3">
        <f>AVERAGE(D46:D61)/1000</f>
        <v>124.13977224550588</v>
      </c>
      <c r="X5">
        <f>I45</f>
        <v>12</v>
      </c>
    </row>
    <row r="6" spans="1:24" x14ac:dyDescent="0.25">
      <c r="A6" s="2">
        <v>-100</v>
      </c>
      <c r="B6" s="3">
        <v>3.6368321366091299</v>
      </c>
      <c r="C6" s="3">
        <v>7.9004901683547599</v>
      </c>
      <c r="D6" s="3">
        <v>63970.067384813301</v>
      </c>
      <c r="F6" s="2">
        <v>-100</v>
      </c>
      <c r="G6" s="3">
        <v>3.6368321366091299</v>
      </c>
      <c r="H6" s="3">
        <v>7.6176612341893701</v>
      </c>
      <c r="V6" t="s">
        <v>7</v>
      </c>
      <c r="W6" s="3">
        <f>AVERAGE(D67:D82)/1000</f>
        <v>155.3478612449797</v>
      </c>
      <c r="X6">
        <f>I66</f>
        <v>0</v>
      </c>
    </row>
    <row r="7" spans="1:24" x14ac:dyDescent="0.25">
      <c r="A7" s="2">
        <v>-75</v>
      </c>
      <c r="B7" s="3">
        <v>4.3599346530279597</v>
      </c>
      <c r="C7" s="3">
        <v>6.8523930738147802</v>
      </c>
      <c r="D7" s="3">
        <v>64725.142701388599</v>
      </c>
      <c r="F7" s="2">
        <v>-75</v>
      </c>
      <c r="G7" s="3">
        <v>4.3599346530279597</v>
      </c>
      <c r="H7" s="3">
        <v>8.1870568291572106</v>
      </c>
      <c r="V7" t="s">
        <v>8</v>
      </c>
      <c r="W7" s="3">
        <f>AVERAGE(D88:D103)/1000</f>
        <v>256.35299902894985</v>
      </c>
      <c r="X7">
        <f>I87</f>
        <v>0</v>
      </c>
    </row>
    <row r="8" spans="1:24" x14ac:dyDescent="0.25">
      <c r="A8" s="2">
        <v>-50</v>
      </c>
      <c r="B8" s="3">
        <v>4.9883666912103202</v>
      </c>
      <c r="C8" s="3">
        <v>6.6015894907108796</v>
      </c>
      <c r="D8" s="3">
        <v>65216.713193348602</v>
      </c>
      <c r="F8" s="2">
        <v>-50</v>
      </c>
      <c r="G8" s="3">
        <v>4.9883666912103202</v>
      </c>
      <c r="H8" s="3">
        <v>7.9004901683547599</v>
      </c>
    </row>
    <row r="9" spans="1:24" x14ac:dyDescent="0.25">
      <c r="A9" s="2">
        <v>-25</v>
      </c>
      <c r="B9" s="3">
        <v>5.8517980728211603</v>
      </c>
      <c r="C9" s="3">
        <v>7.3651659981071802</v>
      </c>
      <c r="D9" s="3">
        <v>64849.629556601802</v>
      </c>
      <c r="F9" s="2">
        <v>-25</v>
      </c>
      <c r="G9" s="3">
        <v>5.8517980728211603</v>
      </c>
      <c r="H9" s="3">
        <v>6.8523930738147802</v>
      </c>
    </row>
    <row r="10" spans="1:24" x14ac:dyDescent="0.25">
      <c r="A10" s="2">
        <v>0</v>
      </c>
      <c r="B10" s="3">
        <v>6.7094520550810302</v>
      </c>
      <c r="C10" s="3">
        <v>8.1484618862714893</v>
      </c>
      <c r="D10" s="3">
        <v>64228.588700268199</v>
      </c>
      <c r="F10" s="2">
        <v>0</v>
      </c>
      <c r="G10" s="3">
        <v>6.7094520550810302</v>
      </c>
      <c r="H10" s="3">
        <v>6.6015894907108796</v>
      </c>
    </row>
    <row r="11" spans="1:24" x14ac:dyDescent="0.25">
      <c r="A11" s="2">
        <v>25</v>
      </c>
      <c r="B11" s="3">
        <v>7.4486072440294198</v>
      </c>
      <c r="C11" s="3">
        <v>8.8908082345503292</v>
      </c>
      <c r="D11" s="3">
        <v>63587.318771566097</v>
      </c>
      <c r="F11" s="2">
        <v>25</v>
      </c>
      <c r="G11" s="3">
        <v>7.4486072440294198</v>
      </c>
      <c r="H11" s="3">
        <v>7.3651659981071802</v>
      </c>
    </row>
    <row r="12" spans="1:24" x14ac:dyDescent="0.25">
      <c r="A12" s="2">
        <v>50</v>
      </c>
      <c r="B12" s="3">
        <v>8.1936042820211306</v>
      </c>
      <c r="C12" s="3">
        <v>9.7052584302077403</v>
      </c>
      <c r="D12" s="3">
        <v>63389.594818767298</v>
      </c>
      <c r="F12" s="2">
        <v>50</v>
      </c>
      <c r="G12" s="3">
        <v>8.1936042820211306</v>
      </c>
      <c r="H12" s="3">
        <v>8.1484618862714893</v>
      </c>
    </row>
    <row r="13" spans="1:24" x14ac:dyDescent="0.25">
      <c r="A13" s="2">
        <v>75</v>
      </c>
      <c r="B13" s="3">
        <v>9.1605175159313301</v>
      </c>
      <c r="C13" s="3">
        <v>11.067849897678901</v>
      </c>
      <c r="D13" s="3">
        <v>63344.855278982701</v>
      </c>
      <c r="F13" s="2">
        <v>75</v>
      </c>
      <c r="G13" s="3">
        <v>9.1605175159313301</v>
      </c>
      <c r="H13" s="3">
        <v>8.8908082345503292</v>
      </c>
    </row>
    <row r="14" spans="1:24" x14ac:dyDescent="0.25">
      <c r="A14" s="2">
        <v>100</v>
      </c>
      <c r="B14" s="3">
        <v>10.464957108662899</v>
      </c>
      <c r="C14" s="3">
        <v>13.7188250965996</v>
      </c>
      <c r="D14" s="3">
        <v>63047.755165499802</v>
      </c>
      <c r="F14" s="2">
        <v>100</v>
      </c>
      <c r="G14" s="3">
        <v>10.464957108662899</v>
      </c>
      <c r="H14" s="3">
        <v>9.7052584302077403</v>
      </c>
    </row>
    <row r="15" spans="1:24" x14ac:dyDescent="0.25">
      <c r="A15" s="2">
        <v>125</v>
      </c>
      <c r="B15" s="3">
        <v>12.029218670108399</v>
      </c>
      <c r="C15" s="3">
        <v>16.574761054096001</v>
      </c>
      <c r="D15" s="3">
        <v>62558.545192066696</v>
      </c>
      <c r="F15" s="2">
        <v>125</v>
      </c>
      <c r="G15" s="3">
        <v>12.029218670108399</v>
      </c>
      <c r="H15" s="3">
        <v>11.067849897678901</v>
      </c>
    </row>
    <row r="16" spans="1:24" x14ac:dyDescent="0.25">
      <c r="A16" s="2">
        <v>150</v>
      </c>
      <c r="B16" s="3">
        <v>13.304031367729699</v>
      </c>
      <c r="C16" s="3">
        <v>18.482054513994601</v>
      </c>
      <c r="D16" s="3">
        <v>61859.547905171603</v>
      </c>
      <c r="F16" s="2">
        <v>150</v>
      </c>
      <c r="G16" s="3">
        <v>13.304031367729699</v>
      </c>
      <c r="H16" s="3">
        <v>13.7188250965996</v>
      </c>
    </row>
    <row r="17" spans="1:9" x14ac:dyDescent="0.25">
      <c r="A17" s="2">
        <v>175</v>
      </c>
      <c r="B17" s="3">
        <v>14.9996466827326</v>
      </c>
      <c r="C17" s="3">
        <v>19.274855960802299</v>
      </c>
      <c r="D17" s="3">
        <v>60588.820846209499</v>
      </c>
      <c r="F17" s="2">
        <v>175</v>
      </c>
      <c r="G17" s="3">
        <v>14.9996466827326</v>
      </c>
      <c r="H17" s="3">
        <v>16.574761054096001</v>
      </c>
    </row>
    <row r="18" spans="1:9" x14ac:dyDescent="0.25">
      <c r="A18" s="2">
        <v>200</v>
      </c>
      <c r="B18" s="3">
        <v>15.519320694084801</v>
      </c>
      <c r="C18" s="3">
        <v>19.380118287797199</v>
      </c>
      <c r="D18" s="3">
        <v>59202.935524547902</v>
      </c>
      <c r="F18" s="2">
        <v>200</v>
      </c>
      <c r="G18" s="3">
        <v>15.519320694084801</v>
      </c>
      <c r="H18" s="3">
        <v>18.482054513994601</v>
      </c>
    </row>
    <row r="19" spans="1:9" x14ac:dyDescent="0.25">
      <c r="H19" s="3">
        <v>19.274855960802299</v>
      </c>
    </row>
    <row r="20" spans="1:9" x14ac:dyDescent="0.25">
      <c r="H20" s="3">
        <v>19.380118287797199</v>
      </c>
    </row>
    <row r="23" spans="1:9" x14ac:dyDescent="0.25">
      <c r="A23" t="s">
        <v>5</v>
      </c>
    </row>
    <row r="24" spans="1:9" x14ac:dyDescent="0.25">
      <c r="A24" s="1" t="s">
        <v>0</v>
      </c>
      <c r="B24" s="1" t="s">
        <v>1</v>
      </c>
      <c r="C24" s="1" t="s">
        <v>2</v>
      </c>
      <c r="D24" s="1" t="s">
        <v>4</v>
      </c>
      <c r="F24" s="1"/>
      <c r="G24" s="1" t="s">
        <v>1</v>
      </c>
      <c r="H24" s="1" t="s">
        <v>2</v>
      </c>
      <c r="I24">
        <v>25</v>
      </c>
    </row>
    <row r="25" spans="1:9" x14ac:dyDescent="0.25">
      <c r="A25" s="2">
        <v>-200</v>
      </c>
      <c r="B25" s="3">
        <v>9.1644408356784002E-2</v>
      </c>
      <c r="C25" s="3">
        <v>6.3757506028818103</v>
      </c>
      <c r="D25" s="3">
        <v>94991.713199999998</v>
      </c>
      <c r="F25" s="2">
        <v>-200</v>
      </c>
      <c r="G25" s="3">
        <v>9.1644408356784002E-2</v>
      </c>
      <c r="H25" s="3"/>
    </row>
    <row r="26" spans="1:9" x14ac:dyDescent="0.25">
      <c r="A26" s="2">
        <v>-150</v>
      </c>
      <c r="B26" s="3">
        <v>2.93536515089062</v>
      </c>
      <c r="C26" s="3">
        <v>6.8472902704991698</v>
      </c>
      <c r="D26" s="3">
        <v>95169.353645569601</v>
      </c>
      <c r="F26" s="2">
        <v>-150</v>
      </c>
      <c r="G26" s="3">
        <v>2.93536515089062</v>
      </c>
      <c r="H26" s="3">
        <v>6.3757506028818103</v>
      </c>
    </row>
    <row r="27" spans="1:9" x14ac:dyDescent="0.25">
      <c r="A27" s="2">
        <v>-125</v>
      </c>
      <c r="B27" s="3">
        <v>3.2543073590130498</v>
      </c>
      <c r="C27" s="3">
        <v>7.2122613805399904</v>
      </c>
      <c r="D27" s="3">
        <v>94761.715637204499</v>
      </c>
      <c r="F27" s="2">
        <v>-125</v>
      </c>
      <c r="G27" s="3">
        <v>3.2543073590130498</v>
      </c>
      <c r="H27" s="3">
        <v>6.8472902704991698</v>
      </c>
    </row>
    <row r="28" spans="1:9" x14ac:dyDescent="0.25">
      <c r="A28" s="2">
        <v>-100</v>
      </c>
      <c r="B28" s="3">
        <v>3.32431951824028</v>
      </c>
      <c r="C28" s="3">
        <v>6.7960020544682704</v>
      </c>
      <c r="D28" s="3">
        <v>95004.536671420006</v>
      </c>
      <c r="F28" s="2">
        <v>-100</v>
      </c>
      <c r="G28" s="3">
        <v>3.32431951824028</v>
      </c>
      <c r="H28" s="3">
        <v>7.2122613805399904</v>
      </c>
    </row>
    <row r="29" spans="1:9" x14ac:dyDescent="0.25">
      <c r="A29" s="2">
        <v>-75</v>
      </c>
      <c r="B29" s="3">
        <v>4.5154221907489402</v>
      </c>
      <c r="C29" s="3">
        <v>5.93774754116839</v>
      </c>
      <c r="D29" s="3">
        <v>94981.156548566301</v>
      </c>
      <c r="F29" s="2">
        <v>-75</v>
      </c>
      <c r="G29" s="3">
        <v>4.5154221907489402</v>
      </c>
      <c r="H29" s="3">
        <v>6.7960020544682704</v>
      </c>
    </row>
    <row r="30" spans="1:9" x14ac:dyDescent="0.25">
      <c r="A30" s="2">
        <v>-50</v>
      </c>
      <c r="B30" s="3">
        <v>4.8359556318429497</v>
      </c>
      <c r="C30" s="3">
        <v>5.9661561601313702</v>
      </c>
      <c r="D30" s="3">
        <v>94602.736807654306</v>
      </c>
      <c r="F30" s="2">
        <v>-50</v>
      </c>
      <c r="G30" s="3">
        <v>4.8359556318429497</v>
      </c>
      <c r="H30" s="3">
        <v>5.93774754116839</v>
      </c>
    </row>
    <row r="31" spans="1:9" x14ac:dyDescent="0.25">
      <c r="A31" s="2">
        <v>-25</v>
      </c>
      <c r="B31" s="3">
        <v>5.92330328289896</v>
      </c>
      <c r="C31" s="3">
        <v>6.7929222871816597</v>
      </c>
      <c r="D31" s="3">
        <v>93979.055259929301</v>
      </c>
      <c r="F31" s="2">
        <v>-25</v>
      </c>
      <c r="G31" s="3">
        <v>5.92330328289896</v>
      </c>
      <c r="H31" s="3">
        <v>5.9661561601313702</v>
      </c>
    </row>
    <row r="32" spans="1:9" x14ac:dyDescent="0.25">
      <c r="A32" s="2">
        <v>0</v>
      </c>
      <c r="B32" s="3">
        <v>6.50657632913342</v>
      </c>
      <c r="C32" s="3">
        <v>7.6201004054839201</v>
      </c>
      <c r="D32" s="3">
        <v>93407.943207256802</v>
      </c>
      <c r="F32" s="2">
        <v>0</v>
      </c>
      <c r="G32" s="3">
        <v>6.50657632913342</v>
      </c>
      <c r="H32" s="3">
        <v>6.7929222871816597</v>
      </c>
    </row>
    <row r="33" spans="1:9" x14ac:dyDescent="0.25">
      <c r="A33" s="2">
        <v>25</v>
      </c>
      <c r="B33" s="3">
        <v>7.5640878892813896</v>
      </c>
      <c r="C33" s="3">
        <v>8.5719505288343605</v>
      </c>
      <c r="D33" s="3">
        <v>93325.117984699304</v>
      </c>
      <c r="F33" s="2">
        <v>25</v>
      </c>
      <c r="G33" s="3">
        <v>7.5640878892813896</v>
      </c>
      <c r="H33" s="3">
        <v>7.6201004054839201</v>
      </c>
    </row>
    <row r="34" spans="1:9" x14ac:dyDescent="0.25">
      <c r="A34" s="2">
        <v>50</v>
      </c>
      <c r="B34" s="3">
        <v>8.7148815300453908</v>
      </c>
      <c r="C34" s="3">
        <v>9.9262572488015408</v>
      </c>
      <c r="D34" s="3">
        <v>93685.926134019697</v>
      </c>
      <c r="F34" s="2">
        <v>50</v>
      </c>
      <c r="G34" s="3">
        <v>8.7148815300453908</v>
      </c>
      <c r="H34" s="3">
        <v>8.5719505288343605</v>
      </c>
    </row>
    <row r="35" spans="1:9" x14ac:dyDescent="0.25">
      <c r="A35" s="2">
        <v>75</v>
      </c>
      <c r="B35" s="3">
        <v>10.123925720428099</v>
      </c>
      <c r="C35" s="3">
        <v>12.3923241056322</v>
      </c>
      <c r="D35" s="3">
        <v>93770.161565697796</v>
      </c>
      <c r="F35" s="2">
        <v>75</v>
      </c>
      <c r="G35" s="3">
        <v>10.123925720428099</v>
      </c>
      <c r="H35" s="3">
        <v>9.9262572488015408</v>
      </c>
    </row>
    <row r="36" spans="1:9" x14ac:dyDescent="0.25">
      <c r="A36" s="2">
        <v>100</v>
      </c>
      <c r="B36" s="3">
        <v>12.237040908857299</v>
      </c>
      <c r="C36" s="3">
        <v>16.2547338691937</v>
      </c>
      <c r="D36" s="3">
        <v>93528.490181692396</v>
      </c>
      <c r="F36" s="2">
        <v>100</v>
      </c>
      <c r="G36" s="3">
        <v>12.237040908857299</v>
      </c>
      <c r="H36" s="3">
        <v>12.3923241056322</v>
      </c>
    </row>
    <row r="37" spans="1:9" x14ac:dyDescent="0.25">
      <c r="A37" s="2">
        <v>125</v>
      </c>
      <c r="B37" s="3">
        <v>15.031488561715101</v>
      </c>
      <c r="C37" s="3">
        <v>19.4760036729521</v>
      </c>
      <c r="D37" s="3">
        <v>93143.959370892306</v>
      </c>
      <c r="F37" s="2">
        <v>125</v>
      </c>
      <c r="G37" s="3">
        <v>15.031488561715101</v>
      </c>
      <c r="H37" s="3">
        <v>16.2547338691937</v>
      </c>
    </row>
    <row r="38" spans="1:9" x14ac:dyDescent="0.25">
      <c r="A38" s="2">
        <v>150</v>
      </c>
      <c r="B38" s="3">
        <v>17.700515804032399</v>
      </c>
      <c r="C38" s="3">
        <v>21.4499608852752</v>
      </c>
      <c r="D38" s="3">
        <v>92710.648709825298</v>
      </c>
      <c r="F38" s="2">
        <v>150</v>
      </c>
      <c r="G38" s="3">
        <v>17.700515804032399</v>
      </c>
      <c r="H38" s="3">
        <v>19.4760036729521</v>
      </c>
    </row>
    <row r="39" spans="1:9" x14ac:dyDescent="0.25">
      <c r="A39" s="2">
        <v>175</v>
      </c>
      <c r="B39" s="3">
        <v>19.531360829288101</v>
      </c>
      <c r="C39" s="3">
        <v>22.320948033011199</v>
      </c>
      <c r="D39" s="3">
        <v>92211.350071310997</v>
      </c>
      <c r="F39" s="2">
        <v>175</v>
      </c>
      <c r="G39" s="3">
        <v>19.531360829288101</v>
      </c>
      <c r="H39" s="3">
        <v>21.4499608852752</v>
      </c>
    </row>
    <row r="40" spans="1:9" x14ac:dyDescent="0.25">
      <c r="A40" s="2">
        <v>200</v>
      </c>
      <c r="B40" s="3">
        <v>20.654331277901399</v>
      </c>
      <c r="C40" s="3">
        <v>22.259026777356901</v>
      </c>
      <c r="D40" s="3">
        <v>91694.778658096999</v>
      </c>
      <c r="F40" s="2">
        <v>200</v>
      </c>
      <c r="G40" s="3">
        <v>20.654331277901399</v>
      </c>
      <c r="H40" s="3">
        <v>22.320948033011199</v>
      </c>
    </row>
    <row r="41" spans="1:9" x14ac:dyDescent="0.25">
      <c r="H41" s="3">
        <v>22.259026777356901</v>
      </c>
    </row>
    <row r="42" spans="1:9" x14ac:dyDescent="0.25">
      <c r="H42" s="3"/>
    </row>
    <row r="44" spans="1:9" x14ac:dyDescent="0.25">
      <c r="A44" t="s">
        <v>6</v>
      </c>
      <c r="I44" t="s">
        <v>21</v>
      </c>
    </row>
    <row r="45" spans="1:9" x14ac:dyDescent="0.25">
      <c r="A45" s="1" t="s">
        <v>0</v>
      </c>
      <c r="B45" s="1" t="s">
        <v>1</v>
      </c>
      <c r="C45" s="1" t="s">
        <v>2</v>
      </c>
      <c r="D45" s="1" t="s">
        <v>4</v>
      </c>
      <c r="F45" s="1"/>
      <c r="G45" s="1" t="s">
        <v>1</v>
      </c>
      <c r="H45" s="1" t="s">
        <v>2</v>
      </c>
      <c r="I45">
        <v>12</v>
      </c>
    </row>
    <row r="46" spans="1:9" x14ac:dyDescent="0.25">
      <c r="A46" s="2">
        <v>-200</v>
      </c>
      <c r="B46" s="3">
        <v>2.5801281295523001E-2</v>
      </c>
      <c r="C46" s="3">
        <v>5.7171214508425496</v>
      </c>
      <c r="D46" s="3">
        <v>125260.9340625</v>
      </c>
      <c r="F46" s="2">
        <v>-200</v>
      </c>
      <c r="G46" s="3">
        <v>2.5801281295523001E-2</v>
      </c>
      <c r="H46" s="3"/>
    </row>
    <row r="47" spans="1:9" x14ac:dyDescent="0.25">
      <c r="A47" s="2">
        <v>-150</v>
      </c>
      <c r="B47" s="3">
        <v>8.6636343039326005E-2</v>
      </c>
      <c r="C47" s="3">
        <v>6.4589350073380398</v>
      </c>
      <c r="D47" s="3">
        <v>125100.20596525</v>
      </c>
      <c r="F47" s="2">
        <v>-150</v>
      </c>
      <c r="G47" s="3">
        <v>8.6636343039326005E-2</v>
      </c>
      <c r="H47" s="3">
        <v>5.7171214508425496</v>
      </c>
    </row>
    <row r="48" spans="1:9" x14ac:dyDescent="0.25">
      <c r="A48" s="2">
        <v>-125</v>
      </c>
      <c r="B48" s="3">
        <v>4.1576886802173298</v>
      </c>
      <c r="C48" s="3">
        <v>6.5021579061293604</v>
      </c>
      <c r="D48" s="3">
        <v>125782.99374251399</v>
      </c>
      <c r="F48" s="2">
        <v>-125</v>
      </c>
      <c r="G48" s="3">
        <v>4.1576886802173298</v>
      </c>
      <c r="H48" s="3">
        <v>6.4589350073380398</v>
      </c>
    </row>
    <row r="49" spans="1:8" x14ac:dyDescent="0.25">
      <c r="A49" s="2">
        <v>-100</v>
      </c>
      <c r="B49" s="3">
        <v>3.8563966568517598</v>
      </c>
      <c r="C49" s="3">
        <v>5.9406705577572296</v>
      </c>
      <c r="D49" s="3">
        <v>125837.04996914</v>
      </c>
      <c r="F49" s="2">
        <v>-100</v>
      </c>
      <c r="G49" s="3">
        <v>3.8563966568517598</v>
      </c>
      <c r="H49" s="3">
        <v>6.5021579061293604</v>
      </c>
    </row>
    <row r="50" spans="1:8" x14ac:dyDescent="0.25">
      <c r="A50" s="2">
        <v>-75</v>
      </c>
      <c r="B50" s="3">
        <v>3.88019701935213</v>
      </c>
      <c r="C50" s="3">
        <v>5.2304109931901701</v>
      </c>
      <c r="D50" s="3">
        <v>125835.98582912701</v>
      </c>
      <c r="F50" s="2">
        <v>-75</v>
      </c>
      <c r="G50" s="3">
        <v>3.88019701935213</v>
      </c>
      <c r="H50" s="3">
        <v>5.9406705577572296</v>
      </c>
    </row>
    <row r="51" spans="1:8" x14ac:dyDescent="0.25">
      <c r="A51" s="2">
        <v>-50</v>
      </c>
      <c r="B51" s="3">
        <v>4.5806653122934504</v>
      </c>
      <c r="C51" s="3">
        <v>5.43702160572031</v>
      </c>
      <c r="D51" s="3">
        <v>125406.09575443099</v>
      </c>
      <c r="F51" s="2">
        <v>-50</v>
      </c>
      <c r="G51" s="3">
        <v>4.5806653122934504</v>
      </c>
      <c r="H51" s="3">
        <v>5.2304109931901701</v>
      </c>
    </row>
    <row r="52" spans="1:8" x14ac:dyDescent="0.25">
      <c r="A52" s="2">
        <v>-25</v>
      </c>
      <c r="B52" s="3">
        <v>5.4342396877025996</v>
      </c>
      <c r="C52" s="3">
        <v>6.2616024474400103</v>
      </c>
      <c r="D52" s="3">
        <v>124632.550079254</v>
      </c>
      <c r="F52" s="2">
        <v>-25</v>
      </c>
      <c r="G52" s="3">
        <v>5.4342396877025996</v>
      </c>
      <c r="H52" s="3">
        <v>5.43702160572031</v>
      </c>
    </row>
    <row r="53" spans="1:8" x14ac:dyDescent="0.25">
      <c r="A53" s="2">
        <v>0</v>
      </c>
      <c r="B53" s="3">
        <v>6.3792009702084496</v>
      </c>
      <c r="C53" s="3">
        <v>7.1195715022533896</v>
      </c>
      <c r="D53" s="3">
        <v>123855.249761274</v>
      </c>
      <c r="F53" s="2">
        <v>0</v>
      </c>
      <c r="G53" s="3">
        <v>6.3792009702084496</v>
      </c>
      <c r="H53" s="3">
        <v>6.2616024474400103</v>
      </c>
    </row>
    <row r="54" spans="1:8" x14ac:dyDescent="0.25">
      <c r="A54" s="2">
        <v>25</v>
      </c>
      <c r="B54" s="3">
        <v>7.7459253953391398</v>
      </c>
      <c r="C54" s="3">
        <v>8.3075025513688008</v>
      </c>
      <c r="D54" s="3">
        <v>123681.564418832</v>
      </c>
      <c r="F54" s="2">
        <v>25</v>
      </c>
      <c r="G54" s="3">
        <v>7.7459253953391398</v>
      </c>
      <c r="H54" s="3">
        <v>7.1195715022533896</v>
      </c>
    </row>
    <row r="55" spans="1:8" x14ac:dyDescent="0.25">
      <c r="A55" s="2">
        <v>50</v>
      </c>
      <c r="B55" s="3">
        <v>9.6796977257871699</v>
      </c>
      <c r="C55" s="3">
        <v>10.333973703957399</v>
      </c>
      <c r="D55" s="3">
        <v>124102.524561119</v>
      </c>
      <c r="F55" s="2">
        <v>50</v>
      </c>
      <c r="G55" s="3">
        <v>9.6796977257871699</v>
      </c>
      <c r="H55" s="3">
        <v>8.3075025513688008</v>
      </c>
    </row>
    <row r="56" spans="1:8" x14ac:dyDescent="0.25">
      <c r="A56" s="2">
        <v>75</v>
      </c>
      <c r="B56" s="3">
        <v>11.9092859118894</v>
      </c>
      <c r="C56" s="3">
        <v>13.8261923936348</v>
      </c>
      <c r="D56" s="3">
        <v>124143.235489185</v>
      </c>
      <c r="F56" s="2">
        <v>75</v>
      </c>
      <c r="G56" s="3">
        <v>11.9092859118894</v>
      </c>
      <c r="H56" s="3">
        <v>10.333973703957399</v>
      </c>
    </row>
    <row r="57" spans="1:8" x14ac:dyDescent="0.25">
      <c r="A57" s="2">
        <v>100</v>
      </c>
      <c r="B57" s="3">
        <v>15.4707341294286</v>
      </c>
      <c r="C57" s="3">
        <v>18.467386107142701</v>
      </c>
      <c r="D57" s="3">
        <v>123657.532414884</v>
      </c>
      <c r="F57" s="2">
        <v>100</v>
      </c>
      <c r="G57" s="3">
        <v>15.4707341294286</v>
      </c>
      <c r="H57" s="3">
        <v>13.8261923936348</v>
      </c>
    </row>
    <row r="58" spans="1:8" x14ac:dyDescent="0.25">
      <c r="A58" s="2">
        <v>125</v>
      </c>
      <c r="B58" s="3">
        <v>19.258139942395498</v>
      </c>
      <c r="C58" s="3">
        <v>21.843671496684699</v>
      </c>
      <c r="D58" s="3">
        <v>123104.696699522</v>
      </c>
      <c r="F58" s="2">
        <v>125</v>
      </c>
      <c r="G58" s="3">
        <v>19.258139942395498</v>
      </c>
      <c r="H58" s="3">
        <v>18.467386107142701</v>
      </c>
    </row>
    <row r="59" spans="1:8" x14ac:dyDescent="0.25">
      <c r="A59" s="2">
        <v>150</v>
      </c>
      <c r="B59" s="3">
        <v>22.193489744130598</v>
      </c>
      <c r="C59" s="3">
        <v>23.9203870996656</v>
      </c>
      <c r="D59" s="3">
        <v>122576.842760928</v>
      </c>
      <c r="F59" s="2">
        <v>150</v>
      </c>
      <c r="G59" s="3">
        <v>22.193489744130598</v>
      </c>
      <c r="H59" s="3">
        <v>21.843671496684699</v>
      </c>
    </row>
    <row r="60" spans="1:8" x14ac:dyDescent="0.25">
      <c r="A60" s="2">
        <v>175</v>
      </c>
      <c r="B60" s="3">
        <v>24.2328196063294</v>
      </c>
      <c r="C60" s="3">
        <v>24.657187811889301</v>
      </c>
      <c r="D60" s="3">
        <v>121904.982136734</v>
      </c>
      <c r="F60" s="2">
        <v>175</v>
      </c>
      <c r="G60" s="3">
        <v>24.2328196063294</v>
      </c>
      <c r="H60" s="3">
        <v>23.9203870996656</v>
      </c>
    </row>
    <row r="61" spans="1:8" x14ac:dyDescent="0.25">
      <c r="A61" s="2">
        <v>200</v>
      </c>
      <c r="B61" s="3">
        <v>24.8789360913213</v>
      </c>
      <c r="C61" s="3">
        <v>24.369915645918802</v>
      </c>
      <c r="D61" s="3">
        <v>121353.9122834</v>
      </c>
      <c r="F61" s="2">
        <v>200</v>
      </c>
      <c r="G61" s="3">
        <v>24.8789360913213</v>
      </c>
      <c r="H61" s="3">
        <v>24.657187811889301</v>
      </c>
    </row>
    <row r="62" spans="1:8" x14ac:dyDescent="0.25">
      <c r="H62" s="3">
        <v>24.369915645918802</v>
      </c>
    </row>
    <row r="63" spans="1:8" x14ac:dyDescent="0.25">
      <c r="H63" s="3"/>
    </row>
    <row r="65" spans="1:9" x14ac:dyDescent="0.25">
      <c r="A65" t="s">
        <v>7</v>
      </c>
    </row>
    <row r="66" spans="1:9" x14ac:dyDescent="0.25">
      <c r="A66" s="1" t="s">
        <v>0</v>
      </c>
      <c r="B66" s="1" t="s">
        <v>1</v>
      </c>
      <c r="C66" s="1" t="s">
        <v>2</v>
      </c>
      <c r="D66" s="1" t="s">
        <v>4</v>
      </c>
      <c r="F66" s="1"/>
      <c r="G66" s="1" t="s">
        <v>1</v>
      </c>
      <c r="H66" s="1" t="s">
        <v>2</v>
      </c>
      <c r="I66">
        <v>0</v>
      </c>
    </row>
    <row r="67" spans="1:9" x14ac:dyDescent="0.25">
      <c r="A67" s="2">
        <v>-200</v>
      </c>
      <c r="B67" s="3">
        <v>0.121346516273213</v>
      </c>
      <c r="C67" s="3">
        <v>5.2935947949256201</v>
      </c>
      <c r="D67" s="3">
        <v>159217.7524</v>
      </c>
      <c r="F67" s="2">
        <v>-200</v>
      </c>
      <c r="G67" s="3">
        <v>0.121346516273213</v>
      </c>
      <c r="H67" s="3">
        <v>5.2935947949256201</v>
      </c>
    </row>
    <row r="68" spans="1:9" x14ac:dyDescent="0.25">
      <c r="A68" s="2">
        <v>-150</v>
      </c>
      <c r="B68" s="3">
        <v>0.26565967817568897</v>
      </c>
      <c r="C68" s="3">
        <v>5.9332656591151096</v>
      </c>
      <c r="D68" s="3">
        <v>158465.63230769199</v>
      </c>
      <c r="F68" s="2">
        <v>-150</v>
      </c>
      <c r="G68" s="3">
        <v>0.26565967817568897</v>
      </c>
      <c r="H68" s="3">
        <v>5.9332656591151096</v>
      </c>
    </row>
    <row r="69" spans="1:9" x14ac:dyDescent="0.25">
      <c r="A69" s="2">
        <v>-125</v>
      </c>
      <c r="B69" s="3">
        <v>5.2904048354472</v>
      </c>
      <c r="C69" s="3">
        <v>6.3034702360509698</v>
      </c>
      <c r="D69" s="3">
        <v>157403.335309168</v>
      </c>
      <c r="F69" s="2">
        <v>-125</v>
      </c>
      <c r="G69" s="3">
        <v>5.2904048354472</v>
      </c>
      <c r="H69" s="3">
        <v>6.3034702360509698</v>
      </c>
    </row>
    <row r="70" spans="1:9" x14ac:dyDescent="0.25">
      <c r="A70" s="2">
        <v>-100</v>
      </c>
      <c r="B70" s="3">
        <v>3.1181644215981601</v>
      </c>
      <c r="C70" s="3">
        <v>5.6123641197710699</v>
      </c>
      <c r="D70" s="3">
        <v>157189.79903614399</v>
      </c>
      <c r="F70" s="2">
        <v>-100</v>
      </c>
      <c r="G70" s="3">
        <v>3.1181644215981601</v>
      </c>
      <c r="H70" s="3">
        <v>5.6123641197710699</v>
      </c>
    </row>
    <row r="71" spans="1:9" x14ac:dyDescent="0.25">
      <c r="A71" s="2">
        <v>-75</v>
      </c>
      <c r="B71" s="3">
        <v>3.7168333260478499</v>
      </c>
      <c r="C71" s="3">
        <v>4.84088291098778</v>
      </c>
      <c r="D71" s="3">
        <v>156922.81517898099</v>
      </c>
      <c r="F71" s="2">
        <v>-75</v>
      </c>
      <c r="G71" s="3">
        <v>3.7168333260478499</v>
      </c>
      <c r="H71" s="3">
        <v>4.84088291098778</v>
      </c>
    </row>
    <row r="72" spans="1:9" x14ac:dyDescent="0.25">
      <c r="A72" s="2">
        <v>-50</v>
      </c>
      <c r="B72" s="3">
        <v>4.3349671406062598</v>
      </c>
      <c r="C72" s="3">
        <v>5.0771701716611704</v>
      </c>
      <c r="D72" s="3">
        <v>156138.15424820501</v>
      </c>
      <c r="F72" s="2">
        <v>-50</v>
      </c>
      <c r="G72" s="3">
        <v>4.3349671406062598</v>
      </c>
      <c r="H72" s="3">
        <v>5.0771701716611704</v>
      </c>
    </row>
    <row r="73" spans="1:9" x14ac:dyDescent="0.25">
      <c r="A73" s="2">
        <v>-25</v>
      </c>
      <c r="B73" s="3">
        <v>5.32501542445016</v>
      </c>
      <c r="C73" s="3">
        <v>5.8809949048736199</v>
      </c>
      <c r="D73" s="3">
        <v>155162.176967729</v>
      </c>
      <c r="F73" s="2">
        <v>-25</v>
      </c>
      <c r="G73" s="3">
        <v>5.32501542445016</v>
      </c>
      <c r="H73" s="3">
        <v>5.8809949048736199</v>
      </c>
    </row>
    <row r="74" spans="1:9" x14ac:dyDescent="0.25">
      <c r="A74" s="2">
        <v>0</v>
      </c>
      <c r="B74" s="3">
        <v>6.4176031181215096</v>
      </c>
      <c r="C74" s="3">
        <v>6.7694326318017</v>
      </c>
      <c r="D74" s="3">
        <v>154219.62281131701</v>
      </c>
      <c r="F74" s="2">
        <v>0</v>
      </c>
      <c r="G74" s="3">
        <v>6.4176031181215096</v>
      </c>
      <c r="H74" s="3">
        <v>6.7694326318017</v>
      </c>
    </row>
    <row r="75" spans="1:9" x14ac:dyDescent="0.25">
      <c r="A75" s="2">
        <v>25</v>
      </c>
      <c r="B75" s="3">
        <v>8.0782050614384708</v>
      </c>
      <c r="C75" s="3">
        <v>8.1693415089930106</v>
      </c>
      <c r="D75" s="3">
        <v>154155.582872937</v>
      </c>
      <c r="F75" s="2">
        <v>25</v>
      </c>
      <c r="G75" s="3">
        <v>8.0782050614384708</v>
      </c>
      <c r="H75" s="3">
        <v>8.1693415089930106</v>
      </c>
    </row>
    <row r="76" spans="1:9" x14ac:dyDescent="0.25">
      <c r="A76" s="2">
        <v>50</v>
      </c>
      <c r="B76" s="3">
        <v>10.656961812836901</v>
      </c>
      <c r="C76" s="3">
        <v>10.8218334475152</v>
      </c>
      <c r="D76" s="3">
        <v>154851.52001537199</v>
      </c>
      <c r="F76" s="2">
        <v>50</v>
      </c>
      <c r="G76" s="3">
        <v>10.656961812836901</v>
      </c>
      <c r="H76" s="3">
        <v>10.8218334475152</v>
      </c>
    </row>
    <row r="77" spans="1:9" x14ac:dyDescent="0.25">
      <c r="A77" s="2">
        <v>75</v>
      </c>
      <c r="B77" s="3">
        <v>13.9987020211349</v>
      </c>
      <c r="C77" s="3">
        <v>15.186231960591501</v>
      </c>
      <c r="D77" s="3">
        <v>155024.819663993</v>
      </c>
      <c r="F77" s="2">
        <v>75</v>
      </c>
      <c r="G77" s="3">
        <v>13.9987020211349</v>
      </c>
      <c r="H77" s="3">
        <v>15.186231960591501</v>
      </c>
    </row>
    <row r="78" spans="1:9" x14ac:dyDescent="0.25">
      <c r="A78" s="2">
        <v>100</v>
      </c>
      <c r="B78" s="3">
        <v>18.504335490851499</v>
      </c>
      <c r="C78" s="3">
        <v>20.477797671426099</v>
      </c>
      <c r="D78" s="3">
        <v>154411.74737142399</v>
      </c>
      <c r="F78" s="2">
        <v>100</v>
      </c>
      <c r="G78" s="3">
        <v>18.504335490851499</v>
      </c>
      <c r="H78" s="3">
        <v>20.477797671426099</v>
      </c>
    </row>
    <row r="79" spans="1:9" x14ac:dyDescent="0.25">
      <c r="A79" s="2">
        <v>125</v>
      </c>
      <c r="B79" s="3">
        <v>23.294100364884901</v>
      </c>
      <c r="C79" s="3">
        <v>24.012325823032199</v>
      </c>
      <c r="D79" s="3">
        <v>153903.95775288899</v>
      </c>
      <c r="F79" s="2">
        <v>125</v>
      </c>
      <c r="G79" s="3">
        <v>23.294100364884901</v>
      </c>
      <c r="H79" s="3">
        <v>24.012325823032199</v>
      </c>
    </row>
    <row r="80" spans="1:9" x14ac:dyDescent="0.25">
      <c r="A80" s="2">
        <v>150</v>
      </c>
      <c r="B80" s="3">
        <v>26.0901118490066</v>
      </c>
      <c r="C80" s="3">
        <v>26.1963904133152</v>
      </c>
      <c r="D80" s="3">
        <v>153325.66823593</v>
      </c>
      <c r="F80" s="2">
        <v>150</v>
      </c>
      <c r="G80" s="3">
        <v>26.0901118490066</v>
      </c>
      <c r="H80" s="3">
        <v>26.1963904133152</v>
      </c>
    </row>
    <row r="81" spans="1:9" x14ac:dyDescent="0.25">
      <c r="A81" s="2">
        <v>175</v>
      </c>
      <c r="B81" s="3">
        <v>27.389882578796701</v>
      </c>
      <c r="C81" s="3">
        <v>26.929603474108799</v>
      </c>
      <c r="D81" s="3">
        <v>152803.33654065299</v>
      </c>
      <c r="F81" s="2">
        <v>175</v>
      </c>
      <c r="G81" s="3">
        <v>27.389882578796701</v>
      </c>
      <c r="H81" s="3">
        <v>26.929603474108799</v>
      </c>
    </row>
    <row r="82" spans="1:9" x14ac:dyDescent="0.25">
      <c r="A82" s="2">
        <v>200</v>
      </c>
      <c r="B82" s="3">
        <v>28.462302070354902</v>
      </c>
      <c r="C82" s="3">
        <v>26.396945903755199</v>
      </c>
      <c r="D82" s="3">
        <v>152369.85920724101</v>
      </c>
      <c r="F82" s="2">
        <v>200</v>
      </c>
      <c r="G82" s="3">
        <v>28.462302070354902</v>
      </c>
      <c r="H82" s="3">
        <v>26.396945903755199</v>
      </c>
    </row>
    <row r="83" spans="1:9" x14ac:dyDescent="0.25">
      <c r="H83" s="3"/>
    </row>
    <row r="86" spans="1:9" x14ac:dyDescent="0.25">
      <c r="A86" t="s">
        <v>8</v>
      </c>
    </row>
    <row r="87" spans="1:9" x14ac:dyDescent="0.25">
      <c r="A87" s="1" t="s">
        <v>0</v>
      </c>
      <c r="B87" s="1" t="s">
        <v>1</v>
      </c>
      <c r="C87" s="1" t="s">
        <v>2</v>
      </c>
      <c r="D87" s="1" t="s">
        <v>4</v>
      </c>
      <c r="F87" s="1"/>
      <c r="G87" s="1" t="s">
        <v>1</v>
      </c>
      <c r="H87" s="1" t="s">
        <v>2</v>
      </c>
      <c r="I87">
        <v>0</v>
      </c>
    </row>
    <row r="88" spans="1:9" x14ac:dyDescent="0.25">
      <c r="A88" s="2">
        <v>-200</v>
      </c>
      <c r="B88" s="3">
        <v>3.5523226476549099</v>
      </c>
      <c r="C88" s="3">
        <v>4.8267624838688699</v>
      </c>
      <c r="D88" s="3">
        <v>240315.54796812701</v>
      </c>
      <c r="F88" s="2">
        <v>-200</v>
      </c>
      <c r="G88" s="3">
        <v>1.776161323827455</v>
      </c>
      <c r="H88" s="3">
        <v>6.9549009292574855</v>
      </c>
    </row>
    <row r="89" spans="1:9" x14ac:dyDescent="0.25">
      <c r="A89" s="2">
        <v>-150</v>
      </c>
      <c r="B89" s="3">
        <v>4.1916650334266397</v>
      </c>
      <c r="C89" s="3">
        <v>5.6325115021798702</v>
      </c>
      <c r="D89" s="3">
        <v>246485.752013513</v>
      </c>
      <c r="F89" s="2">
        <v>-150</v>
      </c>
      <c r="G89" s="3">
        <v>2.0966878910230693</v>
      </c>
      <c r="H89" s="3">
        <v>5.7831832892474653</v>
      </c>
    </row>
    <row r="90" spans="1:9" x14ac:dyDescent="0.25">
      <c r="A90" s="2">
        <v>-125</v>
      </c>
      <c r="B90" s="3">
        <v>4.1870459943512204</v>
      </c>
      <c r="C90" s="3">
        <v>5.4668219676643801</v>
      </c>
      <c r="D90" s="3">
        <v>249958.13360903901</v>
      </c>
      <c r="F90" s="2">
        <v>-125</v>
      </c>
      <c r="G90" s="3">
        <v>11.274984470710059</v>
      </c>
      <c r="H90" s="3">
        <v>5.8877015449539902</v>
      </c>
    </row>
    <row r="91" spans="1:9" x14ac:dyDescent="0.25">
      <c r="A91" s="2">
        <v>-100</v>
      </c>
      <c r="B91" s="3">
        <v>3.7655065114043902</v>
      </c>
      <c r="C91" s="3">
        <v>4.6367574232719004</v>
      </c>
      <c r="D91" s="3">
        <v>259538.68397894001</v>
      </c>
      <c r="F91" s="2">
        <v>-100</v>
      </c>
      <c r="G91" s="3">
        <v>5.5985534501260457</v>
      </c>
      <c r="H91" s="3">
        <v>5.8828646856118203</v>
      </c>
    </row>
    <row r="92" spans="1:9" x14ac:dyDescent="0.25">
      <c r="A92" s="2">
        <v>-75</v>
      </c>
      <c r="B92" s="3">
        <v>3.0941655826175798</v>
      </c>
      <c r="C92" s="3">
        <v>4.1966810710052096</v>
      </c>
      <c r="D92" s="3">
        <v>272622.56362211099</v>
      </c>
      <c r="F92" s="2">
        <v>-75</v>
      </c>
      <c r="G92" s="3">
        <v>3.5466871238070201</v>
      </c>
      <c r="H92" s="3">
        <v>5.3273431392796349</v>
      </c>
    </row>
    <row r="93" spans="1:9" x14ac:dyDescent="0.25">
      <c r="A93" s="2">
        <v>-50</v>
      </c>
      <c r="B93" s="3">
        <v>3.84625485232077</v>
      </c>
      <c r="C93" s="3">
        <v>4.6795028348610099</v>
      </c>
      <c r="D93" s="3">
        <v>275171.757762425</v>
      </c>
      <c r="F93" s="2">
        <v>-50</v>
      </c>
      <c r="G93" s="3">
        <v>4.4716656127322949</v>
      </c>
      <c r="H93" s="3">
        <v>5.3368477267456349</v>
      </c>
    </row>
    <row r="94" spans="1:9" x14ac:dyDescent="0.25">
      <c r="A94" s="2">
        <v>-25</v>
      </c>
      <c r="B94" s="3">
        <v>4.8478895747553103</v>
      </c>
      <c r="C94" s="3">
        <v>5.6279664527007602</v>
      </c>
      <c r="D94" s="3">
        <v>271589.80626676697</v>
      </c>
      <c r="F94" s="2">
        <v>-25</v>
      </c>
      <c r="G94" s="3">
        <v>5.6446282282277505</v>
      </c>
      <c r="H94" s="3">
        <v>6.1712747457206945</v>
      </c>
    </row>
    <row r="95" spans="1:9" x14ac:dyDescent="0.25">
      <c r="A95" s="2">
        <v>0</v>
      </c>
      <c r="B95" s="3">
        <v>5.9411113682669603</v>
      </c>
      <c r="C95" s="3">
        <v>6.69300909097662</v>
      </c>
      <c r="D95" s="3">
        <v>268103.45691543398</v>
      </c>
      <c r="F95" s="2">
        <v>0</v>
      </c>
      <c r="G95" s="3">
        <v>6.6942611860063455</v>
      </c>
      <c r="H95" s="3">
        <v>7.3022817943167349</v>
      </c>
    </row>
    <row r="96" spans="1:9" x14ac:dyDescent="0.25">
      <c r="A96" s="2">
        <v>25</v>
      </c>
      <c r="B96" s="3">
        <v>9.0656642540327894</v>
      </c>
      <c r="C96" s="3">
        <v>8.77119089501271</v>
      </c>
      <c r="D96" s="3">
        <v>262868.11465569498</v>
      </c>
      <c r="F96" s="2">
        <v>25</v>
      </c>
      <c r="G96" s="3">
        <v>9.2815054718753487</v>
      </c>
      <c r="H96" s="3">
        <v>9.438508188910756</v>
      </c>
    </row>
    <row r="97" spans="1:9" x14ac:dyDescent="0.25">
      <c r="A97" s="2">
        <v>50</v>
      </c>
      <c r="B97" s="3">
        <v>15.886631366315701</v>
      </c>
      <c r="C97" s="3">
        <v>13.54236526669</v>
      </c>
      <c r="D97" s="3">
        <v>260495.09167927</v>
      </c>
      <c r="F97" s="2">
        <v>50</v>
      </c>
      <c r="G97" s="3">
        <v>14.369746815013151</v>
      </c>
      <c r="H97" s="3">
        <v>13.42475227907175</v>
      </c>
    </row>
    <row r="98" spans="1:9" x14ac:dyDescent="0.25">
      <c r="A98" s="2">
        <v>75</v>
      </c>
      <c r="B98" s="3">
        <v>23.1267322027409</v>
      </c>
      <c r="C98" s="3">
        <v>20.115555132556601</v>
      </c>
      <c r="D98" s="3">
        <v>258135.20167851399</v>
      </c>
      <c r="F98" s="2">
        <v>75</v>
      </c>
      <c r="G98" s="3">
        <v>19.52683904609485</v>
      </c>
      <c r="H98" s="3">
        <v>18.454633704660353</v>
      </c>
    </row>
    <row r="99" spans="1:9" x14ac:dyDescent="0.25">
      <c r="A99" s="2">
        <v>100</v>
      </c>
      <c r="B99" s="3">
        <v>29.907599344839198</v>
      </c>
      <c r="C99" s="3">
        <v>26.739466710668601</v>
      </c>
      <c r="D99" s="3">
        <v>254516.023858667</v>
      </c>
      <c r="F99" s="2">
        <v>100</v>
      </c>
      <c r="G99" s="3">
        <v>24.314549513352048</v>
      </c>
      <c r="H99" s="3">
        <v>23.089898452836401</v>
      </c>
    </row>
    <row r="100" spans="1:9" x14ac:dyDescent="0.25">
      <c r="A100" s="2">
        <v>125</v>
      </c>
      <c r="B100" s="3">
        <v>33.012641459190398</v>
      </c>
      <c r="C100" s="3">
        <v>30.4952604250247</v>
      </c>
      <c r="D100" s="3">
        <v>250279.98463985001</v>
      </c>
      <c r="F100" s="2">
        <v>125</v>
      </c>
      <c r="G100" s="3">
        <v>27.789747629531</v>
      </c>
      <c r="H100" s="3">
        <v>26.08405712371605</v>
      </c>
    </row>
    <row r="101" spans="1:9" x14ac:dyDescent="0.25">
      <c r="A101" s="2">
        <v>150</v>
      </c>
      <c r="B101" s="3">
        <v>35.161000156272401</v>
      </c>
      <c r="C101" s="3">
        <v>32.966624406581502</v>
      </c>
      <c r="D101" s="3">
        <v>246765.95816477301</v>
      </c>
      <c r="F101" s="2">
        <v>150</v>
      </c>
      <c r="G101" s="3">
        <v>31.326222104979202</v>
      </c>
      <c r="H101" s="3">
        <v>28.995565418630651</v>
      </c>
    </row>
    <row r="102" spans="1:9" x14ac:dyDescent="0.25">
      <c r="A102" s="2">
        <v>175</v>
      </c>
      <c r="B102" s="3">
        <v>34.965893661110798</v>
      </c>
      <c r="C102" s="3">
        <v>33.352622574566801</v>
      </c>
      <c r="D102" s="3">
        <v>243899.89096864601</v>
      </c>
      <c r="F102" s="2">
        <v>175</v>
      </c>
      <c r="G102" s="3">
        <v>32.318240280840946</v>
      </c>
      <c r="H102" s="3">
        <v>30.0424127126747</v>
      </c>
    </row>
    <row r="103" spans="1:9" x14ac:dyDescent="0.25">
      <c r="A103" s="2">
        <v>200</v>
      </c>
      <c r="B103" s="3">
        <v>33.722389285826203</v>
      </c>
      <c r="C103" s="3">
        <v>31.995551911207201</v>
      </c>
      <c r="D103" s="3">
        <v>240902.01668142699</v>
      </c>
      <c r="F103" s="2">
        <v>200</v>
      </c>
      <c r="G103" s="3">
        <v>32.325286769212099</v>
      </c>
      <c r="H103" s="3">
        <v>30.096866711390351</v>
      </c>
    </row>
    <row r="107" spans="1:9" x14ac:dyDescent="0.25">
      <c r="A107" t="s">
        <v>24</v>
      </c>
    </row>
    <row r="108" spans="1:9" x14ac:dyDescent="0.25">
      <c r="A108" s="1" t="s">
        <v>0</v>
      </c>
      <c r="B108" s="1" t="s">
        <v>1</v>
      </c>
      <c r="C108" s="1" t="s">
        <v>2</v>
      </c>
      <c r="D108" s="1" t="s">
        <v>4</v>
      </c>
      <c r="F108" s="1"/>
      <c r="G108" s="1" t="s">
        <v>1</v>
      </c>
      <c r="H108" s="1" t="s">
        <v>2</v>
      </c>
      <c r="I108">
        <v>12</v>
      </c>
    </row>
    <row r="109" spans="1:9" x14ac:dyDescent="0.25">
      <c r="A109" s="2">
        <v>-200</v>
      </c>
      <c r="B109" s="3">
        <v>8.3305118791710001E-2</v>
      </c>
      <c r="C109" s="3">
        <v>3.4048725807933198</v>
      </c>
      <c r="D109" s="3">
        <v>483619.04888888798</v>
      </c>
      <c r="F109" s="2">
        <v>-200</v>
      </c>
      <c r="G109" s="3">
        <v>8.3305118791710001E-2</v>
      </c>
      <c r="H109" s="3">
        <v>3.4048725807933198</v>
      </c>
    </row>
    <row r="110" spans="1:9" x14ac:dyDescent="0.25">
      <c r="A110" s="2">
        <v>-150</v>
      </c>
      <c r="B110" s="3">
        <v>0.309698089122734</v>
      </c>
      <c r="C110" s="3">
        <v>4.2367714913629104</v>
      </c>
      <c r="D110" s="3">
        <v>504448.25844827498</v>
      </c>
      <c r="F110" s="2">
        <v>-150</v>
      </c>
      <c r="G110" s="3">
        <v>0.309698089122734</v>
      </c>
      <c r="H110" s="3">
        <v>4.2367714913629104</v>
      </c>
    </row>
    <row r="111" spans="1:9" x14ac:dyDescent="0.25">
      <c r="A111" s="2">
        <v>-125</v>
      </c>
      <c r="B111" s="3">
        <v>6.2502109047393999</v>
      </c>
      <c r="C111" s="3">
        <v>4.5721930421356003</v>
      </c>
      <c r="D111" s="3">
        <v>483266.77859788301</v>
      </c>
      <c r="F111" s="2">
        <v>-125</v>
      </c>
      <c r="G111" s="3">
        <v>6.2502109047393999</v>
      </c>
      <c r="H111" s="3">
        <v>4.5721930421356003</v>
      </c>
    </row>
    <row r="112" spans="1:9" x14ac:dyDescent="0.25">
      <c r="A112" s="2">
        <v>-100</v>
      </c>
      <c r="B112" s="3">
        <v>2.4641245681817399</v>
      </c>
      <c r="C112" s="3">
        <v>3.9166512930806801</v>
      </c>
      <c r="D112" s="3">
        <v>464863.29833937902</v>
      </c>
      <c r="F112" s="2">
        <v>-100</v>
      </c>
      <c r="G112" s="3">
        <v>2.4641245681817399</v>
      </c>
      <c r="H112" s="3">
        <v>3.9166512930806801</v>
      </c>
    </row>
    <row r="113" spans="1:8" x14ac:dyDescent="0.25">
      <c r="A113" s="2">
        <v>-75</v>
      </c>
      <c r="B113" s="3">
        <v>2.6472921745818701</v>
      </c>
      <c r="C113" s="3">
        <v>3.8770237382400699</v>
      </c>
      <c r="D113" s="3">
        <v>449864.18105170701</v>
      </c>
      <c r="F113" s="2">
        <v>-75</v>
      </c>
      <c r="G113" s="3">
        <v>2.6472921745818701</v>
      </c>
      <c r="H113" s="3">
        <v>3.8770237382400699</v>
      </c>
    </row>
    <row r="114" spans="1:8" x14ac:dyDescent="0.25">
      <c r="A114" s="2">
        <v>-50</v>
      </c>
      <c r="B114" s="3">
        <v>3.1447498962807301</v>
      </c>
      <c r="C114" s="3">
        <v>4.5638661148653696</v>
      </c>
      <c r="D114" s="3">
        <v>453074.82685271901</v>
      </c>
      <c r="F114" s="2">
        <v>-50</v>
      </c>
      <c r="G114" s="3">
        <v>3.1447498962807301</v>
      </c>
      <c r="H114" s="3">
        <v>4.5638661148653696</v>
      </c>
    </row>
    <row r="115" spans="1:8" x14ac:dyDescent="0.25">
      <c r="A115" s="2">
        <v>-25</v>
      </c>
      <c r="B115" s="3">
        <v>4.4133705711767703</v>
      </c>
      <c r="C115" s="3">
        <v>5.6755898292355198</v>
      </c>
      <c r="D115" s="3">
        <v>459239.86525716097</v>
      </c>
      <c r="F115" s="2">
        <v>-25</v>
      </c>
      <c r="G115" s="3">
        <v>4.4133705711767703</v>
      </c>
      <c r="H115" s="3">
        <v>5.6755898292355198</v>
      </c>
    </row>
    <row r="116" spans="1:8" x14ac:dyDescent="0.25">
      <c r="A116" s="2">
        <v>0</v>
      </c>
      <c r="B116" s="3">
        <v>5.8840050860247102</v>
      </c>
      <c r="C116" s="3">
        <v>7.0429657232852101</v>
      </c>
      <c r="D116" s="3">
        <v>458196.15615815</v>
      </c>
      <c r="F116" s="2">
        <v>0</v>
      </c>
      <c r="G116" s="3">
        <v>5.8840050860247102</v>
      </c>
      <c r="H116" s="3">
        <v>7.0429657232852101</v>
      </c>
    </row>
    <row r="117" spans="1:8" x14ac:dyDescent="0.25">
      <c r="A117" s="2">
        <v>25</v>
      </c>
      <c r="B117" s="3">
        <v>10.5048058479089</v>
      </c>
      <c r="C117" s="3">
        <v>9.8924695533300806</v>
      </c>
      <c r="D117" s="3">
        <v>458175.93709005398</v>
      </c>
      <c r="F117" s="2">
        <v>25</v>
      </c>
      <c r="G117" s="3">
        <v>10.5048058479089</v>
      </c>
      <c r="H117" s="3">
        <v>9.8924695533300806</v>
      </c>
    </row>
    <row r="118" spans="1:8" x14ac:dyDescent="0.25">
      <c r="A118" s="2">
        <v>50</v>
      </c>
      <c r="B118" s="3">
        <v>21.7570748217654</v>
      </c>
      <c r="C118" s="3">
        <v>16.6804403591488</v>
      </c>
      <c r="D118" s="3">
        <v>458262.92638233298</v>
      </c>
      <c r="F118" s="2">
        <v>50</v>
      </c>
      <c r="G118" s="3">
        <v>21.7570748217654</v>
      </c>
      <c r="H118" s="3">
        <v>16.6804403591488</v>
      </c>
    </row>
    <row r="119" spans="1:8" x14ac:dyDescent="0.25">
      <c r="A119" s="2">
        <v>75</v>
      </c>
      <c r="B119" s="3">
        <v>33.3437315019209</v>
      </c>
      <c r="C119" s="3">
        <v>25.518513838353499</v>
      </c>
      <c r="D119" s="3">
        <v>459671.615895211</v>
      </c>
      <c r="F119" s="2">
        <v>75</v>
      </c>
      <c r="G119" s="3">
        <v>33.3437315019209</v>
      </c>
      <c r="H119" s="3">
        <v>25.518513838353499</v>
      </c>
    </row>
    <row r="120" spans="1:8" x14ac:dyDescent="0.25">
      <c r="A120" s="2">
        <v>100</v>
      </c>
      <c r="B120" s="3">
        <v>41.583286286427303</v>
      </c>
      <c r="C120" s="3">
        <v>33.9983559450136</v>
      </c>
      <c r="D120" s="3">
        <v>457562.22869770502</v>
      </c>
      <c r="F120" s="2">
        <v>100</v>
      </c>
      <c r="G120" s="3">
        <v>41.583286286427303</v>
      </c>
      <c r="H120" s="3">
        <v>33.9983559450136</v>
      </c>
    </row>
    <row r="121" spans="1:8" x14ac:dyDescent="0.25">
      <c r="A121" s="2">
        <v>125</v>
      </c>
      <c r="B121" s="3">
        <v>45.712885184764097</v>
      </c>
      <c r="C121" s="3">
        <v>39.351225604964597</v>
      </c>
      <c r="D121" s="3">
        <v>462752.04073008598</v>
      </c>
      <c r="F121" s="2">
        <v>125</v>
      </c>
      <c r="G121" s="3">
        <v>45.712885184764097</v>
      </c>
      <c r="H121" s="3">
        <v>39.351225604964597</v>
      </c>
    </row>
    <row r="122" spans="1:8" x14ac:dyDescent="0.25">
      <c r="A122" s="2">
        <v>150</v>
      </c>
      <c r="B122" s="3">
        <v>46.525266366938297</v>
      </c>
      <c r="C122" s="3">
        <v>42.748011277576303</v>
      </c>
      <c r="D122" s="3">
        <v>463188.26343363698</v>
      </c>
      <c r="F122" s="2">
        <v>150</v>
      </c>
      <c r="G122" s="3">
        <v>46.525266366938297</v>
      </c>
      <c r="H122" s="3">
        <v>42.748011277576303</v>
      </c>
    </row>
    <row r="123" spans="1:8" x14ac:dyDescent="0.25">
      <c r="A123" s="2">
        <v>175</v>
      </c>
      <c r="B123" s="3">
        <v>46.608857010842399</v>
      </c>
      <c r="C123" s="3">
        <v>44.082154012030301</v>
      </c>
      <c r="D123" s="3">
        <v>469512.55513702001</v>
      </c>
      <c r="F123" s="2">
        <v>175</v>
      </c>
      <c r="G123" s="3">
        <v>46.608857010842399</v>
      </c>
      <c r="H123" s="3">
        <v>44.082154012030301</v>
      </c>
    </row>
    <row r="124" spans="1:8" x14ac:dyDescent="0.25">
      <c r="A124" s="2">
        <v>200</v>
      </c>
      <c r="B124" s="3">
        <v>42.719870839175698</v>
      </c>
      <c r="C124" s="3">
        <v>43.936944428908802</v>
      </c>
      <c r="D124" s="3">
        <v>484533.91751682002</v>
      </c>
      <c r="F124" s="2">
        <v>200</v>
      </c>
      <c r="G124" s="3">
        <v>42.719870839175698</v>
      </c>
      <c r="H124" s="3">
        <v>43.936944428908802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abSelected="1" workbookViewId="0">
      <selection activeCell="G4" sqref="G4"/>
    </sheetView>
  </sheetViews>
  <sheetFormatPr defaultRowHeight="15" x14ac:dyDescent="0.25"/>
  <cols>
    <col min="2" max="2" width="9.5703125" bestFit="1" customWidth="1"/>
    <col min="7" max="7" width="14.42578125" bestFit="1" customWidth="1"/>
    <col min="17" max="18" width="10.42578125" customWidth="1"/>
    <col min="22" max="22" width="14" bestFit="1" customWidth="1"/>
  </cols>
  <sheetData>
    <row r="1" spans="1:23" x14ac:dyDescent="0.25">
      <c r="B1" t="s">
        <v>14</v>
      </c>
      <c r="C1" t="s">
        <v>18</v>
      </c>
      <c r="D1" t="s">
        <v>19</v>
      </c>
      <c r="E1" t="s">
        <v>20</v>
      </c>
      <c r="H1" t="s">
        <v>14</v>
      </c>
      <c r="I1" t="s">
        <v>20</v>
      </c>
      <c r="Q1" t="s">
        <v>28</v>
      </c>
      <c r="S1" t="s">
        <v>27</v>
      </c>
      <c r="V1" t="s">
        <v>25</v>
      </c>
    </row>
    <row r="2" spans="1:23" x14ac:dyDescent="0.25">
      <c r="A2">
        <v>1</v>
      </c>
      <c r="B2" s="5">
        <f>$H$4*($H$5/$H$3-$H$5/A2)</f>
        <v>2485.7142857142858</v>
      </c>
      <c r="E2" s="5">
        <f>$I$4*($I$5/$I$3-$I$5/A2)</f>
        <v>3991.304347826087</v>
      </c>
      <c r="G2" t="s">
        <v>10</v>
      </c>
      <c r="H2">
        <v>1</v>
      </c>
      <c r="I2">
        <v>1</v>
      </c>
      <c r="L2" t="s">
        <v>9</v>
      </c>
      <c r="M2" t="s">
        <v>23</v>
      </c>
      <c r="N2" t="s">
        <v>19</v>
      </c>
      <c r="O2" t="s">
        <v>22</v>
      </c>
      <c r="Q2">
        <v>2</v>
      </c>
      <c r="S2">
        <v>5</v>
      </c>
      <c r="U2">
        <v>1</v>
      </c>
      <c r="V2" s="7">
        <f>$I$5/U2</f>
        <v>2</v>
      </c>
      <c r="W2" s="5">
        <f>$I$4*($I$5/$I$3-$I$5/U2)</f>
        <v>3991.304347826087</v>
      </c>
    </row>
    <row r="3" spans="1:23" x14ac:dyDescent="0.25">
      <c r="A3">
        <v>5</v>
      </c>
      <c r="B3" s="5">
        <f t="shared" ref="B3:B37" si="0">$H$4*($H$5/$H$3-$H$5/A3)</f>
        <v>485.71428571428572</v>
      </c>
      <c r="E3" s="5">
        <f t="shared" ref="E3:E37" si="1">$I$4*($I$5/$I$3-$I$5/A3)</f>
        <v>791.304347826087</v>
      </c>
      <c r="G3" t="s">
        <v>11</v>
      </c>
      <c r="H3">
        <v>175</v>
      </c>
      <c r="I3">
        <v>460</v>
      </c>
      <c r="K3" t="s">
        <v>3</v>
      </c>
      <c r="L3" s="3">
        <v>63.088454393967801</v>
      </c>
      <c r="M3">
        <v>50</v>
      </c>
      <c r="N3" s="6">
        <f>D14</f>
        <v>77.38095238095238</v>
      </c>
      <c r="O3">
        <v>50</v>
      </c>
      <c r="P3">
        <f>O3-$O$8</f>
        <v>55</v>
      </c>
      <c r="Q3" s="8">
        <f>$Q$2/L3</f>
        <v>3.1701521605056626E-2</v>
      </c>
      <c r="R3" s="8">
        <f>Q3-$Q$8</f>
        <v>2.7353695518100105E-2</v>
      </c>
      <c r="S3" s="3">
        <f>R3/$S$2*10000</f>
        <v>54.707391036200214</v>
      </c>
      <c r="T3">
        <f>ABS(S3-P3)</f>
        <v>0.29260896379978618</v>
      </c>
      <c r="U3">
        <v>10</v>
      </c>
      <c r="V3" s="7">
        <f t="shared" ref="V3:V52" si="2">$I$5/U3</f>
        <v>0.2</v>
      </c>
      <c r="W3" s="5">
        <f t="shared" ref="W3:W52" si="3">$I$4*($I$5/$I$3-$I$5/U3)</f>
        <v>391.304347826087</v>
      </c>
    </row>
    <row r="4" spans="1:23" x14ac:dyDescent="0.25">
      <c r="A4">
        <v>10</v>
      </c>
      <c r="B4" s="5">
        <f t="shared" si="0"/>
        <v>235.71428571428572</v>
      </c>
      <c r="E4" s="5">
        <f t="shared" si="1"/>
        <v>391.304347826087</v>
      </c>
      <c r="G4" t="s">
        <v>12</v>
      </c>
      <c r="H4">
        <f>-10000/4 * 1</f>
        <v>-2500</v>
      </c>
      <c r="I4">
        <f>-10000/5</f>
        <v>-2000</v>
      </c>
      <c r="K4" t="s">
        <v>5</v>
      </c>
      <c r="L4" s="3">
        <v>93.810540228364715</v>
      </c>
      <c r="M4">
        <v>25</v>
      </c>
      <c r="N4" s="6">
        <f>D20</f>
        <v>38.492063492063494</v>
      </c>
      <c r="O4">
        <v>30</v>
      </c>
      <c r="P4">
        <f t="shared" ref="P4:P8" si="4">O4-$O$8</f>
        <v>35</v>
      </c>
      <c r="Q4" s="8">
        <f t="shared" ref="Q4:Q8" si="5">$Q$2/L4</f>
        <v>2.1319565958487857E-2</v>
      </c>
      <c r="R4" s="8">
        <f t="shared" ref="R4:R8" si="6">Q4-$Q$8</f>
        <v>1.6971739871531336E-2</v>
      </c>
      <c r="S4" s="3">
        <f t="shared" ref="S4:S8" si="7">R4/$S$2*10000</f>
        <v>33.943479743062674</v>
      </c>
      <c r="T4">
        <f t="shared" ref="T4:T7" si="8">ABS(S4-P4)</f>
        <v>1.0565202569373255</v>
      </c>
      <c r="U4">
        <v>20</v>
      </c>
      <c r="V4" s="7">
        <f t="shared" si="2"/>
        <v>0.1</v>
      </c>
      <c r="W4" s="5">
        <f t="shared" si="3"/>
        <v>191.30434782608697</v>
      </c>
    </row>
    <row r="5" spans="1:23" x14ac:dyDescent="0.25">
      <c r="A5">
        <v>15</v>
      </c>
      <c r="B5" s="5">
        <f t="shared" si="0"/>
        <v>152.38095238095238</v>
      </c>
      <c r="E5" s="5">
        <f t="shared" si="1"/>
        <v>257.97101449275362</v>
      </c>
      <c r="G5" t="s">
        <v>13</v>
      </c>
      <c r="H5">
        <v>1</v>
      </c>
      <c r="I5">
        <v>2</v>
      </c>
      <c r="K5" t="s">
        <v>6</v>
      </c>
      <c r="L5" s="3">
        <v>124.13977224550588</v>
      </c>
      <c r="M5">
        <v>12</v>
      </c>
      <c r="N5" s="6">
        <f>D26</f>
        <v>18.547619047619047</v>
      </c>
      <c r="O5">
        <v>28</v>
      </c>
      <c r="P5">
        <f t="shared" si="4"/>
        <v>33</v>
      </c>
      <c r="Q5" s="8">
        <f t="shared" si="5"/>
        <v>1.6110872155014801E-2</v>
      </c>
      <c r="R5" s="8">
        <f t="shared" si="6"/>
        <v>1.176304606805828E-2</v>
      </c>
      <c r="S5" s="3">
        <f t="shared" si="7"/>
        <v>23.52609213611656</v>
      </c>
      <c r="T5" t="s">
        <v>29</v>
      </c>
      <c r="U5">
        <v>30</v>
      </c>
      <c r="V5" s="7">
        <f t="shared" si="2"/>
        <v>6.6666666666666666E-2</v>
      </c>
      <c r="W5" s="5">
        <f t="shared" si="3"/>
        <v>124.63768115942028</v>
      </c>
    </row>
    <row r="6" spans="1:23" x14ac:dyDescent="0.25">
      <c r="A6">
        <v>20</v>
      </c>
      <c r="B6" s="5">
        <f t="shared" si="0"/>
        <v>110.71428571428572</v>
      </c>
      <c r="E6" s="5">
        <f t="shared" si="1"/>
        <v>191.30434782608697</v>
      </c>
      <c r="K6" t="s">
        <v>7</v>
      </c>
      <c r="L6" s="3">
        <v>155.3478612449797</v>
      </c>
      <c r="M6">
        <v>0</v>
      </c>
      <c r="N6" s="6">
        <f>D32</f>
        <v>2.3809523809523818</v>
      </c>
      <c r="O6">
        <v>20</v>
      </c>
      <c r="P6">
        <f t="shared" si="4"/>
        <v>25</v>
      </c>
      <c r="Q6" s="8">
        <f t="shared" si="5"/>
        <v>1.2874332378777009E-2</v>
      </c>
      <c r="R6" s="8">
        <f t="shared" si="6"/>
        <v>8.5265062918204876E-3</v>
      </c>
      <c r="S6" s="3">
        <f t="shared" si="7"/>
        <v>17.053012583640974</v>
      </c>
      <c r="T6">
        <f t="shared" si="8"/>
        <v>7.9469874163590255</v>
      </c>
      <c r="U6">
        <v>40</v>
      </c>
      <c r="V6" s="7">
        <f t="shared" si="2"/>
        <v>0.05</v>
      </c>
      <c r="W6" s="5">
        <f t="shared" si="3"/>
        <v>91.304347826086953</v>
      </c>
    </row>
    <row r="7" spans="1:23" x14ac:dyDescent="0.25">
      <c r="A7">
        <v>25</v>
      </c>
      <c r="B7" s="5">
        <f t="shared" si="0"/>
        <v>85.714285714285722</v>
      </c>
      <c r="E7" s="5">
        <f t="shared" si="1"/>
        <v>151.30434782608697</v>
      </c>
      <c r="G7" t="s">
        <v>15</v>
      </c>
      <c r="H7" s="4">
        <f>H4*(H5/H3-H5/H2)</f>
        <v>2485.7142857142858</v>
      </c>
      <c r="I7" s="4">
        <f>I4*(I5/I3-I5/I2)</f>
        <v>3991.304347826087</v>
      </c>
      <c r="K7" t="s">
        <v>8</v>
      </c>
      <c r="L7" s="3">
        <v>256.35299902894985</v>
      </c>
      <c r="M7">
        <v>0</v>
      </c>
      <c r="N7">
        <v>0</v>
      </c>
      <c r="O7">
        <v>0</v>
      </c>
      <c r="P7">
        <f t="shared" si="4"/>
        <v>5</v>
      </c>
      <c r="Q7" s="8">
        <f t="shared" si="5"/>
        <v>7.8017421585699518E-3</v>
      </c>
      <c r="R7" s="8">
        <f t="shared" si="6"/>
        <v>3.45391607161343E-3</v>
      </c>
      <c r="S7" s="3">
        <f t="shared" si="7"/>
        <v>6.9078321432268606</v>
      </c>
      <c r="T7">
        <f t="shared" si="8"/>
        <v>1.9078321432268606</v>
      </c>
      <c r="U7">
        <v>50</v>
      </c>
      <c r="V7" s="7">
        <f t="shared" si="2"/>
        <v>0.04</v>
      </c>
      <c r="W7" s="5">
        <f t="shared" si="3"/>
        <v>71.304347826086953</v>
      </c>
    </row>
    <row r="8" spans="1:23" x14ac:dyDescent="0.25">
      <c r="A8">
        <v>30</v>
      </c>
      <c r="B8" s="5">
        <f t="shared" si="0"/>
        <v>69.047619047619051</v>
      </c>
      <c r="E8" s="5">
        <f t="shared" si="1"/>
        <v>124.63768115942028</v>
      </c>
      <c r="K8" t="s">
        <v>26</v>
      </c>
      <c r="L8" s="3">
        <v>460</v>
      </c>
      <c r="M8">
        <v>0</v>
      </c>
      <c r="N8">
        <v>0</v>
      </c>
      <c r="O8">
        <v>-5</v>
      </c>
      <c r="P8">
        <f t="shared" si="4"/>
        <v>0</v>
      </c>
      <c r="Q8" s="8">
        <f t="shared" si="5"/>
        <v>4.3478260869565218E-3</v>
      </c>
      <c r="R8" s="8">
        <f t="shared" si="6"/>
        <v>0</v>
      </c>
      <c r="S8" s="3">
        <f t="shared" si="7"/>
        <v>0</v>
      </c>
      <c r="U8">
        <v>60</v>
      </c>
      <c r="V8" s="7">
        <f t="shared" si="2"/>
        <v>3.3333333333333333E-2</v>
      </c>
      <c r="W8" s="5">
        <f t="shared" si="3"/>
        <v>57.971014492753625</v>
      </c>
    </row>
    <row r="9" spans="1:23" x14ac:dyDescent="0.25">
      <c r="A9">
        <v>35</v>
      </c>
      <c r="B9" s="5">
        <f t="shared" si="0"/>
        <v>57.142857142857146</v>
      </c>
      <c r="E9" s="5">
        <f t="shared" si="1"/>
        <v>105.59006211180123</v>
      </c>
      <c r="T9">
        <f>SUM(T3:T7)</f>
        <v>11.203948780322998</v>
      </c>
      <c r="U9">
        <v>70</v>
      </c>
      <c r="V9" s="7">
        <f t="shared" si="2"/>
        <v>2.8571428571428571E-2</v>
      </c>
      <c r="W9" s="5">
        <f t="shared" si="3"/>
        <v>48.447204968944099</v>
      </c>
    </row>
    <row r="10" spans="1:23" x14ac:dyDescent="0.25">
      <c r="A10">
        <v>40</v>
      </c>
      <c r="B10" s="5">
        <f t="shared" si="0"/>
        <v>48.214285714285722</v>
      </c>
      <c r="E10" s="5">
        <f t="shared" si="1"/>
        <v>91.304347826086953</v>
      </c>
      <c r="U10">
        <v>80</v>
      </c>
      <c r="V10" s="7">
        <f t="shared" si="2"/>
        <v>2.5000000000000001E-2</v>
      </c>
      <c r="W10" s="5">
        <f t="shared" si="3"/>
        <v>41.304347826086961</v>
      </c>
    </row>
    <row r="11" spans="1:23" x14ac:dyDescent="0.25">
      <c r="A11">
        <v>45</v>
      </c>
      <c r="B11" s="5">
        <f t="shared" si="0"/>
        <v>41.269841269841272</v>
      </c>
      <c r="E11" s="5">
        <f t="shared" si="1"/>
        <v>80.193236714975839</v>
      </c>
      <c r="U11">
        <v>90</v>
      </c>
      <c r="V11" s="7">
        <f t="shared" si="2"/>
        <v>2.2222222222222223E-2</v>
      </c>
      <c r="W11" s="5">
        <f t="shared" si="3"/>
        <v>35.748792270531403</v>
      </c>
    </row>
    <row r="12" spans="1:23" x14ac:dyDescent="0.25">
      <c r="A12">
        <v>50</v>
      </c>
      <c r="B12" s="5">
        <f t="shared" si="0"/>
        <v>35.714285714285715</v>
      </c>
      <c r="E12" s="5">
        <f t="shared" si="1"/>
        <v>71.304347826086953</v>
      </c>
      <c r="U12">
        <v>100</v>
      </c>
      <c r="V12" s="7">
        <f t="shared" si="2"/>
        <v>0.02</v>
      </c>
      <c r="W12" s="5">
        <f t="shared" si="3"/>
        <v>31.304347826086961</v>
      </c>
    </row>
    <row r="13" spans="1:23" x14ac:dyDescent="0.25">
      <c r="A13">
        <v>55</v>
      </c>
      <c r="B13" s="5">
        <f t="shared" si="0"/>
        <v>31.168831168831169</v>
      </c>
      <c r="E13" s="5">
        <f t="shared" si="1"/>
        <v>64.031620553359673</v>
      </c>
      <c r="U13">
        <v>110</v>
      </c>
      <c r="V13" s="7">
        <f t="shared" si="2"/>
        <v>1.8181818181818181E-2</v>
      </c>
      <c r="W13" s="5">
        <f t="shared" si="3"/>
        <v>27.66798418972332</v>
      </c>
    </row>
    <row r="14" spans="1:23" x14ac:dyDescent="0.25">
      <c r="A14">
        <v>60</v>
      </c>
      <c r="B14" s="5">
        <f t="shared" si="0"/>
        <v>27.380952380952383</v>
      </c>
      <c r="C14">
        <v>50</v>
      </c>
      <c r="D14" s="6">
        <f>B14+C14</f>
        <v>77.38095238095238</v>
      </c>
      <c r="E14" s="5">
        <f t="shared" si="1"/>
        <v>57.971014492753625</v>
      </c>
      <c r="U14">
        <v>120</v>
      </c>
      <c r="V14" s="7">
        <f t="shared" si="2"/>
        <v>1.6666666666666666E-2</v>
      </c>
      <c r="W14" s="5">
        <f t="shared" si="3"/>
        <v>24.637681159420293</v>
      </c>
    </row>
    <row r="15" spans="1:23" x14ac:dyDescent="0.25">
      <c r="A15">
        <v>65</v>
      </c>
      <c r="B15" s="5">
        <f t="shared" si="0"/>
        <v>24.175824175824179</v>
      </c>
      <c r="E15" s="5">
        <f t="shared" si="1"/>
        <v>52.842809364548501</v>
      </c>
      <c r="U15">
        <v>130</v>
      </c>
      <c r="V15" s="7">
        <f t="shared" si="2"/>
        <v>1.5384615384615385E-2</v>
      </c>
      <c r="W15" s="5">
        <f t="shared" si="3"/>
        <v>22.073578595317731</v>
      </c>
    </row>
    <row r="16" spans="1:23" x14ac:dyDescent="0.25">
      <c r="A16">
        <v>70</v>
      </c>
      <c r="B16" s="5">
        <f t="shared" si="0"/>
        <v>21.428571428571427</v>
      </c>
      <c r="E16" s="5">
        <f t="shared" si="1"/>
        <v>48.447204968944099</v>
      </c>
      <c r="U16">
        <v>140</v>
      </c>
      <c r="V16" s="7">
        <f t="shared" si="2"/>
        <v>1.4285714285714285E-2</v>
      </c>
      <c r="W16" s="5">
        <f t="shared" si="3"/>
        <v>19.875776397515526</v>
      </c>
    </row>
    <row r="17" spans="1:23" x14ac:dyDescent="0.25">
      <c r="A17">
        <v>75</v>
      </c>
      <c r="B17" s="5">
        <f t="shared" si="0"/>
        <v>19.047619047619051</v>
      </c>
      <c r="E17" s="5">
        <f t="shared" si="1"/>
        <v>44.637681159420296</v>
      </c>
      <c r="U17">
        <v>150</v>
      </c>
      <c r="V17" s="7">
        <f t="shared" si="2"/>
        <v>1.3333333333333334E-2</v>
      </c>
      <c r="W17" s="5">
        <f t="shared" si="3"/>
        <v>17.971014492753625</v>
      </c>
    </row>
    <row r="18" spans="1:23" x14ac:dyDescent="0.25">
      <c r="A18">
        <v>80</v>
      </c>
      <c r="B18" s="5">
        <f t="shared" si="0"/>
        <v>16.964285714285715</v>
      </c>
      <c r="E18" s="5">
        <f t="shared" si="1"/>
        <v>41.304347826086961</v>
      </c>
      <c r="U18">
        <v>160</v>
      </c>
      <c r="V18" s="7">
        <f t="shared" si="2"/>
        <v>1.2500000000000001E-2</v>
      </c>
      <c r="W18" s="5">
        <f t="shared" si="3"/>
        <v>16.304347826086961</v>
      </c>
    </row>
    <row r="19" spans="1:23" x14ac:dyDescent="0.25">
      <c r="A19">
        <v>85</v>
      </c>
      <c r="B19" s="5">
        <f t="shared" si="0"/>
        <v>15.126050420168067</v>
      </c>
      <c r="E19" s="5">
        <f t="shared" si="1"/>
        <v>38.363171355498721</v>
      </c>
      <c r="U19">
        <v>170</v>
      </c>
      <c r="V19" s="7">
        <f t="shared" si="2"/>
        <v>1.1764705882352941E-2</v>
      </c>
      <c r="W19" s="5">
        <f t="shared" si="3"/>
        <v>14.833759590792839</v>
      </c>
    </row>
    <row r="20" spans="1:23" x14ac:dyDescent="0.25">
      <c r="A20">
        <v>90</v>
      </c>
      <c r="B20" s="5">
        <f t="shared" si="0"/>
        <v>13.492063492063494</v>
      </c>
      <c r="C20">
        <v>25</v>
      </c>
      <c r="D20" s="6">
        <f>B20+C20</f>
        <v>38.492063492063494</v>
      </c>
      <c r="E20" s="5">
        <f t="shared" si="1"/>
        <v>35.748792270531403</v>
      </c>
      <c r="U20">
        <v>180</v>
      </c>
      <c r="V20" s="7">
        <f t="shared" si="2"/>
        <v>1.1111111111111112E-2</v>
      </c>
      <c r="W20" s="5">
        <f t="shared" si="3"/>
        <v>13.52657004830918</v>
      </c>
    </row>
    <row r="21" spans="1:23" x14ac:dyDescent="0.25">
      <c r="A21">
        <v>95</v>
      </c>
      <c r="B21" s="5">
        <f t="shared" si="0"/>
        <v>12.030075187969924</v>
      </c>
      <c r="E21" s="5">
        <f t="shared" si="1"/>
        <v>33.409610983981693</v>
      </c>
      <c r="U21">
        <v>190</v>
      </c>
      <c r="V21" s="7">
        <f t="shared" si="2"/>
        <v>1.0526315789473684E-2</v>
      </c>
      <c r="W21" s="5">
        <f t="shared" si="3"/>
        <v>12.356979405034325</v>
      </c>
    </row>
    <row r="22" spans="1:23" x14ac:dyDescent="0.25">
      <c r="A22">
        <v>100</v>
      </c>
      <c r="B22" s="5">
        <f t="shared" si="0"/>
        <v>10.714285714285715</v>
      </c>
      <c r="E22" s="5">
        <f t="shared" si="1"/>
        <v>31.304347826086961</v>
      </c>
      <c r="U22">
        <v>200</v>
      </c>
      <c r="V22" s="7">
        <f t="shared" si="2"/>
        <v>0.01</v>
      </c>
      <c r="W22" s="5">
        <f t="shared" si="3"/>
        <v>11.304347826086957</v>
      </c>
    </row>
    <row r="23" spans="1:23" x14ac:dyDescent="0.25">
      <c r="A23">
        <v>105</v>
      </c>
      <c r="B23" s="5">
        <f t="shared" si="0"/>
        <v>9.5238095238095255</v>
      </c>
      <c r="E23" s="5">
        <f t="shared" si="1"/>
        <v>29.399585921325055</v>
      </c>
      <c r="U23">
        <v>210</v>
      </c>
      <c r="V23" s="7">
        <f t="shared" si="2"/>
        <v>9.5238095238095247E-3</v>
      </c>
      <c r="W23" s="5">
        <f t="shared" si="3"/>
        <v>10.351966873706006</v>
      </c>
    </row>
    <row r="24" spans="1:23" x14ac:dyDescent="0.25">
      <c r="A24">
        <v>110</v>
      </c>
      <c r="B24" s="5">
        <f t="shared" si="0"/>
        <v>8.4415584415584402</v>
      </c>
      <c r="E24" s="5">
        <f t="shared" si="1"/>
        <v>27.66798418972332</v>
      </c>
      <c r="U24">
        <v>220</v>
      </c>
      <c r="V24" s="7">
        <f t="shared" si="2"/>
        <v>9.0909090909090905E-3</v>
      </c>
      <c r="W24" s="5">
        <f t="shared" si="3"/>
        <v>9.4861660079051369</v>
      </c>
    </row>
    <row r="25" spans="1:23" x14ac:dyDescent="0.25">
      <c r="A25">
        <v>115</v>
      </c>
      <c r="B25" s="5">
        <f t="shared" si="0"/>
        <v>7.4534161490683228</v>
      </c>
      <c r="E25" s="5">
        <f t="shared" si="1"/>
        <v>26.086956521739133</v>
      </c>
      <c r="U25">
        <v>230</v>
      </c>
      <c r="V25" s="7">
        <f t="shared" si="2"/>
        <v>8.6956521739130436E-3</v>
      </c>
      <c r="W25" s="5">
        <f t="shared" si="3"/>
        <v>8.695652173913043</v>
      </c>
    </row>
    <row r="26" spans="1:23" x14ac:dyDescent="0.25">
      <c r="A26">
        <v>120</v>
      </c>
      <c r="B26" s="5">
        <f t="shared" si="0"/>
        <v>6.5476190476190474</v>
      </c>
      <c r="C26">
        <v>12</v>
      </c>
      <c r="D26" s="6">
        <f>B26+C26</f>
        <v>18.547619047619047</v>
      </c>
      <c r="E26" s="5">
        <f t="shared" si="1"/>
        <v>24.637681159420293</v>
      </c>
      <c r="U26">
        <v>240</v>
      </c>
      <c r="V26" s="7">
        <f t="shared" si="2"/>
        <v>8.3333333333333332E-3</v>
      </c>
      <c r="W26" s="5">
        <f t="shared" si="3"/>
        <v>7.9710144927536231</v>
      </c>
    </row>
    <row r="27" spans="1:23" x14ac:dyDescent="0.25">
      <c r="A27">
        <v>125</v>
      </c>
      <c r="B27" s="5">
        <f t="shared" si="0"/>
        <v>5.7142857142857144</v>
      </c>
      <c r="E27" s="5">
        <f t="shared" si="1"/>
        <v>23.304347826086961</v>
      </c>
      <c r="U27">
        <v>250</v>
      </c>
      <c r="V27" s="7">
        <f t="shared" si="2"/>
        <v>8.0000000000000002E-3</v>
      </c>
      <c r="W27" s="5">
        <f t="shared" si="3"/>
        <v>7.304347826086957</v>
      </c>
    </row>
    <row r="28" spans="1:23" x14ac:dyDescent="0.25">
      <c r="A28">
        <v>130</v>
      </c>
      <c r="B28" s="5">
        <f t="shared" si="0"/>
        <v>4.9450549450549461</v>
      </c>
      <c r="E28" s="5">
        <f t="shared" si="1"/>
        <v>22.073578595317731</v>
      </c>
      <c r="U28">
        <v>260</v>
      </c>
      <c r="V28" s="7">
        <f t="shared" si="2"/>
        <v>7.6923076923076927E-3</v>
      </c>
      <c r="W28" s="5">
        <f t="shared" si="3"/>
        <v>6.688963210702342</v>
      </c>
    </row>
    <row r="29" spans="1:23" x14ac:dyDescent="0.25">
      <c r="A29">
        <v>135</v>
      </c>
      <c r="B29" s="5">
        <f t="shared" si="0"/>
        <v>4.2328042328042335</v>
      </c>
      <c r="E29" s="5">
        <f t="shared" si="1"/>
        <v>20.93397745571659</v>
      </c>
      <c r="U29">
        <v>270</v>
      </c>
      <c r="V29" s="7">
        <f t="shared" si="2"/>
        <v>7.4074074074074077E-3</v>
      </c>
      <c r="W29" s="5">
        <f t="shared" si="3"/>
        <v>6.1191626409017719</v>
      </c>
    </row>
    <row r="30" spans="1:23" x14ac:dyDescent="0.25">
      <c r="A30">
        <v>140</v>
      </c>
      <c r="B30" s="5">
        <f t="shared" si="0"/>
        <v>3.5714285714285707</v>
      </c>
      <c r="E30" s="5">
        <f t="shared" si="1"/>
        <v>19.875776397515526</v>
      </c>
      <c r="U30">
        <v>280</v>
      </c>
      <c r="V30" s="7">
        <f t="shared" si="2"/>
        <v>7.1428571428571426E-3</v>
      </c>
      <c r="W30" s="5">
        <f t="shared" si="3"/>
        <v>5.5900621118012417</v>
      </c>
    </row>
    <row r="31" spans="1:23" x14ac:dyDescent="0.25">
      <c r="A31">
        <v>145</v>
      </c>
      <c r="B31" s="5">
        <f t="shared" si="0"/>
        <v>2.9556650246305418</v>
      </c>
      <c r="E31" s="5">
        <f t="shared" si="1"/>
        <v>18.890554722638683</v>
      </c>
      <c r="U31">
        <v>290</v>
      </c>
      <c r="V31" s="7">
        <f t="shared" si="2"/>
        <v>6.8965517241379309E-3</v>
      </c>
      <c r="W31" s="5">
        <f t="shared" si="3"/>
        <v>5.0974512743628182</v>
      </c>
    </row>
    <row r="32" spans="1:23" x14ac:dyDescent="0.25">
      <c r="A32">
        <v>150</v>
      </c>
      <c r="B32" s="5">
        <f t="shared" si="0"/>
        <v>2.3809523809523818</v>
      </c>
      <c r="C32">
        <v>0</v>
      </c>
      <c r="D32" s="6">
        <f>B32+C32</f>
        <v>2.3809523809523818</v>
      </c>
      <c r="E32" s="5">
        <f t="shared" si="1"/>
        <v>17.971014492753625</v>
      </c>
      <c r="U32">
        <v>300</v>
      </c>
      <c r="V32" s="7">
        <f t="shared" si="2"/>
        <v>6.6666666666666671E-3</v>
      </c>
      <c r="W32" s="5">
        <f t="shared" si="3"/>
        <v>4.6376811594202909</v>
      </c>
    </row>
    <row r="33" spans="1:23" x14ac:dyDescent="0.25">
      <c r="A33">
        <v>155</v>
      </c>
      <c r="B33" s="5">
        <f t="shared" si="0"/>
        <v>1.8433179723502304</v>
      </c>
      <c r="E33" s="5">
        <f t="shared" si="1"/>
        <v>17.110799438990181</v>
      </c>
      <c r="U33">
        <v>310</v>
      </c>
      <c r="V33" s="7">
        <f t="shared" si="2"/>
        <v>6.4516129032258064E-3</v>
      </c>
      <c r="W33" s="5">
        <f t="shared" si="3"/>
        <v>4.2075736325385691</v>
      </c>
    </row>
    <row r="34" spans="1:23" x14ac:dyDescent="0.25">
      <c r="A34">
        <v>160</v>
      </c>
      <c r="B34" s="5">
        <f t="shared" si="0"/>
        <v>1.3392857142857151</v>
      </c>
      <c r="E34" s="5">
        <f t="shared" si="1"/>
        <v>16.304347826086961</v>
      </c>
      <c r="U34">
        <v>320</v>
      </c>
      <c r="V34" s="7">
        <f t="shared" si="2"/>
        <v>6.2500000000000003E-3</v>
      </c>
      <c r="W34" s="5">
        <f t="shared" si="3"/>
        <v>3.804347826086957</v>
      </c>
    </row>
    <row r="35" spans="1:23" x14ac:dyDescent="0.25">
      <c r="A35">
        <v>165</v>
      </c>
      <c r="B35" s="5">
        <f t="shared" si="0"/>
        <v>0.86580086580086579</v>
      </c>
      <c r="E35" s="5">
        <f t="shared" si="1"/>
        <v>15.546772068511199</v>
      </c>
      <c r="U35">
        <v>330</v>
      </c>
      <c r="V35" s="7">
        <f t="shared" si="2"/>
        <v>6.0606060606060606E-3</v>
      </c>
      <c r="W35" s="5">
        <f t="shared" si="3"/>
        <v>3.4255599472990776</v>
      </c>
    </row>
    <row r="36" spans="1:23" x14ac:dyDescent="0.25">
      <c r="A36">
        <v>170</v>
      </c>
      <c r="B36" s="5">
        <f t="shared" si="0"/>
        <v>0.42016806722689054</v>
      </c>
      <c r="E36" s="5">
        <f t="shared" si="1"/>
        <v>14.833759590792839</v>
      </c>
      <c r="U36">
        <v>340</v>
      </c>
      <c r="V36" s="7">
        <f t="shared" si="2"/>
        <v>5.8823529411764705E-3</v>
      </c>
      <c r="W36" s="5">
        <f t="shared" si="3"/>
        <v>3.0690537084398972</v>
      </c>
    </row>
    <row r="37" spans="1:23" x14ac:dyDescent="0.25">
      <c r="A37">
        <v>175</v>
      </c>
      <c r="B37" s="5">
        <f t="shared" si="0"/>
        <v>0</v>
      </c>
      <c r="E37" s="5">
        <f t="shared" si="1"/>
        <v>14.161490683229813</v>
      </c>
      <c r="U37">
        <v>350</v>
      </c>
      <c r="V37" s="7">
        <f t="shared" si="2"/>
        <v>5.7142857142857143E-3</v>
      </c>
      <c r="W37" s="5">
        <f t="shared" si="3"/>
        <v>2.7329192546583849</v>
      </c>
    </row>
    <row r="38" spans="1:23" x14ac:dyDescent="0.25">
      <c r="U38">
        <v>360</v>
      </c>
      <c r="V38" s="7">
        <f t="shared" si="2"/>
        <v>5.5555555555555558E-3</v>
      </c>
      <c r="W38" s="5">
        <f t="shared" si="3"/>
        <v>2.4154589371980681</v>
      </c>
    </row>
    <row r="39" spans="1:23" x14ac:dyDescent="0.25">
      <c r="U39">
        <v>370</v>
      </c>
      <c r="V39" s="7">
        <f t="shared" si="2"/>
        <v>5.4054054054054057E-3</v>
      </c>
      <c r="W39" s="5">
        <f t="shared" si="3"/>
        <v>2.115158636897768</v>
      </c>
    </row>
    <row r="40" spans="1:23" x14ac:dyDescent="0.25">
      <c r="U40">
        <v>380</v>
      </c>
      <c r="V40" s="7">
        <f t="shared" si="2"/>
        <v>5.263157894736842E-3</v>
      </c>
      <c r="W40" s="5">
        <f t="shared" si="3"/>
        <v>1.8306636155606404</v>
      </c>
    </row>
    <row r="41" spans="1:23" x14ac:dyDescent="0.25">
      <c r="U41">
        <v>390</v>
      </c>
      <c r="V41" s="7">
        <f t="shared" si="2"/>
        <v>5.1282051282051282E-3</v>
      </c>
      <c r="W41" s="5">
        <f t="shared" si="3"/>
        <v>1.5607580824972129</v>
      </c>
    </row>
    <row r="42" spans="1:23" x14ac:dyDescent="0.25">
      <c r="U42">
        <v>400</v>
      </c>
      <c r="V42" s="7">
        <f t="shared" si="2"/>
        <v>5.0000000000000001E-3</v>
      </c>
      <c r="W42" s="5">
        <f t="shared" si="3"/>
        <v>1.3043478260869565</v>
      </c>
    </row>
    <row r="43" spans="1:23" x14ac:dyDescent="0.25">
      <c r="U43">
        <v>410</v>
      </c>
      <c r="V43" s="7">
        <f t="shared" si="2"/>
        <v>4.8780487804878049E-3</v>
      </c>
      <c r="W43" s="5">
        <f t="shared" si="3"/>
        <v>1.0604453870625661</v>
      </c>
    </row>
    <row r="44" spans="1:23" x14ac:dyDescent="0.25">
      <c r="U44">
        <v>420</v>
      </c>
      <c r="V44" s="7">
        <f t="shared" si="2"/>
        <v>4.7619047619047623E-3</v>
      </c>
      <c r="W44" s="5">
        <f t="shared" si="3"/>
        <v>0.82815734989648104</v>
      </c>
    </row>
    <row r="45" spans="1:23" x14ac:dyDescent="0.25">
      <c r="U45">
        <v>430</v>
      </c>
      <c r="V45" s="7">
        <f t="shared" si="2"/>
        <v>4.6511627906976744E-3</v>
      </c>
      <c r="W45" s="5">
        <f t="shared" si="3"/>
        <v>0.60667340748230514</v>
      </c>
    </row>
    <row r="46" spans="1:23" x14ac:dyDescent="0.25">
      <c r="U46">
        <v>440</v>
      </c>
      <c r="V46" s="7">
        <f t="shared" si="2"/>
        <v>4.5454545454545452E-3</v>
      </c>
      <c r="W46" s="5">
        <f t="shared" si="3"/>
        <v>0.39525691699604687</v>
      </c>
    </row>
    <row r="47" spans="1:23" x14ac:dyDescent="0.25">
      <c r="U47">
        <v>450</v>
      </c>
      <c r="V47" s="7">
        <f t="shared" si="2"/>
        <v>4.4444444444444444E-3</v>
      </c>
      <c r="W47" s="5">
        <f t="shared" si="3"/>
        <v>0.1932367149758453</v>
      </c>
    </row>
    <row r="48" spans="1:23" x14ac:dyDescent="0.25">
      <c r="U48">
        <v>460</v>
      </c>
      <c r="V48" s="7">
        <f t="shared" si="2"/>
        <v>4.3478260869565218E-3</v>
      </c>
      <c r="W48" s="5">
        <f t="shared" si="3"/>
        <v>0</v>
      </c>
    </row>
    <row r="49" spans="21:23" x14ac:dyDescent="0.25">
      <c r="U49">
        <v>470</v>
      </c>
      <c r="V49" s="7">
        <f t="shared" si="2"/>
        <v>4.2553191489361703E-3</v>
      </c>
      <c r="W49" s="5">
        <f t="shared" si="3"/>
        <v>-0.18501387604070302</v>
      </c>
    </row>
    <row r="50" spans="21:23" x14ac:dyDescent="0.25">
      <c r="U50">
        <v>480</v>
      </c>
      <c r="V50" s="7">
        <f t="shared" si="2"/>
        <v>4.1666666666666666E-3</v>
      </c>
      <c r="W50" s="5">
        <f t="shared" si="3"/>
        <v>-0.36231884057971037</v>
      </c>
    </row>
    <row r="51" spans="21:23" x14ac:dyDescent="0.25">
      <c r="U51">
        <v>490</v>
      </c>
      <c r="V51" s="7">
        <f t="shared" si="2"/>
        <v>4.0816326530612249E-3</v>
      </c>
      <c r="W51" s="5">
        <f t="shared" si="3"/>
        <v>-0.53238686779059385</v>
      </c>
    </row>
    <row r="52" spans="21:23" x14ac:dyDescent="0.25">
      <c r="U52">
        <v>500</v>
      </c>
      <c r="V52" s="7">
        <f t="shared" si="2"/>
        <v>4.0000000000000001E-3</v>
      </c>
      <c r="W52" s="5">
        <f t="shared" si="3"/>
        <v>-0.69565217391304346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Symph</vt:lpstr>
      <vt:lpstr>Model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2018-05-21T13:53:03Z</dcterms:created>
  <dcterms:modified xsi:type="dcterms:W3CDTF">2018-05-25T00:44:56Z</dcterms:modified>
</cp:coreProperties>
</file>