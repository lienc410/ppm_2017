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2.xml" ContentType="application/vnd.openxmlformats-officedocument.drawing+xml"/>
  <Override PartName="/xl/charts/chart15.xml" ContentType="application/vnd.openxmlformats-officedocument.drawingml.chart+xml"/>
  <Override PartName="/xl/pivotTables/pivotTable1.xml" ContentType="application/vnd.openxmlformats-officedocument.spreadsheetml.pivotTable+xml"/>
  <Override PartName="/xl/drawings/drawing3.xml" ContentType="application/vnd.openxmlformats-officedocument.drawing+xml"/>
  <Override PartName="/xl/drawings/drawing4.xml" ContentType="application/vnd.openxmlformats-officedocument.drawing+xml"/>
  <Override PartName="/xl/charts/chart1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600" yWindow="630" windowWidth="29235" windowHeight="19410" activeTab="5"/>
  </bookViews>
  <sheets>
    <sheet name="Sheet6" sheetId="6" r:id="rId1"/>
    <sheet name="Sheet2" sheetId="2" r:id="rId2"/>
    <sheet name="Sheet4" sheetId="4" r:id="rId3"/>
    <sheet name="Sheet1" sheetId="1" r:id="rId4"/>
    <sheet name="Sheet5" sheetId="5" r:id="rId5"/>
    <sheet name="LLB" sheetId="7" r:id="rId6"/>
  </sheets>
  <calcPr calcId="145621"/>
  <pivotCaches>
    <pivotCache cacheId="1" r:id="rId7"/>
  </pivotCaches>
</workbook>
</file>

<file path=xl/calcChain.xml><?xml version="1.0" encoding="utf-8"?>
<calcChain xmlns="http://schemas.openxmlformats.org/spreadsheetml/2006/main">
  <c r="G9" i="7" l="1"/>
  <c r="G8" i="7"/>
  <c r="P15" i="7"/>
  <c r="P16" i="7"/>
  <c r="P17" i="7"/>
  <c r="P18" i="7"/>
  <c r="P19" i="7"/>
  <c r="P20" i="7"/>
  <c r="P21" i="7"/>
  <c r="P22" i="7"/>
  <c r="P23" i="7"/>
  <c r="P14" i="7"/>
  <c r="G11" i="7"/>
  <c r="G12" i="7"/>
  <c r="G13" i="7"/>
  <c r="G14" i="7"/>
  <c r="G15" i="7"/>
  <c r="G16" i="7"/>
  <c r="G17" i="7"/>
  <c r="G18" i="7"/>
  <c r="G19" i="7"/>
  <c r="G10" i="7"/>
  <c r="O18" i="7"/>
  <c r="O17" i="7"/>
  <c r="O16" i="7"/>
  <c r="O15" i="7"/>
  <c r="O14" i="7"/>
  <c r="O13" i="7"/>
  <c r="O12" i="7"/>
  <c r="O11" i="7"/>
  <c r="O10" i="7"/>
  <c r="O19" i="7"/>
  <c r="N11" i="7"/>
  <c r="N12" i="7"/>
  <c r="N13" i="7"/>
  <c r="N14" i="7"/>
  <c r="N15" i="7"/>
  <c r="N16" i="7"/>
  <c r="N17" i="7"/>
  <c r="N18" i="7"/>
  <c r="N19" i="7"/>
  <c r="N10" i="7"/>
  <c r="F11" i="7"/>
  <c r="F12" i="7"/>
  <c r="F13" i="7"/>
  <c r="F14" i="7"/>
  <c r="F15" i="7"/>
  <c r="F16" i="7"/>
  <c r="F17" i="7"/>
  <c r="F18" i="7"/>
  <c r="F19" i="7"/>
  <c r="F10" i="7"/>
  <c r="M19" i="7"/>
  <c r="M18" i="7"/>
  <c r="M17" i="7"/>
  <c r="M16" i="7"/>
  <c r="M15" i="7"/>
  <c r="M14" i="7"/>
  <c r="M13" i="7"/>
  <c r="M12" i="7"/>
  <c r="M11" i="7"/>
  <c r="M10" i="7"/>
  <c r="M9" i="7"/>
  <c r="M8" i="7"/>
  <c r="M7" i="7"/>
  <c r="M6" i="7"/>
  <c r="M5" i="7"/>
  <c r="M4" i="7"/>
  <c r="M3" i="7"/>
  <c r="E4" i="7"/>
  <c r="E5" i="7"/>
  <c r="E6" i="7"/>
  <c r="E7" i="7"/>
  <c r="E8" i="7"/>
  <c r="E9" i="7"/>
  <c r="E10" i="7"/>
  <c r="E11" i="7"/>
  <c r="E12" i="7"/>
  <c r="E13" i="7"/>
  <c r="E14" i="7"/>
  <c r="E15" i="7"/>
  <c r="E16" i="7"/>
  <c r="E17" i="7"/>
  <c r="E18" i="7"/>
  <c r="E19" i="7"/>
  <c r="E3" i="7"/>
  <c r="I3" i="7"/>
  <c r="I4" i="7"/>
  <c r="I5" i="7"/>
  <c r="I6" i="7"/>
  <c r="I7" i="7"/>
  <c r="I8" i="7"/>
  <c r="I9" i="7"/>
  <c r="A2" i="7"/>
  <c r="A3" i="7"/>
  <c r="A4" i="7"/>
  <c r="A5" i="7"/>
  <c r="A6" i="7"/>
  <c r="A7" i="7"/>
  <c r="A8" i="7"/>
  <c r="A9" i="7"/>
  <c r="T5" i="6" l="1"/>
  <c r="U5" i="6"/>
  <c r="V5" i="6"/>
  <c r="W5" i="6"/>
  <c r="X5" i="6"/>
  <c r="Y5" i="6"/>
  <c r="Z5" i="6"/>
  <c r="AA5" i="6"/>
  <c r="AB5" i="6"/>
  <c r="AC5" i="6"/>
  <c r="AD5" i="6"/>
  <c r="T6" i="6"/>
  <c r="U6" i="6"/>
  <c r="V6" i="6"/>
  <c r="W6" i="6"/>
  <c r="X6" i="6"/>
  <c r="Y6" i="6"/>
  <c r="Z6" i="6"/>
  <c r="AA6" i="6"/>
  <c r="AB6" i="6"/>
  <c r="AC6" i="6"/>
  <c r="AD6" i="6"/>
  <c r="T7" i="6"/>
  <c r="U7" i="6"/>
  <c r="V7" i="6"/>
  <c r="W7" i="6"/>
  <c r="X7" i="6"/>
  <c r="Y7" i="6"/>
  <c r="Z7" i="6"/>
  <c r="AA7" i="6"/>
  <c r="AB7" i="6"/>
  <c r="AC7" i="6"/>
  <c r="AD7" i="6"/>
  <c r="T8" i="6"/>
  <c r="U8" i="6"/>
  <c r="V8" i="6"/>
  <c r="W8" i="6"/>
  <c r="X8" i="6"/>
  <c r="Y8" i="6"/>
  <c r="Z8" i="6"/>
  <c r="AA8" i="6"/>
  <c r="AB8" i="6"/>
  <c r="AC8" i="6"/>
  <c r="AD8" i="6"/>
  <c r="T9" i="6"/>
  <c r="U9" i="6"/>
  <c r="V9" i="6"/>
  <c r="W9" i="6"/>
  <c r="X9" i="6"/>
  <c r="Y9" i="6"/>
  <c r="Z9" i="6"/>
  <c r="AA9" i="6"/>
  <c r="AB9" i="6"/>
  <c r="AC9" i="6"/>
  <c r="AD9" i="6"/>
  <c r="T10" i="6"/>
  <c r="U10" i="6"/>
  <c r="V10" i="6"/>
  <c r="W10" i="6"/>
  <c r="X10" i="6"/>
  <c r="Y10" i="6"/>
  <c r="Z10" i="6"/>
  <c r="AA10" i="6"/>
  <c r="AB10" i="6"/>
  <c r="AC10" i="6"/>
  <c r="AD10" i="6"/>
  <c r="T11" i="6"/>
  <c r="U11" i="6"/>
  <c r="V11" i="6"/>
  <c r="W11" i="6"/>
  <c r="X11" i="6"/>
  <c r="Y11" i="6"/>
  <c r="Z11" i="6"/>
  <c r="AA11" i="6"/>
  <c r="AB11" i="6"/>
  <c r="AC11" i="6"/>
  <c r="AD11" i="6"/>
  <c r="T12" i="6"/>
  <c r="U12" i="6"/>
  <c r="V12" i="6"/>
  <c r="W12" i="6"/>
  <c r="X12" i="6"/>
  <c r="Y12" i="6"/>
  <c r="Z12" i="6"/>
  <c r="AA12" i="6"/>
  <c r="AB12" i="6"/>
  <c r="AC12" i="6"/>
  <c r="AD12" i="6"/>
  <c r="T13" i="6"/>
  <c r="U13" i="6"/>
  <c r="V13" i="6"/>
  <c r="W13" i="6"/>
  <c r="X13" i="6"/>
  <c r="Y13" i="6"/>
  <c r="Z13" i="6"/>
  <c r="AA13" i="6"/>
  <c r="AB13" i="6"/>
  <c r="AC13" i="6"/>
  <c r="AD13" i="6"/>
  <c r="T14" i="6"/>
  <c r="U14" i="6"/>
  <c r="V14" i="6"/>
  <c r="W14" i="6"/>
  <c r="X14" i="6"/>
  <c r="Y14" i="6"/>
  <c r="Z14" i="6"/>
  <c r="AA14" i="6"/>
  <c r="AB14" i="6"/>
  <c r="AC14" i="6"/>
  <c r="AD14" i="6"/>
  <c r="T15" i="6"/>
  <c r="U15" i="6"/>
  <c r="V15" i="6"/>
  <c r="W15" i="6"/>
  <c r="X15" i="6"/>
  <c r="Y15" i="6"/>
  <c r="Z15" i="6"/>
  <c r="AA15" i="6"/>
  <c r="AB15" i="6"/>
  <c r="AC15" i="6"/>
  <c r="AD15" i="6"/>
  <c r="T16" i="6"/>
  <c r="U16" i="6"/>
  <c r="V16" i="6"/>
  <c r="W16" i="6"/>
  <c r="X16" i="6"/>
  <c r="Y16" i="6"/>
  <c r="Z16" i="6"/>
  <c r="AA16" i="6"/>
  <c r="AB16" i="6"/>
  <c r="AC16" i="6"/>
  <c r="AD16" i="6"/>
  <c r="T17" i="6"/>
  <c r="U17" i="6"/>
  <c r="V17" i="6"/>
  <c r="W17" i="6"/>
  <c r="X17" i="6"/>
  <c r="Y17" i="6"/>
  <c r="Z17" i="6"/>
  <c r="AA17" i="6"/>
  <c r="AB17" i="6"/>
  <c r="AC17" i="6"/>
  <c r="AD17" i="6"/>
  <c r="T18" i="6"/>
  <c r="U18" i="6"/>
  <c r="V18" i="6"/>
  <c r="W18" i="6"/>
  <c r="X18" i="6"/>
  <c r="Y18" i="6"/>
  <c r="Z18" i="6"/>
  <c r="AA18" i="6"/>
  <c r="AB18" i="6"/>
  <c r="AC18" i="6"/>
  <c r="AD18" i="6"/>
  <c r="T19" i="6"/>
  <c r="U19" i="6"/>
  <c r="V19" i="6"/>
  <c r="W19" i="6"/>
  <c r="X19" i="6"/>
  <c r="Y19" i="6"/>
  <c r="Z19" i="6"/>
  <c r="AA19" i="6"/>
  <c r="AB19" i="6"/>
  <c r="AC19" i="6"/>
  <c r="AD19" i="6"/>
  <c r="T20" i="6"/>
  <c r="U20" i="6"/>
  <c r="V20" i="6"/>
  <c r="W20" i="6"/>
  <c r="X20" i="6"/>
  <c r="Y20" i="6"/>
  <c r="Z20" i="6"/>
  <c r="AA20" i="6"/>
  <c r="AB20" i="6"/>
  <c r="AC20" i="6"/>
  <c r="AD20" i="6"/>
  <c r="T21" i="6"/>
  <c r="U21" i="6"/>
  <c r="V21" i="6"/>
  <c r="W21" i="6"/>
  <c r="X21" i="6"/>
  <c r="Y21" i="6"/>
  <c r="Z21" i="6"/>
  <c r="AA21" i="6"/>
  <c r="AB21" i="6"/>
  <c r="AC21" i="6"/>
  <c r="AD21" i="6"/>
  <c r="T22" i="6"/>
  <c r="U22" i="6"/>
  <c r="V22" i="6"/>
  <c r="W22" i="6"/>
  <c r="X22" i="6"/>
  <c r="Y22" i="6"/>
  <c r="Z22" i="6"/>
  <c r="AA22" i="6"/>
  <c r="AB22" i="6"/>
  <c r="AC22" i="6"/>
  <c r="AD22" i="6"/>
  <c r="T23" i="6"/>
  <c r="U23" i="6"/>
  <c r="V23" i="6"/>
  <c r="W23" i="6"/>
  <c r="X23" i="6"/>
  <c r="Y23" i="6"/>
  <c r="Z23" i="6"/>
  <c r="AA23" i="6"/>
  <c r="AB23" i="6"/>
  <c r="AC23" i="6"/>
  <c r="AD23" i="6"/>
  <c r="T24" i="6"/>
  <c r="U24" i="6"/>
  <c r="V24" i="6"/>
  <c r="W24" i="6"/>
  <c r="X24" i="6"/>
  <c r="Y24" i="6"/>
  <c r="Z24" i="6"/>
  <c r="AA24" i="6"/>
  <c r="AB24" i="6"/>
  <c r="AC24" i="6"/>
  <c r="AD24" i="6"/>
  <c r="T25" i="6"/>
  <c r="U25" i="6"/>
  <c r="V25" i="6"/>
  <c r="W25" i="6"/>
  <c r="X25" i="6"/>
  <c r="Y25" i="6"/>
  <c r="Z25" i="6"/>
  <c r="AA25" i="6"/>
  <c r="AB25" i="6"/>
  <c r="AC25" i="6"/>
  <c r="AD25" i="6"/>
  <c r="T26" i="6"/>
  <c r="U26" i="6"/>
  <c r="V26" i="6"/>
  <c r="W26" i="6"/>
  <c r="X26" i="6"/>
  <c r="Y26" i="6"/>
  <c r="Z26" i="6"/>
  <c r="AA26" i="6"/>
  <c r="AB26" i="6"/>
  <c r="AC26" i="6"/>
  <c r="AD26" i="6"/>
  <c r="T27" i="6"/>
  <c r="U27" i="6"/>
  <c r="V27" i="6"/>
  <c r="W27" i="6"/>
  <c r="X27" i="6"/>
  <c r="Y27" i="6"/>
  <c r="Z27" i="6"/>
  <c r="AA27" i="6"/>
  <c r="AB27" i="6"/>
  <c r="AC27" i="6"/>
  <c r="AD27" i="6"/>
  <c r="T28" i="6"/>
  <c r="U28" i="6"/>
  <c r="V28" i="6"/>
  <c r="W28" i="6"/>
  <c r="X28" i="6"/>
  <c r="Y28" i="6"/>
  <c r="Z28" i="6"/>
  <c r="AA28" i="6"/>
  <c r="AB28" i="6"/>
  <c r="AC28" i="6"/>
  <c r="AD28" i="6"/>
  <c r="T29" i="6"/>
  <c r="U29" i="6"/>
  <c r="V29" i="6"/>
  <c r="W29" i="6"/>
  <c r="X29" i="6"/>
  <c r="Y29" i="6"/>
  <c r="Z29" i="6"/>
  <c r="AA29" i="6"/>
  <c r="AB29" i="6"/>
  <c r="AC29" i="6"/>
  <c r="AD29" i="6"/>
  <c r="T30" i="6"/>
  <c r="U30" i="6"/>
  <c r="V30" i="6"/>
  <c r="W30" i="6"/>
  <c r="X30" i="6"/>
  <c r="Y30" i="6"/>
  <c r="Z30" i="6"/>
  <c r="AA30" i="6"/>
  <c r="AB30" i="6"/>
  <c r="AC30" i="6"/>
  <c r="AD30" i="6"/>
  <c r="T31" i="6"/>
  <c r="U31" i="6"/>
  <c r="V31" i="6"/>
  <c r="W31" i="6"/>
  <c r="X31" i="6"/>
  <c r="Y31" i="6"/>
  <c r="Z31" i="6"/>
  <c r="AA31" i="6"/>
  <c r="AB31" i="6"/>
  <c r="AC31" i="6"/>
  <c r="AD31" i="6"/>
  <c r="T32" i="6"/>
  <c r="U32" i="6"/>
  <c r="V32" i="6"/>
  <c r="W32" i="6"/>
  <c r="X32" i="6"/>
  <c r="Y32" i="6"/>
  <c r="Z32" i="6"/>
  <c r="AA32" i="6"/>
  <c r="AB32" i="6"/>
  <c r="AC32" i="6"/>
  <c r="AD32" i="6"/>
  <c r="T33" i="6"/>
  <c r="U33" i="6"/>
  <c r="V33" i="6"/>
  <c r="W33" i="6"/>
  <c r="X33" i="6"/>
  <c r="Y33" i="6"/>
  <c r="Z33" i="6"/>
  <c r="AA33" i="6"/>
  <c r="AB33" i="6"/>
  <c r="AC33" i="6"/>
  <c r="AD33" i="6"/>
  <c r="T34" i="6"/>
  <c r="U34" i="6"/>
  <c r="V34" i="6"/>
  <c r="W34" i="6"/>
  <c r="X34" i="6"/>
  <c r="Y34" i="6"/>
  <c r="Z34" i="6"/>
  <c r="AA34" i="6"/>
  <c r="AB34" i="6"/>
  <c r="AC34" i="6"/>
  <c r="AD34" i="6"/>
  <c r="T35" i="6"/>
  <c r="U35" i="6"/>
  <c r="V35" i="6"/>
  <c r="W35" i="6"/>
  <c r="X35" i="6"/>
  <c r="Y35" i="6"/>
  <c r="Z35" i="6"/>
  <c r="AA35" i="6"/>
  <c r="AB35" i="6"/>
  <c r="AC35" i="6"/>
  <c r="AD35" i="6"/>
  <c r="T36" i="6"/>
  <c r="U36" i="6"/>
  <c r="V36" i="6"/>
  <c r="W36" i="6"/>
  <c r="X36" i="6"/>
  <c r="Y36" i="6"/>
  <c r="Z36" i="6"/>
  <c r="AA36" i="6"/>
  <c r="AB36" i="6"/>
  <c r="AC36" i="6"/>
  <c r="AD36" i="6"/>
  <c r="T37" i="6"/>
  <c r="U37" i="6"/>
  <c r="V37" i="6"/>
  <c r="W37" i="6"/>
  <c r="X37" i="6"/>
  <c r="Y37" i="6"/>
  <c r="Z37" i="6"/>
  <c r="AA37" i="6"/>
  <c r="AB37" i="6"/>
  <c r="AC37" i="6"/>
  <c r="AD37" i="6"/>
  <c r="T38" i="6"/>
  <c r="U38" i="6"/>
  <c r="V38" i="6"/>
  <c r="W38" i="6"/>
  <c r="X38" i="6"/>
  <c r="Y38" i="6"/>
  <c r="Z38" i="6"/>
  <c r="AA38" i="6"/>
  <c r="AB38" i="6"/>
  <c r="AC38" i="6"/>
  <c r="AD38" i="6"/>
  <c r="T39" i="6"/>
  <c r="U39" i="6"/>
  <c r="V39" i="6"/>
  <c r="W39" i="6"/>
  <c r="X39" i="6"/>
  <c r="Y39" i="6"/>
  <c r="Z39" i="6"/>
  <c r="AA39" i="6"/>
  <c r="AB39" i="6"/>
  <c r="AC39" i="6"/>
  <c r="AD39" i="6"/>
  <c r="T40" i="6"/>
  <c r="U40" i="6"/>
  <c r="V40" i="6"/>
  <c r="W40" i="6"/>
  <c r="X40" i="6"/>
  <c r="Y40" i="6"/>
  <c r="Z40" i="6"/>
  <c r="AA40" i="6"/>
  <c r="AB40" i="6"/>
  <c r="AC40" i="6"/>
  <c r="AD40" i="6"/>
  <c r="T41" i="6"/>
  <c r="U41" i="6"/>
  <c r="V41" i="6"/>
  <c r="W41" i="6"/>
  <c r="X41" i="6"/>
  <c r="Y41" i="6"/>
  <c r="Z41" i="6"/>
  <c r="AA41" i="6"/>
  <c r="AB41" i="6"/>
  <c r="AC41" i="6"/>
  <c r="AD41" i="6"/>
  <c r="T42" i="6"/>
  <c r="U42" i="6"/>
  <c r="V42" i="6"/>
  <c r="W42" i="6"/>
  <c r="X42" i="6"/>
  <c r="Y42" i="6"/>
  <c r="Z42" i="6"/>
  <c r="AA42" i="6"/>
  <c r="AB42" i="6"/>
  <c r="AC42" i="6"/>
  <c r="AD42" i="6"/>
  <c r="T43" i="6"/>
  <c r="U43" i="6"/>
  <c r="V43" i="6"/>
  <c r="W43" i="6"/>
  <c r="X43" i="6"/>
  <c r="Y43" i="6"/>
  <c r="Z43" i="6"/>
  <c r="AA43" i="6"/>
  <c r="AB43" i="6"/>
  <c r="AC43" i="6"/>
  <c r="AD43" i="6"/>
  <c r="T44" i="6"/>
  <c r="U44" i="6"/>
  <c r="V44" i="6"/>
  <c r="W44" i="6"/>
  <c r="X44" i="6"/>
  <c r="Y44" i="6"/>
  <c r="Z44" i="6"/>
  <c r="AA44" i="6"/>
  <c r="AB44" i="6"/>
  <c r="AC44" i="6"/>
  <c r="AD44" i="6"/>
  <c r="S6" i="6"/>
  <c r="S7" i="6"/>
  <c r="S8" i="6"/>
  <c r="S9" i="6"/>
  <c r="S10" i="6"/>
  <c r="S11" i="6"/>
  <c r="S12" i="6"/>
  <c r="S13" i="6"/>
  <c r="S14" i="6"/>
  <c r="S15" i="6"/>
  <c r="S16" i="6"/>
  <c r="S17" i="6"/>
  <c r="S18" i="6"/>
  <c r="S19" i="6"/>
  <c r="S20" i="6"/>
  <c r="S21" i="6"/>
  <c r="S22" i="6"/>
  <c r="S23" i="6"/>
  <c r="S24" i="6"/>
  <c r="S25" i="6"/>
  <c r="S26" i="6"/>
  <c r="S27" i="6"/>
  <c r="S28" i="6"/>
  <c r="S29" i="6"/>
  <c r="S30" i="6"/>
  <c r="S31" i="6"/>
  <c r="S32" i="6"/>
  <c r="S33" i="6"/>
  <c r="S34" i="6"/>
  <c r="S35" i="6"/>
  <c r="S36" i="6"/>
  <c r="S37" i="6"/>
  <c r="S38" i="6"/>
  <c r="S39" i="6"/>
  <c r="S40" i="6"/>
  <c r="S41" i="6"/>
  <c r="S42" i="6"/>
  <c r="S43" i="6"/>
  <c r="S44" i="6"/>
  <c r="S5" i="6"/>
</calcChain>
</file>

<file path=xl/sharedStrings.xml><?xml version="1.0" encoding="utf-8"?>
<sst xmlns="http://schemas.openxmlformats.org/spreadsheetml/2006/main" count="58" uniqueCount="42">
  <si>
    <t>SFACTOR_PREPAY_TRACKING_CPR</t>
  </si>
  <si>
    <t>PREPAY_TRACKING_CPR1</t>
  </si>
  <si>
    <t>PREPAY_CPR1</t>
  </si>
  <si>
    <t>PCT_LOANTYPE</t>
  </si>
  <si>
    <t>WTAVG_ORIGNOTERATE</t>
  </si>
  <si>
    <t>WTAVG_ZEROSATO</t>
  </si>
  <si>
    <t>WTAVG_REFI_INCENTIVE_INCL_ELIG</t>
  </si>
  <si>
    <t>WTAVG_LOANAGE</t>
  </si>
  <si>
    <t>WTAVG_LTV</t>
  </si>
  <si>
    <t>WTAVG_CLTV</t>
  </si>
  <si>
    <t>AVG_LOANSIZE_SCHAMBALANCE</t>
  </si>
  <si>
    <t>WTAVG_FICO</t>
  </si>
  <si>
    <t>PCT_ISSECONDLIEN</t>
  </si>
  <si>
    <t>PCT_SVC</t>
  </si>
  <si>
    <t>PCT_TPO</t>
  </si>
  <si>
    <t>PCT_GEO</t>
  </si>
  <si>
    <t>PCT_LOANPURPOSE</t>
  </si>
  <si>
    <t>PCT_OCC</t>
  </si>
  <si>
    <t>groupByColumn</t>
  </si>
  <si>
    <t>Balance</t>
  </si>
  <si>
    <t>LoanCount</t>
  </si>
  <si>
    <t>Row Labels</t>
  </si>
  <si>
    <t>Column Labels</t>
  </si>
  <si>
    <t>Sum of PREPAY_CPR1</t>
  </si>
  <si>
    <t>clsBucket</t>
  </si>
  <si>
    <t>(blank)</t>
  </si>
  <si>
    <t>Standardized</t>
  </si>
  <si>
    <t>Incentive (LLPA)</t>
  </si>
  <si>
    <t>Scham Balance(mm)</t>
  </si>
  <si>
    <t>Loan Count</t>
  </si>
  <si>
    <t>1m CPR</t>
  </si>
  <si>
    <t>0-25</t>
  </si>
  <si>
    <t>25-50</t>
  </si>
  <si>
    <t>50-75</t>
  </si>
  <si>
    <t>75-100</t>
  </si>
  <si>
    <t>100-125</t>
  </si>
  <si>
    <t>125-150</t>
  </si>
  <si>
    <t>150-175</t>
  </si>
  <si>
    <t>175-200</t>
  </si>
  <si>
    <t>200-225</t>
  </si>
  <si>
    <t>225-250</t>
  </si>
  <si>
    <t>&gt;= 250</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</si>
</sst>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_(* \(#,##0.00\);_(* &quot;-&quot;??_);_(@_)"/>
  </numFmts>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rgb="FFFFFF00"/>
        <bgColor indexed="64"/>
      </patternFill>
    </fill>
  </fills>
  <borders count="2">
    <border>
      <left/>
      <right/>
      <top/>
      <bottom/>
      <diagonal/>
    </border>
    <border>
      <left/>
      <right/>
      <top/>
      <bottom style="thin">
        <color theme="4" tint="0.39997558519241921"/>
      </bottom>
      <diagonal/>
    </border>
  </borders>
  <cellStyleXfs count="1">
    <xf numFmtId="0" fontId="0" fillId="0" borderId="0"/>
  </cellStyleXfs>
  <cellXfs count="8">
    <xf numFmtId="0" fontId="0" fillId="0" borderId="0" xfId="0"/>
    <xf numFmtId="0" fontId="0" fillId="0" borderId="0" xfId="0" pivotButton="1"/>
    <xf numFmtId="0" fontId="0" fillId="0" borderId="0" xfId="0" applyAlignment="1">
      <alignment horizontal="left"/>
    </xf>
    <xf numFmtId="0" fontId="1" fillId="2" borderId="1" xfId="0" applyFont="1" applyFill="1" applyBorder="1"/>
    <xf numFmtId="43" fontId="0" fillId="0" borderId="0" xfId="0" applyNumberFormat="1"/>
    <xf numFmtId="3" fontId="0" fillId="0" borderId="0" xfId="0" applyNumberFormat="1"/>
    <xf numFmtId="9" fontId="0" fillId="0" borderId="0" xfId="0" applyNumberFormat="1"/>
    <xf numFmtId="0" fontId="0" fillId="3" borderId="0" xfId="0" applyFill="1"/>
  </cellXfs>
  <cellStyles count="1">
    <cellStyle name="Normal" xfId="0" builtinId="0"/>
  </cellStyles>
  <dxfs count="1">
    <dxf>
      <numFmt numFmtId="35" formatCode="_(* #,##0.00_);_(* \(#,##0.00\);_(* &quot;-&quot;??_);_(@_)"/>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Sheet6!$S$1</c:f>
              <c:strCache>
                <c:ptCount val="1"/>
                <c:pt idx="0">
                  <c:v>60</c:v>
                </c:pt>
              </c:strCache>
            </c:strRef>
          </c:tx>
          <c:marker>
            <c:symbol val="none"/>
          </c:marker>
          <c:cat>
            <c:numRef>
              <c:f>Sheet6!$R$2:$R$44</c:f>
              <c:numCache>
                <c:formatCode>General</c:formatCode>
                <c:ptCount val="43"/>
                <c:pt idx="0">
                  <c:v>-25</c:v>
                </c:pt>
                <c:pt idx="1">
                  <c:v>-15</c:v>
                </c:pt>
                <c:pt idx="2">
                  <c:v>-10</c:v>
                </c:pt>
                <c:pt idx="3">
                  <c:v>-5</c:v>
                </c:pt>
                <c:pt idx="4">
                  <c:v>0</c:v>
                </c:pt>
                <c:pt idx="5">
                  <c:v>5</c:v>
                </c:pt>
                <c:pt idx="6">
                  <c:v>10</c:v>
                </c:pt>
                <c:pt idx="7">
                  <c:v>15</c:v>
                </c:pt>
                <c:pt idx="8">
                  <c:v>20</c:v>
                </c:pt>
                <c:pt idx="9">
                  <c:v>25</c:v>
                </c:pt>
                <c:pt idx="10">
                  <c:v>30</c:v>
                </c:pt>
                <c:pt idx="11">
                  <c:v>35</c:v>
                </c:pt>
                <c:pt idx="12">
                  <c:v>40</c:v>
                </c:pt>
                <c:pt idx="13">
                  <c:v>45</c:v>
                </c:pt>
                <c:pt idx="14">
                  <c:v>50</c:v>
                </c:pt>
                <c:pt idx="15">
                  <c:v>55</c:v>
                </c:pt>
                <c:pt idx="16">
                  <c:v>60</c:v>
                </c:pt>
                <c:pt idx="17">
                  <c:v>65</c:v>
                </c:pt>
                <c:pt idx="18">
                  <c:v>70</c:v>
                </c:pt>
                <c:pt idx="19">
                  <c:v>75</c:v>
                </c:pt>
                <c:pt idx="20">
                  <c:v>80</c:v>
                </c:pt>
                <c:pt idx="21">
                  <c:v>85</c:v>
                </c:pt>
                <c:pt idx="22">
                  <c:v>90</c:v>
                </c:pt>
                <c:pt idx="23">
                  <c:v>95</c:v>
                </c:pt>
                <c:pt idx="24">
                  <c:v>100</c:v>
                </c:pt>
                <c:pt idx="25">
                  <c:v>105</c:v>
                </c:pt>
                <c:pt idx="26">
                  <c:v>110</c:v>
                </c:pt>
                <c:pt idx="27">
                  <c:v>115</c:v>
                </c:pt>
                <c:pt idx="28">
                  <c:v>120</c:v>
                </c:pt>
                <c:pt idx="29">
                  <c:v>125</c:v>
                </c:pt>
                <c:pt idx="30">
                  <c:v>130</c:v>
                </c:pt>
                <c:pt idx="31">
                  <c:v>135</c:v>
                </c:pt>
                <c:pt idx="32">
                  <c:v>140</c:v>
                </c:pt>
                <c:pt idx="33">
                  <c:v>145</c:v>
                </c:pt>
                <c:pt idx="34">
                  <c:v>150</c:v>
                </c:pt>
                <c:pt idx="35">
                  <c:v>155</c:v>
                </c:pt>
                <c:pt idx="36">
                  <c:v>160</c:v>
                </c:pt>
                <c:pt idx="37">
                  <c:v>165</c:v>
                </c:pt>
                <c:pt idx="38">
                  <c:v>170</c:v>
                </c:pt>
                <c:pt idx="39">
                  <c:v>175</c:v>
                </c:pt>
                <c:pt idx="40">
                  <c:v>180</c:v>
                </c:pt>
                <c:pt idx="41">
                  <c:v>185</c:v>
                </c:pt>
                <c:pt idx="42">
                  <c:v>190</c:v>
                </c:pt>
              </c:numCache>
            </c:numRef>
          </c:cat>
          <c:val>
            <c:numRef>
              <c:f>Sheet6!$S$2:$S$44</c:f>
              <c:numCache>
                <c:formatCode>_(* #,##0.00_);_(* \(#,##0.00\);_(* "-"??_);_(@_)</c:formatCode>
                <c:ptCount val="43"/>
                <c:pt idx="3">
                  <c:v>0.13279102082014674</c:v>
                </c:pt>
                <c:pt idx="4">
                  <c:v>0</c:v>
                </c:pt>
                <c:pt idx="5">
                  <c:v>0.20831505696249708</c:v>
                </c:pt>
                <c:pt idx="6">
                  <c:v>0.19493787406693977</c:v>
                </c:pt>
                <c:pt idx="7">
                  <c:v>0.18154111290008612</c:v>
                </c:pt>
                <c:pt idx="8">
                  <c:v>0.17260944367559192</c:v>
                </c:pt>
                <c:pt idx="9">
                  <c:v>0.12875644144721796</c:v>
                </c:pt>
                <c:pt idx="10">
                  <c:v>0.17588368622286515</c:v>
                </c:pt>
                <c:pt idx="11">
                  <c:v>0.23156027623944156</c:v>
                </c:pt>
                <c:pt idx="12">
                  <c:v>0.10586070812434091</c:v>
                </c:pt>
                <c:pt idx="13">
                  <c:v>0.17018821098489095</c:v>
                </c:pt>
                <c:pt idx="14">
                  <c:v>0.16477251902427412</c:v>
                </c:pt>
                <c:pt idx="15">
                  <c:v>0.17739644429606335</c:v>
                </c:pt>
                <c:pt idx="16">
                  <c:v>0.25132205649836642</c:v>
                </c:pt>
                <c:pt idx="17">
                  <c:v>0.28577936194633186</c:v>
                </c:pt>
                <c:pt idx="18">
                  <c:v>0.33368978436831992</c:v>
                </c:pt>
                <c:pt idx="19">
                  <c:v>0.23982941854958198</c:v>
                </c:pt>
                <c:pt idx="20">
                  <c:v>0.36749298437308858</c:v>
                </c:pt>
                <c:pt idx="21">
                  <c:v>0.39008017816806217</c:v>
                </c:pt>
                <c:pt idx="22">
                  <c:v>0.37763907418291026</c:v>
                </c:pt>
                <c:pt idx="23">
                  <c:v>0.34051767241073372</c:v>
                </c:pt>
                <c:pt idx="24">
                  <c:v>0.57032781608146399</c:v>
                </c:pt>
                <c:pt idx="25">
                  <c:v>0.58656097378967542</c:v>
                </c:pt>
                <c:pt idx="26">
                  <c:v>0.45956735426899642</c:v>
                </c:pt>
                <c:pt idx="27">
                  <c:v>0.43821740798851261</c:v>
                </c:pt>
                <c:pt idx="28">
                  <c:v>0.52491167573464259</c:v>
                </c:pt>
                <c:pt idx="29">
                  <c:v>0.66996250539584634</c:v>
                </c:pt>
                <c:pt idx="30">
                  <c:v>0.58700876689595938</c:v>
                </c:pt>
                <c:pt idx="31">
                  <c:v>0.55095956954485326</c:v>
                </c:pt>
                <c:pt idx="32">
                  <c:v>0.79619043064487804</c:v>
                </c:pt>
                <c:pt idx="33">
                  <c:v>0.64113949623682653</c:v>
                </c:pt>
                <c:pt idx="34">
                  <c:v>0.63287994381463775</c:v>
                </c:pt>
                <c:pt idx="35">
                  <c:v>0.81755530541800492</c:v>
                </c:pt>
                <c:pt idx="36">
                  <c:v>0.78310147081366088</c:v>
                </c:pt>
                <c:pt idx="37">
                  <c:v>0.91416342459390765</c:v>
                </c:pt>
                <c:pt idx="38">
                  <c:v>0.45317407014428923</c:v>
                </c:pt>
                <c:pt idx="39">
                  <c:v>0.78089685977997336</c:v>
                </c:pt>
                <c:pt idx="40">
                  <c:v>0.82946262251611536</c:v>
                </c:pt>
                <c:pt idx="41">
                  <c:v>1</c:v>
                </c:pt>
                <c:pt idx="42">
                  <c:v>0.71336692892746889</c:v>
                </c:pt>
              </c:numCache>
            </c:numRef>
          </c:val>
          <c:smooth val="0"/>
        </c:ser>
        <c:ser>
          <c:idx val="1"/>
          <c:order val="1"/>
          <c:tx>
            <c:strRef>
              <c:f>Sheet6!$T$1</c:f>
              <c:strCache>
                <c:ptCount val="1"/>
                <c:pt idx="0">
                  <c:v>70</c:v>
                </c:pt>
              </c:strCache>
            </c:strRef>
          </c:tx>
          <c:marker>
            <c:symbol val="none"/>
          </c:marker>
          <c:cat>
            <c:numRef>
              <c:f>Sheet6!$R$2:$R$44</c:f>
              <c:numCache>
                <c:formatCode>General</c:formatCode>
                <c:ptCount val="43"/>
                <c:pt idx="0">
                  <c:v>-25</c:v>
                </c:pt>
                <c:pt idx="1">
                  <c:v>-15</c:v>
                </c:pt>
                <c:pt idx="2">
                  <c:v>-10</c:v>
                </c:pt>
                <c:pt idx="3">
                  <c:v>-5</c:v>
                </c:pt>
                <c:pt idx="4">
                  <c:v>0</c:v>
                </c:pt>
                <c:pt idx="5">
                  <c:v>5</c:v>
                </c:pt>
                <c:pt idx="6">
                  <c:v>10</c:v>
                </c:pt>
                <c:pt idx="7">
                  <c:v>15</c:v>
                </c:pt>
                <c:pt idx="8">
                  <c:v>20</c:v>
                </c:pt>
                <c:pt idx="9">
                  <c:v>25</c:v>
                </c:pt>
                <c:pt idx="10">
                  <c:v>30</c:v>
                </c:pt>
                <c:pt idx="11">
                  <c:v>35</c:v>
                </c:pt>
                <c:pt idx="12">
                  <c:v>40</c:v>
                </c:pt>
                <c:pt idx="13">
                  <c:v>45</c:v>
                </c:pt>
                <c:pt idx="14">
                  <c:v>50</c:v>
                </c:pt>
                <c:pt idx="15">
                  <c:v>55</c:v>
                </c:pt>
                <c:pt idx="16">
                  <c:v>60</c:v>
                </c:pt>
                <c:pt idx="17">
                  <c:v>65</c:v>
                </c:pt>
                <c:pt idx="18">
                  <c:v>70</c:v>
                </c:pt>
                <c:pt idx="19">
                  <c:v>75</c:v>
                </c:pt>
                <c:pt idx="20">
                  <c:v>80</c:v>
                </c:pt>
                <c:pt idx="21">
                  <c:v>85</c:v>
                </c:pt>
                <c:pt idx="22">
                  <c:v>90</c:v>
                </c:pt>
                <c:pt idx="23">
                  <c:v>95</c:v>
                </c:pt>
                <c:pt idx="24">
                  <c:v>100</c:v>
                </c:pt>
                <c:pt idx="25">
                  <c:v>105</c:v>
                </c:pt>
                <c:pt idx="26">
                  <c:v>110</c:v>
                </c:pt>
                <c:pt idx="27">
                  <c:v>115</c:v>
                </c:pt>
                <c:pt idx="28">
                  <c:v>120</c:v>
                </c:pt>
                <c:pt idx="29">
                  <c:v>125</c:v>
                </c:pt>
                <c:pt idx="30">
                  <c:v>130</c:v>
                </c:pt>
                <c:pt idx="31">
                  <c:v>135</c:v>
                </c:pt>
                <c:pt idx="32">
                  <c:v>140</c:v>
                </c:pt>
                <c:pt idx="33">
                  <c:v>145</c:v>
                </c:pt>
                <c:pt idx="34">
                  <c:v>150</c:v>
                </c:pt>
                <c:pt idx="35">
                  <c:v>155</c:v>
                </c:pt>
                <c:pt idx="36">
                  <c:v>160</c:v>
                </c:pt>
                <c:pt idx="37">
                  <c:v>165</c:v>
                </c:pt>
                <c:pt idx="38">
                  <c:v>170</c:v>
                </c:pt>
                <c:pt idx="39">
                  <c:v>175</c:v>
                </c:pt>
                <c:pt idx="40">
                  <c:v>180</c:v>
                </c:pt>
                <c:pt idx="41">
                  <c:v>185</c:v>
                </c:pt>
                <c:pt idx="42">
                  <c:v>190</c:v>
                </c:pt>
              </c:numCache>
            </c:numRef>
          </c:cat>
          <c:val>
            <c:numRef>
              <c:f>Sheet6!$T$2:$T$44</c:f>
              <c:numCache>
                <c:formatCode>_(* #,##0.00_);_(* \(#,##0.00\);_(* "-"??_);_(@_)</c:formatCode>
                <c:ptCount val="43"/>
                <c:pt idx="3">
                  <c:v>1.8425011327273137E-2</c:v>
                </c:pt>
                <c:pt idx="4">
                  <c:v>0</c:v>
                </c:pt>
                <c:pt idx="5">
                  <c:v>4.1912802306120787E-2</c:v>
                </c:pt>
                <c:pt idx="6">
                  <c:v>2.0750899615952754E-2</c:v>
                </c:pt>
                <c:pt idx="7">
                  <c:v>2.0691022172966252E-2</c:v>
                </c:pt>
                <c:pt idx="8">
                  <c:v>4.5810965443621794E-2</c:v>
                </c:pt>
                <c:pt idx="9">
                  <c:v>7.0916716132061242E-2</c:v>
                </c:pt>
                <c:pt idx="10">
                  <c:v>3.6690255013713757E-2</c:v>
                </c:pt>
                <c:pt idx="11">
                  <c:v>7.9269540580834977E-2</c:v>
                </c:pt>
                <c:pt idx="12">
                  <c:v>0.11759742535427922</c:v>
                </c:pt>
                <c:pt idx="13">
                  <c:v>0.10346789582719855</c:v>
                </c:pt>
                <c:pt idx="14">
                  <c:v>7.1466643670328178E-2</c:v>
                </c:pt>
                <c:pt idx="15">
                  <c:v>0.14022360148091248</c:v>
                </c:pt>
                <c:pt idx="16">
                  <c:v>0.2027644571726597</c:v>
                </c:pt>
                <c:pt idx="17">
                  <c:v>0.14400784022459059</c:v>
                </c:pt>
                <c:pt idx="18">
                  <c:v>0.20576754673414824</c:v>
                </c:pt>
                <c:pt idx="19">
                  <c:v>0.18900881998330657</c:v>
                </c:pt>
                <c:pt idx="20">
                  <c:v>0.23254379823357973</c:v>
                </c:pt>
                <c:pt idx="21">
                  <c:v>0.29250411915112645</c:v>
                </c:pt>
                <c:pt idx="22">
                  <c:v>0.28833803410997499</c:v>
                </c:pt>
                <c:pt idx="23">
                  <c:v>0.28289190345717641</c:v>
                </c:pt>
                <c:pt idx="24">
                  <c:v>0.3235370006603997</c:v>
                </c:pt>
                <c:pt idx="25">
                  <c:v>0.4072971017651062</c:v>
                </c:pt>
                <c:pt idx="26">
                  <c:v>0.42411570643727892</c:v>
                </c:pt>
                <c:pt idx="27">
                  <c:v>0.42836852932736763</c:v>
                </c:pt>
                <c:pt idx="28">
                  <c:v>0.46698310928898168</c:v>
                </c:pt>
                <c:pt idx="29">
                  <c:v>0.53153025425748968</c:v>
                </c:pt>
                <c:pt idx="30">
                  <c:v>0.56795558007275504</c:v>
                </c:pt>
                <c:pt idx="31">
                  <c:v>0.5179504392323544</c:v>
                </c:pt>
                <c:pt idx="32">
                  <c:v>0.62183079646067219</c:v>
                </c:pt>
                <c:pt idx="33">
                  <c:v>0.56698771207076459</c:v>
                </c:pt>
                <c:pt idx="34">
                  <c:v>0.66063313144070002</c:v>
                </c:pt>
                <c:pt idx="35">
                  <c:v>0.56639980015430802</c:v>
                </c:pt>
                <c:pt idx="36">
                  <c:v>0.71086738887476542</c:v>
                </c:pt>
                <c:pt idx="37">
                  <c:v>0.70898563903360778</c:v>
                </c:pt>
                <c:pt idx="38">
                  <c:v>0.74128881157558246</c:v>
                </c:pt>
                <c:pt idx="39">
                  <c:v>0.70163862124332377</c:v>
                </c:pt>
                <c:pt idx="40">
                  <c:v>0.80204376992689552</c:v>
                </c:pt>
                <c:pt idx="41">
                  <c:v>1</c:v>
                </c:pt>
                <c:pt idx="42">
                  <c:v>0.59916695850514845</c:v>
                </c:pt>
              </c:numCache>
            </c:numRef>
          </c:val>
          <c:smooth val="0"/>
        </c:ser>
        <c:ser>
          <c:idx val="2"/>
          <c:order val="2"/>
          <c:tx>
            <c:strRef>
              <c:f>Sheet6!$U$1</c:f>
              <c:strCache>
                <c:ptCount val="1"/>
                <c:pt idx="0">
                  <c:v>80</c:v>
                </c:pt>
              </c:strCache>
            </c:strRef>
          </c:tx>
          <c:marker>
            <c:symbol val="none"/>
          </c:marker>
          <c:cat>
            <c:numRef>
              <c:f>Sheet6!$R$2:$R$44</c:f>
              <c:numCache>
                <c:formatCode>General</c:formatCode>
                <c:ptCount val="43"/>
                <c:pt idx="0">
                  <c:v>-25</c:v>
                </c:pt>
                <c:pt idx="1">
                  <c:v>-15</c:v>
                </c:pt>
                <c:pt idx="2">
                  <c:v>-10</c:v>
                </c:pt>
                <c:pt idx="3">
                  <c:v>-5</c:v>
                </c:pt>
                <c:pt idx="4">
                  <c:v>0</c:v>
                </c:pt>
                <c:pt idx="5">
                  <c:v>5</c:v>
                </c:pt>
                <c:pt idx="6">
                  <c:v>10</c:v>
                </c:pt>
                <c:pt idx="7">
                  <c:v>15</c:v>
                </c:pt>
                <c:pt idx="8">
                  <c:v>20</c:v>
                </c:pt>
                <c:pt idx="9">
                  <c:v>25</c:v>
                </c:pt>
                <c:pt idx="10">
                  <c:v>30</c:v>
                </c:pt>
                <c:pt idx="11">
                  <c:v>35</c:v>
                </c:pt>
                <c:pt idx="12">
                  <c:v>40</c:v>
                </c:pt>
                <c:pt idx="13">
                  <c:v>45</c:v>
                </c:pt>
                <c:pt idx="14">
                  <c:v>50</c:v>
                </c:pt>
                <c:pt idx="15">
                  <c:v>55</c:v>
                </c:pt>
                <c:pt idx="16">
                  <c:v>60</c:v>
                </c:pt>
                <c:pt idx="17">
                  <c:v>65</c:v>
                </c:pt>
                <c:pt idx="18">
                  <c:v>70</c:v>
                </c:pt>
                <c:pt idx="19">
                  <c:v>75</c:v>
                </c:pt>
                <c:pt idx="20">
                  <c:v>80</c:v>
                </c:pt>
                <c:pt idx="21">
                  <c:v>85</c:v>
                </c:pt>
                <c:pt idx="22">
                  <c:v>90</c:v>
                </c:pt>
                <c:pt idx="23">
                  <c:v>95</c:v>
                </c:pt>
                <c:pt idx="24">
                  <c:v>100</c:v>
                </c:pt>
                <c:pt idx="25">
                  <c:v>105</c:v>
                </c:pt>
                <c:pt idx="26">
                  <c:v>110</c:v>
                </c:pt>
                <c:pt idx="27">
                  <c:v>115</c:v>
                </c:pt>
                <c:pt idx="28">
                  <c:v>120</c:v>
                </c:pt>
                <c:pt idx="29">
                  <c:v>125</c:v>
                </c:pt>
                <c:pt idx="30">
                  <c:v>130</c:v>
                </c:pt>
                <c:pt idx="31">
                  <c:v>135</c:v>
                </c:pt>
                <c:pt idx="32">
                  <c:v>140</c:v>
                </c:pt>
                <c:pt idx="33">
                  <c:v>145</c:v>
                </c:pt>
                <c:pt idx="34">
                  <c:v>150</c:v>
                </c:pt>
                <c:pt idx="35">
                  <c:v>155</c:v>
                </c:pt>
                <c:pt idx="36">
                  <c:v>160</c:v>
                </c:pt>
                <c:pt idx="37">
                  <c:v>165</c:v>
                </c:pt>
                <c:pt idx="38">
                  <c:v>170</c:v>
                </c:pt>
                <c:pt idx="39">
                  <c:v>175</c:v>
                </c:pt>
                <c:pt idx="40">
                  <c:v>180</c:v>
                </c:pt>
                <c:pt idx="41">
                  <c:v>185</c:v>
                </c:pt>
                <c:pt idx="42">
                  <c:v>190</c:v>
                </c:pt>
              </c:numCache>
            </c:numRef>
          </c:cat>
          <c:val>
            <c:numRef>
              <c:f>Sheet6!$U$2:$U$44</c:f>
              <c:numCache>
                <c:formatCode>_(* #,##0.00_);_(* \(#,##0.00\);_(* "-"??_);_(@_)</c:formatCode>
                <c:ptCount val="43"/>
                <c:pt idx="3">
                  <c:v>0</c:v>
                </c:pt>
                <c:pt idx="4">
                  <c:v>6.4181603929443498E-2</c:v>
                </c:pt>
                <c:pt idx="5">
                  <c:v>4.7928091477384603E-2</c:v>
                </c:pt>
                <c:pt idx="6">
                  <c:v>0.15262222950586471</c:v>
                </c:pt>
                <c:pt idx="7">
                  <c:v>5.827531717941728E-2</c:v>
                </c:pt>
                <c:pt idx="8">
                  <c:v>0.12055572962032643</c:v>
                </c:pt>
                <c:pt idx="9">
                  <c:v>8.9128630804872072E-2</c:v>
                </c:pt>
                <c:pt idx="10">
                  <c:v>0.12370322546370897</c:v>
                </c:pt>
                <c:pt idx="11">
                  <c:v>0.1035470880254124</c:v>
                </c:pt>
                <c:pt idx="12">
                  <c:v>9.6691157644458681E-2</c:v>
                </c:pt>
                <c:pt idx="13">
                  <c:v>0.10394455749506755</c:v>
                </c:pt>
                <c:pt idx="14">
                  <c:v>0.13479133963232684</c:v>
                </c:pt>
                <c:pt idx="15">
                  <c:v>0.19698513080519975</c:v>
                </c:pt>
                <c:pt idx="16">
                  <c:v>0.2029700830622094</c:v>
                </c:pt>
                <c:pt idx="17">
                  <c:v>0.22704124736041345</c:v>
                </c:pt>
                <c:pt idx="18">
                  <c:v>0.21748700348538608</c:v>
                </c:pt>
                <c:pt idx="19">
                  <c:v>0.25121006177006905</c:v>
                </c:pt>
                <c:pt idx="20">
                  <c:v>0.32524367812480054</c:v>
                </c:pt>
                <c:pt idx="21">
                  <c:v>0.40304111239960511</c:v>
                </c:pt>
                <c:pt idx="22">
                  <c:v>0.36665214418224656</c:v>
                </c:pt>
                <c:pt idx="23">
                  <c:v>0.44027421798581307</c:v>
                </c:pt>
                <c:pt idx="24">
                  <c:v>0.49928551891316719</c:v>
                </c:pt>
                <c:pt idx="25">
                  <c:v>0.54151315927786781</c:v>
                </c:pt>
                <c:pt idx="26">
                  <c:v>0.52898528162788827</c:v>
                </c:pt>
                <c:pt idx="27">
                  <c:v>0.58944051021737165</c:v>
                </c:pt>
                <c:pt idx="28">
                  <c:v>0.58579721250055128</c:v>
                </c:pt>
                <c:pt idx="29">
                  <c:v>0.59547170014836892</c:v>
                </c:pt>
                <c:pt idx="30">
                  <c:v>0.60781873365220818</c:v>
                </c:pt>
                <c:pt idx="31">
                  <c:v>0.64629342800659939</c:v>
                </c:pt>
                <c:pt idx="32">
                  <c:v>0.66057004094095739</c:v>
                </c:pt>
                <c:pt idx="33">
                  <c:v>0.73639592623553374</c:v>
                </c:pt>
                <c:pt idx="34">
                  <c:v>0.86849192719310664</c:v>
                </c:pt>
                <c:pt idx="35">
                  <c:v>0.85877855166312078</c:v>
                </c:pt>
                <c:pt idx="36">
                  <c:v>0.85950367409541195</c:v>
                </c:pt>
                <c:pt idx="37">
                  <c:v>0.87457903228345635</c:v>
                </c:pt>
                <c:pt idx="38">
                  <c:v>0.83038714623945931</c:v>
                </c:pt>
                <c:pt idx="39">
                  <c:v>1</c:v>
                </c:pt>
                <c:pt idx="40">
                  <c:v>0.87735221010692166</c:v>
                </c:pt>
                <c:pt idx="41">
                  <c:v>0.99827953490291943</c:v>
                </c:pt>
                <c:pt idx="42">
                  <c:v>0.77765733872813358</c:v>
                </c:pt>
              </c:numCache>
            </c:numRef>
          </c:val>
          <c:smooth val="0"/>
        </c:ser>
        <c:ser>
          <c:idx val="3"/>
          <c:order val="3"/>
          <c:tx>
            <c:strRef>
              <c:f>Sheet6!$V$1</c:f>
              <c:strCache>
                <c:ptCount val="1"/>
                <c:pt idx="0">
                  <c:v>90</c:v>
                </c:pt>
              </c:strCache>
            </c:strRef>
          </c:tx>
          <c:marker>
            <c:symbol val="none"/>
          </c:marker>
          <c:cat>
            <c:numRef>
              <c:f>Sheet6!$R$2:$R$44</c:f>
              <c:numCache>
                <c:formatCode>General</c:formatCode>
                <c:ptCount val="43"/>
                <c:pt idx="0">
                  <c:v>-25</c:v>
                </c:pt>
                <c:pt idx="1">
                  <c:v>-15</c:v>
                </c:pt>
                <c:pt idx="2">
                  <c:v>-10</c:v>
                </c:pt>
                <c:pt idx="3">
                  <c:v>-5</c:v>
                </c:pt>
                <c:pt idx="4">
                  <c:v>0</c:v>
                </c:pt>
                <c:pt idx="5">
                  <c:v>5</c:v>
                </c:pt>
                <c:pt idx="6">
                  <c:v>10</c:v>
                </c:pt>
                <c:pt idx="7">
                  <c:v>15</c:v>
                </c:pt>
                <c:pt idx="8">
                  <c:v>20</c:v>
                </c:pt>
                <c:pt idx="9">
                  <c:v>25</c:v>
                </c:pt>
                <c:pt idx="10">
                  <c:v>30</c:v>
                </c:pt>
                <c:pt idx="11">
                  <c:v>35</c:v>
                </c:pt>
                <c:pt idx="12">
                  <c:v>40</c:v>
                </c:pt>
                <c:pt idx="13">
                  <c:v>45</c:v>
                </c:pt>
                <c:pt idx="14">
                  <c:v>50</c:v>
                </c:pt>
                <c:pt idx="15">
                  <c:v>55</c:v>
                </c:pt>
                <c:pt idx="16">
                  <c:v>60</c:v>
                </c:pt>
                <c:pt idx="17">
                  <c:v>65</c:v>
                </c:pt>
                <c:pt idx="18">
                  <c:v>70</c:v>
                </c:pt>
                <c:pt idx="19">
                  <c:v>75</c:v>
                </c:pt>
                <c:pt idx="20">
                  <c:v>80</c:v>
                </c:pt>
                <c:pt idx="21">
                  <c:v>85</c:v>
                </c:pt>
                <c:pt idx="22">
                  <c:v>90</c:v>
                </c:pt>
                <c:pt idx="23">
                  <c:v>95</c:v>
                </c:pt>
                <c:pt idx="24">
                  <c:v>100</c:v>
                </c:pt>
                <c:pt idx="25">
                  <c:v>105</c:v>
                </c:pt>
                <c:pt idx="26">
                  <c:v>110</c:v>
                </c:pt>
                <c:pt idx="27">
                  <c:v>115</c:v>
                </c:pt>
                <c:pt idx="28">
                  <c:v>120</c:v>
                </c:pt>
                <c:pt idx="29">
                  <c:v>125</c:v>
                </c:pt>
                <c:pt idx="30">
                  <c:v>130</c:v>
                </c:pt>
                <c:pt idx="31">
                  <c:v>135</c:v>
                </c:pt>
                <c:pt idx="32">
                  <c:v>140</c:v>
                </c:pt>
                <c:pt idx="33">
                  <c:v>145</c:v>
                </c:pt>
                <c:pt idx="34">
                  <c:v>150</c:v>
                </c:pt>
                <c:pt idx="35">
                  <c:v>155</c:v>
                </c:pt>
                <c:pt idx="36">
                  <c:v>160</c:v>
                </c:pt>
                <c:pt idx="37">
                  <c:v>165</c:v>
                </c:pt>
                <c:pt idx="38">
                  <c:v>170</c:v>
                </c:pt>
                <c:pt idx="39">
                  <c:v>175</c:v>
                </c:pt>
                <c:pt idx="40">
                  <c:v>180</c:v>
                </c:pt>
                <c:pt idx="41">
                  <c:v>185</c:v>
                </c:pt>
                <c:pt idx="42">
                  <c:v>190</c:v>
                </c:pt>
              </c:numCache>
            </c:numRef>
          </c:cat>
          <c:val>
            <c:numRef>
              <c:f>Sheet6!$V$2:$V$44</c:f>
              <c:numCache>
                <c:formatCode>_(* #,##0.00_);_(* \(#,##0.00\);_(* "-"??_);_(@_)</c:formatCode>
                <c:ptCount val="43"/>
                <c:pt idx="3">
                  <c:v>1.3363586540451973E-2</c:v>
                </c:pt>
                <c:pt idx="4">
                  <c:v>0</c:v>
                </c:pt>
                <c:pt idx="5">
                  <c:v>1.6323888860715691E-2</c:v>
                </c:pt>
                <c:pt idx="6">
                  <c:v>6.5238460359246644E-2</c:v>
                </c:pt>
                <c:pt idx="7">
                  <c:v>2.3336786360889074E-2</c:v>
                </c:pt>
                <c:pt idx="8">
                  <c:v>5.5528940231438575E-2</c:v>
                </c:pt>
                <c:pt idx="9">
                  <c:v>9.4931296598227508E-2</c:v>
                </c:pt>
                <c:pt idx="10">
                  <c:v>9.9694650526063647E-2</c:v>
                </c:pt>
                <c:pt idx="11">
                  <c:v>0.14580062004259081</c:v>
                </c:pt>
                <c:pt idx="12">
                  <c:v>0.13004989039338305</c:v>
                </c:pt>
                <c:pt idx="13">
                  <c:v>0.15172145001508333</c:v>
                </c:pt>
                <c:pt idx="14">
                  <c:v>0.14806317876416736</c:v>
                </c:pt>
                <c:pt idx="15">
                  <c:v>0.14560600254978076</c:v>
                </c:pt>
                <c:pt idx="16">
                  <c:v>0.19680023460352225</c:v>
                </c:pt>
                <c:pt idx="17">
                  <c:v>0.245585985481962</c:v>
                </c:pt>
                <c:pt idx="18">
                  <c:v>0.24507679098441176</c:v>
                </c:pt>
                <c:pt idx="19">
                  <c:v>0.28814128467764649</c:v>
                </c:pt>
                <c:pt idx="20">
                  <c:v>0.31711405860379577</c:v>
                </c:pt>
                <c:pt idx="21">
                  <c:v>0.27242449579242156</c:v>
                </c:pt>
                <c:pt idx="22">
                  <c:v>0.31352235680882179</c:v>
                </c:pt>
                <c:pt idx="23">
                  <c:v>0.40361343938970146</c:v>
                </c:pt>
                <c:pt idx="24">
                  <c:v>0.40068629498587632</c:v>
                </c:pt>
                <c:pt idx="25">
                  <c:v>0.44506195895309963</c:v>
                </c:pt>
                <c:pt idx="26">
                  <c:v>0.46051074876265841</c:v>
                </c:pt>
                <c:pt idx="27">
                  <c:v>0.47013276742775195</c:v>
                </c:pt>
                <c:pt idx="28">
                  <c:v>0.53905380630014477</c:v>
                </c:pt>
                <c:pt idx="29">
                  <c:v>0.63573934404924259</c:v>
                </c:pt>
                <c:pt idx="30">
                  <c:v>0.64383516931361207</c:v>
                </c:pt>
                <c:pt idx="31">
                  <c:v>0.61866818891954367</c:v>
                </c:pt>
                <c:pt idx="32">
                  <c:v>0.66542817291449874</c:v>
                </c:pt>
                <c:pt idx="33">
                  <c:v>0.62659838683408398</c:v>
                </c:pt>
                <c:pt idx="34">
                  <c:v>0.71352476108384022</c:v>
                </c:pt>
                <c:pt idx="35">
                  <c:v>0.65107862627469759</c:v>
                </c:pt>
                <c:pt idx="36">
                  <c:v>0.88559312022336945</c:v>
                </c:pt>
                <c:pt idx="37">
                  <c:v>0.76145062024793808</c:v>
                </c:pt>
                <c:pt idx="38">
                  <c:v>0.81567187630620797</c:v>
                </c:pt>
                <c:pt idx="39">
                  <c:v>0.88828902795280762</c:v>
                </c:pt>
                <c:pt idx="40">
                  <c:v>1</c:v>
                </c:pt>
                <c:pt idx="41">
                  <c:v>0.8147333182531441</c:v>
                </c:pt>
                <c:pt idx="42">
                  <c:v>0.75350942088397643</c:v>
                </c:pt>
              </c:numCache>
            </c:numRef>
          </c:val>
          <c:smooth val="0"/>
        </c:ser>
        <c:ser>
          <c:idx val="4"/>
          <c:order val="4"/>
          <c:tx>
            <c:strRef>
              <c:f>Sheet6!$W$1</c:f>
              <c:strCache>
                <c:ptCount val="1"/>
                <c:pt idx="0">
                  <c:v>100</c:v>
                </c:pt>
              </c:strCache>
            </c:strRef>
          </c:tx>
          <c:marker>
            <c:symbol val="none"/>
          </c:marker>
          <c:cat>
            <c:numRef>
              <c:f>Sheet6!$R$2:$R$44</c:f>
              <c:numCache>
                <c:formatCode>General</c:formatCode>
                <c:ptCount val="43"/>
                <c:pt idx="0">
                  <c:v>-25</c:v>
                </c:pt>
                <c:pt idx="1">
                  <c:v>-15</c:v>
                </c:pt>
                <c:pt idx="2">
                  <c:v>-10</c:v>
                </c:pt>
                <c:pt idx="3">
                  <c:v>-5</c:v>
                </c:pt>
                <c:pt idx="4">
                  <c:v>0</c:v>
                </c:pt>
                <c:pt idx="5">
                  <c:v>5</c:v>
                </c:pt>
                <c:pt idx="6">
                  <c:v>10</c:v>
                </c:pt>
                <c:pt idx="7">
                  <c:v>15</c:v>
                </c:pt>
                <c:pt idx="8">
                  <c:v>20</c:v>
                </c:pt>
                <c:pt idx="9">
                  <c:v>25</c:v>
                </c:pt>
                <c:pt idx="10">
                  <c:v>30</c:v>
                </c:pt>
                <c:pt idx="11">
                  <c:v>35</c:v>
                </c:pt>
                <c:pt idx="12">
                  <c:v>40</c:v>
                </c:pt>
                <c:pt idx="13">
                  <c:v>45</c:v>
                </c:pt>
                <c:pt idx="14">
                  <c:v>50</c:v>
                </c:pt>
                <c:pt idx="15">
                  <c:v>55</c:v>
                </c:pt>
                <c:pt idx="16">
                  <c:v>60</c:v>
                </c:pt>
                <c:pt idx="17">
                  <c:v>65</c:v>
                </c:pt>
                <c:pt idx="18">
                  <c:v>70</c:v>
                </c:pt>
                <c:pt idx="19">
                  <c:v>75</c:v>
                </c:pt>
                <c:pt idx="20">
                  <c:v>80</c:v>
                </c:pt>
                <c:pt idx="21">
                  <c:v>85</c:v>
                </c:pt>
                <c:pt idx="22">
                  <c:v>90</c:v>
                </c:pt>
                <c:pt idx="23">
                  <c:v>95</c:v>
                </c:pt>
                <c:pt idx="24">
                  <c:v>100</c:v>
                </c:pt>
                <c:pt idx="25">
                  <c:v>105</c:v>
                </c:pt>
                <c:pt idx="26">
                  <c:v>110</c:v>
                </c:pt>
                <c:pt idx="27">
                  <c:v>115</c:v>
                </c:pt>
                <c:pt idx="28">
                  <c:v>120</c:v>
                </c:pt>
                <c:pt idx="29">
                  <c:v>125</c:v>
                </c:pt>
                <c:pt idx="30">
                  <c:v>130</c:v>
                </c:pt>
                <c:pt idx="31">
                  <c:v>135</c:v>
                </c:pt>
                <c:pt idx="32">
                  <c:v>140</c:v>
                </c:pt>
                <c:pt idx="33">
                  <c:v>145</c:v>
                </c:pt>
                <c:pt idx="34">
                  <c:v>150</c:v>
                </c:pt>
                <c:pt idx="35">
                  <c:v>155</c:v>
                </c:pt>
                <c:pt idx="36">
                  <c:v>160</c:v>
                </c:pt>
                <c:pt idx="37">
                  <c:v>165</c:v>
                </c:pt>
                <c:pt idx="38">
                  <c:v>170</c:v>
                </c:pt>
                <c:pt idx="39">
                  <c:v>175</c:v>
                </c:pt>
                <c:pt idx="40">
                  <c:v>180</c:v>
                </c:pt>
                <c:pt idx="41">
                  <c:v>185</c:v>
                </c:pt>
                <c:pt idx="42">
                  <c:v>190</c:v>
                </c:pt>
              </c:numCache>
            </c:numRef>
          </c:cat>
          <c:val>
            <c:numRef>
              <c:f>Sheet6!$W$2:$W$44</c:f>
              <c:numCache>
                <c:formatCode>_(* #,##0.00_);_(* \(#,##0.00\);_(* "-"??_);_(@_)</c:formatCode>
                <c:ptCount val="43"/>
                <c:pt idx="3">
                  <c:v>2.3122432016895827E-2</c:v>
                </c:pt>
                <c:pt idx="4">
                  <c:v>0</c:v>
                </c:pt>
                <c:pt idx="5">
                  <c:v>2.2632805798273065E-2</c:v>
                </c:pt>
                <c:pt idx="6">
                  <c:v>5.5159405996174693E-2</c:v>
                </c:pt>
                <c:pt idx="7">
                  <c:v>4.7705864760574965E-2</c:v>
                </c:pt>
                <c:pt idx="8">
                  <c:v>6.4734631778654864E-2</c:v>
                </c:pt>
                <c:pt idx="9">
                  <c:v>6.5115553479947297E-2</c:v>
                </c:pt>
                <c:pt idx="10">
                  <c:v>8.0537235871288027E-2</c:v>
                </c:pt>
                <c:pt idx="11">
                  <c:v>9.5834025470234008E-2</c:v>
                </c:pt>
                <c:pt idx="12">
                  <c:v>7.5643447384305021E-2</c:v>
                </c:pt>
                <c:pt idx="13">
                  <c:v>0.12282176817054534</c:v>
                </c:pt>
                <c:pt idx="14">
                  <c:v>9.3590584726598258E-2</c:v>
                </c:pt>
                <c:pt idx="15">
                  <c:v>0.14073420386207044</c:v>
                </c:pt>
                <c:pt idx="16">
                  <c:v>0.1522299942237193</c:v>
                </c:pt>
                <c:pt idx="17">
                  <c:v>0.19242389748061248</c:v>
                </c:pt>
                <c:pt idx="18">
                  <c:v>0.21732871364383774</c:v>
                </c:pt>
                <c:pt idx="19">
                  <c:v>0.24030831217184012</c:v>
                </c:pt>
                <c:pt idx="20">
                  <c:v>0.2867247106694194</c:v>
                </c:pt>
                <c:pt idx="21">
                  <c:v>0.32809296570948937</c:v>
                </c:pt>
                <c:pt idx="22">
                  <c:v>0.29225239598577685</c:v>
                </c:pt>
                <c:pt idx="23">
                  <c:v>0.38655707466237904</c:v>
                </c:pt>
                <c:pt idx="24">
                  <c:v>0.45963264923701624</c:v>
                </c:pt>
                <c:pt idx="25">
                  <c:v>0.5059359354414914</c:v>
                </c:pt>
                <c:pt idx="26">
                  <c:v>0.49403868086663133</c:v>
                </c:pt>
                <c:pt idx="27">
                  <c:v>0.59552476420929867</c:v>
                </c:pt>
                <c:pt idx="28">
                  <c:v>0.58357076417654075</c:v>
                </c:pt>
                <c:pt idx="29">
                  <c:v>0.6129808406044881</c:v>
                </c:pt>
                <c:pt idx="30">
                  <c:v>0.64591771870355186</c:v>
                </c:pt>
                <c:pt idx="31">
                  <c:v>0.69167271622494486</c:v>
                </c:pt>
                <c:pt idx="32">
                  <c:v>0.80165173345187291</c:v>
                </c:pt>
                <c:pt idx="33">
                  <c:v>0.85410444532485974</c:v>
                </c:pt>
                <c:pt idx="34">
                  <c:v>0.85153627247212149</c:v>
                </c:pt>
                <c:pt idx="35">
                  <c:v>0.7882020073851419</c:v>
                </c:pt>
                <c:pt idx="36">
                  <c:v>0.87673063304487941</c:v>
                </c:pt>
                <c:pt idx="37">
                  <c:v>0.92838667595663193</c:v>
                </c:pt>
                <c:pt idx="38">
                  <c:v>0.78530655776593683</c:v>
                </c:pt>
                <c:pt idx="39">
                  <c:v>0.89570695130096256</c:v>
                </c:pt>
                <c:pt idx="40">
                  <c:v>0.8584918549798416</c:v>
                </c:pt>
                <c:pt idx="41">
                  <c:v>1</c:v>
                </c:pt>
                <c:pt idx="42">
                  <c:v>0.96855475514374489</c:v>
                </c:pt>
              </c:numCache>
            </c:numRef>
          </c:val>
          <c:smooth val="0"/>
        </c:ser>
        <c:ser>
          <c:idx val="5"/>
          <c:order val="5"/>
          <c:tx>
            <c:strRef>
              <c:f>Sheet6!$X$1</c:f>
              <c:strCache>
                <c:ptCount val="1"/>
                <c:pt idx="0">
                  <c:v>110</c:v>
                </c:pt>
              </c:strCache>
            </c:strRef>
          </c:tx>
          <c:marker>
            <c:symbol val="none"/>
          </c:marker>
          <c:cat>
            <c:numRef>
              <c:f>Sheet6!$R$2:$R$44</c:f>
              <c:numCache>
                <c:formatCode>General</c:formatCode>
                <c:ptCount val="43"/>
                <c:pt idx="0">
                  <c:v>-25</c:v>
                </c:pt>
                <c:pt idx="1">
                  <c:v>-15</c:v>
                </c:pt>
                <c:pt idx="2">
                  <c:v>-10</c:v>
                </c:pt>
                <c:pt idx="3">
                  <c:v>-5</c:v>
                </c:pt>
                <c:pt idx="4">
                  <c:v>0</c:v>
                </c:pt>
                <c:pt idx="5">
                  <c:v>5</c:v>
                </c:pt>
                <c:pt idx="6">
                  <c:v>10</c:v>
                </c:pt>
                <c:pt idx="7">
                  <c:v>15</c:v>
                </c:pt>
                <c:pt idx="8">
                  <c:v>20</c:v>
                </c:pt>
                <c:pt idx="9">
                  <c:v>25</c:v>
                </c:pt>
                <c:pt idx="10">
                  <c:v>30</c:v>
                </c:pt>
                <c:pt idx="11">
                  <c:v>35</c:v>
                </c:pt>
                <c:pt idx="12">
                  <c:v>40</c:v>
                </c:pt>
                <c:pt idx="13">
                  <c:v>45</c:v>
                </c:pt>
                <c:pt idx="14">
                  <c:v>50</c:v>
                </c:pt>
                <c:pt idx="15">
                  <c:v>55</c:v>
                </c:pt>
                <c:pt idx="16">
                  <c:v>60</c:v>
                </c:pt>
                <c:pt idx="17">
                  <c:v>65</c:v>
                </c:pt>
                <c:pt idx="18">
                  <c:v>70</c:v>
                </c:pt>
                <c:pt idx="19">
                  <c:v>75</c:v>
                </c:pt>
                <c:pt idx="20">
                  <c:v>80</c:v>
                </c:pt>
                <c:pt idx="21">
                  <c:v>85</c:v>
                </c:pt>
                <c:pt idx="22">
                  <c:v>90</c:v>
                </c:pt>
                <c:pt idx="23">
                  <c:v>95</c:v>
                </c:pt>
                <c:pt idx="24">
                  <c:v>100</c:v>
                </c:pt>
                <c:pt idx="25">
                  <c:v>105</c:v>
                </c:pt>
                <c:pt idx="26">
                  <c:v>110</c:v>
                </c:pt>
                <c:pt idx="27">
                  <c:v>115</c:v>
                </c:pt>
                <c:pt idx="28">
                  <c:v>120</c:v>
                </c:pt>
                <c:pt idx="29">
                  <c:v>125</c:v>
                </c:pt>
                <c:pt idx="30">
                  <c:v>130</c:v>
                </c:pt>
                <c:pt idx="31">
                  <c:v>135</c:v>
                </c:pt>
                <c:pt idx="32">
                  <c:v>140</c:v>
                </c:pt>
                <c:pt idx="33">
                  <c:v>145</c:v>
                </c:pt>
                <c:pt idx="34">
                  <c:v>150</c:v>
                </c:pt>
                <c:pt idx="35">
                  <c:v>155</c:v>
                </c:pt>
                <c:pt idx="36">
                  <c:v>160</c:v>
                </c:pt>
                <c:pt idx="37">
                  <c:v>165</c:v>
                </c:pt>
                <c:pt idx="38">
                  <c:v>170</c:v>
                </c:pt>
                <c:pt idx="39">
                  <c:v>175</c:v>
                </c:pt>
                <c:pt idx="40">
                  <c:v>180</c:v>
                </c:pt>
                <c:pt idx="41">
                  <c:v>185</c:v>
                </c:pt>
                <c:pt idx="42">
                  <c:v>190</c:v>
                </c:pt>
              </c:numCache>
            </c:numRef>
          </c:cat>
          <c:val>
            <c:numRef>
              <c:f>Sheet6!$X$2:$X$44</c:f>
              <c:numCache>
                <c:formatCode>_(* #,##0.00_);_(* \(#,##0.00\);_(* "-"??_);_(@_)</c:formatCode>
                <c:ptCount val="43"/>
                <c:pt idx="3">
                  <c:v>1.5412267479922198E-2</c:v>
                </c:pt>
                <c:pt idx="4">
                  <c:v>4.0626559512388347E-2</c:v>
                </c:pt>
                <c:pt idx="5">
                  <c:v>0</c:v>
                </c:pt>
                <c:pt idx="6">
                  <c:v>3.9856436718275781E-2</c:v>
                </c:pt>
                <c:pt idx="7">
                  <c:v>2.2100850838089457E-2</c:v>
                </c:pt>
                <c:pt idx="8">
                  <c:v>4.4588250749500249E-2</c:v>
                </c:pt>
                <c:pt idx="9">
                  <c:v>4.4232476813891523E-2</c:v>
                </c:pt>
                <c:pt idx="10">
                  <c:v>6.2122100524880812E-2</c:v>
                </c:pt>
                <c:pt idx="11">
                  <c:v>8.4585796097542576E-2</c:v>
                </c:pt>
                <c:pt idx="12">
                  <c:v>6.3247899939070193E-2</c:v>
                </c:pt>
                <c:pt idx="13">
                  <c:v>9.6674521473829336E-2</c:v>
                </c:pt>
                <c:pt idx="14">
                  <c:v>0.12952451822663719</c:v>
                </c:pt>
                <c:pt idx="15">
                  <c:v>0.15381478590575301</c:v>
                </c:pt>
                <c:pt idx="16">
                  <c:v>0.13669609027517185</c:v>
                </c:pt>
                <c:pt idx="17">
                  <c:v>0.19336630870183799</c:v>
                </c:pt>
                <c:pt idx="18">
                  <c:v>0.23299355398572086</c:v>
                </c:pt>
                <c:pt idx="19">
                  <c:v>0.27398997759895943</c:v>
                </c:pt>
                <c:pt idx="20">
                  <c:v>0.29718439201436536</c:v>
                </c:pt>
                <c:pt idx="21">
                  <c:v>0.33244019125031377</c:v>
                </c:pt>
                <c:pt idx="22">
                  <c:v>0.35319207586659962</c:v>
                </c:pt>
                <c:pt idx="23">
                  <c:v>0.36097479697287177</c:v>
                </c:pt>
                <c:pt idx="24">
                  <c:v>0.45395777374580309</c:v>
                </c:pt>
                <c:pt idx="25">
                  <c:v>0.49330057573964697</c:v>
                </c:pt>
                <c:pt idx="26">
                  <c:v>0.53300837148111724</c:v>
                </c:pt>
                <c:pt idx="27">
                  <c:v>0.55512141041304297</c:v>
                </c:pt>
                <c:pt idx="28">
                  <c:v>0.54585735161731375</c:v>
                </c:pt>
                <c:pt idx="29">
                  <c:v>0.6208942540657223</c:v>
                </c:pt>
                <c:pt idx="30">
                  <c:v>0.661205822580057</c:v>
                </c:pt>
                <c:pt idx="31">
                  <c:v>0.73270837287553137</c:v>
                </c:pt>
                <c:pt idx="32">
                  <c:v>0.6779402454996496</c:v>
                </c:pt>
                <c:pt idx="33">
                  <c:v>0.80451698106220793</c:v>
                </c:pt>
                <c:pt idx="34">
                  <c:v>0.8275963980334371</c:v>
                </c:pt>
                <c:pt idx="35">
                  <c:v>0.73134592549923072</c:v>
                </c:pt>
                <c:pt idx="36">
                  <c:v>0.9204101848520192</c:v>
                </c:pt>
                <c:pt idx="37">
                  <c:v>0.83466968868801383</c:v>
                </c:pt>
                <c:pt idx="38">
                  <c:v>0.87954470145679087</c:v>
                </c:pt>
                <c:pt idx="39">
                  <c:v>0.98164126676540187</c:v>
                </c:pt>
                <c:pt idx="40">
                  <c:v>0.99537811535098342</c:v>
                </c:pt>
                <c:pt idx="41">
                  <c:v>0.87442751157582665</c:v>
                </c:pt>
                <c:pt idx="42">
                  <c:v>1</c:v>
                </c:pt>
              </c:numCache>
            </c:numRef>
          </c:val>
          <c:smooth val="0"/>
        </c:ser>
        <c:ser>
          <c:idx val="6"/>
          <c:order val="6"/>
          <c:tx>
            <c:strRef>
              <c:f>Sheet6!$Y$1</c:f>
              <c:strCache>
                <c:ptCount val="1"/>
                <c:pt idx="0">
                  <c:v>120</c:v>
                </c:pt>
              </c:strCache>
            </c:strRef>
          </c:tx>
          <c:marker>
            <c:symbol val="none"/>
          </c:marker>
          <c:cat>
            <c:numRef>
              <c:f>Sheet6!$R$2:$R$44</c:f>
              <c:numCache>
                <c:formatCode>General</c:formatCode>
                <c:ptCount val="43"/>
                <c:pt idx="0">
                  <c:v>-25</c:v>
                </c:pt>
                <c:pt idx="1">
                  <c:v>-15</c:v>
                </c:pt>
                <c:pt idx="2">
                  <c:v>-10</c:v>
                </c:pt>
                <c:pt idx="3">
                  <c:v>-5</c:v>
                </c:pt>
                <c:pt idx="4">
                  <c:v>0</c:v>
                </c:pt>
                <c:pt idx="5">
                  <c:v>5</c:v>
                </c:pt>
                <c:pt idx="6">
                  <c:v>10</c:v>
                </c:pt>
                <c:pt idx="7">
                  <c:v>15</c:v>
                </c:pt>
                <c:pt idx="8">
                  <c:v>20</c:v>
                </c:pt>
                <c:pt idx="9">
                  <c:v>25</c:v>
                </c:pt>
                <c:pt idx="10">
                  <c:v>30</c:v>
                </c:pt>
                <c:pt idx="11">
                  <c:v>35</c:v>
                </c:pt>
                <c:pt idx="12">
                  <c:v>40</c:v>
                </c:pt>
                <c:pt idx="13">
                  <c:v>45</c:v>
                </c:pt>
                <c:pt idx="14">
                  <c:v>50</c:v>
                </c:pt>
                <c:pt idx="15">
                  <c:v>55</c:v>
                </c:pt>
                <c:pt idx="16">
                  <c:v>60</c:v>
                </c:pt>
                <c:pt idx="17">
                  <c:v>65</c:v>
                </c:pt>
                <c:pt idx="18">
                  <c:v>70</c:v>
                </c:pt>
                <c:pt idx="19">
                  <c:v>75</c:v>
                </c:pt>
                <c:pt idx="20">
                  <c:v>80</c:v>
                </c:pt>
                <c:pt idx="21">
                  <c:v>85</c:v>
                </c:pt>
                <c:pt idx="22">
                  <c:v>90</c:v>
                </c:pt>
                <c:pt idx="23">
                  <c:v>95</c:v>
                </c:pt>
                <c:pt idx="24">
                  <c:v>100</c:v>
                </c:pt>
                <c:pt idx="25">
                  <c:v>105</c:v>
                </c:pt>
                <c:pt idx="26">
                  <c:v>110</c:v>
                </c:pt>
                <c:pt idx="27">
                  <c:v>115</c:v>
                </c:pt>
                <c:pt idx="28">
                  <c:v>120</c:v>
                </c:pt>
                <c:pt idx="29">
                  <c:v>125</c:v>
                </c:pt>
                <c:pt idx="30">
                  <c:v>130</c:v>
                </c:pt>
                <c:pt idx="31">
                  <c:v>135</c:v>
                </c:pt>
                <c:pt idx="32">
                  <c:v>140</c:v>
                </c:pt>
                <c:pt idx="33">
                  <c:v>145</c:v>
                </c:pt>
                <c:pt idx="34">
                  <c:v>150</c:v>
                </c:pt>
                <c:pt idx="35">
                  <c:v>155</c:v>
                </c:pt>
                <c:pt idx="36">
                  <c:v>160</c:v>
                </c:pt>
                <c:pt idx="37">
                  <c:v>165</c:v>
                </c:pt>
                <c:pt idx="38">
                  <c:v>170</c:v>
                </c:pt>
                <c:pt idx="39">
                  <c:v>175</c:v>
                </c:pt>
                <c:pt idx="40">
                  <c:v>180</c:v>
                </c:pt>
                <c:pt idx="41">
                  <c:v>185</c:v>
                </c:pt>
                <c:pt idx="42">
                  <c:v>190</c:v>
                </c:pt>
              </c:numCache>
            </c:numRef>
          </c:cat>
          <c:val>
            <c:numRef>
              <c:f>Sheet6!$Y$2:$Y$44</c:f>
              <c:numCache>
                <c:formatCode>_(* #,##0.00_);_(* \(#,##0.00\);_(* "-"??_);_(@_)</c:formatCode>
                <c:ptCount val="43"/>
                <c:pt idx="3">
                  <c:v>0</c:v>
                </c:pt>
                <c:pt idx="4">
                  <c:v>7.7504946437065812E-3</c:v>
                </c:pt>
                <c:pt idx="5">
                  <c:v>2.3486621078660206E-2</c:v>
                </c:pt>
                <c:pt idx="6">
                  <c:v>6.8407961963949604E-2</c:v>
                </c:pt>
                <c:pt idx="7">
                  <c:v>4.9375087047780812E-2</c:v>
                </c:pt>
                <c:pt idx="8">
                  <c:v>3.7022982055850431E-2</c:v>
                </c:pt>
                <c:pt idx="9">
                  <c:v>7.3854507714699924E-2</c:v>
                </c:pt>
                <c:pt idx="10">
                  <c:v>8.1416185652604445E-2</c:v>
                </c:pt>
                <c:pt idx="11">
                  <c:v>0.14035459800586442</c:v>
                </c:pt>
                <c:pt idx="12">
                  <c:v>0.12102702819895308</c:v>
                </c:pt>
                <c:pt idx="13">
                  <c:v>0.1478659206607727</c:v>
                </c:pt>
                <c:pt idx="14">
                  <c:v>0.12672969521297947</c:v>
                </c:pt>
                <c:pt idx="15">
                  <c:v>0.19024513319027875</c:v>
                </c:pt>
                <c:pt idx="16">
                  <c:v>0.19810752118591735</c:v>
                </c:pt>
                <c:pt idx="17">
                  <c:v>0.1847858830519149</c:v>
                </c:pt>
                <c:pt idx="18">
                  <c:v>0.24314647502353798</c:v>
                </c:pt>
                <c:pt idx="19">
                  <c:v>0.28001265656917435</c:v>
                </c:pt>
                <c:pt idx="20">
                  <c:v>0.34267203944488528</c:v>
                </c:pt>
                <c:pt idx="21">
                  <c:v>0.36914550804803425</c:v>
                </c:pt>
                <c:pt idx="22">
                  <c:v>0.41568944200575658</c:v>
                </c:pt>
                <c:pt idx="23">
                  <c:v>0.44956344098758066</c:v>
                </c:pt>
                <c:pt idx="24">
                  <c:v>0.49148566987487491</c:v>
                </c:pt>
                <c:pt idx="25">
                  <c:v>0.51959968554244262</c:v>
                </c:pt>
                <c:pt idx="26">
                  <c:v>0.56198763028515719</c:v>
                </c:pt>
                <c:pt idx="27">
                  <c:v>0.62178850749957204</c:v>
                </c:pt>
                <c:pt idx="28">
                  <c:v>0.69589264488936176</c:v>
                </c:pt>
                <c:pt idx="29">
                  <c:v>0.64905453520203593</c:v>
                </c:pt>
                <c:pt idx="30">
                  <c:v>0.69144119417831928</c:v>
                </c:pt>
                <c:pt idx="31">
                  <c:v>0.70347699693016408</c:v>
                </c:pt>
                <c:pt idx="32">
                  <c:v>0.80874840749523713</c:v>
                </c:pt>
                <c:pt idx="33">
                  <c:v>0.82634900927970756</c:v>
                </c:pt>
                <c:pt idx="34">
                  <c:v>0.80978779768309905</c:v>
                </c:pt>
                <c:pt idx="35">
                  <c:v>0.85759086651073446</c:v>
                </c:pt>
                <c:pt idx="36">
                  <c:v>0.86699859087156961</c:v>
                </c:pt>
                <c:pt idx="37">
                  <c:v>0.89941618272696655</c:v>
                </c:pt>
                <c:pt idx="38">
                  <c:v>0.86638037495381059</c:v>
                </c:pt>
                <c:pt idx="39">
                  <c:v>0.85001978257834399</c:v>
                </c:pt>
                <c:pt idx="40">
                  <c:v>0.7303004627113423</c:v>
                </c:pt>
                <c:pt idx="41">
                  <c:v>1</c:v>
                </c:pt>
                <c:pt idx="42">
                  <c:v>0.84998669560624773</c:v>
                </c:pt>
              </c:numCache>
            </c:numRef>
          </c:val>
          <c:smooth val="0"/>
        </c:ser>
        <c:ser>
          <c:idx val="7"/>
          <c:order val="7"/>
          <c:tx>
            <c:strRef>
              <c:f>Sheet6!$Z$1</c:f>
              <c:strCache>
                <c:ptCount val="1"/>
                <c:pt idx="0">
                  <c:v>130</c:v>
                </c:pt>
              </c:strCache>
            </c:strRef>
          </c:tx>
          <c:marker>
            <c:symbol val="none"/>
          </c:marker>
          <c:cat>
            <c:numRef>
              <c:f>Sheet6!$R$2:$R$44</c:f>
              <c:numCache>
                <c:formatCode>General</c:formatCode>
                <c:ptCount val="43"/>
                <c:pt idx="0">
                  <c:v>-25</c:v>
                </c:pt>
                <c:pt idx="1">
                  <c:v>-15</c:v>
                </c:pt>
                <c:pt idx="2">
                  <c:v>-10</c:v>
                </c:pt>
                <c:pt idx="3">
                  <c:v>-5</c:v>
                </c:pt>
                <c:pt idx="4">
                  <c:v>0</c:v>
                </c:pt>
                <c:pt idx="5">
                  <c:v>5</c:v>
                </c:pt>
                <c:pt idx="6">
                  <c:v>10</c:v>
                </c:pt>
                <c:pt idx="7">
                  <c:v>15</c:v>
                </c:pt>
                <c:pt idx="8">
                  <c:v>20</c:v>
                </c:pt>
                <c:pt idx="9">
                  <c:v>25</c:v>
                </c:pt>
                <c:pt idx="10">
                  <c:v>30</c:v>
                </c:pt>
                <c:pt idx="11">
                  <c:v>35</c:v>
                </c:pt>
                <c:pt idx="12">
                  <c:v>40</c:v>
                </c:pt>
                <c:pt idx="13">
                  <c:v>45</c:v>
                </c:pt>
                <c:pt idx="14">
                  <c:v>50</c:v>
                </c:pt>
                <c:pt idx="15">
                  <c:v>55</c:v>
                </c:pt>
                <c:pt idx="16">
                  <c:v>60</c:v>
                </c:pt>
                <c:pt idx="17">
                  <c:v>65</c:v>
                </c:pt>
                <c:pt idx="18">
                  <c:v>70</c:v>
                </c:pt>
                <c:pt idx="19">
                  <c:v>75</c:v>
                </c:pt>
                <c:pt idx="20">
                  <c:v>80</c:v>
                </c:pt>
                <c:pt idx="21">
                  <c:v>85</c:v>
                </c:pt>
                <c:pt idx="22">
                  <c:v>90</c:v>
                </c:pt>
                <c:pt idx="23">
                  <c:v>95</c:v>
                </c:pt>
                <c:pt idx="24">
                  <c:v>100</c:v>
                </c:pt>
                <c:pt idx="25">
                  <c:v>105</c:v>
                </c:pt>
                <c:pt idx="26">
                  <c:v>110</c:v>
                </c:pt>
                <c:pt idx="27">
                  <c:v>115</c:v>
                </c:pt>
                <c:pt idx="28">
                  <c:v>120</c:v>
                </c:pt>
                <c:pt idx="29">
                  <c:v>125</c:v>
                </c:pt>
                <c:pt idx="30">
                  <c:v>130</c:v>
                </c:pt>
                <c:pt idx="31">
                  <c:v>135</c:v>
                </c:pt>
                <c:pt idx="32">
                  <c:v>140</c:v>
                </c:pt>
                <c:pt idx="33">
                  <c:v>145</c:v>
                </c:pt>
                <c:pt idx="34">
                  <c:v>150</c:v>
                </c:pt>
                <c:pt idx="35">
                  <c:v>155</c:v>
                </c:pt>
                <c:pt idx="36">
                  <c:v>160</c:v>
                </c:pt>
                <c:pt idx="37">
                  <c:v>165</c:v>
                </c:pt>
                <c:pt idx="38">
                  <c:v>170</c:v>
                </c:pt>
                <c:pt idx="39">
                  <c:v>175</c:v>
                </c:pt>
                <c:pt idx="40">
                  <c:v>180</c:v>
                </c:pt>
                <c:pt idx="41">
                  <c:v>185</c:v>
                </c:pt>
                <c:pt idx="42">
                  <c:v>190</c:v>
                </c:pt>
              </c:numCache>
            </c:numRef>
          </c:cat>
          <c:val>
            <c:numRef>
              <c:f>Sheet6!$Z$2:$Z$44</c:f>
              <c:numCache>
                <c:formatCode>_(* #,##0.00_);_(* \(#,##0.00\);_(* "-"??_);_(@_)</c:formatCode>
                <c:ptCount val="43"/>
                <c:pt idx="3">
                  <c:v>6.8186256335333126E-3</c:v>
                </c:pt>
                <c:pt idx="4">
                  <c:v>4.92604307894518E-3</c:v>
                </c:pt>
                <c:pt idx="5">
                  <c:v>0</c:v>
                </c:pt>
                <c:pt idx="6">
                  <c:v>3.6199386334760927E-2</c:v>
                </c:pt>
                <c:pt idx="7">
                  <c:v>6.9494167010259733E-2</c:v>
                </c:pt>
                <c:pt idx="8">
                  <c:v>6.9082519231238829E-2</c:v>
                </c:pt>
                <c:pt idx="9">
                  <c:v>7.4468002167377381E-2</c:v>
                </c:pt>
                <c:pt idx="10">
                  <c:v>8.2519464491384545E-2</c:v>
                </c:pt>
                <c:pt idx="11">
                  <c:v>0.10661508949665068</c:v>
                </c:pt>
                <c:pt idx="12">
                  <c:v>0.11803133906106308</c:v>
                </c:pt>
                <c:pt idx="13">
                  <c:v>0.15780195514309636</c:v>
                </c:pt>
                <c:pt idx="14">
                  <c:v>0.13798381331855253</c:v>
                </c:pt>
                <c:pt idx="15">
                  <c:v>0.1854833126296451</c:v>
                </c:pt>
                <c:pt idx="16">
                  <c:v>0.1823014281978215</c:v>
                </c:pt>
                <c:pt idx="17">
                  <c:v>0.23997445801381959</c:v>
                </c:pt>
                <c:pt idx="18">
                  <c:v>0.24271448230776463</c:v>
                </c:pt>
                <c:pt idx="19">
                  <c:v>0.29157110803515313</c:v>
                </c:pt>
                <c:pt idx="20">
                  <c:v>0.36579872712395978</c:v>
                </c:pt>
                <c:pt idx="21">
                  <c:v>0.35384264298730689</c:v>
                </c:pt>
                <c:pt idx="22">
                  <c:v>0.40569752018759603</c:v>
                </c:pt>
                <c:pt idx="23">
                  <c:v>0.44247698835724003</c:v>
                </c:pt>
                <c:pt idx="24">
                  <c:v>0.5081310588613156</c:v>
                </c:pt>
                <c:pt idx="25">
                  <c:v>0.55500573134730447</c:v>
                </c:pt>
                <c:pt idx="26">
                  <c:v>0.56837698412993631</c:v>
                </c:pt>
                <c:pt idx="27">
                  <c:v>0.60977793012119508</c:v>
                </c:pt>
                <c:pt idx="28">
                  <c:v>0.66844179466473741</c:v>
                </c:pt>
                <c:pt idx="29">
                  <c:v>0.71761093688996413</c:v>
                </c:pt>
                <c:pt idx="30">
                  <c:v>0.69341203876646107</c:v>
                </c:pt>
                <c:pt idx="31">
                  <c:v>0.79680945844218953</c:v>
                </c:pt>
                <c:pt idx="32">
                  <c:v>0.79884560095645796</c:v>
                </c:pt>
                <c:pt idx="33">
                  <c:v>0.73570332165206809</c:v>
                </c:pt>
                <c:pt idx="34">
                  <c:v>0.8499967560195808</c:v>
                </c:pt>
                <c:pt idx="35">
                  <c:v>0.83329218419509021</c:v>
                </c:pt>
                <c:pt idx="36">
                  <c:v>0.87283798578235727</c:v>
                </c:pt>
                <c:pt idx="37">
                  <c:v>0.89701773601575752</c:v>
                </c:pt>
                <c:pt idx="38">
                  <c:v>0.699844306348263</c:v>
                </c:pt>
                <c:pt idx="39">
                  <c:v>0.94643396577883732</c:v>
                </c:pt>
                <c:pt idx="40">
                  <c:v>0.98882775579930093</c:v>
                </c:pt>
                <c:pt idx="41">
                  <c:v>1</c:v>
                </c:pt>
                <c:pt idx="42">
                  <c:v>0.9134417358882273</c:v>
                </c:pt>
              </c:numCache>
            </c:numRef>
          </c:val>
          <c:smooth val="0"/>
        </c:ser>
        <c:ser>
          <c:idx val="8"/>
          <c:order val="8"/>
          <c:tx>
            <c:strRef>
              <c:f>Sheet6!$AA$1</c:f>
              <c:strCache>
                <c:ptCount val="1"/>
                <c:pt idx="0">
                  <c:v>140</c:v>
                </c:pt>
              </c:strCache>
            </c:strRef>
          </c:tx>
          <c:marker>
            <c:symbol val="none"/>
          </c:marker>
          <c:cat>
            <c:numRef>
              <c:f>Sheet6!$R$2:$R$44</c:f>
              <c:numCache>
                <c:formatCode>General</c:formatCode>
                <c:ptCount val="43"/>
                <c:pt idx="0">
                  <c:v>-25</c:v>
                </c:pt>
                <c:pt idx="1">
                  <c:v>-15</c:v>
                </c:pt>
                <c:pt idx="2">
                  <c:v>-10</c:v>
                </c:pt>
                <c:pt idx="3">
                  <c:v>-5</c:v>
                </c:pt>
                <c:pt idx="4">
                  <c:v>0</c:v>
                </c:pt>
                <c:pt idx="5">
                  <c:v>5</c:v>
                </c:pt>
                <c:pt idx="6">
                  <c:v>10</c:v>
                </c:pt>
                <c:pt idx="7">
                  <c:v>15</c:v>
                </c:pt>
                <c:pt idx="8">
                  <c:v>20</c:v>
                </c:pt>
                <c:pt idx="9">
                  <c:v>25</c:v>
                </c:pt>
                <c:pt idx="10">
                  <c:v>30</c:v>
                </c:pt>
                <c:pt idx="11">
                  <c:v>35</c:v>
                </c:pt>
                <c:pt idx="12">
                  <c:v>40</c:v>
                </c:pt>
                <c:pt idx="13">
                  <c:v>45</c:v>
                </c:pt>
                <c:pt idx="14">
                  <c:v>50</c:v>
                </c:pt>
                <c:pt idx="15">
                  <c:v>55</c:v>
                </c:pt>
                <c:pt idx="16">
                  <c:v>60</c:v>
                </c:pt>
                <c:pt idx="17">
                  <c:v>65</c:v>
                </c:pt>
                <c:pt idx="18">
                  <c:v>70</c:v>
                </c:pt>
                <c:pt idx="19">
                  <c:v>75</c:v>
                </c:pt>
                <c:pt idx="20">
                  <c:v>80</c:v>
                </c:pt>
                <c:pt idx="21">
                  <c:v>85</c:v>
                </c:pt>
                <c:pt idx="22">
                  <c:v>90</c:v>
                </c:pt>
                <c:pt idx="23">
                  <c:v>95</c:v>
                </c:pt>
                <c:pt idx="24">
                  <c:v>100</c:v>
                </c:pt>
                <c:pt idx="25">
                  <c:v>105</c:v>
                </c:pt>
                <c:pt idx="26">
                  <c:v>110</c:v>
                </c:pt>
                <c:pt idx="27">
                  <c:v>115</c:v>
                </c:pt>
                <c:pt idx="28">
                  <c:v>120</c:v>
                </c:pt>
                <c:pt idx="29">
                  <c:v>125</c:v>
                </c:pt>
                <c:pt idx="30">
                  <c:v>130</c:v>
                </c:pt>
                <c:pt idx="31">
                  <c:v>135</c:v>
                </c:pt>
                <c:pt idx="32">
                  <c:v>140</c:v>
                </c:pt>
                <c:pt idx="33">
                  <c:v>145</c:v>
                </c:pt>
                <c:pt idx="34">
                  <c:v>150</c:v>
                </c:pt>
                <c:pt idx="35">
                  <c:v>155</c:v>
                </c:pt>
                <c:pt idx="36">
                  <c:v>160</c:v>
                </c:pt>
                <c:pt idx="37">
                  <c:v>165</c:v>
                </c:pt>
                <c:pt idx="38">
                  <c:v>170</c:v>
                </c:pt>
                <c:pt idx="39">
                  <c:v>175</c:v>
                </c:pt>
                <c:pt idx="40">
                  <c:v>180</c:v>
                </c:pt>
                <c:pt idx="41">
                  <c:v>185</c:v>
                </c:pt>
                <c:pt idx="42">
                  <c:v>190</c:v>
                </c:pt>
              </c:numCache>
            </c:numRef>
          </c:cat>
          <c:val>
            <c:numRef>
              <c:f>Sheet6!$AA$2:$AA$44</c:f>
              <c:numCache>
                <c:formatCode>_(* #,##0.00_);_(* \(#,##0.00\);_(* "-"??_);_(@_)</c:formatCode>
                <c:ptCount val="43"/>
                <c:pt idx="3">
                  <c:v>1.8545758443648461E-2</c:v>
                </c:pt>
                <c:pt idx="4">
                  <c:v>0</c:v>
                </c:pt>
                <c:pt idx="5">
                  <c:v>2.6976192701327749E-2</c:v>
                </c:pt>
                <c:pt idx="6">
                  <c:v>6.4283919198370093E-2</c:v>
                </c:pt>
                <c:pt idx="7">
                  <c:v>6.4127454853031118E-2</c:v>
                </c:pt>
                <c:pt idx="8">
                  <c:v>8.8155288876678034E-2</c:v>
                </c:pt>
                <c:pt idx="9">
                  <c:v>8.9519577362371497E-2</c:v>
                </c:pt>
                <c:pt idx="10">
                  <c:v>9.296431014258702E-2</c:v>
                </c:pt>
                <c:pt idx="11">
                  <c:v>0.12704991686108544</c:v>
                </c:pt>
                <c:pt idx="12">
                  <c:v>0.13854541572045354</c:v>
                </c:pt>
                <c:pt idx="13">
                  <c:v>0.17365825380636898</c:v>
                </c:pt>
                <c:pt idx="14">
                  <c:v>0.16521897582603409</c:v>
                </c:pt>
                <c:pt idx="15">
                  <c:v>0.21222114187956639</c:v>
                </c:pt>
                <c:pt idx="16">
                  <c:v>0.21227697939300741</c:v>
                </c:pt>
                <c:pt idx="17">
                  <c:v>0.27428550241399857</c:v>
                </c:pt>
                <c:pt idx="18">
                  <c:v>0.28180008369874798</c:v>
                </c:pt>
                <c:pt idx="19">
                  <c:v>0.34461513330854887</c:v>
                </c:pt>
                <c:pt idx="20">
                  <c:v>0.37186858340510004</c:v>
                </c:pt>
                <c:pt idx="21">
                  <c:v>0.39468275285108956</c:v>
                </c:pt>
                <c:pt idx="22">
                  <c:v>0.43433224226287492</c:v>
                </c:pt>
                <c:pt idx="23">
                  <c:v>0.49064362807219292</c:v>
                </c:pt>
                <c:pt idx="24">
                  <c:v>0.56385977826075273</c:v>
                </c:pt>
                <c:pt idx="25">
                  <c:v>0.55087054069939312</c:v>
                </c:pt>
                <c:pt idx="26">
                  <c:v>0.5982840197066408</c:v>
                </c:pt>
                <c:pt idx="27">
                  <c:v>0.65828529751100573</c:v>
                </c:pt>
                <c:pt idx="28">
                  <c:v>0.62990700827657586</c:v>
                </c:pt>
                <c:pt idx="29">
                  <c:v>0.72083578843392249</c:v>
                </c:pt>
                <c:pt idx="30">
                  <c:v>0.6955706393650557</c:v>
                </c:pt>
                <c:pt idx="31">
                  <c:v>0.74187581213225862</c:v>
                </c:pt>
                <c:pt idx="32">
                  <c:v>0.78557001113167169</c:v>
                </c:pt>
                <c:pt idx="33">
                  <c:v>0.8162994689573263</c:v>
                </c:pt>
                <c:pt idx="34">
                  <c:v>0.81606025005867189</c:v>
                </c:pt>
                <c:pt idx="35">
                  <c:v>0.84293199218767467</c:v>
                </c:pt>
                <c:pt idx="36">
                  <c:v>0.85843876406752262</c:v>
                </c:pt>
                <c:pt idx="37">
                  <c:v>0.88874798332956562</c:v>
                </c:pt>
                <c:pt idx="38">
                  <c:v>0.83239132624137646</c:v>
                </c:pt>
                <c:pt idx="39">
                  <c:v>1</c:v>
                </c:pt>
                <c:pt idx="40">
                  <c:v>0.90530631475594503</c:v>
                </c:pt>
                <c:pt idx="41">
                  <c:v>0.85049397966348894</c:v>
                </c:pt>
                <c:pt idx="42">
                  <c:v>0.78904676763766612</c:v>
                </c:pt>
              </c:numCache>
            </c:numRef>
          </c:val>
          <c:smooth val="0"/>
        </c:ser>
        <c:ser>
          <c:idx val="9"/>
          <c:order val="9"/>
          <c:tx>
            <c:strRef>
              <c:f>Sheet6!$AB$1</c:f>
              <c:strCache>
                <c:ptCount val="1"/>
                <c:pt idx="0">
                  <c:v>150</c:v>
                </c:pt>
              </c:strCache>
            </c:strRef>
          </c:tx>
          <c:marker>
            <c:symbol val="none"/>
          </c:marker>
          <c:cat>
            <c:numRef>
              <c:f>Sheet6!$R$2:$R$44</c:f>
              <c:numCache>
                <c:formatCode>General</c:formatCode>
                <c:ptCount val="43"/>
                <c:pt idx="0">
                  <c:v>-25</c:v>
                </c:pt>
                <c:pt idx="1">
                  <c:v>-15</c:v>
                </c:pt>
                <c:pt idx="2">
                  <c:v>-10</c:v>
                </c:pt>
                <c:pt idx="3">
                  <c:v>-5</c:v>
                </c:pt>
                <c:pt idx="4">
                  <c:v>0</c:v>
                </c:pt>
                <c:pt idx="5">
                  <c:v>5</c:v>
                </c:pt>
                <c:pt idx="6">
                  <c:v>10</c:v>
                </c:pt>
                <c:pt idx="7">
                  <c:v>15</c:v>
                </c:pt>
                <c:pt idx="8">
                  <c:v>20</c:v>
                </c:pt>
                <c:pt idx="9">
                  <c:v>25</c:v>
                </c:pt>
                <c:pt idx="10">
                  <c:v>30</c:v>
                </c:pt>
                <c:pt idx="11">
                  <c:v>35</c:v>
                </c:pt>
                <c:pt idx="12">
                  <c:v>40</c:v>
                </c:pt>
                <c:pt idx="13">
                  <c:v>45</c:v>
                </c:pt>
                <c:pt idx="14">
                  <c:v>50</c:v>
                </c:pt>
                <c:pt idx="15">
                  <c:v>55</c:v>
                </c:pt>
                <c:pt idx="16">
                  <c:v>60</c:v>
                </c:pt>
                <c:pt idx="17">
                  <c:v>65</c:v>
                </c:pt>
                <c:pt idx="18">
                  <c:v>70</c:v>
                </c:pt>
                <c:pt idx="19">
                  <c:v>75</c:v>
                </c:pt>
                <c:pt idx="20">
                  <c:v>80</c:v>
                </c:pt>
                <c:pt idx="21">
                  <c:v>85</c:v>
                </c:pt>
                <c:pt idx="22">
                  <c:v>90</c:v>
                </c:pt>
                <c:pt idx="23">
                  <c:v>95</c:v>
                </c:pt>
                <c:pt idx="24">
                  <c:v>100</c:v>
                </c:pt>
                <c:pt idx="25">
                  <c:v>105</c:v>
                </c:pt>
                <c:pt idx="26">
                  <c:v>110</c:v>
                </c:pt>
                <c:pt idx="27">
                  <c:v>115</c:v>
                </c:pt>
                <c:pt idx="28">
                  <c:v>120</c:v>
                </c:pt>
                <c:pt idx="29">
                  <c:v>125</c:v>
                </c:pt>
                <c:pt idx="30">
                  <c:v>130</c:v>
                </c:pt>
                <c:pt idx="31">
                  <c:v>135</c:v>
                </c:pt>
                <c:pt idx="32">
                  <c:v>140</c:v>
                </c:pt>
                <c:pt idx="33">
                  <c:v>145</c:v>
                </c:pt>
                <c:pt idx="34">
                  <c:v>150</c:v>
                </c:pt>
                <c:pt idx="35">
                  <c:v>155</c:v>
                </c:pt>
                <c:pt idx="36">
                  <c:v>160</c:v>
                </c:pt>
                <c:pt idx="37">
                  <c:v>165</c:v>
                </c:pt>
                <c:pt idx="38">
                  <c:v>170</c:v>
                </c:pt>
                <c:pt idx="39">
                  <c:v>175</c:v>
                </c:pt>
                <c:pt idx="40">
                  <c:v>180</c:v>
                </c:pt>
                <c:pt idx="41">
                  <c:v>185</c:v>
                </c:pt>
                <c:pt idx="42">
                  <c:v>190</c:v>
                </c:pt>
              </c:numCache>
            </c:numRef>
          </c:cat>
          <c:val>
            <c:numRef>
              <c:f>Sheet6!$AB$2:$AB$44</c:f>
              <c:numCache>
                <c:formatCode>_(* #,##0.00_);_(* \(#,##0.00\);_(* "-"??_);_(@_)</c:formatCode>
                <c:ptCount val="43"/>
                <c:pt idx="3">
                  <c:v>2.4099072279366682E-2</c:v>
                </c:pt>
                <c:pt idx="4">
                  <c:v>0</c:v>
                </c:pt>
                <c:pt idx="5">
                  <c:v>2.9619809919616446E-2</c:v>
                </c:pt>
                <c:pt idx="6">
                  <c:v>3.7712211118995274E-2</c:v>
                </c:pt>
                <c:pt idx="7">
                  <c:v>4.4756396522423678E-2</c:v>
                </c:pt>
                <c:pt idx="8">
                  <c:v>0.10488255742752078</c:v>
                </c:pt>
                <c:pt idx="9">
                  <c:v>6.8717339054082102E-2</c:v>
                </c:pt>
                <c:pt idx="10">
                  <c:v>7.4174388618422391E-2</c:v>
                </c:pt>
                <c:pt idx="11">
                  <c:v>0.1457291171276987</c:v>
                </c:pt>
                <c:pt idx="12">
                  <c:v>0.11530977514276279</c:v>
                </c:pt>
                <c:pt idx="13">
                  <c:v>0.15143882359012689</c:v>
                </c:pt>
                <c:pt idx="14">
                  <c:v>0.19393231118057214</c:v>
                </c:pt>
                <c:pt idx="15">
                  <c:v>0.21659490491715019</c:v>
                </c:pt>
                <c:pt idx="16">
                  <c:v>0.22935290349281395</c:v>
                </c:pt>
                <c:pt idx="17">
                  <c:v>0.28247201977162212</c:v>
                </c:pt>
                <c:pt idx="18">
                  <c:v>0.3210855208780416</c:v>
                </c:pt>
                <c:pt idx="19">
                  <c:v>0.34059589145453334</c:v>
                </c:pt>
                <c:pt idx="20">
                  <c:v>0.42864659264468596</c:v>
                </c:pt>
                <c:pt idx="21">
                  <c:v>0.4011314251898222</c:v>
                </c:pt>
                <c:pt idx="22">
                  <c:v>0.46960799427114469</c:v>
                </c:pt>
                <c:pt idx="23">
                  <c:v>0.50919286154189136</c:v>
                </c:pt>
                <c:pt idx="24">
                  <c:v>0.56135754248868197</c:v>
                </c:pt>
                <c:pt idx="25">
                  <c:v>0.62563063390982643</c:v>
                </c:pt>
                <c:pt idx="26">
                  <c:v>0.67635076704702324</c:v>
                </c:pt>
                <c:pt idx="27">
                  <c:v>0.72152562094927497</c:v>
                </c:pt>
                <c:pt idx="28">
                  <c:v>0.6553623303099767</c:v>
                </c:pt>
                <c:pt idx="29">
                  <c:v>0.79732353938000955</c:v>
                </c:pt>
                <c:pt idx="30">
                  <c:v>0.79376422362462462</c:v>
                </c:pt>
                <c:pt idx="31">
                  <c:v>0.77558022934781157</c:v>
                </c:pt>
                <c:pt idx="32">
                  <c:v>0.85481223794828798</c:v>
                </c:pt>
                <c:pt idx="33">
                  <c:v>0.84264939349923496</c:v>
                </c:pt>
                <c:pt idx="34">
                  <c:v>0.90463977102977056</c:v>
                </c:pt>
                <c:pt idx="35">
                  <c:v>0.87008501286151774</c:v>
                </c:pt>
                <c:pt idx="36">
                  <c:v>0.90829947084121998</c:v>
                </c:pt>
                <c:pt idx="37">
                  <c:v>1</c:v>
                </c:pt>
                <c:pt idx="38">
                  <c:v>0.94382635183791452</c:v>
                </c:pt>
                <c:pt idx="39">
                  <c:v>0.8926781691939818</c:v>
                </c:pt>
                <c:pt idx="40">
                  <c:v>0.85993702007397954</c:v>
                </c:pt>
                <c:pt idx="41">
                  <c:v>0.93712783815373046</c:v>
                </c:pt>
                <c:pt idx="42">
                  <c:v>0.92563690525209219</c:v>
                </c:pt>
              </c:numCache>
            </c:numRef>
          </c:val>
          <c:smooth val="0"/>
        </c:ser>
        <c:ser>
          <c:idx val="10"/>
          <c:order val="10"/>
          <c:tx>
            <c:strRef>
              <c:f>Sheet6!$AC$1</c:f>
              <c:strCache>
                <c:ptCount val="1"/>
                <c:pt idx="0">
                  <c:v>160</c:v>
                </c:pt>
              </c:strCache>
            </c:strRef>
          </c:tx>
          <c:marker>
            <c:symbol val="none"/>
          </c:marker>
          <c:cat>
            <c:numRef>
              <c:f>Sheet6!$R$2:$R$44</c:f>
              <c:numCache>
                <c:formatCode>General</c:formatCode>
                <c:ptCount val="43"/>
                <c:pt idx="0">
                  <c:v>-25</c:v>
                </c:pt>
                <c:pt idx="1">
                  <c:v>-15</c:v>
                </c:pt>
                <c:pt idx="2">
                  <c:v>-10</c:v>
                </c:pt>
                <c:pt idx="3">
                  <c:v>-5</c:v>
                </c:pt>
                <c:pt idx="4">
                  <c:v>0</c:v>
                </c:pt>
                <c:pt idx="5">
                  <c:v>5</c:v>
                </c:pt>
                <c:pt idx="6">
                  <c:v>10</c:v>
                </c:pt>
                <c:pt idx="7">
                  <c:v>15</c:v>
                </c:pt>
                <c:pt idx="8">
                  <c:v>20</c:v>
                </c:pt>
                <c:pt idx="9">
                  <c:v>25</c:v>
                </c:pt>
                <c:pt idx="10">
                  <c:v>30</c:v>
                </c:pt>
                <c:pt idx="11">
                  <c:v>35</c:v>
                </c:pt>
                <c:pt idx="12">
                  <c:v>40</c:v>
                </c:pt>
                <c:pt idx="13">
                  <c:v>45</c:v>
                </c:pt>
                <c:pt idx="14">
                  <c:v>50</c:v>
                </c:pt>
                <c:pt idx="15">
                  <c:v>55</c:v>
                </c:pt>
                <c:pt idx="16">
                  <c:v>60</c:v>
                </c:pt>
                <c:pt idx="17">
                  <c:v>65</c:v>
                </c:pt>
                <c:pt idx="18">
                  <c:v>70</c:v>
                </c:pt>
                <c:pt idx="19">
                  <c:v>75</c:v>
                </c:pt>
                <c:pt idx="20">
                  <c:v>80</c:v>
                </c:pt>
                <c:pt idx="21">
                  <c:v>85</c:v>
                </c:pt>
                <c:pt idx="22">
                  <c:v>90</c:v>
                </c:pt>
                <c:pt idx="23">
                  <c:v>95</c:v>
                </c:pt>
                <c:pt idx="24">
                  <c:v>100</c:v>
                </c:pt>
                <c:pt idx="25">
                  <c:v>105</c:v>
                </c:pt>
                <c:pt idx="26">
                  <c:v>110</c:v>
                </c:pt>
                <c:pt idx="27">
                  <c:v>115</c:v>
                </c:pt>
                <c:pt idx="28">
                  <c:v>120</c:v>
                </c:pt>
                <c:pt idx="29">
                  <c:v>125</c:v>
                </c:pt>
                <c:pt idx="30">
                  <c:v>130</c:v>
                </c:pt>
                <c:pt idx="31">
                  <c:v>135</c:v>
                </c:pt>
                <c:pt idx="32">
                  <c:v>140</c:v>
                </c:pt>
                <c:pt idx="33">
                  <c:v>145</c:v>
                </c:pt>
                <c:pt idx="34">
                  <c:v>150</c:v>
                </c:pt>
                <c:pt idx="35">
                  <c:v>155</c:v>
                </c:pt>
                <c:pt idx="36">
                  <c:v>160</c:v>
                </c:pt>
                <c:pt idx="37">
                  <c:v>165</c:v>
                </c:pt>
                <c:pt idx="38">
                  <c:v>170</c:v>
                </c:pt>
                <c:pt idx="39">
                  <c:v>175</c:v>
                </c:pt>
                <c:pt idx="40">
                  <c:v>180</c:v>
                </c:pt>
                <c:pt idx="41">
                  <c:v>185</c:v>
                </c:pt>
                <c:pt idx="42">
                  <c:v>190</c:v>
                </c:pt>
              </c:numCache>
            </c:numRef>
          </c:cat>
          <c:val>
            <c:numRef>
              <c:f>Sheet6!$AC$2:$AC$44</c:f>
              <c:numCache>
                <c:formatCode>_(* #,##0.00_);_(* \(#,##0.00\);_(* "-"??_);_(@_)</c:formatCode>
                <c:ptCount val="43"/>
                <c:pt idx="3">
                  <c:v>0</c:v>
                </c:pt>
                <c:pt idx="4">
                  <c:v>2.8582587652252554E-2</c:v>
                </c:pt>
                <c:pt idx="5">
                  <c:v>2.2050974192032027E-2</c:v>
                </c:pt>
                <c:pt idx="6">
                  <c:v>6.6531807881677812E-2</c:v>
                </c:pt>
                <c:pt idx="7">
                  <c:v>6.0566722095194377E-2</c:v>
                </c:pt>
                <c:pt idx="8">
                  <c:v>9.7357699643195711E-2</c:v>
                </c:pt>
                <c:pt idx="9">
                  <c:v>0.10194677347525602</c:v>
                </c:pt>
                <c:pt idx="10">
                  <c:v>0.1210866032982988</c:v>
                </c:pt>
                <c:pt idx="11">
                  <c:v>0.12990238338418533</c:v>
                </c:pt>
                <c:pt idx="12">
                  <c:v>0.14226080385305626</c:v>
                </c:pt>
                <c:pt idx="13">
                  <c:v>0.19526048126050438</c:v>
                </c:pt>
                <c:pt idx="14">
                  <c:v>0.22221283020784693</c:v>
                </c:pt>
                <c:pt idx="15">
                  <c:v>0.22451008958047056</c:v>
                </c:pt>
                <c:pt idx="16">
                  <c:v>0.25634100372351792</c:v>
                </c:pt>
                <c:pt idx="17">
                  <c:v>0.30243256413447001</c:v>
                </c:pt>
                <c:pt idx="18">
                  <c:v>0.33072392333793549</c:v>
                </c:pt>
                <c:pt idx="19">
                  <c:v>0.36715143100327091</c:v>
                </c:pt>
                <c:pt idx="20">
                  <c:v>0.44953929935174158</c:v>
                </c:pt>
                <c:pt idx="21">
                  <c:v>0.43116326812965688</c:v>
                </c:pt>
                <c:pt idx="22">
                  <c:v>0.50593032744761535</c:v>
                </c:pt>
                <c:pt idx="23">
                  <c:v>0.52770872340123431</c:v>
                </c:pt>
                <c:pt idx="24">
                  <c:v>0.56261716586000954</c:v>
                </c:pt>
                <c:pt idx="25">
                  <c:v>0.68339491897493443</c:v>
                </c:pt>
                <c:pt idx="26">
                  <c:v>0.70173730096224518</c:v>
                </c:pt>
                <c:pt idx="27">
                  <c:v>0.6826631757404974</c:v>
                </c:pt>
                <c:pt idx="28">
                  <c:v>0.70906006785743403</c:v>
                </c:pt>
                <c:pt idx="29">
                  <c:v>0.78455050071740162</c:v>
                </c:pt>
                <c:pt idx="30">
                  <c:v>0.75109389185486208</c:v>
                </c:pt>
                <c:pt idx="31">
                  <c:v>0.82351856742217799</c:v>
                </c:pt>
                <c:pt idx="32">
                  <c:v>0.808008710204974</c:v>
                </c:pt>
                <c:pt idx="33">
                  <c:v>0.83229425725701633</c:v>
                </c:pt>
                <c:pt idx="34">
                  <c:v>0.92078513605091761</c:v>
                </c:pt>
                <c:pt idx="35">
                  <c:v>0.89049726782747352</c:v>
                </c:pt>
                <c:pt idx="36">
                  <c:v>0.93288629864933115</c:v>
                </c:pt>
                <c:pt idx="37">
                  <c:v>0.84302353349752923</c:v>
                </c:pt>
                <c:pt idx="38">
                  <c:v>0.89175756783672455</c:v>
                </c:pt>
                <c:pt idx="39">
                  <c:v>0.89904236857843445</c:v>
                </c:pt>
                <c:pt idx="40">
                  <c:v>1</c:v>
                </c:pt>
                <c:pt idx="41">
                  <c:v>0.98176730211810348</c:v>
                </c:pt>
                <c:pt idx="42">
                  <c:v>0.9578551051897839</c:v>
                </c:pt>
              </c:numCache>
            </c:numRef>
          </c:val>
          <c:smooth val="0"/>
        </c:ser>
        <c:ser>
          <c:idx val="11"/>
          <c:order val="11"/>
          <c:tx>
            <c:strRef>
              <c:f>Sheet6!$AD$1</c:f>
              <c:strCache>
                <c:ptCount val="1"/>
                <c:pt idx="0">
                  <c:v>170</c:v>
                </c:pt>
              </c:strCache>
            </c:strRef>
          </c:tx>
          <c:marker>
            <c:symbol val="none"/>
          </c:marker>
          <c:cat>
            <c:numRef>
              <c:f>Sheet6!$R$2:$R$44</c:f>
              <c:numCache>
                <c:formatCode>General</c:formatCode>
                <c:ptCount val="43"/>
                <c:pt idx="0">
                  <c:v>-25</c:v>
                </c:pt>
                <c:pt idx="1">
                  <c:v>-15</c:v>
                </c:pt>
                <c:pt idx="2">
                  <c:v>-10</c:v>
                </c:pt>
                <c:pt idx="3">
                  <c:v>-5</c:v>
                </c:pt>
                <c:pt idx="4">
                  <c:v>0</c:v>
                </c:pt>
                <c:pt idx="5">
                  <c:v>5</c:v>
                </c:pt>
                <c:pt idx="6">
                  <c:v>10</c:v>
                </c:pt>
                <c:pt idx="7">
                  <c:v>15</c:v>
                </c:pt>
                <c:pt idx="8">
                  <c:v>20</c:v>
                </c:pt>
                <c:pt idx="9">
                  <c:v>25</c:v>
                </c:pt>
                <c:pt idx="10">
                  <c:v>30</c:v>
                </c:pt>
                <c:pt idx="11">
                  <c:v>35</c:v>
                </c:pt>
                <c:pt idx="12">
                  <c:v>40</c:v>
                </c:pt>
                <c:pt idx="13">
                  <c:v>45</c:v>
                </c:pt>
                <c:pt idx="14">
                  <c:v>50</c:v>
                </c:pt>
                <c:pt idx="15">
                  <c:v>55</c:v>
                </c:pt>
                <c:pt idx="16">
                  <c:v>60</c:v>
                </c:pt>
                <c:pt idx="17">
                  <c:v>65</c:v>
                </c:pt>
                <c:pt idx="18">
                  <c:v>70</c:v>
                </c:pt>
                <c:pt idx="19">
                  <c:v>75</c:v>
                </c:pt>
                <c:pt idx="20">
                  <c:v>80</c:v>
                </c:pt>
                <c:pt idx="21">
                  <c:v>85</c:v>
                </c:pt>
                <c:pt idx="22">
                  <c:v>90</c:v>
                </c:pt>
                <c:pt idx="23">
                  <c:v>95</c:v>
                </c:pt>
                <c:pt idx="24">
                  <c:v>100</c:v>
                </c:pt>
                <c:pt idx="25">
                  <c:v>105</c:v>
                </c:pt>
                <c:pt idx="26">
                  <c:v>110</c:v>
                </c:pt>
                <c:pt idx="27">
                  <c:v>115</c:v>
                </c:pt>
                <c:pt idx="28">
                  <c:v>120</c:v>
                </c:pt>
                <c:pt idx="29">
                  <c:v>125</c:v>
                </c:pt>
                <c:pt idx="30">
                  <c:v>130</c:v>
                </c:pt>
                <c:pt idx="31">
                  <c:v>135</c:v>
                </c:pt>
                <c:pt idx="32">
                  <c:v>140</c:v>
                </c:pt>
                <c:pt idx="33">
                  <c:v>145</c:v>
                </c:pt>
                <c:pt idx="34">
                  <c:v>150</c:v>
                </c:pt>
                <c:pt idx="35">
                  <c:v>155</c:v>
                </c:pt>
                <c:pt idx="36">
                  <c:v>160</c:v>
                </c:pt>
                <c:pt idx="37">
                  <c:v>165</c:v>
                </c:pt>
                <c:pt idx="38">
                  <c:v>170</c:v>
                </c:pt>
                <c:pt idx="39">
                  <c:v>175</c:v>
                </c:pt>
                <c:pt idx="40">
                  <c:v>180</c:v>
                </c:pt>
                <c:pt idx="41">
                  <c:v>185</c:v>
                </c:pt>
                <c:pt idx="42">
                  <c:v>190</c:v>
                </c:pt>
              </c:numCache>
            </c:numRef>
          </c:cat>
          <c:val>
            <c:numRef>
              <c:f>Sheet6!$AD$2:$AD$44</c:f>
              <c:numCache>
                <c:formatCode>_(* #,##0.00_);_(* \(#,##0.00\);_(* "-"??_);_(@_)</c:formatCode>
                <c:ptCount val="43"/>
                <c:pt idx="3">
                  <c:v>0</c:v>
                </c:pt>
                <c:pt idx="4">
                  <c:v>2.9070103145781848E-2</c:v>
                </c:pt>
                <c:pt idx="5">
                  <c:v>2.8645686101203591E-2</c:v>
                </c:pt>
                <c:pt idx="6">
                  <c:v>7.3559852675789766E-2</c:v>
                </c:pt>
                <c:pt idx="7">
                  <c:v>0.10088592754647574</c:v>
                </c:pt>
                <c:pt idx="8">
                  <c:v>7.3552717388761554E-2</c:v>
                </c:pt>
                <c:pt idx="9">
                  <c:v>8.8983777271466349E-2</c:v>
                </c:pt>
                <c:pt idx="10">
                  <c:v>0.11763039474460962</c:v>
                </c:pt>
                <c:pt idx="11">
                  <c:v>0.13245344830984251</c:v>
                </c:pt>
                <c:pt idx="12">
                  <c:v>0.16769752757133144</c:v>
                </c:pt>
                <c:pt idx="13">
                  <c:v>0.20562941806833479</c:v>
                </c:pt>
                <c:pt idx="14">
                  <c:v>0.22312244422037042</c:v>
                </c:pt>
                <c:pt idx="15">
                  <c:v>0.27843769236376564</c:v>
                </c:pt>
                <c:pt idx="16">
                  <c:v>0.30744009835825253</c:v>
                </c:pt>
                <c:pt idx="17">
                  <c:v>0.31656907458393485</c:v>
                </c:pt>
                <c:pt idx="18">
                  <c:v>0.36720955563500135</c:v>
                </c:pt>
                <c:pt idx="19">
                  <c:v>0.42068078133381553</c:v>
                </c:pt>
                <c:pt idx="20">
                  <c:v>0.47932747104156037</c:v>
                </c:pt>
                <c:pt idx="21">
                  <c:v>0.48754219492890172</c:v>
                </c:pt>
                <c:pt idx="22">
                  <c:v>0.56688860946940767</c:v>
                </c:pt>
                <c:pt idx="23">
                  <c:v>0.55577987432293874</c:v>
                </c:pt>
                <c:pt idx="24">
                  <c:v>0.63868443946420073</c:v>
                </c:pt>
                <c:pt idx="25">
                  <c:v>0.65926620980073269</c:v>
                </c:pt>
                <c:pt idx="26">
                  <c:v>0.70622245867858668</c:v>
                </c:pt>
                <c:pt idx="27">
                  <c:v>0.73610900343479779</c:v>
                </c:pt>
                <c:pt idx="28">
                  <c:v>0.77370785294438793</c:v>
                </c:pt>
                <c:pt idx="29">
                  <c:v>0.82472838627867517</c:v>
                </c:pt>
                <c:pt idx="30">
                  <c:v>0.88565117670494864</c:v>
                </c:pt>
                <c:pt idx="31">
                  <c:v>0.85710985702682707</c:v>
                </c:pt>
                <c:pt idx="32">
                  <c:v>0.83813032628555395</c:v>
                </c:pt>
                <c:pt idx="33">
                  <c:v>0.87772551750519689</c:v>
                </c:pt>
                <c:pt idx="34">
                  <c:v>0.90226853688140729</c:v>
                </c:pt>
                <c:pt idx="35">
                  <c:v>0.89956188108667468</c:v>
                </c:pt>
                <c:pt idx="36">
                  <c:v>0.84678840950002554</c:v>
                </c:pt>
                <c:pt idx="37">
                  <c:v>0.96547666217471095</c:v>
                </c:pt>
                <c:pt idx="38">
                  <c:v>0.81336047713028137</c:v>
                </c:pt>
                <c:pt idx="39">
                  <c:v>0.96278221339685166</c:v>
                </c:pt>
                <c:pt idx="40">
                  <c:v>0.93717231377813703</c:v>
                </c:pt>
                <c:pt idx="41">
                  <c:v>1</c:v>
                </c:pt>
                <c:pt idx="42">
                  <c:v>0.84230486116810199</c:v>
                </c:pt>
              </c:numCache>
            </c:numRef>
          </c:val>
          <c:smooth val="0"/>
        </c:ser>
        <c:dLbls>
          <c:showLegendKey val="0"/>
          <c:showVal val="0"/>
          <c:showCatName val="0"/>
          <c:showSerName val="0"/>
          <c:showPercent val="0"/>
          <c:showBubbleSize val="0"/>
        </c:dLbls>
        <c:marker val="1"/>
        <c:smooth val="0"/>
        <c:axId val="62884480"/>
        <c:axId val="62890368"/>
      </c:lineChart>
      <c:catAx>
        <c:axId val="62884480"/>
        <c:scaling>
          <c:orientation val="minMax"/>
        </c:scaling>
        <c:delete val="0"/>
        <c:axPos val="b"/>
        <c:numFmt formatCode="General" sourceLinked="1"/>
        <c:majorTickMark val="out"/>
        <c:minorTickMark val="none"/>
        <c:tickLblPos val="nextTo"/>
        <c:crossAx val="62890368"/>
        <c:crosses val="autoZero"/>
        <c:auto val="1"/>
        <c:lblAlgn val="ctr"/>
        <c:lblOffset val="100"/>
        <c:noMultiLvlLbl val="0"/>
      </c:catAx>
      <c:valAx>
        <c:axId val="62890368"/>
        <c:scaling>
          <c:orientation val="minMax"/>
        </c:scaling>
        <c:delete val="0"/>
        <c:axPos val="l"/>
        <c:majorGridlines/>
        <c:numFmt formatCode="_(* #,##0.00_);_(* \(#,##0.00\);_(* &quot;-&quot;??_);_(@_)" sourceLinked="1"/>
        <c:majorTickMark val="out"/>
        <c:minorTickMark val="none"/>
        <c:tickLblPos val="nextTo"/>
        <c:crossAx val="62884480"/>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Sheet6!$B$79</c:f>
              <c:strCache>
                <c:ptCount val="1"/>
                <c:pt idx="0">
                  <c:v>60</c:v>
                </c:pt>
              </c:strCache>
            </c:strRef>
          </c:tx>
          <c:marker>
            <c:symbol val="none"/>
          </c:marker>
          <c:cat>
            <c:numRef>
              <c:f>Sheet6!$A$80:$A$119</c:f>
              <c:numCache>
                <c:formatCode>General</c:formatCode>
                <c:ptCount val="40"/>
                <c:pt idx="0">
                  <c:v>-5</c:v>
                </c:pt>
                <c:pt idx="1">
                  <c:v>0</c:v>
                </c:pt>
                <c:pt idx="2">
                  <c:v>5</c:v>
                </c:pt>
                <c:pt idx="3">
                  <c:v>10</c:v>
                </c:pt>
                <c:pt idx="4">
                  <c:v>15</c:v>
                </c:pt>
                <c:pt idx="5">
                  <c:v>20</c:v>
                </c:pt>
                <c:pt idx="6">
                  <c:v>25</c:v>
                </c:pt>
                <c:pt idx="7">
                  <c:v>30</c:v>
                </c:pt>
                <c:pt idx="8">
                  <c:v>35</c:v>
                </c:pt>
                <c:pt idx="9">
                  <c:v>40</c:v>
                </c:pt>
                <c:pt idx="10">
                  <c:v>45</c:v>
                </c:pt>
                <c:pt idx="11">
                  <c:v>50</c:v>
                </c:pt>
                <c:pt idx="12">
                  <c:v>55</c:v>
                </c:pt>
                <c:pt idx="13">
                  <c:v>60</c:v>
                </c:pt>
                <c:pt idx="14">
                  <c:v>65</c:v>
                </c:pt>
                <c:pt idx="15">
                  <c:v>70</c:v>
                </c:pt>
                <c:pt idx="16">
                  <c:v>75</c:v>
                </c:pt>
                <c:pt idx="17">
                  <c:v>80</c:v>
                </c:pt>
                <c:pt idx="18">
                  <c:v>85</c:v>
                </c:pt>
                <c:pt idx="19">
                  <c:v>90</c:v>
                </c:pt>
                <c:pt idx="20">
                  <c:v>95</c:v>
                </c:pt>
                <c:pt idx="21">
                  <c:v>100</c:v>
                </c:pt>
                <c:pt idx="22">
                  <c:v>105</c:v>
                </c:pt>
                <c:pt idx="23">
                  <c:v>110</c:v>
                </c:pt>
                <c:pt idx="24">
                  <c:v>115</c:v>
                </c:pt>
                <c:pt idx="25">
                  <c:v>120</c:v>
                </c:pt>
                <c:pt idx="26">
                  <c:v>125</c:v>
                </c:pt>
                <c:pt idx="27">
                  <c:v>130</c:v>
                </c:pt>
                <c:pt idx="28">
                  <c:v>135</c:v>
                </c:pt>
                <c:pt idx="29">
                  <c:v>140</c:v>
                </c:pt>
                <c:pt idx="30">
                  <c:v>145</c:v>
                </c:pt>
                <c:pt idx="31">
                  <c:v>150</c:v>
                </c:pt>
                <c:pt idx="32">
                  <c:v>155</c:v>
                </c:pt>
                <c:pt idx="33">
                  <c:v>160</c:v>
                </c:pt>
                <c:pt idx="34">
                  <c:v>165</c:v>
                </c:pt>
                <c:pt idx="35">
                  <c:v>170</c:v>
                </c:pt>
                <c:pt idx="36">
                  <c:v>175</c:v>
                </c:pt>
                <c:pt idx="37">
                  <c:v>180</c:v>
                </c:pt>
                <c:pt idx="38">
                  <c:v>185</c:v>
                </c:pt>
                <c:pt idx="39">
                  <c:v>190</c:v>
                </c:pt>
              </c:numCache>
            </c:numRef>
          </c:cat>
          <c:val>
            <c:numRef>
              <c:f>Sheet6!$B$84:$B$126</c:f>
              <c:numCache>
                <c:formatCode>_(* #,##0.00_);_(* \(#,##0.00\);_(* "-"??_);_(@_)</c:formatCode>
                <c:ptCount val="43"/>
                <c:pt idx="0">
                  <c:v>0.18154111290008612</c:v>
                </c:pt>
                <c:pt idx="1">
                  <c:v>0.17260944367559192</c:v>
                </c:pt>
                <c:pt idx="2">
                  <c:v>0.12875644144721796</c:v>
                </c:pt>
                <c:pt idx="3">
                  <c:v>0.17588368622286515</c:v>
                </c:pt>
                <c:pt idx="4">
                  <c:v>0.23156027623944156</c:v>
                </c:pt>
                <c:pt idx="5">
                  <c:v>0.10586070812434091</c:v>
                </c:pt>
                <c:pt idx="6">
                  <c:v>0.17018821098489095</c:v>
                </c:pt>
                <c:pt idx="7">
                  <c:v>0.16477251902427412</c:v>
                </c:pt>
                <c:pt idx="8">
                  <c:v>0.17739644429606335</c:v>
                </c:pt>
                <c:pt idx="9">
                  <c:v>0.25132205649836642</c:v>
                </c:pt>
                <c:pt idx="10">
                  <c:v>0.28577936194633186</c:v>
                </c:pt>
                <c:pt idx="11">
                  <c:v>0.33368978436831992</c:v>
                </c:pt>
                <c:pt idx="12">
                  <c:v>0.23982941854958198</c:v>
                </c:pt>
                <c:pt idx="13">
                  <c:v>0.36749298437308858</c:v>
                </c:pt>
                <c:pt idx="14">
                  <c:v>0.39008017816806217</c:v>
                </c:pt>
                <c:pt idx="15">
                  <c:v>0.37763907418291026</c:v>
                </c:pt>
                <c:pt idx="16">
                  <c:v>0.34051767241073372</c:v>
                </c:pt>
                <c:pt idx="17">
                  <c:v>0.57032781608146399</c:v>
                </c:pt>
                <c:pt idx="18">
                  <c:v>0.58656097378967542</c:v>
                </c:pt>
                <c:pt idx="19">
                  <c:v>0.45956735426899642</c:v>
                </c:pt>
                <c:pt idx="20">
                  <c:v>0.43821740798851261</c:v>
                </c:pt>
                <c:pt idx="21">
                  <c:v>0.52491167573464259</c:v>
                </c:pt>
                <c:pt idx="22">
                  <c:v>0.66996250539584634</c:v>
                </c:pt>
                <c:pt idx="23">
                  <c:v>0.58700876689595938</c:v>
                </c:pt>
                <c:pt idx="24">
                  <c:v>0.55095956954485326</c:v>
                </c:pt>
                <c:pt idx="25">
                  <c:v>0.79619043064487804</c:v>
                </c:pt>
                <c:pt idx="26">
                  <c:v>0.64113949623682653</c:v>
                </c:pt>
                <c:pt idx="27">
                  <c:v>0.63287994381463775</c:v>
                </c:pt>
                <c:pt idx="28">
                  <c:v>0.81755530541800492</c:v>
                </c:pt>
                <c:pt idx="29">
                  <c:v>0.78310147081366088</c:v>
                </c:pt>
                <c:pt idx="30">
                  <c:v>0.91416342459390765</c:v>
                </c:pt>
                <c:pt idx="31">
                  <c:v>0.45317407014428923</c:v>
                </c:pt>
                <c:pt idx="32">
                  <c:v>0.78089685977997336</c:v>
                </c:pt>
                <c:pt idx="33">
                  <c:v>0.82946262251611536</c:v>
                </c:pt>
                <c:pt idx="34">
                  <c:v>1</c:v>
                </c:pt>
                <c:pt idx="35">
                  <c:v>0.71336692892746889</c:v>
                </c:pt>
              </c:numCache>
            </c:numRef>
          </c:val>
          <c:smooth val="0"/>
        </c:ser>
        <c:ser>
          <c:idx val="1"/>
          <c:order val="1"/>
          <c:tx>
            <c:strRef>
              <c:f>Sheet6!$M$79</c:f>
              <c:strCache>
                <c:ptCount val="1"/>
                <c:pt idx="0">
                  <c:v>170</c:v>
                </c:pt>
              </c:strCache>
            </c:strRef>
          </c:tx>
          <c:marker>
            <c:symbol val="none"/>
          </c:marker>
          <c:cat>
            <c:numRef>
              <c:f>Sheet6!$A$80:$A$119</c:f>
              <c:numCache>
                <c:formatCode>General</c:formatCode>
                <c:ptCount val="40"/>
                <c:pt idx="0">
                  <c:v>-5</c:v>
                </c:pt>
                <c:pt idx="1">
                  <c:v>0</c:v>
                </c:pt>
                <c:pt idx="2">
                  <c:v>5</c:v>
                </c:pt>
                <c:pt idx="3">
                  <c:v>10</c:v>
                </c:pt>
                <c:pt idx="4">
                  <c:v>15</c:v>
                </c:pt>
                <c:pt idx="5">
                  <c:v>20</c:v>
                </c:pt>
                <c:pt idx="6">
                  <c:v>25</c:v>
                </c:pt>
                <c:pt idx="7">
                  <c:v>30</c:v>
                </c:pt>
                <c:pt idx="8">
                  <c:v>35</c:v>
                </c:pt>
                <c:pt idx="9">
                  <c:v>40</c:v>
                </c:pt>
                <c:pt idx="10">
                  <c:v>45</c:v>
                </c:pt>
                <c:pt idx="11">
                  <c:v>50</c:v>
                </c:pt>
                <c:pt idx="12">
                  <c:v>55</c:v>
                </c:pt>
                <c:pt idx="13">
                  <c:v>60</c:v>
                </c:pt>
                <c:pt idx="14">
                  <c:v>65</c:v>
                </c:pt>
                <c:pt idx="15">
                  <c:v>70</c:v>
                </c:pt>
                <c:pt idx="16">
                  <c:v>75</c:v>
                </c:pt>
                <c:pt idx="17">
                  <c:v>80</c:v>
                </c:pt>
                <c:pt idx="18">
                  <c:v>85</c:v>
                </c:pt>
                <c:pt idx="19">
                  <c:v>90</c:v>
                </c:pt>
                <c:pt idx="20">
                  <c:v>95</c:v>
                </c:pt>
                <c:pt idx="21">
                  <c:v>100</c:v>
                </c:pt>
                <c:pt idx="22">
                  <c:v>105</c:v>
                </c:pt>
                <c:pt idx="23">
                  <c:v>110</c:v>
                </c:pt>
                <c:pt idx="24">
                  <c:v>115</c:v>
                </c:pt>
                <c:pt idx="25">
                  <c:v>120</c:v>
                </c:pt>
                <c:pt idx="26">
                  <c:v>125</c:v>
                </c:pt>
                <c:pt idx="27">
                  <c:v>130</c:v>
                </c:pt>
                <c:pt idx="28">
                  <c:v>135</c:v>
                </c:pt>
                <c:pt idx="29">
                  <c:v>140</c:v>
                </c:pt>
                <c:pt idx="30">
                  <c:v>145</c:v>
                </c:pt>
                <c:pt idx="31">
                  <c:v>150</c:v>
                </c:pt>
                <c:pt idx="32">
                  <c:v>155</c:v>
                </c:pt>
                <c:pt idx="33">
                  <c:v>160</c:v>
                </c:pt>
                <c:pt idx="34">
                  <c:v>165</c:v>
                </c:pt>
                <c:pt idx="35">
                  <c:v>170</c:v>
                </c:pt>
                <c:pt idx="36">
                  <c:v>175</c:v>
                </c:pt>
                <c:pt idx="37">
                  <c:v>180</c:v>
                </c:pt>
                <c:pt idx="38">
                  <c:v>185</c:v>
                </c:pt>
                <c:pt idx="39">
                  <c:v>190</c:v>
                </c:pt>
              </c:numCache>
            </c:numRef>
          </c:cat>
          <c:val>
            <c:numRef>
              <c:f>Sheet6!$M$80:$M$119</c:f>
              <c:numCache>
                <c:formatCode>_(* #,##0.00_);_(* \(#,##0.00\);_(* "-"??_);_(@_)</c:formatCode>
                <c:ptCount val="40"/>
                <c:pt idx="0">
                  <c:v>0</c:v>
                </c:pt>
                <c:pt idx="1">
                  <c:v>2.9070103145781848E-2</c:v>
                </c:pt>
                <c:pt idx="2">
                  <c:v>2.8645686101203591E-2</c:v>
                </c:pt>
                <c:pt idx="3">
                  <c:v>7.3559852675789766E-2</c:v>
                </c:pt>
                <c:pt idx="4">
                  <c:v>0.10088592754647574</c:v>
                </c:pt>
                <c:pt idx="5">
                  <c:v>7.3552717388761554E-2</c:v>
                </c:pt>
                <c:pt idx="6">
                  <c:v>8.8983777271466349E-2</c:v>
                </c:pt>
                <c:pt idx="7">
                  <c:v>0.11763039474460962</c:v>
                </c:pt>
                <c:pt idx="8">
                  <c:v>0.13245344830984251</c:v>
                </c:pt>
                <c:pt idx="9">
                  <c:v>0.16769752757133144</c:v>
                </c:pt>
                <c:pt idx="10">
                  <c:v>0.20562941806833479</c:v>
                </c:pt>
                <c:pt idx="11">
                  <c:v>0.22312244422037042</c:v>
                </c:pt>
                <c:pt idx="12">
                  <c:v>0.27843769236376564</c:v>
                </c:pt>
                <c:pt idx="13">
                  <c:v>0.30744009835825253</c:v>
                </c:pt>
                <c:pt idx="14">
                  <c:v>0.31656907458393485</c:v>
                </c:pt>
                <c:pt idx="15">
                  <c:v>0.36720955563500135</c:v>
                </c:pt>
                <c:pt idx="16">
                  <c:v>0.42068078133381553</c:v>
                </c:pt>
                <c:pt idx="17">
                  <c:v>0.47932747104156037</c:v>
                </c:pt>
                <c:pt idx="18">
                  <c:v>0.48754219492890172</c:v>
                </c:pt>
                <c:pt idx="19">
                  <c:v>0.56688860946940767</c:v>
                </c:pt>
                <c:pt idx="20">
                  <c:v>0.55577987432293874</c:v>
                </c:pt>
                <c:pt idx="21">
                  <c:v>0.63868443946420073</c:v>
                </c:pt>
                <c:pt idx="22">
                  <c:v>0.65926620980073269</c:v>
                </c:pt>
                <c:pt idx="23">
                  <c:v>0.70622245867858668</c:v>
                </c:pt>
                <c:pt idx="24">
                  <c:v>0.73610900343479779</c:v>
                </c:pt>
                <c:pt idx="25">
                  <c:v>0.77370785294438793</c:v>
                </c:pt>
                <c:pt idx="26">
                  <c:v>0.82472838627867517</c:v>
                </c:pt>
                <c:pt idx="27">
                  <c:v>0.88565117670494864</c:v>
                </c:pt>
                <c:pt idx="28">
                  <c:v>0.85710985702682707</c:v>
                </c:pt>
                <c:pt idx="29">
                  <c:v>0.83813032628555395</c:v>
                </c:pt>
                <c:pt idx="30">
                  <c:v>0.87772551750519689</c:v>
                </c:pt>
                <c:pt idx="31">
                  <c:v>0.90226853688140729</c:v>
                </c:pt>
                <c:pt idx="32">
                  <c:v>0.89956188108667468</c:v>
                </c:pt>
                <c:pt idx="33">
                  <c:v>0.84678840950002554</c:v>
                </c:pt>
                <c:pt idx="34">
                  <c:v>0.96547666217471095</c:v>
                </c:pt>
                <c:pt idx="35">
                  <c:v>0.81336047713028137</c:v>
                </c:pt>
                <c:pt idx="36">
                  <c:v>0.96278221339685166</c:v>
                </c:pt>
                <c:pt idx="37">
                  <c:v>0.93717231377813703</c:v>
                </c:pt>
                <c:pt idx="38">
                  <c:v>1</c:v>
                </c:pt>
                <c:pt idx="39">
                  <c:v>0.84230486116810199</c:v>
                </c:pt>
              </c:numCache>
            </c:numRef>
          </c:val>
          <c:smooth val="0"/>
        </c:ser>
        <c:dLbls>
          <c:showLegendKey val="0"/>
          <c:showVal val="0"/>
          <c:showCatName val="0"/>
          <c:showSerName val="0"/>
          <c:showPercent val="0"/>
          <c:showBubbleSize val="0"/>
        </c:dLbls>
        <c:marker val="1"/>
        <c:smooth val="0"/>
        <c:axId val="64844928"/>
        <c:axId val="64846464"/>
      </c:lineChart>
      <c:catAx>
        <c:axId val="64844928"/>
        <c:scaling>
          <c:orientation val="minMax"/>
        </c:scaling>
        <c:delete val="0"/>
        <c:axPos val="b"/>
        <c:numFmt formatCode="General" sourceLinked="1"/>
        <c:majorTickMark val="out"/>
        <c:minorTickMark val="none"/>
        <c:tickLblPos val="nextTo"/>
        <c:crossAx val="64846464"/>
        <c:crosses val="autoZero"/>
        <c:auto val="1"/>
        <c:lblAlgn val="ctr"/>
        <c:lblOffset val="100"/>
        <c:tickLblSkip val="4"/>
        <c:tickMarkSkip val="4"/>
        <c:noMultiLvlLbl val="0"/>
      </c:catAx>
      <c:valAx>
        <c:axId val="64846464"/>
        <c:scaling>
          <c:orientation val="minMax"/>
          <c:max val="1"/>
          <c:min val="0"/>
        </c:scaling>
        <c:delete val="0"/>
        <c:axPos val="l"/>
        <c:numFmt formatCode="_(* #,##0.00_);_(* \(#,##0.00\);_(* &quot;-&quot;??_);_(@_)" sourceLinked="1"/>
        <c:majorTickMark val="out"/>
        <c:minorTickMark val="none"/>
        <c:tickLblPos val="nextTo"/>
        <c:crossAx val="64844928"/>
        <c:crosses val="autoZero"/>
        <c:crossBetween val="midCat"/>
      </c:valAx>
    </c:plotArea>
    <c:legend>
      <c:legendPos val="r"/>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Sheet6!$B$1</c:f>
              <c:strCache>
                <c:ptCount val="1"/>
                <c:pt idx="0">
                  <c:v>60</c:v>
                </c:pt>
              </c:strCache>
            </c:strRef>
          </c:tx>
          <c:marker>
            <c:symbol val="none"/>
          </c:marker>
          <c:cat>
            <c:numRef>
              <c:f>Sheet6!$A$2:$A$44</c:f>
              <c:numCache>
                <c:formatCode>General</c:formatCode>
                <c:ptCount val="43"/>
                <c:pt idx="0">
                  <c:v>-25</c:v>
                </c:pt>
                <c:pt idx="1">
                  <c:v>-15</c:v>
                </c:pt>
                <c:pt idx="2">
                  <c:v>-10</c:v>
                </c:pt>
                <c:pt idx="3">
                  <c:v>-5</c:v>
                </c:pt>
                <c:pt idx="4">
                  <c:v>0</c:v>
                </c:pt>
                <c:pt idx="5">
                  <c:v>5</c:v>
                </c:pt>
                <c:pt idx="6">
                  <c:v>10</c:v>
                </c:pt>
                <c:pt idx="7">
                  <c:v>15</c:v>
                </c:pt>
                <c:pt idx="8">
                  <c:v>20</c:v>
                </c:pt>
                <c:pt idx="9">
                  <c:v>25</c:v>
                </c:pt>
                <c:pt idx="10">
                  <c:v>30</c:v>
                </c:pt>
                <c:pt idx="11">
                  <c:v>35</c:v>
                </c:pt>
                <c:pt idx="12">
                  <c:v>40</c:v>
                </c:pt>
                <c:pt idx="13">
                  <c:v>45</c:v>
                </c:pt>
                <c:pt idx="14">
                  <c:v>50</c:v>
                </c:pt>
                <c:pt idx="15">
                  <c:v>55</c:v>
                </c:pt>
                <c:pt idx="16">
                  <c:v>60</c:v>
                </c:pt>
                <c:pt idx="17">
                  <c:v>65</c:v>
                </c:pt>
                <c:pt idx="18">
                  <c:v>70</c:v>
                </c:pt>
                <c:pt idx="19">
                  <c:v>75</c:v>
                </c:pt>
                <c:pt idx="20">
                  <c:v>80</c:v>
                </c:pt>
                <c:pt idx="21">
                  <c:v>85</c:v>
                </c:pt>
                <c:pt idx="22">
                  <c:v>90</c:v>
                </c:pt>
                <c:pt idx="23">
                  <c:v>95</c:v>
                </c:pt>
                <c:pt idx="24">
                  <c:v>100</c:v>
                </c:pt>
                <c:pt idx="25">
                  <c:v>105</c:v>
                </c:pt>
                <c:pt idx="26">
                  <c:v>110</c:v>
                </c:pt>
                <c:pt idx="27">
                  <c:v>115</c:v>
                </c:pt>
                <c:pt idx="28">
                  <c:v>120</c:v>
                </c:pt>
                <c:pt idx="29">
                  <c:v>125</c:v>
                </c:pt>
                <c:pt idx="30">
                  <c:v>130</c:v>
                </c:pt>
                <c:pt idx="31">
                  <c:v>135</c:v>
                </c:pt>
                <c:pt idx="32">
                  <c:v>140</c:v>
                </c:pt>
                <c:pt idx="33">
                  <c:v>145</c:v>
                </c:pt>
                <c:pt idx="34">
                  <c:v>150</c:v>
                </c:pt>
                <c:pt idx="35">
                  <c:v>155</c:v>
                </c:pt>
                <c:pt idx="36">
                  <c:v>160</c:v>
                </c:pt>
                <c:pt idx="37">
                  <c:v>165</c:v>
                </c:pt>
                <c:pt idx="38">
                  <c:v>170</c:v>
                </c:pt>
                <c:pt idx="39">
                  <c:v>175</c:v>
                </c:pt>
                <c:pt idx="40">
                  <c:v>180</c:v>
                </c:pt>
                <c:pt idx="41">
                  <c:v>185</c:v>
                </c:pt>
                <c:pt idx="42">
                  <c:v>190</c:v>
                </c:pt>
              </c:numCache>
            </c:numRef>
          </c:cat>
          <c:val>
            <c:numRef>
              <c:f>Sheet6!$B$2:$B$44</c:f>
              <c:numCache>
                <c:formatCode>_(* #,##0.00_);_(* \(#,##0.00\);_(* "-"??_);_(@_)</c:formatCode>
                <c:ptCount val="43"/>
                <c:pt idx="0">
                  <c:v>8.0795177965137697</c:v>
                </c:pt>
                <c:pt idx="1">
                  <c:v>8.6805861008429108</c:v>
                </c:pt>
                <c:pt idx="2">
                  <c:v>9.3857577878501903</c:v>
                </c:pt>
                <c:pt idx="3">
                  <c:v>9.3130142574881702</c:v>
                </c:pt>
                <c:pt idx="4">
                  <c:v>8.0138615757482903</c:v>
                </c:pt>
                <c:pt idx="5">
                  <c:v>10.0518989613195</c:v>
                </c:pt>
                <c:pt idx="6">
                  <c:v>9.9210241256148599</c:v>
                </c:pt>
                <c:pt idx="7">
                  <c:v>9.7899577471123607</c:v>
                </c:pt>
                <c:pt idx="8">
                  <c:v>9.7025753175343006</c:v>
                </c:pt>
                <c:pt idx="9">
                  <c:v>9.2735422014736901</c:v>
                </c:pt>
                <c:pt idx="10">
                  <c:v>9.7346086655700699</c:v>
                </c:pt>
                <c:pt idx="11">
                  <c:v>10.279317116363099</c:v>
                </c:pt>
                <c:pt idx="12">
                  <c:v>9.0495432204951207</c:v>
                </c:pt>
                <c:pt idx="13">
                  <c:v>9.6788873383033796</c:v>
                </c:pt>
                <c:pt idx="14">
                  <c:v>9.6259032533053297</c:v>
                </c:pt>
                <c:pt idx="15">
                  <c:v>9.7494086399620201</c:v>
                </c:pt>
                <c:pt idx="16">
                  <c:v>10.4726552627285</c:v>
                </c:pt>
                <c:pt idx="17">
                  <c:v>10.8097661645182</c:v>
                </c:pt>
                <c:pt idx="18">
                  <c:v>11.278494798339899</c:v>
                </c:pt>
                <c:pt idx="19">
                  <c:v>10.360217755137899</c:v>
                </c:pt>
                <c:pt idx="20">
                  <c:v>11.6092063002649</c:v>
                </c:pt>
                <c:pt idx="21">
                  <c:v>11.8301867039886</c:v>
                </c:pt>
                <c:pt idx="22">
                  <c:v>11.708469938003301</c:v>
                </c:pt>
                <c:pt idx="23">
                  <c:v>11.345295015750199</c:v>
                </c:pt>
                <c:pt idx="24">
                  <c:v>13.5936282433803</c:v>
                </c:pt>
                <c:pt idx="25">
                  <c:v>13.752444330789499</c:v>
                </c:pt>
                <c:pt idx="26">
                  <c:v>12.510010163590801</c:v>
                </c:pt>
                <c:pt idx="27">
                  <c:v>12.3011342938672</c:v>
                </c:pt>
                <c:pt idx="28">
                  <c:v>13.1493022628928</c:v>
                </c:pt>
                <c:pt idx="29">
                  <c:v>14.5683980208671</c:v>
                </c:pt>
                <c:pt idx="30">
                  <c:v>13.7568252867555</c:v>
                </c:pt>
                <c:pt idx="31">
                  <c:v>13.4041402096772</c:v>
                </c:pt>
                <c:pt idx="32">
                  <c:v>15.803341065847899</c:v>
                </c:pt>
                <c:pt idx="33">
                  <c:v>14.2864099059066</c:v>
                </c:pt>
                <c:pt idx="34">
                  <c:v>14.205603089203301</c:v>
                </c:pt>
                <c:pt idx="35">
                  <c:v>16.012362987549501</c:v>
                </c:pt>
                <c:pt idx="36">
                  <c:v>15.675286042542201</c:v>
                </c:pt>
                <c:pt idx="37">
                  <c:v>16.9575225045865</c:v>
                </c:pt>
                <c:pt idx="38">
                  <c:v>12.4474618665415</c:v>
                </c:pt>
                <c:pt idx="39">
                  <c:v>15.6537173678011</c:v>
                </c:pt>
                <c:pt idx="40">
                  <c:v>16.128857482770599</c:v>
                </c:pt>
                <c:pt idx="41">
                  <c:v>17.797299294021901</c:v>
                </c:pt>
                <c:pt idx="42">
                  <c:v>14.9930424951863</c:v>
                </c:pt>
              </c:numCache>
            </c:numRef>
          </c:val>
          <c:smooth val="0"/>
        </c:ser>
        <c:ser>
          <c:idx val="1"/>
          <c:order val="1"/>
          <c:tx>
            <c:strRef>
              <c:f>Sheet6!$C$1</c:f>
              <c:strCache>
                <c:ptCount val="1"/>
                <c:pt idx="0">
                  <c:v>70</c:v>
                </c:pt>
              </c:strCache>
            </c:strRef>
          </c:tx>
          <c:marker>
            <c:symbol val="none"/>
          </c:marker>
          <c:cat>
            <c:numRef>
              <c:f>Sheet6!$A$2:$A$44</c:f>
              <c:numCache>
                <c:formatCode>General</c:formatCode>
                <c:ptCount val="43"/>
                <c:pt idx="0">
                  <c:v>-25</c:v>
                </c:pt>
                <c:pt idx="1">
                  <c:v>-15</c:v>
                </c:pt>
                <c:pt idx="2">
                  <c:v>-10</c:v>
                </c:pt>
                <c:pt idx="3">
                  <c:v>-5</c:v>
                </c:pt>
                <c:pt idx="4">
                  <c:v>0</c:v>
                </c:pt>
                <c:pt idx="5">
                  <c:v>5</c:v>
                </c:pt>
                <c:pt idx="6">
                  <c:v>10</c:v>
                </c:pt>
                <c:pt idx="7">
                  <c:v>15</c:v>
                </c:pt>
                <c:pt idx="8">
                  <c:v>20</c:v>
                </c:pt>
                <c:pt idx="9">
                  <c:v>25</c:v>
                </c:pt>
                <c:pt idx="10">
                  <c:v>30</c:v>
                </c:pt>
                <c:pt idx="11">
                  <c:v>35</c:v>
                </c:pt>
                <c:pt idx="12">
                  <c:v>40</c:v>
                </c:pt>
                <c:pt idx="13">
                  <c:v>45</c:v>
                </c:pt>
                <c:pt idx="14">
                  <c:v>50</c:v>
                </c:pt>
                <c:pt idx="15">
                  <c:v>55</c:v>
                </c:pt>
                <c:pt idx="16">
                  <c:v>60</c:v>
                </c:pt>
                <c:pt idx="17">
                  <c:v>65</c:v>
                </c:pt>
                <c:pt idx="18">
                  <c:v>70</c:v>
                </c:pt>
                <c:pt idx="19">
                  <c:v>75</c:v>
                </c:pt>
                <c:pt idx="20">
                  <c:v>80</c:v>
                </c:pt>
                <c:pt idx="21">
                  <c:v>85</c:v>
                </c:pt>
                <c:pt idx="22">
                  <c:v>90</c:v>
                </c:pt>
                <c:pt idx="23">
                  <c:v>95</c:v>
                </c:pt>
                <c:pt idx="24">
                  <c:v>100</c:v>
                </c:pt>
                <c:pt idx="25">
                  <c:v>105</c:v>
                </c:pt>
                <c:pt idx="26">
                  <c:v>110</c:v>
                </c:pt>
                <c:pt idx="27">
                  <c:v>115</c:v>
                </c:pt>
                <c:pt idx="28">
                  <c:v>120</c:v>
                </c:pt>
                <c:pt idx="29">
                  <c:v>125</c:v>
                </c:pt>
                <c:pt idx="30">
                  <c:v>130</c:v>
                </c:pt>
                <c:pt idx="31">
                  <c:v>135</c:v>
                </c:pt>
                <c:pt idx="32">
                  <c:v>140</c:v>
                </c:pt>
                <c:pt idx="33">
                  <c:v>145</c:v>
                </c:pt>
                <c:pt idx="34">
                  <c:v>150</c:v>
                </c:pt>
                <c:pt idx="35">
                  <c:v>155</c:v>
                </c:pt>
                <c:pt idx="36">
                  <c:v>160</c:v>
                </c:pt>
                <c:pt idx="37">
                  <c:v>165</c:v>
                </c:pt>
                <c:pt idx="38">
                  <c:v>170</c:v>
                </c:pt>
                <c:pt idx="39">
                  <c:v>175</c:v>
                </c:pt>
                <c:pt idx="40">
                  <c:v>180</c:v>
                </c:pt>
                <c:pt idx="41">
                  <c:v>185</c:v>
                </c:pt>
                <c:pt idx="42">
                  <c:v>190</c:v>
                </c:pt>
              </c:numCache>
            </c:numRef>
          </c:cat>
          <c:val>
            <c:numRef>
              <c:f>Sheet6!$C$2:$C$44</c:f>
              <c:numCache>
                <c:formatCode>_(* #,##0.00_);_(* \(#,##0.00\);_(* "-"??_);_(@_)</c:formatCode>
                <c:ptCount val="43"/>
                <c:pt idx="0">
                  <c:v>7.2213767221873697</c:v>
                </c:pt>
                <c:pt idx="1">
                  <c:v>7.60798429900803</c:v>
                </c:pt>
                <c:pt idx="2">
                  <c:v>8.5316426375462697</c:v>
                </c:pt>
                <c:pt idx="3">
                  <c:v>8.5268070635036803</c:v>
                </c:pt>
                <c:pt idx="4">
                  <c:v>8.3348111813328405</c:v>
                </c:pt>
                <c:pt idx="5">
                  <c:v>8.7715591056667694</c:v>
                </c:pt>
                <c:pt idx="6">
                  <c:v>8.5510437364632708</c:v>
                </c:pt>
                <c:pt idx="7">
                  <c:v>8.5504197899004097</c:v>
                </c:pt>
                <c:pt idx="8">
                  <c:v>8.8121795024272593</c:v>
                </c:pt>
                <c:pt idx="9">
                  <c:v>9.07379132265193</c:v>
                </c:pt>
                <c:pt idx="10">
                  <c:v>8.7171381038679598</c:v>
                </c:pt>
                <c:pt idx="11">
                  <c:v>9.1608310465454306</c:v>
                </c:pt>
                <c:pt idx="12">
                  <c:v>9.5602227168195792</c:v>
                </c:pt>
                <c:pt idx="13">
                  <c:v>9.4129874485190808</c:v>
                </c:pt>
                <c:pt idx="14">
                  <c:v>9.0795217844119893</c:v>
                </c:pt>
                <c:pt idx="15">
                  <c:v>9.7959963925272007</c:v>
                </c:pt>
                <c:pt idx="16">
                  <c:v>10.4476967658389</c:v>
                </c:pt>
                <c:pt idx="17">
                  <c:v>9.8354296521888696</c:v>
                </c:pt>
                <c:pt idx="18">
                  <c:v>10.4789901430507</c:v>
                </c:pt>
                <c:pt idx="19">
                  <c:v>10.304357603106199</c:v>
                </c:pt>
                <c:pt idx="20">
                  <c:v>10.7580092403281</c:v>
                </c:pt>
                <c:pt idx="21">
                  <c:v>11.3828194239056</c:v>
                </c:pt>
                <c:pt idx="22">
                  <c:v>11.3394071752797</c:v>
                </c:pt>
                <c:pt idx="23">
                  <c:v>11.2826563467169</c:v>
                </c:pt>
                <c:pt idx="24">
                  <c:v>11.7061942840804</c:v>
                </c:pt>
                <c:pt idx="25">
                  <c:v>12.5790075603747</c:v>
                </c:pt>
                <c:pt idx="26">
                  <c:v>12.754264051866601</c:v>
                </c:pt>
                <c:pt idx="27">
                  <c:v>12.798580143075201</c:v>
                </c:pt>
                <c:pt idx="28">
                  <c:v>13.200959290240901</c:v>
                </c:pt>
                <c:pt idx="29">
                  <c:v>13.8735659888047</c:v>
                </c:pt>
                <c:pt idx="30">
                  <c:v>14.253132244642501</c:v>
                </c:pt>
                <c:pt idx="31">
                  <c:v>13.732058962341799</c:v>
                </c:pt>
                <c:pt idx="32">
                  <c:v>14.814533239942399</c:v>
                </c:pt>
                <c:pt idx="33">
                  <c:v>14.243046678475601</c:v>
                </c:pt>
                <c:pt idx="34">
                  <c:v>15.218868868423201</c:v>
                </c:pt>
                <c:pt idx="35">
                  <c:v>14.236920404519299</c:v>
                </c:pt>
                <c:pt idx="36">
                  <c:v>15.7423296359601</c:v>
                </c:pt>
                <c:pt idx="37">
                  <c:v>15.722721060727199</c:v>
                </c:pt>
                <c:pt idx="38">
                  <c:v>16.059332854280498</c:v>
                </c:pt>
                <c:pt idx="39">
                  <c:v>15.6461622387588</c:v>
                </c:pt>
                <c:pt idx="40">
                  <c:v>16.6924234732071</c:v>
                </c:pt>
                <c:pt idx="41">
                  <c:v>18.7552054356714</c:v>
                </c:pt>
                <c:pt idx="42">
                  <c:v>14.578367113129399</c:v>
                </c:pt>
              </c:numCache>
            </c:numRef>
          </c:val>
          <c:smooth val="0"/>
        </c:ser>
        <c:ser>
          <c:idx val="2"/>
          <c:order val="2"/>
          <c:tx>
            <c:strRef>
              <c:f>Sheet6!$D$1</c:f>
              <c:strCache>
                <c:ptCount val="1"/>
                <c:pt idx="0">
                  <c:v>80</c:v>
                </c:pt>
              </c:strCache>
            </c:strRef>
          </c:tx>
          <c:marker>
            <c:symbol val="none"/>
          </c:marker>
          <c:cat>
            <c:numRef>
              <c:f>Sheet6!$A$2:$A$44</c:f>
              <c:numCache>
                <c:formatCode>General</c:formatCode>
                <c:ptCount val="43"/>
                <c:pt idx="0">
                  <c:v>-25</c:v>
                </c:pt>
                <c:pt idx="1">
                  <c:v>-15</c:v>
                </c:pt>
                <c:pt idx="2">
                  <c:v>-10</c:v>
                </c:pt>
                <c:pt idx="3">
                  <c:v>-5</c:v>
                </c:pt>
                <c:pt idx="4">
                  <c:v>0</c:v>
                </c:pt>
                <c:pt idx="5">
                  <c:v>5</c:v>
                </c:pt>
                <c:pt idx="6">
                  <c:v>10</c:v>
                </c:pt>
                <c:pt idx="7">
                  <c:v>15</c:v>
                </c:pt>
                <c:pt idx="8">
                  <c:v>20</c:v>
                </c:pt>
                <c:pt idx="9">
                  <c:v>25</c:v>
                </c:pt>
                <c:pt idx="10">
                  <c:v>30</c:v>
                </c:pt>
                <c:pt idx="11">
                  <c:v>35</c:v>
                </c:pt>
                <c:pt idx="12">
                  <c:v>40</c:v>
                </c:pt>
                <c:pt idx="13">
                  <c:v>45</c:v>
                </c:pt>
                <c:pt idx="14">
                  <c:v>50</c:v>
                </c:pt>
                <c:pt idx="15">
                  <c:v>55</c:v>
                </c:pt>
                <c:pt idx="16">
                  <c:v>60</c:v>
                </c:pt>
                <c:pt idx="17">
                  <c:v>65</c:v>
                </c:pt>
                <c:pt idx="18">
                  <c:v>70</c:v>
                </c:pt>
                <c:pt idx="19">
                  <c:v>75</c:v>
                </c:pt>
                <c:pt idx="20">
                  <c:v>80</c:v>
                </c:pt>
                <c:pt idx="21">
                  <c:v>85</c:v>
                </c:pt>
                <c:pt idx="22">
                  <c:v>90</c:v>
                </c:pt>
                <c:pt idx="23">
                  <c:v>95</c:v>
                </c:pt>
                <c:pt idx="24">
                  <c:v>100</c:v>
                </c:pt>
                <c:pt idx="25">
                  <c:v>105</c:v>
                </c:pt>
                <c:pt idx="26">
                  <c:v>110</c:v>
                </c:pt>
                <c:pt idx="27">
                  <c:v>115</c:v>
                </c:pt>
                <c:pt idx="28">
                  <c:v>120</c:v>
                </c:pt>
                <c:pt idx="29">
                  <c:v>125</c:v>
                </c:pt>
                <c:pt idx="30">
                  <c:v>130</c:v>
                </c:pt>
                <c:pt idx="31">
                  <c:v>135</c:v>
                </c:pt>
                <c:pt idx="32">
                  <c:v>140</c:v>
                </c:pt>
                <c:pt idx="33">
                  <c:v>145</c:v>
                </c:pt>
                <c:pt idx="34">
                  <c:v>150</c:v>
                </c:pt>
                <c:pt idx="35">
                  <c:v>155</c:v>
                </c:pt>
                <c:pt idx="36">
                  <c:v>160</c:v>
                </c:pt>
                <c:pt idx="37">
                  <c:v>165</c:v>
                </c:pt>
                <c:pt idx="38">
                  <c:v>170</c:v>
                </c:pt>
                <c:pt idx="39">
                  <c:v>175</c:v>
                </c:pt>
                <c:pt idx="40">
                  <c:v>180</c:v>
                </c:pt>
                <c:pt idx="41">
                  <c:v>185</c:v>
                </c:pt>
                <c:pt idx="42">
                  <c:v>190</c:v>
                </c:pt>
              </c:numCache>
            </c:numRef>
          </c:cat>
          <c:val>
            <c:numRef>
              <c:f>Sheet6!$D$2:$D$44</c:f>
              <c:numCache>
                <c:formatCode>_(* #,##0.00_);_(* \(#,##0.00\);_(* "-"??_);_(@_)</c:formatCode>
                <c:ptCount val="43"/>
                <c:pt idx="0">
                  <c:v>6.72535845610353</c:v>
                </c:pt>
                <c:pt idx="1">
                  <c:v>7.4805430498898504</c:v>
                </c:pt>
                <c:pt idx="2">
                  <c:v>8.3592662988301996</c:v>
                </c:pt>
                <c:pt idx="3">
                  <c:v>7.4374506077358404</c:v>
                </c:pt>
                <c:pt idx="4">
                  <c:v>8.1505700920075004</c:v>
                </c:pt>
                <c:pt idx="5">
                  <c:v>7.9699779019127002</c:v>
                </c:pt>
                <c:pt idx="6">
                  <c:v>9.13323069003577</c:v>
                </c:pt>
                <c:pt idx="7">
                  <c:v>8.0849455531479002</c:v>
                </c:pt>
                <c:pt idx="8">
                  <c:v>8.7769409674244301</c:v>
                </c:pt>
                <c:pt idx="9">
                  <c:v>8.4277556070200905</c:v>
                </c:pt>
                <c:pt idx="10">
                  <c:v>8.8119126801140606</c:v>
                </c:pt>
                <c:pt idx="11">
                  <c:v>8.5879585646839107</c:v>
                </c:pt>
                <c:pt idx="12">
                  <c:v>8.5117825697236906</c:v>
                </c:pt>
                <c:pt idx="13">
                  <c:v>8.5923748336124</c:v>
                </c:pt>
                <c:pt idx="14">
                  <c:v>8.9351123163550401</c:v>
                </c:pt>
                <c:pt idx="15">
                  <c:v>9.6261452848494908</c:v>
                </c:pt>
                <c:pt idx="16">
                  <c:v>9.6926438733173192</c:v>
                </c:pt>
                <c:pt idx="17">
                  <c:v>9.9600977108534501</c:v>
                </c:pt>
                <c:pt idx="18">
                  <c:v>9.8539408520710605</c:v>
                </c:pt>
                <c:pt idx="19">
                  <c:v>10.228636535252701</c:v>
                </c:pt>
                <c:pt idx="20">
                  <c:v>11.0512213739191</c:v>
                </c:pt>
                <c:pt idx="21">
                  <c:v>11.9156258576197</c:v>
                </c:pt>
                <c:pt idx="22">
                  <c:v>11.5113093454168</c:v>
                </c:pt>
                <c:pt idx="23">
                  <c:v>12.3293215496541</c:v>
                </c:pt>
                <c:pt idx="24">
                  <c:v>12.9849939839201</c:v>
                </c:pt>
                <c:pt idx="25">
                  <c:v>13.454183771573099</c:v>
                </c:pt>
                <c:pt idx="26">
                  <c:v>13.314986975266899</c:v>
                </c:pt>
                <c:pt idx="27">
                  <c:v>13.9867028376603</c:v>
                </c:pt>
                <c:pt idx="28">
                  <c:v>13.946222288253599</c:v>
                </c:pt>
                <c:pt idx="29">
                  <c:v>14.0537151712546</c:v>
                </c:pt>
                <c:pt idx="30">
                  <c:v>14.190902614781599</c:v>
                </c:pt>
                <c:pt idx="31">
                  <c:v>14.618393554797301</c:v>
                </c:pt>
                <c:pt idx="32">
                  <c:v>14.777020485717999</c:v>
                </c:pt>
                <c:pt idx="33">
                  <c:v>15.619519159873199</c:v>
                </c:pt>
                <c:pt idx="34">
                  <c:v>17.087233057780299</c:v>
                </c:pt>
                <c:pt idx="35">
                  <c:v>16.979308092924398</c:v>
                </c:pt>
                <c:pt idx="36">
                  <c:v>16.987364902092299</c:v>
                </c:pt>
                <c:pt idx="37">
                  <c:v>17.1548666626916</c:v>
                </c:pt>
                <c:pt idx="38">
                  <c:v>16.663852212206201</c:v>
                </c:pt>
                <c:pt idx="39">
                  <c:v>18.548414507229701</c:v>
                </c:pt>
                <c:pt idx="40">
                  <c:v>17.185679341375</c:v>
                </c:pt>
                <c:pt idx="41">
                  <c:v>18.5292984816457</c:v>
                </c:pt>
                <c:pt idx="42">
                  <c:v>16.077973224520601</c:v>
                </c:pt>
              </c:numCache>
            </c:numRef>
          </c:val>
          <c:smooth val="0"/>
        </c:ser>
        <c:ser>
          <c:idx val="3"/>
          <c:order val="3"/>
          <c:tx>
            <c:strRef>
              <c:f>Sheet6!$E$1</c:f>
              <c:strCache>
                <c:ptCount val="1"/>
                <c:pt idx="0">
                  <c:v>90</c:v>
                </c:pt>
              </c:strCache>
            </c:strRef>
          </c:tx>
          <c:marker>
            <c:symbol val="none"/>
          </c:marker>
          <c:cat>
            <c:numRef>
              <c:f>Sheet6!$A$2:$A$44</c:f>
              <c:numCache>
                <c:formatCode>General</c:formatCode>
                <c:ptCount val="43"/>
                <c:pt idx="0">
                  <c:v>-25</c:v>
                </c:pt>
                <c:pt idx="1">
                  <c:v>-15</c:v>
                </c:pt>
                <c:pt idx="2">
                  <c:v>-10</c:v>
                </c:pt>
                <c:pt idx="3">
                  <c:v>-5</c:v>
                </c:pt>
                <c:pt idx="4">
                  <c:v>0</c:v>
                </c:pt>
                <c:pt idx="5">
                  <c:v>5</c:v>
                </c:pt>
                <c:pt idx="6">
                  <c:v>10</c:v>
                </c:pt>
                <c:pt idx="7">
                  <c:v>15</c:v>
                </c:pt>
                <c:pt idx="8">
                  <c:v>20</c:v>
                </c:pt>
                <c:pt idx="9">
                  <c:v>25</c:v>
                </c:pt>
                <c:pt idx="10">
                  <c:v>30</c:v>
                </c:pt>
                <c:pt idx="11">
                  <c:v>35</c:v>
                </c:pt>
                <c:pt idx="12">
                  <c:v>40</c:v>
                </c:pt>
                <c:pt idx="13">
                  <c:v>45</c:v>
                </c:pt>
                <c:pt idx="14">
                  <c:v>50</c:v>
                </c:pt>
                <c:pt idx="15">
                  <c:v>55</c:v>
                </c:pt>
                <c:pt idx="16">
                  <c:v>60</c:v>
                </c:pt>
                <c:pt idx="17">
                  <c:v>65</c:v>
                </c:pt>
                <c:pt idx="18">
                  <c:v>70</c:v>
                </c:pt>
                <c:pt idx="19">
                  <c:v>75</c:v>
                </c:pt>
                <c:pt idx="20">
                  <c:v>80</c:v>
                </c:pt>
                <c:pt idx="21">
                  <c:v>85</c:v>
                </c:pt>
                <c:pt idx="22">
                  <c:v>90</c:v>
                </c:pt>
                <c:pt idx="23">
                  <c:v>95</c:v>
                </c:pt>
                <c:pt idx="24">
                  <c:v>100</c:v>
                </c:pt>
                <c:pt idx="25">
                  <c:v>105</c:v>
                </c:pt>
                <c:pt idx="26">
                  <c:v>110</c:v>
                </c:pt>
                <c:pt idx="27">
                  <c:v>115</c:v>
                </c:pt>
                <c:pt idx="28">
                  <c:v>120</c:v>
                </c:pt>
                <c:pt idx="29">
                  <c:v>125</c:v>
                </c:pt>
                <c:pt idx="30">
                  <c:v>130</c:v>
                </c:pt>
                <c:pt idx="31">
                  <c:v>135</c:v>
                </c:pt>
                <c:pt idx="32">
                  <c:v>140</c:v>
                </c:pt>
                <c:pt idx="33">
                  <c:v>145</c:v>
                </c:pt>
                <c:pt idx="34">
                  <c:v>150</c:v>
                </c:pt>
                <c:pt idx="35">
                  <c:v>155</c:v>
                </c:pt>
                <c:pt idx="36">
                  <c:v>160</c:v>
                </c:pt>
                <c:pt idx="37">
                  <c:v>165</c:v>
                </c:pt>
                <c:pt idx="38">
                  <c:v>170</c:v>
                </c:pt>
                <c:pt idx="39">
                  <c:v>175</c:v>
                </c:pt>
                <c:pt idx="40">
                  <c:v>180</c:v>
                </c:pt>
                <c:pt idx="41">
                  <c:v>185</c:v>
                </c:pt>
                <c:pt idx="42">
                  <c:v>190</c:v>
                </c:pt>
              </c:numCache>
            </c:numRef>
          </c:cat>
          <c:val>
            <c:numRef>
              <c:f>Sheet6!$E$2:$E$44</c:f>
              <c:numCache>
                <c:formatCode>_(* #,##0.00_);_(* \(#,##0.00\);_(* "-"??_);_(@_)</c:formatCode>
                <c:ptCount val="43"/>
                <c:pt idx="0">
                  <c:v>6.7273956075274697</c:v>
                </c:pt>
                <c:pt idx="1">
                  <c:v>7.8620456580270099</c:v>
                </c:pt>
                <c:pt idx="2">
                  <c:v>7.7915826465785702</c:v>
                </c:pt>
                <c:pt idx="3">
                  <c:v>7.4717381758200698</c:v>
                </c:pt>
                <c:pt idx="4">
                  <c:v>7.2835938389932799</c:v>
                </c:pt>
                <c:pt idx="5">
                  <c:v>7.5134159181811402</c:v>
                </c:pt>
                <c:pt idx="6">
                  <c:v>8.2020783208901697</c:v>
                </c:pt>
                <c:pt idx="7">
                  <c:v>7.6121496634530699</c:v>
                </c:pt>
                <c:pt idx="8">
                  <c:v>8.0653791481177208</c:v>
                </c:pt>
                <c:pt idx="9">
                  <c:v>8.6201202114993194</c:v>
                </c:pt>
                <c:pt idx="10">
                  <c:v>8.6871829018265903</c:v>
                </c:pt>
                <c:pt idx="11">
                  <c:v>9.3363033330959198</c:v>
                </c:pt>
                <c:pt idx="12">
                  <c:v>9.1145506939059899</c:v>
                </c:pt>
                <c:pt idx="13">
                  <c:v>9.4196619902398506</c:v>
                </c:pt>
                <c:pt idx="14">
                  <c:v>9.3681576267703104</c:v>
                </c:pt>
                <c:pt idx="15">
                  <c:v>9.3335633366878596</c:v>
                </c:pt>
                <c:pt idx="16">
                  <c:v>10.054320807741901</c:v>
                </c:pt>
                <c:pt idx="17">
                  <c:v>10.7411695603456</c:v>
                </c:pt>
                <c:pt idx="18">
                  <c:v>10.734000671906299</c:v>
                </c:pt>
                <c:pt idx="19">
                  <c:v>11.3403005287725</c:v>
                </c:pt>
                <c:pt idx="20">
                  <c:v>11.748204748187501</c:v>
                </c:pt>
                <c:pt idx="21">
                  <c:v>11.1190257375399</c:v>
                </c:pt>
                <c:pt idx="22">
                  <c:v>11.697637608127501</c:v>
                </c:pt>
                <c:pt idx="23">
                  <c:v>12.9660191862973</c:v>
                </c:pt>
                <c:pt idx="24">
                  <c:v>12.9248082702766</c:v>
                </c:pt>
                <c:pt idx="25">
                  <c:v>13.5495679366348</c:v>
                </c:pt>
                <c:pt idx="26">
                  <c:v>13.767069600929601</c:v>
                </c:pt>
                <c:pt idx="27">
                  <c:v>13.9025368510723</c:v>
                </c:pt>
                <c:pt idx="28">
                  <c:v>14.872867915476901</c:v>
                </c:pt>
                <c:pt idx="29">
                  <c:v>16.2340920393662</c:v>
                </c:pt>
                <c:pt idx="30">
                  <c:v>16.348072195128999</c:v>
                </c:pt>
                <c:pt idx="31">
                  <c:v>15.9937492877387</c:v>
                </c:pt>
                <c:pt idx="32">
                  <c:v>16.652077510639899</c:v>
                </c:pt>
                <c:pt idx="33">
                  <c:v>16.105397595849698</c:v>
                </c:pt>
                <c:pt idx="34">
                  <c:v>17.329223623875301</c:v>
                </c:pt>
                <c:pt idx="35">
                  <c:v>16.450051959479801</c:v>
                </c:pt>
                <c:pt idx="36">
                  <c:v>19.751753475512398</c:v>
                </c:pt>
                <c:pt idx="37">
                  <c:v>18.0039660638624</c:v>
                </c:pt>
                <c:pt idx="38">
                  <c:v>18.767340643891401</c:v>
                </c:pt>
                <c:pt idx="39">
                  <c:v>19.7897088380467</c:v>
                </c:pt>
                <c:pt idx="40">
                  <c:v>21.362474254611602</c:v>
                </c:pt>
                <c:pt idx="41">
                  <c:v>18.7541267972992</c:v>
                </c:pt>
                <c:pt idx="42">
                  <c:v>17.892162867660598</c:v>
                </c:pt>
              </c:numCache>
            </c:numRef>
          </c:val>
          <c:smooth val="0"/>
        </c:ser>
        <c:ser>
          <c:idx val="4"/>
          <c:order val="4"/>
          <c:tx>
            <c:strRef>
              <c:f>Sheet6!$F$1</c:f>
              <c:strCache>
                <c:ptCount val="1"/>
                <c:pt idx="0">
                  <c:v>100</c:v>
                </c:pt>
              </c:strCache>
            </c:strRef>
          </c:tx>
          <c:marker>
            <c:symbol val="none"/>
          </c:marker>
          <c:cat>
            <c:numRef>
              <c:f>Sheet6!$A$2:$A$44</c:f>
              <c:numCache>
                <c:formatCode>General</c:formatCode>
                <c:ptCount val="43"/>
                <c:pt idx="0">
                  <c:v>-25</c:v>
                </c:pt>
                <c:pt idx="1">
                  <c:v>-15</c:v>
                </c:pt>
                <c:pt idx="2">
                  <c:v>-10</c:v>
                </c:pt>
                <c:pt idx="3">
                  <c:v>-5</c:v>
                </c:pt>
                <c:pt idx="4">
                  <c:v>0</c:v>
                </c:pt>
                <c:pt idx="5">
                  <c:v>5</c:v>
                </c:pt>
                <c:pt idx="6">
                  <c:v>10</c:v>
                </c:pt>
                <c:pt idx="7">
                  <c:v>15</c:v>
                </c:pt>
                <c:pt idx="8">
                  <c:v>20</c:v>
                </c:pt>
                <c:pt idx="9">
                  <c:v>25</c:v>
                </c:pt>
                <c:pt idx="10">
                  <c:v>30</c:v>
                </c:pt>
                <c:pt idx="11">
                  <c:v>35</c:v>
                </c:pt>
                <c:pt idx="12">
                  <c:v>40</c:v>
                </c:pt>
                <c:pt idx="13">
                  <c:v>45</c:v>
                </c:pt>
                <c:pt idx="14">
                  <c:v>50</c:v>
                </c:pt>
                <c:pt idx="15">
                  <c:v>55</c:v>
                </c:pt>
                <c:pt idx="16">
                  <c:v>60</c:v>
                </c:pt>
                <c:pt idx="17">
                  <c:v>65</c:v>
                </c:pt>
                <c:pt idx="18">
                  <c:v>70</c:v>
                </c:pt>
                <c:pt idx="19">
                  <c:v>75</c:v>
                </c:pt>
                <c:pt idx="20">
                  <c:v>80</c:v>
                </c:pt>
                <c:pt idx="21">
                  <c:v>85</c:v>
                </c:pt>
                <c:pt idx="22">
                  <c:v>90</c:v>
                </c:pt>
                <c:pt idx="23">
                  <c:v>95</c:v>
                </c:pt>
                <c:pt idx="24">
                  <c:v>100</c:v>
                </c:pt>
                <c:pt idx="25">
                  <c:v>105</c:v>
                </c:pt>
                <c:pt idx="26">
                  <c:v>110</c:v>
                </c:pt>
                <c:pt idx="27">
                  <c:v>115</c:v>
                </c:pt>
                <c:pt idx="28">
                  <c:v>120</c:v>
                </c:pt>
                <c:pt idx="29">
                  <c:v>125</c:v>
                </c:pt>
                <c:pt idx="30">
                  <c:v>130</c:v>
                </c:pt>
                <c:pt idx="31">
                  <c:v>135</c:v>
                </c:pt>
                <c:pt idx="32">
                  <c:v>140</c:v>
                </c:pt>
                <c:pt idx="33">
                  <c:v>145</c:v>
                </c:pt>
                <c:pt idx="34">
                  <c:v>150</c:v>
                </c:pt>
                <c:pt idx="35">
                  <c:v>155</c:v>
                </c:pt>
                <c:pt idx="36">
                  <c:v>160</c:v>
                </c:pt>
                <c:pt idx="37">
                  <c:v>165</c:v>
                </c:pt>
                <c:pt idx="38">
                  <c:v>170</c:v>
                </c:pt>
                <c:pt idx="39">
                  <c:v>175</c:v>
                </c:pt>
                <c:pt idx="40">
                  <c:v>180</c:v>
                </c:pt>
                <c:pt idx="41">
                  <c:v>185</c:v>
                </c:pt>
                <c:pt idx="42">
                  <c:v>190</c:v>
                </c:pt>
              </c:numCache>
            </c:numRef>
          </c:cat>
          <c:val>
            <c:numRef>
              <c:f>Sheet6!$F$2:$F$44</c:f>
              <c:numCache>
                <c:formatCode>_(* #,##0.00_);_(* \(#,##0.00\);_(* "-"??_);_(@_)</c:formatCode>
                <c:ptCount val="43"/>
                <c:pt idx="0">
                  <c:v>6.1983349838056201</c:v>
                </c:pt>
                <c:pt idx="1">
                  <c:v>7.3503909716776299</c:v>
                </c:pt>
                <c:pt idx="2">
                  <c:v>7.4585722426706198</c:v>
                </c:pt>
                <c:pt idx="3">
                  <c:v>7.9561029804538199</c:v>
                </c:pt>
                <c:pt idx="4">
                  <c:v>7.6079540279936797</c:v>
                </c:pt>
                <c:pt idx="5">
                  <c:v>7.9487307950805004</c:v>
                </c:pt>
                <c:pt idx="6">
                  <c:v>8.4384760683162305</c:v>
                </c:pt>
                <c:pt idx="7">
                  <c:v>8.3262498729317507</c:v>
                </c:pt>
                <c:pt idx="8">
                  <c:v>8.58264796266125</c:v>
                </c:pt>
                <c:pt idx="9">
                  <c:v>8.5883834100042193</c:v>
                </c:pt>
                <c:pt idx="10">
                  <c:v>8.8205840092229799</c:v>
                </c:pt>
                <c:pt idx="11">
                  <c:v>9.0509041274088506</c:v>
                </c:pt>
                <c:pt idx="12">
                  <c:v>8.7468994013902197</c:v>
                </c:pt>
                <c:pt idx="13">
                  <c:v>9.4572521423370208</c:v>
                </c:pt>
                <c:pt idx="14">
                  <c:v>9.01712517438901</c:v>
                </c:pt>
                <c:pt idx="15">
                  <c:v>9.72695542084411</c:v>
                </c:pt>
                <c:pt idx="16">
                  <c:v>9.9000447986909101</c:v>
                </c:pt>
                <c:pt idx="17">
                  <c:v>10.505234828180299</c:v>
                </c:pt>
                <c:pt idx="18">
                  <c:v>10.8802207142715</c:v>
                </c:pt>
                <c:pt idx="19">
                  <c:v>11.226219056904</c:v>
                </c:pt>
                <c:pt idx="20">
                  <c:v>11.925099715396</c:v>
                </c:pt>
                <c:pt idx="21">
                  <c:v>12.5479716800224</c:v>
                </c:pt>
                <c:pt idx="22">
                  <c:v>12.0083287568313</c:v>
                </c:pt>
                <c:pt idx="23">
                  <c:v>13.428251845776201</c:v>
                </c:pt>
                <c:pt idx="24">
                  <c:v>14.5285333697955</c:v>
                </c:pt>
                <c:pt idx="25">
                  <c:v>15.225710923427</c:v>
                </c:pt>
                <c:pt idx="26">
                  <c:v>15.046576794527301</c:v>
                </c:pt>
                <c:pt idx="27">
                  <c:v>16.574628583336299</c:v>
                </c:pt>
                <c:pt idx="28">
                  <c:v>16.3946400515905</c:v>
                </c:pt>
                <c:pt idx="29">
                  <c:v>16.8374605685967</c:v>
                </c:pt>
                <c:pt idx="30">
                  <c:v>17.333383298485899</c:v>
                </c:pt>
                <c:pt idx="31">
                  <c:v>18.022305399986699</c:v>
                </c:pt>
                <c:pt idx="32">
                  <c:v>19.6782332717682</c:v>
                </c:pt>
                <c:pt idx="33">
                  <c:v>20.468001263255001</c:v>
                </c:pt>
                <c:pt idx="34">
                  <c:v>20.429332896200702</c:v>
                </c:pt>
                <c:pt idx="35">
                  <c:v>19.4757239493238</c:v>
                </c:pt>
                <c:pt idx="36">
                  <c:v>20.808678383513602</c:v>
                </c:pt>
                <c:pt idx="37">
                  <c:v>21.586451120171301</c:v>
                </c:pt>
                <c:pt idx="38">
                  <c:v>19.4321278539351</c:v>
                </c:pt>
                <c:pt idx="39">
                  <c:v>21.094400288440301</c:v>
                </c:pt>
                <c:pt idx="40">
                  <c:v>20.534061445604301</c:v>
                </c:pt>
                <c:pt idx="41">
                  <c:v>22.664715886164299</c:v>
                </c:pt>
                <c:pt idx="42">
                  <c:v>22.191252322791801</c:v>
                </c:pt>
              </c:numCache>
            </c:numRef>
          </c:val>
          <c:smooth val="0"/>
        </c:ser>
        <c:ser>
          <c:idx val="5"/>
          <c:order val="5"/>
          <c:tx>
            <c:strRef>
              <c:f>Sheet6!$G$1</c:f>
              <c:strCache>
                <c:ptCount val="1"/>
                <c:pt idx="0">
                  <c:v>110</c:v>
                </c:pt>
              </c:strCache>
            </c:strRef>
          </c:tx>
          <c:marker>
            <c:symbol val="none"/>
          </c:marker>
          <c:cat>
            <c:numRef>
              <c:f>Sheet6!$A$2:$A$44</c:f>
              <c:numCache>
                <c:formatCode>General</c:formatCode>
                <c:ptCount val="43"/>
                <c:pt idx="0">
                  <c:v>-25</c:v>
                </c:pt>
                <c:pt idx="1">
                  <c:v>-15</c:v>
                </c:pt>
                <c:pt idx="2">
                  <c:v>-10</c:v>
                </c:pt>
                <c:pt idx="3">
                  <c:v>-5</c:v>
                </c:pt>
                <c:pt idx="4">
                  <c:v>0</c:v>
                </c:pt>
                <c:pt idx="5">
                  <c:v>5</c:v>
                </c:pt>
                <c:pt idx="6">
                  <c:v>10</c:v>
                </c:pt>
                <c:pt idx="7">
                  <c:v>15</c:v>
                </c:pt>
                <c:pt idx="8">
                  <c:v>20</c:v>
                </c:pt>
                <c:pt idx="9">
                  <c:v>25</c:v>
                </c:pt>
                <c:pt idx="10">
                  <c:v>30</c:v>
                </c:pt>
                <c:pt idx="11">
                  <c:v>35</c:v>
                </c:pt>
                <c:pt idx="12">
                  <c:v>40</c:v>
                </c:pt>
                <c:pt idx="13">
                  <c:v>45</c:v>
                </c:pt>
                <c:pt idx="14">
                  <c:v>50</c:v>
                </c:pt>
                <c:pt idx="15">
                  <c:v>55</c:v>
                </c:pt>
                <c:pt idx="16">
                  <c:v>60</c:v>
                </c:pt>
                <c:pt idx="17">
                  <c:v>65</c:v>
                </c:pt>
                <c:pt idx="18">
                  <c:v>70</c:v>
                </c:pt>
                <c:pt idx="19">
                  <c:v>75</c:v>
                </c:pt>
                <c:pt idx="20">
                  <c:v>80</c:v>
                </c:pt>
                <c:pt idx="21">
                  <c:v>85</c:v>
                </c:pt>
                <c:pt idx="22">
                  <c:v>90</c:v>
                </c:pt>
                <c:pt idx="23">
                  <c:v>95</c:v>
                </c:pt>
                <c:pt idx="24">
                  <c:v>100</c:v>
                </c:pt>
                <c:pt idx="25">
                  <c:v>105</c:v>
                </c:pt>
                <c:pt idx="26">
                  <c:v>110</c:v>
                </c:pt>
                <c:pt idx="27">
                  <c:v>115</c:v>
                </c:pt>
                <c:pt idx="28">
                  <c:v>120</c:v>
                </c:pt>
                <c:pt idx="29">
                  <c:v>125</c:v>
                </c:pt>
                <c:pt idx="30">
                  <c:v>130</c:v>
                </c:pt>
                <c:pt idx="31">
                  <c:v>135</c:v>
                </c:pt>
                <c:pt idx="32">
                  <c:v>140</c:v>
                </c:pt>
                <c:pt idx="33">
                  <c:v>145</c:v>
                </c:pt>
                <c:pt idx="34">
                  <c:v>150</c:v>
                </c:pt>
                <c:pt idx="35">
                  <c:v>155</c:v>
                </c:pt>
                <c:pt idx="36">
                  <c:v>160</c:v>
                </c:pt>
                <c:pt idx="37">
                  <c:v>165</c:v>
                </c:pt>
                <c:pt idx="38">
                  <c:v>170</c:v>
                </c:pt>
                <c:pt idx="39">
                  <c:v>175</c:v>
                </c:pt>
                <c:pt idx="40">
                  <c:v>180</c:v>
                </c:pt>
                <c:pt idx="41">
                  <c:v>185</c:v>
                </c:pt>
                <c:pt idx="42">
                  <c:v>190</c:v>
                </c:pt>
              </c:numCache>
            </c:numRef>
          </c:cat>
          <c:val>
            <c:numRef>
              <c:f>Sheet6!$G$2:$G$44</c:f>
              <c:numCache>
                <c:formatCode>_(* #,##0.00_);_(* \(#,##0.00\);_(* "-"??_);_(@_)</c:formatCode>
                <c:ptCount val="43"/>
                <c:pt idx="0">
                  <c:v>6.1508329061516198</c:v>
                </c:pt>
                <c:pt idx="1">
                  <c:v>6.8318579596419999</c:v>
                </c:pt>
                <c:pt idx="2">
                  <c:v>7.1811731727842902</c:v>
                </c:pt>
                <c:pt idx="3">
                  <c:v>7.7793733023266496</c:v>
                </c:pt>
                <c:pt idx="4">
                  <c:v>8.2106751749075304</c:v>
                </c:pt>
                <c:pt idx="5">
                  <c:v>7.5157394943161497</c:v>
                </c:pt>
                <c:pt idx="6">
                  <c:v>8.19750187609786</c:v>
                </c:pt>
                <c:pt idx="7">
                  <c:v>7.8937845466945804</c:v>
                </c:pt>
                <c:pt idx="8">
                  <c:v>8.2784416958534095</c:v>
                </c:pt>
                <c:pt idx="9">
                  <c:v>8.27235602172677</c:v>
                </c:pt>
                <c:pt idx="10">
                  <c:v>8.5783661288668807</c:v>
                </c:pt>
                <c:pt idx="11">
                  <c:v>8.9626178045871701</c:v>
                </c:pt>
                <c:pt idx="12">
                  <c:v>8.5976234371769902</c:v>
                </c:pt>
                <c:pt idx="13">
                  <c:v>9.1694009212891991</c:v>
                </c:pt>
                <c:pt idx="14">
                  <c:v>9.7313149776314791</c:v>
                </c:pt>
                <c:pt idx="15">
                  <c:v>10.1468109956043</c:v>
                </c:pt>
                <c:pt idx="16">
                  <c:v>9.8539879620602697</c:v>
                </c:pt>
                <c:pt idx="17">
                  <c:v>10.823357686798801</c:v>
                </c:pt>
                <c:pt idx="18">
                  <c:v>11.501199645405199</c:v>
                </c:pt>
                <c:pt idx="19">
                  <c:v>12.2024620187743</c:v>
                </c:pt>
                <c:pt idx="20">
                  <c:v>12.5992129708891</c:v>
                </c:pt>
                <c:pt idx="21">
                  <c:v>13.2022793671306</c:v>
                </c:pt>
                <c:pt idx="22">
                  <c:v>13.557249741990301</c:v>
                </c:pt>
                <c:pt idx="23">
                  <c:v>13.690376707545701</c:v>
                </c:pt>
                <c:pt idx="24">
                  <c:v>15.280892592293601</c:v>
                </c:pt>
                <c:pt idx="25">
                  <c:v>15.953869019737001</c:v>
                </c:pt>
                <c:pt idx="26">
                  <c:v>16.633088830362802</c:v>
                </c:pt>
                <c:pt idx="27">
                  <c:v>17.011342365600399</c:v>
                </c:pt>
                <c:pt idx="28">
                  <c:v>16.852876448684999</c:v>
                </c:pt>
                <c:pt idx="29">
                  <c:v>18.1364166130091</c:v>
                </c:pt>
                <c:pt idx="30">
                  <c:v>18.825964230071602</c:v>
                </c:pt>
                <c:pt idx="31">
                  <c:v>20.049047701820001</c:v>
                </c:pt>
                <c:pt idx="32">
                  <c:v>19.112214105042799</c:v>
                </c:pt>
                <c:pt idx="33">
                  <c:v>21.277366432263101</c:v>
                </c:pt>
                <c:pt idx="34">
                  <c:v>21.672150301068498</c:v>
                </c:pt>
                <c:pt idx="35">
                  <c:v>20.025742423054499</c:v>
                </c:pt>
                <c:pt idx="36">
                  <c:v>23.259772115102901</c:v>
                </c:pt>
                <c:pt idx="37">
                  <c:v>21.793142137789498</c:v>
                </c:pt>
                <c:pt idx="38">
                  <c:v>22.560749533402401</c:v>
                </c:pt>
                <c:pt idx="39">
                  <c:v>24.307157473192301</c:v>
                </c:pt>
                <c:pt idx="40">
                  <c:v>24.5421324830277</c:v>
                </c:pt>
                <c:pt idx="41">
                  <c:v>22.473217685386601</c:v>
                </c:pt>
                <c:pt idx="42">
                  <c:v>24.621191910966701</c:v>
                </c:pt>
              </c:numCache>
            </c:numRef>
          </c:val>
          <c:smooth val="0"/>
        </c:ser>
        <c:ser>
          <c:idx val="6"/>
          <c:order val="6"/>
          <c:tx>
            <c:strRef>
              <c:f>Sheet6!$H$1</c:f>
              <c:strCache>
                <c:ptCount val="1"/>
                <c:pt idx="0">
                  <c:v>120</c:v>
                </c:pt>
              </c:strCache>
            </c:strRef>
          </c:tx>
          <c:marker>
            <c:symbol val="none"/>
          </c:marker>
          <c:cat>
            <c:numRef>
              <c:f>Sheet6!$A$2:$A$44</c:f>
              <c:numCache>
                <c:formatCode>General</c:formatCode>
                <c:ptCount val="43"/>
                <c:pt idx="0">
                  <c:v>-25</c:v>
                </c:pt>
                <c:pt idx="1">
                  <c:v>-15</c:v>
                </c:pt>
                <c:pt idx="2">
                  <c:v>-10</c:v>
                </c:pt>
                <c:pt idx="3">
                  <c:v>-5</c:v>
                </c:pt>
                <c:pt idx="4">
                  <c:v>0</c:v>
                </c:pt>
                <c:pt idx="5">
                  <c:v>5</c:v>
                </c:pt>
                <c:pt idx="6">
                  <c:v>10</c:v>
                </c:pt>
                <c:pt idx="7">
                  <c:v>15</c:v>
                </c:pt>
                <c:pt idx="8">
                  <c:v>20</c:v>
                </c:pt>
                <c:pt idx="9">
                  <c:v>25</c:v>
                </c:pt>
                <c:pt idx="10">
                  <c:v>30</c:v>
                </c:pt>
                <c:pt idx="11">
                  <c:v>35</c:v>
                </c:pt>
                <c:pt idx="12">
                  <c:v>40</c:v>
                </c:pt>
                <c:pt idx="13">
                  <c:v>45</c:v>
                </c:pt>
                <c:pt idx="14">
                  <c:v>50</c:v>
                </c:pt>
                <c:pt idx="15">
                  <c:v>55</c:v>
                </c:pt>
                <c:pt idx="16">
                  <c:v>60</c:v>
                </c:pt>
                <c:pt idx="17">
                  <c:v>65</c:v>
                </c:pt>
                <c:pt idx="18">
                  <c:v>70</c:v>
                </c:pt>
                <c:pt idx="19">
                  <c:v>75</c:v>
                </c:pt>
                <c:pt idx="20">
                  <c:v>80</c:v>
                </c:pt>
                <c:pt idx="21">
                  <c:v>85</c:v>
                </c:pt>
                <c:pt idx="22">
                  <c:v>90</c:v>
                </c:pt>
                <c:pt idx="23">
                  <c:v>95</c:v>
                </c:pt>
                <c:pt idx="24">
                  <c:v>100</c:v>
                </c:pt>
                <c:pt idx="25">
                  <c:v>105</c:v>
                </c:pt>
                <c:pt idx="26">
                  <c:v>110</c:v>
                </c:pt>
                <c:pt idx="27">
                  <c:v>115</c:v>
                </c:pt>
                <c:pt idx="28">
                  <c:v>120</c:v>
                </c:pt>
                <c:pt idx="29">
                  <c:v>125</c:v>
                </c:pt>
                <c:pt idx="30">
                  <c:v>130</c:v>
                </c:pt>
                <c:pt idx="31">
                  <c:v>135</c:v>
                </c:pt>
                <c:pt idx="32">
                  <c:v>140</c:v>
                </c:pt>
                <c:pt idx="33">
                  <c:v>145</c:v>
                </c:pt>
                <c:pt idx="34">
                  <c:v>150</c:v>
                </c:pt>
                <c:pt idx="35">
                  <c:v>155</c:v>
                </c:pt>
                <c:pt idx="36">
                  <c:v>160</c:v>
                </c:pt>
                <c:pt idx="37">
                  <c:v>165</c:v>
                </c:pt>
                <c:pt idx="38">
                  <c:v>170</c:v>
                </c:pt>
                <c:pt idx="39">
                  <c:v>175</c:v>
                </c:pt>
                <c:pt idx="40">
                  <c:v>180</c:v>
                </c:pt>
                <c:pt idx="41">
                  <c:v>185</c:v>
                </c:pt>
                <c:pt idx="42">
                  <c:v>190</c:v>
                </c:pt>
              </c:numCache>
            </c:numRef>
          </c:cat>
          <c:val>
            <c:numRef>
              <c:f>Sheet6!$H$2:$H$44</c:f>
              <c:numCache>
                <c:formatCode>_(* #,##0.00_);_(* \(#,##0.00\);_(* "-"??_);_(@_)</c:formatCode>
                <c:ptCount val="43"/>
                <c:pt idx="0">
                  <c:v>6.01864874982068</c:v>
                </c:pt>
                <c:pt idx="1">
                  <c:v>7.1470810689910804</c:v>
                </c:pt>
                <c:pt idx="2">
                  <c:v>7.3643048870210599</c:v>
                </c:pt>
                <c:pt idx="3">
                  <c:v>7.3571219664248098</c:v>
                </c:pt>
                <c:pt idx="4">
                  <c:v>7.4979874151818899</c:v>
                </c:pt>
                <c:pt idx="5">
                  <c:v>7.7839919366814101</c:v>
                </c:pt>
                <c:pt idx="6">
                  <c:v>8.6004385163476904</c:v>
                </c:pt>
                <c:pt idx="7">
                  <c:v>8.2545155024687595</c:v>
                </c:pt>
                <c:pt idx="8">
                  <c:v>8.0300156617784992</c:v>
                </c:pt>
                <c:pt idx="9">
                  <c:v>8.6994296319635698</c:v>
                </c:pt>
                <c:pt idx="10">
                  <c:v>8.8368633320106191</c:v>
                </c:pt>
                <c:pt idx="11">
                  <c:v>9.9080705628824397</c:v>
                </c:pt>
                <c:pt idx="12">
                  <c:v>9.5567914614324305</c:v>
                </c:pt>
                <c:pt idx="13">
                  <c:v>10.0445890543057</c:v>
                </c:pt>
                <c:pt idx="14">
                  <c:v>9.6604375879019599</c:v>
                </c:pt>
                <c:pt idx="15">
                  <c:v>10.8148323826832</c:v>
                </c:pt>
                <c:pt idx="16">
                  <c:v>10.9577314961233</c:v>
                </c:pt>
                <c:pt idx="17">
                  <c:v>10.715610364480501</c:v>
                </c:pt>
                <c:pt idx="18">
                  <c:v>11.776315694363801</c:v>
                </c:pt>
                <c:pt idx="19">
                  <c:v>12.446359536224</c:v>
                </c:pt>
                <c:pt idx="20">
                  <c:v>13.5851955064928</c:v>
                </c:pt>
                <c:pt idx="21">
                  <c:v>14.066351510899199</c:v>
                </c:pt>
                <c:pt idx="22">
                  <c:v>14.9122887633297</c:v>
                </c:pt>
                <c:pt idx="23">
                  <c:v>15.527949606556801</c:v>
                </c:pt>
                <c:pt idx="24">
                  <c:v>16.289887244937201</c:v>
                </c:pt>
                <c:pt idx="25">
                  <c:v>16.800860236395401</c:v>
                </c:pt>
                <c:pt idx="26">
                  <c:v>17.571262272982999</c:v>
                </c:pt>
                <c:pt idx="27">
                  <c:v>18.658144825919901</c:v>
                </c:pt>
                <c:pt idx="28">
                  <c:v>20.004989517522301</c:v>
                </c:pt>
                <c:pt idx="29">
                  <c:v>19.153705613288398</c:v>
                </c:pt>
                <c:pt idx="30">
                  <c:v>19.9240842810365</c:v>
                </c:pt>
                <c:pt idx="31">
                  <c:v>20.142835319999801</c:v>
                </c:pt>
                <c:pt idx="32">
                  <c:v>22.056146040442801</c:v>
                </c:pt>
                <c:pt idx="33">
                  <c:v>22.376037451602901</c:v>
                </c:pt>
                <c:pt idx="34">
                  <c:v>22.0750369850828</c:v>
                </c:pt>
                <c:pt idx="35">
                  <c:v>22.943859047664098</c:v>
                </c:pt>
                <c:pt idx="36">
                  <c:v>23.114844691135001</c:v>
                </c:pt>
                <c:pt idx="37">
                  <c:v>23.7040352956395</c:v>
                </c:pt>
                <c:pt idx="38">
                  <c:v>23.103608600190199</c:v>
                </c:pt>
                <c:pt idx="39">
                  <c:v>22.8062543934141</c:v>
                </c:pt>
                <c:pt idx="40">
                  <c:v>20.630352532537199</c:v>
                </c:pt>
                <c:pt idx="41">
                  <c:v>25.532148881831201</c:v>
                </c:pt>
                <c:pt idx="42">
                  <c:v>22.805653036805701</c:v>
                </c:pt>
              </c:numCache>
            </c:numRef>
          </c:val>
          <c:smooth val="0"/>
        </c:ser>
        <c:ser>
          <c:idx val="7"/>
          <c:order val="7"/>
          <c:tx>
            <c:strRef>
              <c:f>Sheet6!$I$1</c:f>
              <c:strCache>
                <c:ptCount val="1"/>
                <c:pt idx="0">
                  <c:v>130</c:v>
                </c:pt>
              </c:strCache>
            </c:strRef>
          </c:tx>
          <c:marker>
            <c:symbol val="none"/>
          </c:marker>
          <c:cat>
            <c:numRef>
              <c:f>Sheet6!$A$2:$A$44</c:f>
              <c:numCache>
                <c:formatCode>General</c:formatCode>
                <c:ptCount val="43"/>
                <c:pt idx="0">
                  <c:v>-25</c:v>
                </c:pt>
                <c:pt idx="1">
                  <c:v>-15</c:v>
                </c:pt>
                <c:pt idx="2">
                  <c:v>-10</c:v>
                </c:pt>
                <c:pt idx="3">
                  <c:v>-5</c:v>
                </c:pt>
                <c:pt idx="4">
                  <c:v>0</c:v>
                </c:pt>
                <c:pt idx="5">
                  <c:v>5</c:v>
                </c:pt>
                <c:pt idx="6">
                  <c:v>10</c:v>
                </c:pt>
                <c:pt idx="7">
                  <c:v>15</c:v>
                </c:pt>
                <c:pt idx="8">
                  <c:v>20</c:v>
                </c:pt>
                <c:pt idx="9">
                  <c:v>25</c:v>
                </c:pt>
                <c:pt idx="10">
                  <c:v>30</c:v>
                </c:pt>
                <c:pt idx="11">
                  <c:v>35</c:v>
                </c:pt>
                <c:pt idx="12">
                  <c:v>40</c:v>
                </c:pt>
                <c:pt idx="13">
                  <c:v>45</c:v>
                </c:pt>
                <c:pt idx="14">
                  <c:v>50</c:v>
                </c:pt>
                <c:pt idx="15">
                  <c:v>55</c:v>
                </c:pt>
                <c:pt idx="16">
                  <c:v>60</c:v>
                </c:pt>
                <c:pt idx="17">
                  <c:v>65</c:v>
                </c:pt>
                <c:pt idx="18">
                  <c:v>70</c:v>
                </c:pt>
                <c:pt idx="19">
                  <c:v>75</c:v>
                </c:pt>
                <c:pt idx="20">
                  <c:v>80</c:v>
                </c:pt>
                <c:pt idx="21">
                  <c:v>85</c:v>
                </c:pt>
                <c:pt idx="22">
                  <c:v>90</c:v>
                </c:pt>
                <c:pt idx="23">
                  <c:v>95</c:v>
                </c:pt>
                <c:pt idx="24">
                  <c:v>100</c:v>
                </c:pt>
                <c:pt idx="25">
                  <c:v>105</c:v>
                </c:pt>
                <c:pt idx="26">
                  <c:v>110</c:v>
                </c:pt>
                <c:pt idx="27">
                  <c:v>115</c:v>
                </c:pt>
                <c:pt idx="28">
                  <c:v>120</c:v>
                </c:pt>
                <c:pt idx="29">
                  <c:v>125</c:v>
                </c:pt>
                <c:pt idx="30">
                  <c:v>130</c:v>
                </c:pt>
                <c:pt idx="31">
                  <c:v>135</c:v>
                </c:pt>
                <c:pt idx="32">
                  <c:v>140</c:v>
                </c:pt>
                <c:pt idx="33">
                  <c:v>145</c:v>
                </c:pt>
                <c:pt idx="34">
                  <c:v>150</c:v>
                </c:pt>
                <c:pt idx="35">
                  <c:v>155</c:v>
                </c:pt>
                <c:pt idx="36">
                  <c:v>160</c:v>
                </c:pt>
                <c:pt idx="37">
                  <c:v>165</c:v>
                </c:pt>
                <c:pt idx="38">
                  <c:v>170</c:v>
                </c:pt>
                <c:pt idx="39">
                  <c:v>175</c:v>
                </c:pt>
                <c:pt idx="40">
                  <c:v>180</c:v>
                </c:pt>
                <c:pt idx="41">
                  <c:v>185</c:v>
                </c:pt>
                <c:pt idx="42">
                  <c:v>190</c:v>
                </c:pt>
              </c:numCache>
            </c:numRef>
          </c:cat>
          <c:val>
            <c:numRef>
              <c:f>Sheet6!$I$2:$I$44</c:f>
              <c:numCache>
                <c:formatCode>_(* #,##0.00_);_(* \(#,##0.00\);_(* "-"??_);_(@_)</c:formatCode>
                <c:ptCount val="43"/>
                <c:pt idx="0">
                  <c:v>5.9980416489125297</c:v>
                </c:pt>
                <c:pt idx="1">
                  <c:v>7.3289776070984702</c:v>
                </c:pt>
                <c:pt idx="2">
                  <c:v>7.2359503609161697</c:v>
                </c:pt>
                <c:pt idx="3">
                  <c:v>7.46170518312735</c:v>
                </c:pt>
                <c:pt idx="4">
                  <c:v>7.4238734285865497</c:v>
                </c:pt>
                <c:pt idx="5">
                  <c:v>7.3254043540575298</c:v>
                </c:pt>
                <c:pt idx="6">
                  <c:v>8.0490115198449708</c:v>
                </c:pt>
                <c:pt idx="7">
                  <c:v>8.7145571083064297</c:v>
                </c:pt>
                <c:pt idx="8">
                  <c:v>8.7063284803422594</c:v>
                </c:pt>
                <c:pt idx="9">
                  <c:v>8.8139815219650597</c:v>
                </c:pt>
                <c:pt idx="10">
                  <c:v>8.9749261241426002</c:v>
                </c:pt>
                <c:pt idx="11">
                  <c:v>9.4565853090994096</c:v>
                </c:pt>
                <c:pt idx="12">
                  <c:v>9.6847902823780299</c:v>
                </c:pt>
                <c:pt idx="13">
                  <c:v>10.4797844990923</c:v>
                </c:pt>
                <c:pt idx="14">
                  <c:v>10.0836300089522</c:v>
                </c:pt>
                <c:pt idx="15">
                  <c:v>11.0331206371902</c:v>
                </c:pt>
                <c:pt idx="16">
                  <c:v>10.9695163994199</c:v>
                </c:pt>
                <c:pt idx="17">
                  <c:v>12.1223706843406</c:v>
                </c:pt>
                <c:pt idx="18">
                  <c:v>12.1771423645894</c:v>
                </c:pt>
                <c:pt idx="19">
                  <c:v>13.153761253804801</c:v>
                </c:pt>
                <c:pt idx="20">
                  <c:v>14.637533287266701</c:v>
                </c:pt>
                <c:pt idx="21">
                  <c:v>14.3985372977758</c:v>
                </c:pt>
                <c:pt idx="22">
                  <c:v>15.435089696099899</c:v>
                </c:pt>
                <c:pt idx="23">
                  <c:v>16.170292400236601</c:v>
                </c:pt>
                <c:pt idx="24">
                  <c:v>17.482683594952601</c:v>
                </c:pt>
                <c:pt idx="25">
                  <c:v>18.419684255437001</c:v>
                </c:pt>
                <c:pt idx="26">
                  <c:v>18.686968740306199</c:v>
                </c:pt>
                <c:pt idx="27">
                  <c:v>19.514552415692599</c:v>
                </c:pt>
                <c:pt idx="28">
                  <c:v>20.687212978607398</c:v>
                </c:pt>
                <c:pt idx="29">
                  <c:v>21.6700789123216</c:v>
                </c:pt>
                <c:pt idx="30">
                  <c:v>21.186355350701099</c:v>
                </c:pt>
                <c:pt idx="31">
                  <c:v>23.253216736399299</c:v>
                </c:pt>
                <c:pt idx="32">
                  <c:v>23.2939181809007</c:v>
                </c:pt>
                <c:pt idx="33">
                  <c:v>22.0317364039424</c:v>
                </c:pt>
                <c:pt idx="34">
                  <c:v>24.3164035346493</c:v>
                </c:pt>
                <c:pt idx="35">
                  <c:v>23.982487711827599</c:v>
                </c:pt>
                <c:pt idx="36">
                  <c:v>24.772988002101201</c:v>
                </c:pt>
                <c:pt idx="37">
                  <c:v>25.256328807219699</c:v>
                </c:pt>
                <c:pt idx="38">
                  <c:v>21.3149330804839</c:v>
                </c:pt>
                <c:pt idx="39">
                  <c:v>26.244133894081799</c:v>
                </c:pt>
                <c:pt idx="40">
                  <c:v>27.091564012371901</c:v>
                </c:pt>
                <c:pt idx="41">
                  <c:v>27.314891443582798</c:v>
                </c:pt>
                <c:pt idx="42">
                  <c:v>25.584636140628799</c:v>
                </c:pt>
              </c:numCache>
            </c:numRef>
          </c:val>
          <c:smooth val="0"/>
        </c:ser>
        <c:ser>
          <c:idx val="8"/>
          <c:order val="8"/>
          <c:tx>
            <c:strRef>
              <c:f>Sheet6!$J$1</c:f>
              <c:strCache>
                <c:ptCount val="1"/>
                <c:pt idx="0">
                  <c:v>140</c:v>
                </c:pt>
              </c:strCache>
            </c:strRef>
          </c:tx>
          <c:marker>
            <c:symbol val="none"/>
          </c:marker>
          <c:cat>
            <c:numRef>
              <c:f>Sheet6!$A$2:$A$44</c:f>
              <c:numCache>
                <c:formatCode>General</c:formatCode>
                <c:ptCount val="43"/>
                <c:pt idx="0">
                  <c:v>-25</c:v>
                </c:pt>
                <c:pt idx="1">
                  <c:v>-15</c:v>
                </c:pt>
                <c:pt idx="2">
                  <c:v>-10</c:v>
                </c:pt>
                <c:pt idx="3">
                  <c:v>-5</c:v>
                </c:pt>
                <c:pt idx="4">
                  <c:v>0</c:v>
                </c:pt>
                <c:pt idx="5">
                  <c:v>5</c:v>
                </c:pt>
                <c:pt idx="6">
                  <c:v>10</c:v>
                </c:pt>
                <c:pt idx="7">
                  <c:v>15</c:v>
                </c:pt>
                <c:pt idx="8">
                  <c:v>20</c:v>
                </c:pt>
                <c:pt idx="9">
                  <c:v>25</c:v>
                </c:pt>
                <c:pt idx="10">
                  <c:v>30</c:v>
                </c:pt>
                <c:pt idx="11">
                  <c:v>35</c:v>
                </c:pt>
                <c:pt idx="12">
                  <c:v>40</c:v>
                </c:pt>
                <c:pt idx="13">
                  <c:v>45</c:v>
                </c:pt>
                <c:pt idx="14">
                  <c:v>50</c:v>
                </c:pt>
                <c:pt idx="15">
                  <c:v>55</c:v>
                </c:pt>
                <c:pt idx="16">
                  <c:v>60</c:v>
                </c:pt>
                <c:pt idx="17">
                  <c:v>65</c:v>
                </c:pt>
                <c:pt idx="18">
                  <c:v>70</c:v>
                </c:pt>
                <c:pt idx="19">
                  <c:v>75</c:v>
                </c:pt>
                <c:pt idx="20">
                  <c:v>80</c:v>
                </c:pt>
                <c:pt idx="21">
                  <c:v>85</c:v>
                </c:pt>
                <c:pt idx="22">
                  <c:v>90</c:v>
                </c:pt>
                <c:pt idx="23">
                  <c:v>95</c:v>
                </c:pt>
                <c:pt idx="24">
                  <c:v>100</c:v>
                </c:pt>
                <c:pt idx="25">
                  <c:v>105</c:v>
                </c:pt>
                <c:pt idx="26">
                  <c:v>110</c:v>
                </c:pt>
                <c:pt idx="27">
                  <c:v>115</c:v>
                </c:pt>
                <c:pt idx="28">
                  <c:v>120</c:v>
                </c:pt>
                <c:pt idx="29">
                  <c:v>125</c:v>
                </c:pt>
                <c:pt idx="30">
                  <c:v>130</c:v>
                </c:pt>
                <c:pt idx="31">
                  <c:v>135</c:v>
                </c:pt>
                <c:pt idx="32">
                  <c:v>140</c:v>
                </c:pt>
                <c:pt idx="33">
                  <c:v>145</c:v>
                </c:pt>
                <c:pt idx="34">
                  <c:v>150</c:v>
                </c:pt>
                <c:pt idx="35">
                  <c:v>155</c:v>
                </c:pt>
                <c:pt idx="36">
                  <c:v>160</c:v>
                </c:pt>
                <c:pt idx="37">
                  <c:v>165</c:v>
                </c:pt>
                <c:pt idx="38">
                  <c:v>170</c:v>
                </c:pt>
                <c:pt idx="39">
                  <c:v>175</c:v>
                </c:pt>
                <c:pt idx="40">
                  <c:v>180</c:v>
                </c:pt>
                <c:pt idx="41">
                  <c:v>185</c:v>
                </c:pt>
                <c:pt idx="42">
                  <c:v>190</c:v>
                </c:pt>
              </c:numCache>
            </c:numRef>
          </c:cat>
          <c:val>
            <c:numRef>
              <c:f>Sheet6!$J$2:$J$44</c:f>
              <c:numCache>
                <c:formatCode>_(* #,##0.00_);_(* \(#,##0.00\);_(* "-"??_);_(@_)</c:formatCode>
                <c:ptCount val="43"/>
                <c:pt idx="0">
                  <c:v>5.7248006393287199</c:v>
                </c:pt>
                <c:pt idx="1">
                  <c:v>6.6226249984795</c:v>
                </c:pt>
                <c:pt idx="2">
                  <c:v>7.72379216318798</c:v>
                </c:pt>
                <c:pt idx="3">
                  <c:v>7.5134142517776201</c:v>
                </c:pt>
                <c:pt idx="4">
                  <c:v>7.1129723042855204</c:v>
                </c:pt>
                <c:pt idx="5">
                  <c:v>7.6954450661337397</c:v>
                </c:pt>
                <c:pt idx="6">
                  <c:v>8.5009973815255506</c:v>
                </c:pt>
                <c:pt idx="7">
                  <c:v>8.4976189870883001</c:v>
                </c:pt>
                <c:pt idx="8">
                  <c:v>9.0164304813543303</c:v>
                </c:pt>
                <c:pt idx="9">
                  <c:v>9.0458883404012997</c:v>
                </c:pt>
                <c:pt idx="10">
                  <c:v>9.1202673692930407</c:v>
                </c:pt>
                <c:pt idx="11">
                  <c:v>9.8562473389059804</c:v>
                </c:pt>
                <c:pt idx="12">
                  <c:v>10.104459347308101</c:v>
                </c:pt>
                <c:pt idx="13">
                  <c:v>10.8626194035723</c:v>
                </c:pt>
                <c:pt idx="14">
                  <c:v>10.6803976346357</c:v>
                </c:pt>
                <c:pt idx="15">
                  <c:v>11.6952732984169</c:v>
                </c:pt>
                <c:pt idx="16">
                  <c:v>11.6964789478215</c:v>
                </c:pt>
                <c:pt idx="17">
                  <c:v>13.0353734338617</c:v>
                </c:pt>
                <c:pt idx="18">
                  <c:v>13.197629055458201</c:v>
                </c:pt>
                <c:pt idx="19">
                  <c:v>14.5539381475879</c:v>
                </c:pt>
                <c:pt idx="20">
                  <c:v>15.1423974799847</c:v>
                </c:pt>
                <c:pt idx="21">
                  <c:v>15.6350034023106</c:v>
                </c:pt>
                <c:pt idx="22">
                  <c:v>16.491119306406201</c:v>
                </c:pt>
                <c:pt idx="23">
                  <c:v>17.707000612526901</c:v>
                </c:pt>
                <c:pt idx="24">
                  <c:v>19.287891351423699</c:v>
                </c:pt>
                <c:pt idx="25">
                  <c:v>19.007426381424601</c:v>
                </c:pt>
                <c:pt idx="26">
                  <c:v>20.031183157332599</c:v>
                </c:pt>
                <c:pt idx="27">
                  <c:v>21.3267369956402</c:v>
                </c:pt>
                <c:pt idx="28">
                  <c:v>20.713990019448399</c:v>
                </c:pt>
                <c:pt idx="29">
                  <c:v>22.6773337090541</c:v>
                </c:pt>
                <c:pt idx="30">
                  <c:v>22.131805979489599</c:v>
                </c:pt>
                <c:pt idx="31">
                  <c:v>23.1316320916542</c:v>
                </c:pt>
                <c:pt idx="32">
                  <c:v>24.075081786342999</c:v>
                </c:pt>
                <c:pt idx="33">
                  <c:v>24.7385954395846</c:v>
                </c:pt>
                <c:pt idx="34">
                  <c:v>24.733430200214901</c:v>
                </c:pt>
                <c:pt idx="35">
                  <c:v>25.313647654429001</c:v>
                </c:pt>
                <c:pt idx="36">
                  <c:v>25.6484714875847</c:v>
                </c:pt>
                <c:pt idx="37">
                  <c:v>26.302911306001199</c:v>
                </c:pt>
                <c:pt idx="38">
                  <c:v>25.086052497712998</c:v>
                </c:pt>
                <c:pt idx="39">
                  <c:v>28.705076434663798</c:v>
                </c:pt>
                <c:pt idx="40">
                  <c:v>26.660440522384899</c:v>
                </c:pt>
                <c:pt idx="41">
                  <c:v>25.4769268754394</c:v>
                </c:pt>
                <c:pt idx="42">
                  <c:v>24.150152274856399</c:v>
                </c:pt>
              </c:numCache>
            </c:numRef>
          </c:val>
          <c:smooth val="0"/>
        </c:ser>
        <c:ser>
          <c:idx val="9"/>
          <c:order val="9"/>
          <c:tx>
            <c:strRef>
              <c:f>Sheet6!$K$1</c:f>
              <c:strCache>
                <c:ptCount val="1"/>
                <c:pt idx="0">
                  <c:v>150</c:v>
                </c:pt>
              </c:strCache>
            </c:strRef>
          </c:tx>
          <c:marker>
            <c:symbol val="none"/>
          </c:marker>
          <c:cat>
            <c:numRef>
              <c:f>Sheet6!$A$2:$A$44</c:f>
              <c:numCache>
                <c:formatCode>General</c:formatCode>
                <c:ptCount val="43"/>
                <c:pt idx="0">
                  <c:v>-25</c:v>
                </c:pt>
                <c:pt idx="1">
                  <c:v>-15</c:v>
                </c:pt>
                <c:pt idx="2">
                  <c:v>-10</c:v>
                </c:pt>
                <c:pt idx="3">
                  <c:v>-5</c:v>
                </c:pt>
                <c:pt idx="4">
                  <c:v>0</c:v>
                </c:pt>
                <c:pt idx="5">
                  <c:v>5</c:v>
                </c:pt>
                <c:pt idx="6">
                  <c:v>10</c:v>
                </c:pt>
                <c:pt idx="7">
                  <c:v>15</c:v>
                </c:pt>
                <c:pt idx="8">
                  <c:v>20</c:v>
                </c:pt>
                <c:pt idx="9">
                  <c:v>25</c:v>
                </c:pt>
                <c:pt idx="10">
                  <c:v>30</c:v>
                </c:pt>
                <c:pt idx="11">
                  <c:v>35</c:v>
                </c:pt>
                <c:pt idx="12">
                  <c:v>40</c:v>
                </c:pt>
                <c:pt idx="13">
                  <c:v>45</c:v>
                </c:pt>
                <c:pt idx="14">
                  <c:v>50</c:v>
                </c:pt>
                <c:pt idx="15">
                  <c:v>55</c:v>
                </c:pt>
                <c:pt idx="16">
                  <c:v>60</c:v>
                </c:pt>
                <c:pt idx="17">
                  <c:v>65</c:v>
                </c:pt>
                <c:pt idx="18">
                  <c:v>70</c:v>
                </c:pt>
                <c:pt idx="19">
                  <c:v>75</c:v>
                </c:pt>
                <c:pt idx="20">
                  <c:v>80</c:v>
                </c:pt>
                <c:pt idx="21">
                  <c:v>85</c:v>
                </c:pt>
                <c:pt idx="22">
                  <c:v>90</c:v>
                </c:pt>
                <c:pt idx="23">
                  <c:v>95</c:v>
                </c:pt>
                <c:pt idx="24">
                  <c:v>100</c:v>
                </c:pt>
                <c:pt idx="25">
                  <c:v>105</c:v>
                </c:pt>
                <c:pt idx="26">
                  <c:v>110</c:v>
                </c:pt>
                <c:pt idx="27">
                  <c:v>115</c:v>
                </c:pt>
                <c:pt idx="28">
                  <c:v>120</c:v>
                </c:pt>
                <c:pt idx="29">
                  <c:v>125</c:v>
                </c:pt>
                <c:pt idx="30">
                  <c:v>130</c:v>
                </c:pt>
                <c:pt idx="31">
                  <c:v>135</c:v>
                </c:pt>
                <c:pt idx="32">
                  <c:v>140</c:v>
                </c:pt>
                <c:pt idx="33">
                  <c:v>145</c:v>
                </c:pt>
                <c:pt idx="34">
                  <c:v>150</c:v>
                </c:pt>
                <c:pt idx="35">
                  <c:v>155</c:v>
                </c:pt>
                <c:pt idx="36">
                  <c:v>160</c:v>
                </c:pt>
                <c:pt idx="37">
                  <c:v>165</c:v>
                </c:pt>
                <c:pt idx="38">
                  <c:v>170</c:v>
                </c:pt>
                <c:pt idx="39">
                  <c:v>175</c:v>
                </c:pt>
                <c:pt idx="40">
                  <c:v>180</c:v>
                </c:pt>
                <c:pt idx="41">
                  <c:v>185</c:v>
                </c:pt>
                <c:pt idx="42">
                  <c:v>190</c:v>
                </c:pt>
              </c:numCache>
            </c:numRef>
          </c:cat>
          <c:val>
            <c:numRef>
              <c:f>Sheet6!$K$2:$K$44</c:f>
              <c:numCache>
                <c:formatCode>_(* #,##0.00_);_(* \(#,##0.00\);_(* "-"??_);_(@_)</c:formatCode>
                <c:ptCount val="43"/>
                <c:pt idx="0">
                  <c:v>5.9784956938347698</c:v>
                </c:pt>
                <c:pt idx="1">
                  <c:v>7.2582676732149096</c:v>
                </c:pt>
                <c:pt idx="2">
                  <c:v>7.0846099949903198</c:v>
                </c:pt>
                <c:pt idx="3">
                  <c:v>7.8908733758567902</c:v>
                </c:pt>
                <c:pt idx="4">
                  <c:v>7.3686369873700999</c:v>
                </c:pt>
                <c:pt idx="5">
                  <c:v>8.0105099350406501</c:v>
                </c:pt>
                <c:pt idx="6">
                  <c:v>8.1858754564830392</c:v>
                </c:pt>
                <c:pt idx="7">
                  <c:v>8.3385257287537602</c:v>
                </c:pt>
                <c:pt idx="8">
                  <c:v>9.6414833181847808</c:v>
                </c:pt>
                <c:pt idx="9">
                  <c:v>8.8577687912007796</c:v>
                </c:pt>
                <c:pt idx="10">
                  <c:v>8.9760252046940892</c:v>
                </c:pt>
                <c:pt idx="11">
                  <c:v>10.5266443556157</c:v>
                </c:pt>
                <c:pt idx="12">
                  <c:v>9.8674452331683202</c:v>
                </c:pt>
                <c:pt idx="13">
                  <c:v>10.6503759436076</c:v>
                </c:pt>
                <c:pt idx="14">
                  <c:v>11.571226557116001</c:v>
                </c:pt>
                <c:pt idx="15">
                  <c:v>12.0623338897773</c:v>
                </c:pt>
                <c:pt idx="16">
                  <c:v>12.338804744059001</c:v>
                </c:pt>
                <c:pt idx="17">
                  <c:v>13.489916916488999</c:v>
                </c:pt>
                <c:pt idx="18">
                  <c:v>14.3266866946314</c:v>
                </c:pt>
                <c:pt idx="19">
                  <c:v>14.7494841098094</c:v>
                </c:pt>
                <c:pt idx="20">
                  <c:v>16.657577486193698</c:v>
                </c:pt>
                <c:pt idx="21">
                  <c:v>16.061312969715299</c:v>
                </c:pt>
                <c:pt idx="22">
                  <c:v>17.545227193401299</c:v>
                </c:pt>
                <c:pt idx="23">
                  <c:v>18.403046858928398</c:v>
                </c:pt>
                <c:pt idx="24">
                  <c:v>19.533476041778599</c:v>
                </c:pt>
                <c:pt idx="25">
                  <c:v>20.926299248894001</c:v>
                </c:pt>
                <c:pt idx="26">
                  <c:v>22.025424511728801</c:v>
                </c:pt>
                <c:pt idx="27">
                  <c:v>23.004381389356201</c:v>
                </c:pt>
                <c:pt idx="28">
                  <c:v>21.570596820667799</c:v>
                </c:pt>
                <c:pt idx="29">
                  <c:v>24.646952137192301</c:v>
                </c:pt>
                <c:pt idx="30">
                  <c:v>24.569820362822401</c:v>
                </c:pt>
                <c:pt idx="31">
                  <c:v>24.175766044494299</c:v>
                </c:pt>
                <c:pt idx="32">
                  <c:v>25.8927548789353</c:v>
                </c:pt>
                <c:pt idx="33">
                  <c:v>25.629181248997799</c:v>
                </c:pt>
                <c:pt idx="34">
                  <c:v>26.972537146983601</c:v>
                </c:pt>
                <c:pt idx="35">
                  <c:v>26.223721926977401</c:v>
                </c:pt>
                <c:pt idx="36">
                  <c:v>27.051844283387901</c:v>
                </c:pt>
                <c:pt idx="37">
                  <c:v>29.039030869454201</c:v>
                </c:pt>
                <c:pt idx="38">
                  <c:v>27.8217257879882</c:v>
                </c:pt>
                <c:pt idx="39">
                  <c:v>26.713324523741399</c:v>
                </c:pt>
                <c:pt idx="40">
                  <c:v>26.003810926158899</c:v>
                </c:pt>
                <c:pt idx="41">
                  <c:v>27.676566358027401</c:v>
                </c:pt>
                <c:pt idx="42">
                  <c:v>27.427553315976301</c:v>
                </c:pt>
              </c:numCache>
            </c:numRef>
          </c:val>
          <c:smooth val="0"/>
        </c:ser>
        <c:ser>
          <c:idx val="10"/>
          <c:order val="10"/>
          <c:tx>
            <c:strRef>
              <c:f>Sheet6!$L$1</c:f>
              <c:strCache>
                <c:ptCount val="1"/>
                <c:pt idx="0">
                  <c:v>160</c:v>
                </c:pt>
              </c:strCache>
            </c:strRef>
          </c:tx>
          <c:marker>
            <c:symbol val="none"/>
          </c:marker>
          <c:cat>
            <c:numRef>
              <c:f>Sheet6!$A$2:$A$44</c:f>
              <c:numCache>
                <c:formatCode>General</c:formatCode>
                <c:ptCount val="43"/>
                <c:pt idx="0">
                  <c:v>-25</c:v>
                </c:pt>
                <c:pt idx="1">
                  <c:v>-15</c:v>
                </c:pt>
                <c:pt idx="2">
                  <c:v>-10</c:v>
                </c:pt>
                <c:pt idx="3">
                  <c:v>-5</c:v>
                </c:pt>
                <c:pt idx="4">
                  <c:v>0</c:v>
                </c:pt>
                <c:pt idx="5">
                  <c:v>5</c:v>
                </c:pt>
                <c:pt idx="6">
                  <c:v>10</c:v>
                </c:pt>
                <c:pt idx="7">
                  <c:v>15</c:v>
                </c:pt>
                <c:pt idx="8">
                  <c:v>20</c:v>
                </c:pt>
                <c:pt idx="9">
                  <c:v>25</c:v>
                </c:pt>
                <c:pt idx="10">
                  <c:v>30</c:v>
                </c:pt>
                <c:pt idx="11">
                  <c:v>35</c:v>
                </c:pt>
                <c:pt idx="12">
                  <c:v>40</c:v>
                </c:pt>
                <c:pt idx="13">
                  <c:v>45</c:v>
                </c:pt>
                <c:pt idx="14">
                  <c:v>50</c:v>
                </c:pt>
                <c:pt idx="15">
                  <c:v>55</c:v>
                </c:pt>
                <c:pt idx="16">
                  <c:v>60</c:v>
                </c:pt>
                <c:pt idx="17">
                  <c:v>65</c:v>
                </c:pt>
                <c:pt idx="18">
                  <c:v>70</c:v>
                </c:pt>
                <c:pt idx="19">
                  <c:v>75</c:v>
                </c:pt>
                <c:pt idx="20">
                  <c:v>80</c:v>
                </c:pt>
                <c:pt idx="21">
                  <c:v>85</c:v>
                </c:pt>
                <c:pt idx="22">
                  <c:v>90</c:v>
                </c:pt>
                <c:pt idx="23">
                  <c:v>95</c:v>
                </c:pt>
                <c:pt idx="24">
                  <c:v>100</c:v>
                </c:pt>
                <c:pt idx="25">
                  <c:v>105</c:v>
                </c:pt>
                <c:pt idx="26">
                  <c:v>110</c:v>
                </c:pt>
                <c:pt idx="27">
                  <c:v>115</c:v>
                </c:pt>
                <c:pt idx="28">
                  <c:v>120</c:v>
                </c:pt>
                <c:pt idx="29">
                  <c:v>125</c:v>
                </c:pt>
                <c:pt idx="30">
                  <c:v>130</c:v>
                </c:pt>
                <c:pt idx="31">
                  <c:v>135</c:v>
                </c:pt>
                <c:pt idx="32">
                  <c:v>140</c:v>
                </c:pt>
                <c:pt idx="33">
                  <c:v>145</c:v>
                </c:pt>
                <c:pt idx="34">
                  <c:v>150</c:v>
                </c:pt>
                <c:pt idx="35">
                  <c:v>155</c:v>
                </c:pt>
                <c:pt idx="36">
                  <c:v>160</c:v>
                </c:pt>
                <c:pt idx="37">
                  <c:v>165</c:v>
                </c:pt>
                <c:pt idx="38">
                  <c:v>170</c:v>
                </c:pt>
                <c:pt idx="39">
                  <c:v>175</c:v>
                </c:pt>
                <c:pt idx="40">
                  <c:v>180</c:v>
                </c:pt>
                <c:pt idx="41">
                  <c:v>185</c:v>
                </c:pt>
                <c:pt idx="42">
                  <c:v>190</c:v>
                </c:pt>
              </c:numCache>
            </c:numRef>
          </c:cat>
          <c:val>
            <c:numRef>
              <c:f>Sheet6!$L$2:$L$44</c:f>
              <c:numCache>
                <c:formatCode>_(* #,##0.00_);_(* \(#,##0.00\);_(* "-"??_);_(@_)</c:formatCode>
                <c:ptCount val="43"/>
                <c:pt idx="0">
                  <c:v>5.7883430595130001</c:v>
                </c:pt>
                <c:pt idx="1">
                  <c:v>7.0620182999663896</c:v>
                </c:pt>
                <c:pt idx="2">
                  <c:v>7.1845080037510201</c:v>
                </c:pt>
                <c:pt idx="3">
                  <c:v>7.1404422375429899</c:v>
                </c:pt>
                <c:pt idx="4">
                  <c:v>7.8046021539688697</c:v>
                </c:pt>
                <c:pt idx="5">
                  <c:v>7.6528301764752804</c:v>
                </c:pt>
                <c:pt idx="6">
                  <c:v>8.6864100309409906</c:v>
                </c:pt>
                <c:pt idx="7">
                  <c:v>8.5478021859962094</c:v>
                </c:pt>
                <c:pt idx="8">
                  <c:v>9.4026965318404105</c:v>
                </c:pt>
                <c:pt idx="9">
                  <c:v>9.5093306452333302</c:v>
                </c:pt>
                <c:pt idx="10">
                  <c:v>9.9540737150468797</c:v>
                </c:pt>
                <c:pt idx="11">
                  <c:v>10.158921779760499</c:v>
                </c:pt>
                <c:pt idx="12">
                  <c:v>10.4460884843858</c:v>
                </c:pt>
                <c:pt idx="13">
                  <c:v>11.6776166352233</c:v>
                </c:pt>
                <c:pt idx="14">
                  <c:v>12.3038954747089</c:v>
                </c:pt>
                <c:pt idx="15">
                  <c:v>12.357275791826901</c:v>
                </c:pt>
                <c:pt idx="16">
                  <c:v>13.0969155170405</c:v>
                </c:pt>
                <c:pt idx="17">
                  <c:v>14.167923057817299</c:v>
                </c:pt>
                <c:pt idx="18">
                  <c:v>14.825315838091599</c:v>
                </c:pt>
                <c:pt idx="19">
                  <c:v>15.671764408142799</c:v>
                </c:pt>
                <c:pt idx="20">
                  <c:v>17.586171893656601</c:v>
                </c:pt>
                <c:pt idx="21">
                  <c:v>17.159176846560602</c:v>
                </c:pt>
                <c:pt idx="22">
                  <c:v>18.8965032381447</c:v>
                </c:pt>
                <c:pt idx="23">
                  <c:v>19.4025574069423</c:v>
                </c:pt>
                <c:pt idx="24">
                  <c:v>20.2137081854531</c:v>
                </c:pt>
                <c:pt idx="25">
                  <c:v>23.020163058988398</c:v>
                </c:pt>
                <c:pt idx="26">
                  <c:v>23.446376214912501</c:v>
                </c:pt>
                <c:pt idx="27">
                  <c:v>23.0031598914886</c:v>
                </c:pt>
                <c:pt idx="28">
                  <c:v>23.616531846316001</c:v>
                </c:pt>
                <c:pt idx="29">
                  <c:v>25.3706669228607</c:v>
                </c:pt>
                <c:pt idx="30">
                  <c:v>24.593251707122299</c:v>
                </c:pt>
                <c:pt idx="31">
                  <c:v>26.276149248002199</c:v>
                </c:pt>
                <c:pt idx="32">
                  <c:v>25.915754115186299</c:v>
                </c:pt>
                <c:pt idx="33">
                  <c:v>26.4800657547299</c:v>
                </c:pt>
                <c:pt idx="34">
                  <c:v>28.536285974510399</c:v>
                </c:pt>
                <c:pt idx="35">
                  <c:v>27.832501269194701</c:v>
                </c:pt>
                <c:pt idx="36">
                  <c:v>28.8174749010625</c:v>
                </c:pt>
                <c:pt idx="37">
                  <c:v>26.729376814243</c:v>
                </c:pt>
                <c:pt idx="38">
                  <c:v>27.8617862576289</c:v>
                </c:pt>
                <c:pt idx="39">
                  <c:v>28.031059687685602</c:v>
                </c:pt>
                <c:pt idx="40">
                  <c:v>30.376963874643199</c:v>
                </c:pt>
                <c:pt idx="41">
                  <c:v>29.9532993958078</c:v>
                </c:pt>
                <c:pt idx="42">
                  <c:v>29.3976631144923</c:v>
                </c:pt>
              </c:numCache>
            </c:numRef>
          </c:val>
          <c:smooth val="0"/>
        </c:ser>
        <c:ser>
          <c:idx val="11"/>
          <c:order val="11"/>
          <c:tx>
            <c:strRef>
              <c:f>Sheet6!$M$1</c:f>
              <c:strCache>
                <c:ptCount val="1"/>
                <c:pt idx="0">
                  <c:v>170</c:v>
                </c:pt>
              </c:strCache>
            </c:strRef>
          </c:tx>
          <c:marker>
            <c:symbol val="none"/>
          </c:marker>
          <c:cat>
            <c:numRef>
              <c:f>Sheet6!$A$2:$A$44</c:f>
              <c:numCache>
                <c:formatCode>General</c:formatCode>
                <c:ptCount val="43"/>
                <c:pt idx="0">
                  <c:v>-25</c:v>
                </c:pt>
                <c:pt idx="1">
                  <c:v>-15</c:v>
                </c:pt>
                <c:pt idx="2">
                  <c:v>-10</c:v>
                </c:pt>
                <c:pt idx="3">
                  <c:v>-5</c:v>
                </c:pt>
                <c:pt idx="4">
                  <c:v>0</c:v>
                </c:pt>
                <c:pt idx="5">
                  <c:v>5</c:v>
                </c:pt>
                <c:pt idx="6">
                  <c:v>10</c:v>
                </c:pt>
                <c:pt idx="7">
                  <c:v>15</c:v>
                </c:pt>
                <c:pt idx="8">
                  <c:v>20</c:v>
                </c:pt>
                <c:pt idx="9">
                  <c:v>25</c:v>
                </c:pt>
                <c:pt idx="10">
                  <c:v>30</c:v>
                </c:pt>
                <c:pt idx="11">
                  <c:v>35</c:v>
                </c:pt>
                <c:pt idx="12">
                  <c:v>40</c:v>
                </c:pt>
                <c:pt idx="13">
                  <c:v>45</c:v>
                </c:pt>
                <c:pt idx="14">
                  <c:v>50</c:v>
                </c:pt>
                <c:pt idx="15">
                  <c:v>55</c:v>
                </c:pt>
                <c:pt idx="16">
                  <c:v>60</c:v>
                </c:pt>
                <c:pt idx="17">
                  <c:v>65</c:v>
                </c:pt>
                <c:pt idx="18">
                  <c:v>70</c:v>
                </c:pt>
                <c:pt idx="19">
                  <c:v>75</c:v>
                </c:pt>
                <c:pt idx="20">
                  <c:v>80</c:v>
                </c:pt>
                <c:pt idx="21">
                  <c:v>85</c:v>
                </c:pt>
                <c:pt idx="22">
                  <c:v>90</c:v>
                </c:pt>
                <c:pt idx="23">
                  <c:v>95</c:v>
                </c:pt>
                <c:pt idx="24">
                  <c:v>100</c:v>
                </c:pt>
                <c:pt idx="25">
                  <c:v>105</c:v>
                </c:pt>
                <c:pt idx="26">
                  <c:v>110</c:v>
                </c:pt>
                <c:pt idx="27">
                  <c:v>115</c:v>
                </c:pt>
                <c:pt idx="28">
                  <c:v>120</c:v>
                </c:pt>
                <c:pt idx="29">
                  <c:v>125</c:v>
                </c:pt>
                <c:pt idx="30">
                  <c:v>130</c:v>
                </c:pt>
                <c:pt idx="31">
                  <c:v>135</c:v>
                </c:pt>
                <c:pt idx="32">
                  <c:v>140</c:v>
                </c:pt>
                <c:pt idx="33">
                  <c:v>145</c:v>
                </c:pt>
                <c:pt idx="34">
                  <c:v>150</c:v>
                </c:pt>
                <c:pt idx="35">
                  <c:v>155</c:v>
                </c:pt>
                <c:pt idx="36">
                  <c:v>160</c:v>
                </c:pt>
                <c:pt idx="37">
                  <c:v>165</c:v>
                </c:pt>
                <c:pt idx="38">
                  <c:v>170</c:v>
                </c:pt>
                <c:pt idx="39">
                  <c:v>175</c:v>
                </c:pt>
                <c:pt idx="40">
                  <c:v>180</c:v>
                </c:pt>
                <c:pt idx="41">
                  <c:v>185</c:v>
                </c:pt>
                <c:pt idx="42">
                  <c:v>190</c:v>
                </c:pt>
              </c:numCache>
            </c:numRef>
          </c:cat>
          <c:val>
            <c:numRef>
              <c:f>Sheet6!$M$2:$M$44</c:f>
              <c:numCache>
                <c:formatCode>_(* #,##0.00_);_(* \(#,##0.00\);_(* "-"??_);_(@_)</c:formatCode>
                <c:ptCount val="43"/>
                <c:pt idx="0">
                  <c:v>5.6367430894106301</c:v>
                </c:pt>
                <c:pt idx="1">
                  <c:v>7.39347190011385</c:v>
                </c:pt>
                <c:pt idx="2">
                  <c:v>7.0928405090414701</c:v>
                </c:pt>
                <c:pt idx="3">
                  <c:v>6.9989426269617496</c:v>
                </c:pt>
                <c:pt idx="4">
                  <c:v>7.6818013501275102</c:v>
                </c:pt>
                <c:pt idx="5">
                  <c:v>7.6718317645468499</c:v>
                </c:pt>
                <c:pt idx="6">
                  <c:v>8.7268686278620908</c:v>
                </c:pt>
                <c:pt idx="7">
                  <c:v>9.3687600068418107</c:v>
                </c:pt>
                <c:pt idx="8">
                  <c:v>8.7267010194788295</c:v>
                </c:pt>
                <c:pt idx="9">
                  <c:v>9.0891776779122608</c:v>
                </c:pt>
                <c:pt idx="10">
                  <c:v>9.7620886934883107</c:v>
                </c:pt>
                <c:pt idx="11">
                  <c:v>10.1102832416883</c:v>
                </c:pt>
                <c:pt idx="12">
                  <c:v>10.9381690886343</c:v>
                </c:pt>
                <c:pt idx="13">
                  <c:v>11.8291918064469</c:v>
                </c:pt>
                <c:pt idx="14">
                  <c:v>12.240104194427801</c:v>
                </c:pt>
                <c:pt idx="15">
                  <c:v>13.5394631794776</c:v>
                </c:pt>
                <c:pt idx="16">
                  <c:v>14.2207316919013</c:v>
                </c:pt>
                <c:pt idx="17">
                  <c:v>14.4351719715941</c:v>
                </c:pt>
                <c:pt idx="18">
                  <c:v>15.6247203559812</c:v>
                </c:pt>
                <c:pt idx="19">
                  <c:v>16.880763126923299</c:v>
                </c:pt>
                <c:pt idx="20">
                  <c:v>18.258377903551299</c:v>
                </c:pt>
                <c:pt idx="21">
                  <c:v>18.451342332908101</c:v>
                </c:pt>
                <c:pt idx="22">
                  <c:v>20.315195070175498</c:v>
                </c:pt>
                <c:pt idx="23">
                  <c:v>20.054250117209101</c:v>
                </c:pt>
                <c:pt idx="24">
                  <c:v>22.001684056919402</c:v>
                </c:pt>
                <c:pt idx="25">
                  <c:v>22.485151258326098</c:v>
                </c:pt>
                <c:pt idx="26">
                  <c:v>23.588156775457801</c:v>
                </c:pt>
                <c:pt idx="27">
                  <c:v>24.290193768230701</c:v>
                </c:pt>
                <c:pt idx="28">
                  <c:v>25.1733933303329</c:v>
                </c:pt>
                <c:pt idx="29">
                  <c:v>26.371869169003698</c:v>
                </c:pt>
                <c:pt idx="30">
                  <c:v>27.802949708125102</c:v>
                </c:pt>
                <c:pt idx="31">
                  <c:v>27.132512144999499</c:v>
                </c:pt>
                <c:pt idx="32">
                  <c:v>26.6866816619332</c:v>
                </c:pt>
                <c:pt idx="33">
                  <c:v>27.616775428169898</c:v>
                </c:pt>
                <c:pt idx="34">
                  <c:v>28.193292642086401</c:v>
                </c:pt>
                <c:pt idx="35">
                  <c:v>28.129713111227101</c:v>
                </c:pt>
                <c:pt idx="36">
                  <c:v>26.890060632391201</c:v>
                </c:pt>
                <c:pt idx="37">
                  <c:v>29.678055854484899</c:v>
                </c:pt>
                <c:pt idx="38">
                  <c:v>26.104836200898699</c:v>
                </c:pt>
                <c:pt idx="39">
                  <c:v>29.6147630672919</c:v>
                </c:pt>
                <c:pt idx="40">
                  <c:v>29.013184763068502</c:v>
                </c:pt>
                <c:pt idx="41">
                  <c:v>30.4890114355014</c:v>
                </c:pt>
                <c:pt idx="42">
                  <c:v>26.784741773567902</c:v>
                </c:pt>
              </c:numCache>
            </c:numRef>
          </c:val>
          <c:smooth val="0"/>
        </c:ser>
        <c:dLbls>
          <c:showLegendKey val="0"/>
          <c:showVal val="0"/>
          <c:showCatName val="0"/>
          <c:showSerName val="0"/>
          <c:showPercent val="0"/>
          <c:showBubbleSize val="0"/>
        </c:dLbls>
        <c:marker val="1"/>
        <c:smooth val="0"/>
        <c:axId val="65148416"/>
        <c:axId val="65149952"/>
      </c:lineChart>
      <c:catAx>
        <c:axId val="65148416"/>
        <c:scaling>
          <c:orientation val="minMax"/>
        </c:scaling>
        <c:delete val="0"/>
        <c:axPos val="b"/>
        <c:numFmt formatCode="General" sourceLinked="1"/>
        <c:majorTickMark val="out"/>
        <c:minorTickMark val="none"/>
        <c:tickLblPos val="nextTo"/>
        <c:crossAx val="65149952"/>
        <c:crosses val="autoZero"/>
        <c:auto val="1"/>
        <c:lblAlgn val="ctr"/>
        <c:lblOffset val="100"/>
        <c:noMultiLvlLbl val="0"/>
      </c:catAx>
      <c:valAx>
        <c:axId val="65149952"/>
        <c:scaling>
          <c:orientation val="minMax"/>
        </c:scaling>
        <c:delete val="0"/>
        <c:axPos val="l"/>
        <c:majorGridlines/>
        <c:numFmt formatCode="_(* #,##0.00_);_(* \(#,##0.00\);_(* &quot;-&quot;??_);_(@_)" sourceLinked="1"/>
        <c:majorTickMark val="out"/>
        <c:minorTickMark val="none"/>
        <c:tickLblPos val="nextTo"/>
        <c:crossAx val="65148416"/>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Sheet6!$C$79</c:f>
              <c:strCache>
                <c:ptCount val="1"/>
                <c:pt idx="0">
                  <c:v>70</c:v>
                </c:pt>
              </c:strCache>
            </c:strRef>
          </c:tx>
          <c:marker>
            <c:symbol val="none"/>
          </c:marker>
          <c:cat>
            <c:numRef>
              <c:f>Sheet6!$A$80:$A$119</c:f>
              <c:numCache>
                <c:formatCode>General</c:formatCode>
                <c:ptCount val="40"/>
                <c:pt idx="0">
                  <c:v>-5</c:v>
                </c:pt>
                <c:pt idx="1">
                  <c:v>0</c:v>
                </c:pt>
                <c:pt idx="2">
                  <c:v>5</c:v>
                </c:pt>
                <c:pt idx="3">
                  <c:v>10</c:v>
                </c:pt>
                <c:pt idx="4">
                  <c:v>15</c:v>
                </c:pt>
                <c:pt idx="5">
                  <c:v>20</c:v>
                </c:pt>
                <c:pt idx="6">
                  <c:v>25</c:v>
                </c:pt>
                <c:pt idx="7">
                  <c:v>30</c:v>
                </c:pt>
                <c:pt idx="8">
                  <c:v>35</c:v>
                </c:pt>
                <c:pt idx="9">
                  <c:v>40</c:v>
                </c:pt>
                <c:pt idx="10">
                  <c:v>45</c:v>
                </c:pt>
                <c:pt idx="11">
                  <c:v>50</c:v>
                </c:pt>
                <c:pt idx="12">
                  <c:v>55</c:v>
                </c:pt>
                <c:pt idx="13">
                  <c:v>60</c:v>
                </c:pt>
                <c:pt idx="14">
                  <c:v>65</c:v>
                </c:pt>
                <c:pt idx="15">
                  <c:v>70</c:v>
                </c:pt>
                <c:pt idx="16">
                  <c:v>75</c:v>
                </c:pt>
                <c:pt idx="17">
                  <c:v>80</c:v>
                </c:pt>
                <c:pt idx="18">
                  <c:v>85</c:v>
                </c:pt>
                <c:pt idx="19">
                  <c:v>90</c:v>
                </c:pt>
                <c:pt idx="20">
                  <c:v>95</c:v>
                </c:pt>
                <c:pt idx="21">
                  <c:v>100</c:v>
                </c:pt>
                <c:pt idx="22">
                  <c:v>105</c:v>
                </c:pt>
                <c:pt idx="23">
                  <c:v>110</c:v>
                </c:pt>
                <c:pt idx="24">
                  <c:v>115</c:v>
                </c:pt>
                <c:pt idx="25">
                  <c:v>120</c:v>
                </c:pt>
                <c:pt idx="26">
                  <c:v>125</c:v>
                </c:pt>
                <c:pt idx="27">
                  <c:v>130</c:v>
                </c:pt>
                <c:pt idx="28">
                  <c:v>135</c:v>
                </c:pt>
                <c:pt idx="29">
                  <c:v>140</c:v>
                </c:pt>
                <c:pt idx="30">
                  <c:v>145</c:v>
                </c:pt>
                <c:pt idx="31">
                  <c:v>150</c:v>
                </c:pt>
                <c:pt idx="32">
                  <c:v>155</c:v>
                </c:pt>
                <c:pt idx="33">
                  <c:v>160</c:v>
                </c:pt>
                <c:pt idx="34">
                  <c:v>165</c:v>
                </c:pt>
                <c:pt idx="35">
                  <c:v>170</c:v>
                </c:pt>
                <c:pt idx="36">
                  <c:v>175</c:v>
                </c:pt>
                <c:pt idx="37">
                  <c:v>180</c:v>
                </c:pt>
                <c:pt idx="38">
                  <c:v>185</c:v>
                </c:pt>
                <c:pt idx="39">
                  <c:v>190</c:v>
                </c:pt>
              </c:numCache>
            </c:numRef>
          </c:cat>
          <c:val>
            <c:numRef>
              <c:f>Sheet6!$C$86:$C$126</c:f>
              <c:numCache>
                <c:formatCode>_(* #,##0.00_);_(* \(#,##0.00\);_(* "-"??_);_(@_)</c:formatCode>
                <c:ptCount val="41"/>
                <c:pt idx="0">
                  <c:v>7.0916716132061242E-2</c:v>
                </c:pt>
                <c:pt idx="1">
                  <c:v>3.6690255013713757E-2</c:v>
                </c:pt>
                <c:pt idx="2">
                  <c:v>7.9269540580834977E-2</c:v>
                </c:pt>
                <c:pt idx="3">
                  <c:v>0.11759742535427922</c:v>
                </c:pt>
                <c:pt idx="4">
                  <c:v>0.10346789582719855</c:v>
                </c:pt>
                <c:pt idx="5">
                  <c:v>7.1466643670328178E-2</c:v>
                </c:pt>
                <c:pt idx="6">
                  <c:v>0.14022360148091248</c:v>
                </c:pt>
                <c:pt idx="7">
                  <c:v>0.2027644571726597</c:v>
                </c:pt>
                <c:pt idx="8">
                  <c:v>0.14400784022459059</c:v>
                </c:pt>
                <c:pt idx="9">
                  <c:v>0.20576754673414824</c:v>
                </c:pt>
                <c:pt idx="10">
                  <c:v>0.18900881998330657</c:v>
                </c:pt>
                <c:pt idx="11">
                  <c:v>0.23254379823357973</c:v>
                </c:pt>
                <c:pt idx="12">
                  <c:v>0.29250411915112645</c:v>
                </c:pt>
                <c:pt idx="13">
                  <c:v>0.28833803410997499</c:v>
                </c:pt>
                <c:pt idx="14">
                  <c:v>0.28289190345717641</c:v>
                </c:pt>
                <c:pt idx="15">
                  <c:v>0.3235370006603997</c:v>
                </c:pt>
                <c:pt idx="16">
                  <c:v>0.4072971017651062</c:v>
                </c:pt>
                <c:pt idx="17">
                  <c:v>0.42411570643727892</c:v>
                </c:pt>
                <c:pt idx="18">
                  <c:v>0.42836852932736763</c:v>
                </c:pt>
                <c:pt idx="19">
                  <c:v>0.46698310928898168</c:v>
                </c:pt>
                <c:pt idx="20">
                  <c:v>0.53153025425748968</c:v>
                </c:pt>
                <c:pt idx="21">
                  <c:v>0.56795558007275504</c:v>
                </c:pt>
                <c:pt idx="22">
                  <c:v>0.5179504392323544</c:v>
                </c:pt>
                <c:pt idx="23">
                  <c:v>0.62183079646067219</c:v>
                </c:pt>
                <c:pt idx="24">
                  <c:v>0.56698771207076459</c:v>
                </c:pt>
                <c:pt idx="25">
                  <c:v>0.66063313144070002</c:v>
                </c:pt>
                <c:pt idx="26">
                  <c:v>0.56639980015430802</c:v>
                </c:pt>
                <c:pt idx="27">
                  <c:v>0.71086738887476542</c:v>
                </c:pt>
                <c:pt idx="28">
                  <c:v>0.70898563903360778</c:v>
                </c:pt>
                <c:pt idx="29">
                  <c:v>0.74128881157558246</c:v>
                </c:pt>
                <c:pt idx="30">
                  <c:v>0.70163862124332377</c:v>
                </c:pt>
                <c:pt idx="31">
                  <c:v>0.80204376992689552</c:v>
                </c:pt>
                <c:pt idx="32">
                  <c:v>1</c:v>
                </c:pt>
                <c:pt idx="33">
                  <c:v>0.59916695850514845</c:v>
                </c:pt>
              </c:numCache>
            </c:numRef>
          </c:val>
          <c:smooth val="0"/>
        </c:ser>
        <c:ser>
          <c:idx val="1"/>
          <c:order val="1"/>
          <c:tx>
            <c:strRef>
              <c:f>Sheet6!$M$79</c:f>
              <c:strCache>
                <c:ptCount val="1"/>
                <c:pt idx="0">
                  <c:v>170</c:v>
                </c:pt>
              </c:strCache>
            </c:strRef>
          </c:tx>
          <c:marker>
            <c:symbol val="none"/>
          </c:marker>
          <c:cat>
            <c:numRef>
              <c:f>Sheet6!$A$80:$A$119</c:f>
              <c:numCache>
                <c:formatCode>General</c:formatCode>
                <c:ptCount val="40"/>
                <c:pt idx="0">
                  <c:v>-5</c:v>
                </c:pt>
                <c:pt idx="1">
                  <c:v>0</c:v>
                </c:pt>
                <c:pt idx="2">
                  <c:v>5</c:v>
                </c:pt>
                <c:pt idx="3">
                  <c:v>10</c:v>
                </c:pt>
                <c:pt idx="4">
                  <c:v>15</c:v>
                </c:pt>
                <c:pt idx="5">
                  <c:v>20</c:v>
                </c:pt>
                <c:pt idx="6">
                  <c:v>25</c:v>
                </c:pt>
                <c:pt idx="7">
                  <c:v>30</c:v>
                </c:pt>
                <c:pt idx="8">
                  <c:v>35</c:v>
                </c:pt>
                <c:pt idx="9">
                  <c:v>40</c:v>
                </c:pt>
                <c:pt idx="10">
                  <c:v>45</c:v>
                </c:pt>
                <c:pt idx="11">
                  <c:v>50</c:v>
                </c:pt>
                <c:pt idx="12">
                  <c:v>55</c:v>
                </c:pt>
                <c:pt idx="13">
                  <c:v>60</c:v>
                </c:pt>
                <c:pt idx="14">
                  <c:v>65</c:v>
                </c:pt>
                <c:pt idx="15">
                  <c:v>70</c:v>
                </c:pt>
                <c:pt idx="16">
                  <c:v>75</c:v>
                </c:pt>
                <c:pt idx="17">
                  <c:v>80</c:v>
                </c:pt>
                <c:pt idx="18">
                  <c:v>85</c:v>
                </c:pt>
                <c:pt idx="19">
                  <c:v>90</c:v>
                </c:pt>
                <c:pt idx="20">
                  <c:v>95</c:v>
                </c:pt>
                <c:pt idx="21">
                  <c:v>100</c:v>
                </c:pt>
                <c:pt idx="22">
                  <c:v>105</c:v>
                </c:pt>
                <c:pt idx="23">
                  <c:v>110</c:v>
                </c:pt>
                <c:pt idx="24">
                  <c:v>115</c:v>
                </c:pt>
                <c:pt idx="25">
                  <c:v>120</c:v>
                </c:pt>
                <c:pt idx="26">
                  <c:v>125</c:v>
                </c:pt>
                <c:pt idx="27">
                  <c:v>130</c:v>
                </c:pt>
                <c:pt idx="28">
                  <c:v>135</c:v>
                </c:pt>
                <c:pt idx="29">
                  <c:v>140</c:v>
                </c:pt>
                <c:pt idx="30">
                  <c:v>145</c:v>
                </c:pt>
                <c:pt idx="31">
                  <c:v>150</c:v>
                </c:pt>
                <c:pt idx="32">
                  <c:v>155</c:v>
                </c:pt>
                <c:pt idx="33">
                  <c:v>160</c:v>
                </c:pt>
                <c:pt idx="34">
                  <c:v>165</c:v>
                </c:pt>
                <c:pt idx="35">
                  <c:v>170</c:v>
                </c:pt>
                <c:pt idx="36">
                  <c:v>175</c:v>
                </c:pt>
                <c:pt idx="37">
                  <c:v>180</c:v>
                </c:pt>
                <c:pt idx="38">
                  <c:v>185</c:v>
                </c:pt>
                <c:pt idx="39">
                  <c:v>190</c:v>
                </c:pt>
              </c:numCache>
            </c:numRef>
          </c:cat>
          <c:val>
            <c:numRef>
              <c:f>Sheet6!$M$80:$M$119</c:f>
              <c:numCache>
                <c:formatCode>_(* #,##0.00_);_(* \(#,##0.00\);_(* "-"??_);_(@_)</c:formatCode>
                <c:ptCount val="40"/>
                <c:pt idx="0">
                  <c:v>0</c:v>
                </c:pt>
                <c:pt idx="1">
                  <c:v>2.9070103145781848E-2</c:v>
                </c:pt>
                <c:pt idx="2">
                  <c:v>2.8645686101203591E-2</c:v>
                </c:pt>
                <c:pt idx="3">
                  <c:v>7.3559852675789766E-2</c:v>
                </c:pt>
                <c:pt idx="4">
                  <c:v>0.10088592754647574</c:v>
                </c:pt>
                <c:pt idx="5">
                  <c:v>7.3552717388761554E-2</c:v>
                </c:pt>
                <c:pt idx="6">
                  <c:v>8.8983777271466349E-2</c:v>
                </c:pt>
                <c:pt idx="7">
                  <c:v>0.11763039474460962</c:v>
                </c:pt>
                <c:pt idx="8">
                  <c:v>0.13245344830984251</c:v>
                </c:pt>
                <c:pt idx="9">
                  <c:v>0.16769752757133144</c:v>
                </c:pt>
                <c:pt idx="10">
                  <c:v>0.20562941806833479</c:v>
                </c:pt>
                <c:pt idx="11">
                  <c:v>0.22312244422037042</c:v>
                </c:pt>
                <c:pt idx="12">
                  <c:v>0.27843769236376564</c:v>
                </c:pt>
                <c:pt idx="13">
                  <c:v>0.30744009835825253</c:v>
                </c:pt>
                <c:pt idx="14">
                  <c:v>0.31656907458393485</c:v>
                </c:pt>
                <c:pt idx="15">
                  <c:v>0.36720955563500135</c:v>
                </c:pt>
                <c:pt idx="16">
                  <c:v>0.42068078133381553</c:v>
                </c:pt>
                <c:pt idx="17">
                  <c:v>0.47932747104156037</c:v>
                </c:pt>
                <c:pt idx="18">
                  <c:v>0.48754219492890172</c:v>
                </c:pt>
                <c:pt idx="19">
                  <c:v>0.56688860946940767</c:v>
                </c:pt>
                <c:pt idx="20">
                  <c:v>0.55577987432293874</c:v>
                </c:pt>
                <c:pt idx="21">
                  <c:v>0.63868443946420073</c:v>
                </c:pt>
                <c:pt idx="22">
                  <c:v>0.65926620980073269</c:v>
                </c:pt>
                <c:pt idx="23">
                  <c:v>0.70622245867858668</c:v>
                </c:pt>
                <c:pt idx="24">
                  <c:v>0.73610900343479779</c:v>
                </c:pt>
                <c:pt idx="25">
                  <c:v>0.77370785294438793</c:v>
                </c:pt>
                <c:pt idx="26">
                  <c:v>0.82472838627867517</c:v>
                </c:pt>
                <c:pt idx="27">
                  <c:v>0.88565117670494864</c:v>
                </c:pt>
                <c:pt idx="28">
                  <c:v>0.85710985702682707</c:v>
                </c:pt>
                <c:pt idx="29">
                  <c:v>0.83813032628555395</c:v>
                </c:pt>
                <c:pt idx="30">
                  <c:v>0.87772551750519689</c:v>
                </c:pt>
                <c:pt idx="31">
                  <c:v>0.90226853688140729</c:v>
                </c:pt>
                <c:pt idx="32">
                  <c:v>0.89956188108667468</c:v>
                </c:pt>
                <c:pt idx="33">
                  <c:v>0.84678840950002554</c:v>
                </c:pt>
                <c:pt idx="34">
                  <c:v>0.96547666217471095</c:v>
                </c:pt>
                <c:pt idx="35">
                  <c:v>0.81336047713028137</c:v>
                </c:pt>
                <c:pt idx="36">
                  <c:v>0.96278221339685166</c:v>
                </c:pt>
                <c:pt idx="37">
                  <c:v>0.93717231377813703</c:v>
                </c:pt>
                <c:pt idx="38">
                  <c:v>1</c:v>
                </c:pt>
                <c:pt idx="39">
                  <c:v>0.84230486116810199</c:v>
                </c:pt>
              </c:numCache>
            </c:numRef>
          </c:val>
          <c:smooth val="0"/>
        </c:ser>
        <c:dLbls>
          <c:showLegendKey val="0"/>
          <c:showVal val="0"/>
          <c:showCatName val="0"/>
          <c:showSerName val="0"/>
          <c:showPercent val="0"/>
          <c:showBubbleSize val="0"/>
        </c:dLbls>
        <c:marker val="1"/>
        <c:smooth val="0"/>
        <c:axId val="65174528"/>
        <c:axId val="65180416"/>
      </c:lineChart>
      <c:catAx>
        <c:axId val="65174528"/>
        <c:scaling>
          <c:orientation val="minMax"/>
        </c:scaling>
        <c:delete val="0"/>
        <c:axPos val="b"/>
        <c:numFmt formatCode="General" sourceLinked="1"/>
        <c:majorTickMark val="out"/>
        <c:minorTickMark val="none"/>
        <c:tickLblPos val="nextTo"/>
        <c:crossAx val="65180416"/>
        <c:crosses val="autoZero"/>
        <c:auto val="1"/>
        <c:lblAlgn val="ctr"/>
        <c:lblOffset val="100"/>
        <c:tickLblSkip val="4"/>
        <c:tickMarkSkip val="4"/>
        <c:noMultiLvlLbl val="0"/>
      </c:catAx>
      <c:valAx>
        <c:axId val="65180416"/>
        <c:scaling>
          <c:orientation val="minMax"/>
          <c:max val="1"/>
          <c:min val="0"/>
        </c:scaling>
        <c:delete val="0"/>
        <c:axPos val="l"/>
        <c:numFmt formatCode="_(* #,##0.00_);_(* \(#,##0.00\);_(* &quot;-&quot;??_);_(@_)" sourceLinked="1"/>
        <c:majorTickMark val="out"/>
        <c:minorTickMark val="none"/>
        <c:tickLblPos val="nextTo"/>
        <c:crossAx val="65174528"/>
        <c:crosses val="autoZero"/>
        <c:crossBetween val="midCat"/>
      </c:valAx>
    </c:plotArea>
    <c:legend>
      <c:legendPos val="r"/>
      <c:layout/>
      <c:overlay val="0"/>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Sheet6!$D$79</c:f>
              <c:strCache>
                <c:ptCount val="1"/>
                <c:pt idx="0">
                  <c:v>80</c:v>
                </c:pt>
              </c:strCache>
            </c:strRef>
          </c:tx>
          <c:marker>
            <c:symbol val="none"/>
          </c:marker>
          <c:cat>
            <c:numRef>
              <c:f>Sheet6!$A$80:$A$119</c:f>
              <c:numCache>
                <c:formatCode>General</c:formatCode>
                <c:ptCount val="40"/>
                <c:pt idx="0">
                  <c:v>-5</c:v>
                </c:pt>
                <c:pt idx="1">
                  <c:v>0</c:v>
                </c:pt>
                <c:pt idx="2">
                  <c:v>5</c:v>
                </c:pt>
                <c:pt idx="3">
                  <c:v>10</c:v>
                </c:pt>
                <c:pt idx="4">
                  <c:v>15</c:v>
                </c:pt>
                <c:pt idx="5">
                  <c:v>20</c:v>
                </c:pt>
                <c:pt idx="6">
                  <c:v>25</c:v>
                </c:pt>
                <c:pt idx="7">
                  <c:v>30</c:v>
                </c:pt>
                <c:pt idx="8">
                  <c:v>35</c:v>
                </c:pt>
                <c:pt idx="9">
                  <c:v>40</c:v>
                </c:pt>
                <c:pt idx="10">
                  <c:v>45</c:v>
                </c:pt>
                <c:pt idx="11">
                  <c:v>50</c:v>
                </c:pt>
                <c:pt idx="12">
                  <c:v>55</c:v>
                </c:pt>
                <c:pt idx="13">
                  <c:v>60</c:v>
                </c:pt>
                <c:pt idx="14">
                  <c:v>65</c:v>
                </c:pt>
                <c:pt idx="15">
                  <c:v>70</c:v>
                </c:pt>
                <c:pt idx="16">
                  <c:v>75</c:v>
                </c:pt>
                <c:pt idx="17">
                  <c:v>80</c:v>
                </c:pt>
                <c:pt idx="18">
                  <c:v>85</c:v>
                </c:pt>
                <c:pt idx="19">
                  <c:v>90</c:v>
                </c:pt>
                <c:pt idx="20">
                  <c:v>95</c:v>
                </c:pt>
                <c:pt idx="21">
                  <c:v>100</c:v>
                </c:pt>
                <c:pt idx="22">
                  <c:v>105</c:v>
                </c:pt>
                <c:pt idx="23">
                  <c:v>110</c:v>
                </c:pt>
                <c:pt idx="24">
                  <c:v>115</c:v>
                </c:pt>
                <c:pt idx="25">
                  <c:v>120</c:v>
                </c:pt>
                <c:pt idx="26">
                  <c:v>125</c:v>
                </c:pt>
                <c:pt idx="27">
                  <c:v>130</c:v>
                </c:pt>
                <c:pt idx="28">
                  <c:v>135</c:v>
                </c:pt>
                <c:pt idx="29">
                  <c:v>140</c:v>
                </c:pt>
                <c:pt idx="30">
                  <c:v>145</c:v>
                </c:pt>
                <c:pt idx="31">
                  <c:v>150</c:v>
                </c:pt>
                <c:pt idx="32">
                  <c:v>155</c:v>
                </c:pt>
                <c:pt idx="33">
                  <c:v>160</c:v>
                </c:pt>
                <c:pt idx="34">
                  <c:v>165</c:v>
                </c:pt>
                <c:pt idx="35">
                  <c:v>170</c:v>
                </c:pt>
                <c:pt idx="36">
                  <c:v>175</c:v>
                </c:pt>
                <c:pt idx="37">
                  <c:v>180</c:v>
                </c:pt>
                <c:pt idx="38">
                  <c:v>185</c:v>
                </c:pt>
                <c:pt idx="39">
                  <c:v>190</c:v>
                </c:pt>
              </c:numCache>
            </c:numRef>
          </c:cat>
          <c:val>
            <c:numRef>
              <c:f>Sheet6!$D$84:$D$124</c:f>
              <c:numCache>
                <c:formatCode>_(* #,##0.00_);_(* \(#,##0.00\);_(* "-"??_);_(@_)</c:formatCode>
                <c:ptCount val="41"/>
                <c:pt idx="0">
                  <c:v>5.827531717941728E-2</c:v>
                </c:pt>
                <c:pt idx="1">
                  <c:v>0.12055572962032643</c:v>
                </c:pt>
                <c:pt idx="2">
                  <c:v>8.9128630804872072E-2</c:v>
                </c:pt>
                <c:pt idx="3">
                  <c:v>0.12370322546370897</c:v>
                </c:pt>
                <c:pt idx="4">
                  <c:v>0.1035470880254124</c:v>
                </c:pt>
                <c:pt idx="5">
                  <c:v>9.6691157644458681E-2</c:v>
                </c:pt>
                <c:pt idx="6">
                  <c:v>0.10394455749506755</c:v>
                </c:pt>
                <c:pt idx="7">
                  <c:v>0.13479133963232684</c:v>
                </c:pt>
                <c:pt idx="8">
                  <c:v>0.19698513080519975</c:v>
                </c:pt>
                <c:pt idx="9">
                  <c:v>0.2029700830622094</c:v>
                </c:pt>
                <c:pt idx="10">
                  <c:v>0.22704124736041345</c:v>
                </c:pt>
                <c:pt idx="11">
                  <c:v>0.21748700348538608</c:v>
                </c:pt>
                <c:pt idx="12">
                  <c:v>0.25121006177006905</c:v>
                </c:pt>
                <c:pt idx="13">
                  <c:v>0.32524367812480054</c:v>
                </c:pt>
                <c:pt idx="14">
                  <c:v>0.40304111239960511</c:v>
                </c:pt>
                <c:pt idx="15">
                  <c:v>0.36665214418224656</c:v>
                </c:pt>
                <c:pt idx="16">
                  <c:v>0.44027421798581307</c:v>
                </c:pt>
                <c:pt idx="17">
                  <c:v>0.49928551891316719</c:v>
                </c:pt>
                <c:pt idx="18">
                  <c:v>0.54151315927786781</c:v>
                </c:pt>
                <c:pt idx="19">
                  <c:v>0.52898528162788827</c:v>
                </c:pt>
                <c:pt idx="20">
                  <c:v>0.58944051021737165</c:v>
                </c:pt>
                <c:pt idx="21">
                  <c:v>0.58579721250055128</c:v>
                </c:pt>
                <c:pt idx="22">
                  <c:v>0.59547170014836892</c:v>
                </c:pt>
                <c:pt idx="23">
                  <c:v>0.60781873365220818</c:v>
                </c:pt>
                <c:pt idx="24">
                  <c:v>0.64629342800659939</c:v>
                </c:pt>
                <c:pt idx="25">
                  <c:v>0.66057004094095739</c:v>
                </c:pt>
                <c:pt idx="26">
                  <c:v>0.73639592623553374</c:v>
                </c:pt>
                <c:pt idx="27">
                  <c:v>0.86849192719310664</c:v>
                </c:pt>
                <c:pt idx="28">
                  <c:v>0.85877855166312078</c:v>
                </c:pt>
                <c:pt idx="29">
                  <c:v>0.85950367409541195</c:v>
                </c:pt>
                <c:pt idx="30">
                  <c:v>0.87457903228345635</c:v>
                </c:pt>
                <c:pt idx="31">
                  <c:v>0.83038714623945931</c:v>
                </c:pt>
                <c:pt idx="32">
                  <c:v>1</c:v>
                </c:pt>
                <c:pt idx="33">
                  <c:v>0.87735221010692166</c:v>
                </c:pt>
                <c:pt idx="34">
                  <c:v>0.99827953490291943</c:v>
                </c:pt>
                <c:pt idx="35">
                  <c:v>0.77765733872813358</c:v>
                </c:pt>
              </c:numCache>
            </c:numRef>
          </c:val>
          <c:smooth val="0"/>
        </c:ser>
        <c:ser>
          <c:idx val="1"/>
          <c:order val="1"/>
          <c:tx>
            <c:strRef>
              <c:f>Sheet6!$M$79</c:f>
              <c:strCache>
                <c:ptCount val="1"/>
                <c:pt idx="0">
                  <c:v>170</c:v>
                </c:pt>
              </c:strCache>
            </c:strRef>
          </c:tx>
          <c:marker>
            <c:symbol val="none"/>
          </c:marker>
          <c:cat>
            <c:numRef>
              <c:f>Sheet6!$A$80:$A$119</c:f>
              <c:numCache>
                <c:formatCode>General</c:formatCode>
                <c:ptCount val="40"/>
                <c:pt idx="0">
                  <c:v>-5</c:v>
                </c:pt>
                <c:pt idx="1">
                  <c:v>0</c:v>
                </c:pt>
                <c:pt idx="2">
                  <c:v>5</c:v>
                </c:pt>
                <c:pt idx="3">
                  <c:v>10</c:v>
                </c:pt>
                <c:pt idx="4">
                  <c:v>15</c:v>
                </c:pt>
                <c:pt idx="5">
                  <c:v>20</c:v>
                </c:pt>
                <c:pt idx="6">
                  <c:v>25</c:v>
                </c:pt>
                <c:pt idx="7">
                  <c:v>30</c:v>
                </c:pt>
                <c:pt idx="8">
                  <c:v>35</c:v>
                </c:pt>
                <c:pt idx="9">
                  <c:v>40</c:v>
                </c:pt>
                <c:pt idx="10">
                  <c:v>45</c:v>
                </c:pt>
                <c:pt idx="11">
                  <c:v>50</c:v>
                </c:pt>
                <c:pt idx="12">
                  <c:v>55</c:v>
                </c:pt>
                <c:pt idx="13">
                  <c:v>60</c:v>
                </c:pt>
                <c:pt idx="14">
                  <c:v>65</c:v>
                </c:pt>
                <c:pt idx="15">
                  <c:v>70</c:v>
                </c:pt>
                <c:pt idx="16">
                  <c:v>75</c:v>
                </c:pt>
                <c:pt idx="17">
                  <c:v>80</c:v>
                </c:pt>
                <c:pt idx="18">
                  <c:v>85</c:v>
                </c:pt>
                <c:pt idx="19">
                  <c:v>90</c:v>
                </c:pt>
                <c:pt idx="20">
                  <c:v>95</c:v>
                </c:pt>
                <c:pt idx="21">
                  <c:v>100</c:v>
                </c:pt>
                <c:pt idx="22">
                  <c:v>105</c:v>
                </c:pt>
                <c:pt idx="23">
                  <c:v>110</c:v>
                </c:pt>
                <c:pt idx="24">
                  <c:v>115</c:v>
                </c:pt>
                <c:pt idx="25">
                  <c:v>120</c:v>
                </c:pt>
                <c:pt idx="26">
                  <c:v>125</c:v>
                </c:pt>
                <c:pt idx="27">
                  <c:v>130</c:v>
                </c:pt>
                <c:pt idx="28">
                  <c:v>135</c:v>
                </c:pt>
                <c:pt idx="29">
                  <c:v>140</c:v>
                </c:pt>
                <c:pt idx="30">
                  <c:v>145</c:v>
                </c:pt>
                <c:pt idx="31">
                  <c:v>150</c:v>
                </c:pt>
                <c:pt idx="32">
                  <c:v>155</c:v>
                </c:pt>
                <c:pt idx="33">
                  <c:v>160</c:v>
                </c:pt>
                <c:pt idx="34">
                  <c:v>165</c:v>
                </c:pt>
                <c:pt idx="35">
                  <c:v>170</c:v>
                </c:pt>
                <c:pt idx="36">
                  <c:v>175</c:v>
                </c:pt>
                <c:pt idx="37">
                  <c:v>180</c:v>
                </c:pt>
                <c:pt idx="38">
                  <c:v>185</c:v>
                </c:pt>
                <c:pt idx="39">
                  <c:v>190</c:v>
                </c:pt>
              </c:numCache>
            </c:numRef>
          </c:cat>
          <c:val>
            <c:numRef>
              <c:f>Sheet6!$M$80:$M$119</c:f>
              <c:numCache>
                <c:formatCode>_(* #,##0.00_);_(* \(#,##0.00\);_(* "-"??_);_(@_)</c:formatCode>
                <c:ptCount val="40"/>
                <c:pt idx="0">
                  <c:v>0</c:v>
                </c:pt>
                <c:pt idx="1">
                  <c:v>2.9070103145781848E-2</c:v>
                </c:pt>
                <c:pt idx="2">
                  <c:v>2.8645686101203591E-2</c:v>
                </c:pt>
                <c:pt idx="3">
                  <c:v>7.3559852675789766E-2</c:v>
                </c:pt>
                <c:pt idx="4">
                  <c:v>0.10088592754647574</c:v>
                </c:pt>
                <c:pt idx="5">
                  <c:v>7.3552717388761554E-2</c:v>
                </c:pt>
                <c:pt idx="6">
                  <c:v>8.8983777271466349E-2</c:v>
                </c:pt>
                <c:pt idx="7">
                  <c:v>0.11763039474460962</c:v>
                </c:pt>
                <c:pt idx="8">
                  <c:v>0.13245344830984251</c:v>
                </c:pt>
                <c:pt idx="9">
                  <c:v>0.16769752757133144</c:v>
                </c:pt>
                <c:pt idx="10">
                  <c:v>0.20562941806833479</c:v>
                </c:pt>
                <c:pt idx="11">
                  <c:v>0.22312244422037042</c:v>
                </c:pt>
                <c:pt idx="12">
                  <c:v>0.27843769236376564</c:v>
                </c:pt>
                <c:pt idx="13">
                  <c:v>0.30744009835825253</c:v>
                </c:pt>
                <c:pt idx="14">
                  <c:v>0.31656907458393485</c:v>
                </c:pt>
                <c:pt idx="15">
                  <c:v>0.36720955563500135</c:v>
                </c:pt>
                <c:pt idx="16">
                  <c:v>0.42068078133381553</c:v>
                </c:pt>
                <c:pt idx="17">
                  <c:v>0.47932747104156037</c:v>
                </c:pt>
                <c:pt idx="18">
                  <c:v>0.48754219492890172</c:v>
                </c:pt>
                <c:pt idx="19">
                  <c:v>0.56688860946940767</c:v>
                </c:pt>
                <c:pt idx="20">
                  <c:v>0.55577987432293874</c:v>
                </c:pt>
                <c:pt idx="21">
                  <c:v>0.63868443946420073</c:v>
                </c:pt>
                <c:pt idx="22">
                  <c:v>0.65926620980073269</c:v>
                </c:pt>
                <c:pt idx="23">
                  <c:v>0.70622245867858668</c:v>
                </c:pt>
                <c:pt idx="24">
                  <c:v>0.73610900343479779</c:v>
                </c:pt>
                <c:pt idx="25">
                  <c:v>0.77370785294438793</c:v>
                </c:pt>
                <c:pt idx="26">
                  <c:v>0.82472838627867517</c:v>
                </c:pt>
                <c:pt idx="27">
                  <c:v>0.88565117670494864</c:v>
                </c:pt>
                <c:pt idx="28">
                  <c:v>0.85710985702682707</c:v>
                </c:pt>
                <c:pt idx="29">
                  <c:v>0.83813032628555395</c:v>
                </c:pt>
                <c:pt idx="30">
                  <c:v>0.87772551750519689</c:v>
                </c:pt>
                <c:pt idx="31">
                  <c:v>0.90226853688140729</c:v>
                </c:pt>
                <c:pt idx="32">
                  <c:v>0.89956188108667468</c:v>
                </c:pt>
                <c:pt idx="33">
                  <c:v>0.84678840950002554</c:v>
                </c:pt>
                <c:pt idx="34">
                  <c:v>0.96547666217471095</c:v>
                </c:pt>
                <c:pt idx="35">
                  <c:v>0.81336047713028137</c:v>
                </c:pt>
                <c:pt idx="36">
                  <c:v>0.96278221339685166</c:v>
                </c:pt>
                <c:pt idx="37">
                  <c:v>0.93717231377813703</c:v>
                </c:pt>
                <c:pt idx="38">
                  <c:v>1</c:v>
                </c:pt>
                <c:pt idx="39">
                  <c:v>0.84230486116810199</c:v>
                </c:pt>
              </c:numCache>
            </c:numRef>
          </c:val>
          <c:smooth val="0"/>
        </c:ser>
        <c:dLbls>
          <c:showLegendKey val="0"/>
          <c:showVal val="0"/>
          <c:showCatName val="0"/>
          <c:showSerName val="0"/>
          <c:showPercent val="0"/>
          <c:showBubbleSize val="0"/>
        </c:dLbls>
        <c:marker val="1"/>
        <c:smooth val="0"/>
        <c:axId val="65193472"/>
        <c:axId val="65195008"/>
      </c:lineChart>
      <c:catAx>
        <c:axId val="65193472"/>
        <c:scaling>
          <c:orientation val="minMax"/>
        </c:scaling>
        <c:delete val="0"/>
        <c:axPos val="b"/>
        <c:numFmt formatCode="General" sourceLinked="1"/>
        <c:majorTickMark val="out"/>
        <c:minorTickMark val="none"/>
        <c:tickLblPos val="nextTo"/>
        <c:crossAx val="65195008"/>
        <c:crosses val="autoZero"/>
        <c:auto val="1"/>
        <c:lblAlgn val="ctr"/>
        <c:lblOffset val="100"/>
        <c:tickLblSkip val="4"/>
        <c:tickMarkSkip val="4"/>
        <c:noMultiLvlLbl val="0"/>
      </c:catAx>
      <c:valAx>
        <c:axId val="65195008"/>
        <c:scaling>
          <c:orientation val="minMax"/>
          <c:max val="1"/>
          <c:min val="0"/>
        </c:scaling>
        <c:delete val="0"/>
        <c:axPos val="l"/>
        <c:numFmt formatCode="_(* #,##0.00_);_(* \(#,##0.00\);_(* &quot;-&quot;??_);_(@_)" sourceLinked="1"/>
        <c:majorTickMark val="out"/>
        <c:minorTickMark val="none"/>
        <c:tickLblPos val="nextTo"/>
        <c:crossAx val="65193472"/>
        <c:crosses val="autoZero"/>
        <c:crossBetween val="midCat"/>
      </c:valAx>
    </c:plotArea>
    <c:legend>
      <c:legendPos val="r"/>
      <c:layout/>
      <c:overlay val="0"/>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Sheet6!$E$79</c:f>
              <c:strCache>
                <c:ptCount val="1"/>
                <c:pt idx="0">
                  <c:v>90</c:v>
                </c:pt>
              </c:strCache>
            </c:strRef>
          </c:tx>
          <c:marker>
            <c:symbol val="none"/>
          </c:marker>
          <c:cat>
            <c:numRef>
              <c:f>Sheet6!$A$80:$A$119</c:f>
              <c:numCache>
                <c:formatCode>General</c:formatCode>
                <c:ptCount val="40"/>
                <c:pt idx="0">
                  <c:v>-5</c:v>
                </c:pt>
                <c:pt idx="1">
                  <c:v>0</c:v>
                </c:pt>
                <c:pt idx="2">
                  <c:v>5</c:v>
                </c:pt>
                <c:pt idx="3">
                  <c:v>10</c:v>
                </c:pt>
                <c:pt idx="4">
                  <c:v>15</c:v>
                </c:pt>
                <c:pt idx="5">
                  <c:v>20</c:v>
                </c:pt>
                <c:pt idx="6">
                  <c:v>25</c:v>
                </c:pt>
                <c:pt idx="7">
                  <c:v>30</c:v>
                </c:pt>
                <c:pt idx="8">
                  <c:v>35</c:v>
                </c:pt>
                <c:pt idx="9">
                  <c:v>40</c:v>
                </c:pt>
                <c:pt idx="10">
                  <c:v>45</c:v>
                </c:pt>
                <c:pt idx="11">
                  <c:v>50</c:v>
                </c:pt>
                <c:pt idx="12">
                  <c:v>55</c:v>
                </c:pt>
                <c:pt idx="13">
                  <c:v>60</c:v>
                </c:pt>
                <c:pt idx="14">
                  <c:v>65</c:v>
                </c:pt>
                <c:pt idx="15">
                  <c:v>70</c:v>
                </c:pt>
                <c:pt idx="16">
                  <c:v>75</c:v>
                </c:pt>
                <c:pt idx="17">
                  <c:v>80</c:v>
                </c:pt>
                <c:pt idx="18">
                  <c:v>85</c:v>
                </c:pt>
                <c:pt idx="19">
                  <c:v>90</c:v>
                </c:pt>
                <c:pt idx="20">
                  <c:v>95</c:v>
                </c:pt>
                <c:pt idx="21">
                  <c:v>100</c:v>
                </c:pt>
                <c:pt idx="22">
                  <c:v>105</c:v>
                </c:pt>
                <c:pt idx="23">
                  <c:v>110</c:v>
                </c:pt>
                <c:pt idx="24">
                  <c:v>115</c:v>
                </c:pt>
                <c:pt idx="25">
                  <c:v>120</c:v>
                </c:pt>
                <c:pt idx="26">
                  <c:v>125</c:v>
                </c:pt>
                <c:pt idx="27">
                  <c:v>130</c:v>
                </c:pt>
                <c:pt idx="28">
                  <c:v>135</c:v>
                </c:pt>
                <c:pt idx="29">
                  <c:v>140</c:v>
                </c:pt>
                <c:pt idx="30">
                  <c:v>145</c:v>
                </c:pt>
                <c:pt idx="31">
                  <c:v>150</c:v>
                </c:pt>
                <c:pt idx="32">
                  <c:v>155</c:v>
                </c:pt>
                <c:pt idx="33">
                  <c:v>160</c:v>
                </c:pt>
                <c:pt idx="34">
                  <c:v>165</c:v>
                </c:pt>
                <c:pt idx="35">
                  <c:v>170</c:v>
                </c:pt>
                <c:pt idx="36">
                  <c:v>175</c:v>
                </c:pt>
                <c:pt idx="37">
                  <c:v>180</c:v>
                </c:pt>
                <c:pt idx="38">
                  <c:v>185</c:v>
                </c:pt>
                <c:pt idx="39">
                  <c:v>190</c:v>
                </c:pt>
              </c:numCache>
            </c:numRef>
          </c:cat>
          <c:val>
            <c:numRef>
              <c:f>Sheet6!$E$84:$E$124</c:f>
              <c:numCache>
                <c:formatCode>_(* #,##0.00_);_(* \(#,##0.00\);_(* "-"??_);_(@_)</c:formatCode>
                <c:ptCount val="41"/>
                <c:pt idx="0">
                  <c:v>2.3336786360889074E-2</c:v>
                </c:pt>
                <c:pt idx="1">
                  <c:v>5.5528940231438575E-2</c:v>
                </c:pt>
                <c:pt idx="2">
                  <c:v>9.4931296598227508E-2</c:v>
                </c:pt>
                <c:pt idx="3">
                  <c:v>9.9694650526063647E-2</c:v>
                </c:pt>
                <c:pt idx="4">
                  <c:v>0.14580062004259081</c:v>
                </c:pt>
                <c:pt idx="5">
                  <c:v>0.13004989039338305</c:v>
                </c:pt>
                <c:pt idx="6">
                  <c:v>0.15172145001508333</c:v>
                </c:pt>
                <c:pt idx="7">
                  <c:v>0.14806317876416736</c:v>
                </c:pt>
                <c:pt idx="8">
                  <c:v>0.14560600254978076</c:v>
                </c:pt>
                <c:pt idx="9">
                  <c:v>0.19680023460352225</c:v>
                </c:pt>
                <c:pt idx="10">
                  <c:v>0.245585985481962</c:v>
                </c:pt>
                <c:pt idx="11">
                  <c:v>0.24507679098441176</c:v>
                </c:pt>
                <c:pt idx="12">
                  <c:v>0.28814128467764649</c:v>
                </c:pt>
                <c:pt idx="13">
                  <c:v>0.31711405860379577</c:v>
                </c:pt>
                <c:pt idx="14">
                  <c:v>0.27242449579242156</c:v>
                </c:pt>
                <c:pt idx="15">
                  <c:v>0.31352235680882179</c:v>
                </c:pt>
                <c:pt idx="16">
                  <c:v>0.40361343938970146</c:v>
                </c:pt>
                <c:pt idx="17">
                  <c:v>0.40068629498587632</c:v>
                </c:pt>
                <c:pt idx="18">
                  <c:v>0.44506195895309963</c:v>
                </c:pt>
                <c:pt idx="19">
                  <c:v>0.46051074876265841</c:v>
                </c:pt>
                <c:pt idx="20">
                  <c:v>0.47013276742775195</c:v>
                </c:pt>
                <c:pt idx="21">
                  <c:v>0.53905380630014477</c:v>
                </c:pt>
                <c:pt idx="22">
                  <c:v>0.63573934404924259</c:v>
                </c:pt>
                <c:pt idx="23">
                  <c:v>0.64383516931361207</c:v>
                </c:pt>
                <c:pt idx="24">
                  <c:v>0.61866818891954367</c:v>
                </c:pt>
                <c:pt idx="25">
                  <c:v>0.66542817291449874</c:v>
                </c:pt>
                <c:pt idx="26">
                  <c:v>0.62659838683408398</c:v>
                </c:pt>
                <c:pt idx="27">
                  <c:v>0.71352476108384022</c:v>
                </c:pt>
                <c:pt idx="28">
                  <c:v>0.65107862627469759</c:v>
                </c:pt>
                <c:pt idx="29">
                  <c:v>0.88559312022336945</c:v>
                </c:pt>
                <c:pt idx="30">
                  <c:v>0.76145062024793808</c:v>
                </c:pt>
                <c:pt idx="31">
                  <c:v>0.81567187630620797</c:v>
                </c:pt>
                <c:pt idx="32">
                  <c:v>0.88828902795280762</c:v>
                </c:pt>
                <c:pt idx="33">
                  <c:v>1</c:v>
                </c:pt>
                <c:pt idx="34">
                  <c:v>0.8147333182531441</c:v>
                </c:pt>
                <c:pt idx="35">
                  <c:v>0.75350942088397643</c:v>
                </c:pt>
              </c:numCache>
            </c:numRef>
          </c:val>
          <c:smooth val="0"/>
        </c:ser>
        <c:ser>
          <c:idx val="1"/>
          <c:order val="1"/>
          <c:tx>
            <c:strRef>
              <c:f>Sheet6!$M$79</c:f>
              <c:strCache>
                <c:ptCount val="1"/>
                <c:pt idx="0">
                  <c:v>170</c:v>
                </c:pt>
              </c:strCache>
            </c:strRef>
          </c:tx>
          <c:marker>
            <c:symbol val="none"/>
          </c:marker>
          <c:cat>
            <c:numRef>
              <c:f>Sheet6!$A$80:$A$119</c:f>
              <c:numCache>
                <c:formatCode>General</c:formatCode>
                <c:ptCount val="40"/>
                <c:pt idx="0">
                  <c:v>-5</c:v>
                </c:pt>
                <c:pt idx="1">
                  <c:v>0</c:v>
                </c:pt>
                <c:pt idx="2">
                  <c:v>5</c:v>
                </c:pt>
                <c:pt idx="3">
                  <c:v>10</c:v>
                </c:pt>
                <c:pt idx="4">
                  <c:v>15</c:v>
                </c:pt>
                <c:pt idx="5">
                  <c:v>20</c:v>
                </c:pt>
                <c:pt idx="6">
                  <c:v>25</c:v>
                </c:pt>
                <c:pt idx="7">
                  <c:v>30</c:v>
                </c:pt>
                <c:pt idx="8">
                  <c:v>35</c:v>
                </c:pt>
                <c:pt idx="9">
                  <c:v>40</c:v>
                </c:pt>
                <c:pt idx="10">
                  <c:v>45</c:v>
                </c:pt>
                <c:pt idx="11">
                  <c:v>50</c:v>
                </c:pt>
                <c:pt idx="12">
                  <c:v>55</c:v>
                </c:pt>
                <c:pt idx="13">
                  <c:v>60</c:v>
                </c:pt>
                <c:pt idx="14">
                  <c:v>65</c:v>
                </c:pt>
                <c:pt idx="15">
                  <c:v>70</c:v>
                </c:pt>
                <c:pt idx="16">
                  <c:v>75</c:v>
                </c:pt>
                <c:pt idx="17">
                  <c:v>80</c:v>
                </c:pt>
                <c:pt idx="18">
                  <c:v>85</c:v>
                </c:pt>
                <c:pt idx="19">
                  <c:v>90</c:v>
                </c:pt>
                <c:pt idx="20">
                  <c:v>95</c:v>
                </c:pt>
                <c:pt idx="21">
                  <c:v>100</c:v>
                </c:pt>
                <c:pt idx="22">
                  <c:v>105</c:v>
                </c:pt>
                <c:pt idx="23">
                  <c:v>110</c:v>
                </c:pt>
                <c:pt idx="24">
                  <c:v>115</c:v>
                </c:pt>
                <c:pt idx="25">
                  <c:v>120</c:v>
                </c:pt>
                <c:pt idx="26">
                  <c:v>125</c:v>
                </c:pt>
                <c:pt idx="27">
                  <c:v>130</c:v>
                </c:pt>
                <c:pt idx="28">
                  <c:v>135</c:v>
                </c:pt>
                <c:pt idx="29">
                  <c:v>140</c:v>
                </c:pt>
                <c:pt idx="30">
                  <c:v>145</c:v>
                </c:pt>
                <c:pt idx="31">
                  <c:v>150</c:v>
                </c:pt>
                <c:pt idx="32">
                  <c:v>155</c:v>
                </c:pt>
                <c:pt idx="33">
                  <c:v>160</c:v>
                </c:pt>
                <c:pt idx="34">
                  <c:v>165</c:v>
                </c:pt>
                <c:pt idx="35">
                  <c:v>170</c:v>
                </c:pt>
                <c:pt idx="36">
                  <c:v>175</c:v>
                </c:pt>
                <c:pt idx="37">
                  <c:v>180</c:v>
                </c:pt>
                <c:pt idx="38">
                  <c:v>185</c:v>
                </c:pt>
                <c:pt idx="39">
                  <c:v>190</c:v>
                </c:pt>
              </c:numCache>
            </c:numRef>
          </c:cat>
          <c:val>
            <c:numRef>
              <c:f>Sheet6!$M$80:$M$119</c:f>
              <c:numCache>
                <c:formatCode>_(* #,##0.00_);_(* \(#,##0.00\);_(* "-"??_);_(@_)</c:formatCode>
                <c:ptCount val="40"/>
                <c:pt idx="0">
                  <c:v>0</c:v>
                </c:pt>
                <c:pt idx="1">
                  <c:v>2.9070103145781848E-2</c:v>
                </c:pt>
                <c:pt idx="2">
                  <c:v>2.8645686101203591E-2</c:v>
                </c:pt>
                <c:pt idx="3">
                  <c:v>7.3559852675789766E-2</c:v>
                </c:pt>
                <c:pt idx="4">
                  <c:v>0.10088592754647574</c:v>
                </c:pt>
                <c:pt idx="5">
                  <c:v>7.3552717388761554E-2</c:v>
                </c:pt>
                <c:pt idx="6">
                  <c:v>8.8983777271466349E-2</c:v>
                </c:pt>
                <c:pt idx="7">
                  <c:v>0.11763039474460962</c:v>
                </c:pt>
                <c:pt idx="8">
                  <c:v>0.13245344830984251</c:v>
                </c:pt>
                <c:pt idx="9">
                  <c:v>0.16769752757133144</c:v>
                </c:pt>
                <c:pt idx="10">
                  <c:v>0.20562941806833479</c:v>
                </c:pt>
                <c:pt idx="11">
                  <c:v>0.22312244422037042</c:v>
                </c:pt>
                <c:pt idx="12">
                  <c:v>0.27843769236376564</c:v>
                </c:pt>
                <c:pt idx="13">
                  <c:v>0.30744009835825253</c:v>
                </c:pt>
                <c:pt idx="14">
                  <c:v>0.31656907458393485</c:v>
                </c:pt>
                <c:pt idx="15">
                  <c:v>0.36720955563500135</c:v>
                </c:pt>
                <c:pt idx="16">
                  <c:v>0.42068078133381553</c:v>
                </c:pt>
                <c:pt idx="17">
                  <c:v>0.47932747104156037</c:v>
                </c:pt>
                <c:pt idx="18">
                  <c:v>0.48754219492890172</c:v>
                </c:pt>
                <c:pt idx="19">
                  <c:v>0.56688860946940767</c:v>
                </c:pt>
                <c:pt idx="20">
                  <c:v>0.55577987432293874</c:v>
                </c:pt>
                <c:pt idx="21">
                  <c:v>0.63868443946420073</c:v>
                </c:pt>
                <c:pt idx="22">
                  <c:v>0.65926620980073269</c:v>
                </c:pt>
                <c:pt idx="23">
                  <c:v>0.70622245867858668</c:v>
                </c:pt>
                <c:pt idx="24">
                  <c:v>0.73610900343479779</c:v>
                </c:pt>
                <c:pt idx="25">
                  <c:v>0.77370785294438793</c:v>
                </c:pt>
                <c:pt idx="26">
                  <c:v>0.82472838627867517</c:v>
                </c:pt>
                <c:pt idx="27">
                  <c:v>0.88565117670494864</c:v>
                </c:pt>
                <c:pt idx="28">
                  <c:v>0.85710985702682707</c:v>
                </c:pt>
                <c:pt idx="29">
                  <c:v>0.83813032628555395</c:v>
                </c:pt>
                <c:pt idx="30">
                  <c:v>0.87772551750519689</c:v>
                </c:pt>
                <c:pt idx="31">
                  <c:v>0.90226853688140729</c:v>
                </c:pt>
                <c:pt idx="32">
                  <c:v>0.89956188108667468</c:v>
                </c:pt>
                <c:pt idx="33">
                  <c:v>0.84678840950002554</c:v>
                </c:pt>
                <c:pt idx="34">
                  <c:v>0.96547666217471095</c:v>
                </c:pt>
                <c:pt idx="35">
                  <c:v>0.81336047713028137</c:v>
                </c:pt>
                <c:pt idx="36">
                  <c:v>0.96278221339685166</c:v>
                </c:pt>
                <c:pt idx="37">
                  <c:v>0.93717231377813703</c:v>
                </c:pt>
                <c:pt idx="38">
                  <c:v>1</c:v>
                </c:pt>
                <c:pt idx="39">
                  <c:v>0.84230486116810199</c:v>
                </c:pt>
              </c:numCache>
            </c:numRef>
          </c:val>
          <c:smooth val="0"/>
        </c:ser>
        <c:dLbls>
          <c:showLegendKey val="0"/>
          <c:showVal val="0"/>
          <c:showCatName val="0"/>
          <c:showSerName val="0"/>
          <c:showPercent val="0"/>
          <c:showBubbleSize val="0"/>
        </c:dLbls>
        <c:marker val="1"/>
        <c:smooth val="0"/>
        <c:axId val="69976064"/>
        <c:axId val="69977600"/>
      </c:lineChart>
      <c:catAx>
        <c:axId val="69976064"/>
        <c:scaling>
          <c:orientation val="minMax"/>
        </c:scaling>
        <c:delete val="0"/>
        <c:axPos val="b"/>
        <c:numFmt formatCode="General" sourceLinked="1"/>
        <c:majorTickMark val="out"/>
        <c:minorTickMark val="none"/>
        <c:tickLblPos val="nextTo"/>
        <c:crossAx val="69977600"/>
        <c:crosses val="autoZero"/>
        <c:auto val="1"/>
        <c:lblAlgn val="ctr"/>
        <c:lblOffset val="100"/>
        <c:tickLblSkip val="4"/>
        <c:tickMarkSkip val="4"/>
        <c:noMultiLvlLbl val="0"/>
      </c:catAx>
      <c:valAx>
        <c:axId val="69977600"/>
        <c:scaling>
          <c:orientation val="minMax"/>
          <c:max val="1"/>
          <c:min val="0"/>
        </c:scaling>
        <c:delete val="0"/>
        <c:axPos val="l"/>
        <c:numFmt formatCode="_(* #,##0.00_);_(* \(#,##0.00\);_(* &quot;-&quot;??_);_(@_)" sourceLinked="1"/>
        <c:majorTickMark val="out"/>
        <c:minorTickMark val="none"/>
        <c:tickLblPos val="nextTo"/>
        <c:crossAx val="69976064"/>
        <c:crosses val="autoZero"/>
        <c:crossBetween val="midCat"/>
      </c:valAx>
    </c:plotArea>
    <c:legend>
      <c:legendPos val="r"/>
      <c:layout/>
      <c:overlay val="0"/>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Sheet6!$F$79</c:f>
              <c:strCache>
                <c:ptCount val="1"/>
                <c:pt idx="0">
                  <c:v>100</c:v>
                </c:pt>
              </c:strCache>
            </c:strRef>
          </c:tx>
          <c:marker>
            <c:symbol val="none"/>
          </c:marker>
          <c:cat>
            <c:numRef>
              <c:f>Sheet6!$A$80:$A$119</c:f>
              <c:numCache>
                <c:formatCode>General</c:formatCode>
                <c:ptCount val="40"/>
                <c:pt idx="0">
                  <c:v>-5</c:v>
                </c:pt>
                <c:pt idx="1">
                  <c:v>0</c:v>
                </c:pt>
                <c:pt idx="2">
                  <c:v>5</c:v>
                </c:pt>
                <c:pt idx="3">
                  <c:v>10</c:v>
                </c:pt>
                <c:pt idx="4">
                  <c:v>15</c:v>
                </c:pt>
                <c:pt idx="5">
                  <c:v>20</c:v>
                </c:pt>
                <c:pt idx="6">
                  <c:v>25</c:v>
                </c:pt>
                <c:pt idx="7">
                  <c:v>30</c:v>
                </c:pt>
                <c:pt idx="8">
                  <c:v>35</c:v>
                </c:pt>
                <c:pt idx="9">
                  <c:v>40</c:v>
                </c:pt>
                <c:pt idx="10">
                  <c:v>45</c:v>
                </c:pt>
                <c:pt idx="11">
                  <c:v>50</c:v>
                </c:pt>
                <c:pt idx="12">
                  <c:v>55</c:v>
                </c:pt>
                <c:pt idx="13">
                  <c:v>60</c:v>
                </c:pt>
                <c:pt idx="14">
                  <c:v>65</c:v>
                </c:pt>
                <c:pt idx="15">
                  <c:v>70</c:v>
                </c:pt>
                <c:pt idx="16">
                  <c:v>75</c:v>
                </c:pt>
                <c:pt idx="17">
                  <c:v>80</c:v>
                </c:pt>
                <c:pt idx="18">
                  <c:v>85</c:v>
                </c:pt>
                <c:pt idx="19">
                  <c:v>90</c:v>
                </c:pt>
                <c:pt idx="20">
                  <c:v>95</c:v>
                </c:pt>
                <c:pt idx="21">
                  <c:v>100</c:v>
                </c:pt>
                <c:pt idx="22">
                  <c:v>105</c:v>
                </c:pt>
                <c:pt idx="23">
                  <c:v>110</c:v>
                </c:pt>
                <c:pt idx="24">
                  <c:v>115</c:v>
                </c:pt>
                <c:pt idx="25">
                  <c:v>120</c:v>
                </c:pt>
                <c:pt idx="26">
                  <c:v>125</c:v>
                </c:pt>
                <c:pt idx="27">
                  <c:v>130</c:v>
                </c:pt>
                <c:pt idx="28">
                  <c:v>135</c:v>
                </c:pt>
                <c:pt idx="29">
                  <c:v>140</c:v>
                </c:pt>
                <c:pt idx="30">
                  <c:v>145</c:v>
                </c:pt>
                <c:pt idx="31">
                  <c:v>150</c:v>
                </c:pt>
                <c:pt idx="32">
                  <c:v>155</c:v>
                </c:pt>
                <c:pt idx="33">
                  <c:v>160</c:v>
                </c:pt>
                <c:pt idx="34">
                  <c:v>165</c:v>
                </c:pt>
                <c:pt idx="35">
                  <c:v>170</c:v>
                </c:pt>
                <c:pt idx="36">
                  <c:v>175</c:v>
                </c:pt>
                <c:pt idx="37">
                  <c:v>180</c:v>
                </c:pt>
                <c:pt idx="38">
                  <c:v>185</c:v>
                </c:pt>
                <c:pt idx="39">
                  <c:v>190</c:v>
                </c:pt>
              </c:numCache>
            </c:numRef>
          </c:cat>
          <c:val>
            <c:numRef>
              <c:f>Sheet6!$F$84:$F$124</c:f>
              <c:numCache>
                <c:formatCode>_(* #,##0.00_);_(* \(#,##0.00\);_(* "-"??_);_(@_)</c:formatCode>
                <c:ptCount val="41"/>
                <c:pt idx="0">
                  <c:v>4.7705864760574965E-2</c:v>
                </c:pt>
                <c:pt idx="1">
                  <c:v>6.4734631778654864E-2</c:v>
                </c:pt>
                <c:pt idx="2">
                  <c:v>6.5115553479947297E-2</c:v>
                </c:pt>
                <c:pt idx="3">
                  <c:v>8.0537235871288027E-2</c:v>
                </c:pt>
                <c:pt idx="4">
                  <c:v>9.5834025470234008E-2</c:v>
                </c:pt>
                <c:pt idx="5">
                  <c:v>7.5643447384305021E-2</c:v>
                </c:pt>
                <c:pt idx="6">
                  <c:v>0.12282176817054534</c:v>
                </c:pt>
                <c:pt idx="7">
                  <c:v>9.3590584726598258E-2</c:v>
                </c:pt>
                <c:pt idx="8">
                  <c:v>0.14073420386207044</c:v>
                </c:pt>
                <c:pt idx="9">
                  <c:v>0.1522299942237193</c:v>
                </c:pt>
                <c:pt idx="10">
                  <c:v>0.19242389748061248</c:v>
                </c:pt>
                <c:pt idx="11">
                  <c:v>0.21732871364383774</c:v>
                </c:pt>
                <c:pt idx="12">
                  <c:v>0.24030831217184012</c:v>
                </c:pt>
                <c:pt idx="13">
                  <c:v>0.2867247106694194</c:v>
                </c:pt>
                <c:pt idx="14">
                  <c:v>0.32809296570948937</c:v>
                </c:pt>
                <c:pt idx="15">
                  <c:v>0.29225239598577685</c:v>
                </c:pt>
                <c:pt idx="16">
                  <c:v>0.38655707466237904</c:v>
                </c:pt>
                <c:pt idx="17">
                  <c:v>0.45963264923701624</c:v>
                </c:pt>
                <c:pt idx="18">
                  <c:v>0.5059359354414914</c:v>
                </c:pt>
                <c:pt idx="19">
                  <c:v>0.49403868086663133</c:v>
                </c:pt>
                <c:pt idx="20">
                  <c:v>0.59552476420929867</c:v>
                </c:pt>
                <c:pt idx="21">
                  <c:v>0.58357076417654075</c:v>
                </c:pt>
                <c:pt idx="22">
                  <c:v>0.6129808406044881</c:v>
                </c:pt>
                <c:pt idx="23">
                  <c:v>0.64591771870355186</c:v>
                </c:pt>
                <c:pt idx="24">
                  <c:v>0.69167271622494486</c:v>
                </c:pt>
                <c:pt idx="25">
                  <c:v>0.80165173345187291</c:v>
                </c:pt>
                <c:pt idx="26">
                  <c:v>0.85410444532485974</c:v>
                </c:pt>
                <c:pt idx="27">
                  <c:v>0.85153627247212149</c:v>
                </c:pt>
                <c:pt idx="28">
                  <c:v>0.7882020073851419</c:v>
                </c:pt>
                <c:pt idx="29">
                  <c:v>0.87673063304487941</c:v>
                </c:pt>
                <c:pt idx="30">
                  <c:v>0.92838667595663193</c:v>
                </c:pt>
                <c:pt idx="31">
                  <c:v>0.78530655776593683</c:v>
                </c:pt>
                <c:pt idx="32">
                  <c:v>0.89570695130096256</c:v>
                </c:pt>
                <c:pt idx="33">
                  <c:v>0.8584918549798416</c:v>
                </c:pt>
                <c:pt idx="34">
                  <c:v>1</c:v>
                </c:pt>
                <c:pt idx="35">
                  <c:v>0.96855475514374489</c:v>
                </c:pt>
              </c:numCache>
            </c:numRef>
          </c:val>
          <c:smooth val="0"/>
        </c:ser>
        <c:ser>
          <c:idx val="1"/>
          <c:order val="1"/>
          <c:tx>
            <c:strRef>
              <c:f>Sheet6!$M$79</c:f>
              <c:strCache>
                <c:ptCount val="1"/>
                <c:pt idx="0">
                  <c:v>170</c:v>
                </c:pt>
              </c:strCache>
            </c:strRef>
          </c:tx>
          <c:marker>
            <c:symbol val="none"/>
          </c:marker>
          <c:cat>
            <c:numRef>
              <c:f>Sheet6!$A$80:$A$119</c:f>
              <c:numCache>
                <c:formatCode>General</c:formatCode>
                <c:ptCount val="40"/>
                <c:pt idx="0">
                  <c:v>-5</c:v>
                </c:pt>
                <c:pt idx="1">
                  <c:v>0</c:v>
                </c:pt>
                <c:pt idx="2">
                  <c:v>5</c:v>
                </c:pt>
                <c:pt idx="3">
                  <c:v>10</c:v>
                </c:pt>
                <c:pt idx="4">
                  <c:v>15</c:v>
                </c:pt>
                <c:pt idx="5">
                  <c:v>20</c:v>
                </c:pt>
                <c:pt idx="6">
                  <c:v>25</c:v>
                </c:pt>
                <c:pt idx="7">
                  <c:v>30</c:v>
                </c:pt>
                <c:pt idx="8">
                  <c:v>35</c:v>
                </c:pt>
                <c:pt idx="9">
                  <c:v>40</c:v>
                </c:pt>
                <c:pt idx="10">
                  <c:v>45</c:v>
                </c:pt>
                <c:pt idx="11">
                  <c:v>50</c:v>
                </c:pt>
                <c:pt idx="12">
                  <c:v>55</c:v>
                </c:pt>
                <c:pt idx="13">
                  <c:v>60</c:v>
                </c:pt>
                <c:pt idx="14">
                  <c:v>65</c:v>
                </c:pt>
                <c:pt idx="15">
                  <c:v>70</c:v>
                </c:pt>
                <c:pt idx="16">
                  <c:v>75</c:v>
                </c:pt>
                <c:pt idx="17">
                  <c:v>80</c:v>
                </c:pt>
                <c:pt idx="18">
                  <c:v>85</c:v>
                </c:pt>
                <c:pt idx="19">
                  <c:v>90</c:v>
                </c:pt>
                <c:pt idx="20">
                  <c:v>95</c:v>
                </c:pt>
                <c:pt idx="21">
                  <c:v>100</c:v>
                </c:pt>
                <c:pt idx="22">
                  <c:v>105</c:v>
                </c:pt>
                <c:pt idx="23">
                  <c:v>110</c:v>
                </c:pt>
                <c:pt idx="24">
                  <c:v>115</c:v>
                </c:pt>
                <c:pt idx="25">
                  <c:v>120</c:v>
                </c:pt>
                <c:pt idx="26">
                  <c:v>125</c:v>
                </c:pt>
                <c:pt idx="27">
                  <c:v>130</c:v>
                </c:pt>
                <c:pt idx="28">
                  <c:v>135</c:v>
                </c:pt>
                <c:pt idx="29">
                  <c:v>140</c:v>
                </c:pt>
                <c:pt idx="30">
                  <c:v>145</c:v>
                </c:pt>
                <c:pt idx="31">
                  <c:v>150</c:v>
                </c:pt>
                <c:pt idx="32">
                  <c:v>155</c:v>
                </c:pt>
                <c:pt idx="33">
                  <c:v>160</c:v>
                </c:pt>
                <c:pt idx="34">
                  <c:v>165</c:v>
                </c:pt>
                <c:pt idx="35">
                  <c:v>170</c:v>
                </c:pt>
                <c:pt idx="36">
                  <c:v>175</c:v>
                </c:pt>
                <c:pt idx="37">
                  <c:v>180</c:v>
                </c:pt>
                <c:pt idx="38">
                  <c:v>185</c:v>
                </c:pt>
                <c:pt idx="39">
                  <c:v>190</c:v>
                </c:pt>
              </c:numCache>
            </c:numRef>
          </c:cat>
          <c:val>
            <c:numRef>
              <c:f>Sheet6!$M$80:$M$119</c:f>
              <c:numCache>
                <c:formatCode>_(* #,##0.00_);_(* \(#,##0.00\);_(* "-"??_);_(@_)</c:formatCode>
                <c:ptCount val="40"/>
                <c:pt idx="0">
                  <c:v>0</c:v>
                </c:pt>
                <c:pt idx="1">
                  <c:v>2.9070103145781848E-2</c:v>
                </c:pt>
                <c:pt idx="2">
                  <c:v>2.8645686101203591E-2</c:v>
                </c:pt>
                <c:pt idx="3">
                  <c:v>7.3559852675789766E-2</c:v>
                </c:pt>
                <c:pt idx="4">
                  <c:v>0.10088592754647574</c:v>
                </c:pt>
                <c:pt idx="5">
                  <c:v>7.3552717388761554E-2</c:v>
                </c:pt>
                <c:pt idx="6">
                  <c:v>8.8983777271466349E-2</c:v>
                </c:pt>
                <c:pt idx="7">
                  <c:v>0.11763039474460962</c:v>
                </c:pt>
                <c:pt idx="8">
                  <c:v>0.13245344830984251</c:v>
                </c:pt>
                <c:pt idx="9">
                  <c:v>0.16769752757133144</c:v>
                </c:pt>
                <c:pt idx="10">
                  <c:v>0.20562941806833479</c:v>
                </c:pt>
                <c:pt idx="11">
                  <c:v>0.22312244422037042</c:v>
                </c:pt>
                <c:pt idx="12">
                  <c:v>0.27843769236376564</c:v>
                </c:pt>
                <c:pt idx="13">
                  <c:v>0.30744009835825253</c:v>
                </c:pt>
                <c:pt idx="14">
                  <c:v>0.31656907458393485</c:v>
                </c:pt>
                <c:pt idx="15">
                  <c:v>0.36720955563500135</c:v>
                </c:pt>
                <c:pt idx="16">
                  <c:v>0.42068078133381553</c:v>
                </c:pt>
                <c:pt idx="17">
                  <c:v>0.47932747104156037</c:v>
                </c:pt>
                <c:pt idx="18">
                  <c:v>0.48754219492890172</c:v>
                </c:pt>
                <c:pt idx="19">
                  <c:v>0.56688860946940767</c:v>
                </c:pt>
                <c:pt idx="20">
                  <c:v>0.55577987432293874</c:v>
                </c:pt>
                <c:pt idx="21">
                  <c:v>0.63868443946420073</c:v>
                </c:pt>
                <c:pt idx="22">
                  <c:v>0.65926620980073269</c:v>
                </c:pt>
                <c:pt idx="23">
                  <c:v>0.70622245867858668</c:v>
                </c:pt>
                <c:pt idx="24">
                  <c:v>0.73610900343479779</c:v>
                </c:pt>
                <c:pt idx="25">
                  <c:v>0.77370785294438793</c:v>
                </c:pt>
                <c:pt idx="26">
                  <c:v>0.82472838627867517</c:v>
                </c:pt>
                <c:pt idx="27">
                  <c:v>0.88565117670494864</c:v>
                </c:pt>
                <c:pt idx="28">
                  <c:v>0.85710985702682707</c:v>
                </c:pt>
                <c:pt idx="29">
                  <c:v>0.83813032628555395</c:v>
                </c:pt>
                <c:pt idx="30">
                  <c:v>0.87772551750519689</c:v>
                </c:pt>
                <c:pt idx="31">
                  <c:v>0.90226853688140729</c:v>
                </c:pt>
                <c:pt idx="32">
                  <c:v>0.89956188108667468</c:v>
                </c:pt>
                <c:pt idx="33">
                  <c:v>0.84678840950002554</c:v>
                </c:pt>
                <c:pt idx="34">
                  <c:v>0.96547666217471095</c:v>
                </c:pt>
                <c:pt idx="35">
                  <c:v>0.81336047713028137</c:v>
                </c:pt>
                <c:pt idx="36">
                  <c:v>0.96278221339685166</c:v>
                </c:pt>
                <c:pt idx="37">
                  <c:v>0.93717231377813703</c:v>
                </c:pt>
                <c:pt idx="38">
                  <c:v>1</c:v>
                </c:pt>
                <c:pt idx="39">
                  <c:v>0.84230486116810199</c:v>
                </c:pt>
              </c:numCache>
            </c:numRef>
          </c:val>
          <c:smooth val="0"/>
        </c:ser>
        <c:dLbls>
          <c:showLegendKey val="0"/>
          <c:showVal val="0"/>
          <c:showCatName val="0"/>
          <c:showSerName val="0"/>
          <c:showPercent val="0"/>
          <c:showBubbleSize val="0"/>
        </c:dLbls>
        <c:marker val="1"/>
        <c:smooth val="0"/>
        <c:axId val="70093056"/>
        <c:axId val="70094848"/>
      </c:lineChart>
      <c:catAx>
        <c:axId val="70093056"/>
        <c:scaling>
          <c:orientation val="minMax"/>
        </c:scaling>
        <c:delete val="0"/>
        <c:axPos val="b"/>
        <c:numFmt formatCode="General" sourceLinked="1"/>
        <c:majorTickMark val="out"/>
        <c:minorTickMark val="none"/>
        <c:tickLblPos val="nextTo"/>
        <c:crossAx val="70094848"/>
        <c:crosses val="autoZero"/>
        <c:auto val="1"/>
        <c:lblAlgn val="ctr"/>
        <c:lblOffset val="100"/>
        <c:tickLblSkip val="4"/>
        <c:tickMarkSkip val="4"/>
        <c:noMultiLvlLbl val="0"/>
      </c:catAx>
      <c:valAx>
        <c:axId val="70094848"/>
        <c:scaling>
          <c:orientation val="minMax"/>
          <c:max val="1"/>
          <c:min val="0"/>
        </c:scaling>
        <c:delete val="0"/>
        <c:axPos val="l"/>
        <c:numFmt formatCode="_(* #,##0.00_);_(* \(#,##0.00\);_(* &quot;-&quot;??_);_(@_)" sourceLinked="1"/>
        <c:majorTickMark val="out"/>
        <c:minorTickMark val="none"/>
        <c:tickLblPos val="nextTo"/>
        <c:crossAx val="70093056"/>
        <c:crosses val="autoZero"/>
        <c:crossBetween val="midCat"/>
      </c:valAx>
    </c:plotArea>
    <c:legend>
      <c:legendPos val="r"/>
      <c:layout/>
      <c:overlay val="0"/>
    </c:legend>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Sheet6!$G$79</c:f>
              <c:strCache>
                <c:ptCount val="1"/>
                <c:pt idx="0">
                  <c:v>110</c:v>
                </c:pt>
              </c:strCache>
            </c:strRef>
          </c:tx>
          <c:marker>
            <c:symbol val="none"/>
          </c:marker>
          <c:cat>
            <c:numRef>
              <c:f>Sheet6!$A$80:$A$119</c:f>
              <c:numCache>
                <c:formatCode>General</c:formatCode>
                <c:ptCount val="40"/>
                <c:pt idx="0">
                  <c:v>-5</c:v>
                </c:pt>
                <c:pt idx="1">
                  <c:v>0</c:v>
                </c:pt>
                <c:pt idx="2">
                  <c:v>5</c:v>
                </c:pt>
                <c:pt idx="3">
                  <c:v>10</c:v>
                </c:pt>
                <c:pt idx="4">
                  <c:v>15</c:v>
                </c:pt>
                <c:pt idx="5">
                  <c:v>20</c:v>
                </c:pt>
                <c:pt idx="6">
                  <c:v>25</c:v>
                </c:pt>
                <c:pt idx="7">
                  <c:v>30</c:v>
                </c:pt>
                <c:pt idx="8">
                  <c:v>35</c:v>
                </c:pt>
                <c:pt idx="9">
                  <c:v>40</c:v>
                </c:pt>
                <c:pt idx="10">
                  <c:v>45</c:v>
                </c:pt>
                <c:pt idx="11">
                  <c:v>50</c:v>
                </c:pt>
                <c:pt idx="12">
                  <c:v>55</c:v>
                </c:pt>
                <c:pt idx="13">
                  <c:v>60</c:v>
                </c:pt>
                <c:pt idx="14">
                  <c:v>65</c:v>
                </c:pt>
                <c:pt idx="15">
                  <c:v>70</c:v>
                </c:pt>
                <c:pt idx="16">
                  <c:v>75</c:v>
                </c:pt>
                <c:pt idx="17">
                  <c:v>80</c:v>
                </c:pt>
                <c:pt idx="18">
                  <c:v>85</c:v>
                </c:pt>
                <c:pt idx="19">
                  <c:v>90</c:v>
                </c:pt>
                <c:pt idx="20">
                  <c:v>95</c:v>
                </c:pt>
                <c:pt idx="21">
                  <c:v>100</c:v>
                </c:pt>
                <c:pt idx="22">
                  <c:v>105</c:v>
                </c:pt>
                <c:pt idx="23">
                  <c:v>110</c:v>
                </c:pt>
                <c:pt idx="24">
                  <c:v>115</c:v>
                </c:pt>
                <c:pt idx="25">
                  <c:v>120</c:v>
                </c:pt>
                <c:pt idx="26">
                  <c:v>125</c:v>
                </c:pt>
                <c:pt idx="27">
                  <c:v>130</c:v>
                </c:pt>
                <c:pt idx="28">
                  <c:v>135</c:v>
                </c:pt>
                <c:pt idx="29">
                  <c:v>140</c:v>
                </c:pt>
                <c:pt idx="30">
                  <c:v>145</c:v>
                </c:pt>
                <c:pt idx="31">
                  <c:v>150</c:v>
                </c:pt>
                <c:pt idx="32">
                  <c:v>155</c:v>
                </c:pt>
                <c:pt idx="33">
                  <c:v>160</c:v>
                </c:pt>
                <c:pt idx="34">
                  <c:v>165</c:v>
                </c:pt>
                <c:pt idx="35">
                  <c:v>170</c:v>
                </c:pt>
                <c:pt idx="36">
                  <c:v>175</c:v>
                </c:pt>
                <c:pt idx="37">
                  <c:v>180</c:v>
                </c:pt>
                <c:pt idx="38">
                  <c:v>185</c:v>
                </c:pt>
                <c:pt idx="39">
                  <c:v>190</c:v>
                </c:pt>
              </c:numCache>
            </c:numRef>
          </c:cat>
          <c:val>
            <c:numRef>
              <c:f>Sheet6!$G$84:$G$124</c:f>
              <c:numCache>
                <c:formatCode>_(* #,##0.00_);_(* \(#,##0.00\);_(* "-"??_);_(@_)</c:formatCode>
                <c:ptCount val="41"/>
                <c:pt idx="0">
                  <c:v>2.2100850838089457E-2</c:v>
                </c:pt>
                <c:pt idx="1">
                  <c:v>4.4588250749500249E-2</c:v>
                </c:pt>
                <c:pt idx="2">
                  <c:v>4.4232476813891523E-2</c:v>
                </c:pt>
                <c:pt idx="3">
                  <c:v>6.2122100524880812E-2</c:v>
                </c:pt>
                <c:pt idx="4">
                  <c:v>8.4585796097542576E-2</c:v>
                </c:pt>
                <c:pt idx="5">
                  <c:v>6.3247899939070193E-2</c:v>
                </c:pt>
                <c:pt idx="6">
                  <c:v>9.6674521473829336E-2</c:v>
                </c:pt>
                <c:pt idx="7">
                  <c:v>0.12952451822663719</c:v>
                </c:pt>
                <c:pt idx="8">
                  <c:v>0.15381478590575301</c:v>
                </c:pt>
                <c:pt idx="9">
                  <c:v>0.13669609027517185</c:v>
                </c:pt>
                <c:pt idx="10">
                  <c:v>0.19336630870183799</c:v>
                </c:pt>
                <c:pt idx="11">
                  <c:v>0.23299355398572086</c:v>
                </c:pt>
                <c:pt idx="12">
                  <c:v>0.27398997759895943</c:v>
                </c:pt>
                <c:pt idx="13">
                  <c:v>0.29718439201436536</c:v>
                </c:pt>
                <c:pt idx="14">
                  <c:v>0.33244019125031377</c:v>
                </c:pt>
                <c:pt idx="15">
                  <c:v>0.35319207586659962</c:v>
                </c:pt>
                <c:pt idx="16">
                  <c:v>0.36097479697287177</c:v>
                </c:pt>
                <c:pt idx="17">
                  <c:v>0.45395777374580309</c:v>
                </c:pt>
                <c:pt idx="18">
                  <c:v>0.49330057573964697</c:v>
                </c:pt>
                <c:pt idx="19">
                  <c:v>0.53300837148111724</c:v>
                </c:pt>
                <c:pt idx="20">
                  <c:v>0.55512141041304297</c:v>
                </c:pt>
                <c:pt idx="21">
                  <c:v>0.54585735161731375</c:v>
                </c:pt>
                <c:pt idx="22">
                  <c:v>0.6208942540657223</c:v>
                </c:pt>
                <c:pt idx="23">
                  <c:v>0.661205822580057</c:v>
                </c:pt>
                <c:pt idx="24">
                  <c:v>0.73270837287553137</c:v>
                </c:pt>
                <c:pt idx="25">
                  <c:v>0.6779402454996496</c:v>
                </c:pt>
                <c:pt idx="26">
                  <c:v>0.80451698106220793</c:v>
                </c:pt>
                <c:pt idx="27">
                  <c:v>0.8275963980334371</c:v>
                </c:pt>
                <c:pt idx="28">
                  <c:v>0.73134592549923072</c:v>
                </c:pt>
                <c:pt idx="29">
                  <c:v>0.9204101848520192</c:v>
                </c:pt>
                <c:pt idx="30">
                  <c:v>0.83466968868801383</c:v>
                </c:pt>
                <c:pt idx="31">
                  <c:v>0.87954470145679087</c:v>
                </c:pt>
                <c:pt idx="32">
                  <c:v>0.98164126676540187</c:v>
                </c:pt>
                <c:pt idx="33">
                  <c:v>0.99537811535098342</c:v>
                </c:pt>
                <c:pt idx="34">
                  <c:v>0.87442751157582665</c:v>
                </c:pt>
                <c:pt idx="35">
                  <c:v>1</c:v>
                </c:pt>
              </c:numCache>
            </c:numRef>
          </c:val>
          <c:smooth val="0"/>
        </c:ser>
        <c:ser>
          <c:idx val="1"/>
          <c:order val="1"/>
          <c:tx>
            <c:strRef>
              <c:f>Sheet6!$M$79</c:f>
              <c:strCache>
                <c:ptCount val="1"/>
                <c:pt idx="0">
                  <c:v>170</c:v>
                </c:pt>
              </c:strCache>
            </c:strRef>
          </c:tx>
          <c:marker>
            <c:symbol val="none"/>
          </c:marker>
          <c:cat>
            <c:numRef>
              <c:f>Sheet6!$A$80:$A$119</c:f>
              <c:numCache>
                <c:formatCode>General</c:formatCode>
                <c:ptCount val="40"/>
                <c:pt idx="0">
                  <c:v>-5</c:v>
                </c:pt>
                <c:pt idx="1">
                  <c:v>0</c:v>
                </c:pt>
                <c:pt idx="2">
                  <c:v>5</c:v>
                </c:pt>
                <c:pt idx="3">
                  <c:v>10</c:v>
                </c:pt>
                <c:pt idx="4">
                  <c:v>15</c:v>
                </c:pt>
                <c:pt idx="5">
                  <c:v>20</c:v>
                </c:pt>
                <c:pt idx="6">
                  <c:v>25</c:v>
                </c:pt>
                <c:pt idx="7">
                  <c:v>30</c:v>
                </c:pt>
                <c:pt idx="8">
                  <c:v>35</c:v>
                </c:pt>
                <c:pt idx="9">
                  <c:v>40</c:v>
                </c:pt>
                <c:pt idx="10">
                  <c:v>45</c:v>
                </c:pt>
                <c:pt idx="11">
                  <c:v>50</c:v>
                </c:pt>
                <c:pt idx="12">
                  <c:v>55</c:v>
                </c:pt>
                <c:pt idx="13">
                  <c:v>60</c:v>
                </c:pt>
                <c:pt idx="14">
                  <c:v>65</c:v>
                </c:pt>
                <c:pt idx="15">
                  <c:v>70</c:v>
                </c:pt>
                <c:pt idx="16">
                  <c:v>75</c:v>
                </c:pt>
                <c:pt idx="17">
                  <c:v>80</c:v>
                </c:pt>
                <c:pt idx="18">
                  <c:v>85</c:v>
                </c:pt>
                <c:pt idx="19">
                  <c:v>90</c:v>
                </c:pt>
                <c:pt idx="20">
                  <c:v>95</c:v>
                </c:pt>
                <c:pt idx="21">
                  <c:v>100</c:v>
                </c:pt>
                <c:pt idx="22">
                  <c:v>105</c:v>
                </c:pt>
                <c:pt idx="23">
                  <c:v>110</c:v>
                </c:pt>
                <c:pt idx="24">
                  <c:v>115</c:v>
                </c:pt>
                <c:pt idx="25">
                  <c:v>120</c:v>
                </c:pt>
                <c:pt idx="26">
                  <c:v>125</c:v>
                </c:pt>
                <c:pt idx="27">
                  <c:v>130</c:v>
                </c:pt>
                <c:pt idx="28">
                  <c:v>135</c:v>
                </c:pt>
                <c:pt idx="29">
                  <c:v>140</c:v>
                </c:pt>
                <c:pt idx="30">
                  <c:v>145</c:v>
                </c:pt>
                <c:pt idx="31">
                  <c:v>150</c:v>
                </c:pt>
                <c:pt idx="32">
                  <c:v>155</c:v>
                </c:pt>
                <c:pt idx="33">
                  <c:v>160</c:v>
                </c:pt>
                <c:pt idx="34">
                  <c:v>165</c:v>
                </c:pt>
                <c:pt idx="35">
                  <c:v>170</c:v>
                </c:pt>
                <c:pt idx="36">
                  <c:v>175</c:v>
                </c:pt>
                <c:pt idx="37">
                  <c:v>180</c:v>
                </c:pt>
                <c:pt idx="38">
                  <c:v>185</c:v>
                </c:pt>
                <c:pt idx="39">
                  <c:v>190</c:v>
                </c:pt>
              </c:numCache>
            </c:numRef>
          </c:cat>
          <c:val>
            <c:numRef>
              <c:f>Sheet6!$M$80:$M$119</c:f>
              <c:numCache>
                <c:formatCode>_(* #,##0.00_);_(* \(#,##0.00\);_(* "-"??_);_(@_)</c:formatCode>
                <c:ptCount val="40"/>
                <c:pt idx="0">
                  <c:v>0</c:v>
                </c:pt>
                <c:pt idx="1">
                  <c:v>2.9070103145781848E-2</c:v>
                </c:pt>
                <c:pt idx="2">
                  <c:v>2.8645686101203591E-2</c:v>
                </c:pt>
                <c:pt idx="3">
                  <c:v>7.3559852675789766E-2</c:v>
                </c:pt>
                <c:pt idx="4">
                  <c:v>0.10088592754647574</c:v>
                </c:pt>
                <c:pt idx="5">
                  <c:v>7.3552717388761554E-2</c:v>
                </c:pt>
                <c:pt idx="6">
                  <c:v>8.8983777271466349E-2</c:v>
                </c:pt>
                <c:pt idx="7">
                  <c:v>0.11763039474460962</c:v>
                </c:pt>
                <c:pt idx="8">
                  <c:v>0.13245344830984251</c:v>
                </c:pt>
                <c:pt idx="9">
                  <c:v>0.16769752757133144</c:v>
                </c:pt>
                <c:pt idx="10">
                  <c:v>0.20562941806833479</c:v>
                </c:pt>
                <c:pt idx="11">
                  <c:v>0.22312244422037042</c:v>
                </c:pt>
                <c:pt idx="12">
                  <c:v>0.27843769236376564</c:v>
                </c:pt>
                <c:pt idx="13">
                  <c:v>0.30744009835825253</c:v>
                </c:pt>
                <c:pt idx="14">
                  <c:v>0.31656907458393485</c:v>
                </c:pt>
                <c:pt idx="15">
                  <c:v>0.36720955563500135</c:v>
                </c:pt>
                <c:pt idx="16">
                  <c:v>0.42068078133381553</c:v>
                </c:pt>
                <c:pt idx="17">
                  <c:v>0.47932747104156037</c:v>
                </c:pt>
                <c:pt idx="18">
                  <c:v>0.48754219492890172</c:v>
                </c:pt>
                <c:pt idx="19">
                  <c:v>0.56688860946940767</c:v>
                </c:pt>
                <c:pt idx="20">
                  <c:v>0.55577987432293874</c:v>
                </c:pt>
                <c:pt idx="21">
                  <c:v>0.63868443946420073</c:v>
                </c:pt>
                <c:pt idx="22">
                  <c:v>0.65926620980073269</c:v>
                </c:pt>
                <c:pt idx="23">
                  <c:v>0.70622245867858668</c:v>
                </c:pt>
                <c:pt idx="24">
                  <c:v>0.73610900343479779</c:v>
                </c:pt>
                <c:pt idx="25">
                  <c:v>0.77370785294438793</c:v>
                </c:pt>
                <c:pt idx="26">
                  <c:v>0.82472838627867517</c:v>
                </c:pt>
                <c:pt idx="27">
                  <c:v>0.88565117670494864</c:v>
                </c:pt>
                <c:pt idx="28">
                  <c:v>0.85710985702682707</c:v>
                </c:pt>
                <c:pt idx="29">
                  <c:v>0.83813032628555395</c:v>
                </c:pt>
                <c:pt idx="30">
                  <c:v>0.87772551750519689</c:v>
                </c:pt>
                <c:pt idx="31">
                  <c:v>0.90226853688140729</c:v>
                </c:pt>
                <c:pt idx="32">
                  <c:v>0.89956188108667468</c:v>
                </c:pt>
                <c:pt idx="33">
                  <c:v>0.84678840950002554</c:v>
                </c:pt>
                <c:pt idx="34">
                  <c:v>0.96547666217471095</c:v>
                </c:pt>
                <c:pt idx="35">
                  <c:v>0.81336047713028137</c:v>
                </c:pt>
                <c:pt idx="36">
                  <c:v>0.96278221339685166</c:v>
                </c:pt>
                <c:pt idx="37">
                  <c:v>0.93717231377813703</c:v>
                </c:pt>
                <c:pt idx="38">
                  <c:v>1</c:v>
                </c:pt>
                <c:pt idx="39">
                  <c:v>0.84230486116810199</c:v>
                </c:pt>
              </c:numCache>
            </c:numRef>
          </c:val>
          <c:smooth val="0"/>
        </c:ser>
        <c:dLbls>
          <c:showLegendKey val="0"/>
          <c:showVal val="0"/>
          <c:showCatName val="0"/>
          <c:showSerName val="0"/>
          <c:showPercent val="0"/>
          <c:showBubbleSize val="0"/>
        </c:dLbls>
        <c:marker val="1"/>
        <c:smooth val="0"/>
        <c:axId val="70116096"/>
        <c:axId val="70117632"/>
      </c:lineChart>
      <c:catAx>
        <c:axId val="70116096"/>
        <c:scaling>
          <c:orientation val="minMax"/>
        </c:scaling>
        <c:delete val="0"/>
        <c:axPos val="b"/>
        <c:numFmt formatCode="General" sourceLinked="1"/>
        <c:majorTickMark val="out"/>
        <c:minorTickMark val="none"/>
        <c:tickLblPos val="nextTo"/>
        <c:crossAx val="70117632"/>
        <c:crosses val="autoZero"/>
        <c:auto val="1"/>
        <c:lblAlgn val="ctr"/>
        <c:lblOffset val="100"/>
        <c:tickLblSkip val="4"/>
        <c:tickMarkSkip val="4"/>
        <c:noMultiLvlLbl val="0"/>
      </c:catAx>
      <c:valAx>
        <c:axId val="70117632"/>
        <c:scaling>
          <c:orientation val="minMax"/>
          <c:max val="1"/>
          <c:min val="0"/>
        </c:scaling>
        <c:delete val="0"/>
        <c:axPos val="l"/>
        <c:numFmt formatCode="_(* #,##0.00_);_(* \(#,##0.00\);_(* &quot;-&quot;??_);_(@_)" sourceLinked="1"/>
        <c:majorTickMark val="out"/>
        <c:minorTickMark val="none"/>
        <c:tickLblPos val="nextTo"/>
        <c:crossAx val="70116096"/>
        <c:crosses val="autoZero"/>
        <c:crossBetween val="midCat"/>
      </c:valAx>
    </c:plotArea>
    <c:legend>
      <c:legendPos val="r"/>
      <c:layout/>
      <c:overlay val="0"/>
    </c:legend>
    <c:plotVisOnly val="1"/>
    <c:dispBlanksAs val="gap"/>
    <c:showDLblsOverMax val="0"/>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Sheet6!$H$79</c:f>
              <c:strCache>
                <c:ptCount val="1"/>
                <c:pt idx="0">
                  <c:v>120</c:v>
                </c:pt>
              </c:strCache>
            </c:strRef>
          </c:tx>
          <c:marker>
            <c:symbol val="none"/>
          </c:marker>
          <c:cat>
            <c:numRef>
              <c:f>Sheet6!$A$80:$A$119</c:f>
              <c:numCache>
                <c:formatCode>General</c:formatCode>
                <c:ptCount val="40"/>
                <c:pt idx="0">
                  <c:v>-5</c:v>
                </c:pt>
                <c:pt idx="1">
                  <c:v>0</c:v>
                </c:pt>
                <c:pt idx="2">
                  <c:v>5</c:v>
                </c:pt>
                <c:pt idx="3">
                  <c:v>10</c:v>
                </c:pt>
                <c:pt idx="4">
                  <c:v>15</c:v>
                </c:pt>
                <c:pt idx="5">
                  <c:v>20</c:v>
                </c:pt>
                <c:pt idx="6">
                  <c:v>25</c:v>
                </c:pt>
                <c:pt idx="7">
                  <c:v>30</c:v>
                </c:pt>
                <c:pt idx="8">
                  <c:v>35</c:v>
                </c:pt>
                <c:pt idx="9">
                  <c:v>40</c:v>
                </c:pt>
                <c:pt idx="10">
                  <c:v>45</c:v>
                </c:pt>
                <c:pt idx="11">
                  <c:v>50</c:v>
                </c:pt>
                <c:pt idx="12">
                  <c:v>55</c:v>
                </c:pt>
                <c:pt idx="13">
                  <c:v>60</c:v>
                </c:pt>
                <c:pt idx="14">
                  <c:v>65</c:v>
                </c:pt>
                <c:pt idx="15">
                  <c:v>70</c:v>
                </c:pt>
                <c:pt idx="16">
                  <c:v>75</c:v>
                </c:pt>
                <c:pt idx="17">
                  <c:v>80</c:v>
                </c:pt>
                <c:pt idx="18">
                  <c:v>85</c:v>
                </c:pt>
                <c:pt idx="19">
                  <c:v>90</c:v>
                </c:pt>
                <c:pt idx="20">
                  <c:v>95</c:v>
                </c:pt>
                <c:pt idx="21">
                  <c:v>100</c:v>
                </c:pt>
                <c:pt idx="22">
                  <c:v>105</c:v>
                </c:pt>
                <c:pt idx="23">
                  <c:v>110</c:v>
                </c:pt>
                <c:pt idx="24">
                  <c:v>115</c:v>
                </c:pt>
                <c:pt idx="25">
                  <c:v>120</c:v>
                </c:pt>
                <c:pt idx="26">
                  <c:v>125</c:v>
                </c:pt>
                <c:pt idx="27">
                  <c:v>130</c:v>
                </c:pt>
                <c:pt idx="28">
                  <c:v>135</c:v>
                </c:pt>
                <c:pt idx="29">
                  <c:v>140</c:v>
                </c:pt>
                <c:pt idx="30">
                  <c:v>145</c:v>
                </c:pt>
                <c:pt idx="31">
                  <c:v>150</c:v>
                </c:pt>
                <c:pt idx="32">
                  <c:v>155</c:v>
                </c:pt>
                <c:pt idx="33">
                  <c:v>160</c:v>
                </c:pt>
                <c:pt idx="34">
                  <c:v>165</c:v>
                </c:pt>
                <c:pt idx="35">
                  <c:v>170</c:v>
                </c:pt>
                <c:pt idx="36">
                  <c:v>175</c:v>
                </c:pt>
                <c:pt idx="37">
                  <c:v>180</c:v>
                </c:pt>
                <c:pt idx="38">
                  <c:v>185</c:v>
                </c:pt>
                <c:pt idx="39">
                  <c:v>190</c:v>
                </c:pt>
              </c:numCache>
            </c:numRef>
          </c:cat>
          <c:val>
            <c:numRef>
              <c:f>Sheet6!$H$83:$H$123</c:f>
              <c:numCache>
                <c:formatCode>_(* #,##0.00_);_(* \(#,##0.00\);_(* "-"??_);_(@_)</c:formatCode>
                <c:ptCount val="41"/>
                <c:pt idx="0">
                  <c:v>6.8407961963949604E-2</c:v>
                </c:pt>
                <c:pt idx="1">
                  <c:v>4.9375087047780812E-2</c:v>
                </c:pt>
                <c:pt idx="2">
                  <c:v>3.7022982055850431E-2</c:v>
                </c:pt>
                <c:pt idx="3">
                  <c:v>7.3854507714699924E-2</c:v>
                </c:pt>
                <c:pt idx="4">
                  <c:v>8.1416185652604445E-2</c:v>
                </c:pt>
                <c:pt idx="5">
                  <c:v>0.14035459800586442</c:v>
                </c:pt>
                <c:pt idx="6">
                  <c:v>0.12102702819895308</c:v>
                </c:pt>
                <c:pt idx="7">
                  <c:v>0.1478659206607727</c:v>
                </c:pt>
                <c:pt idx="8">
                  <c:v>0.12672969521297947</c:v>
                </c:pt>
                <c:pt idx="9">
                  <c:v>0.19024513319027875</c:v>
                </c:pt>
                <c:pt idx="10">
                  <c:v>0.19810752118591735</c:v>
                </c:pt>
                <c:pt idx="11">
                  <c:v>0.1847858830519149</c:v>
                </c:pt>
                <c:pt idx="12">
                  <c:v>0.24314647502353798</c:v>
                </c:pt>
                <c:pt idx="13">
                  <c:v>0.28001265656917435</c:v>
                </c:pt>
                <c:pt idx="14">
                  <c:v>0.34267203944488528</c:v>
                </c:pt>
                <c:pt idx="15">
                  <c:v>0.36914550804803425</c:v>
                </c:pt>
                <c:pt idx="16">
                  <c:v>0.41568944200575658</c:v>
                </c:pt>
                <c:pt idx="17">
                  <c:v>0.44956344098758066</c:v>
                </c:pt>
                <c:pt idx="18">
                  <c:v>0.49148566987487491</c:v>
                </c:pt>
                <c:pt idx="19">
                  <c:v>0.51959968554244262</c:v>
                </c:pt>
                <c:pt idx="20">
                  <c:v>0.56198763028515719</c:v>
                </c:pt>
                <c:pt idx="21">
                  <c:v>0.62178850749957204</c:v>
                </c:pt>
                <c:pt idx="22">
                  <c:v>0.69589264488936176</c:v>
                </c:pt>
                <c:pt idx="23">
                  <c:v>0.64905453520203593</c:v>
                </c:pt>
                <c:pt idx="24">
                  <c:v>0.69144119417831928</c:v>
                </c:pt>
                <c:pt idx="25">
                  <c:v>0.70347699693016408</c:v>
                </c:pt>
                <c:pt idx="26">
                  <c:v>0.80874840749523713</c:v>
                </c:pt>
                <c:pt idx="27">
                  <c:v>0.82634900927970756</c:v>
                </c:pt>
                <c:pt idx="28">
                  <c:v>0.80978779768309905</c:v>
                </c:pt>
                <c:pt idx="29">
                  <c:v>0.85759086651073446</c:v>
                </c:pt>
                <c:pt idx="30">
                  <c:v>0.86699859087156961</c:v>
                </c:pt>
                <c:pt idx="31">
                  <c:v>0.89941618272696655</c:v>
                </c:pt>
                <c:pt idx="32">
                  <c:v>0.86638037495381059</c:v>
                </c:pt>
                <c:pt idx="33">
                  <c:v>0.85001978257834399</c:v>
                </c:pt>
                <c:pt idx="34">
                  <c:v>0.7303004627113423</c:v>
                </c:pt>
                <c:pt idx="35">
                  <c:v>1</c:v>
                </c:pt>
                <c:pt idx="36">
                  <c:v>0.84998669560624773</c:v>
                </c:pt>
              </c:numCache>
            </c:numRef>
          </c:val>
          <c:smooth val="0"/>
        </c:ser>
        <c:ser>
          <c:idx val="1"/>
          <c:order val="1"/>
          <c:tx>
            <c:strRef>
              <c:f>Sheet6!$M$79</c:f>
              <c:strCache>
                <c:ptCount val="1"/>
                <c:pt idx="0">
                  <c:v>170</c:v>
                </c:pt>
              </c:strCache>
            </c:strRef>
          </c:tx>
          <c:marker>
            <c:symbol val="none"/>
          </c:marker>
          <c:cat>
            <c:numRef>
              <c:f>Sheet6!$A$80:$A$119</c:f>
              <c:numCache>
                <c:formatCode>General</c:formatCode>
                <c:ptCount val="40"/>
                <c:pt idx="0">
                  <c:v>-5</c:v>
                </c:pt>
                <c:pt idx="1">
                  <c:v>0</c:v>
                </c:pt>
                <c:pt idx="2">
                  <c:v>5</c:v>
                </c:pt>
                <c:pt idx="3">
                  <c:v>10</c:v>
                </c:pt>
                <c:pt idx="4">
                  <c:v>15</c:v>
                </c:pt>
                <c:pt idx="5">
                  <c:v>20</c:v>
                </c:pt>
                <c:pt idx="6">
                  <c:v>25</c:v>
                </c:pt>
                <c:pt idx="7">
                  <c:v>30</c:v>
                </c:pt>
                <c:pt idx="8">
                  <c:v>35</c:v>
                </c:pt>
                <c:pt idx="9">
                  <c:v>40</c:v>
                </c:pt>
                <c:pt idx="10">
                  <c:v>45</c:v>
                </c:pt>
                <c:pt idx="11">
                  <c:v>50</c:v>
                </c:pt>
                <c:pt idx="12">
                  <c:v>55</c:v>
                </c:pt>
                <c:pt idx="13">
                  <c:v>60</c:v>
                </c:pt>
                <c:pt idx="14">
                  <c:v>65</c:v>
                </c:pt>
                <c:pt idx="15">
                  <c:v>70</c:v>
                </c:pt>
                <c:pt idx="16">
                  <c:v>75</c:v>
                </c:pt>
                <c:pt idx="17">
                  <c:v>80</c:v>
                </c:pt>
                <c:pt idx="18">
                  <c:v>85</c:v>
                </c:pt>
                <c:pt idx="19">
                  <c:v>90</c:v>
                </c:pt>
                <c:pt idx="20">
                  <c:v>95</c:v>
                </c:pt>
                <c:pt idx="21">
                  <c:v>100</c:v>
                </c:pt>
                <c:pt idx="22">
                  <c:v>105</c:v>
                </c:pt>
                <c:pt idx="23">
                  <c:v>110</c:v>
                </c:pt>
                <c:pt idx="24">
                  <c:v>115</c:v>
                </c:pt>
                <c:pt idx="25">
                  <c:v>120</c:v>
                </c:pt>
                <c:pt idx="26">
                  <c:v>125</c:v>
                </c:pt>
                <c:pt idx="27">
                  <c:v>130</c:v>
                </c:pt>
                <c:pt idx="28">
                  <c:v>135</c:v>
                </c:pt>
                <c:pt idx="29">
                  <c:v>140</c:v>
                </c:pt>
                <c:pt idx="30">
                  <c:v>145</c:v>
                </c:pt>
                <c:pt idx="31">
                  <c:v>150</c:v>
                </c:pt>
                <c:pt idx="32">
                  <c:v>155</c:v>
                </c:pt>
                <c:pt idx="33">
                  <c:v>160</c:v>
                </c:pt>
                <c:pt idx="34">
                  <c:v>165</c:v>
                </c:pt>
                <c:pt idx="35">
                  <c:v>170</c:v>
                </c:pt>
                <c:pt idx="36">
                  <c:v>175</c:v>
                </c:pt>
                <c:pt idx="37">
                  <c:v>180</c:v>
                </c:pt>
                <c:pt idx="38">
                  <c:v>185</c:v>
                </c:pt>
                <c:pt idx="39">
                  <c:v>190</c:v>
                </c:pt>
              </c:numCache>
            </c:numRef>
          </c:cat>
          <c:val>
            <c:numRef>
              <c:f>Sheet6!$M$80:$M$119</c:f>
              <c:numCache>
                <c:formatCode>_(* #,##0.00_);_(* \(#,##0.00\);_(* "-"??_);_(@_)</c:formatCode>
                <c:ptCount val="40"/>
                <c:pt idx="0">
                  <c:v>0</c:v>
                </c:pt>
                <c:pt idx="1">
                  <c:v>2.9070103145781848E-2</c:v>
                </c:pt>
                <c:pt idx="2">
                  <c:v>2.8645686101203591E-2</c:v>
                </c:pt>
                <c:pt idx="3">
                  <c:v>7.3559852675789766E-2</c:v>
                </c:pt>
                <c:pt idx="4">
                  <c:v>0.10088592754647574</c:v>
                </c:pt>
                <c:pt idx="5">
                  <c:v>7.3552717388761554E-2</c:v>
                </c:pt>
                <c:pt idx="6">
                  <c:v>8.8983777271466349E-2</c:v>
                </c:pt>
                <c:pt idx="7">
                  <c:v>0.11763039474460962</c:v>
                </c:pt>
                <c:pt idx="8">
                  <c:v>0.13245344830984251</c:v>
                </c:pt>
                <c:pt idx="9">
                  <c:v>0.16769752757133144</c:v>
                </c:pt>
                <c:pt idx="10">
                  <c:v>0.20562941806833479</c:v>
                </c:pt>
                <c:pt idx="11">
                  <c:v>0.22312244422037042</c:v>
                </c:pt>
                <c:pt idx="12">
                  <c:v>0.27843769236376564</c:v>
                </c:pt>
                <c:pt idx="13">
                  <c:v>0.30744009835825253</c:v>
                </c:pt>
                <c:pt idx="14">
                  <c:v>0.31656907458393485</c:v>
                </c:pt>
                <c:pt idx="15">
                  <c:v>0.36720955563500135</c:v>
                </c:pt>
                <c:pt idx="16">
                  <c:v>0.42068078133381553</c:v>
                </c:pt>
                <c:pt idx="17">
                  <c:v>0.47932747104156037</c:v>
                </c:pt>
                <c:pt idx="18">
                  <c:v>0.48754219492890172</c:v>
                </c:pt>
                <c:pt idx="19">
                  <c:v>0.56688860946940767</c:v>
                </c:pt>
                <c:pt idx="20">
                  <c:v>0.55577987432293874</c:v>
                </c:pt>
                <c:pt idx="21">
                  <c:v>0.63868443946420073</c:v>
                </c:pt>
                <c:pt idx="22">
                  <c:v>0.65926620980073269</c:v>
                </c:pt>
                <c:pt idx="23">
                  <c:v>0.70622245867858668</c:v>
                </c:pt>
                <c:pt idx="24">
                  <c:v>0.73610900343479779</c:v>
                </c:pt>
                <c:pt idx="25">
                  <c:v>0.77370785294438793</c:v>
                </c:pt>
                <c:pt idx="26">
                  <c:v>0.82472838627867517</c:v>
                </c:pt>
                <c:pt idx="27">
                  <c:v>0.88565117670494864</c:v>
                </c:pt>
                <c:pt idx="28">
                  <c:v>0.85710985702682707</c:v>
                </c:pt>
                <c:pt idx="29">
                  <c:v>0.83813032628555395</c:v>
                </c:pt>
                <c:pt idx="30">
                  <c:v>0.87772551750519689</c:v>
                </c:pt>
                <c:pt idx="31">
                  <c:v>0.90226853688140729</c:v>
                </c:pt>
                <c:pt idx="32">
                  <c:v>0.89956188108667468</c:v>
                </c:pt>
                <c:pt idx="33">
                  <c:v>0.84678840950002554</c:v>
                </c:pt>
                <c:pt idx="34">
                  <c:v>0.96547666217471095</c:v>
                </c:pt>
                <c:pt idx="35">
                  <c:v>0.81336047713028137</c:v>
                </c:pt>
                <c:pt idx="36">
                  <c:v>0.96278221339685166</c:v>
                </c:pt>
                <c:pt idx="37">
                  <c:v>0.93717231377813703</c:v>
                </c:pt>
                <c:pt idx="38">
                  <c:v>1</c:v>
                </c:pt>
                <c:pt idx="39">
                  <c:v>0.84230486116810199</c:v>
                </c:pt>
              </c:numCache>
            </c:numRef>
          </c:val>
          <c:smooth val="0"/>
        </c:ser>
        <c:dLbls>
          <c:showLegendKey val="0"/>
          <c:showVal val="0"/>
          <c:showCatName val="0"/>
          <c:showSerName val="0"/>
          <c:showPercent val="0"/>
          <c:showBubbleSize val="0"/>
        </c:dLbls>
        <c:marker val="1"/>
        <c:smooth val="0"/>
        <c:axId val="70204416"/>
        <c:axId val="70210304"/>
      </c:lineChart>
      <c:catAx>
        <c:axId val="70204416"/>
        <c:scaling>
          <c:orientation val="minMax"/>
        </c:scaling>
        <c:delete val="0"/>
        <c:axPos val="b"/>
        <c:numFmt formatCode="General" sourceLinked="1"/>
        <c:majorTickMark val="out"/>
        <c:minorTickMark val="none"/>
        <c:tickLblPos val="nextTo"/>
        <c:crossAx val="70210304"/>
        <c:crosses val="autoZero"/>
        <c:auto val="1"/>
        <c:lblAlgn val="ctr"/>
        <c:lblOffset val="100"/>
        <c:tickLblSkip val="4"/>
        <c:tickMarkSkip val="4"/>
        <c:noMultiLvlLbl val="0"/>
      </c:catAx>
      <c:valAx>
        <c:axId val="70210304"/>
        <c:scaling>
          <c:orientation val="minMax"/>
          <c:max val="1"/>
          <c:min val="0"/>
        </c:scaling>
        <c:delete val="0"/>
        <c:axPos val="l"/>
        <c:numFmt formatCode="_(* #,##0.00_);_(* \(#,##0.00\);_(* &quot;-&quot;??_);_(@_)" sourceLinked="1"/>
        <c:majorTickMark val="out"/>
        <c:minorTickMark val="none"/>
        <c:tickLblPos val="nextTo"/>
        <c:crossAx val="70204416"/>
        <c:crosses val="autoZero"/>
        <c:crossBetween val="midCat"/>
      </c:valAx>
    </c:plotArea>
    <c:legend>
      <c:legendPos val="r"/>
      <c:layout/>
      <c:overlay val="0"/>
    </c:legend>
    <c:plotVisOnly val="1"/>
    <c:dispBlanksAs val="gap"/>
    <c:showDLblsOverMax val="0"/>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Sheet6!$I$79</c:f>
              <c:strCache>
                <c:ptCount val="1"/>
                <c:pt idx="0">
                  <c:v>130</c:v>
                </c:pt>
              </c:strCache>
            </c:strRef>
          </c:tx>
          <c:marker>
            <c:symbol val="none"/>
          </c:marker>
          <c:cat>
            <c:numRef>
              <c:f>Sheet6!$A$80:$A$119</c:f>
              <c:numCache>
                <c:formatCode>General</c:formatCode>
                <c:ptCount val="40"/>
                <c:pt idx="0">
                  <c:v>-5</c:v>
                </c:pt>
                <c:pt idx="1">
                  <c:v>0</c:v>
                </c:pt>
                <c:pt idx="2">
                  <c:v>5</c:v>
                </c:pt>
                <c:pt idx="3">
                  <c:v>10</c:v>
                </c:pt>
                <c:pt idx="4">
                  <c:v>15</c:v>
                </c:pt>
                <c:pt idx="5">
                  <c:v>20</c:v>
                </c:pt>
                <c:pt idx="6">
                  <c:v>25</c:v>
                </c:pt>
                <c:pt idx="7">
                  <c:v>30</c:v>
                </c:pt>
                <c:pt idx="8">
                  <c:v>35</c:v>
                </c:pt>
                <c:pt idx="9">
                  <c:v>40</c:v>
                </c:pt>
                <c:pt idx="10">
                  <c:v>45</c:v>
                </c:pt>
                <c:pt idx="11">
                  <c:v>50</c:v>
                </c:pt>
                <c:pt idx="12">
                  <c:v>55</c:v>
                </c:pt>
                <c:pt idx="13">
                  <c:v>60</c:v>
                </c:pt>
                <c:pt idx="14">
                  <c:v>65</c:v>
                </c:pt>
                <c:pt idx="15">
                  <c:v>70</c:v>
                </c:pt>
                <c:pt idx="16">
                  <c:v>75</c:v>
                </c:pt>
                <c:pt idx="17">
                  <c:v>80</c:v>
                </c:pt>
                <c:pt idx="18">
                  <c:v>85</c:v>
                </c:pt>
                <c:pt idx="19">
                  <c:v>90</c:v>
                </c:pt>
                <c:pt idx="20">
                  <c:v>95</c:v>
                </c:pt>
                <c:pt idx="21">
                  <c:v>100</c:v>
                </c:pt>
                <c:pt idx="22">
                  <c:v>105</c:v>
                </c:pt>
                <c:pt idx="23">
                  <c:v>110</c:v>
                </c:pt>
                <c:pt idx="24">
                  <c:v>115</c:v>
                </c:pt>
                <c:pt idx="25">
                  <c:v>120</c:v>
                </c:pt>
                <c:pt idx="26">
                  <c:v>125</c:v>
                </c:pt>
                <c:pt idx="27">
                  <c:v>130</c:v>
                </c:pt>
                <c:pt idx="28">
                  <c:v>135</c:v>
                </c:pt>
                <c:pt idx="29">
                  <c:v>140</c:v>
                </c:pt>
                <c:pt idx="30">
                  <c:v>145</c:v>
                </c:pt>
                <c:pt idx="31">
                  <c:v>150</c:v>
                </c:pt>
                <c:pt idx="32">
                  <c:v>155</c:v>
                </c:pt>
                <c:pt idx="33">
                  <c:v>160</c:v>
                </c:pt>
                <c:pt idx="34">
                  <c:v>165</c:v>
                </c:pt>
                <c:pt idx="35">
                  <c:v>170</c:v>
                </c:pt>
                <c:pt idx="36">
                  <c:v>175</c:v>
                </c:pt>
                <c:pt idx="37">
                  <c:v>180</c:v>
                </c:pt>
                <c:pt idx="38">
                  <c:v>185</c:v>
                </c:pt>
                <c:pt idx="39">
                  <c:v>190</c:v>
                </c:pt>
              </c:numCache>
            </c:numRef>
          </c:cat>
          <c:val>
            <c:numRef>
              <c:f>Sheet6!$I$83:$I$123</c:f>
              <c:numCache>
                <c:formatCode>_(* #,##0.00_);_(* \(#,##0.00\);_(* "-"??_);_(@_)</c:formatCode>
                <c:ptCount val="41"/>
                <c:pt idx="0">
                  <c:v>3.6199386334760927E-2</c:v>
                </c:pt>
                <c:pt idx="1">
                  <c:v>6.9494167010259733E-2</c:v>
                </c:pt>
                <c:pt idx="2">
                  <c:v>6.9082519231238829E-2</c:v>
                </c:pt>
                <c:pt idx="3">
                  <c:v>7.4468002167377381E-2</c:v>
                </c:pt>
                <c:pt idx="4">
                  <c:v>8.2519464491384545E-2</c:v>
                </c:pt>
                <c:pt idx="5">
                  <c:v>0.10661508949665068</c:v>
                </c:pt>
                <c:pt idx="6">
                  <c:v>0.11803133906106308</c:v>
                </c:pt>
                <c:pt idx="7">
                  <c:v>0.15780195514309636</c:v>
                </c:pt>
                <c:pt idx="8">
                  <c:v>0.13798381331855253</c:v>
                </c:pt>
                <c:pt idx="9">
                  <c:v>0.1854833126296451</c:v>
                </c:pt>
                <c:pt idx="10">
                  <c:v>0.1823014281978215</c:v>
                </c:pt>
                <c:pt idx="11">
                  <c:v>0.23997445801381959</c:v>
                </c:pt>
                <c:pt idx="12">
                  <c:v>0.24271448230776463</c:v>
                </c:pt>
                <c:pt idx="13">
                  <c:v>0.29157110803515313</c:v>
                </c:pt>
                <c:pt idx="14">
                  <c:v>0.36579872712395978</c:v>
                </c:pt>
                <c:pt idx="15">
                  <c:v>0.35384264298730689</c:v>
                </c:pt>
                <c:pt idx="16">
                  <c:v>0.40569752018759603</c:v>
                </c:pt>
                <c:pt idx="17">
                  <c:v>0.44247698835724003</c:v>
                </c:pt>
                <c:pt idx="18">
                  <c:v>0.5081310588613156</c:v>
                </c:pt>
                <c:pt idx="19">
                  <c:v>0.55500573134730447</c:v>
                </c:pt>
                <c:pt idx="20">
                  <c:v>0.56837698412993631</c:v>
                </c:pt>
                <c:pt idx="21">
                  <c:v>0.60977793012119508</c:v>
                </c:pt>
                <c:pt idx="22">
                  <c:v>0.66844179466473741</c:v>
                </c:pt>
                <c:pt idx="23">
                  <c:v>0.71761093688996413</c:v>
                </c:pt>
                <c:pt idx="24">
                  <c:v>0.69341203876646107</c:v>
                </c:pt>
                <c:pt idx="25">
                  <c:v>0.79680945844218953</c:v>
                </c:pt>
                <c:pt idx="26">
                  <c:v>0.79884560095645796</c:v>
                </c:pt>
                <c:pt idx="27">
                  <c:v>0.73570332165206809</c:v>
                </c:pt>
                <c:pt idx="28">
                  <c:v>0.8499967560195808</c:v>
                </c:pt>
                <c:pt idx="29">
                  <c:v>0.83329218419509021</c:v>
                </c:pt>
                <c:pt idx="30">
                  <c:v>0.87283798578235727</c:v>
                </c:pt>
                <c:pt idx="31">
                  <c:v>0.89701773601575752</c:v>
                </c:pt>
                <c:pt idx="32">
                  <c:v>0.699844306348263</c:v>
                </c:pt>
                <c:pt idx="33">
                  <c:v>0.94643396577883732</c:v>
                </c:pt>
                <c:pt idx="34">
                  <c:v>0.98882775579930093</c:v>
                </c:pt>
                <c:pt idx="35">
                  <c:v>1</c:v>
                </c:pt>
                <c:pt idx="36">
                  <c:v>0.9134417358882273</c:v>
                </c:pt>
              </c:numCache>
            </c:numRef>
          </c:val>
          <c:smooth val="0"/>
        </c:ser>
        <c:ser>
          <c:idx val="1"/>
          <c:order val="1"/>
          <c:tx>
            <c:strRef>
              <c:f>Sheet6!$M$79</c:f>
              <c:strCache>
                <c:ptCount val="1"/>
                <c:pt idx="0">
                  <c:v>170</c:v>
                </c:pt>
              </c:strCache>
            </c:strRef>
          </c:tx>
          <c:marker>
            <c:symbol val="none"/>
          </c:marker>
          <c:cat>
            <c:numRef>
              <c:f>Sheet6!$A$80:$A$119</c:f>
              <c:numCache>
                <c:formatCode>General</c:formatCode>
                <c:ptCount val="40"/>
                <c:pt idx="0">
                  <c:v>-5</c:v>
                </c:pt>
                <c:pt idx="1">
                  <c:v>0</c:v>
                </c:pt>
                <c:pt idx="2">
                  <c:v>5</c:v>
                </c:pt>
                <c:pt idx="3">
                  <c:v>10</c:v>
                </c:pt>
                <c:pt idx="4">
                  <c:v>15</c:v>
                </c:pt>
                <c:pt idx="5">
                  <c:v>20</c:v>
                </c:pt>
                <c:pt idx="6">
                  <c:v>25</c:v>
                </c:pt>
                <c:pt idx="7">
                  <c:v>30</c:v>
                </c:pt>
                <c:pt idx="8">
                  <c:v>35</c:v>
                </c:pt>
                <c:pt idx="9">
                  <c:v>40</c:v>
                </c:pt>
                <c:pt idx="10">
                  <c:v>45</c:v>
                </c:pt>
                <c:pt idx="11">
                  <c:v>50</c:v>
                </c:pt>
                <c:pt idx="12">
                  <c:v>55</c:v>
                </c:pt>
                <c:pt idx="13">
                  <c:v>60</c:v>
                </c:pt>
                <c:pt idx="14">
                  <c:v>65</c:v>
                </c:pt>
                <c:pt idx="15">
                  <c:v>70</c:v>
                </c:pt>
                <c:pt idx="16">
                  <c:v>75</c:v>
                </c:pt>
                <c:pt idx="17">
                  <c:v>80</c:v>
                </c:pt>
                <c:pt idx="18">
                  <c:v>85</c:v>
                </c:pt>
                <c:pt idx="19">
                  <c:v>90</c:v>
                </c:pt>
                <c:pt idx="20">
                  <c:v>95</c:v>
                </c:pt>
                <c:pt idx="21">
                  <c:v>100</c:v>
                </c:pt>
                <c:pt idx="22">
                  <c:v>105</c:v>
                </c:pt>
                <c:pt idx="23">
                  <c:v>110</c:v>
                </c:pt>
                <c:pt idx="24">
                  <c:v>115</c:v>
                </c:pt>
                <c:pt idx="25">
                  <c:v>120</c:v>
                </c:pt>
                <c:pt idx="26">
                  <c:v>125</c:v>
                </c:pt>
                <c:pt idx="27">
                  <c:v>130</c:v>
                </c:pt>
                <c:pt idx="28">
                  <c:v>135</c:v>
                </c:pt>
                <c:pt idx="29">
                  <c:v>140</c:v>
                </c:pt>
                <c:pt idx="30">
                  <c:v>145</c:v>
                </c:pt>
                <c:pt idx="31">
                  <c:v>150</c:v>
                </c:pt>
                <c:pt idx="32">
                  <c:v>155</c:v>
                </c:pt>
                <c:pt idx="33">
                  <c:v>160</c:v>
                </c:pt>
                <c:pt idx="34">
                  <c:v>165</c:v>
                </c:pt>
                <c:pt idx="35">
                  <c:v>170</c:v>
                </c:pt>
                <c:pt idx="36">
                  <c:v>175</c:v>
                </c:pt>
                <c:pt idx="37">
                  <c:v>180</c:v>
                </c:pt>
                <c:pt idx="38">
                  <c:v>185</c:v>
                </c:pt>
                <c:pt idx="39">
                  <c:v>190</c:v>
                </c:pt>
              </c:numCache>
            </c:numRef>
          </c:cat>
          <c:val>
            <c:numRef>
              <c:f>Sheet6!$M$80:$M$119</c:f>
              <c:numCache>
                <c:formatCode>_(* #,##0.00_);_(* \(#,##0.00\);_(* "-"??_);_(@_)</c:formatCode>
                <c:ptCount val="40"/>
                <c:pt idx="0">
                  <c:v>0</c:v>
                </c:pt>
                <c:pt idx="1">
                  <c:v>2.9070103145781848E-2</c:v>
                </c:pt>
                <c:pt idx="2">
                  <c:v>2.8645686101203591E-2</c:v>
                </c:pt>
                <c:pt idx="3">
                  <c:v>7.3559852675789766E-2</c:v>
                </c:pt>
                <c:pt idx="4">
                  <c:v>0.10088592754647574</c:v>
                </c:pt>
                <c:pt idx="5">
                  <c:v>7.3552717388761554E-2</c:v>
                </c:pt>
                <c:pt idx="6">
                  <c:v>8.8983777271466349E-2</c:v>
                </c:pt>
                <c:pt idx="7">
                  <c:v>0.11763039474460962</c:v>
                </c:pt>
                <c:pt idx="8">
                  <c:v>0.13245344830984251</c:v>
                </c:pt>
                <c:pt idx="9">
                  <c:v>0.16769752757133144</c:v>
                </c:pt>
                <c:pt idx="10">
                  <c:v>0.20562941806833479</c:v>
                </c:pt>
                <c:pt idx="11">
                  <c:v>0.22312244422037042</c:v>
                </c:pt>
                <c:pt idx="12">
                  <c:v>0.27843769236376564</c:v>
                </c:pt>
                <c:pt idx="13">
                  <c:v>0.30744009835825253</c:v>
                </c:pt>
                <c:pt idx="14">
                  <c:v>0.31656907458393485</c:v>
                </c:pt>
                <c:pt idx="15">
                  <c:v>0.36720955563500135</c:v>
                </c:pt>
                <c:pt idx="16">
                  <c:v>0.42068078133381553</c:v>
                </c:pt>
                <c:pt idx="17">
                  <c:v>0.47932747104156037</c:v>
                </c:pt>
                <c:pt idx="18">
                  <c:v>0.48754219492890172</c:v>
                </c:pt>
                <c:pt idx="19">
                  <c:v>0.56688860946940767</c:v>
                </c:pt>
                <c:pt idx="20">
                  <c:v>0.55577987432293874</c:v>
                </c:pt>
                <c:pt idx="21">
                  <c:v>0.63868443946420073</c:v>
                </c:pt>
                <c:pt idx="22">
                  <c:v>0.65926620980073269</c:v>
                </c:pt>
                <c:pt idx="23">
                  <c:v>0.70622245867858668</c:v>
                </c:pt>
                <c:pt idx="24">
                  <c:v>0.73610900343479779</c:v>
                </c:pt>
                <c:pt idx="25">
                  <c:v>0.77370785294438793</c:v>
                </c:pt>
                <c:pt idx="26">
                  <c:v>0.82472838627867517</c:v>
                </c:pt>
                <c:pt idx="27">
                  <c:v>0.88565117670494864</c:v>
                </c:pt>
                <c:pt idx="28">
                  <c:v>0.85710985702682707</c:v>
                </c:pt>
                <c:pt idx="29">
                  <c:v>0.83813032628555395</c:v>
                </c:pt>
                <c:pt idx="30">
                  <c:v>0.87772551750519689</c:v>
                </c:pt>
                <c:pt idx="31">
                  <c:v>0.90226853688140729</c:v>
                </c:pt>
                <c:pt idx="32">
                  <c:v>0.89956188108667468</c:v>
                </c:pt>
                <c:pt idx="33">
                  <c:v>0.84678840950002554</c:v>
                </c:pt>
                <c:pt idx="34">
                  <c:v>0.96547666217471095</c:v>
                </c:pt>
                <c:pt idx="35">
                  <c:v>0.81336047713028137</c:v>
                </c:pt>
                <c:pt idx="36">
                  <c:v>0.96278221339685166</c:v>
                </c:pt>
                <c:pt idx="37">
                  <c:v>0.93717231377813703</c:v>
                </c:pt>
                <c:pt idx="38">
                  <c:v>1</c:v>
                </c:pt>
                <c:pt idx="39">
                  <c:v>0.84230486116810199</c:v>
                </c:pt>
              </c:numCache>
            </c:numRef>
          </c:val>
          <c:smooth val="0"/>
        </c:ser>
        <c:dLbls>
          <c:showLegendKey val="0"/>
          <c:showVal val="0"/>
          <c:showCatName val="0"/>
          <c:showSerName val="0"/>
          <c:showPercent val="0"/>
          <c:showBubbleSize val="0"/>
        </c:dLbls>
        <c:marker val="1"/>
        <c:smooth val="0"/>
        <c:axId val="65083264"/>
        <c:axId val="65084800"/>
      </c:lineChart>
      <c:catAx>
        <c:axId val="65083264"/>
        <c:scaling>
          <c:orientation val="minMax"/>
        </c:scaling>
        <c:delete val="0"/>
        <c:axPos val="b"/>
        <c:numFmt formatCode="General" sourceLinked="1"/>
        <c:majorTickMark val="out"/>
        <c:minorTickMark val="none"/>
        <c:tickLblPos val="nextTo"/>
        <c:crossAx val="65084800"/>
        <c:crosses val="autoZero"/>
        <c:auto val="1"/>
        <c:lblAlgn val="ctr"/>
        <c:lblOffset val="100"/>
        <c:tickLblSkip val="4"/>
        <c:tickMarkSkip val="4"/>
        <c:noMultiLvlLbl val="0"/>
      </c:catAx>
      <c:valAx>
        <c:axId val="65084800"/>
        <c:scaling>
          <c:orientation val="minMax"/>
          <c:max val="1"/>
          <c:min val="0"/>
        </c:scaling>
        <c:delete val="0"/>
        <c:axPos val="l"/>
        <c:numFmt formatCode="_(* #,##0.00_);_(* \(#,##0.00\);_(* &quot;-&quot;??_);_(@_)" sourceLinked="1"/>
        <c:majorTickMark val="out"/>
        <c:minorTickMark val="none"/>
        <c:tickLblPos val="nextTo"/>
        <c:crossAx val="65083264"/>
        <c:crosses val="autoZero"/>
        <c:crossBetween val="midCat"/>
      </c:valAx>
    </c:plotArea>
    <c:legend>
      <c:legendPos val="r"/>
      <c:layout/>
      <c:overlay val="0"/>
    </c:legend>
    <c:plotVisOnly val="1"/>
    <c:dispBlanksAs val="gap"/>
    <c:showDLblsOverMax val="0"/>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Sheet6!$J$79</c:f>
              <c:strCache>
                <c:ptCount val="1"/>
                <c:pt idx="0">
                  <c:v>140</c:v>
                </c:pt>
              </c:strCache>
            </c:strRef>
          </c:tx>
          <c:marker>
            <c:symbol val="none"/>
          </c:marker>
          <c:cat>
            <c:numRef>
              <c:f>Sheet6!$A$80:$A$119</c:f>
              <c:numCache>
                <c:formatCode>General</c:formatCode>
                <c:ptCount val="40"/>
                <c:pt idx="0">
                  <c:v>-5</c:v>
                </c:pt>
                <c:pt idx="1">
                  <c:v>0</c:v>
                </c:pt>
                <c:pt idx="2">
                  <c:v>5</c:v>
                </c:pt>
                <c:pt idx="3">
                  <c:v>10</c:v>
                </c:pt>
                <c:pt idx="4">
                  <c:v>15</c:v>
                </c:pt>
                <c:pt idx="5">
                  <c:v>20</c:v>
                </c:pt>
                <c:pt idx="6">
                  <c:v>25</c:v>
                </c:pt>
                <c:pt idx="7">
                  <c:v>30</c:v>
                </c:pt>
                <c:pt idx="8">
                  <c:v>35</c:v>
                </c:pt>
                <c:pt idx="9">
                  <c:v>40</c:v>
                </c:pt>
                <c:pt idx="10">
                  <c:v>45</c:v>
                </c:pt>
                <c:pt idx="11">
                  <c:v>50</c:v>
                </c:pt>
                <c:pt idx="12">
                  <c:v>55</c:v>
                </c:pt>
                <c:pt idx="13">
                  <c:v>60</c:v>
                </c:pt>
                <c:pt idx="14">
                  <c:v>65</c:v>
                </c:pt>
                <c:pt idx="15">
                  <c:v>70</c:v>
                </c:pt>
                <c:pt idx="16">
                  <c:v>75</c:v>
                </c:pt>
                <c:pt idx="17">
                  <c:v>80</c:v>
                </c:pt>
                <c:pt idx="18">
                  <c:v>85</c:v>
                </c:pt>
                <c:pt idx="19">
                  <c:v>90</c:v>
                </c:pt>
                <c:pt idx="20">
                  <c:v>95</c:v>
                </c:pt>
                <c:pt idx="21">
                  <c:v>100</c:v>
                </c:pt>
                <c:pt idx="22">
                  <c:v>105</c:v>
                </c:pt>
                <c:pt idx="23">
                  <c:v>110</c:v>
                </c:pt>
                <c:pt idx="24">
                  <c:v>115</c:v>
                </c:pt>
                <c:pt idx="25">
                  <c:v>120</c:v>
                </c:pt>
                <c:pt idx="26">
                  <c:v>125</c:v>
                </c:pt>
                <c:pt idx="27">
                  <c:v>130</c:v>
                </c:pt>
                <c:pt idx="28">
                  <c:v>135</c:v>
                </c:pt>
                <c:pt idx="29">
                  <c:v>140</c:v>
                </c:pt>
                <c:pt idx="30">
                  <c:v>145</c:v>
                </c:pt>
                <c:pt idx="31">
                  <c:v>150</c:v>
                </c:pt>
                <c:pt idx="32">
                  <c:v>155</c:v>
                </c:pt>
                <c:pt idx="33">
                  <c:v>160</c:v>
                </c:pt>
                <c:pt idx="34">
                  <c:v>165</c:v>
                </c:pt>
                <c:pt idx="35">
                  <c:v>170</c:v>
                </c:pt>
                <c:pt idx="36">
                  <c:v>175</c:v>
                </c:pt>
                <c:pt idx="37">
                  <c:v>180</c:v>
                </c:pt>
                <c:pt idx="38">
                  <c:v>185</c:v>
                </c:pt>
                <c:pt idx="39">
                  <c:v>190</c:v>
                </c:pt>
              </c:numCache>
            </c:numRef>
          </c:cat>
          <c:val>
            <c:numRef>
              <c:f>Sheet6!$J$82:$J$122</c:f>
              <c:numCache>
                <c:formatCode>_(* #,##0.00_);_(* \(#,##0.00\);_(* "-"??_);_(@_)</c:formatCode>
                <c:ptCount val="41"/>
                <c:pt idx="0">
                  <c:v>2.6976192701327749E-2</c:v>
                </c:pt>
                <c:pt idx="1">
                  <c:v>6.4283919198370093E-2</c:v>
                </c:pt>
                <c:pt idx="2">
                  <c:v>6.4127454853031118E-2</c:v>
                </c:pt>
                <c:pt idx="3">
                  <c:v>8.8155288876678034E-2</c:v>
                </c:pt>
                <c:pt idx="4">
                  <c:v>8.9519577362371497E-2</c:v>
                </c:pt>
                <c:pt idx="5">
                  <c:v>9.296431014258702E-2</c:v>
                </c:pt>
                <c:pt idx="6">
                  <c:v>0.12704991686108544</c:v>
                </c:pt>
                <c:pt idx="7">
                  <c:v>0.13854541572045354</c:v>
                </c:pt>
                <c:pt idx="8">
                  <c:v>0.17365825380636898</c:v>
                </c:pt>
                <c:pt idx="9">
                  <c:v>0.16521897582603409</c:v>
                </c:pt>
                <c:pt idx="10">
                  <c:v>0.21222114187956639</c:v>
                </c:pt>
                <c:pt idx="11">
                  <c:v>0.21227697939300741</c:v>
                </c:pt>
                <c:pt idx="12">
                  <c:v>0.27428550241399857</c:v>
                </c:pt>
                <c:pt idx="13">
                  <c:v>0.28180008369874798</c:v>
                </c:pt>
                <c:pt idx="14">
                  <c:v>0.34461513330854887</c:v>
                </c:pt>
                <c:pt idx="15">
                  <c:v>0.37186858340510004</c:v>
                </c:pt>
                <c:pt idx="16">
                  <c:v>0.39468275285108956</c:v>
                </c:pt>
                <c:pt idx="17">
                  <c:v>0.43433224226287492</c:v>
                </c:pt>
                <c:pt idx="18">
                  <c:v>0.49064362807219292</c:v>
                </c:pt>
                <c:pt idx="19">
                  <c:v>0.56385977826075273</c:v>
                </c:pt>
                <c:pt idx="20">
                  <c:v>0.55087054069939312</c:v>
                </c:pt>
                <c:pt idx="21">
                  <c:v>0.5982840197066408</c:v>
                </c:pt>
                <c:pt idx="22">
                  <c:v>0.65828529751100573</c:v>
                </c:pt>
                <c:pt idx="23">
                  <c:v>0.62990700827657586</c:v>
                </c:pt>
                <c:pt idx="24">
                  <c:v>0.72083578843392249</c:v>
                </c:pt>
                <c:pt idx="25">
                  <c:v>0.6955706393650557</c:v>
                </c:pt>
                <c:pt idx="26">
                  <c:v>0.74187581213225862</c:v>
                </c:pt>
                <c:pt idx="27">
                  <c:v>0.78557001113167169</c:v>
                </c:pt>
                <c:pt idx="28">
                  <c:v>0.8162994689573263</c:v>
                </c:pt>
                <c:pt idx="29">
                  <c:v>0.81606025005867189</c:v>
                </c:pt>
                <c:pt idx="30">
                  <c:v>0.84293199218767467</c:v>
                </c:pt>
                <c:pt idx="31">
                  <c:v>0.85843876406752262</c:v>
                </c:pt>
                <c:pt idx="32">
                  <c:v>0.88874798332956562</c:v>
                </c:pt>
                <c:pt idx="33">
                  <c:v>0.83239132624137646</c:v>
                </c:pt>
                <c:pt idx="34">
                  <c:v>1</c:v>
                </c:pt>
                <c:pt idx="35">
                  <c:v>0.90530631475594503</c:v>
                </c:pt>
                <c:pt idx="36">
                  <c:v>0.85049397966348894</c:v>
                </c:pt>
                <c:pt idx="37">
                  <c:v>0.78904676763766612</c:v>
                </c:pt>
              </c:numCache>
            </c:numRef>
          </c:val>
          <c:smooth val="0"/>
        </c:ser>
        <c:ser>
          <c:idx val="1"/>
          <c:order val="1"/>
          <c:tx>
            <c:strRef>
              <c:f>Sheet6!$M$79</c:f>
              <c:strCache>
                <c:ptCount val="1"/>
                <c:pt idx="0">
                  <c:v>170</c:v>
                </c:pt>
              </c:strCache>
            </c:strRef>
          </c:tx>
          <c:marker>
            <c:symbol val="none"/>
          </c:marker>
          <c:cat>
            <c:numRef>
              <c:f>Sheet6!$A$80:$A$119</c:f>
              <c:numCache>
                <c:formatCode>General</c:formatCode>
                <c:ptCount val="40"/>
                <c:pt idx="0">
                  <c:v>-5</c:v>
                </c:pt>
                <c:pt idx="1">
                  <c:v>0</c:v>
                </c:pt>
                <c:pt idx="2">
                  <c:v>5</c:v>
                </c:pt>
                <c:pt idx="3">
                  <c:v>10</c:v>
                </c:pt>
                <c:pt idx="4">
                  <c:v>15</c:v>
                </c:pt>
                <c:pt idx="5">
                  <c:v>20</c:v>
                </c:pt>
                <c:pt idx="6">
                  <c:v>25</c:v>
                </c:pt>
                <c:pt idx="7">
                  <c:v>30</c:v>
                </c:pt>
                <c:pt idx="8">
                  <c:v>35</c:v>
                </c:pt>
                <c:pt idx="9">
                  <c:v>40</c:v>
                </c:pt>
                <c:pt idx="10">
                  <c:v>45</c:v>
                </c:pt>
                <c:pt idx="11">
                  <c:v>50</c:v>
                </c:pt>
                <c:pt idx="12">
                  <c:v>55</c:v>
                </c:pt>
                <c:pt idx="13">
                  <c:v>60</c:v>
                </c:pt>
                <c:pt idx="14">
                  <c:v>65</c:v>
                </c:pt>
                <c:pt idx="15">
                  <c:v>70</c:v>
                </c:pt>
                <c:pt idx="16">
                  <c:v>75</c:v>
                </c:pt>
                <c:pt idx="17">
                  <c:v>80</c:v>
                </c:pt>
                <c:pt idx="18">
                  <c:v>85</c:v>
                </c:pt>
                <c:pt idx="19">
                  <c:v>90</c:v>
                </c:pt>
                <c:pt idx="20">
                  <c:v>95</c:v>
                </c:pt>
                <c:pt idx="21">
                  <c:v>100</c:v>
                </c:pt>
                <c:pt idx="22">
                  <c:v>105</c:v>
                </c:pt>
                <c:pt idx="23">
                  <c:v>110</c:v>
                </c:pt>
                <c:pt idx="24">
                  <c:v>115</c:v>
                </c:pt>
                <c:pt idx="25">
                  <c:v>120</c:v>
                </c:pt>
                <c:pt idx="26">
                  <c:v>125</c:v>
                </c:pt>
                <c:pt idx="27">
                  <c:v>130</c:v>
                </c:pt>
                <c:pt idx="28">
                  <c:v>135</c:v>
                </c:pt>
                <c:pt idx="29">
                  <c:v>140</c:v>
                </c:pt>
                <c:pt idx="30">
                  <c:v>145</c:v>
                </c:pt>
                <c:pt idx="31">
                  <c:v>150</c:v>
                </c:pt>
                <c:pt idx="32">
                  <c:v>155</c:v>
                </c:pt>
                <c:pt idx="33">
                  <c:v>160</c:v>
                </c:pt>
                <c:pt idx="34">
                  <c:v>165</c:v>
                </c:pt>
                <c:pt idx="35">
                  <c:v>170</c:v>
                </c:pt>
                <c:pt idx="36">
                  <c:v>175</c:v>
                </c:pt>
                <c:pt idx="37">
                  <c:v>180</c:v>
                </c:pt>
                <c:pt idx="38">
                  <c:v>185</c:v>
                </c:pt>
                <c:pt idx="39">
                  <c:v>190</c:v>
                </c:pt>
              </c:numCache>
            </c:numRef>
          </c:cat>
          <c:val>
            <c:numRef>
              <c:f>Sheet6!$M$80:$M$119</c:f>
              <c:numCache>
                <c:formatCode>_(* #,##0.00_);_(* \(#,##0.00\);_(* "-"??_);_(@_)</c:formatCode>
                <c:ptCount val="40"/>
                <c:pt idx="0">
                  <c:v>0</c:v>
                </c:pt>
                <c:pt idx="1">
                  <c:v>2.9070103145781848E-2</c:v>
                </c:pt>
                <c:pt idx="2">
                  <c:v>2.8645686101203591E-2</c:v>
                </c:pt>
                <c:pt idx="3">
                  <c:v>7.3559852675789766E-2</c:v>
                </c:pt>
                <c:pt idx="4">
                  <c:v>0.10088592754647574</c:v>
                </c:pt>
                <c:pt idx="5">
                  <c:v>7.3552717388761554E-2</c:v>
                </c:pt>
                <c:pt idx="6">
                  <c:v>8.8983777271466349E-2</c:v>
                </c:pt>
                <c:pt idx="7">
                  <c:v>0.11763039474460962</c:v>
                </c:pt>
                <c:pt idx="8">
                  <c:v>0.13245344830984251</c:v>
                </c:pt>
                <c:pt idx="9">
                  <c:v>0.16769752757133144</c:v>
                </c:pt>
                <c:pt idx="10">
                  <c:v>0.20562941806833479</c:v>
                </c:pt>
                <c:pt idx="11">
                  <c:v>0.22312244422037042</c:v>
                </c:pt>
                <c:pt idx="12">
                  <c:v>0.27843769236376564</c:v>
                </c:pt>
                <c:pt idx="13">
                  <c:v>0.30744009835825253</c:v>
                </c:pt>
                <c:pt idx="14">
                  <c:v>0.31656907458393485</c:v>
                </c:pt>
                <c:pt idx="15">
                  <c:v>0.36720955563500135</c:v>
                </c:pt>
                <c:pt idx="16">
                  <c:v>0.42068078133381553</c:v>
                </c:pt>
                <c:pt idx="17">
                  <c:v>0.47932747104156037</c:v>
                </c:pt>
                <c:pt idx="18">
                  <c:v>0.48754219492890172</c:v>
                </c:pt>
                <c:pt idx="19">
                  <c:v>0.56688860946940767</c:v>
                </c:pt>
                <c:pt idx="20">
                  <c:v>0.55577987432293874</c:v>
                </c:pt>
                <c:pt idx="21">
                  <c:v>0.63868443946420073</c:v>
                </c:pt>
                <c:pt idx="22">
                  <c:v>0.65926620980073269</c:v>
                </c:pt>
                <c:pt idx="23">
                  <c:v>0.70622245867858668</c:v>
                </c:pt>
                <c:pt idx="24">
                  <c:v>0.73610900343479779</c:v>
                </c:pt>
                <c:pt idx="25">
                  <c:v>0.77370785294438793</c:v>
                </c:pt>
                <c:pt idx="26">
                  <c:v>0.82472838627867517</c:v>
                </c:pt>
                <c:pt idx="27">
                  <c:v>0.88565117670494864</c:v>
                </c:pt>
                <c:pt idx="28">
                  <c:v>0.85710985702682707</c:v>
                </c:pt>
                <c:pt idx="29">
                  <c:v>0.83813032628555395</c:v>
                </c:pt>
                <c:pt idx="30">
                  <c:v>0.87772551750519689</c:v>
                </c:pt>
                <c:pt idx="31">
                  <c:v>0.90226853688140729</c:v>
                </c:pt>
                <c:pt idx="32">
                  <c:v>0.89956188108667468</c:v>
                </c:pt>
                <c:pt idx="33">
                  <c:v>0.84678840950002554</c:v>
                </c:pt>
                <c:pt idx="34">
                  <c:v>0.96547666217471095</c:v>
                </c:pt>
                <c:pt idx="35">
                  <c:v>0.81336047713028137</c:v>
                </c:pt>
                <c:pt idx="36">
                  <c:v>0.96278221339685166</c:v>
                </c:pt>
                <c:pt idx="37">
                  <c:v>0.93717231377813703</c:v>
                </c:pt>
                <c:pt idx="38">
                  <c:v>1</c:v>
                </c:pt>
                <c:pt idx="39">
                  <c:v>0.84230486116810199</c:v>
                </c:pt>
              </c:numCache>
            </c:numRef>
          </c:val>
          <c:smooth val="0"/>
        </c:ser>
        <c:dLbls>
          <c:showLegendKey val="0"/>
          <c:showVal val="0"/>
          <c:showCatName val="0"/>
          <c:showSerName val="0"/>
          <c:showPercent val="0"/>
          <c:showBubbleSize val="0"/>
        </c:dLbls>
        <c:marker val="1"/>
        <c:smooth val="0"/>
        <c:axId val="70230400"/>
        <c:axId val="70231936"/>
      </c:lineChart>
      <c:catAx>
        <c:axId val="70230400"/>
        <c:scaling>
          <c:orientation val="minMax"/>
        </c:scaling>
        <c:delete val="0"/>
        <c:axPos val="b"/>
        <c:numFmt formatCode="General" sourceLinked="1"/>
        <c:majorTickMark val="out"/>
        <c:minorTickMark val="none"/>
        <c:tickLblPos val="nextTo"/>
        <c:crossAx val="70231936"/>
        <c:crosses val="autoZero"/>
        <c:auto val="1"/>
        <c:lblAlgn val="ctr"/>
        <c:lblOffset val="100"/>
        <c:tickLblSkip val="4"/>
        <c:tickMarkSkip val="4"/>
        <c:noMultiLvlLbl val="0"/>
      </c:catAx>
      <c:valAx>
        <c:axId val="70231936"/>
        <c:scaling>
          <c:orientation val="minMax"/>
          <c:max val="1"/>
          <c:min val="0"/>
        </c:scaling>
        <c:delete val="0"/>
        <c:axPos val="l"/>
        <c:numFmt formatCode="_(* #,##0.00_);_(* \(#,##0.00\);_(* &quot;-&quot;??_);_(@_)" sourceLinked="1"/>
        <c:majorTickMark val="out"/>
        <c:minorTickMark val="none"/>
        <c:tickLblPos val="nextTo"/>
        <c:crossAx val="70230400"/>
        <c:crosses val="autoZero"/>
        <c:crossBetween val="midCat"/>
      </c:valAx>
    </c:plotArea>
    <c:legend>
      <c:legendPos val="r"/>
      <c:layout/>
      <c:overlay val="0"/>
    </c:legend>
    <c:plotVisOnly val="1"/>
    <c:dispBlanksAs val="gap"/>
    <c:showDLblsOverMax val="0"/>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Sheet6!$K$79</c:f>
              <c:strCache>
                <c:ptCount val="1"/>
                <c:pt idx="0">
                  <c:v>150</c:v>
                </c:pt>
              </c:strCache>
            </c:strRef>
          </c:tx>
          <c:marker>
            <c:symbol val="none"/>
          </c:marker>
          <c:cat>
            <c:numRef>
              <c:f>Sheet6!$A$80:$A$119</c:f>
              <c:numCache>
                <c:formatCode>General</c:formatCode>
                <c:ptCount val="40"/>
                <c:pt idx="0">
                  <c:v>-5</c:v>
                </c:pt>
                <c:pt idx="1">
                  <c:v>0</c:v>
                </c:pt>
                <c:pt idx="2">
                  <c:v>5</c:v>
                </c:pt>
                <c:pt idx="3">
                  <c:v>10</c:v>
                </c:pt>
                <c:pt idx="4">
                  <c:v>15</c:v>
                </c:pt>
                <c:pt idx="5">
                  <c:v>20</c:v>
                </c:pt>
                <c:pt idx="6">
                  <c:v>25</c:v>
                </c:pt>
                <c:pt idx="7">
                  <c:v>30</c:v>
                </c:pt>
                <c:pt idx="8">
                  <c:v>35</c:v>
                </c:pt>
                <c:pt idx="9">
                  <c:v>40</c:v>
                </c:pt>
                <c:pt idx="10">
                  <c:v>45</c:v>
                </c:pt>
                <c:pt idx="11">
                  <c:v>50</c:v>
                </c:pt>
                <c:pt idx="12">
                  <c:v>55</c:v>
                </c:pt>
                <c:pt idx="13">
                  <c:v>60</c:v>
                </c:pt>
                <c:pt idx="14">
                  <c:v>65</c:v>
                </c:pt>
                <c:pt idx="15">
                  <c:v>70</c:v>
                </c:pt>
                <c:pt idx="16">
                  <c:v>75</c:v>
                </c:pt>
                <c:pt idx="17">
                  <c:v>80</c:v>
                </c:pt>
                <c:pt idx="18">
                  <c:v>85</c:v>
                </c:pt>
                <c:pt idx="19">
                  <c:v>90</c:v>
                </c:pt>
                <c:pt idx="20">
                  <c:v>95</c:v>
                </c:pt>
                <c:pt idx="21">
                  <c:v>100</c:v>
                </c:pt>
                <c:pt idx="22">
                  <c:v>105</c:v>
                </c:pt>
                <c:pt idx="23">
                  <c:v>110</c:v>
                </c:pt>
                <c:pt idx="24">
                  <c:v>115</c:v>
                </c:pt>
                <c:pt idx="25">
                  <c:v>120</c:v>
                </c:pt>
                <c:pt idx="26">
                  <c:v>125</c:v>
                </c:pt>
                <c:pt idx="27">
                  <c:v>130</c:v>
                </c:pt>
                <c:pt idx="28">
                  <c:v>135</c:v>
                </c:pt>
                <c:pt idx="29">
                  <c:v>140</c:v>
                </c:pt>
                <c:pt idx="30">
                  <c:v>145</c:v>
                </c:pt>
                <c:pt idx="31">
                  <c:v>150</c:v>
                </c:pt>
                <c:pt idx="32">
                  <c:v>155</c:v>
                </c:pt>
                <c:pt idx="33">
                  <c:v>160</c:v>
                </c:pt>
                <c:pt idx="34">
                  <c:v>165</c:v>
                </c:pt>
                <c:pt idx="35">
                  <c:v>170</c:v>
                </c:pt>
                <c:pt idx="36">
                  <c:v>175</c:v>
                </c:pt>
                <c:pt idx="37">
                  <c:v>180</c:v>
                </c:pt>
                <c:pt idx="38">
                  <c:v>185</c:v>
                </c:pt>
                <c:pt idx="39">
                  <c:v>190</c:v>
                </c:pt>
              </c:numCache>
            </c:numRef>
          </c:cat>
          <c:val>
            <c:numRef>
              <c:f>Sheet6!$K$81:$K$121</c:f>
              <c:numCache>
                <c:formatCode>_(* #,##0.00_);_(* \(#,##0.00\);_(* "-"??_);_(@_)</c:formatCode>
                <c:ptCount val="41"/>
                <c:pt idx="0">
                  <c:v>0</c:v>
                </c:pt>
                <c:pt idx="1">
                  <c:v>2.9619809919616446E-2</c:v>
                </c:pt>
                <c:pt idx="2">
                  <c:v>3.7712211118995274E-2</c:v>
                </c:pt>
                <c:pt idx="3">
                  <c:v>4.4756396522423678E-2</c:v>
                </c:pt>
                <c:pt idx="4">
                  <c:v>0.10488255742752078</c:v>
                </c:pt>
                <c:pt idx="5">
                  <c:v>6.8717339054082102E-2</c:v>
                </c:pt>
                <c:pt idx="6">
                  <c:v>7.4174388618422391E-2</c:v>
                </c:pt>
                <c:pt idx="7">
                  <c:v>0.1457291171276987</c:v>
                </c:pt>
                <c:pt idx="8">
                  <c:v>0.11530977514276279</c:v>
                </c:pt>
                <c:pt idx="9">
                  <c:v>0.15143882359012689</c:v>
                </c:pt>
                <c:pt idx="10">
                  <c:v>0.19393231118057214</c:v>
                </c:pt>
                <c:pt idx="11">
                  <c:v>0.21659490491715019</c:v>
                </c:pt>
                <c:pt idx="12">
                  <c:v>0.22935290349281395</c:v>
                </c:pt>
                <c:pt idx="13">
                  <c:v>0.28247201977162212</c:v>
                </c:pt>
                <c:pt idx="14">
                  <c:v>0.3210855208780416</c:v>
                </c:pt>
                <c:pt idx="15">
                  <c:v>0.34059589145453334</c:v>
                </c:pt>
                <c:pt idx="16">
                  <c:v>0.42864659264468596</c:v>
                </c:pt>
                <c:pt idx="17">
                  <c:v>0.4011314251898222</c:v>
                </c:pt>
                <c:pt idx="18">
                  <c:v>0.46960799427114469</c:v>
                </c:pt>
                <c:pt idx="19">
                  <c:v>0.50919286154189136</c:v>
                </c:pt>
                <c:pt idx="20">
                  <c:v>0.56135754248868197</c:v>
                </c:pt>
                <c:pt idx="21">
                  <c:v>0.62563063390982643</c:v>
                </c:pt>
                <c:pt idx="22">
                  <c:v>0.67635076704702324</c:v>
                </c:pt>
                <c:pt idx="23">
                  <c:v>0.72152562094927497</c:v>
                </c:pt>
                <c:pt idx="24">
                  <c:v>0.6553623303099767</c:v>
                </c:pt>
                <c:pt idx="25">
                  <c:v>0.79732353938000955</c:v>
                </c:pt>
                <c:pt idx="26">
                  <c:v>0.79376422362462462</c:v>
                </c:pt>
                <c:pt idx="27">
                  <c:v>0.77558022934781157</c:v>
                </c:pt>
                <c:pt idx="28">
                  <c:v>0.85481223794828798</c:v>
                </c:pt>
                <c:pt idx="29">
                  <c:v>0.84264939349923496</c:v>
                </c:pt>
                <c:pt idx="30">
                  <c:v>0.90463977102977056</c:v>
                </c:pt>
                <c:pt idx="31">
                  <c:v>0.87008501286151774</c:v>
                </c:pt>
                <c:pt idx="32">
                  <c:v>0.90829947084121998</c:v>
                </c:pt>
                <c:pt idx="33">
                  <c:v>1</c:v>
                </c:pt>
                <c:pt idx="34">
                  <c:v>0.94382635183791452</c:v>
                </c:pt>
                <c:pt idx="35">
                  <c:v>0.8926781691939818</c:v>
                </c:pt>
                <c:pt idx="36">
                  <c:v>0.85993702007397954</c:v>
                </c:pt>
                <c:pt idx="37">
                  <c:v>0.93712783815373046</c:v>
                </c:pt>
                <c:pt idx="38">
                  <c:v>0.92563690525209219</c:v>
                </c:pt>
              </c:numCache>
            </c:numRef>
          </c:val>
          <c:smooth val="0"/>
        </c:ser>
        <c:ser>
          <c:idx val="1"/>
          <c:order val="1"/>
          <c:tx>
            <c:strRef>
              <c:f>Sheet6!$M$79</c:f>
              <c:strCache>
                <c:ptCount val="1"/>
                <c:pt idx="0">
                  <c:v>170</c:v>
                </c:pt>
              </c:strCache>
            </c:strRef>
          </c:tx>
          <c:marker>
            <c:symbol val="none"/>
          </c:marker>
          <c:cat>
            <c:numRef>
              <c:f>Sheet6!$A$80:$A$119</c:f>
              <c:numCache>
                <c:formatCode>General</c:formatCode>
                <c:ptCount val="40"/>
                <c:pt idx="0">
                  <c:v>-5</c:v>
                </c:pt>
                <c:pt idx="1">
                  <c:v>0</c:v>
                </c:pt>
                <c:pt idx="2">
                  <c:v>5</c:v>
                </c:pt>
                <c:pt idx="3">
                  <c:v>10</c:v>
                </c:pt>
                <c:pt idx="4">
                  <c:v>15</c:v>
                </c:pt>
                <c:pt idx="5">
                  <c:v>20</c:v>
                </c:pt>
                <c:pt idx="6">
                  <c:v>25</c:v>
                </c:pt>
                <c:pt idx="7">
                  <c:v>30</c:v>
                </c:pt>
                <c:pt idx="8">
                  <c:v>35</c:v>
                </c:pt>
                <c:pt idx="9">
                  <c:v>40</c:v>
                </c:pt>
                <c:pt idx="10">
                  <c:v>45</c:v>
                </c:pt>
                <c:pt idx="11">
                  <c:v>50</c:v>
                </c:pt>
                <c:pt idx="12">
                  <c:v>55</c:v>
                </c:pt>
                <c:pt idx="13">
                  <c:v>60</c:v>
                </c:pt>
                <c:pt idx="14">
                  <c:v>65</c:v>
                </c:pt>
                <c:pt idx="15">
                  <c:v>70</c:v>
                </c:pt>
                <c:pt idx="16">
                  <c:v>75</c:v>
                </c:pt>
                <c:pt idx="17">
                  <c:v>80</c:v>
                </c:pt>
                <c:pt idx="18">
                  <c:v>85</c:v>
                </c:pt>
                <c:pt idx="19">
                  <c:v>90</c:v>
                </c:pt>
                <c:pt idx="20">
                  <c:v>95</c:v>
                </c:pt>
                <c:pt idx="21">
                  <c:v>100</c:v>
                </c:pt>
                <c:pt idx="22">
                  <c:v>105</c:v>
                </c:pt>
                <c:pt idx="23">
                  <c:v>110</c:v>
                </c:pt>
                <c:pt idx="24">
                  <c:v>115</c:v>
                </c:pt>
                <c:pt idx="25">
                  <c:v>120</c:v>
                </c:pt>
                <c:pt idx="26">
                  <c:v>125</c:v>
                </c:pt>
                <c:pt idx="27">
                  <c:v>130</c:v>
                </c:pt>
                <c:pt idx="28">
                  <c:v>135</c:v>
                </c:pt>
                <c:pt idx="29">
                  <c:v>140</c:v>
                </c:pt>
                <c:pt idx="30">
                  <c:v>145</c:v>
                </c:pt>
                <c:pt idx="31">
                  <c:v>150</c:v>
                </c:pt>
                <c:pt idx="32">
                  <c:v>155</c:v>
                </c:pt>
                <c:pt idx="33">
                  <c:v>160</c:v>
                </c:pt>
                <c:pt idx="34">
                  <c:v>165</c:v>
                </c:pt>
                <c:pt idx="35">
                  <c:v>170</c:v>
                </c:pt>
                <c:pt idx="36">
                  <c:v>175</c:v>
                </c:pt>
                <c:pt idx="37">
                  <c:v>180</c:v>
                </c:pt>
                <c:pt idx="38">
                  <c:v>185</c:v>
                </c:pt>
                <c:pt idx="39">
                  <c:v>190</c:v>
                </c:pt>
              </c:numCache>
            </c:numRef>
          </c:cat>
          <c:val>
            <c:numRef>
              <c:f>Sheet6!$M$80:$M$119</c:f>
              <c:numCache>
                <c:formatCode>_(* #,##0.00_);_(* \(#,##0.00\);_(* "-"??_);_(@_)</c:formatCode>
                <c:ptCount val="40"/>
                <c:pt idx="0">
                  <c:v>0</c:v>
                </c:pt>
                <c:pt idx="1">
                  <c:v>2.9070103145781848E-2</c:v>
                </c:pt>
                <c:pt idx="2">
                  <c:v>2.8645686101203591E-2</c:v>
                </c:pt>
                <c:pt idx="3">
                  <c:v>7.3559852675789766E-2</c:v>
                </c:pt>
                <c:pt idx="4">
                  <c:v>0.10088592754647574</c:v>
                </c:pt>
                <c:pt idx="5">
                  <c:v>7.3552717388761554E-2</c:v>
                </c:pt>
                <c:pt idx="6">
                  <c:v>8.8983777271466349E-2</c:v>
                </c:pt>
                <c:pt idx="7">
                  <c:v>0.11763039474460962</c:v>
                </c:pt>
                <c:pt idx="8">
                  <c:v>0.13245344830984251</c:v>
                </c:pt>
                <c:pt idx="9">
                  <c:v>0.16769752757133144</c:v>
                </c:pt>
                <c:pt idx="10">
                  <c:v>0.20562941806833479</c:v>
                </c:pt>
                <c:pt idx="11">
                  <c:v>0.22312244422037042</c:v>
                </c:pt>
                <c:pt idx="12">
                  <c:v>0.27843769236376564</c:v>
                </c:pt>
                <c:pt idx="13">
                  <c:v>0.30744009835825253</c:v>
                </c:pt>
                <c:pt idx="14">
                  <c:v>0.31656907458393485</c:v>
                </c:pt>
                <c:pt idx="15">
                  <c:v>0.36720955563500135</c:v>
                </c:pt>
                <c:pt idx="16">
                  <c:v>0.42068078133381553</c:v>
                </c:pt>
                <c:pt idx="17">
                  <c:v>0.47932747104156037</c:v>
                </c:pt>
                <c:pt idx="18">
                  <c:v>0.48754219492890172</c:v>
                </c:pt>
                <c:pt idx="19">
                  <c:v>0.56688860946940767</c:v>
                </c:pt>
                <c:pt idx="20">
                  <c:v>0.55577987432293874</c:v>
                </c:pt>
                <c:pt idx="21">
                  <c:v>0.63868443946420073</c:v>
                </c:pt>
                <c:pt idx="22">
                  <c:v>0.65926620980073269</c:v>
                </c:pt>
                <c:pt idx="23">
                  <c:v>0.70622245867858668</c:v>
                </c:pt>
                <c:pt idx="24">
                  <c:v>0.73610900343479779</c:v>
                </c:pt>
                <c:pt idx="25">
                  <c:v>0.77370785294438793</c:v>
                </c:pt>
                <c:pt idx="26">
                  <c:v>0.82472838627867517</c:v>
                </c:pt>
                <c:pt idx="27">
                  <c:v>0.88565117670494864</c:v>
                </c:pt>
                <c:pt idx="28">
                  <c:v>0.85710985702682707</c:v>
                </c:pt>
                <c:pt idx="29">
                  <c:v>0.83813032628555395</c:v>
                </c:pt>
                <c:pt idx="30">
                  <c:v>0.87772551750519689</c:v>
                </c:pt>
                <c:pt idx="31">
                  <c:v>0.90226853688140729</c:v>
                </c:pt>
                <c:pt idx="32">
                  <c:v>0.89956188108667468</c:v>
                </c:pt>
                <c:pt idx="33">
                  <c:v>0.84678840950002554</c:v>
                </c:pt>
                <c:pt idx="34">
                  <c:v>0.96547666217471095</c:v>
                </c:pt>
                <c:pt idx="35">
                  <c:v>0.81336047713028137</c:v>
                </c:pt>
                <c:pt idx="36">
                  <c:v>0.96278221339685166</c:v>
                </c:pt>
                <c:pt idx="37">
                  <c:v>0.93717231377813703</c:v>
                </c:pt>
                <c:pt idx="38">
                  <c:v>1</c:v>
                </c:pt>
                <c:pt idx="39">
                  <c:v>0.84230486116810199</c:v>
                </c:pt>
              </c:numCache>
            </c:numRef>
          </c:val>
          <c:smooth val="0"/>
        </c:ser>
        <c:dLbls>
          <c:showLegendKey val="0"/>
          <c:showVal val="0"/>
          <c:showCatName val="0"/>
          <c:showSerName val="0"/>
          <c:showPercent val="0"/>
          <c:showBubbleSize val="0"/>
        </c:dLbls>
        <c:marker val="1"/>
        <c:smooth val="0"/>
        <c:axId val="71961216"/>
        <c:axId val="71975296"/>
      </c:lineChart>
      <c:catAx>
        <c:axId val="71961216"/>
        <c:scaling>
          <c:orientation val="minMax"/>
        </c:scaling>
        <c:delete val="0"/>
        <c:axPos val="b"/>
        <c:numFmt formatCode="General" sourceLinked="1"/>
        <c:majorTickMark val="out"/>
        <c:minorTickMark val="none"/>
        <c:tickLblPos val="nextTo"/>
        <c:crossAx val="71975296"/>
        <c:crosses val="autoZero"/>
        <c:auto val="1"/>
        <c:lblAlgn val="ctr"/>
        <c:lblOffset val="100"/>
        <c:tickLblSkip val="4"/>
        <c:tickMarkSkip val="4"/>
        <c:noMultiLvlLbl val="0"/>
      </c:catAx>
      <c:valAx>
        <c:axId val="71975296"/>
        <c:scaling>
          <c:orientation val="minMax"/>
          <c:max val="1"/>
          <c:min val="0"/>
        </c:scaling>
        <c:delete val="0"/>
        <c:axPos val="l"/>
        <c:numFmt formatCode="_(* #,##0.00_);_(* \(#,##0.00\);_(* &quot;-&quot;??_);_(@_)" sourceLinked="1"/>
        <c:majorTickMark val="out"/>
        <c:minorTickMark val="none"/>
        <c:tickLblPos val="nextTo"/>
        <c:crossAx val="71961216"/>
        <c:crosses val="autoZero"/>
        <c:crossBetween val="midCat"/>
      </c:valAx>
    </c:plotArea>
    <c:legend>
      <c:legendPos val="r"/>
      <c:layout/>
      <c:overlay val="0"/>
    </c:legend>
    <c:plotVisOnly val="1"/>
    <c:dispBlanksAs val="gap"/>
    <c:showDLblsOverMax val="0"/>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Sheet6!$L$79</c:f>
              <c:strCache>
                <c:ptCount val="1"/>
                <c:pt idx="0">
                  <c:v>160</c:v>
                </c:pt>
              </c:strCache>
            </c:strRef>
          </c:tx>
          <c:marker>
            <c:symbol val="none"/>
          </c:marker>
          <c:cat>
            <c:numRef>
              <c:f>Sheet6!$A$80:$A$119</c:f>
              <c:numCache>
                <c:formatCode>General</c:formatCode>
                <c:ptCount val="40"/>
                <c:pt idx="0">
                  <c:v>-5</c:v>
                </c:pt>
                <c:pt idx="1">
                  <c:v>0</c:v>
                </c:pt>
                <c:pt idx="2">
                  <c:v>5</c:v>
                </c:pt>
                <c:pt idx="3">
                  <c:v>10</c:v>
                </c:pt>
                <c:pt idx="4">
                  <c:v>15</c:v>
                </c:pt>
                <c:pt idx="5">
                  <c:v>20</c:v>
                </c:pt>
                <c:pt idx="6">
                  <c:v>25</c:v>
                </c:pt>
                <c:pt idx="7">
                  <c:v>30</c:v>
                </c:pt>
                <c:pt idx="8">
                  <c:v>35</c:v>
                </c:pt>
                <c:pt idx="9">
                  <c:v>40</c:v>
                </c:pt>
                <c:pt idx="10">
                  <c:v>45</c:v>
                </c:pt>
                <c:pt idx="11">
                  <c:v>50</c:v>
                </c:pt>
                <c:pt idx="12">
                  <c:v>55</c:v>
                </c:pt>
                <c:pt idx="13">
                  <c:v>60</c:v>
                </c:pt>
                <c:pt idx="14">
                  <c:v>65</c:v>
                </c:pt>
                <c:pt idx="15">
                  <c:v>70</c:v>
                </c:pt>
                <c:pt idx="16">
                  <c:v>75</c:v>
                </c:pt>
                <c:pt idx="17">
                  <c:v>80</c:v>
                </c:pt>
                <c:pt idx="18">
                  <c:v>85</c:v>
                </c:pt>
                <c:pt idx="19">
                  <c:v>90</c:v>
                </c:pt>
                <c:pt idx="20">
                  <c:v>95</c:v>
                </c:pt>
                <c:pt idx="21">
                  <c:v>100</c:v>
                </c:pt>
                <c:pt idx="22">
                  <c:v>105</c:v>
                </c:pt>
                <c:pt idx="23">
                  <c:v>110</c:v>
                </c:pt>
                <c:pt idx="24">
                  <c:v>115</c:v>
                </c:pt>
                <c:pt idx="25">
                  <c:v>120</c:v>
                </c:pt>
                <c:pt idx="26">
                  <c:v>125</c:v>
                </c:pt>
                <c:pt idx="27">
                  <c:v>130</c:v>
                </c:pt>
                <c:pt idx="28">
                  <c:v>135</c:v>
                </c:pt>
                <c:pt idx="29">
                  <c:v>140</c:v>
                </c:pt>
                <c:pt idx="30">
                  <c:v>145</c:v>
                </c:pt>
                <c:pt idx="31">
                  <c:v>150</c:v>
                </c:pt>
                <c:pt idx="32">
                  <c:v>155</c:v>
                </c:pt>
                <c:pt idx="33">
                  <c:v>160</c:v>
                </c:pt>
                <c:pt idx="34">
                  <c:v>165</c:v>
                </c:pt>
                <c:pt idx="35">
                  <c:v>170</c:v>
                </c:pt>
                <c:pt idx="36">
                  <c:v>175</c:v>
                </c:pt>
                <c:pt idx="37">
                  <c:v>180</c:v>
                </c:pt>
                <c:pt idx="38">
                  <c:v>185</c:v>
                </c:pt>
                <c:pt idx="39">
                  <c:v>190</c:v>
                </c:pt>
              </c:numCache>
            </c:numRef>
          </c:cat>
          <c:val>
            <c:numRef>
              <c:f>Sheet6!$L$81:$L$121</c:f>
              <c:numCache>
                <c:formatCode>_(* #,##0.00_);_(* \(#,##0.00\);_(* "-"??_);_(@_)</c:formatCode>
                <c:ptCount val="41"/>
                <c:pt idx="0">
                  <c:v>2.8582587652252554E-2</c:v>
                </c:pt>
                <c:pt idx="1">
                  <c:v>2.2050974192032027E-2</c:v>
                </c:pt>
                <c:pt idx="2">
                  <c:v>6.6531807881677812E-2</c:v>
                </c:pt>
                <c:pt idx="3">
                  <c:v>6.0566722095194377E-2</c:v>
                </c:pt>
                <c:pt idx="4">
                  <c:v>9.7357699643195711E-2</c:v>
                </c:pt>
                <c:pt idx="5">
                  <c:v>0.10194677347525602</c:v>
                </c:pt>
                <c:pt idx="6">
                  <c:v>0.1210866032982988</c:v>
                </c:pt>
                <c:pt idx="7">
                  <c:v>0.12990238338418533</c:v>
                </c:pt>
                <c:pt idx="8">
                  <c:v>0.14226080385305626</c:v>
                </c:pt>
                <c:pt idx="9">
                  <c:v>0.19526048126050438</c:v>
                </c:pt>
                <c:pt idx="10">
                  <c:v>0.22221283020784693</c:v>
                </c:pt>
                <c:pt idx="11">
                  <c:v>0.22451008958047056</c:v>
                </c:pt>
                <c:pt idx="12">
                  <c:v>0.25634100372351792</c:v>
                </c:pt>
                <c:pt idx="13">
                  <c:v>0.30243256413447001</c:v>
                </c:pt>
                <c:pt idx="14">
                  <c:v>0.33072392333793549</c:v>
                </c:pt>
                <c:pt idx="15">
                  <c:v>0.36715143100327091</c:v>
                </c:pt>
                <c:pt idx="16">
                  <c:v>0.44953929935174158</c:v>
                </c:pt>
                <c:pt idx="17">
                  <c:v>0.43116326812965688</c:v>
                </c:pt>
                <c:pt idx="18">
                  <c:v>0.50593032744761535</c:v>
                </c:pt>
                <c:pt idx="19">
                  <c:v>0.52770872340123431</c:v>
                </c:pt>
                <c:pt idx="20">
                  <c:v>0.56261716586000954</c:v>
                </c:pt>
                <c:pt idx="21">
                  <c:v>0.68339491897493443</c:v>
                </c:pt>
                <c:pt idx="22">
                  <c:v>0.70173730096224518</c:v>
                </c:pt>
                <c:pt idx="23">
                  <c:v>0.6826631757404974</c:v>
                </c:pt>
                <c:pt idx="24">
                  <c:v>0.70906006785743403</c:v>
                </c:pt>
                <c:pt idx="25">
                  <c:v>0.78455050071740162</c:v>
                </c:pt>
                <c:pt idx="26">
                  <c:v>0.75109389185486208</c:v>
                </c:pt>
                <c:pt idx="27">
                  <c:v>0.82351856742217799</c:v>
                </c:pt>
                <c:pt idx="28">
                  <c:v>0.808008710204974</c:v>
                </c:pt>
                <c:pt idx="29">
                  <c:v>0.83229425725701633</c:v>
                </c:pt>
                <c:pt idx="30">
                  <c:v>0.92078513605091761</c:v>
                </c:pt>
                <c:pt idx="31">
                  <c:v>0.89049726782747352</c:v>
                </c:pt>
                <c:pt idx="32">
                  <c:v>0.93288629864933115</c:v>
                </c:pt>
                <c:pt idx="33">
                  <c:v>0.84302353349752923</c:v>
                </c:pt>
                <c:pt idx="34">
                  <c:v>0.89175756783672455</c:v>
                </c:pt>
                <c:pt idx="35">
                  <c:v>0.89904236857843445</c:v>
                </c:pt>
                <c:pt idx="36">
                  <c:v>1</c:v>
                </c:pt>
                <c:pt idx="37">
                  <c:v>0.98176730211810348</c:v>
                </c:pt>
                <c:pt idx="38">
                  <c:v>0.9578551051897839</c:v>
                </c:pt>
              </c:numCache>
            </c:numRef>
          </c:val>
          <c:smooth val="0"/>
        </c:ser>
        <c:ser>
          <c:idx val="1"/>
          <c:order val="1"/>
          <c:tx>
            <c:strRef>
              <c:f>Sheet6!$M$79</c:f>
              <c:strCache>
                <c:ptCount val="1"/>
                <c:pt idx="0">
                  <c:v>170</c:v>
                </c:pt>
              </c:strCache>
            </c:strRef>
          </c:tx>
          <c:marker>
            <c:symbol val="none"/>
          </c:marker>
          <c:cat>
            <c:numRef>
              <c:f>Sheet6!$A$80:$A$119</c:f>
              <c:numCache>
                <c:formatCode>General</c:formatCode>
                <c:ptCount val="40"/>
                <c:pt idx="0">
                  <c:v>-5</c:v>
                </c:pt>
                <c:pt idx="1">
                  <c:v>0</c:v>
                </c:pt>
                <c:pt idx="2">
                  <c:v>5</c:v>
                </c:pt>
                <c:pt idx="3">
                  <c:v>10</c:v>
                </c:pt>
                <c:pt idx="4">
                  <c:v>15</c:v>
                </c:pt>
                <c:pt idx="5">
                  <c:v>20</c:v>
                </c:pt>
                <c:pt idx="6">
                  <c:v>25</c:v>
                </c:pt>
                <c:pt idx="7">
                  <c:v>30</c:v>
                </c:pt>
                <c:pt idx="8">
                  <c:v>35</c:v>
                </c:pt>
                <c:pt idx="9">
                  <c:v>40</c:v>
                </c:pt>
                <c:pt idx="10">
                  <c:v>45</c:v>
                </c:pt>
                <c:pt idx="11">
                  <c:v>50</c:v>
                </c:pt>
                <c:pt idx="12">
                  <c:v>55</c:v>
                </c:pt>
                <c:pt idx="13">
                  <c:v>60</c:v>
                </c:pt>
                <c:pt idx="14">
                  <c:v>65</c:v>
                </c:pt>
                <c:pt idx="15">
                  <c:v>70</c:v>
                </c:pt>
                <c:pt idx="16">
                  <c:v>75</c:v>
                </c:pt>
                <c:pt idx="17">
                  <c:v>80</c:v>
                </c:pt>
                <c:pt idx="18">
                  <c:v>85</c:v>
                </c:pt>
                <c:pt idx="19">
                  <c:v>90</c:v>
                </c:pt>
                <c:pt idx="20">
                  <c:v>95</c:v>
                </c:pt>
                <c:pt idx="21">
                  <c:v>100</c:v>
                </c:pt>
                <c:pt idx="22">
                  <c:v>105</c:v>
                </c:pt>
                <c:pt idx="23">
                  <c:v>110</c:v>
                </c:pt>
                <c:pt idx="24">
                  <c:v>115</c:v>
                </c:pt>
                <c:pt idx="25">
                  <c:v>120</c:v>
                </c:pt>
                <c:pt idx="26">
                  <c:v>125</c:v>
                </c:pt>
                <c:pt idx="27">
                  <c:v>130</c:v>
                </c:pt>
                <c:pt idx="28">
                  <c:v>135</c:v>
                </c:pt>
                <c:pt idx="29">
                  <c:v>140</c:v>
                </c:pt>
                <c:pt idx="30">
                  <c:v>145</c:v>
                </c:pt>
                <c:pt idx="31">
                  <c:v>150</c:v>
                </c:pt>
                <c:pt idx="32">
                  <c:v>155</c:v>
                </c:pt>
                <c:pt idx="33">
                  <c:v>160</c:v>
                </c:pt>
                <c:pt idx="34">
                  <c:v>165</c:v>
                </c:pt>
                <c:pt idx="35">
                  <c:v>170</c:v>
                </c:pt>
                <c:pt idx="36">
                  <c:v>175</c:v>
                </c:pt>
                <c:pt idx="37">
                  <c:v>180</c:v>
                </c:pt>
                <c:pt idx="38">
                  <c:v>185</c:v>
                </c:pt>
                <c:pt idx="39">
                  <c:v>190</c:v>
                </c:pt>
              </c:numCache>
            </c:numRef>
          </c:cat>
          <c:val>
            <c:numRef>
              <c:f>Sheet6!$M$80:$M$119</c:f>
              <c:numCache>
                <c:formatCode>_(* #,##0.00_);_(* \(#,##0.00\);_(* "-"??_);_(@_)</c:formatCode>
                <c:ptCount val="40"/>
                <c:pt idx="0">
                  <c:v>0</c:v>
                </c:pt>
                <c:pt idx="1">
                  <c:v>2.9070103145781848E-2</c:v>
                </c:pt>
                <c:pt idx="2">
                  <c:v>2.8645686101203591E-2</c:v>
                </c:pt>
                <c:pt idx="3">
                  <c:v>7.3559852675789766E-2</c:v>
                </c:pt>
                <c:pt idx="4">
                  <c:v>0.10088592754647574</c:v>
                </c:pt>
                <c:pt idx="5">
                  <c:v>7.3552717388761554E-2</c:v>
                </c:pt>
                <c:pt idx="6">
                  <c:v>8.8983777271466349E-2</c:v>
                </c:pt>
                <c:pt idx="7">
                  <c:v>0.11763039474460962</c:v>
                </c:pt>
                <c:pt idx="8">
                  <c:v>0.13245344830984251</c:v>
                </c:pt>
                <c:pt idx="9">
                  <c:v>0.16769752757133144</c:v>
                </c:pt>
                <c:pt idx="10">
                  <c:v>0.20562941806833479</c:v>
                </c:pt>
                <c:pt idx="11">
                  <c:v>0.22312244422037042</c:v>
                </c:pt>
                <c:pt idx="12">
                  <c:v>0.27843769236376564</c:v>
                </c:pt>
                <c:pt idx="13">
                  <c:v>0.30744009835825253</c:v>
                </c:pt>
                <c:pt idx="14">
                  <c:v>0.31656907458393485</c:v>
                </c:pt>
                <c:pt idx="15">
                  <c:v>0.36720955563500135</c:v>
                </c:pt>
                <c:pt idx="16">
                  <c:v>0.42068078133381553</c:v>
                </c:pt>
                <c:pt idx="17">
                  <c:v>0.47932747104156037</c:v>
                </c:pt>
                <c:pt idx="18">
                  <c:v>0.48754219492890172</c:v>
                </c:pt>
                <c:pt idx="19">
                  <c:v>0.56688860946940767</c:v>
                </c:pt>
                <c:pt idx="20">
                  <c:v>0.55577987432293874</c:v>
                </c:pt>
                <c:pt idx="21">
                  <c:v>0.63868443946420073</c:v>
                </c:pt>
                <c:pt idx="22">
                  <c:v>0.65926620980073269</c:v>
                </c:pt>
                <c:pt idx="23">
                  <c:v>0.70622245867858668</c:v>
                </c:pt>
                <c:pt idx="24">
                  <c:v>0.73610900343479779</c:v>
                </c:pt>
                <c:pt idx="25">
                  <c:v>0.77370785294438793</c:v>
                </c:pt>
                <c:pt idx="26">
                  <c:v>0.82472838627867517</c:v>
                </c:pt>
                <c:pt idx="27">
                  <c:v>0.88565117670494864</c:v>
                </c:pt>
                <c:pt idx="28">
                  <c:v>0.85710985702682707</c:v>
                </c:pt>
                <c:pt idx="29">
                  <c:v>0.83813032628555395</c:v>
                </c:pt>
                <c:pt idx="30">
                  <c:v>0.87772551750519689</c:v>
                </c:pt>
                <c:pt idx="31">
                  <c:v>0.90226853688140729</c:v>
                </c:pt>
                <c:pt idx="32">
                  <c:v>0.89956188108667468</c:v>
                </c:pt>
                <c:pt idx="33">
                  <c:v>0.84678840950002554</c:v>
                </c:pt>
                <c:pt idx="34">
                  <c:v>0.96547666217471095</c:v>
                </c:pt>
                <c:pt idx="35">
                  <c:v>0.81336047713028137</c:v>
                </c:pt>
                <c:pt idx="36">
                  <c:v>0.96278221339685166</c:v>
                </c:pt>
                <c:pt idx="37">
                  <c:v>0.93717231377813703</c:v>
                </c:pt>
                <c:pt idx="38">
                  <c:v>1</c:v>
                </c:pt>
                <c:pt idx="39">
                  <c:v>0.84230486116810199</c:v>
                </c:pt>
              </c:numCache>
            </c:numRef>
          </c:val>
          <c:smooth val="0"/>
        </c:ser>
        <c:dLbls>
          <c:showLegendKey val="0"/>
          <c:showVal val="0"/>
          <c:showCatName val="0"/>
          <c:showSerName val="0"/>
          <c:showPercent val="0"/>
          <c:showBubbleSize val="0"/>
        </c:dLbls>
        <c:marker val="1"/>
        <c:smooth val="0"/>
        <c:axId val="71988352"/>
        <c:axId val="71989888"/>
      </c:lineChart>
      <c:catAx>
        <c:axId val="71988352"/>
        <c:scaling>
          <c:orientation val="minMax"/>
        </c:scaling>
        <c:delete val="0"/>
        <c:axPos val="b"/>
        <c:numFmt formatCode="General" sourceLinked="1"/>
        <c:majorTickMark val="out"/>
        <c:minorTickMark val="none"/>
        <c:tickLblPos val="nextTo"/>
        <c:crossAx val="71989888"/>
        <c:crosses val="autoZero"/>
        <c:auto val="1"/>
        <c:lblAlgn val="ctr"/>
        <c:lblOffset val="100"/>
        <c:tickLblSkip val="4"/>
        <c:tickMarkSkip val="4"/>
        <c:noMultiLvlLbl val="0"/>
      </c:catAx>
      <c:valAx>
        <c:axId val="71989888"/>
        <c:scaling>
          <c:orientation val="minMax"/>
          <c:max val="1"/>
          <c:min val="0"/>
        </c:scaling>
        <c:delete val="0"/>
        <c:axPos val="l"/>
        <c:numFmt formatCode="_(* #,##0.00_);_(* \(#,##0.00\);_(* &quot;-&quot;??_);_(@_)" sourceLinked="1"/>
        <c:majorTickMark val="out"/>
        <c:minorTickMark val="none"/>
        <c:tickLblPos val="nextTo"/>
        <c:crossAx val="71988352"/>
        <c:crosses val="autoZero"/>
        <c:crossBetween val="midCat"/>
      </c:valAx>
    </c:plotArea>
    <c:legend>
      <c:legendPos val="r"/>
      <c:layout/>
      <c:overlay val="0"/>
    </c:legend>
    <c:plotVisOnly val="1"/>
    <c:dispBlanksAs val="gap"/>
    <c:showDLblsOverMax val="0"/>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Sheet6!$B$1</c:f>
              <c:strCache>
                <c:ptCount val="1"/>
                <c:pt idx="0">
                  <c:v>60</c:v>
                </c:pt>
              </c:strCache>
            </c:strRef>
          </c:tx>
          <c:marker>
            <c:symbol val="none"/>
          </c:marker>
          <c:cat>
            <c:numRef>
              <c:f>Sheet6!$A$2:$A$44</c:f>
              <c:numCache>
                <c:formatCode>General</c:formatCode>
                <c:ptCount val="43"/>
                <c:pt idx="0">
                  <c:v>-25</c:v>
                </c:pt>
                <c:pt idx="1">
                  <c:v>-15</c:v>
                </c:pt>
                <c:pt idx="2">
                  <c:v>-10</c:v>
                </c:pt>
                <c:pt idx="3">
                  <c:v>-5</c:v>
                </c:pt>
                <c:pt idx="4">
                  <c:v>0</c:v>
                </c:pt>
                <c:pt idx="5">
                  <c:v>5</c:v>
                </c:pt>
                <c:pt idx="6">
                  <c:v>10</c:v>
                </c:pt>
                <c:pt idx="7">
                  <c:v>15</c:v>
                </c:pt>
                <c:pt idx="8">
                  <c:v>20</c:v>
                </c:pt>
                <c:pt idx="9">
                  <c:v>25</c:v>
                </c:pt>
                <c:pt idx="10">
                  <c:v>30</c:v>
                </c:pt>
                <c:pt idx="11">
                  <c:v>35</c:v>
                </c:pt>
                <c:pt idx="12">
                  <c:v>40</c:v>
                </c:pt>
                <c:pt idx="13">
                  <c:v>45</c:v>
                </c:pt>
                <c:pt idx="14">
                  <c:v>50</c:v>
                </c:pt>
                <c:pt idx="15">
                  <c:v>55</c:v>
                </c:pt>
                <c:pt idx="16">
                  <c:v>60</c:v>
                </c:pt>
                <c:pt idx="17">
                  <c:v>65</c:v>
                </c:pt>
                <c:pt idx="18">
                  <c:v>70</c:v>
                </c:pt>
                <c:pt idx="19">
                  <c:v>75</c:v>
                </c:pt>
                <c:pt idx="20">
                  <c:v>80</c:v>
                </c:pt>
                <c:pt idx="21">
                  <c:v>85</c:v>
                </c:pt>
                <c:pt idx="22">
                  <c:v>90</c:v>
                </c:pt>
                <c:pt idx="23">
                  <c:v>95</c:v>
                </c:pt>
                <c:pt idx="24">
                  <c:v>100</c:v>
                </c:pt>
                <c:pt idx="25">
                  <c:v>105</c:v>
                </c:pt>
                <c:pt idx="26">
                  <c:v>110</c:v>
                </c:pt>
                <c:pt idx="27">
                  <c:v>115</c:v>
                </c:pt>
                <c:pt idx="28">
                  <c:v>120</c:v>
                </c:pt>
                <c:pt idx="29">
                  <c:v>125</c:v>
                </c:pt>
                <c:pt idx="30">
                  <c:v>130</c:v>
                </c:pt>
                <c:pt idx="31">
                  <c:v>135</c:v>
                </c:pt>
                <c:pt idx="32">
                  <c:v>140</c:v>
                </c:pt>
                <c:pt idx="33">
                  <c:v>145</c:v>
                </c:pt>
                <c:pt idx="34">
                  <c:v>150</c:v>
                </c:pt>
                <c:pt idx="35">
                  <c:v>155</c:v>
                </c:pt>
                <c:pt idx="36">
                  <c:v>160</c:v>
                </c:pt>
                <c:pt idx="37">
                  <c:v>165</c:v>
                </c:pt>
                <c:pt idx="38">
                  <c:v>170</c:v>
                </c:pt>
                <c:pt idx="39">
                  <c:v>175</c:v>
                </c:pt>
                <c:pt idx="40">
                  <c:v>180</c:v>
                </c:pt>
                <c:pt idx="41">
                  <c:v>185</c:v>
                </c:pt>
                <c:pt idx="42">
                  <c:v>190</c:v>
                </c:pt>
              </c:numCache>
            </c:numRef>
          </c:cat>
          <c:val>
            <c:numRef>
              <c:f>Sheet6!$B$2:$B$44</c:f>
              <c:numCache>
                <c:formatCode>_(* #,##0.00_);_(* \(#,##0.00\);_(* "-"??_);_(@_)</c:formatCode>
                <c:ptCount val="43"/>
                <c:pt idx="0">
                  <c:v>8.0795177965137697</c:v>
                </c:pt>
                <c:pt idx="1">
                  <c:v>8.6805861008429108</c:v>
                </c:pt>
                <c:pt idx="2">
                  <c:v>9.3857577878501903</c:v>
                </c:pt>
                <c:pt idx="3">
                  <c:v>9.3130142574881702</c:v>
                </c:pt>
                <c:pt idx="4">
                  <c:v>8.0138615757482903</c:v>
                </c:pt>
                <c:pt idx="5">
                  <c:v>10.0518989613195</c:v>
                </c:pt>
                <c:pt idx="6">
                  <c:v>9.9210241256148599</c:v>
                </c:pt>
                <c:pt idx="7">
                  <c:v>9.7899577471123607</c:v>
                </c:pt>
                <c:pt idx="8">
                  <c:v>9.7025753175343006</c:v>
                </c:pt>
                <c:pt idx="9">
                  <c:v>9.2735422014736901</c:v>
                </c:pt>
                <c:pt idx="10">
                  <c:v>9.7346086655700699</c:v>
                </c:pt>
                <c:pt idx="11">
                  <c:v>10.279317116363099</c:v>
                </c:pt>
                <c:pt idx="12">
                  <c:v>9.0495432204951207</c:v>
                </c:pt>
                <c:pt idx="13">
                  <c:v>9.6788873383033796</c:v>
                </c:pt>
                <c:pt idx="14">
                  <c:v>9.6259032533053297</c:v>
                </c:pt>
                <c:pt idx="15">
                  <c:v>9.7494086399620201</c:v>
                </c:pt>
                <c:pt idx="16">
                  <c:v>10.4726552627285</c:v>
                </c:pt>
                <c:pt idx="17">
                  <c:v>10.8097661645182</c:v>
                </c:pt>
                <c:pt idx="18">
                  <c:v>11.278494798339899</c:v>
                </c:pt>
                <c:pt idx="19">
                  <c:v>10.360217755137899</c:v>
                </c:pt>
                <c:pt idx="20">
                  <c:v>11.6092063002649</c:v>
                </c:pt>
                <c:pt idx="21">
                  <c:v>11.8301867039886</c:v>
                </c:pt>
                <c:pt idx="22">
                  <c:v>11.708469938003301</c:v>
                </c:pt>
                <c:pt idx="23">
                  <c:v>11.345295015750199</c:v>
                </c:pt>
                <c:pt idx="24">
                  <c:v>13.5936282433803</c:v>
                </c:pt>
                <c:pt idx="25">
                  <c:v>13.752444330789499</c:v>
                </c:pt>
                <c:pt idx="26">
                  <c:v>12.510010163590801</c:v>
                </c:pt>
                <c:pt idx="27">
                  <c:v>12.3011342938672</c:v>
                </c:pt>
                <c:pt idx="28">
                  <c:v>13.1493022628928</c:v>
                </c:pt>
                <c:pt idx="29">
                  <c:v>14.5683980208671</c:v>
                </c:pt>
                <c:pt idx="30">
                  <c:v>13.7568252867555</c:v>
                </c:pt>
                <c:pt idx="31">
                  <c:v>13.4041402096772</c:v>
                </c:pt>
                <c:pt idx="32">
                  <c:v>15.803341065847899</c:v>
                </c:pt>
                <c:pt idx="33">
                  <c:v>14.2864099059066</c:v>
                </c:pt>
                <c:pt idx="34">
                  <c:v>14.205603089203301</c:v>
                </c:pt>
                <c:pt idx="35">
                  <c:v>16.012362987549501</c:v>
                </c:pt>
                <c:pt idx="36">
                  <c:v>15.675286042542201</c:v>
                </c:pt>
                <c:pt idx="37">
                  <c:v>16.9575225045865</c:v>
                </c:pt>
                <c:pt idx="38">
                  <c:v>12.4474618665415</c:v>
                </c:pt>
                <c:pt idx="39">
                  <c:v>15.6537173678011</c:v>
                </c:pt>
                <c:pt idx="40">
                  <c:v>16.128857482770599</c:v>
                </c:pt>
                <c:pt idx="41">
                  <c:v>17.797299294021901</c:v>
                </c:pt>
                <c:pt idx="42">
                  <c:v>14.9930424951863</c:v>
                </c:pt>
              </c:numCache>
            </c:numRef>
          </c:val>
          <c:smooth val="0"/>
        </c:ser>
        <c:ser>
          <c:idx val="1"/>
          <c:order val="1"/>
          <c:tx>
            <c:strRef>
              <c:f>Sheet6!$C$1</c:f>
              <c:strCache>
                <c:ptCount val="1"/>
                <c:pt idx="0">
                  <c:v>70</c:v>
                </c:pt>
              </c:strCache>
            </c:strRef>
          </c:tx>
          <c:marker>
            <c:symbol val="none"/>
          </c:marker>
          <c:cat>
            <c:numRef>
              <c:f>Sheet6!$A$2:$A$44</c:f>
              <c:numCache>
                <c:formatCode>General</c:formatCode>
                <c:ptCount val="43"/>
                <c:pt idx="0">
                  <c:v>-25</c:v>
                </c:pt>
                <c:pt idx="1">
                  <c:v>-15</c:v>
                </c:pt>
                <c:pt idx="2">
                  <c:v>-10</c:v>
                </c:pt>
                <c:pt idx="3">
                  <c:v>-5</c:v>
                </c:pt>
                <c:pt idx="4">
                  <c:v>0</c:v>
                </c:pt>
                <c:pt idx="5">
                  <c:v>5</c:v>
                </c:pt>
                <c:pt idx="6">
                  <c:v>10</c:v>
                </c:pt>
                <c:pt idx="7">
                  <c:v>15</c:v>
                </c:pt>
                <c:pt idx="8">
                  <c:v>20</c:v>
                </c:pt>
                <c:pt idx="9">
                  <c:v>25</c:v>
                </c:pt>
                <c:pt idx="10">
                  <c:v>30</c:v>
                </c:pt>
                <c:pt idx="11">
                  <c:v>35</c:v>
                </c:pt>
                <c:pt idx="12">
                  <c:v>40</c:v>
                </c:pt>
                <c:pt idx="13">
                  <c:v>45</c:v>
                </c:pt>
                <c:pt idx="14">
                  <c:v>50</c:v>
                </c:pt>
                <c:pt idx="15">
                  <c:v>55</c:v>
                </c:pt>
                <c:pt idx="16">
                  <c:v>60</c:v>
                </c:pt>
                <c:pt idx="17">
                  <c:v>65</c:v>
                </c:pt>
                <c:pt idx="18">
                  <c:v>70</c:v>
                </c:pt>
                <c:pt idx="19">
                  <c:v>75</c:v>
                </c:pt>
                <c:pt idx="20">
                  <c:v>80</c:v>
                </c:pt>
                <c:pt idx="21">
                  <c:v>85</c:v>
                </c:pt>
                <c:pt idx="22">
                  <c:v>90</c:v>
                </c:pt>
                <c:pt idx="23">
                  <c:v>95</c:v>
                </c:pt>
                <c:pt idx="24">
                  <c:v>100</c:v>
                </c:pt>
                <c:pt idx="25">
                  <c:v>105</c:v>
                </c:pt>
                <c:pt idx="26">
                  <c:v>110</c:v>
                </c:pt>
                <c:pt idx="27">
                  <c:v>115</c:v>
                </c:pt>
                <c:pt idx="28">
                  <c:v>120</c:v>
                </c:pt>
                <c:pt idx="29">
                  <c:v>125</c:v>
                </c:pt>
                <c:pt idx="30">
                  <c:v>130</c:v>
                </c:pt>
                <c:pt idx="31">
                  <c:v>135</c:v>
                </c:pt>
                <c:pt idx="32">
                  <c:v>140</c:v>
                </c:pt>
                <c:pt idx="33">
                  <c:v>145</c:v>
                </c:pt>
                <c:pt idx="34">
                  <c:v>150</c:v>
                </c:pt>
                <c:pt idx="35">
                  <c:v>155</c:v>
                </c:pt>
                <c:pt idx="36">
                  <c:v>160</c:v>
                </c:pt>
                <c:pt idx="37">
                  <c:v>165</c:v>
                </c:pt>
                <c:pt idx="38">
                  <c:v>170</c:v>
                </c:pt>
                <c:pt idx="39">
                  <c:v>175</c:v>
                </c:pt>
                <c:pt idx="40">
                  <c:v>180</c:v>
                </c:pt>
                <c:pt idx="41">
                  <c:v>185</c:v>
                </c:pt>
                <c:pt idx="42">
                  <c:v>190</c:v>
                </c:pt>
              </c:numCache>
            </c:numRef>
          </c:cat>
          <c:val>
            <c:numRef>
              <c:f>Sheet6!$C$2:$C$44</c:f>
              <c:numCache>
                <c:formatCode>_(* #,##0.00_);_(* \(#,##0.00\);_(* "-"??_);_(@_)</c:formatCode>
                <c:ptCount val="43"/>
                <c:pt idx="0">
                  <c:v>7.2213767221873697</c:v>
                </c:pt>
                <c:pt idx="1">
                  <c:v>7.60798429900803</c:v>
                </c:pt>
                <c:pt idx="2">
                  <c:v>8.5316426375462697</c:v>
                </c:pt>
                <c:pt idx="3">
                  <c:v>8.5268070635036803</c:v>
                </c:pt>
                <c:pt idx="4">
                  <c:v>8.3348111813328405</c:v>
                </c:pt>
                <c:pt idx="5">
                  <c:v>8.7715591056667694</c:v>
                </c:pt>
                <c:pt idx="6">
                  <c:v>8.5510437364632708</c:v>
                </c:pt>
                <c:pt idx="7">
                  <c:v>8.5504197899004097</c:v>
                </c:pt>
                <c:pt idx="8">
                  <c:v>8.8121795024272593</c:v>
                </c:pt>
                <c:pt idx="9">
                  <c:v>9.07379132265193</c:v>
                </c:pt>
                <c:pt idx="10">
                  <c:v>8.7171381038679598</c:v>
                </c:pt>
                <c:pt idx="11">
                  <c:v>9.1608310465454306</c:v>
                </c:pt>
                <c:pt idx="12">
                  <c:v>9.5602227168195792</c:v>
                </c:pt>
                <c:pt idx="13">
                  <c:v>9.4129874485190808</c:v>
                </c:pt>
                <c:pt idx="14">
                  <c:v>9.0795217844119893</c:v>
                </c:pt>
                <c:pt idx="15">
                  <c:v>9.7959963925272007</c:v>
                </c:pt>
                <c:pt idx="16">
                  <c:v>10.4476967658389</c:v>
                </c:pt>
                <c:pt idx="17">
                  <c:v>9.8354296521888696</c:v>
                </c:pt>
                <c:pt idx="18">
                  <c:v>10.4789901430507</c:v>
                </c:pt>
                <c:pt idx="19">
                  <c:v>10.304357603106199</c:v>
                </c:pt>
                <c:pt idx="20">
                  <c:v>10.7580092403281</c:v>
                </c:pt>
                <c:pt idx="21">
                  <c:v>11.3828194239056</c:v>
                </c:pt>
                <c:pt idx="22">
                  <c:v>11.3394071752797</c:v>
                </c:pt>
                <c:pt idx="23">
                  <c:v>11.2826563467169</c:v>
                </c:pt>
                <c:pt idx="24">
                  <c:v>11.7061942840804</c:v>
                </c:pt>
                <c:pt idx="25">
                  <c:v>12.5790075603747</c:v>
                </c:pt>
                <c:pt idx="26">
                  <c:v>12.754264051866601</c:v>
                </c:pt>
                <c:pt idx="27">
                  <c:v>12.798580143075201</c:v>
                </c:pt>
                <c:pt idx="28">
                  <c:v>13.200959290240901</c:v>
                </c:pt>
                <c:pt idx="29">
                  <c:v>13.8735659888047</c:v>
                </c:pt>
                <c:pt idx="30">
                  <c:v>14.253132244642501</c:v>
                </c:pt>
                <c:pt idx="31">
                  <c:v>13.732058962341799</c:v>
                </c:pt>
                <c:pt idx="32">
                  <c:v>14.814533239942399</c:v>
                </c:pt>
                <c:pt idx="33">
                  <c:v>14.243046678475601</c:v>
                </c:pt>
                <c:pt idx="34">
                  <c:v>15.218868868423201</c:v>
                </c:pt>
                <c:pt idx="35">
                  <c:v>14.236920404519299</c:v>
                </c:pt>
                <c:pt idx="36">
                  <c:v>15.7423296359601</c:v>
                </c:pt>
                <c:pt idx="37">
                  <c:v>15.722721060727199</c:v>
                </c:pt>
                <c:pt idx="38">
                  <c:v>16.059332854280498</c:v>
                </c:pt>
                <c:pt idx="39">
                  <c:v>15.6461622387588</c:v>
                </c:pt>
                <c:pt idx="40">
                  <c:v>16.6924234732071</c:v>
                </c:pt>
                <c:pt idx="41">
                  <c:v>18.7552054356714</c:v>
                </c:pt>
                <c:pt idx="42">
                  <c:v>14.578367113129399</c:v>
                </c:pt>
              </c:numCache>
            </c:numRef>
          </c:val>
          <c:smooth val="0"/>
        </c:ser>
        <c:ser>
          <c:idx val="11"/>
          <c:order val="2"/>
          <c:tx>
            <c:strRef>
              <c:f>Sheet6!$M$1</c:f>
              <c:strCache>
                <c:ptCount val="1"/>
                <c:pt idx="0">
                  <c:v>170</c:v>
                </c:pt>
              </c:strCache>
            </c:strRef>
          </c:tx>
          <c:marker>
            <c:symbol val="none"/>
          </c:marker>
          <c:cat>
            <c:numRef>
              <c:f>Sheet6!$A$2:$A$44</c:f>
              <c:numCache>
                <c:formatCode>General</c:formatCode>
                <c:ptCount val="43"/>
                <c:pt idx="0">
                  <c:v>-25</c:v>
                </c:pt>
                <c:pt idx="1">
                  <c:v>-15</c:v>
                </c:pt>
                <c:pt idx="2">
                  <c:v>-10</c:v>
                </c:pt>
                <c:pt idx="3">
                  <c:v>-5</c:v>
                </c:pt>
                <c:pt idx="4">
                  <c:v>0</c:v>
                </c:pt>
                <c:pt idx="5">
                  <c:v>5</c:v>
                </c:pt>
                <c:pt idx="6">
                  <c:v>10</c:v>
                </c:pt>
                <c:pt idx="7">
                  <c:v>15</c:v>
                </c:pt>
                <c:pt idx="8">
                  <c:v>20</c:v>
                </c:pt>
                <c:pt idx="9">
                  <c:v>25</c:v>
                </c:pt>
                <c:pt idx="10">
                  <c:v>30</c:v>
                </c:pt>
                <c:pt idx="11">
                  <c:v>35</c:v>
                </c:pt>
                <c:pt idx="12">
                  <c:v>40</c:v>
                </c:pt>
                <c:pt idx="13">
                  <c:v>45</c:v>
                </c:pt>
                <c:pt idx="14">
                  <c:v>50</c:v>
                </c:pt>
                <c:pt idx="15">
                  <c:v>55</c:v>
                </c:pt>
                <c:pt idx="16">
                  <c:v>60</c:v>
                </c:pt>
                <c:pt idx="17">
                  <c:v>65</c:v>
                </c:pt>
                <c:pt idx="18">
                  <c:v>70</c:v>
                </c:pt>
                <c:pt idx="19">
                  <c:v>75</c:v>
                </c:pt>
                <c:pt idx="20">
                  <c:v>80</c:v>
                </c:pt>
                <c:pt idx="21">
                  <c:v>85</c:v>
                </c:pt>
                <c:pt idx="22">
                  <c:v>90</c:v>
                </c:pt>
                <c:pt idx="23">
                  <c:v>95</c:v>
                </c:pt>
                <c:pt idx="24">
                  <c:v>100</c:v>
                </c:pt>
                <c:pt idx="25">
                  <c:v>105</c:v>
                </c:pt>
                <c:pt idx="26">
                  <c:v>110</c:v>
                </c:pt>
                <c:pt idx="27">
                  <c:v>115</c:v>
                </c:pt>
                <c:pt idx="28">
                  <c:v>120</c:v>
                </c:pt>
                <c:pt idx="29">
                  <c:v>125</c:v>
                </c:pt>
                <c:pt idx="30">
                  <c:v>130</c:v>
                </c:pt>
                <c:pt idx="31">
                  <c:v>135</c:v>
                </c:pt>
                <c:pt idx="32">
                  <c:v>140</c:v>
                </c:pt>
                <c:pt idx="33">
                  <c:v>145</c:v>
                </c:pt>
                <c:pt idx="34">
                  <c:v>150</c:v>
                </c:pt>
                <c:pt idx="35">
                  <c:v>155</c:v>
                </c:pt>
                <c:pt idx="36">
                  <c:v>160</c:v>
                </c:pt>
                <c:pt idx="37">
                  <c:v>165</c:v>
                </c:pt>
                <c:pt idx="38">
                  <c:v>170</c:v>
                </c:pt>
                <c:pt idx="39">
                  <c:v>175</c:v>
                </c:pt>
                <c:pt idx="40">
                  <c:v>180</c:v>
                </c:pt>
                <c:pt idx="41">
                  <c:v>185</c:v>
                </c:pt>
                <c:pt idx="42">
                  <c:v>190</c:v>
                </c:pt>
              </c:numCache>
            </c:numRef>
          </c:cat>
          <c:val>
            <c:numRef>
              <c:f>Sheet6!$M$2:$M$44</c:f>
              <c:numCache>
                <c:formatCode>_(* #,##0.00_);_(* \(#,##0.00\);_(* "-"??_);_(@_)</c:formatCode>
                <c:ptCount val="43"/>
                <c:pt idx="0">
                  <c:v>5.6367430894106301</c:v>
                </c:pt>
                <c:pt idx="1">
                  <c:v>7.39347190011385</c:v>
                </c:pt>
                <c:pt idx="2">
                  <c:v>7.0928405090414701</c:v>
                </c:pt>
                <c:pt idx="3">
                  <c:v>6.9989426269617496</c:v>
                </c:pt>
                <c:pt idx="4">
                  <c:v>7.6818013501275102</c:v>
                </c:pt>
                <c:pt idx="5">
                  <c:v>7.6718317645468499</c:v>
                </c:pt>
                <c:pt idx="6">
                  <c:v>8.7268686278620908</c:v>
                </c:pt>
                <c:pt idx="7">
                  <c:v>9.3687600068418107</c:v>
                </c:pt>
                <c:pt idx="8">
                  <c:v>8.7267010194788295</c:v>
                </c:pt>
                <c:pt idx="9">
                  <c:v>9.0891776779122608</c:v>
                </c:pt>
                <c:pt idx="10">
                  <c:v>9.7620886934883107</c:v>
                </c:pt>
                <c:pt idx="11">
                  <c:v>10.1102832416883</c:v>
                </c:pt>
                <c:pt idx="12">
                  <c:v>10.9381690886343</c:v>
                </c:pt>
                <c:pt idx="13">
                  <c:v>11.8291918064469</c:v>
                </c:pt>
                <c:pt idx="14">
                  <c:v>12.240104194427801</c:v>
                </c:pt>
                <c:pt idx="15">
                  <c:v>13.5394631794776</c:v>
                </c:pt>
                <c:pt idx="16">
                  <c:v>14.2207316919013</c:v>
                </c:pt>
                <c:pt idx="17">
                  <c:v>14.4351719715941</c:v>
                </c:pt>
                <c:pt idx="18">
                  <c:v>15.6247203559812</c:v>
                </c:pt>
                <c:pt idx="19">
                  <c:v>16.880763126923299</c:v>
                </c:pt>
                <c:pt idx="20">
                  <c:v>18.258377903551299</c:v>
                </c:pt>
                <c:pt idx="21">
                  <c:v>18.451342332908101</c:v>
                </c:pt>
                <c:pt idx="22">
                  <c:v>20.315195070175498</c:v>
                </c:pt>
                <c:pt idx="23">
                  <c:v>20.054250117209101</c:v>
                </c:pt>
                <c:pt idx="24">
                  <c:v>22.001684056919402</c:v>
                </c:pt>
                <c:pt idx="25">
                  <c:v>22.485151258326098</c:v>
                </c:pt>
                <c:pt idx="26">
                  <c:v>23.588156775457801</c:v>
                </c:pt>
                <c:pt idx="27">
                  <c:v>24.290193768230701</c:v>
                </c:pt>
                <c:pt idx="28">
                  <c:v>25.1733933303329</c:v>
                </c:pt>
                <c:pt idx="29">
                  <c:v>26.371869169003698</c:v>
                </c:pt>
                <c:pt idx="30">
                  <c:v>27.802949708125102</c:v>
                </c:pt>
                <c:pt idx="31">
                  <c:v>27.132512144999499</c:v>
                </c:pt>
                <c:pt idx="32">
                  <c:v>26.6866816619332</c:v>
                </c:pt>
                <c:pt idx="33">
                  <c:v>27.616775428169898</c:v>
                </c:pt>
                <c:pt idx="34">
                  <c:v>28.193292642086401</c:v>
                </c:pt>
                <c:pt idx="35">
                  <c:v>28.129713111227101</c:v>
                </c:pt>
                <c:pt idx="36">
                  <c:v>26.890060632391201</c:v>
                </c:pt>
                <c:pt idx="37">
                  <c:v>29.678055854484899</c:v>
                </c:pt>
                <c:pt idx="38">
                  <c:v>26.104836200898699</c:v>
                </c:pt>
                <c:pt idx="39">
                  <c:v>29.6147630672919</c:v>
                </c:pt>
                <c:pt idx="40">
                  <c:v>29.013184763068502</c:v>
                </c:pt>
                <c:pt idx="41">
                  <c:v>30.4890114355014</c:v>
                </c:pt>
                <c:pt idx="42">
                  <c:v>26.784741773567902</c:v>
                </c:pt>
              </c:numCache>
            </c:numRef>
          </c:val>
          <c:smooth val="0"/>
        </c:ser>
        <c:dLbls>
          <c:showLegendKey val="0"/>
          <c:showVal val="0"/>
          <c:showCatName val="0"/>
          <c:showSerName val="0"/>
          <c:showPercent val="0"/>
          <c:showBubbleSize val="0"/>
        </c:dLbls>
        <c:marker val="1"/>
        <c:smooth val="0"/>
        <c:axId val="163350784"/>
        <c:axId val="163352576"/>
      </c:lineChart>
      <c:catAx>
        <c:axId val="163350784"/>
        <c:scaling>
          <c:orientation val="minMax"/>
        </c:scaling>
        <c:delete val="0"/>
        <c:axPos val="b"/>
        <c:numFmt formatCode="General" sourceLinked="1"/>
        <c:majorTickMark val="out"/>
        <c:minorTickMark val="none"/>
        <c:tickLblPos val="nextTo"/>
        <c:crossAx val="163352576"/>
        <c:crosses val="autoZero"/>
        <c:auto val="1"/>
        <c:lblAlgn val="ctr"/>
        <c:lblOffset val="100"/>
        <c:noMultiLvlLbl val="0"/>
      </c:catAx>
      <c:valAx>
        <c:axId val="163352576"/>
        <c:scaling>
          <c:orientation val="minMax"/>
        </c:scaling>
        <c:delete val="0"/>
        <c:axPos val="l"/>
        <c:majorGridlines/>
        <c:numFmt formatCode="_(* #,##0.00_);_(* \(#,##0.00\);_(* &quot;-&quot;??_);_(@_)" sourceLinked="1"/>
        <c:majorTickMark val="out"/>
        <c:minorTickMark val="none"/>
        <c:tickLblPos val="nextTo"/>
        <c:crossAx val="163350784"/>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Sheet2!$G$1</c:f>
              <c:strCache>
                <c:ptCount val="1"/>
                <c:pt idx="0">
                  <c:v>60</c:v>
                </c:pt>
              </c:strCache>
            </c:strRef>
          </c:tx>
          <c:marker>
            <c:symbol val="none"/>
          </c:marker>
          <c:cat>
            <c:numRef>
              <c:f>Sheet2!$A$2:$A$44</c:f>
              <c:numCache>
                <c:formatCode>General</c:formatCode>
                <c:ptCount val="43"/>
                <c:pt idx="0">
                  <c:v>-25</c:v>
                </c:pt>
                <c:pt idx="1">
                  <c:v>-15</c:v>
                </c:pt>
                <c:pt idx="2">
                  <c:v>-10</c:v>
                </c:pt>
                <c:pt idx="3">
                  <c:v>-5</c:v>
                </c:pt>
                <c:pt idx="4">
                  <c:v>0</c:v>
                </c:pt>
                <c:pt idx="5">
                  <c:v>5</c:v>
                </c:pt>
                <c:pt idx="6">
                  <c:v>10</c:v>
                </c:pt>
                <c:pt idx="7">
                  <c:v>15</c:v>
                </c:pt>
                <c:pt idx="8">
                  <c:v>20</c:v>
                </c:pt>
                <c:pt idx="9">
                  <c:v>25</c:v>
                </c:pt>
                <c:pt idx="10">
                  <c:v>30</c:v>
                </c:pt>
                <c:pt idx="11">
                  <c:v>35</c:v>
                </c:pt>
                <c:pt idx="12">
                  <c:v>40</c:v>
                </c:pt>
                <c:pt idx="13">
                  <c:v>45</c:v>
                </c:pt>
                <c:pt idx="14">
                  <c:v>50</c:v>
                </c:pt>
                <c:pt idx="15">
                  <c:v>55</c:v>
                </c:pt>
                <c:pt idx="16">
                  <c:v>60</c:v>
                </c:pt>
                <c:pt idx="17">
                  <c:v>65</c:v>
                </c:pt>
                <c:pt idx="18">
                  <c:v>70</c:v>
                </c:pt>
                <c:pt idx="19">
                  <c:v>75</c:v>
                </c:pt>
                <c:pt idx="20">
                  <c:v>80</c:v>
                </c:pt>
                <c:pt idx="21">
                  <c:v>85</c:v>
                </c:pt>
                <c:pt idx="22">
                  <c:v>90</c:v>
                </c:pt>
                <c:pt idx="23">
                  <c:v>95</c:v>
                </c:pt>
                <c:pt idx="24">
                  <c:v>100</c:v>
                </c:pt>
                <c:pt idx="25">
                  <c:v>105</c:v>
                </c:pt>
                <c:pt idx="26">
                  <c:v>110</c:v>
                </c:pt>
                <c:pt idx="27">
                  <c:v>115</c:v>
                </c:pt>
                <c:pt idx="28">
                  <c:v>120</c:v>
                </c:pt>
                <c:pt idx="29">
                  <c:v>125</c:v>
                </c:pt>
                <c:pt idx="30">
                  <c:v>130</c:v>
                </c:pt>
                <c:pt idx="31">
                  <c:v>135</c:v>
                </c:pt>
                <c:pt idx="32">
                  <c:v>140</c:v>
                </c:pt>
                <c:pt idx="33">
                  <c:v>145</c:v>
                </c:pt>
                <c:pt idx="34">
                  <c:v>150</c:v>
                </c:pt>
                <c:pt idx="35">
                  <c:v>155</c:v>
                </c:pt>
                <c:pt idx="36">
                  <c:v>160</c:v>
                </c:pt>
                <c:pt idx="37">
                  <c:v>165</c:v>
                </c:pt>
                <c:pt idx="38">
                  <c:v>170</c:v>
                </c:pt>
                <c:pt idx="39">
                  <c:v>175</c:v>
                </c:pt>
                <c:pt idx="40">
                  <c:v>180</c:v>
                </c:pt>
                <c:pt idx="41">
                  <c:v>185</c:v>
                </c:pt>
                <c:pt idx="42">
                  <c:v>190</c:v>
                </c:pt>
              </c:numCache>
            </c:numRef>
          </c:cat>
          <c:val>
            <c:numRef>
              <c:f>Sheet2!$G$2:$G$44</c:f>
              <c:numCache>
                <c:formatCode>_(* #,##0.00_);_(* \(#,##0.00\);_(* "-"??_);_(@_)</c:formatCode>
                <c:ptCount val="43"/>
                <c:pt idx="0">
                  <c:v>8.0795177965137697</c:v>
                </c:pt>
                <c:pt idx="1">
                  <c:v>8.6805861008429108</c:v>
                </c:pt>
                <c:pt idx="2">
                  <c:v>9.3857577878501903</c:v>
                </c:pt>
                <c:pt idx="3">
                  <c:v>9.3130142574881702</c:v>
                </c:pt>
                <c:pt idx="4">
                  <c:v>8.0138615757482903</c:v>
                </c:pt>
                <c:pt idx="5">
                  <c:v>10.0518989613195</c:v>
                </c:pt>
                <c:pt idx="6">
                  <c:v>9.9210241256148599</c:v>
                </c:pt>
                <c:pt idx="7">
                  <c:v>9.7899577471123607</c:v>
                </c:pt>
                <c:pt idx="8">
                  <c:v>9.7025753175343006</c:v>
                </c:pt>
                <c:pt idx="9">
                  <c:v>9.2735422014736901</c:v>
                </c:pt>
                <c:pt idx="10">
                  <c:v>9.7346086655700699</c:v>
                </c:pt>
                <c:pt idx="11">
                  <c:v>10.279317116363099</c:v>
                </c:pt>
                <c:pt idx="12">
                  <c:v>9.0495432204951207</c:v>
                </c:pt>
                <c:pt idx="13">
                  <c:v>9.6788873383033796</c:v>
                </c:pt>
                <c:pt idx="14">
                  <c:v>9.6259032533053297</c:v>
                </c:pt>
                <c:pt idx="15">
                  <c:v>9.7494086399620201</c:v>
                </c:pt>
                <c:pt idx="16">
                  <c:v>10.4726552627285</c:v>
                </c:pt>
                <c:pt idx="17">
                  <c:v>10.8097661645182</c:v>
                </c:pt>
                <c:pt idx="18">
                  <c:v>11.278494798339899</c:v>
                </c:pt>
                <c:pt idx="19">
                  <c:v>10.360217755137899</c:v>
                </c:pt>
                <c:pt idx="20">
                  <c:v>11.6092063002649</c:v>
                </c:pt>
                <c:pt idx="21">
                  <c:v>11.8301867039886</c:v>
                </c:pt>
                <c:pt idx="22">
                  <c:v>11.708469938003301</c:v>
                </c:pt>
                <c:pt idx="23">
                  <c:v>11.345295015750199</c:v>
                </c:pt>
                <c:pt idx="24">
                  <c:v>13.5936282433803</c:v>
                </c:pt>
                <c:pt idx="25">
                  <c:v>13.752444330789499</c:v>
                </c:pt>
                <c:pt idx="26">
                  <c:v>12.510010163590801</c:v>
                </c:pt>
                <c:pt idx="27">
                  <c:v>12.3011342938672</c:v>
                </c:pt>
                <c:pt idx="28">
                  <c:v>13.1493022628928</c:v>
                </c:pt>
                <c:pt idx="29">
                  <c:v>14.5683980208671</c:v>
                </c:pt>
                <c:pt idx="30">
                  <c:v>13.7568252867555</c:v>
                </c:pt>
                <c:pt idx="31">
                  <c:v>13.4041402096772</c:v>
                </c:pt>
                <c:pt idx="32">
                  <c:v>15.803341065847899</c:v>
                </c:pt>
                <c:pt idx="33">
                  <c:v>14.2864099059066</c:v>
                </c:pt>
                <c:pt idx="34">
                  <c:v>14.205603089203301</c:v>
                </c:pt>
                <c:pt idx="35">
                  <c:v>16.012362987549501</c:v>
                </c:pt>
                <c:pt idx="36">
                  <c:v>15.675286042542201</c:v>
                </c:pt>
                <c:pt idx="37">
                  <c:v>16.9575225045865</c:v>
                </c:pt>
                <c:pt idx="38">
                  <c:v>12.4474618665415</c:v>
                </c:pt>
                <c:pt idx="39">
                  <c:v>15.6537173678011</c:v>
                </c:pt>
                <c:pt idx="40">
                  <c:v>16.128857482770599</c:v>
                </c:pt>
                <c:pt idx="41">
                  <c:v>17.797299294021901</c:v>
                </c:pt>
                <c:pt idx="42">
                  <c:v>14.9930424951863</c:v>
                </c:pt>
              </c:numCache>
            </c:numRef>
          </c:val>
          <c:smooth val="0"/>
        </c:ser>
        <c:ser>
          <c:idx val="1"/>
          <c:order val="1"/>
          <c:tx>
            <c:strRef>
              <c:f>Sheet2!$H$1</c:f>
              <c:strCache>
                <c:ptCount val="1"/>
                <c:pt idx="0">
                  <c:v>70</c:v>
                </c:pt>
              </c:strCache>
            </c:strRef>
          </c:tx>
          <c:marker>
            <c:symbol val="none"/>
          </c:marker>
          <c:cat>
            <c:numRef>
              <c:f>Sheet2!$A$2:$A$44</c:f>
              <c:numCache>
                <c:formatCode>General</c:formatCode>
                <c:ptCount val="43"/>
                <c:pt idx="0">
                  <c:v>-25</c:v>
                </c:pt>
                <c:pt idx="1">
                  <c:v>-15</c:v>
                </c:pt>
                <c:pt idx="2">
                  <c:v>-10</c:v>
                </c:pt>
                <c:pt idx="3">
                  <c:v>-5</c:v>
                </c:pt>
                <c:pt idx="4">
                  <c:v>0</c:v>
                </c:pt>
                <c:pt idx="5">
                  <c:v>5</c:v>
                </c:pt>
                <c:pt idx="6">
                  <c:v>10</c:v>
                </c:pt>
                <c:pt idx="7">
                  <c:v>15</c:v>
                </c:pt>
                <c:pt idx="8">
                  <c:v>20</c:v>
                </c:pt>
                <c:pt idx="9">
                  <c:v>25</c:v>
                </c:pt>
                <c:pt idx="10">
                  <c:v>30</c:v>
                </c:pt>
                <c:pt idx="11">
                  <c:v>35</c:v>
                </c:pt>
                <c:pt idx="12">
                  <c:v>40</c:v>
                </c:pt>
                <c:pt idx="13">
                  <c:v>45</c:v>
                </c:pt>
                <c:pt idx="14">
                  <c:v>50</c:v>
                </c:pt>
                <c:pt idx="15">
                  <c:v>55</c:v>
                </c:pt>
                <c:pt idx="16">
                  <c:v>60</c:v>
                </c:pt>
                <c:pt idx="17">
                  <c:v>65</c:v>
                </c:pt>
                <c:pt idx="18">
                  <c:v>70</c:v>
                </c:pt>
                <c:pt idx="19">
                  <c:v>75</c:v>
                </c:pt>
                <c:pt idx="20">
                  <c:v>80</c:v>
                </c:pt>
                <c:pt idx="21">
                  <c:v>85</c:v>
                </c:pt>
                <c:pt idx="22">
                  <c:v>90</c:v>
                </c:pt>
                <c:pt idx="23">
                  <c:v>95</c:v>
                </c:pt>
                <c:pt idx="24">
                  <c:v>100</c:v>
                </c:pt>
                <c:pt idx="25">
                  <c:v>105</c:v>
                </c:pt>
                <c:pt idx="26">
                  <c:v>110</c:v>
                </c:pt>
                <c:pt idx="27">
                  <c:v>115</c:v>
                </c:pt>
                <c:pt idx="28">
                  <c:v>120</c:v>
                </c:pt>
                <c:pt idx="29">
                  <c:v>125</c:v>
                </c:pt>
                <c:pt idx="30">
                  <c:v>130</c:v>
                </c:pt>
                <c:pt idx="31">
                  <c:v>135</c:v>
                </c:pt>
                <c:pt idx="32">
                  <c:v>140</c:v>
                </c:pt>
                <c:pt idx="33">
                  <c:v>145</c:v>
                </c:pt>
                <c:pt idx="34">
                  <c:v>150</c:v>
                </c:pt>
                <c:pt idx="35">
                  <c:v>155</c:v>
                </c:pt>
                <c:pt idx="36">
                  <c:v>160</c:v>
                </c:pt>
                <c:pt idx="37">
                  <c:v>165</c:v>
                </c:pt>
                <c:pt idx="38">
                  <c:v>170</c:v>
                </c:pt>
                <c:pt idx="39">
                  <c:v>175</c:v>
                </c:pt>
                <c:pt idx="40">
                  <c:v>180</c:v>
                </c:pt>
                <c:pt idx="41">
                  <c:v>185</c:v>
                </c:pt>
                <c:pt idx="42">
                  <c:v>190</c:v>
                </c:pt>
              </c:numCache>
            </c:numRef>
          </c:cat>
          <c:val>
            <c:numRef>
              <c:f>Sheet2!$H$2:$H$44</c:f>
              <c:numCache>
                <c:formatCode>_(* #,##0.00_);_(* \(#,##0.00\);_(* "-"??_);_(@_)</c:formatCode>
                <c:ptCount val="43"/>
                <c:pt idx="0">
                  <c:v>7.2213767221873697</c:v>
                </c:pt>
                <c:pt idx="1">
                  <c:v>7.60798429900803</c:v>
                </c:pt>
                <c:pt idx="2">
                  <c:v>8.5316426375462697</c:v>
                </c:pt>
                <c:pt idx="3">
                  <c:v>8.5268070635036803</c:v>
                </c:pt>
                <c:pt idx="4">
                  <c:v>8.3348111813328405</c:v>
                </c:pt>
                <c:pt idx="5">
                  <c:v>8.7715591056667694</c:v>
                </c:pt>
                <c:pt idx="6">
                  <c:v>8.5510437364632708</c:v>
                </c:pt>
                <c:pt idx="7">
                  <c:v>8.5504197899004097</c:v>
                </c:pt>
                <c:pt idx="8">
                  <c:v>8.8121795024272593</c:v>
                </c:pt>
                <c:pt idx="9">
                  <c:v>9.07379132265193</c:v>
                </c:pt>
                <c:pt idx="10">
                  <c:v>8.7171381038679598</c:v>
                </c:pt>
                <c:pt idx="11">
                  <c:v>9.1608310465454306</c:v>
                </c:pt>
                <c:pt idx="12">
                  <c:v>9.5602227168195792</c:v>
                </c:pt>
                <c:pt idx="13">
                  <c:v>9.4129874485190808</c:v>
                </c:pt>
                <c:pt idx="14">
                  <c:v>9.0795217844119893</c:v>
                </c:pt>
                <c:pt idx="15">
                  <c:v>9.7959963925272007</c:v>
                </c:pt>
                <c:pt idx="16">
                  <c:v>10.4476967658389</c:v>
                </c:pt>
                <c:pt idx="17">
                  <c:v>9.8354296521888696</c:v>
                </c:pt>
                <c:pt idx="18">
                  <c:v>10.4789901430507</c:v>
                </c:pt>
                <c:pt idx="19">
                  <c:v>10.304357603106199</c:v>
                </c:pt>
                <c:pt idx="20">
                  <c:v>10.7580092403281</c:v>
                </c:pt>
                <c:pt idx="21">
                  <c:v>11.3828194239056</c:v>
                </c:pt>
                <c:pt idx="22">
                  <c:v>11.3394071752797</c:v>
                </c:pt>
                <c:pt idx="23">
                  <c:v>11.2826563467169</c:v>
                </c:pt>
                <c:pt idx="24">
                  <c:v>11.7061942840804</c:v>
                </c:pt>
                <c:pt idx="25">
                  <c:v>12.5790075603747</c:v>
                </c:pt>
                <c:pt idx="26">
                  <c:v>12.754264051866601</c:v>
                </c:pt>
                <c:pt idx="27">
                  <c:v>12.798580143075201</c:v>
                </c:pt>
                <c:pt idx="28">
                  <c:v>13.200959290240901</c:v>
                </c:pt>
                <c:pt idx="29">
                  <c:v>13.8735659888047</c:v>
                </c:pt>
                <c:pt idx="30">
                  <c:v>14.253132244642501</c:v>
                </c:pt>
                <c:pt idx="31">
                  <c:v>13.732058962341799</c:v>
                </c:pt>
                <c:pt idx="32">
                  <c:v>14.814533239942399</c:v>
                </c:pt>
                <c:pt idx="33">
                  <c:v>14.243046678475601</c:v>
                </c:pt>
                <c:pt idx="34">
                  <c:v>15.218868868423201</c:v>
                </c:pt>
                <c:pt idx="35">
                  <c:v>14.236920404519299</c:v>
                </c:pt>
                <c:pt idx="36">
                  <c:v>15.7423296359601</c:v>
                </c:pt>
                <c:pt idx="37">
                  <c:v>15.722721060727199</c:v>
                </c:pt>
                <c:pt idx="38">
                  <c:v>16.059332854280498</c:v>
                </c:pt>
                <c:pt idx="39">
                  <c:v>15.6461622387588</c:v>
                </c:pt>
                <c:pt idx="40">
                  <c:v>16.6924234732071</c:v>
                </c:pt>
                <c:pt idx="41">
                  <c:v>18.7552054356714</c:v>
                </c:pt>
                <c:pt idx="42">
                  <c:v>14.578367113129399</c:v>
                </c:pt>
              </c:numCache>
            </c:numRef>
          </c:val>
          <c:smooth val="0"/>
        </c:ser>
        <c:ser>
          <c:idx val="2"/>
          <c:order val="2"/>
          <c:tx>
            <c:strRef>
              <c:f>Sheet2!$I$1</c:f>
              <c:strCache>
                <c:ptCount val="1"/>
                <c:pt idx="0">
                  <c:v>80</c:v>
                </c:pt>
              </c:strCache>
            </c:strRef>
          </c:tx>
          <c:marker>
            <c:symbol val="none"/>
          </c:marker>
          <c:cat>
            <c:numRef>
              <c:f>Sheet2!$A$2:$A$44</c:f>
              <c:numCache>
                <c:formatCode>General</c:formatCode>
                <c:ptCount val="43"/>
                <c:pt idx="0">
                  <c:v>-25</c:v>
                </c:pt>
                <c:pt idx="1">
                  <c:v>-15</c:v>
                </c:pt>
                <c:pt idx="2">
                  <c:v>-10</c:v>
                </c:pt>
                <c:pt idx="3">
                  <c:v>-5</c:v>
                </c:pt>
                <c:pt idx="4">
                  <c:v>0</c:v>
                </c:pt>
                <c:pt idx="5">
                  <c:v>5</c:v>
                </c:pt>
                <c:pt idx="6">
                  <c:v>10</c:v>
                </c:pt>
                <c:pt idx="7">
                  <c:v>15</c:v>
                </c:pt>
                <c:pt idx="8">
                  <c:v>20</c:v>
                </c:pt>
                <c:pt idx="9">
                  <c:v>25</c:v>
                </c:pt>
                <c:pt idx="10">
                  <c:v>30</c:v>
                </c:pt>
                <c:pt idx="11">
                  <c:v>35</c:v>
                </c:pt>
                <c:pt idx="12">
                  <c:v>40</c:v>
                </c:pt>
                <c:pt idx="13">
                  <c:v>45</c:v>
                </c:pt>
                <c:pt idx="14">
                  <c:v>50</c:v>
                </c:pt>
                <c:pt idx="15">
                  <c:v>55</c:v>
                </c:pt>
                <c:pt idx="16">
                  <c:v>60</c:v>
                </c:pt>
                <c:pt idx="17">
                  <c:v>65</c:v>
                </c:pt>
                <c:pt idx="18">
                  <c:v>70</c:v>
                </c:pt>
                <c:pt idx="19">
                  <c:v>75</c:v>
                </c:pt>
                <c:pt idx="20">
                  <c:v>80</c:v>
                </c:pt>
                <c:pt idx="21">
                  <c:v>85</c:v>
                </c:pt>
                <c:pt idx="22">
                  <c:v>90</c:v>
                </c:pt>
                <c:pt idx="23">
                  <c:v>95</c:v>
                </c:pt>
                <c:pt idx="24">
                  <c:v>100</c:v>
                </c:pt>
                <c:pt idx="25">
                  <c:v>105</c:v>
                </c:pt>
                <c:pt idx="26">
                  <c:v>110</c:v>
                </c:pt>
                <c:pt idx="27">
                  <c:v>115</c:v>
                </c:pt>
                <c:pt idx="28">
                  <c:v>120</c:v>
                </c:pt>
                <c:pt idx="29">
                  <c:v>125</c:v>
                </c:pt>
                <c:pt idx="30">
                  <c:v>130</c:v>
                </c:pt>
                <c:pt idx="31">
                  <c:v>135</c:v>
                </c:pt>
                <c:pt idx="32">
                  <c:v>140</c:v>
                </c:pt>
                <c:pt idx="33">
                  <c:v>145</c:v>
                </c:pt>
                <c:pt idx="34">
                  <c:v>150</c:v>
                </c:pt>
                <c:pt idx="35">
                  <c:v>155</c:v>
                </c:pt>
                <c:pt idx="36">
                  <c:v>160</c:v>
                </c:pt>
                <c:pt idx="37">
                  <c:v>165</c:v>
                </c:pt>
                <c:pt idx="38">
                  <c:v>170</c:v>
                </c:pt>
                <c:pt idx="39">
                  <c:v>175</c:v>
                </c:pt>
                <c:pt idx="40">
                  <c:v>180</c:v>
                </c:pt>
                <c:pt idx="41">
                  <c:v>185</c:v>
                </c:pt>
                <c:pt idx="42">
                  <c:v>190</c:v>
                </c:pt>
              </c:numCache>
            </c:numRef>
          </c:cat>
          <c:val>
            <c:numRef>
              <c:f>Sheet2!$I$2:$I$44</c:f>
              <c:numCache>
                <c:formatCode>_(* #,##0.00_);_(* \(#,##0.00\);_(* "-"??_);_(@_)</c:formatCode>
                <c:ptCount val="43"/>
                <c:pt idx="0">
                  <c:v>6.72535845610353</c:v>
                </c:pt>
                <c:pt idx="1">
                  <c:v>7.4805430498898504</c:v>
                </c:pt>
                <c:pt idx="2">
                  <c:v>8.3592662988301996</c:v>
                </c:pt>
                <c:pt idx="3">
                  <c:v>7.4374506077358404</c:v>
                </c:pt>
                <c:pt idx="4">
                  <c:v>8.1505700920075004</c:v>
                </c:pt>
                <c:pt idx="5">
                  <c:v>7.9699779019127002</c:v>
                </c:pt>
                <c:pt idx="6">
                  <c:v>9.13323069003577</c:v>
                </c:pt>
                <c:pt idx="7">
                  <c:v>8.0849455531479002</c:v>
                </c:pt>
                <c:pt idx="8">
                  <c:v>8.7769409674244301</c:v>
                </c:pt>
                <c:pt idx="9">
                  <c:v>8.4277556070200905</c:v>
                </c:pt>
                <c:pt idx="10">
                  <c:v>8.8119126801140606</c:v>
                </c:pt>
                <c:pt idx="11">
                  <c:v>8.5879585646839107</c:v>
                </c:pt>
                <c:pt idx="12">
                  <c:v>8.5117825697236906</c:v>
                </c:pt>
                <c:pt idx="13">
                  <c:v>8.5923748336124</c:v>
                </c:pt>
                <c:pt idx="14">
                  <c:v>8.9351123163550401</c:v>
                </c:pt>
                <c:pt idx="15">
                  <c:v>9.6261452848494908</c:v>
                </c:pt>
                <c:pt idx="16">
                  <c:v>9.6926438733173192</c:v>
                </c:pt>
                <c:pt idx="17">
                  <c:v>9.9600977108534501</c:v>
                </c:pt>
                <c:pt idx="18">
                  <c:v>9.8539408520710605</c:v>
                </c:pt>
                <c:pt idx="19">
                  <c:v>10.228636535252701</c:v>
                </c:pt>
                <c:pt idx="20">
                  <c:v>11.0512213739191</c:v>
                </c:pt>
                <c:pt idx="21">
                  <c:v>11.9156258576197</c:v>
                </c:pt>
                <c:pt idx="22">
                  <c:v>11.5113093454168</c:v>
                </c:pt>
                <c:pt idx="23">
                  <c:v>12.3293215496541</c:v>
                </c:pt>
                <c:pt idx="24">
                  <c:v>12.9849939839201</c:v>
                </c:pt>
                <c:pt idx="25">
                  <c:v>13.454183771573099</c:v>
                </c:pt>
                <c:pt idx="26">
                  <c:v>13.314986975266899</c:v>
                </c:pt>
                <c:pt idx="27">
                  <c:v>13.9867028376603</c:v>
                </c:pt>
                <c:pt idx="28">
                  <c:v>13.946222288253599</c:v>
                </c:pt>
                <c:pt idx="29">
                  <c:v>14.0537151712546</c:v>
                </c:pt>
                <c:pt idx="30">
                  <c:v>14.190902614781599</c:v>
                </c:pt>
                <c:pt idx="31">
                  <c:v>14.618393554797301</c:v>
                </c:pt>
                <c:pt idx="32">
                  <c:v>14.777020485717999</c:v>
                </c:pt>
                <c:pt idx="33">
                  <c:v>15.619519159873199</c:v>
                </c:pt>
                <c:pt idx="34">
                  <c:v>17.087233057780299</c:v>
                </c:pt>
                <c:pt idx="35">
                  <c:v>16.979308092924398</c:v>
                </c:pt>
                <c:pt idx="36">
                  <c:v>16.987364902092299</c:v>
                </c:pt>
                <c:pt idx="37">
                  <c:v>17.1548666626916</c:v>
                </c:pt>
                <c:pt idx="38">
                  <c:v>16.663852212206201</c:v>
                </c:pt>
                <c:pt idx="39">
                  <c:v>18.548414507229701</c:v>
                </c:pt>
                <c:pt idx="40">
                  <c:v>17.185679341375</c:v>
                </c:pt>
                <c:pt idx="41">
                  <c:v>18.5292984816457</c:v>
                </c:pt>
                <c:pt idx="42">
                  <c:v>16.077973224520601</c:v>
                </c:pt>
              </c:numCache>
            </c:numRef>
          </c:val>
          <c:smooth val="0"/>
        </c:ser>
        <c:ser>
          <c:idx val="3"/>
          <c:order val="3"/>
          <c:tx>
            <c:strRef>
              <c:f>Sheet2!$J$1</c:f>
              <c:strCache>
                <c:ptCount val="1"/>
                <c:pt idx="0">
                  <c:v>90</c:v>
                </c:pt>
              </c:strCache>
            </c:strRef>
          </c:tx>
          <c:marker>
            <c:symbol val="none"/>
          </c:marker>
          <c:cat>
            <c:numRef>
              <c:f>Sheet2!$A$2:$A$44</c:f>
              <c:numCache>
                <c:formatCode>General</c:formatCode>
                <c:ptCount val="43"/>
                <c:pt idx="0">
                  <c:v>-25</c:v>
                </c:pt>
                <c:pt idx="1">
                  <c:v>-15</c:v>
                </c:pt>
                <c:pt idx="2">
                  <c:v>-10</c:v>
                </c:pt>
                <c:pt idx="3">
                  <c:v>-5</c:v>
                </c:pt>
                <c:pt idx="4">
                  <c:v>0</c:v>
                </c:pt>
                <c:pt idx="5">
                  <c:v>5</c:v>
                </c:pt>
                <c:pt idx="6">
                  <c:v>10</c:v>
                </c:pt>
                <c:pt idx="7">
                  <c:v>15</c:v>
                </c:pt>
                <c:pt idx="8">
                  <c:v>20</c:v>
                </c:pt>
                <c:pt idx="9">
                  <c:v>25</c:v>
                </c:pt>
                <c:pt idx="10">
                  <c:v>30</c:v>
                </c:pt>
                <c:pt idx="11">
                  <c:v>35</c:v>
                </c:pt>
                <c:pt idx="12">
                  <c:v>40</c:v>
                </c:pt>
                <c:pt idx="13">
                  <c:v>45</c:v>
                </c:pt>
                <c:pt idx="14">
                  <c:v>50</c:v>
                </c:pt>
                <c:pt idx="15">
                  <c:v>55</c:v>
                </c:pt>
                <c:pt idx="16">
                  <c:v>60</c:v>
                </c:pt>
                <c:pt idx="17">
                  <c:v>65</c:v>
                </c:pt>
                <c:pt idx="18">
                  <c:v>70</c:v>
                </c:pt>
                <c:pt idx="19">
                  <c:v>75</c:v>
                </c:pt>
                <c:pt idx="20">
                  <c:v>80</c:v>
                </c:pt>
                <c:pt idx="21">
                  <c:v>85</c:v>
                </c:pt>
                <c:pt idx="22">
                  <c:v>90</c:v>
                </c:pt>
                <c:pt idx="23">
                  <c:v>95</c:v>
                </c:pt>
                <c:pt idx="24">
                  <c:v>100</c:v>
                </c:pt>
                <c:pt idx="25">
                  <c:v>105</c:v>
                </c:pt>
                <c:pt idx="26">
                  <c:v>110</c:v>
                </c:pt>
                <c:pt idx="27">
                  <c:v>115</c:v>
                </c:pt>
                <c:pt idx="28">
                  <c:v>120</c:v>
                </c:pt>
                <c:pt idx="29">
                  <c:v>125</c:v>
                </c:pt>
                <c:pt idx="30">
                  <c:v>130</c:v>
                </c:pt>
                <c:pt idx="31">
                  <c:v>135</c:v>
                </c:pt>
                <c:pt idx="32">
                  <c:v>140</c:v>
                </c:pt>
                <c:pt idx="33">
                  <c:v>145</c:v>
                </c:pt>
                <c:pt idx="34">
                  <c:v>150</c:v>
                </c:pt>
                <c:pt idx="35">
                  <c:v>155</c:v>
                </c:pt>
                <c:pt idx="36">
                  <c:v>160</c:v>
                </c:pt>
                <c:pt idx="37">
                  <c:v>165</c:v>
                </c:pt>
                <c:pt idx="38">
                  <c:v>170</c:v>
                </c:pt>
                <c:pt idx="39">
                  <c:v>175</c:v>
                </c:pt>
                <c:pt idx="40">
                  <c:v>180</c:v>
                </c:pt>
                <c:pt idx="41">
                  <c:v>185</c:v>
                </c:pt>
                <c:pt idx="42">
                  <c:v>190</c:v>
                </c:pt>
              </c:numCache>
            </c:numRef>
          </c:cat>
          <c:val>
            <c:numRef>
              <c:f>Sheet2!$J$2:$J$44</c:f>
              <c:numCache>
                <c:formatCode>_(* #,##0.00_);_(* \(#,##0.00\);_(* "-"??_);_(@_)</c:formatCode>
                <c:ptCount val="43"/>
                <c:pt idx="0">
                  <c:v>6.7273956075274697</c:v>
                </c:pt>
                <c:pt idx="1">
                  <c:v>7.8620456580270099</c:v>
                </c:pt>
                <c:pt idx="2">
                  <c:v>7.7915826465785702</c:v>
                </c:pt>
                <c:pt idx="3">
                  <c:v>7.4717381758200698</c:v>
                </c:pt>
                <c:pt idx="4">
                  <c:v>7.2835938389932799</c:v>
                </c:pt>
                <c:pt idx="5">
                  <c:v>7.5134159181811402</c:v>
                </c:pt>
                <c:pt idx="6">
                  <c:v>8.2020783208901697</c:v>
                </c:pt>
                <c:pt idx="7">
                  <c:v>7.6121496634530699</c:v>
                </c:pt>
                <c:pt idx="8">
                  <c:v>8.0653791481177208</c:v>
                </c:pt>
                <c:pt idx="9">
                  <c:v>8.6201202114993194</c:v>
                </c:pt>
                <c:pt idx="10">
                  <c:v>8.6871829018265903</c:v>
                </c:pt>
                <c:pt idx="11">
                  <c:v>9.3363033330959198</c:v>
                </c:pt>
                <c:pt idx="12">
                  <c:v>9.1145506939059899</c:v>
                </c:pt>
                <c:pt idx="13">
                  <c:v>9.4196619902398506</c:v>
                </c:pt>
                <c:pt idx="14">
                  <c:v>9.3681576267703104</c:v>
                </c:pt>
                <c:pt idx="15">
                  <c:v>9.3335633366878596</c:v>
                </c:pt>
                <c:pt idx="16">
                  <c:v>10.054320807741901</c:v>
                </c:pt>
                <c:pt idx="17">
                  <c:v>10.7411695603456</c:v>
                </c:pt>
                <c:pt idx="18">
                  <c:v>10.734000671906299</c:v>
                </c:pt>
                <c:pt idx="19">
                  <c:v>11.3403005287725</c:v>
                </c:pt>
                <c:pt idx="20">
                  <c:v>11.748204748187501</c:v>
                </c:pt>
                <c:pt idx="21">
                  <c:v>11.1190257375399</c:v>
                </c:pt>
                <c:pt idx="22">
                  <c:v>11.697637608127501</c:v>
                </c:pt>
                <c:pt idx="23">
                  <c:v>12.9660191862973</c:v>
                </c:pt>
                <c:pt idx="24">
                  <c:v>12.9248082702766</c:v>
                </c:pt>
                <c:pt idx="25">
                  <c:v>13.5495679366348</c:v>
                </c:pt>
                <c:pt idx="26">
                  <c:v>13.767069600929601</c:v>
                </c:pt>
                <c:pt idx="27">
                  <c:v>13.9025368510723</c:v>
                </c:pt>
                <c:pt idx="28">
                  <c:v>14.872867915476901</c:v>
                </c:pt>
                <c:pt idx="29">
                  <c:v>16.2340920393662</c:v>
                </c:pt>
                <c:pt idx="30">
                  <c:v>16.348072195128999</c:v>
                </c:pt>
                <c:pt idx="31">
                  <c:v>15.9937492877387</c:v>
                </c:pt>
                <c:pt idx="32">
                  <c:v>16.652077510639899</c:v>
                </c:pt>
                <c:pt idx="33">
                  <c:v>16.105397595849698</c:v>
                </c:pt>
                <c:pt idx="34">
                  <c:v>17.329223623875301</c:v>
                </c:pt>
                <c:pt idx="35">
                  <c:v>16.450051959479801</c:v>
                </c:pt>
                <c:pt idx="36">
                  <c:v>19.751753475512398</c:v>
                </c:pt>
                <c:pt idx="37">
                  <c:v>18.0039660638624</c:v>
                </c:pt>
                <c:pt idx="38">
                  <c:v>18.767340643891401</c:v>
                </c:pt>
                <c:pt idx="39">
                  <c:v>19.7897088380467</c:v>
                </c:pt>
                <c:pt idx="40">
                  <c:v>21.362474254611602</c:v>
                </c:pt>
                <c:pt idx="41">
                  <c:v>18.7541267972992</c:v>
                </c:pt>
                <c:pt idx="42">
                  <c:v>17.892162867660598</c:v>
                </c:pt>
              </c:numCache>
            </c:numRef>
          </c:val>
          <c:smooth val="0"/>
        </c:ser>
        <c:ser>
          <c:idx val="4"/>
          <c:order val="4"/>
          <c:tx>
            <c:strRef>
              <c:f>Sheet2!$K$1</c:f>
              <c:strCache>
                <c:ptCount val="1"/>
                <c:pt idx="0">
                  <c:v>100</c:v>
                </c:pt>
              </c:strCache>
            </c:strRef>
          </c:tx>
          <c:marker>
            <c:symbol val="none"/>
          </c:marker>
          <c:cat>
            <c:numRef>
              <c:f>Sheet2!$A$2:$A$44</c:f>
              <c:numCache>
                <c:formatCode>General</c:formatCode>
                <c:ptCount val="43"/>
                <c:pt idx="0">
                  <c:v>-25</c:v>
                </c:pt>
                <c:pt idx="1">
                  <c:v>-15</c:v>
                </c:pt>
                <c:pt idx="2">
                  <c:v>-10</c:v>
                </c:pt>
                <c:pt idx="3">
                  <c:v>-5</c:v>
                </c:pt>
                <c:pt idx="4">
                  <c:v>0</c:v>
                </c:pt>
                <c:pt idx="5">
                  <c:v>5</c:v>
                </c:pt>
                <c:pt idx="6">
                  <c:v>10</c:v>
                </c:pt>
                <c:pt idx="7">
                  <c:v>15</c:v>
                </c:pt>
                <c:pt idx="8">
                  <c:v>20</c:v>
                </c:pt>
                <c:pt idx="9">
                  <c:v>25</c:v>
                </c:pt>
                <c:pt idx="10">
                  <c:v>30</c:v>
                </c:pt>
                <c:pt idx="11">
                  <c:v>35</c:v>
                </c:pt>
                <c:pt idx="12">
                  <c:v>40</c:v>
                </c:pt>
                <c:pt idx="13">
                  <c:v>45</c:v>
                </c:pt>
                <c:pt idx="14">
                  <c:v>50</c:v>
                </c:pt>
                <c:pt idx="15">
                  <c:v>55</c:v>
                </c:pt>
                <c:pt idx="16">
                  <c:v>60</c:v>
                </c:pt>
                <c:pt idx="17">
                  <c:v>65</c:v>
                </c:pt>
                <c:pt idx="18">
                  <c:v>70</c:v>
                </c:pt>
                <c:pt idx="19">
                  <c:v>75</c:v>
                </c:pt>
                <c:pt idx="20">
                  <c:v>80</c:v>
                </c:pt>
                <c:pt idx="21">
                  <c:v>85</c:v>
                </c:pt>
                <c:pt idx="22">
                  <c:v>90</c:v>
                </c:pt>
                <c:pt idx="23">
                  <c:v>95</c:v>
                </c:pt>
                <c:pt idx="24">
                  <c:v>100</c:v>
                </c:pt>
                <c:pt idx="25">
                  <c:v>105</c:v>
                </c:pt>
                <c:pt idx="26">
                  <c:v>110</c:v>
                </c:pt>
                <c:pt idx="27">
                  <c:v>115</c:v>
                </c:pt>
                <c:pt idx="28">
                  <c:v>120</c:v>
                </c:pt>
                <c:pt idx="29">
                  <c:v>125</c:v>
                </c:pt>
                <c:pt idx="30">
                  <c:v>130</c:v>
                </c:pt>
                <c:pt idx="31">
                  <c:v>135</c:v>
                </c:pt>
                <c:pt idx="32">
                  <c:v>140</c:v>
                </c:pt>
                <c:pt idx="33">
                  <c:v>145</c:v>
                </c:pt>
                <c:pt idx="34">
                  <c:v>150</c:v>
                </c:pt>
                <c:pt idx="35">
                  <c:v>155</c:v>
                </c:pt>
                <c:pt idx="36">
                  <c:v>160</c:v>
                </c:pt>
                <c:pt idx="37">
                  <c:v>165</c:v>
                </c:pt>
                <c:pt idx="38">
                  <c:v>170</c:v>
                </c:pt>
                <c:pt idx="39">
                  <c:v>175</c:v>
                </c:pt>
                <c:pt idx="40">
                  <c:v>180</c:v>
                </c:pt>
                <c:pt idx="41">
                  <c:v>185</c:v>
                </c:pt>
                <c:pt idx="42">
                  <c:v>190</c:v>
                </c:pt>
              </c:numCache>
            </c:numRef>
          </c:cat>
          <c:val>
            <c:numRef>
              <c:f>Sheet2!$K$2:$K$44</c:f>
              <c:numCache>
                <c:formatCode>_(* #,##0.00_);_(* \(#,##0.00\);_(* "-"??_);_(@_)</c:formatCode>
                <c:ptCount val="43"/>
                <c:pt idx="0">
                  <c:v>6.1983349838056201</c:v>
                </c:pt>
                <c:pt idx="1">
                  <c:v>7.3503909716776299</c:v>
                </c:pt>
                <c:pt idx="2">
                  <c:v>7.4585722426706198</c:v>
                </c:pt>
                <c:pt idx="3">
                  <c:v>7.9561029804538199</c:v>
                </c:pt>
                <c:pt idx="4">
                  <c:v>7.6079540279936797</c:v>
                </c:pt>
                <c:pt idx="5">
                  <c:v>7.9487307950805004</c:v>
                </c:pt>
                <c:pt idx="6">
                  <c:v>8.4384760683162305</c:v>
                </c:pt>
                <c:pt idx="7">
                  <c:v>8.3262498729317507</c:v>
                </c:pt>
                <c:pt idx="8">
                  <c:v>8.58264796266125</c:v>
                </c:pt>
                <c:pt idx="9">
                  <c:v>8.5883834100042193</c:v>
                </c:pt>
                <c:pt idx="10">
                  <c:v>8.8205840092229799</c:v>
                </c:pt>
                <c:pt idx="11">
                  <c:v>9.0509041274088506</c:v>
                </c:pt>
                <c:pt idx="12">
                  <c:v>8.7468994013902197</c:v>
                </c:pt>
                <c:pt idx="13">
                  <c:v>9.4572521423370208</c:v>
                </c:pt>
                <c:pt idx="14">
                  <c:v>9.01712517438901</c:v>
                </c:pt>
                <c:pt idx="15">
                  <c:v>9.72695542084411</c:v>
                </c:pt>
                <c:pt idx="16">
                  <c:v>9.9000447986909101</c:v>
                </c:pt>
                <c:pt idx="17">
                  <c:v>10.505234828180299</c:v>
                </c:pt>
                <c:pt idx="18">
                  <c:v>10.8802207142715</c:v>
                </c:pt>
                <c:pt idx="19">
                  <c:v>11.226219056904</c:v>
                </c:pt>
                <c:pt idx="20">
                  <c:v>11.925099715396</c:v>
                </c:pt>
                <c:pt idx="21">
                  <c:v>12.5479716800224</c:v>
                </c:pt>
                <c:pt idx="22">
                  <c:v>12.0083287568313</c:v>
                </c:pt>
                <c:pt idx="23">
                  <c:v>13.428251845776201</c:v>
                </c:pt>
                <c:pt idx="24">
                  <c:v>14.5285333697955</c:v>
                </c:pt>
                <c:pt idx="25">
                  <c:v>15.225710923427</c:v>
                </c:pt>
                <c:pt idx="26">
                  <c:v>15.046576794527301</c:v>
                </c:pt>
                <c:pt idx="27">
                  <c:v>16.574628583336299</c:v>
                </c:pt>
                <c:pt idx="28">
                  <c:v>16.3946400515905</c:v>
                </c:pt>
                <c:pt idx="29">
                  <c:v>16.8374605685967</c:v>
                </c:pt>
                <c:pt idx="30">
                  <c:v>17.333383298485899</c:v>
                </c:pt>
                <c:pt idx="31">
                  <c:v>18.022305399986699</c:v>
                </c:pt>
                <c:pt idx="32">
                  <c:v>19.6782332717682</c:v>
                </c:pt>
                <c:pt idx="33">
                  <c:v>20.468001263255001</c:v>
                </c:pt>
                <c:pt idx="34">
                  <c:v>20.429332896200702</c:v>
                </c:pt>
                <c:pt idx="35">
                  <c:v>19.4757239493238</c:v>
                </c:pt>
                <c:pt idx="36">
                  <c:v>20.808678383513602</c:v>
                </c:pt>
                <c:pt idx="37">
                  <c:v>21.586451120171301</c:v>
                </c:pt>
                <c:pt idx="38">
                  <c:v>19.4321278539351</c:v>
                </c:pt>
                <c:pt idx="39">
                  <c:v>21.094400288440301</c:v>
                </c:pt>
                <c:pt idx="40">
                  <c:v>20.534061445604301</c:v>
                </c:pt>
                <c:pt idx="41">
                  <c:v>22.664715886164299</c:v>
                </c:pt>
                <c:pt idx="42">
                  <c:v>22.191252322791801</c:v>
                </c:pt>
              </c:numCache>
            </c:numRef>
          </c:val>
          <c:smooth val="0"/>
        </c:ser>
        <c:ser>
          <c:idx val="5"/>
          <c:order val="5"/>
          <c:tx>
            <c:strRef>
              <c:f>Sheet2!$L$1</c:f>
              <c:strCache>
                <c:ptCount val="1"/>
                <c:pt idx="0">
                  <c:v>110</c:v>
                </c:pt>
              </c:strCache>
            </c:strRef>
          </c:tx>
          <c:marker>
            <c:symbol val="none"/>
          </c:marker>
          <c:cat>
            <c:numRef>
              <c:f>Sheet2!$A$2:$A$44</c:f>
              <c:numCache>
                <c:formatCode>General</c:formatCode>
                <c:ptCount val="43"/>
                <c:pt idx="0">
                  <c:v>-25</c:v>
                </c:pt>
                <c:pt idx="1">
                  <c:v>-15</c:v>
                </c:pt>
                <c:pt idx="2">
                  <c:v>-10</c:v>
                </c:pt>
                <c:pt idx="3">
                  <c:v>-5</c:v>
                </c:pt>
                <c:pt idx="4">
                  <c:v>0</c:v>
                </c:pt>
                <c:pt idx="5">
                  <c:v>5</c:v>
                </c:pt>
                <c:pt idx="6">
                  <c:v>10</c:v>
                </c:pt>
                <c:pt idx="7">
                  <c:v>15</c:v>
                </c:pt>
                <c:pt idx="8">
                  <c:v>20</c:v>
                </c:pt>
                <c:pt idx="9">
                  <c:v>25</c:v>
                </c:pt>
                <c:pt idx="10">
                  <c:v>30</c:v>
                </c:pt>
                <c:pt idx="11">
                  <c:v>35</c:v>
                </c:pt>
                <c:pt idx="12">
                  <c:v>40</c:v>
                </c:pt>
                <c:pt idx="13">
                  <c:v>45</c:v>
                </c:pt>
                <c:pt idx="14">
                  <c:v>50</c:v>
                </c:pt>
                <c:pt idx="15">
                  <c:v>55</c:v>
                </c:pt>
                <c:pt idx="16">
                  <c:v>60</c:v>
                </c:pt>
                <c:pt idx="17">
                  <c:v>65</c:v>
                </c:pt>
                <c:pt idx="18">
                  <c:v>70</c:v>
                </c:pt>
                <c:pt idx="19">
                  <c:v>75</c:v>
                </c:pt>
                <c:pt idx="20">
                  <c:v>80</c:v>
                </c:pt>
                <c:pt idx="21">
                  <c:v>85</c:v>
                </c:pt>
                <c:pt idx="22">
                  <c:v>90</c:v>
                </c:pt>
                <c:pt idx="23">
                  <c:v>95</c:v>
                </c:pt>
                <c:pt idx="24">
                  <c:v>100</c:v>
                </c:pt>
                <c:pt idx="25">
                  <c:v>105</c:v>
                </c:pt>
                <c:pt idx="26">
                  <c:v>110</c:v>
                </c:pt>
                <c:pt idx="27">
                  <c:v>115</c:v>
                </c:pt>
                <c:pt idx="28">
                  <c:v>120</c:v>
                </c:pt>
                <c:pt idx="29">
                  <c:v>125</c:v>
                </c:pt>
                <c:pt idx="30">
                  <c:v>130</c:v>
                </c:pt>
                <c:pt idx="31">
                  <c:v>135</c:v>
                </c:pt>
                <c:pt idx="32">
                  <c:v>140</c:v>
                </c:pt>
                <c:pt idx="33">
                  <c:v>145</c:v>
                </c:pt>
                <c:pt idx="34">
                  <c:v>150</c:v>
                </c:pt>
                <c:pt idx="35">
                  <c:v>155</c:v>
                </c:pt>
                <c:pt idx="36">
                  <c:v>160</c:v>
                </c:pt>
                <c:pt idx="37">
                  <c:v>165</c:v>
                </c:pt>
                <c:pt idx="38">
                  <c:v>170</c:v>
                </c:pt>
                <c:pt idx="39">
                  <c:v>175</c:v>
                </c:pt>
                <c:pt idx="40">
                  <c:v>180</c:v>
                </c:pt>
                <c:pt idx="41">
                  <c:v>185</c:v>
                </c:pt>
                <c:pt idx="42">
                  <c:v>190</c:v>
                </c:pt>
              </c:numCache>
            </c:numRef>
          </c:cat>
          <c:val>
            <c:numRef>
              <c:f>Sheet2!$L$2:$L$44</c:f>
              <c:numCache>
                <c:formatCode>_(* #,##0.00_);_(* \(#,##0.00\);_(* "-"??_);_(@_)</c:formatCode>
                <c:ptCount val="43"/>
                <c:pt idx="0">
                  <c:v>6.1508329061516198</c:v>
                </c:pt>
                <c:pt idx="1">
                  <c:v>6.8318579596419999</c:v>
                </c:pt>
                <c:pt idx="2">
                  <c:v>7.1811731727842902</c:v>
                </c:pt>
                <c:pt idx="3">
                  <c:v>7.7793733023266496</c:v>
                </c:pt>
                <c:pt idx="4">
                  <c:v>8.2106751749075304</c:v>
                </c:pt>
                <c:pt idx="5">
                  <c:v>7.5157394943161497</c:v>
                </c:pt>
                <c:pt idx="6">
                  <c:v>8.19750187609786</c:v>
                </c:pt>
                <c:pt idx="7">
                  <c:v>7.8937845466945804</c:v>
                </c:pt>
                <c:pt idx="8">
                  <c:v>8.2784416958534095</c:v>
                </c:pt>
                <c:pt idx="9">
                  <c:v>8.27235602172677</c:v>
                </c:pt>
                <c:pt idx="10">
                  <c:v>8.5783661288668807</c:v>
                </c:pt>
                <c:pt idx="11">
                  <c:v>8.9626178045871701</c:v>
                </c:pt>
                <c:pt idx="12">
                  <c:v>8.5976234371769902</c:v>
                </c:pt>
                <c:pt idx="13">
                  <c:v>9.1694009212891991</c:v>
                </c:pt>
                <c:pt idx="14">
                  <c:v>9.7313149776314791</c:v>
                </c:pt>
                <c:pt idx="15">
                  <c:v>10.1468109956043</c:v>
                </c:pt>
                <c:pt idx="16">
                  <c:v>9.8539879620602697</c:v>
                </c:pt>
                <c:pt idx="17">
                  <c:v>10.823357686798801</c:v>
                </c:pt>
                <c:pt idx="18">
                  <c:v>11.501199645405199</c:v>
                </c:pt>
                <c:pt idx="19">
                  <c:v>12.2024620187743</c:v>
                </c:pt>
                <c:pt idx="20">
                  <c:v>12.5992129708891</c:v>
                </c:pt>
                <c:pt idx="21">
                  <c:v>13.2022793671306</c:v>
                </c:pt>
                <c:pt idx="22">
                  <c:v>13.557249741990301</c:v>
                </c:pt>
                <c:pt idx="23">
                  <c:v>13.690376707545701</c:v>
                </c:pt>
                <c:pt idx="24">
                  <c:v>15.280892592293601</c:v>
                </c:pt>
                <c:pt idx="25">
                  <c:v>15.953869019737001</c:v>
                </c:pt>
                <c:pt idx="26">
                  <c:v>16.633088830362802</c:v>
                </c:pt>
                <c:pt idx="27">
                  <c:v>17.011342365600399</c:v>
                </c:pt>
                <c:pt idx="28">
                  <c:v>16.852876448684999</c:v>
                </c:pt>
                <c:pt idx="29">
                  <c:v>18.1364166130091</c:v>
                </c:pt>
                <c:pt idx="30">
                  <c:v>18.825964230071602</c:v>
                </c:pt>
                <c:pt idx="31">
                  <c:v>20.049047701820001</c:v>
                </c:pt>
                <c:pt idx="32">
                  <c:v>19.112214105042799</c:v>
                </c:pt>
                <c:pt idx="33">
                  <c:v>21.277366432263101</c:v>
                </c:pt>
                <c:pt idx="34">
                  <c:v>21.672150301068498</c:v>
                </c:pt>
                <c:pt idx="35">
                  <c:v>20.025742423054499</c:v>
                </c:pt>
                <c:pt idx="36">
                  <c:v>23.259772115102901</c:v>
                </c:pt>
                <c:pt idx="37">
                  <c:v>21.793142137789498</c:v>
                </c:pt>
                <c:pt idx="38">
                  <c:v>22.560749533402401</c:v>
                </c:pt>
                <c:pt idx="39">
                  <c:v>24.307157473192301</c:v>
                </c:pt>
                <c:pt idx="40">
                  <c:v>24.5421324830277</c:v>
                </c:pt>
                <c:pt idx="41">
                  <c:v>22.473217685386601</c:v>
                </c:pt>
                <c:pt idx="42">
                  <c:v>24.621191910966701</c:v>
                </c:pt>
              </c:numCache>
            </c:numRef>
          </c:val>
          <c:smooth val="0"/>
        </c:ser>
        <c:ser>
          <c:idx val="6"/>
          <c:order val="6"/>
          <c:tx>
            <c:strRef>
              <c:f>Sheet2!$M$1</c:f>
              <c:strCache>
                <c:ptCount val="1"/>
                <c:pt idx="0">
                  <c:v>120</c:v>
                </c:pt>
              </c:strCache>
            </c:strRef>
          </c:tx>
          <c:marker>
            <c:symbol val="none"/>
          </c:marker>
          <c:cat>
            <c:numRef>
              <c:f>Sheet2!$A$2:$A$44</c:f>
              <c:numCache>
                <c:formatCode>General</c:formatCode>
                <c:ptCount val="43"/>
                <c:pt idx="0">
                  <c:v>-25</c:v>
                </c:pt>
                <c:pt idx="1">
                  <c:v>-15</c:v>
                </c:pt>
                <c:pt idx="2">
                  <c:v>-10</c:v>
                </c:pt>
                <c:pt idx="3">
                  <c:v>-5</c:v>
                </c:pt>
                <c:pt idx="4">
                  <c:v>0</c:v>
                </c:pt>
                <c:pt idx="5">
                  <c:v>5</c:v>
                </c:pt>
                <c:pt idx="6">
                  <c:v>10</c:v>
                </c:pt>
                <c:pt idx="7">
                  <c:v>15</c:v>
                </c:pt>
                <c:pt idx="8">
                  <c:v>20</c:v>
                </c:pt>
                <c:pt idx="9">
                  <c:v>25</c:v>
                </c:pt>
                <c:pt idx="10">
                  <c:v>30</c:v>
                </c:pt>
                <c:pt idx="11">
                  <c:v>35</c:v>
                </c:pt>
                <c:pt idx="12">
                  <c:v>40</c:v>
                </c:pt>
                <c:pt idx="13">
                  <c:v>45</c:v>
                </c:pt>
                <c:pt idx="14">
                  <c:v>50</c:v>
                </c:pt>
                <c:pt idx="15">
                  <c:v>55</c:v>
                </c:pt>
                <c:pt idx="16">
                  <c:v>60</c:v>
                </c:pt>
                <c:pt idx="17">
                  <c:v>65</c:v>
                </c:pt>
                <c:pt idx="18">
                  <c:v>70</c:v>
                </c:pt>
                <c:pt idx="19">
                  <c:v>75</c:v>
                </c:pt>
                <c:pt idx="20">
                  <c:v>80</c:v>
                </c:pt>
                <c:pt idx="21">
                  <c:v>85</c:v>
                </c:pt>
                <c:pt idx="22">
                  <c:v>90</c:v>
                </c:pt>
                <c:pt idx="23">
                  <c:v>95</c:v>
                </c:pt>
                <c:pt idx="24">
                  <c:v>100</c:v>
                </c:pt>
                <c:pt idx="25">
                  <c:v>105</c:v>
                </c:pt>
                <c:pt idx="26">
                  <c:v>110</c:v>
                </c:pt>
                <c:pt idx="27">
                  <c:v>115</c:v>
                </c:pt>
                <c:pt idx="28">
                  <c:v>120</c:v>
                </c:pt>
                <c:pt idx="29">
                  <c:v>125</c:v>
                </c:pt>
                <c:pt idx="30">
                  <c:v>130</c:v>
                </c:pt>
                <c:pt idx="31">
                  <c:v>135</c:v>
                </c:pt>
                <c:pt idx="32">
                  <c:v>140</c:v>
                </c:pt>
                <c:pt idx="33">
                  <c:v>145</c:v>
                </c:pt>
                <c:pt idx="34">
                  <c:v>150</c:v>
                </c:pt>
                <c:pt idx="35">
                  <c:v>155</c:v>
                </c:pt>
                <c:pt idx="36">
                  <c:v>160</c:v>
                </c:pt>
                <c:pt idx="37">
                  <c:v>165</c:v>
                </c:pt>
                <c:pt idx="38">
                  <c:v>170</c:v>
                </c:pt>
                <c:pt idx="39">
                  <c:v>175</c:v>
                </c:pt>
                <c:pt idx="40">
                  <c:v>180</c:v>
                </c:pt>
                <c:pt idx="41">
                  <c:v>185</c:v>
                </c:pt>
                <c:pt idx="42">
                  <c:v>190</c:v>
                </c:pt>
              </c:numCache>
            </c:numRef>
          </c:cat>
          <c:val>
            <c:numRef>
              <c:f>Sheet2!$M$2:$M$44</c:f>
              <c:numCache>
                <c:formatCode>_(* #,##0.00_);_(* \(#,##0.00\);_(* "-"??_);_(@_)</c:formatCode>
                <c:ptCount val="43"/>
                <c:pt idx="0">
                  <c:v>6.01864874982068</c:v>
                </c:pt>
                <c:pt idx="1">
                  <c:v>7.1470810689910804</c:v>
                </c:pt>
                <c:pt idx="2">
                  <c:v>7.3643048870210599</c:v>
                </c:pt>
                <c:pt idx="3">
                  <c:v>7.3571219664248098</c:v>
                </c:pt>
                <c:pt idx="4">
                  <c:v>7.4979874151818899</c:v>
                </c:pt>
                <c:pt idx="5">
                  <c:v>7.7839919366814101</c:v>
                </c:pt>
                <c:pt idx="6">
                  <c:v>8.6004385163476904</c:v>
                </c:pt>
                <c:pt idx="7">
                  <c:v>8.2545155024687595</c:v>
                </c:pt>
                <c:pt idx="8">
                  <c:v>8.0300156617784992</c:v>
                </c:pt>
                <c:pt idx="9">
                  <c:v>8.6994296319635698</c:v>
                </c:pt>
                <c:pt idx="10">
                  <c:v>8.8368633320106191</c:v>
                </c:pt>
                <c:pt idx="11">
                  <c:v>9.9080705628824397</c:v>
                </c:pt>
                <c:pt idx="12">
                  <c:v>9.5567914614324305</c:v>
                </c:pt>
                <c:pt idx="13">
                  <c:v>10.0445890543057</c:v>
                </c:pt>
                <c:pt idx="14">
                  <c:v>9.6604375879019599</c:v>
                </c:pt>
                <c:pt idx="15">
                  <c:v>10.8148323826832</c:v>
                </c:pt>
                <c:pt idx="16">
                  <c:v>10.9577314961233</c:v>
                </c:pt>
                <c:pt idx="17">
                  <c:v>10.715610364480501</c:v>
                </c:pt>
                <c:pt idx="18">
                  <c:v>11.776315694363801</c:v>
                </c:pt>
                <c:pt idx="19">
                  <c:v>12.446359536224</c:v>
                </c:pt>
                <c:pt idx="20">
                  <c:v>13.5851955064928</c:v>
                </c:pt>
                <c:pt idx="21">
                  <c:v>14.066351510899199</c:v>
                </c:pt>
                <c:pt idx="22">
                  <c:v>14.9122887633297</c:v>
                </c:pt>
                <c:pt idx="23">
                  <c:v>15.527949606556801</c:v>
                </c:pt>
                <c:pt idx="24">
                  <c:v>16.289887244937201</c:v>
                </c:pt>
                <c:pt idx="25">
                  <c:v>16.800860236395401</c:v>
                </c:pt>
                <c:pt idx="26">
                  <c:v>17.571262272982999</c:v>
                </c:pt>
                <c:pt idx="27">
                  <c:v>18.658144825919901</c:v>
                </c:pt>
                <c:pt idx="28">
                  <c:v>20.004989517522301</c:v>
                </c:pt>
                <c:pt idx="29">
                  <c:v>19.153705613288398</c:v>
                </c:pt>
                <c:pt idx="30">
                  <c:v>19.9240842810365</c:v>
                </c:pt>
                <c:pt idx="31">
                  <c:v>20.142835319999801</c:v>
                </c:pt>
                <c:pt idx="32">
                  <c:v>22.056146040442801</c:v>
                </c:pt>
                <c:pt idx="33">
                  <c:v>22.376037451602901</c:v>
                </c:pt>
                <c:pt idx="34">
                  <c:v>22.0750369850828</c:v>
                </c:pt>
                <c:pt idx="35">
                  <c:v>22.943859047664098</c:v>
                </c:pt>
                <c:pt idx="36">
                  <c:v>23.114844691135001</c:v>
                </c:pt>
                <c:pt idx="37">
                  <c:v>23.7040352956395</c:v>
                </c:pt>
                <c:pt idx="38">
                  <c:v>23.103608600190199</c:v>
                </c:pt>
                <c:pt idx="39">
                  <c:v>22.8062543934141</c:v>
                </c:pt>
                <c:pt idx="40">
                  <c:v>20.630352532537199</c:v>
                </c:pt>
                <c:pt idx="41">
                  <c:v>25.532148881831201</c:v>
                </c:pt>
                <c:pt idx="42">
                  <c:v>22.805653036805701</c:v>
                </c:pt>
              </c:numCache>
            </c:numRef>
          </c:val>
          <c:smooth val="0"/>
        </c:ser>
        <c:ser>
          <c:idx val="7"/>
          <c:order val="7"/>
          <c:tx>
            <c:strRef>
              <c:f>Sheet2!$N$1</c:f>
              <c:strCache>
                <c:ptCount val="1"/>
                <c:pt idx="0">
                  <c:v>130</c:v>
                </c:pt>
              </c:strCache>
            </c:strRef>
          </c:tx>
          <c:marker>
            <c:symbol val="none"/>
          </c:marker>
          <c:cat>
            <c:numRef>
              <c:f>Sheet2!$A$2:$A$44</c:f>
              <c:numCache>
                <c:formatCode>General</c:formatCode>
                <c:ptCount val="43"/>
                <c:pt idx="0">
                  <c:v>-25</c:v>
                </c:pt>
                <c:pt idx="1">
                  <c:v>-15</c:v>
                </c:pt>
                <c:pt idx="2">
                  <c:v>-10</c:v>
                </c:pt>
                <c:pt idx="3">
                  <c:v>-5</c:v>
                </c:pt>
                <c:pt idx="4">
                  <c:v>0</c:v>
                </c:pt>
                <c:pt idx="5">
                  <c:v>5</c:v>
                </c:pt>
                <c:pt idx="6">
                  <c:v>10</c:v>
                </c:pt>
                <c:pt idx="7">
                  <c:v>15</c:v>
                </c:pt>
                <c:pt idx="8">
                  <c:v>20</c:v>
                </c:pt>
                <c:pt idx="9">
                  <c:v>25</c:v>
                </c:pt>
                <c:pt idx="10">
                  <c:v>30</c:v>
                </c:pt>
                <c:pt idx="11">
                  <c:v>35</c:v>
                </c:pt>
                <c:pt idx="12">
                  <c:v>40</c:v>
                </c:pt>
                <c:pt idx="13">
                  <c:v>45</c:v>
                </c:pt>
                <c:pt idx="14">
                  <c:v>50</c:v>
                </c:pt>
                <c:pt idx="15">
                  <c:v>55</c:v>
                </c:pt>
                <c:pt idx="16">
                  <c:v>60</c:v>
                </c:pt>
                <c:pt idx="17">
                  <c:v>65</c:v>
                </c:pt>
                <c:pt idx="18">
                  <c:v>70</c:v>
                </c:pt>
                <c:pt idx="19">
                  <c:v>75</c:v>
                </c:pt>
                <c:pt idx="20">
                  <c:v>80</c:v>
                </c:pt>
                <c:pt idx="21">
                  <c:v>85</c:v>
                </c:pt>
                <c:pt idx="22">
                  <c:v>90</c:v>
                </c:pt>
                <c:pt idx="23">
                  <c:v>95</c:v>
                </c:pt>
                <c:pt idx="24">
                  <c:v>100</c:v>
                </c:pt>
                <c:pt idx="25">
                  <c:v>105</c:v>
                </c:pt>
                <c:pt idx="26">
                  <c:v>110</c:v>
                </c:pt>
                <c:pt idx="27">
                  <c:v>115</c:v>
                </c:pt>
                <c:pt idx="28">
                  <c:v>120</c:v>
                </c:pt>
                <c:pt idx="29">
                  <c:v>125</c:v>
                </c:pt>
                <c:pt idx="30">
                  <c:v>130</c:v>
                </c:pt>
                <c:pt idx="31">
                  <c:v>135</c:v>
                </c:pt>
                <c:pt idx="32">
                  <c:v>140</c:v>
                </c:pt>
                <c:pt idx="33">
                  <c:v>145</c:v>
                </c:pt>
                <c:pt idx="34">
                  <c:v>150</c:v>
                </c:pt>
                <c:pt idx="35">
                  <c:v>155</c:v>
                </c:pt>
                <c:pt idx="36">
                  <c:v>160</c:v>
                </c:pt>
                <c:pt idx="37">
                  <c:v>165</c:v>
                </c:pt>
                <c:pt idx="38">
                  <c:v>170</c:v>
                </c:pt>
                <c:pt idx="39">
                  <c:v>175</c:v>
                </c:pt>
                <c:pt idx="40">
                  <c:v>180</c:v>
                </c:pt>
                <c:pt idx="41">
                  <c:v>185</c:v>
                </c:pt>
                <c:pt idx="42">
                  <c:v>190</c:v>
                </c:pt>
              </c:numCache>
            </c:numRef>
          </c:cat>
          <c:val>
            <c:numRef>
              <c:f>Sheet2!$N$2:$N$44</c:f>
              <c:numCache>
                <c:formatCode>_(* #,##0.00_);_(* \(#,##0.00\);_(* "-"??_);_(@_)</c:formatCode>
                <c:ptCount val="43"/>
                <c:pt idx="0">
                  <c:v>5.9980416489125297</c:v>
                </c:pt>
                <c:pt idx="1">
                  <c:v>7.3289776070984702</c:v>
                </c:pt>
                <c:pt idx="2">
                  <c:v>7.2359503609161697</c:v>
                </c:pt>
                <c:pt idx="3">
                  <c:v>7.46170518312735</c:v>
                </c:pt>
                <c:pt idx="4">
                  <c:v>7.4238734285865497</c:v>
                </c:pt>
                <c:pt idx="5">
                  <c:v>7.3254043540575298</c:v>
                </c:pt>
                <c:pt idx="6">
                  <c:v>8.0490115198449708</c:v>
                </c:pt>
                <c:pt idx="7">
                  <c:v>8.7145571083064297</c:v>
                </c:pt>
                <c:pt idx="8">
                  <c:v>8.7063284803422594</c:v>
                </c:pt>
                <c:pt idx="9">
                  <c:v>8.8139815219650597</c:v>
                </c:pt>
                <c:pt idx="10">
                  <c:v>8.9749261241426002</c:v>
                </c:pt>
                <c:pt idx="11">
                  <c:v>9.4565853090994096</c:v>
                </c:pt>
                <c:pt idx="12">
                  <c:v>9.6847902823780299</c:v>
                </c:pt>
                <c:pt idx="13">
                  <c:v>10.4797844990923</c:v>
                </c:pt>
                <c:pt idx="14">
                  <c:v>10.0836300089522</c:v>
                </c:pt>
                <c:pt idx="15">
                  <c:v>11.0331206371902</c:v>
                </c:pt>
                <c:pt idx="16">
                  <c:v>10.9695163994199</c:v>
                </c:pt>
                <c:pt idx="17">
                  <c:v>12.1223706843406</c:v>
                </c:pt>
                <c:pt idx="18">
                  <c:v>12.1771423645894</c:v>
                </c:pt>
                <c:pt idx="19">
                  <c:v>13.153761253804801</c:v>
                </c:pt>
                <c:pt idx="20">
                  <c:v>14.637533287266701</c:v>
                </c:pt>
                <c:pt idx="21">
                  <c:v>14.3985372977758</c:v>
                </c:pt>
                <c:pt idx="22">
                  <c:v>15.435089696099899</c:v>
                </c:pt>
                <c:pt idx="23">
                  <c:v>16.170292400236601</c:v>
                </c:pt>
                <c:pt idx="24">
                  <c:v>17.482683594952601</c:v>
                </c:pt>
                <c:pt idx="25">
                  <c:v>18.419684255437001</c:v>
                </c:pt>
                <c:pt idx="26">
                  <c:v>18.686968740306199</c:v>
                </c:pt>
                <c:pt idx="27">
                  <c:v>19.514552415692599</c:v>
                </c:pt>
                <c:pt idx="28">
                  <c:v>20.687212978607398</c:v>
                </c:pt>
                <c:pt idx="29">
                  <c:v>21.6700789123216</c:v>
                </c:pt>
                <c:pt idx="30">
                  <c:v>21.186355350701099</c:v>
                </c:pt>
                <c:pt idx="31">
                  <c:v>23.253216736399299</c:v>
                </c:pt>
                <c:pt idx="32">
                  <c:v>23.2939181809007</c:v>
                </c:pt>
                <c:pt idx="33">
                  <c:v>22.0317364039424</c:v>
                </c:pt>
                <c:pt idx="34">
                  <c:v>24.3164035346493</c:v>
                </c:pt>
                <c:pt idx="35">
                  <c:v>23.982487711827599</c:v>
                </c:pt>
                <c:pt idx="36">
                  <c:v>24.772988002101201</c:v>
                </c:pt>
                <c:pt idx="37">
                  <c:v>25.256328807219699</c:v>
                </c:pt>
                <c:pt idx="38">
                  <c:v>21.3149330804839</c:v>
                </c:pt>
                <c:pt idx="39">
                  <c:v>26.244133894081799</c:v>
                </c:pt>
                <c:pt idx="40">
                  <c:v>27.091564012371901</c:v>
                </c:pt>
                <c:pt idx="41">
                  <c:v>27.314891443582798</c:v>
                </c:pt>
                <c:pt idx="42">
                  <c:v>25.584636140628799</c:v>
                </c:pt>
              </c:numCache>
            </c:numRef>
          </c:val>
          <c:smooth val="0"/>
        </c:ser>
        <c:ser>
          <c:idx val="8"/>
          <c:order val="8"/>
          <c:tx>
            <c:strRef>
              <c:f>Sheet2!$O$1</c:f>
              <c:strCache>
                <c:ptCount val="1"/>
                <c:pt idx="0">
                  <c:v>140</c:v>
                </c:pt>
              </c:strCache>
            </c:strRef>
          </c:tx>
          <c:marker>
            <c:symbol val="none"/>
          </c:marker>
          <c:cat>
            <c:numRef>
              <c:f>Sheet2!$A$2:$A$44</c:f>
              <c:numCache>
                <c:formatCode>General</c:formatCode>
                <c:ptCount val="43"/>
                <c:pt idx="0">
                  <c:v>-25</c:v>
                </c:pt>
                <c:pt idx="1">
                  <c:v>-15</c:v>
                </c:pt>
                <c:pt idx="2">
                  <c:v>-10</c:v>
                </c:pt>
                <c:pt idx="3">
                  <c:v>-5</c:v>
                </c:pt>
                <c:pt idx="4">
                  <c:v>0</c:v>
                </c:pt>
                <c:pt idx="5">
                  <c:v>5</c:v>
                </c:pt>
                <c:pt idx="6">
                  <c:v>10</c:v>
                </c:pt>
                <c:pt idx="7">
                  <c:v>15</c:v>
                </c:pt>
                <c:pt idx="8">
                  <c:v>20</c:v>
                </c:pt>
                <c:pt idx="9">
                  <c:v>25</c:v>
                </c:pt>
                <c:pt idx="10">
                  <c:v>30</c:v>
                </c:pt>
                <c:pt idx="11">
                  <c:v>35</c:v>
                </c:pt>
                <c:pt idx="12">
                  <c:v>40</c:v>
                </c:pt>
                <c:pt idx="13">
                  <c:v>45</c:v>
                </c:pt>
                <c:pt idx="14">
                  <c:v>50</c:v>
                </c:pt>
                <c:pt idx="15">
                  <c:v>55</c:v>
                </c:pt>
                <c:pt idx="16">
                  <c:v>60</c:v>
                </c:pt>
                <c:pt idx="17">
                  <c:v>65</c:v>
                </c:pt>
                <c:pt idx="18">
                  <c:v>70</c:v>
                </c:pt>
                <c:pt idx="19">
                  <c:v>75</c:v>
                </c:pt>
                <c:pt idx="20">
                  <c:v>80</c:v>
                </c:pt>
                <c:pt idx="21">
                  <c:v>85</c:v>
                </c:pt>
                <c:pt idx="22">
                  <c:v>90</c:v>
                </c:pt>
                <c:pt idx="23">
                  <c:v>95</c:v>
                </c:pt>
                <c:pt idx="24">
                  <c:v>100</c:v>
                </c:pt>
                <c:pt idx="25">
                  <c:v>105</c:v>
                </c:pt>
                <c:pt idx="26">
                  <c:v>110</c:v>
                </c:pt>
                <c:pt idx="27">
                  <c:v>115</c:v>
                </c:pt>
                <c:pt idx="28">
                  <c:v>120</c:v>
                </c:pt>
                <c:pt idx="29">
                  <c:v>125</c:v>
                </c:pt>
                <c:pt idx="30">
                  <c:v>130</c:v>
                </c:pt>
                <c:pt idx="31">
                  <c:v>135</c:v>
                </c:pt>
                <c:pt idx="32">
                  <c:v>140</c:v>
                </c:pt>
                <c:pt idx="33">
                  <c:v>145</c:v>
                </c:pt>
                <c:pt idx="34">
                  <c:v>150</c:v>
                </c:pt>
                <c:pt idx="35">
                  <c:v>155</c:v>
                </c:pt>
                <c:pt idx="36">
                  <c:v>160</c:v>
                </c:pt>
                <c:pt idx="37">
                  <c:v>165</c:v>
                </c:pt>
                <c:pt idx="38">
                  <c:v>170</c:v>
                </c:pt>
                <c:pt idx="39">
                  <c:v>175</c:v>
                </c:pt>
                <c:pt idx="40">
                  <c:v>180</c:v>
                </c:pt>
                <c:pt idx="41">
                  <c:v>185</c:v>
                </c:pt>
                <c:pt idx="42">
                  <c:v>190</c:v>
                </c:pt>
              </c:numCache>
            </c:numRef>
          </c:cat>
          <c:val>
            <c:numRef>
              <c:f>Sheet2!$O$2:$O$44</c:f>
              <c:numCache>
                <c:formatCode>_(* #,##0.00_);_(* \(#,##0.00\);_(* "-"??_);_(@_)</c:formatCode>
                <c:ptCount val="43"/>
                <c:pt idx="0">
                  <c:v>5.7248006393287199</c:v>
                </c:pt>
                <c:pt idx="1">
                  <c:v>6.6226249984795</c:v>
                </c:pt>
                <c:pt idx="2">
                  <c:v>7.72379216318798</c:v>
                </c:pt>
                <c:pt idx="3">
                  <c:v>7.5134142517776201</c:v>
                </c:pt>
                <c:pt idx="4">
                  <c:v>7.1129723042855204</c:v>
                </c:pt>
                <c:pt idx="5">
                  <c:v>7.6954450661337397</c:v>
                </c:pt>
                <c:pt idx="6">
                  <c:v>8.5009973815255506</c:v>
                </c:pt>
                <c:pt idx="7">
                  <c:v>8.4976189870883001</c:v>
                </c:pt>
                <c:pt idx="8">
                  <c:v>9.0164304813543303</c:v>
                </c:pt>
                <c:pt idx="9">
                  <c:v>9.0458883404012997</c:v>
                </c:pt>
                <c:pt idx="10">
                  <c:v>9.1202673692930407</c:v>
                </c:pt>
                <c:pt idx="11">
                  <c:v>9.8562473389059804</c:v>
                </c:pt>
                <c:pt idx="12">
                  <c:v>10.104459347308101</c:v>
                </c:pt>
                <c:pt idx="13">
                  <c:v>10.8626194035723</c:v>
                </c:pt>
                <c:pt idx="14">
                  <c:v>10.6803976346357</c:v>
                </c:pt>
                <c:pt idx="15">
                  <c:v>11.6952732984169</c:v>
                </c:pt>
                <c:pt idx="16">
                  <c:v>11.6964789478215</c:v>
                </c:pt>
                <c:pt idx="17">
                  <c:v>13.0353734338617</c:v>
                </c:pt>
                <c:pt idx="18">
                  <c:v>13.197629055458201</c:v>
                </c:pt>
                <c:pt idx="19">
                  <c:v>14.5539381475879</c:v>
                </c:pt>
                <c:pt idx="20">
                  <c:v>15.1423974799847</c:v>
                </c:pt>
                <c:pt idx="21">
                  <c:v>15.6350034023106</c:v>
                </c:pt>
                <c:pt idx="22">
                  <c:v>16.491119306406201</c:v>
                </c:pt>
                <c:pt idx="23">
                  <c:v>17.707000612526901</c:v>
                </c:pt>
                <c:pt idx="24">
                  <c:v>19.287891351423699</c:v>
                </c:pt>
                <c:pt idx="25">
                  <c:v>19.007426381424601</c:v>
                </c:pt>
                <c:pt idx="26">
                  <c:v>20.031183157332599</c:v>
                </c:pt>
                <c:pt idx="27">
                  <c:v>21.3267369956402</c:v>
                </c:pt>
                <c:pt idx="28">
                  <c:v>20.713990019448399</c:v>
                </c:pt>
                <c:pt idx="29">
                  <c:v>22.6773337090541</c:v>
                </c:pt>
                <c:pt idx="30">
                  <c:v>22.131805979489599</c:v>
                </c:pt>
                <c:pt idx="31">
                  <c:v>23.1316320916542</c:v>
                </c:pt>
                <c:pt idx="32">
                  <c:v>24.075081786342999</c:v>
                </c:pt>
                <c:pt idx="33">
                  <c:v>24.7385954395846</c:v>
                </c:pt>
                <c:pt idx="34">
                  <c:v>24.733430200214901</c:v>
                </c:pt>
                <c:pt idx="35">
                  <c:v>25.313647654429001</c:v>
                </c:pt>
                <c:pt idx="36">
                  <c:v>25.6484714875847</c:v>
                </c:pt>
                <c:pt idx="37">
                  <c:v>26.302911306001199</c:v>
                </c:pt>
                <c:pt idx="38">
                  <c:v>25.086052497712998</c:v>
                </c:pt>
                <c:pt idx="39">
                  <c:v>28.705076434663798</c:v>
                </c:pt>
                <c:pt idx="40">
                  <c:v>26.660440522384899</c:v>
                </c:pt>
                <c:pt idx="41">
                  <c:v>25.4769268754394</c:v>
                </c:pt>
                <c:pt idx="42">
                  <c:v>24.150152274856399</c:v>
                </c:pt>
              </c:numCache>
            </c:numRef>
          </c:val>
          <c:smooth val="0"/>
        </c:ser>
        <c:ser>
          <c:idx val="9"/>
          <c:order val="9"/>
          <c:tx>
            <c:strRef>
              <c:f>Sheet2!$P$1</c:f>
              <c:strCache>
                <c:ptCount val="1"/>
                <c:pt idx="0">
                  <c:v>150</c:v>
                </c:pt>
              </c:strCache>
            </c:strRef>
          </c:tx>
          <c:marker>
            <c:symbol val="none"/>
          </c:marker>
          <c:cat>
            <c:numRef>
              <c:f>Sheet2!$A$2:$A$44</c:f>
              <c:numCache>
                <c:formatCode>General</c:formatCode>
                <c:ptCount val="43"/>
                <c:pt idx="0">
                  <c:v>-25</c:v>
                </c:pt>
                <c:pt idx="1">
                  <c:v>-15</c:v>
                </c:pt>
                <c:pt idx="2">
                  <c:v>-10</c:v>
                </c:pt>
                <c:pt idx="3">
                  <c:v>-5</c:v>
                </c:pt>
                <c:pt idx="4">
                  <c:v>0</c:v>
                </c:pt>
                <c:pt idx="5">
                  <c:v>5</c:v>
                </c:pt>
                <c:pt idx="6">
                  <c:v>10</c:v>
                </c:pt>
                <c:pt idx="7">
                  <c:v>15</c:v>
                </c:pt>
                <c:pt idx="8">
                  <c:v>20</c:v>
                </c:pt>
                <c:pt idx="9">
                  <c:v>25</c:v>
                </c:pt>
                <c:pt idx="10">
                  <c:v>30</c:v>
                </c:pt>
                <c:pt idx="11">
                  <c:v>35</c:v>
                </c:pt>
                <c:pt idx="12">
                  <c:v>40</c:v>
                </c:pt>
                <c:pt idx="13">
                  <c:v>45</c:v>
                </c:pt>
                <c:pt idx="14">
                  <c:v>50</c:v>
                </c:pt>
                <c:pt idx="15">
                  <c:v>55</c:v>
                </c:pt>
                <c:pt idx="16">
                  <c:v>60</c:v>
                </c:pt>
                <c:pt idx="17">
                  <c:v>65</c:v>
                </c:pt>
                <c:pt idx="18">
                  <c:v>70</c:v>
                </c:pt>
                <c:pt idx="19">
                  <c:v>75</c:v>
                </c:pt>
                <c:pt idx="20">
                  <c:v>80</c:v>
                </c:pt>
                <c:pt idx="21">
                  <c:v>85</c:v>
                </c:pt>
                <c:pt idx="22">
                  <c:v>90</c:v>
                </c:pt>
                <c:pt idx="23">
                  <c:v>95</c:v>
                </c:pt>
                <c:pt idx="24">
                  <c:v>100</c:v>
                </c:pt>
                <c:pt idx="25">
                  <c:v>105</c:v>
                </c:pt>
                <c:pt idx="26">
                  <c:v>110</c:v>
                </c:pt>
                <c:pt idx="27">
                  <c:v>115</c:v>
                </c:pt>
                <c:pt idx="28">
                  <c:v>120</c:v>
                </c:pt>
                <c:pt idx="29">
                  <c:v>125</c:v>
                </c:pt>
                <c:pt idx="30">
                  <c:v>130</c:v>
                </c:pt>
                <c:pt idx="31">
                  <c:v>135</c:v>
                </c:pt>
                <c:pt idx="32">
                  <c:v>140</c:v>
                </c:pt>
                <c:pt idx="33">
                  <c:v>145</c:v>
                </c:pt>
                <c:pt idx="34">
                  <c:v>150</c:v>
                </c:pt>
                <c:pt idx="35">
                  <c:v>155</c:v>
                </c:pt>
                <c:pt idx="36">
                  <c:v>160</c:v>
                </c:pt>
                <c:pt idx="37">
                  <c:v>165</c:v>
                </c:pt>
                <c:pt idx="38">
                  <c:v>170</c:v>
                </c:pt>
                <c:pt idx="39">
                  <c:v>175</c:v>
                </c:pt>
                <c:pt idx="40">
                  <c:v>180</c:v>
                </c:pt>
                <c:pt idx="41">
                  <c:v>185</c:v>
                </c:pt>
                <c:pt idx="42">
                  <c:v>190</c:v>
                </c:pt>
              </c:numCache>
            </c:numRef>
          </c:cat>
          <c:val>
            <c:numRef>
              <c:f>Sheet2!$P$2:$P$44</c:f>
              <c:numCache>
                <c:formatCode>_(* #,##0.00_);_(* \(#,##0.00\);_(* "-"??_);_(@_)</c:formatCode>
                <c:ptCount val="43"/>
                <c:pt idx="0">
                  <c:v>5.9784956938347698</c:v>
                </c:pt>
                <c:pt idx="1">
                  <c:v>7.2582676732149096</c:v>
                </c:pt>
                <c:pt idx="2">
                  <c:v>7.0846099949903198</c:v>
                </c:pt>
                <c:pt idx="3">
                  <c:v>7.8908733758567902</c:v>
                </c:pt>
                <c:pt idx="4">
                  <c:v>7.3686369873700999</c:v>
                </c:pt>
                <c:pt idx="5">
                  <c:v>8.0105099350406501</c:v>
                </c:pt>
                <c:pt idx="6">
                  <c:v>8.1858754564830392</c:v>
                </c:pt>
                <c:pt idx="7">
                  <c:v>8.3385257287537602</c:v>
                </c:pt>
                <c:pt idx="8">
                  <c:v>9.6414833181847808</c:v>
                </c:pt>
                <c:pt idx="9">
                  <c:v>8.8577687912007796</c:v>
                </c:pt>
                <c:pt idx="10">
                  <c:v>8.9760252046940892</c:v>
                </c:pt>
                <c:pt idx="11">
                  <c:v>10.5266443556157</c:v>
                </c:pt>
                <c:pt idx="12">
                  <c:v>9.8674452331683202</c:v>
                </c:pt>
                <c:pt idx="13">
                  <c:v>10.6503759436076</c:v>
                </c:pt>
                <c:pt idx="14">
                  <c:v>11.571226557116001</c:v>
                </c:pt>
                <c:pt idx="15">
                  <c:v>12.0623338897773</c:v>
                </c:pt>
                <c:pt idx="16">
                  <c:v>12.338804744059001</c:v>
                </c:pt>
                <c:pt idx="17">
                  <c:v>13.489916916488999</c:v>
                </c:pt>
                <c:pt idx="18">
                  <c:v>14.3266866946314</c:v>
                </c:pt>
                <c:pt idx="19">
                  <c:v>14.7494841098094</c:v>
                </c:pt>
                <c:pt idx="20">
                  <c:v>16.657577486193698</c:v>
                </c:pt>
                <c:pt idx="21">
                  <c:v>16.061312969715299</c:v>
                </c:pt>
                <c:pt idx="22">
                  <c:v>17.545227193401299</c:v>
                </c:pt>
                <c:pt idx="23">
                  <c:v>18.403046858928398</c:v>
                </c:pt>
                <c:pt idx="24">
                  <c:v>19.533476041778599</c:v>
                </c:pt>
                <c:pt idx="25">
                  <c:v>20.926299248894001</c:v>
                </c:pt>
                <c:pt idx="26">
                  <c:v>22.025424511728801</c:v>
                </c:pt>
                <c:pt idx="27">
                  <c:v>23.004381389356201</c:v>
                </c:pt>
                <c:pt idx="28">
                  <c:v>21.570596820667799</c:v>
                </c:pt>
                <c:pt idx="29">
                  <c:v>24.646952137192301</c:v>
                </c:pt>
                <c:pt idx="30">
                  <c:v>24.569820362822401</c:v>
                </c:pt>
                <c:pt idx="31">
                  <c:v>24.175766044494299</c:v>
                </c:pt>
                <c:pt idx="32">
                  <c:v>25.8927548789353</c:v>
                </c:pt>
                <c:pt idx="33">
                  <c:v>25.629181248997799</c:v>
                </c:pt>
                <c:pt idx="34">
                  <c:v>26.972537146983601</c:v>
                </c:pt>
                <c:pt idx="35">
                  <c:v>26.223721926977401</c:v>
                </c:pt>
                <c:pt idx="36">
                  <c:v>27.051844283387901</c:v>
                </c:pt>
                <c:pt idx="37">
                  <c:v>29.039030869454201</c:v>
                </c:pt>
                <c:pt idx="38">
                  <c:v>27.8217257879882</c:v>
                </c:pt>
                <c:pt idx="39">
                  <c:v>26.713324523741399</c:v>
                </c:pt>
                <c:pt idx="40">
                  <c:v>26.003810926158899</c:v>
                </c:pt>
                <c:pt idx="41">
                  <c:v>27.676566358027401</c:v>
                </c:pt>
                <c:pt idx="42">
                  <c:v>27.427553315976301</c:v>
                </c:pt>
              </c:numCache>
            </c:numRef>
          </c:val>
          <c:smooth val="0"/>
        </c:ser>
        <c:ser>
          <c:idx val="10"/>
          <c:order val="10"/>
          <c:tx>
            <c:strRef>
              <c:f>Sheet2!$Q$1</c:f>
              <c:strCache>
                <c:ptCount val="1"/>
                <c:pt idx="0">
                  <c:v>160</c:v>
                </c:pt>
              </c:strCache>
            </c:strRef>
          </c:tx>
          <c:marker>
            <c:symbol val="none"/>
          </c:marker>
          <c:cat>
            <c:numRef>
              <c:f>Sheet2!$A$2:$A$44</c:f>
              <c:numCache>
                <c:formatCode>General</c:formatCode>
                <c:ptCount val="43"/>
                <c:pt idx="0">
                  <c:v>-25</c:v>
                </c:pt>
                <c:pt idx="1">
                  <c:v>-15</c:v>
                </c:pt>
                <c:pt idx="2">
                  <c:v>-10</c:v>
                </c:pt>
                <c:pt idx="3">
                  <c:v>-5</c:v>
                </c:pt>
                <c:pt idx="4">
                  <c:v>0</c:v>
                </c:pt>
                <c:pt idx="5">
                  <c:v>5</c:v>
                </c:pt>
                <c:pt idx="6">
                  <c:v>10</c:v>
                </c:pt>
                <c:pt idx="7">
                  <c:v>15</c:v>
                </c:pt>
                <c:pt idx="8">
                  <c:v>20</c:v>
                </c:pt>
                <c:pt idx="9">
                  <c:v>25</c:v>
                </c:pt>
                <c:pt idx="10">
                  <c:v>30</c:v>
                </c:pt>
                <c:pt idx="11">
                  <c:v>35</c:v>
                </c:pt>
                <c:pt idx="12">
                  <c:v>40</c:v>
                </c:pt>
                <c:pt idx="13">
                  <c:v>45</c:v>
                </c:pt>
                <c:pt idx="14">
                  <c:v>50</c:v>
                </c:pt>
                <c:pt idx="15">
                  <c:v>55</c:v>
                </c:pt>
                <c:pt idx="16">
                  <c:v>60</c:v>
                </c:pt>
                <c:pt idx="17">
                  <c:v>65</c:v>
                </c:pt>
                <c:pt idx="18">
                  <c:v>70</c:v>
                </c:pt>
                <c:pt idx="19">
                  <c:v>75</c:v>
                </c:pt>
                <c:pt idx="20">
                  <c:v>80</c:v>
                </c:pt>
                <c:pt idx="21">
                  <c:v>85</c:v>
                </c:pt>
                <c:pt idx="22">
                  <c:v>90</c:v>
                </c:pt>
                <c:pt idx="23">
                  <c:v>95</c:v>
                </c:pt>
                <c:pt idx="24">
                  <c:v>100</c:v>
                </c:pt>
                <c:pt idx="25">
                  <c:v>105</c:v>
                </c:pt>
                <c:pt idx="26">
                  <c:v>110</c:v>
                </c:pt>
                <c:pt idx="27">
                  <c:v>115</c:v>
                </c:pt>
                <c:pt idx="28">
                  <c:v>120</c:v>
                </c:pt>
                <c:pt idx="29">
                  <c:v>125</c:v>
                </c:pt>
                <c:pt idx="30">
                  <c:v>130</c:v>
                </c:pt>
                <c:pt idx="31">
                  <c:v>135</c:v>
                </c:pt>
                <c:pt idx="32">
                  <c:v>140</c:v>
                </c:pt>
                <c:pt idx="33">
                  <c:v>145</c:v>
                </c:pt>
                <c:pt idx="34">
                  <c:v>150</c:v>
                </c:pt>
                <c:pt idx="35">
                  <c:v>155</c:v>
                </c:pt>
                <c:pt idx="36">
                  <c:v>160</c:v>
                </c:pt>
                <c:pt idx="37">
                  <c:v>165</c:v>
                </c:pt>
                <c:pt idx="38">
                  <c:v>170</c:v>
                </c:pt>
                <c:pt idx="39">
                  <c:v>175</c:v>
                </c:pt>
                <c:pt idx="40">
                  <c:v>180</c:v>
                </c:pt>
                <c:pt idx="41">
                  <c:v>185</c:v>
                </c:pt>
                <c:pt idx="42">
                  <c:v>190</c:v>
                </c:pt>
              </c:numCache>
            </c:numRef>
          </c:cat>
          <c:val>
            <c:numRef>
              <c:f>Sheet2!$Q$2:$Q$44</c:f>
              <c:numCache>
                <c:formatCode>_(* #,##0.00_);_(* \(#,##0.00\);_(* "-"??_);_(@_)</c:formatCode>
                <c:ptCount val="43"/>
                <c:pt idx="0">
                  <c:v>5.7883430595130001</c:v>
                </c:pt>
                <c:pt idx="1">
                  <c:v>7.0620182999663896</c:v>
                </c:pt>
                <c:pt idx="2">
                  <c:v>7.1845080037510201</c:v>
                </c:pt>
                <c:pt idx="3">
                  <c:v>7.1404422375429899</c:v>
                </c:pt>
                <c:pt idx="4">
                  <c:v>7.8046021539688697</c:v>
                </c:pt>
                <c:pt idx="5">
                  <c:v>7.6528301764752804</c:v>
                </c:pt>
                <c:pt idx="6">
                  <c:v>8.6864100309409906</c:v>
                </c:pt>
                <c:pt idx="7">
                  <c:v>8.5478021859962094</c:v>
                </c:pt>
                <c:pt idx="8">
                  <c:v>9.4026965318404105</c:v>
                </c:pt>
                <c:pt idx="9">
                  <c:v>9.5093306452333302</c:v>
                </c:pt>
                <c:pt idx="10">
                  <c:v>9.9540737150468797</c:v>
                </c:pt>
                <c:pt idx="11">
                  <c:v>10.158921779760499</c:v>
                </c:pt>
                <c:pt idx="12">
                  <c:v>10.4460884843858</c:v>
                </c:pt>
                <c:pt idx="13">
                  <c:v>11.6776166352233</c:v>
                </c:pt>
                <c:pt idx="14">
                  <c:v>12.3038954747089</c:v>
                </c:pt>
                <c:pt idx="15">
                  <c:v>12.357275791826901</c:v>
                </c:pt>
                <c:pt idx="16">
                  <c:v>13.0969155170405</c:v>
                </c:pt>
                <c:pt idx="17">
                  <c:v>14.167923057817299</c:v>
                </c:pt>
                <c:pt idx="18">
                  <c:v>14.825315838091599</c:v>
                </c:pt>
                <c:pt idx="19">
                  <c:v>15.671764408142799</c:v>
                </c:pt>
                <c:pt idx="20">
                  <c:v>17.586171893656601</c:v>
                </c:pt>
                <c:pt idx="21">
                  <c:v>17.159176846560602</c:v>
                </c:pt>
                <c:pt idx="22">
                  <c:v>18.8965032381447</c:v>
                </c:pt>
                <c:pt idx="23">
                  <c:v>19.4025574069423</c:v>
                </c:pt>
                <c:pt idx="24">
                  <c:v>20.2137081854531</c:v>
                </c:pt>
                <c:pt idx="25">
                  <c:v>23.020163058988398</c:v>
                </c:pt>
                <c:pt idx="26">
                  <c:v>23.446376214912501</c:v>
                </c:pt>
                <c:pt idx="27">
                  <c:v>23.0031598914886</c:v>
                </c:pt>
                <c:pt idx="28">
                  <c:v>23.616531846316001</c:v>
                </c:pt>
                <c:pt idx="29">
                  <c:v>25.3706669228607</c:v>
                </c:pt>
                <c:pt idx="30">
                  <c:v>24.593251707122299</c:v>
                </c:pt>
                <c:pt idx="31">
                  <c:v>26.276149248002199</c:v>
                </c:pt>
                <c:pt idx="32">
                  <c:v>25.915754115186299</c:v>
                </c:pt>
                <c:pt idx="33">
                  <c:v>26.4800657547299</c:v>
                </c:pt>
                <c:pt idx="34">
                  <c:v>28.536285974510399</c:v>
                </c:pt>
                <c:pt idx="35">
                  <c:v>27.832501269194701</c:v>
                </c:pt>
                <c:pt idx="36">
                  <c:v>28.8174749010625</c:v>
                </c:pt>
                <c:pt idx="37">
                  <c:v>26.729376814243</c:v>
                </c:pt>
                <c:pt idx="38">
                  <c:v>27.8617862576289</c:v>
                </c:pt>
                <c:pt idx="39">
                  <c:v>28.031059687685602</c:v>
                </c:pt>
                <c:pt idx="40">
                  <c:v>30.376963874643199</c:v>
                </c:pt>
                <c:pt idx="41">
                  <c:v>29.9532993958078</c:v>
                </c:pt>
                <c:pt idx="42">
                  <c:v>29.3976631144923</c:v>
                </c:pt>
              </c:numCache>
            </c:numRef>
          </c:val>
          <c:smooth val="0"/>
        </c:ser>
        <c:ser>
          <c:idx val="11"/>
          <c:order val="11"/>
          <c:tx>
            <c:strRef>
              <c:f>Sheet2!$R$1</c:f>
              <c:strCache>
                <c:ptCount val="1"/>
                <c:pt idx="0">
                  <c:v>170</c:v>
                </c:pt>
              </c:strCache>
            </c:strRef>
          </c:tx>
          <c:marker>
            <c:symbol val="none"/>
          </c:marker>
          <c:cat>
            <c:numRef>
              <c:f>Sheet2!$A$2:$A$44</c:f>
              <c:numCache>
                <c:formatCode>General</c:formatCode>
                <c:ptCount val="43"/>
                <c:pt idx="0">
                  <c:v>-25</c:v>
                </c:pt>
                <c:pt idx="1">
                  <c:v>-15</c:v>
                </c:pt>
                <c:pt idx="2">
                  <c:v>-10</c:v>
                </c:pt>
                <c:pt idx="3">
                  <c:v>-5</c:v>
                </c:pt>
                <c:pt idx="4">
                  <c:v>0</c:v>
                </c:pt>
                <c:pt idx="5">
                  <c:v>5</c:v>
                </c:pt>
                <c:pt idx="6">
                  <c:v>10</c:v>
                </c:pt>
                <c:pt idx="7">
                  <c:v>15</c:v>
                </c:pt>
                <c:pt idx="8">
                  <c:v>20</c:v>
                </c:pt>
                <c:pt idx="9">
                  <c:v>25</c:v>
                </c:pt>
                <c:pt idx="10">
                  <c:v>30</c:v>
                </c:pt>
                <c:pt idx="11">
                  <c:v>35</c:v>
                </c:pt>
                <c:pt idx="12">
                  <c:v>40</c:v>
                </c:pt>
                <c:pt idx="13">
                  <c:v>45</c:v>
                </c:pt>
                <c:pt idx="14">
                  <c:v>50</c:v>
                </c:pt>
                <c:pt idx="15">
                  <c:v>55</c:v>
                </c:pt>
                <c:pt idx="16">
                  <c:v>60</c:v>
                </c:pt>
                <c:pt idx="17">
                  <c:v>65</c:v>
                </c:pt>
                <c:pt idx="18">
                  <c:v>70</c:v>
                </c:pt>
                <c:pt idx="19">
                  <c:v>75</c:v>
                </c:pt>
                <c:pt idx="20">
                  <c:v>80</c:v>
                </c:pt>
                <c:pt idx="21">
                  <c:v>85</c:v>
                </c:pt>
                <c:pt idx="22">
                  <c:v>90</c:v>
                </c:pt>
                <c:pt idx="23">
                  <c:v>95</c:v>
                </c:pt>
                <c:pt idx="24">
                  <c:v>100</c:v>
                </c:pt>
                <c:pt idx="25">
                  <c:v>105</c:v>
                </c:pt>
                <c:pt idx="26">
                  <c:v>110</c:v>
                </c:pt>
                <c:pt idx="27">
                  <c:v>115</c:v>
                </c:pt>
                <c:pt idx="28">
                  <c:v>120</c:v>
                </c:pt>
                <c:pt idx="29">
                  <c:v>125</c:v>
                </c:pt>
                <c:pt idx="30">
                  <c:v>130</c:v>
                </c:pt>
                <c:pt idx="31">
                  <c:v>135</c:v>
                </c:pt>
                <c:pt idx="32">
                  <c:v>140</c:v>
                </c:pt>
                <c:pt idx="33">
                  <c:v>145</c:v>
                </c:pt>
                <c:pt idx="34">
                  <c:v>150</c:v>
                </c:pt>
                <c:pt idx="35">
                  <c:v>155</c:v>
                </c:pt>
                <c:pt idx="36">
                  <c:v>160</c:v>
                </c:pt>
                <c:pt idx="37">
                  <c:v>165</c:v>
                </c:pt>
                <c:pt idx="38">
                  <c:v>170</c:v>
                </c:pt>
                <c:pt idx="39">
                  <c:v>175</c:v>
                </c:pt>
                <c:pt idx="40">
                  <c:v>180</c:v>
                </c:pt>
                <c:pt idx="41">
                  <c:v>185</c:v>
                </c:pt>
                <c:pt idx="42">
                  <c:v>190</c:v>
                </c:pt>
              </c:numCache>
            </c:numRef>
          </c:cat>
          <c:val>
            <c:numRef>
              <c:f>Sheet2!$R$2:$R$44</c:f>
              <c:numCache>
                <c:formatCode>_(* #,##0.00_);_(* \(#,##0.00\);_(* "-"??_);_(@_)</c:formatCode>
                <c:ptCount val="43"/>
                <c:pt idx="0">
                  <c:v>5.6367430894106301</c:v>
                </c:pt>
                <c:pt idx="1">
                  <c:v>7.39347190011385</c:v>
                </c:pt>
                <c:pt idx="2">
                  <c:v>7.0928405090414701</c:v>
                </c:pt>
                <c:pt idx="3">
                  <c:v>6.9989426269617496</c:v>
                </c:pt>
                <c:pt idx="4">
                  <c:v>7.6818013501275102</c:v>
                </c:pt>
                <c:pt idx="5">
                  <c:v>7.6718317645468499</c:v>
                </c:pt>
                <c:pt idx="6">
                  <c:v>8.7268686278620908</c:v>
                </c:pt>
                <c:pt idx="7">
                  <c:v>9.3687600068418107</c:v>
                </c:pt>
                <c:pt idx="8">
                  <c:v>8.7267010194788295</c:v>
                </c:pt>
                <c:pt idx="9">
                  <c:v>9.0891776779122608</c:v>
                </c:pt>
                <c:pt idx="10">
                  <c:v>9.7620886934883107</c:v>
                </c:pt>
                <c:pt idx="11">
                  <c:v>10.1102832416883</c:v>
                </c:pt>
                <c:pt idx="12">
                  <c:v>10.9381690886343</c:v>
                </c:pt>
                <c:pt idx="13">
                  <c:v>11.8291918064469</c:v>
                </c:pt>
                <c:pt idx="14">
                  <c:v>12.240104194427801</c:v>
                </c:pt>
                <c:pt idx="15">
                  <c:v>13.5394631794776</c:v>
                </c:pt>
                <c:pt idx="16">
                  <c:v>14.2207316919013</c:v>
                </c:pt>
                <c:pt idx="17">
                  <c:v>14.4351719715941</c:v>
                </c:pt>
                <c:pt idx="18">
                  <c:v>15.6247203559812</c:v>
                </c:pt>
                <c:pt idx="19">
                  <c:v>16.880763126923299</c:v>
                </c:pt>
                <c:pt idx="20">
                  <c:v>18.258377903551299</c:v>
                </c:pt>
                <c:pt idx="21">
                  <c:v>18.451342332908101</c:v>
                </c:pt>
                <c:pt idx="22">
                  <c:v>20.315195070175498</c:v>
                </c:pt>
                <c:pt idx="23">
                  <c:v>20.054250117209101</c:v>
                </c:pt>
                <c:pt idx="24">
                  <c:v>22.001684056919402</c:v>
                </c:pt>
                <c:pt idx="25">
                  <c:v>22.485151258326098</c:v>
                </c:pt>
                <c:pt idx="26">
                  <c:v>23.588156775457801</c:v>
                </c:pt>
                <c:pt idx="27">
                  <c:v>24.290193768230701</c:v>
                </c:pt>
                <c:pt idx="28">
                  <c:v>25.1733933303329</c:v>
                </c:pt>
                <c:pt idx="29">
                  <c:v>26.371869169003698</c:v>
                </c:pt>
                <c:pt idx="30">
                  <c:v>27.802949708125102</c:v>
                </c:pt>
                <c:pt idx="31">
                  <c:v>27.132512144999499</c:v>
                </c:pt>
                <c:pt idx="32">
                  <c:v>26.6866816619332</c:v>
                </c:pt>
                <c:pt idx="33">
                  <c:v>27.616775428169898</c:v>
                </c:pt>
                <c:pt idx="34">
                  <c:v>28.193292642086401</c:v>
                </c:pt>
                <c:pt idx="35">
                  <c:v>28.129713111227101</c:v>
                </c:pt>
                <c:pt idx="36">
                  <c:v>26.890060632391201</c:v>
                </c:pt>
                <c:pt idx="37">
                  <c:v>29.678055854484899</c:v>
                </c:pt>
                <c:pt idx="38">
                  <c:v>26.104836200898699</c:v>
                </c:pt>
                <c:pt idx="39">
                  <c:v>29.6147630672919</c:v>
                </c:pt>
                <c:pt idx="40">
                  <c:v>29.013184763068502</c:v>
                </c:pt>
                <c:pt idx="41">
                  <c:v>30.4890114355014</c:v>
                </c:pt>
                <c:pt idx="42">
                  <c:v>26.784741773567902</c:v>
                </c:pt>
              </c:numCache>
            </c:numRef>
          </c:val>
          <c:smooth val="0"/>
        </c:ser>
        <c:dLbls>
          <c:showLegendKey val="0"/>
          <c:showVal val="0"/>
          <c:showCatName val="0"/>
          <c:showSerName val="0"/>
          <c:showPercent val="0"/>
          <c:showBubbleSize val="0"/>
        </c:dLbls>
        <c:marker val="1"/>
        <c:smooth val="0"/>
        <c:axId val="114963200"/>
        <c:axId val="114964736"/>
      </c:lineChart>
      <c:catAx>
        <c:axId val="114963200"/>
        <c:scaling>
          <c:orientation val="minMax"/>
        </c:scaling>
        <c:delete val="0"/>
        <c:axPos val="b"/>
        <c:numFmt formatCode="General" sourceLinked="1"/>
        <c:majorTickMark val="out"/>
        <c:minorTickMark val="none"/>
        <c:tickLblPos val="nextTo"/>
        <c:crossAx val="114964736"/>
        <c:crosses val="autoZero"/>
        <c:auto val="1"/>
        <c:lblAlgn val="ctr"/>
        <c:lblOffset val="100"/>
        <c:noMultiLvlLbl val="0"/>
      </c:catAx>
      <c:valAx>
        <c:axId val="114964736"/>
        <c:scaling>
          <c:orientation val="minMax"/>
        </c:scaling>
        <c:delete val="0"/>
        <c:axPos val="l"/>
        <c:majorGridlines/>
        <c:numFmt formatCode="_(* #,##0.00_);_(* \(#,##0.00\);_(* &quot;-&quot;??_);_(@_)" sourceLinked="1"/>
        <c:majorTickMark val="out"/>
        <c:minorTickMark val="none"/>
        <c:tickLblPos val="nextTo"/>
        <c:crossAx val="114963200"/>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v>175 adjusted</c:v>
          </c:tx>
          <c:marker>
            <c:symbol val="none"/>
          </c:marker>
          <c:val>
            <c:numRef>
              <c:f>LLB!$G$8:$G$19</c:f>
              <c:numCache>
                <c:formatCode>General</c:formatCode>
                <c:ptCount val="12"/>
                <c:pt idx="0">
                  <c:v>5.1430128318229462E-3</c:v>
                </c:pt>
                <c:pt idx="1">
                  <c:v>6.5652876492899859E-3</c:v>
                </c:pt>
                <c:pt idx="2">
                  <c:v>7.2354150352078005E-3</c:v>
                </c:pt>
                <c:pt idx="3">
                  <c:v>8.4404605156915107E-3</c:v>
                </c:pt>
                <c:pt idx="4">
                  <c:v>1.0230984851971485E-2</c:v>
                </c:pt>
                <c:pt idx="5">
                  <c:v>1.2058490691630609E-2</c:v>
                </c:pt>
                <c:pt idx="6">
                  <c:v>1.2911084153490633E-2</c:v>
                </c:pt>
                <c:pt idx="7">
                  <c:v>1.3509792177211547E-2</c:v>
                </c:pt>
                <c:pt idx="8">
                  <c:v>1.3480875447551971E-2</c:v>
                </c:pt>
                <c:pt idx="9">
                  <c:v>1.2995533714403904E-2</c:v>
                </c:pt>
                <c:pt idx="10">
                  <c:v>1.1684904565175902E-2</c:v>
                </c:pt>
                <c:pt idx="11">
                  <c:v>1.1605737206951171E-2</c:v>
                </c:pt>
              </c:numCache>
            </c:numRef>
          </c:val>
          <c:smooth val="0"/>
        </c:ser>
        <c:ser>
          <c:idx val="1"/>
          <c:order val="1"/>
          <c:tx>
            <c:v>LLB unadjusted</c:v>
          </c:tx>
          <c:marker>
            <c:symbol val="none"/>
          </c:marker>
          <c:val>
            <c:numRef>
              <c:f>LLB!$M$10:$M$21</c:f>
              <c:numCache>
                <c:formatCode>General</c:formatCode>
                <c:ptCount val="12"/>
                <c:pt idx="0">
                  <c:v>6.6549276049625572E-3</c:v>
                </c:pt>
                <c:pt idx="1">
                  <c:v>7.1946442949124556E-3</c:v>
                </c:pt>
                <c:pt idx="2">
                  <c:v>8.0103200541153941E-3</c:v>
                </c:pt>
                <c:pt idx="3">
                  <c:v>9.2016995759167663E-3</c:v>
                </c:pt>
                <c:pt idx="4">
                  <c:v>1.0783823589648245E-2</c:v>
                </c:pt>
                <c:pt idx="5">
                  <c:v>1.2012744890476657E-2</c:v>
                </c:pt>
                <c:pt idx="6">
                  <c:v>1.3742578643456738E-2</c:v>
                </c:pt>
                <c:pt idx="7">
                  <c:v>1.4424405840418708E-2</c:v>
                </c:pt>
                <c:pt idx="8">
                  <c:v>1.5210043991127908E-2</c:v>
                </c:pt>
                <c:pt idx="9">
                  <c:v>1.5803830077221748E-2</c:v>
                </c:pt>
              </c:numCache>
            </c:numRef>
          </c:val>
          <c:smooth val="0"/>
        </c:ser>
        <c:dLbls>
          <c:showLegendKey val="0"/>
          <c:showVal val="0"/>
          <c:showCatName val="0"/>
          <c:showSerName val="0"/>
          <c:showPercent val="0"/>
          <c:showBubbleSize val="0"/>
        </c:dLbls>
        <c:marker val="1"/>
        <c:smooth val="0"/>
        <c:axId val="159038464"/>
        <c:axId val="159548160"/>
      </c:lineChart>
      <c:catAx>
        <c:axId val="159038464"/>
        <c:scaling>
          <c:orientation val="minMax"/>
        </c:scaling>
        <c:delete val="0"/>
        <c:axPos val="b"/>
        <c:majorTickMark val="out"/>
        <c:minorTickMark val="none"/>
        <c:tickLblPos val="nextTo"/>
        <c:crossAx val="159548160"/>
        <c:crosses val="autoZero"/>
        <c:auto val="1"/>
        <c:lblAlgn val="ctr"/>
        <c:lblOffset val="100"/>
        <c:noMultiLvlLbl val="0"/>
      </c:catAx>
      <c:valAx>
        <c:axId val="159548160"/>
        <c:scaling>
          <c:orientation val="minMax"/>
        </c:scaling>
        <c:delete val="0"/>
        <c:axPos val="l"/>
        <c:majorGridlines/>
        <c:numFmt formatCode="General" sourceLinked="1"/>
        <c:majorTickMark val="out"/>
        <c:minorTickMark val="none"/>
        <c:tickLblPos val="nextTo"/>
        <c:crossAx val="159038464"/>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16</xdr:col>
      <xdr:colOff>602316</xdr:colOff>
      <xdr:row>45</xdr:row>
      <xdr:rowOff>164165</xdr:rowOff>
    </xdr:from>
    <xdr:to>
      <xdr:col>31</xdr:col>
      <xdr:colOff>201705</xdr:colOff>
      <xdr:row>75</xdr:row>
      <xdr:rowOff>2240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201706</xdr:colOff>
      <xdr:row>79</xdr:row>
      <xdr:rowOff>51547</xdr:rowOff>
    </xdr:from>
    <xdr:to>
      <xdr:col>21</xdr:col>
      <xdr:colOff>537882</xdr:colOff>
      <xdr:row>93</xdr:row>
      <xdr:rowOff>127747</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207308</xdr:colOff>
      <xdr:row>45</xdr:row>
      <xdr:rowOff>163606</xdr:rowOff>
    </xdr:from>
    <xdr:to>
      <xdr:col>14</xdr:col>
      <xdr:colOff>100852</xdr:colOff>
      <xdr:row>75</xdr:row>
      <xdr:rowOff>44824</xdr:rowOff>
    </xdr:to>
    <xdr:graphicFrame macro="">
      <xdr:nvGraphicFramePr>
        <xdr:cNvPr id="14" name="Chart 1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593912</xdr:colOff>
      <xdr:row>79</xdr:row>
      <xdr:rowOff>112059</xdr:rowOff>
    </xdr:from>
    <xdr:to>
      <xdr:col>30</xdr:col>
      <xdr:colOff>324971</xdr:colOff>
      <xdr:row>93</xdr:row>
      <xdr:rowOff>188259</xdr:rowOff>
    </xdr:to>
    <xdr:graphicFrame macro="">
      <xdr:nvGraphicFramePr>
        <xdr:cNvPr id="15" name="Chart 1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30</xdr:col>
      <xdr:colOff>605117</xdr:colOff>
      <xdr:row>79</xdr:row>
      <xdr:rowOff>145677</xdr:rowOff>
    </xdr:from>
    <xdr:to>
      <xdr:col>38</xdr:col>
      <xdr:colOff>336175</xdr:colOff>
      <xdr:row>94</xdr:row>
      <xdr:rowOff>31377</xdr:rowOff>
    </xdr:to>
    <xdr:graphicFrame macro="">
      <xdr:nvGraphicFramePr>
        <xdr:cNvPr id="16" name="Chart 1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201706</xdr:colOff>
      <xdr:row>95</xdr:row>
      <xdr:rowOff>78441</xdr:rowOff>
    </xdr:from>
    <xdr:to>
      <xdr:col>21</xdr:col>
      <xdr:colOff>537882</xdr:colOff>
      <xdr:row>109</xdr:row>
      <xdr:rowOff>154641</xdr:rowOff>
    </xdr:to>
    <xdr:graphicFrame macro="">
      <xdr:nvGraphicFramePr>
        <xdr:cNvPr id="17" name="Chart 1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22</xdr:col>
      <xdr:colOff>593912</xdr:colOff>
      <xdr:row>96</xdr:row>
      <xdr:rowOff>0</xdr:rowOff>
    </xdr:from>
    <xdr:to>
      <xdr:col>30</xdr:col>
      <xdr:colOff>324971</xdr:colOff>
      <xdr:row>110</xdr:row>
      <xdr:rowOff>76200</xdr:rowOff>
    </xdr:to>
    <xdr:graphicFrame macro="">
      <xdr:nvGraphicFramePr>
        <xdr:cNvPr id="18" name="Chart 1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30</xdr:col>
      <xdr:colOff>605117</xdr:colOff>
      <xdr:row>97</xdr:row>
      <xdr:rowOff>0</xdr:rowOff>
    </xdr:from>
    <xdr:to>
      <xdr:col>38</xdr:col>
      <xdr:colOff>336175</xdr:colOff>
      <xdr:row>111</xdr:row>
      <xdr:rowOff>76200</xdr:rowOff>
    </xdr:to>
    <xdr:graphicFrame macro="">
      <xdr:nvGraphicFramePr>
        <xdr:cNvPr id="19" name="Chart 1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201706</xdr:colOff>
      <xdr:row>111</xdr:row>
      <xdr:rowOff>145676</xdr:rowOff>
    </xdr:from>
    <xdr:to>
      <xdr:col>21</xdr:col>
      <xdr:colOff>537882</xdr:colOff>
      <xdr:row>126</xdr:row>
      <xdr:rowOff>31376</xdr:rowOff>
    </xdr:to>
    <xdr:graphicFrame macro="">
      <xdr:nvGraphicFramePr>
        <xdr:cNvPr id="20" name="Chart 1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22</xdr:col>
      <xdr:colOff>593912</xdr:colOff>
      <xdr:row>112</xdr:row>
      <xdr:rowOff>44823</xdr:rowOff>
    </xdr:from>
    <xdr:to>
      <xdr:col>30</xdr:col>
      <xdr:colOff>324971</xdr:colOff>
      <xdr:row>126</xdr:row>
      <xdr:rowOff>121023</xdr:rowOff>
    </xdr:to>
    <xdr:graphicFrame macro="">
      <xdr:nvGraphicFramePr>
        <xdr:cNvPr id="21" name="Chart 2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30</xdr:col>
      <xdr:colOff>605117</xdr:colOff>
      <xdr:row>113</xdr:row>
      <xdr:rowOff>0</xdr:rowOff>
    </xdr:from>
    <xdr:to>
      <xdr:col>38</xdr:col>
      <xdr:colOff>336175</xdr:colOff>
      <xdr:row>127</xdr:row>
      <xdr:rowOff>76200</xdr:rowOff>
    </xdr:to>
    <xdr:graphicFrame macro="">
      <xdr:nvGraphicFramePr>
        <xdr:cNvPr id="22" name="Chart 2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14</xdr:col>
      <xdr:colOff>201706</xdr:colOff>
      <xdr:row>128</xdr:row>
      <xdr:rowOff>22412</xdr:rowOff>
    </xdr:from>
    <xdr:to>
      <xdr:col>21</xdr:col>
      <xdr:colOff>537882</xdr:colOff>
      <xdr:row>142</xdr:row>
      <xdr:rowOff>98612</xdr:rowOff>
    </xdr:to>
    <xdr:graphicFrame macro="">
      <xdr:nvGraphicFramePr>
        <xdr:cNvPr id="23" name="Chart 2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22</xdr:col>
      <xdr:colOff>593912</xdr:colOff>
      <xdr:row>128</xdr:row>
      <xdr:rowOff>0</xdr:rowOff>
    </xdr:from>
    <xdr:to>
      <xdr:col>30</xdr:col>
      <xdr:colOff>324971</xdr:colOff>
      <xdr:row>142</xdr:row>
      <xdr:rowOff>76200</xdr:rowOff>
    </xdr:to>
    <xdr:graphicFrame macro="">
      <xdr:nvGraphicFramePr>
        <xdr:cNvPr id="24" name="Chart 2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32</xdr:col>
      <xdr:colOff>0</xdr:colOff>
      <xdr:row>46</xdr:row>
      <xdr:rowOff>0</xdr:rowOff>
    </xdr:from>
    <xdr:to>
      <xdr:col>45</xdr:col>
      <xdr:colOff>498662</xdr:colOff>
      <xdr:row>75</xdr:row>
      <xdr:rowOff>71718</xdr:rowOff>
    </xdr:to>
    <xdr:graphicFrame macro="">
      <xdr:nvGraphicFramePr>
        <xdr:cNvPr id="25" name="Chart 2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20</xdr:col>
      <xdr:colOff>238125</xdr:colOff>
      <xdr:row>4</xdr:row>
      <xdr:rowOff>9524</xdr:rowOff>
    </xdr:from>
    <xdr:to>
      <xdr:col>34</xdr:col>
      <xdr:colOff>257175</xdr:colOff>
      <xdr:row>31</xdr:row>
      <xdr:rowOff>152399</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8</xdr:col>
      <xdr:colOff>228600</xdr:colOff>
      <xdr:row>2</xdr:row>
      <xdr:rowOff>152400</xdr:rowOff>
    </xdr:from>
    <xdr:to>
      <xdr:col>31</xdr:col>
      <xdr:colOff>561975</xdr:colOff>
      <xdr:row>65</xdr:row>
      <xdr:rowOff>152400</xdr:rowOff>
    </xdr:to>
    <xdr:sp macro="" textlink="">
      <xdr:nvSpPr>
        <xdr:cNvPr id="2" name="TextBox 1"/>
        <xdr:cNvSpPr txBox="1"/>
      </xdr:nvSpPr>
      <xdr:spPr>
        <a:xfrm>
          <a:off x="5105400" y="533400"/>
          <a:ext cx="14354175" cy="12001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select </a:t>
          </a:r>
        </a:p>
        <a:p>
          <a:r>
            <a:rPr lang="en-US" sz="1100"/>
            <a:t>			SFACTOR_PREPAY_TRACKING_CPR = 1 - ( sum(md1.smmTotal*1*l.schamBalance)/sum(sign(md1.issueId)*1*l.schamBalance))</a:t>
          </a:r>
        </a:p>
        <a:p>
          <a:r>
            <a:rPr lang="en-US" sz="1100"/>
            <a:t>            ,PREPAY_TRACKING_CPR1 = 100*(1-POWER(SFACTOR_PREPAY_TRACKING_CPR,12))			</a:t>
          </a:r>
        </a:p>
        <a:p>
          <a:r>
            <a:rPr lang="en-US" sz="1100"/>
            <a:t>	        ,PREPAY_CPR1 = 100*(1.0 - power(sum(1*currentRpb)/sum(1*calcScham), 12))</a:t>
          </a:r>
        </a:p>
        <a:p>
          <a:r>
            <a:rPr lang="en-US" sz="1100"/>
            <a:t>			,PCT_LOANTYPE = sum(case when loanType in ( 'FHA') then  1*schamBalance else 0  end) / sum( 1*schamBalance)</a:t>
          </a:r>
        </a:p>
        <a:p>
          <a:r>
            <a:rPr lang="en-US" sz="1100"/>
            <a:t>			,WTAVG_ORIGNOTERATE = sum( case when OrigNoteRate &gt;0 then 1*schamBalance else NULL end *OrigNoteRate) / sum(case when OrigNoteRate &gt;0   then  1*schamBalance  else NULL end)</a:t>
          </a:r>
        </a:p>
        <a:p>
          <a:r>
            <a:rPr lang="en-US" sz="1100"/>
            <a:t>			,WTAVG_ZEROSATO = sum( case when zeroSATORate &gt;0 then 1*schamBalance else NULL end *zeroSATORate) / sum(case when zeroSATORate &gt;0   then  1*schamBalance  else NULL end)</a:t>
          </a:r>
        </a:p>
        <a:p>
          <a:r>
            <a:rPr lang="en-US" sz="1100"/>
            <a:t>			,WTAVG_REFI_INCENTIVE_INCL_ELIG = sum( case when incentive_include_elig &gt;-99999 then 1*schamBalance else NULL end *incentive_include_elig) / sum(case when incentive_include_elig &gt;-99999   then  1*schamBalance  else NULL end)</a:t>
          </a:r>
        </a:p>
        <a:p>
          <a:r>
            <a:rPr lang="en-US" sz="1100"/>
            <a:t>			,WTAVG_LOANAGE = sum( case when loanAge &gt;0 then 1*schamBalance else NULL end *loanAge) / sum(case when loanAge &gt;0   then  1*schamBalance  else NULL end)</a:t>
          </a:r>
        </a:p>
        <a:p>
          <a:r>
            <a:rPr lang="en-US" sz="1100"/>
            <a:t>			,WTAVG_LTV = sum( case when origLTV &gt;0 then 1*schamBalance else NULL end *origLTV) / sum(case when origLTV &gt;0   then  1*schamBalance  else NULL end)</a:t>
          </a:r>
        </a:p>
        <a:p>
          <a:r>
            <a:rPr lang="en-US" sz="1100"/>
            <a:t>			,WTAVG_CLTV = sum( case when CLTV &gt;0 then 1*schamBalance else NULL end *CLTV) / sum(case when CLTV &gt;0   then  1*schamBalance  else NULL end)</a:t>
          </a:r>
        </a:p>
        <a:p>
          <a:r>
            <a:rPr lang="en-US" sz="1100"/>
            <a:t>			,AVG_LOANSIZE_SCHAMBALANCE = sum( 1*schamBalance)/sum( 1*1)</a:t>
          </a:r>
        </a:p>
        <a:p>
          <a:r>
            <a:rPr lang="en-US" sz="1100"/>
            <a:t>			,WTAVG_FICO = sum( case when cs &gt;0 then 1*schamBalance else NULL end *cs) / sum(case when cs &gt;0   then  1*schamBalance  else NULL end)</a:t>
          </a:r>
        </a:p>
        <a:p>
          <a:r>
            <a:rPr lang="en-US" sz="1100"/>
            <a:t>			,PCT_ISSECONDLIEN = sum(case when isSecondLien in ( 'Y') then  1*schamBalance else 0  end) / sum( 1*schamBalance)</a:t>
          </a:r>
        </a:p>
        <a:p>
          <a:r>
            <a:rPr lang="en-US" sz="1100"/>
            <a:t>			,PCT_SVC = sum(case when servicerName in ( 'CALIBER HOME LOANS INC','CALIBERHOMELOANSINC','CARRINGTON MORTGAGE SERVICES, LLC','EVER BANK','FLAGSTAR','FRANKLIN AMERICAN MORTGAGE COMPANY','FRANKLINAMERICANMTGE','FREEDOM','HOMEBRIDGE FINANCIAL SERVICES INC','LAKEVIEW LOAN SERVICING, LLC','MIDFIRST','OCWEN','PACIFIC UNION FINANCIAL LLC','PENNYMAC CORP.','PENNYMAC LOAN SERVICES, LLC','PENNYMACCORP','PINGORA LOAN SERVICING, INC.','PLAZA HOME MORTGAGE, INC','PLAZAHOMEMORTGAGEIN','PROVIDENT FUNDING','PROVIDENTSAVINGSBANK','QUICKEN','STEARNS LENDING INC DBA FPF WHOLESALE CU','STEARNS LENDING, LLC','STONEGATE MORTGAGE CORPORATION','UNITED SHORE FINANCIAL SERVICES, LLC','UNITEDSHOREFINANCIAL') then  1*schamBalance else 0  end) / sum( 1*schamBalance)</a:t>
          </a:r>
        </a:p>
        <a:p>
          <a:r>
            <a:rPr lang="en-US" sz="1100"/>
            <a:t>			,PCT_TPO = sum(case when tpoType in ( 'RETAIL') then  1*schamBalance else 0  end) / sum( 1*schamBalance)</a:t>
          </a:r>
        </a:p>
        <a:p>
          <a:r>
            <a:rPr lang="en-US" sz="1100"/>
            <a:t>			,PCT_GEO = sum(case when state in ( 'NY','PR') then  1*schamBalance else 0  end) / sum( 1*schamBalance)</a:t>
          </a:r>
        </a:p>
        <a:p>
          <a:r>
            <a:rPr lang="en-US" sz="1100"/>
            <a:t>			,PCT_LOANPURPOSE = sum(case when loanPurposeType in ( 'RE-FI','RE-FI-NCO','RE-FI-CO','RE-FI-STR','RE-FI-NSTR','RE-FI-N/S','RE-FI-N/A') then  1*schamBalance else 0  end) / sum( 1*schamBalance)</a:t>
          </a:r>
        </a:p>
        <a:p>
          <a:r>
            <a:rPr lang="en-US" sz="1100"/>
            <a:t>			,PCT_OCC = sum(case when occType in ( 'INV') then  1*schamBalance else 0  end) / sum( 1*schamBalance)  </a:t>
          </a:r>
        </a:p>
        <a:p>
          <a:r>
            <a:rPr lang="en-US" sz="1100"/>
            <a:t>,groupByColumn = </a:t>
          </a:r>
        </a:p>
        <a:p>
          <a:r>
            <a:rPr lang="en-US" sz="1100"/>
            <a:t>    case</a:t>
          </a:r>
        </a:p>
        <a:p>
          <a:r>
            <a:rPr lang="en-US" sz="1100"/>
            <a:t>    when incentive_include_elig &lt;= -25 then -25</a:t>
          </a:r>
        </a:p>
        <a:p>
          <a:r>
            <a:rPr lang="en-US" sz="1100"/>
            <a:t>    when incentive_include_elig &gt; 150 then 150</a:t>
          </a:r>
        </a:p>
        <a:p>
          <a:r>
            <a:rPr lang="en-US" sz="1100"/>
            <a:t>    else convert(int, incentive_include_elig / 5) * 5 + 5</a:t>
          </a:r>
        </a:p>
        <a:p>
          <a:r>
            <a:rPr lang="en-US" sz="1100"/>
            <a:t>    end</a:t>
          </a:r>
        </a:p>
        <a:p>
          <a:r>
            <a:rPr lang="en-US" sz="1100"/>
            <a:t>,clsBucket = (case</a:t>
          </a:r>
        </a:p>
        <a:p>
          <a:r>
            <a:rPr lang="en-US" sz="1100"/>
            <a:t>                  when (schamBalance  / 1000.0) &lt; 10 THEN 10</a:t>
          </a:r>
        </a:p>
        <a:p>
          <a:r>
            <a:rPr lang="en-US" sz="1100"/>
            <a:t>                  when (schamBalance  / 1000.0) &gt; 175 THEN 175</a:t>
          </a:r>
        </a:p>
        <a:p>
          <a:r>
            <a:rPr lang="en-US" sz="1100"/>
            <a:t>                  else convert(int, schamBalance / 10000) * 10 + 10 end)</a:t>
          </a:r>
        </a:p>
        <a:p>
          <a:r>
            <a:rPr lang="en-US" sz="1100"/>
            <a:t>--,olsBucket = (case</a:t>
          </a:r>
        </a:p>
        <a:p>
          <a:r>
            <a:rPr lang="en-US" sz="1100"/>
            <a:t>--                  when (originalLoanAmount  / 1000.0) &lt; 10 THEN 10</a:t>
          </a:r>
        </a:p>
        <a:p>
          <a:r>
            <a:rPr lang="en-US" sz="1100"/>
            <a:t>--                  when (originalLoanAmount  / 1000.0) &gt; 175 THEN 175</a:t>
          </a:r>
        </a:p>
        <a:p>
          <a:r>
            <a:rPr lang="en-US" sz="1100"/>
            <a:t>--                  else convert(int, originalLoanAmount / 10000) * 10 + 10 end)</a:t>
          </a:r>
        </a:p>
        <a:p>
          <a:r>
            <a:rPr lang="en-US" sz="1100"/>
            <a:t>--,curve = substring( groupByColumn,charindex(':',groupByColumn)+1)  </a:t>
          </a:r>
        </a:p>
        <a:p>
          <a:r>
            <a:rPr lang="en-US" sz="1100"/>
            <a:t>,Balance = sum(schamBalance)</a:t>
          </a:r>
        </a:p>
        <a:p>
          <a:r>
            <a:rPr lang="en-US" sz="1100"/>
            <a:t>,LoanCount = count(1)</a:t>
          </a:r>
        </a:p>
        <a:p>
          <a:r>
            <a:rPr lang="en-US" sz="1100"/>
            <a:t>from FHL.Cello_LoanView l</a:t>
          </a:r>
        </a:p>
        <a:p>
          <a:r>
            <a:rPr lang="en-US" sz="1100"/>
            <a:t>left outer join scale.LoanPrepayTracking md1 on md1.loanseqNum = l.loanseqNum and md1.asOf =  l.asOf and md1.modelId = '4.10'</a:t>
          </a:r>
        </a:p>
        <a:p>
          <a:r>
            <a:rPr lang="en-US" sz="1100"/>
            <a:t>JOIN scale.fhl_LoanBurnout slb</a:t>
          </a:r>
        </a:p>
        <a:p>
          <a:r>
            <a:rPr lang="en-US" sz="1100"/>
            <a:t>    ON l.loanSeqNum = slb.loanSeqNum</a:t>
          </a:r>
        </a:p>
        <a:p>
          <a:r>
            <a:rPr lang="en-US" sz="1100"/>
            <a:t>    AND l.asOf = slb.asOf</a:t>
          </a:r>
        </a:p>
        <a:p>
          <a:r>
            <a:rPr lang="en-US" sz="1100"/>
            <a:t>    AND slb.version = '2.60'</a:t>
          </a:r>
        </a:p>
        <a:p>
          <a:r>
            <a:rPr lang="en-US" sz="1100"/>
            <a:t>where 1 = 1</a:t>
          </a:r>
        </a:p>
        <a:p>
          <a:r>
            <a:rPr lang="en-US" sz="1100"/>
            <a:t>and schamBalance &gt; 0.1</a:t>
          </a:r>
        </a:p>
        <a:p>
          <a:r>
            <a:rPr lang="en-US" sz="1100"/>
            <a:t>and groupByColumn is NOT NULL</a:t>
          </a:r>
        </a:p>
        <a:p>
          <a:r>
            <a:rPr lang="en-US" sz="1100"/>
            <a:t>and ( 1=2 </a:t>
          </a:r>
        </a:p>
        <a:p>
          <a:r>
            <a:rPr lang="en-US" sz="1100"/>
            <a:t> OR marketTicker LIKE 'FGLMC')</a:t>
          </a:r>
        </a:p>
        <a:p>
          <a:r>
            <a:rPr lang="en-US" sz="1100"/>
            <a:t>-- and coupon &gt;= 4.5 and coupon&lt;=4.5</a:t>
          </a:r>
        </a:p>
        <a:p>
          <a:r>
            <a:rPr lang="en-US" sz="1100"/>
            <a:t>-- and incentive_include_elig &gt;= -25 and incentive_include_elig&lt;=250</a:t>
          </a:r>
        </a:p>
        <a:p>
          <a:r>
            <a:rPr lang="en-US" sz="1100"/>
            <a:t> and l.asOf &gt;= '20090701' and l.asOf&lt;='20180401'</a:t>
          </a:r>
        </a:p>
        <a:p>
          <a:r>
            <a:rPr lang="en-US" sz="1100"/>
            <a:t> and calcOrigMonth_LL &gt;= 200907 and calcOrigMonth_LL&lt;=201804</a:t>
          </a:r>
        </a:p>
        <a:p>
          <a:r>
            <a:rPr lang="en-US" sz="1100"/>
            <a:t> and origLTV &gt;= 0 and origLTV&lt;=80</a:t>
          </a:r>
        </a:p>
        <a:p>
          <a:r>
            <a:rPr lang="en-US" sz="1100"/>
            <a:t> and ( 1=2 </a:t>
          </a:r>
        </a:p>
        <a:p>
          <a:r>
            <a:rPr lang="en-US" sz="1100"/>
            <a:t> OR occType LIKE 'OWNER' OR occType LIKE '2ND')</a:t>
          </a:r>
        </a:p>
        <a:p>
          <a:r>
            <a:rPr lang="en-US" sz="1100"/>
            <a:t> and incentive_include_elig&gt;=-99999999 and incentive_include_elig&lt;=99999999</a:t>
          </a:r>
        </a:p>
        <a:p>
          <a:r>
            <a:rPr lang="en-US" sz="1100"/>
            <a:t> and agency in ( 'FHL')</a:t>
          </a:r>
        </a:p>
        <a:p>
          <a:r>
            <a:rPr lang="en-US" sz="1100"/>
            <a:t> and loanAge &gt;= 12</a:t>
          </a:r>
        </a:p>
        <a:p>
          <a:r>
            <a:rPr lang="en-US" sz="1100"/>
            <a:t> and loanAge &lt; 36</a:t>
          </a:r>
        </a:p>
        <a:p>
          <a:r>
            <a:rPr lang="en-US" sz="1100"/>
            <a:t>group by groupByColumn, clsBucket</a:t>
          </a:r>
        </a:p>
        <a:p>
          <a:r>
            <a:rPr lang="en-US" sz="1100"/>
            <a:t>having 1=1					</a:t>
          </a:r>
        </a:p>
        <a:p>
          <a:r>
            <a:rPr lang="en-US" sz="1100"/>
            <a:t> and sum(schamBalance) &gt;1000000</a:t>
          </a:r>
        </a:p>
        <a:p>
          <a:r>
            <a:rPr lang="en-US" sz="1100"/>
            <a:t>order by groupByColumn, clsBucket</a:t>
          </a:r>
        </a:p>
        <a:p>
          <a:r>
            <a:rPr lang="en-US" sz="1100"/>
            <a:t>;</a:t>
          </a:r>
        </a:p>
        <a:p>
          <a:r>
            <a:rPr lang="en-US" sz="1100"/>
            <a:t>commit;</a:t>
          </a:r>
        </a:p>
        <a:p>
          <a:endParaRPr lang="en-US" sz="1100"/>
        </a:p>
        <a:p>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16</xdr:col>
      <xdr:colOff>376237</xdr:colOff>
      <xdr:row>0</xdr:row>
      <xdr:rowOff>33337</xdr:rowOff>
    </xdr:from>
    <xdr:to>
      <xdr:col>24</xdr:col>
      <xdr:colOff>71437</xdr:colOff>
      <xdr:row>14</xdr:row>
      <xdr:rowOff>109537</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Lien Chen" refreshedDate="43241.714919675927" createdVersion="4" refreshedVersion="4" minRefreshableVersion="3" recordCount="1033">
  <cacheSource type="worksheet">
    <worksheetSource ref="A1:V1048576" sheet="Sheet1"/>
  </cacheSource>
  <cacheFields count="22">
    <cacheField name="SFACTOR_PREPAY_TRACKING_CPR" numFmtId="0">
      <sharedItems containsString="0" containsBlank="1" containsNumber="1" minValue="0.963526420559495" maxValue="0.99476695824231698"/>
    </cacheField>
    <cacheField name="PREPAY_TRACKING_CPR1" numFmtId="0">
      <sharedItems containsString="0" containsBlank="1" containsNumber="1" minValue="6.1020268242205402" maxValue="35.972943921662598"/>
    </cacheField>
    <cacheField name="PREPAY_CPR1" numFmtId="0">
      <sharedItems containsString="0" containsBlank="1" containsNumber="1" minValue="0.19487168354850301" maxValue="95.184346372932097"/>
    </cacheField>
    <cacheField name="PCT_LOANTYPE" numFmtId="0">
      <sharedItems containsString="0" containsBlank="1" containsNumber="1" containsInteger="1" minValue="0" maxValue="0"/>
    </cacheField>
    <cacheField name="WTAVG_ORIGNOTERATE" numFmtId="0">
      <sharedItems containsString="0" containsBlank="1" containsNumber="1" minValue="3.6229519590091601" maxValue="6.2241255395748896"/>
    </cacheField>
    <cacheField name="WTAVG_ZEROSATO" numFmtId="0">
      <sharedItems containsString="0" containsBlank="1" containsNumber="1" minValue="3.68615494552694" maxValue="4.4978408133969596"/>
    </cacheField>
    <cacheField name="WTAVG_REFI_INCENTIVE_INCL_ELIG" numFmtId="0">
      <sharedItems containsString="0" containsBlank="1" containsNumber="1" minValue="-52.4722006721762" maxValue="264.67714118831702"/>
    </cacheField>
    <cacheField name="WTAVG_LOANAGE" numFmtId="0">
      <sharedItems containsString="0" containsBlank="1" containsNumber="1" minValue="20.230831710901199" maxValue="32.669800103837098"/>
    </cacheField>
    <cacheField name="WTAVG_LTV" numFmtId="0">
      <sharedItems containsString="0" containsBlank="1" containsNumber="1" minValue="30.453726959819701" maxValue="70.911950469713105"/>
    </cacheField>
    <cacheField name="WTAVG_CLTV" numFmtId="0">
      <sharedItems containsString="0" containsBlank="1" containsNumber="1" minValue="3.52778166905741" maxValue="66.334187744516001"/>
    </cacheField>
    <cacheField name="AVG_LOANSIZE_SCHAMBALANCE" numFmtId="0">
      <sharedItems containsString="0" containsBlank="1" containsNumber="1" minValue="5495.0068043478204" maxValue="297406.045774011"/>
    </cacheField>
    <cacheField name="WTAVG_FICO" numFmtId="0">
      <sharedItems containsString="0" containsBlank="1" containsNumber="1" minValue="721.12493874183201" maxValue="785.37169552142996"/>
    </cacheField>
    <cacheField name="PCT_ISSECONDLIEN" numFmtId="0">
      <sharedItems containsString="0" containsBlank="1" containsNumber="1" minValue="1.19887962210895E-2" maxValue="0.43646249469729198"/>
    </cacheField>
    <cacheField name="PCT_SVC" numFmtId="0">
      <sharedItems containsString="0" containsBlank="1" containsNumber="1" minValue="0" maxValue="0.133437793416709"/>
    </cacheField>
    <cacheField name="PCT_TPO" numFmtId="0">
      <sharedItems containsString="0" containsBlank="1" containsNumber="1" minValue="0.448602746239117" maxValue="1"/>
    </cacheField>
    <cacheField name="PCT_GEO" numFmtId="0">
      <sharedItems containsString="0" containsBlank="1" containsNumber="1" minValue="0" maxValue="0.209574145560462"/>
    </cacheField>
    <cacheField name="PCT_LOANPURPOSE" numFmtId="0">
      <sharedItems containsString="0" containsBlank="1" containsNumber="1" minValue="0.23062016450773601" maxValue="1"/>
    </cacheField>
    <cacheField name="PCT_OCC" numFmtId="0">
      <sharedItems containsString="0" containsBlank="1" containsNumber="1" containsInteger="1" minValue="0" maxValue="0"/>
    </cacheField>
    <cacheField name="groupByColumn" numFmtId="0">
      <sharedItems containsString="0" containsBlank="1" containsNumber="1" containsInteger="1" minValue="-25" maxValue="250" count="56">
        <n v="-25"/>
        <n v="-15"/>
        <n v="-10"/>
        <n v="-5"/>
        <n v="0"/>
        <n v="5"/>
        <n v="10"/>
        <n v="15"/>
        <n v="20"/>
        <n v="25"/>
        <n v="30"/>
        <n v="35"/>
        <n v="40"/>
        <n v="45"/>
        <n v="50"/>
        <n v="55"/>
        <n v="60"/>
        <n v="65"/>
        <n v="70"/>
        <n v="75"/>
        <n v="80"/>
        <n v="85"/>
        <n v="90"/>
        <n v="95"/>
        <n v="100"/>
        <n v="105"/>
        <n v="110"/>
        <n v="115"/>
        <n v="120"/>
        <n v="125"/>
        <n v="130"/>
        <n v="135"/>
        <n v="140"/>
        <n v="145"/>
        <n v="150"/>
        <n v="155"/>
        <n v="160"/>
        <n v="165"/>
        <n v="170"/>
        <n v="175"/>
        <n v="180"/>
        <n v="185"/>
        <n v="190"/>
        <n v="195"/>
        <n v="200"/>
        <n v="205"/>
        <n v="210"/>
        <n v="215"/>
        <n v="220"/>
        <n v="225"/>
        <n v="230"/>
        <n v="235"/>
        <n v="240"/>
        <n v="245"/>
        <n v="250"/>
        <m/>
      </sharedItems>
    </cacheField>
    <cacheField name="clsBucket" numFmtId="0">
      <sharedItems containsString="0" containsBlank="1" containsNumber="1" containsInteger="1" minValue="10" maxValue="180" count="20">
        <n v="10"/>
        <n v="20"/>
        <n v="30"/>
        <n v="40"/>
        <n v="50"/>
        <n v="60"/>
        <n v="70"/>
        <n v="80"/>
        <n v="90"/>
        <n v="100"/>
        <n v="110"/>
        <n v="120"/>
        <n v="130"/>
        <n v="140"/>
        <n v="150"/>
        <n v="160"/>
        <n v="170"/>
        <n v="175"/>
        <n v="180"/>
        <m/>
      </sharedItems>
    </cacheField>
    <cacheField name="Balance" numFmtId="0">
      <sharedItems containsString="0" containsBlank="1" containsNumber="1" minValue="1042554.6" maxValue="3404837055117.2998"/>
    </cacheField>
    <cacheField name="LoanCount" numFmtId="0">
      <sharedItems containsString="0" containsBlank="1" containsNumber="1" containsInteger="1" minValue="35" maxValue="11448446"/>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033">
  <r>
    <n v="0.99333460181909305"/>
    <n v="7.7116742287498301"/>
    <n v="90.0457927430963"/>
    <n v="0"/>
    <n v="3.6229519590091601"/>
    <n v="4.4415164381249896"/>
    <n v="-44.223345093697098"/>
    <n v="22.907611918212201"/>
    <n v="64.271890782220297"/>
    <n v="3.85587433949039"/>
    <n v="5754.2467202194302"/>
    <n v="785.37169552142996"/>
    <n v="2.2483336780346801E-2"/>
    <n v="6.1543614084890598E-2"/>
    <n v="0.605309469805829"/>
    <n v="2.0124558231155599E-2"/>
    <n v="0.23062016450773601"/>
    <n v="0"/>
    <x v="0"/>
    <x v="0"/>
    <n v="14684837.630000001"/>
    <n v="2552"/>
  </r>
  <r>
    <n v="0.99321524749152401"/>
    <n v="7.8446534039330196"/>
    <n v="64.079831000110104"/>
    <n v="0"/>
    <n v="3.6433265741574501"/>
    <n v="4.4459757323203704"/>
    <n v="-49.165162826035001"/>
    <n v="22.0825498424018"/>
    <n v="57.237018014302897"/>
    <n v="17.1977014521858"/>
    <n v="15841.5135910589"/>
    <n v="767.531928518683"/>
    <n v="4.6537533347632797E-2"/>
    <n v="4.7018841873340003E-2"/>
    <n v="0.66365494269208802"/>
    <n v="2.9454840039555501E-2"/>
    <n v="0.284044571963948"/>
    <n v="0"/>
    <x v="0"/>
    <x v="1"/>
    <n v="86462981.180000007"/>
    <n v="5458"/>
  </r>
  <r>
    <n v="0.99319718070359098"/>
    <n v="7.8647672861507596"/>
    <n v="31.707892399826299"/>
    <n v="0"/>
    <n v="3.7103530380993202"/>
    <n v="4.4679081112398"/>
    <n v="-50.364431597263398"/>
    <n v="21.3240198326715"/>
    <n v="56.586014381283398"/>
    <n v="35.078505682115399"/>
    <n v="26078.501279219901"/>
    <n v="758.15956157230096"/>
    <n v="4.3576377719827503E-2"/>
    <n v="2.6900408380657801E-2"/>
    <n v="0.76287201531709303"/>
    <n v="2.9735067941936599E-2"/>
    <n v="0.32316207306568401"/>
    <n v="0"/>
    <x v="0"/>
    <x v="2"/>
    <n v="403851670.81"/>
    <n v="15486"/>
  </r>
  <r>
    <n v="0.99307306014500796"/>
    <n v="8.0028428230788204"/>
    <n v="15.1334643128639"/>
    <n v="0"/>
    <n v="3.7401316051931399"/>
    <n v="4.48086317810289"/>
    <n v="-51.341092374660199"/>
    <n v="20.844139391660502"/>
    <n v="57.546020458560697"/>
    <n v="45.321979935743002"/>
    <n v="35906.752289096803"/>
    <n v="750.71129540679897"/>
    <n v="4.5165583698802497E-2"/>
    <n v="2.35660818028798E-2"/>
    <n v="0.77865354209409599"/>
    <n v="3.3561998951578201E-2"/>
    <n v="0.40971769496899801"/>
    <n v="0"/>
    <x v="0"/>
    <x v="3"/>
    <n v="1592284930.26"/>
    <n v="44345"/>
  </r>
  <r>
    <n v="0.99307364461748604"/>
    <n v="8.0021930826005097"/>
    <n v="9.9030299739426901"/>
    <n v="0"/>
    <n v="3.7410096876441998"/>
    <n v="4.4774500893972498"/>
    <n v="-51.562065452949803"/>
    <n v="20.722693983714699"/>
    <n v="58.247100237904398"/>
    <n v="49.085375784528701"/>
    <n v="45840.9047373168"/>
    <n v="750.69722598750798"/>
    <n v="5.1449591478879203E-2"/>
    <n v="2.5457344261466099E-2"/>
    <n v="0.75124529045006605"/>
    <n v="3.52805362297679E-2"/>
    <n v="0.47995501899815302"/>
    <n v="0"/>
    <x v="0"/>
    <x v="4"/>
    <n v="4827826564.2200003"/>
    <n v="105317"/>
  </r>
  <r>
    <n v="0.99316767557692298"/>
    <n v="7.89760689914986"/>
    <n v="8.0795177965137697"/>
    <n v="0"/>
    <n v="3.7591521398304701"/>
    <n v="4.4846899617830296"/>
    <n v="-51.651875232905702"/>
    <n v="20.602270440395401"/>
    <n v="61.464530355306898"/>
    <n v="53.424650766969698"/>
    <n v="55526.7308585067"/>
    <n v="750.77432001107695"/>
    <n v="6.1390081641885301E-2"/>
    <n v="2.6620718843680499E-2"/>
    <n v="0.73344289147184005"/>
    <n v="4.0963114973238499E-2"/>
    <n v="0.54876795453626603"/>
    <n v="0"/>
    <x v="0"/>
    <x v="5"/>
    <n v="10317477387.549999"/>
    <n v="185811"/>
  </r>
  <r>
    <n v="0.99330043680326396"/>
    <n v="7.7497572962582604"/>
    <n v="7.2213767221873697"/>
    <n v="0"/>
    <n v="3.7600178499595298"/>
    <n v="4.4859410000260098"/>
    <n v="-51.835406936143002"/>
    <n v="20.6919623481554"/>
    <n v="62.965041859242497"/>
    <n v="55.189914184260601"/>
    <n v="65301.715539101999"/>
    <n v="751.90426768278303"/>
    <n v="6.6427873902105902E-2"/>
    <n v="3.1958022007487701E-2"/>
    <n v="0.71329625581844402"/>
    <n v="3.9686381564630203E-2"/>
    <n v="0.58435310927816697"/>
    <n v="0"/>
    <x v="0"/>
    <x v="6"/>
    <n v="17458544252.810001"/>
    <n v="267352"/>
  </r>
  <r>
    <n v="0.99344625771856798"/>
    <n v="7.5871130714321904"/>
    <n v="6.72535845610353"/>
    <n v="0"/>
    <n v="3.7520133103828202"/>
    <n v="4.4878556110940702"/>
    <n v="-51.8395396622766"/>
    <n v="20.670917177976399"/>
    <n v="62.655638548195199"/>
    <n v="55.2549247125826"/>
    <n v="75198.982035196095"/>
    <n v="753.46198629128105"/>
    <n v="7.9123000344735198E-2"/>
    <n v="4.00658643357934E-2"/>
    <n v="0.70713788065134398"/>
    <n v="3.7147048274005501E-2"/>
    <n v="0.63550850965575201"/>
    <n v="0"/>
    <x v="0"/>
    <x v="7"/>
    <n v="28617198210.439999"/>
    <n v="380553"/>
  </r>
  <r>
    <n v="0.99363473406104896"/>
    <n v="7.3765028381042903"/>
    <n v="6.7273956075274697"/>
    <n v="0"/>
    <n v="3.7539712980147502"/>
    <n v="4.4870591752853599"/>
    <n v="-52.139334630944703"/>
    <n v="20.756128749482698"/>
    <n v="64.9871222138066"/>
    <n v="57.5173579247747"/>
    <n v="85185.363048842803"/>
    <n v="754.26520013881498"/>
    <n v="8.2493211780249306E-2"/>
    <n v="4.5316272127382602E-2"/>
    <n v="0.70033321943733595"/>
    <n v="3.6201906497724499E-2"/>
    <n v="0.64160596650187696"/>
    <n v="0"/>
    <x v="0"/>
    <x v="8"/>
    <n v="39953127864.989998"/>
    <n v="469014"/>
  </r>
  <r>
    <n v="0.99388300434203702"/>
    <n v="7.0984051996484201"/>
    <n v="6.1983349838056201"/>
    <n v="0"/>
    <n v="3.7507100502114001"/>
    <n v="4.4893557158427004"/>
    <n v="-52.0192225526961"/>
    <n v="20.727453383814701"/>
    <n v="65.143732363351901"/>
    <n v="57.8159768555184"/>
    <n v="95250.973190148798"/>
    <n v="757.03407979326596"/>
    <n v="7.5778805613613401E-2"/>
    <n v="5.0773094499493597E-2"/>
    <n v="0.65427438368375401"/>
    <n v="3.3991392561739303E-2"/>
    <n v="0.60697510180187797"/>
    <n v="0"/>
    <x v="0"/>
    <x v="9"/>
    <n v="59491757584.129997"/>
    <n v="624579"/>
  </r>
  <r>
    <n v="0.99403215787760302"/>
    <n v="6.9309644348850297"/>
    <n v="6.1508329061516198"/>
    <n v="0"/>
    <n v="3.7657327404263299"/>
    <n v="4.49404964230287"/>
    <n v="-52.4722006721762"/>
    <n v="20.581184202000902"/>
    <n v="67.769595238651306"/>
    <n v="60.432957899692497"/>
    <n v="105050.15010303901"/>
    <n v="756.35414085488401"/>
    <n v="7.9513713193808302E-2"/>
    <n v="5.5111019953863499E-2"/>
    <n v="0.63320632756717099"/>
    <n v="3.1460465155896497E-2"/>
    <n v="0.62272348462540605"/>
    <n v="0"/>
    <x v="0"/>
    <x v="10"/>
    <n v="64066199692.290001"/>
    <n v="609863"/>
  </r>
  <r>
    <n v="0.99415809732607296"/>
    <n v="6.7893686053925499"/>
    <n v="6.01864874982068"/>
    <n v="0"/>
    <n v="3.7588771958447902"/>
    <n v="4.4907216891432498"/>
    <n v="-52.140623162132798"/>
    <n v="20.797892729167099"/>
    <n v="67.872823908609007"/>
    <n v="60.441221283616997"/>
    <n v="115105.085765643"/>
    <n v="757.49034858247603"/>
    <n v="8.1031533560353503E-2"/>
    <n v="5.9171935138309803E-2"/>
    <n v="0.60863522862734398"/>
    <n v="3.01696002227873E-2"/>
    <n v="0.62762286385808597"/>
    <n v="0"/>
    <x v="0"/>
    <x v="11"/>
    <n v="74527665406.110001"/>
    <n v="647475"/>
  </r>
  <r>
    <n v="0.99431732394001304"/>
    <n v="6.6100648012071099"/>
    <n v="5.9980416489125297"/>
    <n v="0"/>
    <n v="3.7590770199796899"/>
    <n v="4.4937661882653597"/>
    <n v="-52.364530929820504"/>
    <n v="20.612802087179901"/>
    <n v="68.119987418620795"/>
    <n v="60.7530780346315"/>
    <n v="124933.47643619"/>
    <n v="758.25865979329296"/>
    <n v="8.0548567740320903E-2"/>
    <n v="6.6188613781218306E-2"/>
    <n v="0.59616398073326105"/>
    <n v="2.9254839079589898E-2"/>
    <n v="0.63228482832358601"/>
    <n v="0"/>
    <x v="0"/>
    <x v="12"/>
    <n v="86923840498.720001"/>
    <n v="695761"/>
  </r>
  <r>
    <n v="0.99443714485565404"/>
    <n v="6.4749270117759101"/>
    <n v="5.7248006393287199"/>
    <n v="0"/>
    <n v="3.75387814878941"/>
    <n v="4.4925531463910904"/>
    <n v="-52.345203694191802"/>
    <n v="20.688546064707001"/>
    <n v="68.635889170885903"/>
    <n v="61.130343684117697"/>
    <n v="134977.588217307"/>
    <n v="758.68838368571596"/>
    <n v="8.3521282274244393E-2"/>
    <n v="6.91036386496722E-2"/>
    <n v="0.58562002826852999"/>
    <n v="2.9784616403807401E-2"/>
    <n v="0.64012347723030705"/>
    <n v="0"/>
    <x v="0"/>
    <x v="13"/>
    <n v="92396478417.570007"/>
    <n v="684532"/>
  </r>
  <r>
    <n v="0.99455562073297599"/>
    <n v="6.3411299753939101"/>
    <n v="5.9784956938347698"/>
    <n v="0"/>
    <n v="3.75009095282691"/>
    <n v="4.4935270606050404"/>
    <n v="-52.1518251310357"/>
    <n v="20.563850141344702"/>
    <n v="67.432731877012998"/>
    <n v="60.107906635080901"/>
    <n v="144925.868403331"/>
    <n v="759.58172305995299"/>
    <n v="8.03886969345253E-2"/>
    <n v="7.9582977195272506E-2"/>
    <n v="0.57764137746389799"/>
    <n v="3.1521124031086402E-2"/>
    <n v="0.64838316013201003"/>
    <n v="0"/>
    <x v="0"/>
    <x v="14"/>
    <n v="101764191201.32001"/>
    <n v="702181"/>
  </r>
  <r>
    <n v="0.99461480410793601"/>
    <n v="6.2742273814641898"/>
    <n v="5.7883430595130001"/>
    <n v="0"/>
    <n v="3.7552491568009199"/>
    <n v="4.4931524428631304"/>
    <n v="-51.841956013190803"/>
    <n v="20.6664423860265"/>
    <n v="68.671546864777696"/>
    <n v="61.170759947111598"/>
    <n v="154962.366377703"/>
    <n v="759.39563486169902"/>
    <n v="8.3385887459282507E-2"/>
    <n v="8.5972978955271603E-2"/>
    <n v="0.57138199050056604"/>
    <n v="3.0780059973483001E-2"/>
    <n v="0.66928240533869798"/>
    <n v="0"/>
    <x v="0"/>
    <x v="15"/>
    <n v="100067877862.60001"/>
    <n v="645756"/>
  </r>
  <r>
    <n v="0.99469597888057704"/>
    <n v="6.1823938275180597"/>
    <n v="5.6367430894106301"/>
    <n v="0"/>
    <n v="3.7581900460131998"/>
    <n v="4.4950121767957496"/>
    <n v="-51.746640949455397"/>
    <n v="20.654427117827101"/>
    <n v="68.919942510600606"/>
    <n v="61.421693596754601"/>
    <n v="165012.851416444"/>
    <n v="760.04506795154202"/>
    <n v="8.3242700629565805E-2"/>
    <n v="8.9536855110199404E-2"/>
    <n v="0.55970383170737104"/>
    <n v="2.9261823417193199E-2"/>
    <n v="0.66689039443910103"/>
    <n v="0"/>
    <x v="0"/>
    <x v="16"/>
    <n v="107320233239.97"/>
    <n v="650375"/>
  </r>
  <r>
    <n v="0.99475481551937095"/>
    <n v="6.11578000152298"/>
    <n v="5.19217176394248"/>
    <n v="0"/>
    <n v="3.71879411509744"/>
    <n v="4.48249076767934"/>
    <n v="-51.461428758710497"/>
    <n v="20.4831171785601"/>
    <n v="68.830250460849001"/>
    <n v="60.586027416648598"/>
    <n v="297406.045774011"/>
    <n v="762.8243650851"/>
    <n v="0.120998634875952"/>
    <n v="0.133437793416709"/>
    <n v="0.448602746239117"/>
    <n v="4.2754577783774401E-2"/>
    <n v="0.68166004836855498"/>
    <n v="0"/>
    <x v="0"/>
    <x v="17"/>
    <n v="3404837055117.2998"/>
    <n v="11448446"/>
  </r>
  <r>
    <n v="0.99476695824231698"/>
    <n v="6.1020268242205402"/>
    <n v="5.6628410937374802"/>
    <n v="0"/>
    <n v="3.7619082553823699"/>
    <n v="4.4978408133969596"/>
    <n v="-51.585539735209203"/>
    <n v="20.510290239232699"/>
    <n v="69.474770213566799"/>
    <n v="61.973256690382001"/>
    <n v="172469.28510171801"/>
    <n v="760.45643220878196"/>
    <n v="7.8980273513571203E-2"/>
    <n v="0.100269013058626"/>
    <n v="0.54988727300990703"/>
    <n v="2.9500828979214098E-2"/>
    <n v="0.65421259199161097"/>
    <n v="0"/>
    <x v="0"/>
    <x v="18"/>
    <n v="56622873583.889999"/>
    <n v="328307"/>
  </r>
  <r>
    <n v="0.99243604458063195"/>
    <n v="8.7084985473974701"/>
    <n v="91.623070157209398"/>
    <n v="0"/>
    <n v="3.7798043871154001"/>
    <n v="4.4140001748373301"/>
    <n v="-22.8934865595979"/>
    <n v="25.789856844517001"/>
    <n v="60.641840827264502"/>
    <n v="3.52778166905741"/>
    <n v="5800.3065482233496"/>
    <n v="774.45213951102301"/>
    <n v="3.5363276222430302E-2"/>
    <n v="6.4194712306427204E-2"/>
    <n v="0.62788380194048699"/>
    <n v="4.0429357142588898E-2"/>
    <n v="0.292542047423206"/>
    <n v="0"/>
    <x v="1"/>
    <x v="0"/>
    <n v="2285320.7799999998"/>
    <n v="394"/>
  </r>
  <r>
    <n v="0.99247487422039704"/>
    <n v="8.6656273230559506"/>
    <n v="69.6790185612344"/>
    <n v="0"/>
    <n v="3.8325535089846001"/>
    <n v="4.42530011240334"/>
    <n v="-22.913904010714901"/>
    <n v="25.239824076765402"/>
    <n v="55.608358574781299"/>
    <n v="14.971970290301799"/>
    <n v="15790.7385981308"/>
    <n v="765.04472118195099"/>
    <n v="5.80654634809636E-2"/>
    <n v="3.3630838591948403E-2"/>
    <n v="0.69266346529545098"/>
    <n v="3.6542450466019498E-2"/>
    <n v="0.31596713403996302"/>
    <n v="0"/>
    <x v="1"/>
    <x v="1"/>
    <n v="11827263.210000001"/>
    <n v="749"/>
  </r>
  <r>
    <n v="0.99239141068229297"/>
    <n v="8.7577553779471806"/>
    <n v="36.899575952459699"/>
    <n v="0"/>
    <n v="3.88897076459885"/>
    <n v="4.4305174019920504"/>
    <n v="-22.830150036107899"/>
    <n v="24.217183326819299"/>
    <n v="56.510040265781903"/>
    <n v="33.459550034446501"/>
    <n v="26011.379926436701"/>
    <n v="758.78585519983596"/>
    <n v="4.5726768898247498E-2"/>
    <n v="2.6588246247164101E-2"/>
    <n v="0.76945073621953197"/>
    <n v="2.93027774887962E-2"/>
    <n v="0.33390070610251099"/>
    <n v="0"/>
    <x v="1"/>
    <x v="2"/>
    <n v="56574751.340000004"/>
    <n v="2175"/>
  </r>
  <r>
    <n v="0.99237193957014203"/>
    <n v="8.7792355671847506"/>
    <n v="17.3834969015764"/>
    <n v="0"/>
    <n v="3.93232710850365"/>
    <n v="4.4358800103206697"/>
    <n v="-22.7734287999358"/>
    <n v="23.232981497269002"/>
    <n v="58.641251781632498"/>
    <n v="45.619235270565099"/>
    <n v="35876.582123460597"/>
    <n v="753.87444555331695"/>
    <n v="5.1633000891908802E-2"/>
    <n v="2.3863984909493801E-2"/>
    <n v="0.79102350929033705"/>
    <n v="3.6015492794812601E-2"/>
    <n v="0.42762370777091802"/>
    <n v="0"/>
    <x v="1"/>
    <x v="3"/>
    <n v="227242271.16999999"/>
    <n v="6334"/>
  </r>
  <r>
    <n v="0.99232811394222198"/>
    <n v="8.8275662733052904"/>
    <n v="11.124303608328701"/>
    <n v="0"/>
    <n v="3.9297763269673598"/>
    <n v="4.4243500359885699"/>
    <n v="-22.692610578311601"/>
    <n v="23.214756659752702"/>
    <n v="59.46012592356"/>
    <n v="49.374537368886799"/>
    <n v="45785.756756664603"/>
    <n v="752.68658321135899"/>
    <n v="5.3208336023361003E-2"/>
    <n v="2.9359376572793E-2"/>
    <n v="0.76106861296515704"/>
    <n v="3.75002488041681E-2"/>
    <n v="0.48171942214542801"/>
    <n v="0"/>
    <x v="1"/>
    <x v="4"/>
    <n v="671539694.35000002"/>
    <n v="14667"/>
  </r>
  <r>
    <n v="0.99241237755516798"/>
    <n v="8.73461990731656"/>
    <n v="8.6805861008429108"/>
    <n v="0"/>
    <n v="3.94093617602991"/>
    <n v="4.4207653372208497"/>
    <n v="-22.615042102014499"/>
    <n v="23.196510150128798"/>
    <n v="62.498177377832398"/>
    <n v="53.447152576656997"/>
    <n v="55447.698779720202"/>
    <n v="752.98896907430003"/>
    <n v="6.2878068254436495E-2"/>
    <n v="2.74305223724924E-2"/>
    <n v="0.74438942888287696"/>
    <n v="3.8059015174460802E-2"/>
    <n v="0.54071701678836603"/>
    <n v="0"/>
    <x v="1"/>
    <x v="5"/>
    <n v="1427223766.5899999"/>
    <n v="25740"/>
  </r>
  <r>
    <n v="0.992544432757553"/>
    <n v="8.5887826387181594"/>
    <n v="7.60798429900803"/>
    <n v="0"/>
    <n v="3.9444283567683001"/>
    <n v="4.4199419283698296"/>
    <n v="-22.6021345950439"/>
    <n v="23.302141904691801"/>
    <n v="64.503693495650793"/>
    <n v="55.8204277704398"/>
    <n v="65265.060773242003"/>
    <n v="753.79138546436798"/>
    <n v="7.0727476689073102E-2"/>
    <n v="3.4071667033593399E-2"/>
    <n v="0.72711472073640404"/>
    <n v="3.9004363675906102E-2"/>
    <n v="0.56905991979945603"/>
    <n v="0"/>
    <x v="1"/>
    <x v="6"/>
    <n v="2402994272.6100001"/>
    <n v="36819"/>
  </r>
  <r>
    <n v="0.99265575423943797"/>
    <n v="8.4656770754828496"/>
    <n v="7.4805430498898504"/>
    <n v="0"/>
    <n v="3.9337584892003101"/>
    <n v="4.4161197348898096"/>
    <n v="-22.581569918601801"/>
    <n v="23.568010355860501"/>
    <n v="64.306265970998098"/>
    <n v="55.949916792606203"/>
    <n v="75162.331419951399"/>
    <n v="754.59670730081803"/>
    <n v="7.9932397517751996E-2"/>
    <n v="4.1802993543964599E-2"/>
    <n v="0.72191723788121098"/>
    <n v="3.9271691006737199E-2"/>
    <n v="0.61394827771417804"/>
    <n v="0"/>
    <x v="1"/>
    <x v="7"/>
    <n v="3836586045"/>
    <n v="51044"/>
  </r>
  <r>
    <n v="0.99284636229856105"/>
    <n v="8.2545390167547303"/>
    <n v="7.8620456580270099"/>
    <n v="0"/>
    <n v="3.93870106632101"/>
    <n v="4.4120895002413398"/>
    <n v="-22.5440220768701"/>
    <n v="23.548645709234101"/>
    <n v="66.691243590635295"/>
    <n v="58.293889810479797"/>
    <n v="85171.884156015498"/>
    <n v="755.69645637222902"/>
    <n v="8.0364307032407503E-2"/>
    <n v="4.8170373357613198E-2"/>
    <n v="0.70880697325157305"/>
    <n v="3.8311978402331401E-2"/>
    <n v="0.61430186909228801"/>
    <n v="0"/>
    <x v="1"/>
    <x v="8"/>
    <n v="5357652200.9499998"/>
    <n v="62904"/>
  </r>
  <r>
    <n v="0.99305429441377402"/>
    <n v="8.0237018866849308"/>
    <n v="7.3503909716776299"/>
    <n v="0"/>
    <n v="3.93606150479508"/>
    <n v="4.4123285760039002"/>
    <n v="-22.530660794730899"/>
    <n v="23.536173616536001"/>
    <n v="66.911083982957607"/>
    <n v="58.692002902399899"/>
    <n v="95198.940210330693"/>
    <n v="757.67945761216299"/>
    <n v="7.5153838624966204E-2"/>
    <n v="5.16576384268079E-2"/>
    <n v="0.66922112474614603"/>
    <n v="3.4094207732887502E-2"/>
    <n v="0.58256048795981796"/>
    <n v="0"/>
    <x v="1"/>
    <x v="9"/>
    <n v="8042977662.6099997"/>
    <n v="84486"/>
  </r>
  <r>
    <n v="0.99319751189608996"/>
    <n v="7.8643986034212396"/>
    <n v="6.8318579596419999"/>
    <n v="0"/>
    <n v="3.9491181984692001"/>
    <n v="4.4131349688044699"/>
    <n v="-22.505555508930001"/>
    <n v="23.3150344078649"/>
    <n v="69.085218370142798"/>
    <n v="60.908723371537697"/>
    <n v="105034.44216063801"/>
    <n v="757.685900001665"/>
    <n v="8.1102171622716296E-2"/>
    <n v="5.3141805856468299E-2"/>
    <n v="0.64942290253550705"/>
    <n v="3.2758463827938199E-2"/>
    <n v="0.60380880055725605"/>
    <n v="0"/>
    <x v="1"/>
    <x v="10"/>
    <n v="8645279899.7999992"/>
    <n v="82309"/>
  </r>
  <r>
    <n v="0.99332714778826103"/>
    <n v="7.7199843184192698"/>
    <n v="7.1470810689910804"/>
    <n v="0"/>
    <n v="3.9388559379624999"/>
    <n v="4.4081177085146601"/>
    <n v="-22.488157798638401"/>
    <n v="23.461505151725198"/>
    <n v="69.308085738090099"/>
    <n v="61.022758040751697"/>
    <n v="115111.716232046"/>
    <n v="758.78409626179098"/>
    <n v="7.9168129613200702E-2"/>
    <n v="5.7432784015248803E-2"/>
    <n v="0.63267362966843499"/>
    <n v="3.1643405041940999E-2"/>
    <n v="0.60333285128209801"/>
    <n v="0"/>
    <x v="1"/>
    <x v="11"/>
    <n v="10178408172.67"/>
    <n v="88422"/>
  </r>
  <r>
    <n v="0.99344882820961899"/>
    <n v="7.5842436675463896"/>
    <n v="7.3289776070984702"/>
    <n v="0"/>
    <n v="3.9389808359365301"/>
    <n v="4.4069085156078502"/>
    <n v="-22.4713968150919"/>
    <n v="23.330526154668899"/>
    <n v="69.867447777235796"/>
    <n v="61.617806900269301"/>
    <n v="124953.344320829"/>
    <n v="758.96637914192399"/>
    <n v="8.0958291925118803E-2"/>
    <n v="6.4817577957515096E-2"/>
    <n v="0.62094666909374496"/>
    <n v="3.1201008450262802E-2"/>
    <n v="0.60594033271696501"/>
    <n v="0"/>
    <x v="1"/>
    <x v="12"/>
    <n v="11585174272.049999"/>
    <n v="92716"/>
  </r>
  <r>
    <n v="0.99355393343871701"/>
    <n v="7.4668461760716003"/>
    <n v="6.6226249984795"/>
    <n v="0"/>
    <n v="3.9328165943010598"/>
    <n v="4.4044127892707099"/>
    <n v="-22.476214224369901"/>
    <n v="23.345863726639799"/>
    <n v="70.1276364792528"/>
    <n v="61.789474908353299"/>
    <n v="134976.10006137201"/>
    <n v="759.168102965147"/>
    <n v="8.2367472817032605E-2"/>
    <n v="6.6899593791914305E-2"/>
    <n v="0.606722535088148"/>
    <n v="3.1406323529772198E-2"/>
    <n v="0.61485967370694705"/>
    <n v="0"/>
    <x v="1"/>
    <x v="13"/>
    <n v="12448035852.059999"/>
    <n v="92224"/>
  </r>
  <r>
    <n v="0.993659348467273"/>
    <n v="7.3489653582985497"/>
    <n v="7.2582676732149096"/>
    <n v="0"/>
    <n v="3.9308825625163899"/>
    <n v="4.4064683168901402"/>
    <n v="-22.4950895752206"/>
    <n v="23.1844788285551"/>
    <n v="69.173018268414495"/>
    <n v="61.040570517780203"/>
    <n v="144946.78079778299"/>
    <n v="759.373229634155"/>
    <n v="8.0489917565371896E-2"/>
    <n v="7.2723233194152206E-2"/>
    <n v="0.59805345417497902"/>
    <n v="3.2105897633545301E-2"/>
    <n v="0.61955698159056205"/>
    <n v="0"/>
    <x v="1"/>
    <x v="14"/>
    <n v="13604704845.68"/>
    <n v="93860"/>
  </r>
  <r>
    <n v="0.99371567241254399"/>
    <n v="7.2859244496896904"/>
    <n v="7.0620182999663896"/>
    <n v="0"/>
    <n v="3.9287500804229301"/>
    <n v="4.4044853906803203"/>
    <n v="-22.468177516879098"/>
    <n v="23.255887592208001"/>
    <n v="70.257194788284806"/>
    <n v="61.909360023782398"/>
    <n v="154943.81919323001"/>
    <n v="759.77775697318202"/>
    <n v="8.3023467895514499E-2"/>
    <n v="7.8932438544541406E-2"/>
    <n v="0.59058249682965602"/>
    <n v="3.02952827973005E-2"/>
    <n v="0.64155919400908901"/>
    <n v="0"/>
    <x v="1"/>
    <x v="15"/>
    <n v="13614758448.690001"/>
    <n v="87869"/>
  </r>
  <r>
    <n v="0.99377115450131603"/>
    <n v="7.2237873540507804"/>
    <n v="7.39347190011385"/>
    <n v="0"/>
    <n v="3.92859699653429"/>
    <n v="4.4042639097756604"/>
    <n v="-22.470989395542698"/>
    <n v="23.2696160776316"/>
    <n v="70.605500789306504"/>
    <n v="62.229053958276701"/>
    <n v="164991.80802475801"/>
    <n v="760.15895744437296"/>
    <n v="8.0098543401833699E-2"/>
    <n v="8.1781707308156704E-2"/>
    <n v="0.57820715742233497"/>
    <n v="3.1229281334632999E-2"/>
    <n v="0.63601452645957601"/>
    <n v="0"/>
    <x v="1"/>
    <x v="16"/>
    <n v="14834083475.889999"/>
    <n v="89908"/>
  </r>
  <r>
    <n v="0.99352992511546001"/>
    <n v="7.4936743600252402"/>
    <n v="6.7336126395825397"/>
    <n v="0"/>
    <n v="3.8794786219281798"/>
    <n v="4.3754740751769896"/>
    <n v="-22.432233724360898"/>
    <n v="22.6702284354349"/>
    <n v="70.645964083167001"/>
    <n v="61.942658136249499"/>
    <n v="293588.37590895803"/>
    <n v="761.30592546026799"/>
    <n v="0.117670465177794"/>
    <n v="0.10972067808263999"/>
    <n v="0.48968179589965799"/>
    <n v="4.5979178824629E-2"/>
    <n v="0.64284786284731099"/>
    <n v="0"/>
    <x v="1"/>
    <x v="17"/>
    <n v="448671150892.09998"/>
    <n v="1528232"/>
  </r>
  <r>
    <n v="0.99383822361054996"/>
    <n v="7.1486224252468498"/>
    <n v="7.1324311004802903"/>
    <n v="0"/>
    <n v="3.9274218450715899"/>
    <n v="4.4030098084732598"/>
    <n v="-22.457797906832401"/>
    <n v="22.946280712638099"/>
    <n v="70.911950469713105"/>
    <n v="62.631239283606597"/>
    <n v="172473.10208911999"/>
    <n v="760.67606672004399"/>
    <n v="7.9092560683050803E-2"/>
    <n v="8.5978632704517999E-2"/>
    <n v="0.56884066447771997"/>
    <n v="2.9923681248347302E-2"/>
    <n v="0.62270240633895002"/>
    <n v="0"/>
    <x v="1"/>
    <x v="18"/>
    <n v="7923069363.7700005"/>
    <n v="45938"/>
  </r>
  <r>
    <n v="0.99274738344540903"/>
    <n v="8.3642343341921297"/>
    <n v="89.638896757730805"/>
    <n v="0"/>
    <n v="3.8076832187415302"/>
    <n v="4.3499583977184102"/>
    <n v="-17.160283603250601"/>
    <n v="25.894231219864601"/>
    <n v="62.459613723476103"/>
    <n v="3.7899769685530198"/>
    <n v="5765.2742728635603"/>
    <n v="783.22464553152997"/>
    <n v="2.4336239840604401E-2"/>
    <n v="5.1285313422585098E-2"/>
    <n v="0.63698276977003998"/>
    <n v="1.6719214040937E-2"/>
    <n v="0.28476120719815801"/>
    <n v="0"/>
    <x v="2"/>
    <x v="0"/>
    <n v="3845437.94"/>
    <n v="667"/>
  </r>
  <r>
    <n v="0.99275030049935198"/>
    <n v="8.3610031703016006"/>
    <n v="67.895422309068806"/>
    <n v="0"/>
    <n v="3.8340399745717999"/>
    <n v="4.3533560805963702"/>
    <n v="-17.199109975044799"/>
    <n v="24.806487395634299"/>
    <n v="57.477994661484303"/>
    <n v="13.8535987660513"/>
    <n v="15857.1866527893"/>
    <n v="773.49879363555203"/>
    <n v="4.5273890231161303E-2"/>
    <n v="3.5934493247210798E-2"/>
    <n v="0.69053664222242495"/>
    <n v="3.6588335160195898E-2"/>
    <n v="0.30595046081793498"/>
    <n v="0"/>
    <x v="2"/>
    <x v="1"/>
    <n v="19044481.170000002"/>
    <n v="1201"/>
  </r>
  <r>
    <n v="0.99263940386650196"/>
    <n v="8.4837677547727992"/>
    <n v="36.963245172748501"/>
    <n v="0"/>
    <n v="3.9155022584496102"/>
    <n v="4.3895597867629101"/>
    <n v="-17.1579858237263"/>
    <n v="23.792716453053401"/>
    <n v="54.002699043510397"/>
    <n v="29.689324120261599"/>
    <n v="26018.715566009902"/>
    <n v="766.43861976046003"/>
    <n v="4.6108559977149403E-2"/>
    <n v="3.4610394924592301E-2"/>
    <n v="0.76766715068966596"/>
    <n v="3.15392710704087E-2"/>
    <n v="0.37794790227066599"/>
    <n v="0"/>
    <x v="2"/>
    <x v="2"/>
    <n v="88489651.640000001"/>
    <n v="3401"/>
  </r>
  <r>
    <n v="0.99255201328564402"/>
    <n v="8.5804044818906409"/>
    <n v="18.038157211591699"/>
    <n v="0"/>
    <n v="3.9417810510120002"/>
    <n v="4.4007824196232201"/>
    <n v="-17.171951286503699"/>
    <n v="23.155261420460999"/>
    <n v="54.463403423973702"/>
    <n v="40.170619942318503"/>
    <n v="35841.758841148701"/>
    <n v="761.90728608785605"/>
    <n v="4.4368056930940397E-2"/>
    <n v="2.5738419710582799E-2"/>
    <n v="0.775934450489278"/>
    <n v="3.4294749206613198E-2"/>
    <n v="0.46606111880620499"/>
    <n v="0"/>
    <x v="2"/>
    <x v="3"/>
    <n v="319493438.31"/>
    <n v="8914"/>
  </r>
  <r>
    <n v="0.99253325720660701"/>
    <n v="8.6011328056912397"/>
    <n v="12.094217696445799"/>
    <n v="0"/>
    <n v="3.9503882530214902"/>
    <n v="4.3997109956869798"/>
    <n v="-17.199378373124301"/>
    <n v="23.071826408658701"/>
    <n v="54.999860707254697"/>
    <n v="44.496826150375803"/>
    <n v="45806.928445645099"/>
    <n v="760.00458198118895"/>
    <n v="5.8604745154169698E-2"/>
    <n v="3.1941197448251697E-2"/>
    <n v="0.75934616133838795"/>
    <n v="3.5626770457776902E-2"/>
    <n v="0.52912861483148099"/>
    <n v="0"/>
    <x v="2"/>
    <x v="4"/>
    <n v="915634692.70000005"/>
    <n v="19989"/>
  </r>
  <r>
    <n v="0.99258241776965095"/>
    <n v="8.5467937418147795"/>
    <n v="9.3857577878501903"/>
    <n v="0"/>
    <n v="3.9643549478559899"/>
    <n v="4.4027666643084897"/>
    <n v="-17.2471908122534"/>
    <n v="23.107256584604801"/>
    <n v="57.770660033917203"/>
    <n v="48.837084635709999"/>
    <n v="55499.075634292101"/>
    <n v="759.94139674795895"/>
    <n v="6.9381452524795301E-2"/>
    <n v="3.2046818198879501E-2"/>
    <n v="0.74519921292591196"/>
    <n v="3.8444755715867703E-2"/>
    <n v="0.58849238707986795"/>
    <n v="0"/>
    <x v="2"/>
    <x v="5"/>
    <n v="1885137102.0699999"/>
    <n v="33967"/>
  </r>
  <r>
    <n v="0.99266148295555701"/>
    <n v="8.4593378289494794"/>
    <n v="8.5316426375462697"/>
    <n v="0"/>
    <n v="3.9744856348586"/>
    <n v="4.4028740596882301"/>
    <n v="-17.243245994902502"/>
    <n v="23.372919991926501"/>
    <n v="60.155536011370003"/>
    <n v="51.419794714236701"/>
    <n v="65267.7232402105"/>
    <n v="759.08657834459302"/>
    <n v="7.4014445390870598E-2"/>
    <n v="3.9455190132512002E-2"/>
    <n v="0.72532273764385802"/>
    <n v="3.6070533197227798E-2"/>
    <n v="0.61295831715860605"/>
    <n v="0"/>
    <x v="2"/>
    <x v="6"/>
    <n v="3111899776.3699999"/>
    <n v="47679"/>
  </r>
  <r>
    <n v="0.99277125234788399"/>
    <n v="8.3377921461727293"/>
    <n v="8.3592662988301996"/>
    <n v="0"/>
    <n v="3.9588272107103402"/>
    <n v="4.3966588606447203"/>
    <n v="-17.267307091700999"/>
    <n v="23.694000615321499"/>
    <n v="60.127739732439998"/>
    <n v="51.824458546162901"/>
    <n v="75151.124785584703"/>
    <n v="760.13205473535595"/>
    <n v="8.1950386253129504E-2"/>
    <n v="4.7188087236131902E-2"/>
    <n v="0.71659028222600396"/>
    <n v="3.4374076489277497E-2"/>
    <n v="0.65077588465719005"/>
    <n v="0"/>
    <x v="2"/>
    <x v="7"/>
    <n v="4973501438.3100004"/>
    <n v="66180"/>
  </r>
  <r>
    <n v="0.992883402625649"/>
    <n v="8.2134573824748607"/>
    <n v="7.7915826465785702"/>
    <n v="0"/>
    <n v="3.9658587405636401"/>
    <n v="4.39554107555547"/>
    <n v="-17.281955959991802"/>
    <n v="23.759555147234401"/>
    <n v="62.635960771319503"/>
    <n v="54.172414542973002"/>
    <n v="85127.0894117196"/>
    <n v="759.49338226983502"/>
    <n v="8.7421169622034306E-2"/>
    <n v="5.2138299975149099E-2"/>
    <n v="0.71139300429889396"/>
    <n v="3.4854688332428198E-2"/>
    <n v="0.661166345541775"/>
    <n v="0"/>
    <x v="2"/>
    <x v="8"/>
    <n v="6672346395.1800003"/>
    <n v="78381"/>
  </r>
  <r>
    <n v="0.99308885159371896"/>
    <n v="7.9852864658095903"/>
    <n v="7.4585722426706198"/>
    <n v="0"/>
    <n v="3.9676571742157001"/>
    <n v="4.3986345898282604"/>
    <n v="-17.300279702571199"/>
    <n v="23.690888507408498"/>
    <n v="62.471582131913699"/>
    <n v="54.327474771827703"/>
    <n v="95224.758888825105"/>
    <n v="761.04731773671995"/>
    <n v="7.8961408689770196E-2"/>
    <n v="5.80454549514796E-2"/>
    <n v="0.67303591478296398"/>
    <n v="3.3672221935768798E-2"/>
    <n v="0.62419076261518003"/>
    <n v="0"/>
    <x v="2"/>
    <x v="9"/>
    <n v="9961462027.3600006"/>
    <n v="104610"/>
  </r>
  <r>
    <n v="0.99318998934478397"/>
    <n v="7.8727723567814403"/>
    <n v="7.1811731727842902"/>
    <n v="0"/>
    <n v="3.9879295945222801"/>
    <n v="4.4029276689066297"/>
    <n v="-17.325996514603101"/>
    <n v="23.5136788667443"/>
    <n v="65.242378218677302"/>
    <n v="57.1016864764117"/>
    <n v="105026.69288442501"/>
    <n v="760.00305631339802"/>
    <n v="8.6628044537825494E-2"/>
    <n v="5.9590640521338702E-2"/>
    <n v="0.65453079929238001"/>
    <n v="3.1230521633712802E-2"/>
    <n v="0.64653131102710704"/>
    <n v="0"/>
    <x v="2"/>
    <x v="10"/>
    <n v="10185068569.16"/>
    <n v="96976"/>
  </r>
  <r>
    <n v="0.99327988535757294"/>
    <n v="7.7726586468149801"/>
    <n v="7.3643048870210599"/>
    <n v="0"/>
    <n v="3.9770973971975101"/>
    <n v="4.3974805707666702"/>
    <n v="-17.318933482244301"/>
    <n v="23.745906187798202"/>
    <n v="65.386770433535801"/>
    <n v="57.0944061840055"/>
    <n v="115112.61669389901"/>
    <n v="760.57119801928502"/>
    <n v="8.5672290314041694E-2"/>
    <n v="6.3884614105694307E-2"/>
    <n v="0.63373162870675603"/>
    <n v="3.0170204459041099E-2"/>
    <n v="0.64974770573617602"/>
    <n v="0"/>
    <x v="2"/>
    <x v="11"/>
    <n v="11877895353.559999"/>
    <n v="103185"/>
  </r>
  <r>
    <n v="0.99340579780060201"/>
    <n v="7.6322671646050502"/>
    <n v="7.2359503609161697"/>
    <n v="0"/>
    <n v="3.9733338245533498"/>
    <n v="4.3939861011608299"/>
    <n v="-17.342580665970999"/>
    <n v="23.547513594424"/>
    <n v="65.851365053503699"/>
    <n v="57.619192344441402"/>
    <n v="124935.61387236499"/>
    <n v="760.30682509149801"/>
    <n v="8.6175787880563098E-2"/>
    <n v="7.1054366927299994E-2"/>
    <n v="0.62416313656585998"/>
    <n v="3.0143169695494399E-2"/>
    <n v="0.650187254779237"/>
    <n v="0"/>
    <x v="2"/>
    <x v="12"/>
    <n v="13609986032.799999"/>
    <n v="108936"/>
  </r>
  <r>
    <n v="0.99348074752180104"/>
    <n v="7.5486057730358098"/>
    <n v="7.72379216318798"/>
    <n v="0"/>
    <n v="3.9673665984105599"/>
    <n v="4.3914611849538199"/>
    <n v="-17.341955688719001"/>
    <n v="23.564293911200998"/>
    <n v="66.218765383532997"/>
    <n v="57.867973663514398"/>
    <n v="134987.66065334401"/>
    <n v="760.35936803628601"/>
    <n v="8.9640743592208097E-2"/>
    <n v="7.5203966313445197E-2"/>
    <n v="0.61564501059588805"/>
    <n v="3.0526188421636399E-2"/>
    <n v="0.66288896260476304"/>
    <n v="0"/>
    <x v="2"/>
    <x v="13"/>
    <n v="14287094003.549999"/>
    <n v="105840"/>
  </r>
  <r>
    <n v="0.99359089177109905"/>
    <n v="7.4255330189643196"/>
    <n v="7.0846099949903198"/>
    <n v="0"/>
    <n v="3.96511996031925"/>
    <n v="4.3927471518561898"/>
    <n v="-17.3493820615309"/>
    <n v="23.408942111477401"/>
    <n v="65.266543827728199"/>
    <n v="57.1716655107167"/>
    <n v="144905.03204307001"/>
    <n v="761.01051299540302"/>
    <n v="8.5518837400598305E-2"/>
    <n v="8.0631115578141302E-2"/>
    <n v="0.60124207940192098"/>
    <n v="3.08915106340471E-2"/>
    <n v="0.66119871050710999"/>
    <n v="0"/>
    <x v="2"/>
    <x v="14"/>
    <n v="16054608120.18"/>
    <n v="110794"/>
  </r>
  <r>
    <n v="0.99360532581546701"/>
    <n v="7.4093936109637202"/>
    <n v="7.1845080037510201"/>
    <n v="0"/>
    <n v="3.9624255169632301"/>
    <n v="4.3908189229022501"/>
    <n v="-17.3534701298322"/>
    <n v="23.527540086014799"/>
    <n v="66.556885389623005"/>
    <n v="58.150765866459302"/>
    <n v="154937.33955504201"/>
    <n v="760.60476029025097"/>
    <n v="8.8106677404963807E-2"/>
    <n v="8.7063601467216395E-2"/>
    <n v="0.59637302044947305"/>
    <n v="2.9970463511593499E-2"/>
    <n v="0.68593692918087301"/>
    <n v="0"/>
    <x v="2"/>
    <x v="15"/>
    <n v="15784241467.17"/>
    <n v="101875"/>
  </r>
  <r>
    <n v="0.99366516318034903"/>
    <n v="7.3424590256431301"/>
    <n v="7.0928405090414701"/>
    <n v="0"/>
    <n v="3.9650658659184201"/>
    <n v="4.3920779630247004"/>
    <n v="-17.3569717157139"/>
    <n v="23.555377603826798"/>
    <n v="66.895161978900504"/>
    <n v="58.4617176326772"/>
    <n v="165000.944229371"/>
    <n v="760.95827098994596"/>
    <n v="8.8139277305512104E-2"/>
    <n v="9.0542601567835099E-2"/>
    <n v="0.58697094775705405"/>
    <n v="3.05800106920977E-2"/>
    <n v="0.67874818895017897"/>
    <n v="0"/>
    <x v="2"/>
    <x v="16"/>
    <n v="16976947151.76"/>
    <n v="102890"/>
  </r>
  <r>
    <n v="0.99328598374021304"/>
    <n v="7.7658635033488901"/>
    <n v="7.2025540868609896"/>
    <n v="0"/>
    <n v="3.91236992020937"/>
    <n v="4.3609552714857998"/>
    <n v="-17.376317449840101"/>
    <n v="23.100255641668902"/>
    <n v="67.591806702674702"/>
    <n v="58.569243638421099"/>
    <n v="296347.07672353002"/>
    <n v="761.42640985753098"/>
    <n v="0.12987995154644999"/>
    <n v="0.117001378300787"/>
    <n v="0.49099347092200402"/>
    <n v="4.4409089510870102E-2"/>
    <n v="0.68549017780889199"/>
    <n v="0"/>
    <x v="2"/>
    <x v="17"/>
    <n v="518993524507.15002"/>
    <n v="1751303"/>
  </r>
  <r>
    <n v="0.99371595697965198"/>
    <n v="7.28560584646808"/>
    <n v="7.5544325032285302"/>
    <n v="0"/>
    <n v="3.96493270403827"/>
    <n v="4.3916224387979499"/>
    <n v="-17.361529578651201"/>
    <n v="23.248021427489601"/>
    <n v="67.488461541274404"/>
    <n v="59.137501154309099"/>
    <n v="172446.089951039"/>
    <n v="760.95733725395201"/>
    <n v="8.3100648802655705E-2"/>
    <n v="9.4945260191920705E-2"/>
    <n v="0.57374390213425497"/>
    <n v="2.9870532023450101E-2"/>
    <n v="0.66327028299855295"/>
    <n v="0"/>
    <x v="2"/>
    <x v="18"/>
    <n v="8981509702.9200001"/>
    <n v="52083"/>
  </r>
  <r>
    <n v="0.99249994298006705"/>
    <n v="8.6379394779388008"/>
    <n v="92.1996129886913"/>
    <n v="0"/>
    <n v="3.82441763737903"/>
    <n v="4.3609149200322097"/>
    <n v="-12.476846663058501"/>
    <n v="26.878835918474401"/>
    <n v="62.971741859339303"/>
    <n v="3.5352576484109401"/>
    <n v="5599.9986597938096"/>
    <n v="779.42507061903302"/>
    <n v="1.8915173893543E-2"/>
    <n v="6.4127525165522101E-2"/>
    <n v="0.60782557195138198"/>
    <n v="3.1387338758629098E-2"/>
    <n v="0.27961776451333298"/>
    <n v="0"/>
    <x v="3"/>
    <x v="0"/>
    <n v="3259199.22"/>
    <n v="582"/>
  </r>
  <r>
    <n v="0.99243778534147398"/>
    <n v="8.7065769944086693"/>
    <n v="71.179348132048105"/>
    <n v="0"/>
    <n v="3.86695983101691"/>
    <n v="4.3631997661228503"/>
    <n v="-12.368247482494599"/>
    <n v="26.452723224283702"/>
    <n v="56.485862046815903"/>
    <n v="13.7780428691108"/>
    <n v="15728.2043790849"/>
    <n v="769.78351098917801"/>
    <n v="4.7417137133252497E-2"/>
    <n v="5.5421512039001801E-2"/>
    <n v="0.71692813316583404"/>
    <n v="3.3907700631997897E-2"/>
    <n v="0.33770423292615698"/>
    <n v="0"/>
    <x v="3"/>
    <x v="1"/>
    <n v="16844906.890000001"/>
    <n v="1071"/>
  </r>
  <r>
    <n v="0.99231637074492896"/>
    <n v="8.8405126306106592"/>
    <n v="34.954703039357597"/>
    <n v="0"/>
    <n v="3.9377515323199601"/>
    <n v="4.38861592049828"/>
    <n v="-12.367032519673099"/>
    <n v="25.265075491064898"/>
    <n v="55.266474064089003"/>
    <n v="30.694778634288699"/>
    <n v="25922.097696990098"/>
    <n v="761.85696919252803"/>
    <n v="4.71108017238741E-2"/>
    <n v="3.8578185000464997E-2"/>
    <n v="0.75625498938343705"/>
    <n v="2.3677647882962401E-2"/>
    <n v="0.39528557468078501"/>
    <n v="0"/>
    <x v="3"/>
    <x v="2"/>
    <n v="76651642.890000001"/>
    <n v="2957"/>
  </r>
  <r>
    <n v="0.99231344444061997"/>
    <n v="8.8437384898065599"/>
    <n v="16.932134504374801"/>
    <n v="0"/>
    <n v="3.9631603169443199"/>
    <n v="4.3840770224472703"/>
    <n v="-12.347938025721"/>
    <n v="24.529607997632699"/>
    <n v="56.376277316375898"/>
    <n v="41.961826835526203"/>
    <n v="35866.649732197897"/>
    <n v="757.43595014030598"/>
    <n v="4.6184915051062002E-2"/>
    <n v="2.9281334250376299E-2"/>
    <n v="0.77649019195005597"/>
    <n v="3.6366096785562602E-2"/>
    <n v="0.445038685273554"/>
    <n v="0"/>
    <x v="3"/>
    <x v="3"/>
    <n v="290627462.77999997"/>
    <n v="8103"/>
  </r>
  <r>
    <n v="0.99225568319073398"/>
    <n v="8.9073911304027202"/>
    <n v="11.5415398860063"/>
    <n v="0"/>
    <n v="3.9739656252940199"/>
    <n v="4.38499900611688"/>
    <n v="-12.323062205539699"/>
    <n v="24.395455488293099"/>
    <n v="57.300552040441197"/>
    <n v="46.447325202523203"/>
    <n v="45793.274193601399"/>
    <n v="755.89848596067895"/>
    <n v="5.8185415986485703E-2"/>
    <n v="3.0779530718784299E-2"/>
    <n v="0.76269912982057897"/>
    <n v="3.5582922218260801E-2"/>
    <n v="0.51443552579721896"/>
    <n v="0"/>
    <x v="3"/>
    <x v="4"/>
    <n v="835910427.13"/>
    <n v="18254"/>
  </r>
  <r>
    <n v="0.99235154780108403"/>
    <n v="8.8017264394869397"/>
    <n v="9.3130142574881702"/>
    <n v="0"/>
    <n v="3.9951067689861102"/>
    <n v="4.3876743611880897"/>
    <n v="-12.331060310437"/>
    <n v="24.092724510684299"/>
    <n v="59.853701538773599"/>
    <n v="50.717212898624602"/>
    <n v="55459.9405234515"/>
    <n v="755.25126563109302"/>
    <n v="7.0679336617199495E-2"/>
    <n v="3.7473505755226302E-2"/>
    <n v="0.74975200207895198"/>
    <n v="3.8138995544990797E-2"/>
    <n v="0.57362542718856002"/>
    <n v="0"/>
    <x v="3"/>
    <x v="5"/>
    <n v="1763016049.3"/>
    <n v="31789"/>
  </r>
  <r>
    <n v="0.99240441278579605"/>
    <n v="8.7434091038425699"/>
    <n v="8.5268070635036803"/>
    <n v="0"/>
    <n v="3.9982284395103602"/>
    <n v="4.3837712922051004"/>
    <n v="-12.329799415619901"/>
    <n v="24.289219187167401"/>
    <n v="62.171799680766398"/>
    <n v="53.212374356359703"/>
    <n v="65268.182249625097"/>
    <n v="755.13911899513096"/>
    <n v="7.4077770883397495E-2"/>
    <n v="4.26365723261347E-2"/>
    <n v="0.72719865342878698"/>
    <n v="3.7871848241395001E-2"/>
    <n v="0.59130843613321704"/>
    <n v="0"/>
    <x v="3"/>
    <x v="6"/>
    <n v="2916378187.46"/>
    <n v="44683"/>
  </r>
  <r>
    <n v="0.99250934882002695"/>
    <n v="8.6275489679740094"/>
    <n v="7.4374506077358404"/>
    <n v="0"/>
    <n v="3.9837843249497298"/>
    <n v="4.3767677308941497"/>
    <n v="-12.346590164831699"/>
    <n v="24.601199173463399"/>
    <n v="62.054729546270501"/>
    <n v="53.489628219831502"/>
    <n v="75116.861133355007"/>
    <n v="755.85858727278105"/>
    <n v="8.3052411911386001E-2"/>
    <n v="5.2541672726482198E-2"/>
    <n v="0.72303741013502698"/>
    <n v="3.8680696414922201E-2"/>
    <n v="0.63616715441414096"/>
    <n v="0"/>
    <x v="3"/>
    <x v="7"/>
    <n v="4607668261.9200001"/>
    <n v="61340"/>
  </r>
  <r>
    <n v="0.99266016832337201"/>
    <n v="8.4607926019158004"/>
    <n v="7.4717381758200698"/>
    <n v="0"/>
    <n v="4.0006466763109101"/>
    <n v="4.3803430986073604"/>
    <n v="-12.3319735362823"/>
    <n v="24.372867619588"/>
    <n v="64.67234310776"/>
    <n v="56.096486541573498"/>
    <n v="85144.9595363923"/>
    <n v="755.53802758582299"/>
    <n v="8.7497894684620506E-2"/>
    <n v="5.4639947324157397E-2"/>
    <n v="0.71105601183477896"/>
    <n v="3.7039309583262001E-2"/>
    <n v="0.63828720937235295"/>
    <n v="0"/>
    <x v="3"/>
    <x v="8"/>
    <n v="6273736053.5200005"/>
    <n v="73683"/>
  </r>
  <r>
    <n v="0.99284539787039305"/>
    <n v="8.2556084442618101"/>
    <n v="7.9561029804538199"/>
    <n v="0"/>
    <n v="3.99891146868202"/>
    <n v="4.3823894658987603"/>
    <n v="-12.3299401476405"/>
    <n v="24.304019676664598"/>
    <n v="64.609052856014301"/>
    <n v="56.350161441563301"/>
    <n v="95208.794259321206"/>
    <n v="757.32139486123594"/>
    <n v="7.9369503239218805E-2"/>
    <n v="6.1774076148518299E-2"/>
    <n v="0.67570206398447596"/>
    <n v="3.3716757553618901E-2"/>
    <n v="0.60644791042270696"/>
    <n v="0"/>
    <x v="3"/>
    <x v="9"/>
    <n v="9389396081.0599995"/>
    <n v="98619"/>
  </r>
  <r>
    <n v="0.99296992290536101"/>
    <n v="8.1174315508277495"/>
    <n v="7.7793733023266496"/>
    <n v="0"/>
    <n v="4.0181070521841802"/>
    <n v="4.3835707314029699"/>
    <n v="-12.3256162448897"/>
    <n v="23.947360164035501"/>
    <n v="67.211070133298904"/>
    <n v="59.021321581311199"/>
    <n v="105055.794464156"/>
    <n v="756.56621466344495"/>
    <n v="8.6038495806783605E-2"/>
    <n v="6.18903008212255E-2"/>
    <n v="0.65701978033546704"/>
    <n v="3.3679162418398099E-2"/>
    <n v="0.62115864009669297"/>
    <n v="0"/>
    <x v="3"/>
    <x v="10"/>
    <n v="9877345795.5200005"/>
    <n v="94020"/>
  </r>
  <r>
    <n v="0.99307504834244298"/>
    <n v="8.0006325865909602"/>
    <n v="7.3571219664248098"/>
    <n v="0"/>
    <n v="4.00813750571354"/>
    <n v="4.3809740528759402"/>
    <n v="-12.336364117133099"/>
    <n v="24.082368897591198"/>
    <n v="67.200205635176999"/>
    <n v="58.947654807356898"/>
    <n v="115122.42484916199"/>
    <n v="757.59769883551496"/>
    <n v="8.5811334130867306E-2"/>
    <n v="6.5245327220444405E-2"/>
    <n v="0.63814405248914596"/>
    <n v="3.24377385911283E-2"/>
    <n v="0.62584499101851498"/>
    <n v="0"/>
    <x v="3"/>
    <x v="11"/>
    <n v="11627710277.040001"/>
    <n v="101003"/>
  </r>
  <r>
    <n v="0.99320242605053899"/>
    <n v="7.8589280190735398"/>
    <n v="7.46170518312735"/>
    <n v="0"/>
    <n v="4.0090011804174397"/>
    <n v="4.3790100270323498"/>
    <n v="-12.3402418467745"/>
    <n v="23.764920000891902"/>
    <n v="67.892498538355795"/>
    <n v="59.713418684332602"/>
    <n v="124975.013296688"/>
    <n v="757.71984487624502"/>
    <n v="8.4846592085483799E-2"/>
    <n v="7.2685156878884105E-2"/>
    <n v="0.62555056969948297"/>
    <n v="3.2676991036532398E-2"/>
    <n v="0.62680047674977701"/>
    <n v="0"/>
    <x v="3"/>
    <x v="12"/>
    <n v="13221231631.67"/>
    <n v="105791"/>
  </r>
  <r>
    <n v="0.99328326207821604"/>
    <n v="7.7688961811296302"/>
    <n v="7.5134142517776201"/>
    <n v="0"/>
    <n v="4.0039666650971997"/>
    <n v="4.3778635650131896"/>
    <n v="-12.341067115992701"/>
    <n v="23.785991136987999"/>
    <n v="68.221402690536706"/>
    <n v="59.936380175948997"/>
    <n v="134986.19889717901"/>
    <n v="757.80025853940197"/>
    <n v="8.6774844953841301E-2"/>
    <n v="7.6703035408993994E-2"/>
    <n v="0.61514225907410003"/>
    <n v="3.25172473960985E-2"/>
    <n v="0.633682038289898"/>
    <n v="0"/>
    <x v="3"/>
    <x v="13"/>
    <n v="13912082616.940001"/>
    <n v="103063"/>
  </r>
  <r>
    <n v="0.99337788579417097"/>
    <n v="7.6634057431609302"/>
    <n v="7.8908733758567902"/>
    <n v="0"/>
    <n v="3.99991468646326"/>
    <n v="4.3815295377379799"/>
    <n v="-12.355927889907701"/>
    <n v="23.651355842324001"/>
    <n v="67.230208636451707"/>
    <n v="59.152404449647101"/>
    <n v="144910.63449256399"/>
    <n v="758.51102990599099"/>
    <n v="8.5026975351581296E-2"/>
    <n v="8.3754559623403002E-2"/>
    <n v="0.60435955026374999"/>
    <n v="3.2450299061762999E-2"/>
    <n v="0.64035460656306997"/>
    <n v="0"/>
    <x v="3"/>
    <x v="14"/>
    <n v="15572386603.84"/>
    <n v="107462"/>
  </r>
  <r>
    <n v="0.99341330823919205"/>
    <n v="7.6238868910026198"/>
    <n v="7.1404422375429899"/>
    <n v="0"/>
    <n v="4.0020137448940103"/>
    <n v="4.37918591032152"/>
    <n v="-12.3416553509833"/>
    <n v="23.730823229201501"/>
    <n v="68.433914873737294"/>
    <n v="60.205255278029703"/>
    <n v="154945.68609979801"/>
    <n v="758.21396732580797"/>
    <n v="8.8015984601467506E-2"/>
    <n v="8.8612044525546996E-2"/>
    <n v="0.59549643181064904"/>
    <n v="3.1748405291851599E-2"/>
    <n v="0.66099736696950895"/>
    <n v="0"/>
    <x v="3"/>
    <x v="15"/>
    <n v="15469932245.889999"/>
    <n v="99841"/>
  </r>
  <r>
    <n v="0.99345043977102898"/>
    <n v="7.5824446620070098"/>
    <n v="6.9989426269617496"/>
    <n v="0"/>
    <n v="4.0034633558050201"/>
    <n v="4.3792060152752503"/>
    <n v="-12.3459962814444"/>
    <n v="23.675183822555098"/>
    <n v="68.890938667895099"/>
    <n v="60.619164405127698"/>
    <n v="164993.92375899901"/>
    <n v="758.55831005948096"/>
    <n v="8.6256457230197606E-2"/>
    <n v="8.9898489574340504E-2"/>
    <n v="0.58702092160145802"/>
    <n v="3.2130635471841897E-2"/>
    <n v="0.65069812416851702"/>
    <n v="0"/>
    <x v="3"/>
    <x v="16"/>
    <n v="16706129762.370001"/>
    <n v="101253"/>
  </r>
  <r>
    <n v="0.99299316275284499"/>
    <n v="8.0916227719063194"/>
    <n v="7.5363918476315703"/>
    <n v="0"/>
    <n v="3.9590360558298099"/>
    <n v="4.35295320710991"/>
    <n v="-12.3822410473133"/>
    <n v="23.149010819915901"/>
    <n v="69.4105053898096"/>
    <n v="60.710802178281099"/>
    <n v="293424.36116935499"/>
    <n v="759.57931081959703"/>
    <n v="0.126904405272904"/>
    <n v="0.113832567273252"/>
    <n v="0.50309569857383996"/>
    <n v="4.9054235080758998E-2"/>
    <n v="0.65791314713025895"/>
    <n v="0"/>
    <x v="3"/>
    <x v="17"/>
    <n v="493074111025.67999"/>
    <n v="1680413"/>
  </r>
  <r>
    <n v="0.99349008155181595"/>
    <n v="7.5381819533411099"/>
    <n v="6.6278539027534196"/>
    <n v="0"/>
    <n v="4.0000930352482502"/>
    <n v="4.3772227544337703"/>
    <n v="-12.3286585002718"/>
    <n v="23.429859260086801"/>
    <n v="69.386028256226496"/>
    <n v="61.104964356022698"/>
    <n v="172457.78076838399"/>
    <n v="758.84619539431503"/>
    <n v="8.1158367569986595E-2"/>
    <n v="9.24514355546983E-2"/>
    <n v="0.58426582634849999"/>
    <n v="3.18473672544584E-2"/>
    <n v="0.63744710009352301"/>
    <n v="0"/>
    <x v="3"/>
    <x v="18"/>
    <n v="8782412485.6299992"/>
    <n v="50925"/>
  </r>
  <r>
    <n v="0.99277012314872504"/>
    <n v="8.3390432409068609"/>
    <n v="89.208606476070401"/>
    <n v="0"/>
    <n v="3.8390311937383199"/>
    <n v="4.2977449964882499"/>
    <n v="-6.7198958020833697"/>
    <n v="23.859958689056899"/>
    <n v="62.979947906303302"/>
    <n v="3.77734664829884"/>
    <n v="5495.0068043478204"/>
    <n v="777.46013215563005"/>
    <n v="1.63435292339888E-2"/>
    <n v="8.0267396749237704E-2"/>
    <n v="0.58976706651465005"/>
    <n v="3.2649882425077298E-2"/>
    <n v="0.25075176055187998"/>
    <n v="0"/>
    <x v="4"/>
    <x v="0"/>
    <n v="2527703.13"/>
    <n v="460"/>
  </r>
  <r>
    <n v="0.99259864748546101"/>
    <n v="8.5288479107178592"/>
    <n v="72.752072080639394"/>
    <n v="0"/>
    <n v="3.8986761600505599"/>
    <n v="4.3121672739027002"/>
    <n v="-6.8322626154466004"/>
    <n v="24.7131790232323"/>
    <n v="56.688601121456202"/>
    <n v="15.107671406804499"/>
    <n v="15764.3358042744"/>
    <n v="766.14803693387205"/>
    <n v="4.0979043430401901E-2"/>
    <n v="4.6501814147127798E-2"/>
    <n v="0.705252072334284"/>
    <n v="1.6139297747472799E-2"/>
    <n v="0.29302696798726402"/>
    <n v="0"/>
    <x v="4"/>
    <x v="1"/>
    <n v="14014494.529999999"/>
    <n v="889"/>
  </r>
  <r>
    <n v="0.99243972782883905"/>
    <n v="8.7044327201891907"/>
    <n v="40.381822472356497"/>
    <n v="0"/>
    <n v="3.9968297287956398"/>
    <n v="4.3551316095458699"/>
    <n v="-6.9473321433289197"/>
    <n v="24.097554402458599"/>
    <n v="57.488715760991603"/>
    <n v="33.611098043970003"/>
    <n v="26098.445556925599"/>
    <n v="756.33135443603805"/>
    <n v="4.2643082967341699E-2"/>
    <n v="3.3608479447270002E-2"/>
    <n v="0.76904559165979003"/>
    <n v="2.4592898088020999E-2"/>
    <n v="0.33043932121539599"/>
    <n v="0"/>
    <x v="4"/>
    <x v="2"/>
    <n v="63497518.039999999"/>
    <n v="2433"/>
  </r>
  <r>
    <n v="0.99231676458417395"/>
    <n v="8.8400784675184294"/>
    <n v="16.1010422915442"/>
    <n v="0"/>
    <n v="4.0162821095410601"/>
    <n v="4.3595239641383801"/>
    <n v="-7.0446979836162402"/>
    <n v="23.755112199794301"/>
    <n v="58.562596218734299"/>
    <n v="44.445269506243001"/>
    <n v="35900.174168526697"/>
    <n v="752.980004311063"/>
    <n v="4.37706766802331E-2"/>
    <n v="2.7598690849342699E-2"/>
    <n v="0.77723530259198503"/>
    <n v="3.3180998089290099E-2"/>
    <n v="0.40114275706690899"/>
    <n v="0"/>
    <x v="4"/>
    <x v="3"/>
    <n v="257332448.44"/>
    <n v="7168"/>
  </r>
  <r>
    <n v="0.99220701205116502"/>
    <n v="8.9609948769783792"/>
    <n v="11.902716847861701"/>
    <n v="0"/>
    <n v="4.0334134323817503"/>
    <n v="4.3669867608472801"/>
    <n v="-7.1177521051215198"/>
    <n v="23.639908950131002"/>
    <n v="59.623148774997603"/>
    <n v="48.862207762693899"/>
    <n v="45844.618799046497"/>
    <n v="750.21498651504805"/>
    <n v="5.8593077914042703E-2"/>
    <n v="3.6132391589937002E-2"/>
    <n v="0.75566686794615801"/>
    <n v="3.45020900260904E-2"/>
    <n v="0.47502991432607999"/>
    <n v="0"/>
    <x v="4"/>
    <x v="4"/>
    <n v="750109652.78999996"/>
    <n v="16362"/>
  </r>
  <r>
    <n v="0.99230275002583601"/>
    <n v="8.8555267620710794"/>
    <n v="8.0138615757482903"/>
    <n v="0"/>
    <n v="4.0524682378214303"/>
    <n v="4.37523909336457"/>
    <n v="-7.1617724044084996"/>
    <n v="23.514380008005102"/>
    <n v="62.380388841780999"/>
    <n v="53.256030214826403"/>
    <n v="55442.393302268698"/>
    <n v="751.11948390748705"/>
    <n v="6.4287657166813797E-2"/>
    <n v="4.1120251997686701E-2"/>
    <n v="0.73902778757493104"/>
    <n v="3.7897105999578802E-2"/>
    <n v="0.53368149437442702"/>
    <n v="0"/>
    <x v="4"/>
    <x v="5"/>
    <n v="1588424568.1099999"/>
    <n v="28650"/>
  </r>
  <r>
    <n v="0.99240166185944101"/>
    <n v="8.7464445961928892"/>
    <n v="8.3348111813328405"/>
    <n v="0"/>
    <n v="4.0638697731178901"/>
    <n v="4.3788651416650097"/>
    <n v="-7.2045612661537"/>
    <n v="23.575184922564901"/>
    <n v="64.282953150557901"/>
    <n v="55.520552430372902"/>
    <n v="65245.248212832703"/>
    <n v="751.75938017991405"/>
    <n v="6.8987256746030207E-2"/>
    <n v="4.1587759921443201E-2"/>
    <n v="0.72308187484376996"/>
    <n v="3.8133424633286797E-2"/>
    <n v="0.56063686362826104"/>
    <n v="0"/>
    <x v="4"/>
    <x v="6"/>
    <n v="2662136617.5799999"/>
    <n v="40802"/>
  </r>
  <r>
    <n v="0.992495546063626"/>
    <n v="8.64279632325389"/>
    <n v="8.1505700920075004"/>
    <n v="0"/>
    <n v="4.0525227161358099"/>
    <n v="4.3742092399745296"/>
    <n v="-7.2033306382514901"/>
    <n v="23.748916784777599"/>
    <n v="63.973031257024502"/>
    <n v="55.678409683784999"/>
    <n v="75146.163137948097"/>
    <n v="752.88093725673605"/>
    <n v="7.7127155305608E-2"/>
    <n v="5.2153231680474199E-2"/>
    <n v="0.71477383403202999"/>
    <n v="3.7351575023745101E-2"/>
    <n v="0.59841123845550503"/>
    <n v="0"/>
    <x v="4"/>
    <x v="7"/>
    <n v="4229376353.73"/>
    <n v="56282"/>
  </r>
  <r>
    <n v="0.99263901692915602"/>
    <n v="8.4841958373814101"/>
    <n v="7.2835938389932799"/>
    <n v="0"/>
    <n v="4.0651834862980802"/>
    <n v="4.3806901325850802"/>
    <n v="-7.2531622003869201"/>
    <n v="23.691767347481399"/>
    <n v="66.352275333809004"/>
    <n v="58.014490380557099"/>
    <n v="85149.934913970705"/>
    <n v="753.96362236498999"/>
    <n v="8.2634459831743307E-2"/>
    <n v="5.64351820553603E-2"/>
    <n v="0.70448560079350397"/>
    <n v="3.6170727722543997E-2"/>
    <n v="0.609573714313421"/>
    <n v="0"/>
    <x v="4"/>
    <x v="8"/>
    <n v="5948574453.0900002"/>
    <n v="69860"/>
  </r>
  <r>
    <n v="0.99281929590787399"/>
    <n v="8.2845478433843294"/>
    <n v="7.6079540279936797"/>
    <n v="0"/>
    <n v="4.06333749955978"/>
    <n v="4.3822620490104702"/>
    <n v="-7.2556870792371404"/>
    <n v="23.5868227467225"/>
    <n v="66.003562505509294"/>
    <n v="57.985331922926498"/>
    <n v="95261.227024760403"/>
    <n v="755.99557764472297"/>
    <n v="7.4761189194507499E-2"/>
    <n v="6.1277709891851599E-2"/>
    <n v="0.66839215035784905"/>
    <n v="3.2472497518551198E-2"/>
    <n v="0.58130769739590404"/>
    <n v="0"/>
    <x v="4"/>
    <x v="9"/>
    <n v="8837288769.8600006"/>
    <n v="92769"/>
  </r>
  <r>
    <n v="0.99291061778885703"/>
    <n v="8.1832621468319804"/>
    <n v="8.2106751749075304"/>
    <n v="0"/>
    <n v="4.0827574659786103"/>
    <n v="4.3866625866797397"/>
    <n v="-7.3055259402992796"/>
    <n v="23.368356672545499"/>
    <n v="68.424782711196997"/>
    <n v="60.439973798621899"/>
    <n v="105044.47589115299"/>
    <n v="755.14663972573305"/>
    <n v="8.3066108360217494E-2"/>
    <n v="6.0417042829004099E-2"/>
    <n v="0.65467346246943203"/>
    <n v="3.0344818917401501E-2"/>
    <n v="0.60566741756679598"/>
    <n v="0"/>
    <x v="4"/>
    <x v="10"/>
    <n v="9394022434.4699993"/>
    <n v="89429"/>
  </r>
  <r>
    <n v="0.99300238164655497"/>
    <n v="8.0813829814461702"/>
    <n v="7.4979874151818899"/>
    <n v="0"/>
    <n v="4.0670427030528202"/>
    <n v="4.38023771115106"/>
    <n v="-7.2965340317422802"/>
    <n v="23.5462717967538"/>
    <n v="68.427967168241295"/>
    <n v="60.302331442937103"/>
    <n v="115110.47184486"/>
    <n v="756.56752233409202"/>
    <n v="8.2345082899370897E-2"/>
    <n v="6.4449838357780301E-2"/>
    <n v="0.63285994650414801"/>
    <n v="2.9339091595080299E-2"/>
    <n v="0.60591151748467098"/>
    <n v="0"/>
    <x v="4"/>
    <x v="11"/>
    <n v="11092620619.33"/>
    <n v="96365"/>
  </r>
  <r>
    <n v="0.99312772864195997"/>
    <n v="7.9420512916982799"/>
    <n v="7.4238734285865497"/>
    <n v="0"/>
    <n v="4.0677669538466503"/>
    <n v="4.3819186414423399"/>
    <n v="-7.3134692716554701"/>
    <n v="23.1774397181442"/>
    <n v="68.714832341649895"/>
    <n v="60.705160209923498"/>
    <n v="124956.31304736801"/>
    <n v="756.75434240689106"/>
    <n v="7.9988500446770805E-2"/>
    <n v="7.3103067993973994E-2"/>
    <n v="0.62600234106971298"/>
    <n v="3.0512056912666698E-2"/>
    <n v="0.61133461679082202"/>
    <n v="0"/>
    <x v="4"/>
    <x v="12"/>
    <n v="12667571191.49"/>
    <n v="101376"/>
  </r>
  <r>
    <n v="0.99318157438909604"/>
    <n v="7.8821386664063899"/>
    <n v="7.1129723042855204"/>
    <n v="0"/>
    <n v="4.06127748198442"/>
    <n v="4.3784295734492202"/>
    <n v="-7.3131064149750999"/>
    <n v="23.2460541055029"/>
    <n v="69.1073340593571"/>
    <n v="60.974143248133799"/>
    <n v="134980.63607708499"/>
    <n v="756.984370567101"/>
    <n v="8.4041485393614501E-2"/>
    <n v="7.5622624427427496E-2"/>
    <n v="0.61506141702108696"/>
    <n v="3.11511220914511E-2"/>
    <n v="0.61989056216475602"/>
    <n v="0"/>
    <x v="4"/>
    <x v="13"/>
    <n v="13353499346.469999"/>
    <n v="98929"/>
  </r>
  <r>
    <n v="0.99326937852918296"/>
    <n v="7.7843648394647804"/>
    <n v="7.3686369873700999"/>
    <n v="0"/>
    <n v="4.0571113330040998"/>
    <n v="4.3788358011623503"/>
    <n v="-7.2971781102434097"/>
    <n v="23.013195174815198"/>
    <n v="67.902862003009204"/>
    <n v="60.048962290865802"/>
    <n v="144951.76183629601"/>
    <n v="757.32514270854097"/>
    <n v="8.1157516915274397E-2"/>
    <n v="7.9737046508944601E-2"/>
    <n v="0.60072756754343803"/>
    <n v="3.2599018314395899E-2"/>
    <n v="0.62819390984386103"/>
    <n v="0"/>
    <x v="4"/>
    <x v="14"/>
    <n v="15189060267.540001"/>
    <n v="104787"/>
  </r>
  <r>
    <n v="0.99327855172389701"/>
    <n v="7.7741445914934104"/>
    <n v="7.8046021539688697"/>
    <n v="0"/>
    <n v="4.0538829841744901"/>
    <n v="4.3770344486005701"/>
    <n v="-7.3228282874233699"/>
    <n v="23.230703365249699"/>
    <n v="69.159154598282797"/>
    <n v="61.012069272393497"/>
    <n v="154960.71836108301"/>
    <n v="757.67603761856299"/>
    <n v="8.3259097124418799E-2"/>
    <n v="8.6178847555041599E-2"/>
    <n v="0.59537673475200803"/>
    <n v="2.8578541603251399E-2"/>
    <n v="0.64944913269628202"/>
    <n v="0"/>
    <x v="4"/>
    <x v="15"/>
    <n v="15021272195.049999"/>
    <n v="96936"/>
  </r>
  <r>
    <n v="0.99330857565528596"/>
    <n v="7.74068638619016"/>
    <n v="7.6818013501275102"/>
    <n v="0"/>
    <n v="4.0557523194896303"/>
    <n v="4.3776650066776099"/>
    <n v="-7.322044769343"/>
    <n v="23.268329866132099"/>
    <n v="69.618080238052599"/>
    <n v="61.445694059523397"/>
    <n v="165005.853355959"/>
    <n v="757.96131980188295"/>
    <n v="8.40616120396286E-2"/>
    <n v="8.6241999663543706E-2"/>
    <n v="0.58761278824472096"/>
    <n v="3.05711778405417E-2"/>
    <n v="0.64076659290642402"/>
    <n v="0"/>
    <x v="4"/>
    <x v="16"/>
    <n v="16286902755.5"/>
    <n v="98705"/>
  </r>
  <r>
    <n v="0.992721792537411"/>
    <n v="8.3925764084011902"/>
    <n v="8.0672748993042198"/>
    <n v="0"/>
    <n v="4.0123220837007301"/>
    <n v="4.3532060366393601"/>
    <n v="-7.3873311076480297"/>
    <n v="22.797265815526401"/>
    <n v="69.556591044229805"/>
    <n v="61.0614550596447"/>
    <n v="293840.61865922599"/>
    <n v="758.57744067275496"/>
    <n v="0.12790687961813099"/>
    <n v="0.109064930123177"/>
    <n v="0.50975881874222595"/>
    <n v="4.8000407314968199E-2"/>
    <n v="0.65309265944786599"/>
    <n v="0"/>
    <x v="4"/>
    <x v="17"/>
    <n v="478931705874.53003"/>
    <n v="1629903"/>
  </r>
  <r>
    <n v="0.99333754681056396"/>
    <n v="7.7083908304235997"/>
    <n v="7.0917190828995604"/>
    <n v="0"/>
    <n v="4.0594548507181303"/>
    <n v="4.3810841380685899"/>
    <n v="-7.3414992232343899"/>
    <n v="23.034475181097601"/>
    <n v="69.843709009009402"/>
    <n v="61.727067081550402"/>
    <n v="172463.45299161301"/>
    <n v="758.17336141372596"/>
    <n v="8.0737880024554995E-2"/>
    <n v="8.8657162374038007E-2"/>
    <n v="0.58699942552156803"/>
    <n v="2.93023363831518E-2"/>
    <n v="0.63403386281692298"/>
    <n v="0"/>
    <x v="4"/>
    <x v="18"/>
    <n v="8699229032.3500004"/>
    <n v="50441"/>
  </r>
  <r>
    <n v="0.99254686313324403"/>
    <n v="8.5860966137680599"/>
    <n v="92.851581848312904"/>
    <n v="0"/>
    <n v="3.95524107770856"/>
    <n v="4.3626005692626997"/>
    <n v="-0.84307648501300303"/>
    <n v="25.864694648254101"/>
    <n v="61.513945391827697"/>
    <n v="3.90981736252101"/>
    <n v="5644.83844752818"/>
    <n v="776.58915560547405"/>
    <n v="2.4150730686245299E-2"/>
    <n v="5.7548681429949303E-2"/>
    <n v="0.63630777876790001"/>
    <n v="2.23417297954977E-2"/>
    <n v="0.26341611193646097"/>
    <n v="0"/>
    <x v="5"/>
    <x v="0"/>
    <n v="6508498.7300000004"/>
    <n v="1153"/>
  </r>
  <r>
    <n v="0.99241738025641102"/>
    <n v="8.72909898356043"/>
    <n v="69.549865556020094"/>
    <n v="0"/>
    <n v="4.0003616727571698"/>
    <n v="4.3597233098247896"/>
    <n v="-0.75786854083303201"/>
    <n v="25.7979787122968"/>
    <n v="57.9412764884895"/>
    <n v="14.9297570188864"/>
    <n v="15721.413830171599"/>
    <n v="770.61378632975595"/>
    <n v="4.5392433924283597E-2"/>
    <n v="5.9436056119524301E-2"/>
    <n v="0.69069819408238597"/>
    <n v="2.8821701413564101E-2"/>
    <n v="0.347188908091698"/>
    <n v="0"/>
    <x v="5"/>
    <x v="1"/>
    <n v="34807210.219999999"/>
    <n v="2214"/>
  </r>
  <r>
    <n v="0.99230200698564697"/>
    <n v="8.8563457507636798"/>
    <n v="35.870819999258401"/>
    <n v="0"/>
    <n v="4.0687049850819399"/>
    <n v="4.3809933257194897"/>
    <n v="-0.51880108299297101"/>
    <n v="24.695985769756302"/>
    <n v="54.950775314597699"/>
    <n v="31.6483931111914"/>
    <n v="26004.5354060756"/>
    <n v="760.21758770300301"/>
    <n v="5.3289772230658797E-2"/>
    <n v="3.5652199435196902E-2"/>
    <n v="0.77716031828422805"/>
    <n v="2.7570331768448898E-2"/>
    <n v="0.39604460089077298"/>
    <n v="0"/>
    <x v="5"/>
    <x v="2"/>
    <n v="167781262.44"/>
    <n v="6452"/>
  </r>
  <r>
    <n v="0.99224027112722801"/>
    <n v="8.9243682684738808"/>
    <n v="16.352231711346601"/>
    <n v="0"/>
    <n v="4.0959868942967796"/>
    <n v="4.3826709641141699"/>
    <n v="-0.43981263497141498"/>
    <n v="24.207689721680101"/>
    <n v="56.340934297297999"/>
    <n v="42.5278225847728"/>
    <n v="35908.124892667904"/>
    <n v="756.66520725824603"/>
    <n v="5.54424791547777E-2"/>
    <n v="3.0322726953094299E-2"/>
    <n v="0.78715400007372105"/>
    <n v="3.5296340916892502E-2"/>
    <n v="0.464751324087045"/>
    <n v="0"/>
    <x v="5"/>
    <x v="3"/>
    <n v="644012219.95000005"/>
    <n v="17935"/>
  </r>
  <r>
    <n v="0.99218359295991299"/>
    <n v="8.98677708559355"/>
    <n v="10.7243327315944"/>
    <n v="0"/>
    <n v="4.1024807618135304"/>
    <n v="4.3828351604088303"/>
    <n v="-0.398677832400962"/>
    <n v="24.014112905254802"/>
    <n v="56.6692731974764"/>
    <n v="46.512613326491"/>
    <n v="45790.946507679"/>
    <n v="755.15779987137705"/>
    <n v="6.6353924733825898E-2"/>
    <n v="3.6499429155828898E-2"/>
    <n v="0.77286731906037698"/>
    <n v="3.3574637167401999E-2"/>
    <n v="0.54286805237261204"/>
    <n v="0"/>
    <x v="5"/>
    <x v="4"/>
    <n v="1863462568.1300001"/>
    <n v="40695"/>
  </r>
  <r>
    <n v="0.99223259257968699"/>
    <n v="8.9328254797862403"/>
    <n v="10.0518989613195"/>
    <n v="0"/>
    <n v="4.1237671476023898"/>
    <n v="4.3881532233738998"/>
    <n v="-0.32109280141983498"/>
    <n v="23.873358142071599"/>
    <n v="59.694917430438601"/>
    <n v="50.873159585505597"/>
    <n v="55426.917682828302"/>
    <n v="755.03298187856706"/>
    <n v="7.4126037107487802E-2"/>
    <n v="3.8104496838349503E-2"/>
    <n v="0.75782648982507606"/>
    <n v="3.65613737249375E-2"/>
    <n v="0.58276237278653298"/>
    <n v="0"/>
    <x v="5"/>
    <x v="5"/>
    <n v="3845630402.6700001"/>
    <n v="69382"/>
  </r>
  <r>
    <n v="0.99228949330169802"/>
    <n v="8.8701374847887102"/>
    <n v="8.7715591056667694"/>
    <n v="0"/>
    <n v="4.1374328883798501"/>
    <n v="4.38967034321049"/>
    <n v="-0.286467159597521"/>
    <n v="23.8524315528649"/>
    <n v="62.206418039469199"/>
    <n v="53.687929753261002"/>
    <n v="65236.598422076597"/>
    <n v="754.26391705448395"/>
    <n v="7.8450502756605298E-2"/>
    <n v="4.3966202378884399E-2"/>
    <n v="0.73539343755320397"/>
    <n v="3.6996143572365199E-2"/>
    <n v="0.60266755684821904"/>
    <n v="0"/>
    <x v="5"/>
    <x v="6"/>
    <n v="6303616795.7299995"/>
    <n v="96627"/>
  </r>
  <r>
    <n v="0.99236892416192601"/>
    <n v="8.7825616980591601"/>
    <n v="7.9699779019127002"/>
    <n v="0"/>
    <n v="4.1249022920829299"/>
    <n v="4.3853870868752196"/>
    <n v="-0.31194652130309802"/>
    <n v="24.1551967465697"/>
    <n v="62.206866423342298"/>
    <n v="54.077536313804103"/>
    <n v="75140.161324176894"/>
    <n v="755.24309166924002"/>
    <n v="8.4315098111700501E-2"/>
    <n v="5.2189242581097403E-2"/>
    <n v="0.72522148999431402"/>
    <n v="3.7076374235958602E-2"/>
    <n v="0.64339987197480697"/>
    <n v="0"/>
    <x v="5"/>
    <x v="7"/>
    <n v="9896860928.3299999"/>
    <n v="131712"/>
  </r>
  <r>
    <n v="0.99247280393489601"/>
    <n v="8.6679135599739201"/>
    <n v="7.5134159181811402"/>
    <n v="0"/>
    <n v="4.1385176080275397"/>
    <n v="4.3871717384338202"/>
    <n v="-0.244014840152454"/>
    <n v="24.054946608299399"/>
    <n v="64.688012407107806"/>
    <n v="56.539646876796397"/>
    <n v="85162.683033474998"/>
    <n v="755.05293612180901"/>
    <n v="9.0298934277281195E-2"/>
    <n v="5.7281716635241099E-2"/>
    <n v="0.71473128551143095"/>
    <n v="3.5674985084162003E-2"/>
    <n v="0.64566177916120704"/>
    <n v="0"/>
    <x v="5"/>
    <x v="8"/>
    <n v="13399581711.17"/>
    <n v="157341"/>
  </r>
  <r>
    <n v="0.99264597573864399"/>
    <n v="8.4764967775111195"/>
    <n v="7.9487307950805004"/>
    <n v="0"/>
    <n v="4.1396739225722499"/>
    <n v="4.3888845821851703"/>
    <n v="-0.23666628991613001"/>
    <n v="23.923622690013001"/>
    <n v="64.5919387573324"/>
    <n v="56.764259643122401"/>
    <n v="95219.163791895902"/>
    <n v="757.039404912348"/>
    <n v="8.1554180172244695E-2"/>
    <n v="6.03129747310421E-2"/>
    <n v="0.68064063457728097"/>
    <n v="3.4110316181790001E-2"/>
    <n v="0.61746227407401599"/>
    <n v="0"/>
    <x v="5"/>
    <x v="9"/>
    <n v="19932037118.23"/>
    <n v="209328"/>
  </r>
  <r>
    <n v="0.99272670969211496"/>
    <n v="8.3871312557045705"/>
    <n v="7.5157394943161497"/>
    <n v="0"/>
    <n v="4.1579834284200103"/>
    <n v="4.3902711538503398"/>
    <n v="-0.16319939955364299"/>
    <n v="23.5550032331866"/>
    <n v="67.006400686872198"/>
    <n v="59.314685940761599"/>
    <n v="105045.782668403"/>
    <n v="755.79290953290104"/>
    <n v="9.1624469399851E-2"/>
    <n v="6.0402809725212399E-2"/>
    <n v="0.66675844679078"/>
    <n v="3.1606454685911903E-2"/>
    <n v="0.63703339975301099"/>
    <n v="0"/>
    <x v="5"/>
    <x v="10"/>
    <n v="21046132649.18"/>
    <n v="200352"/>
  </r>
  <r>
    <n v="0.992796026665831"/>
    <n v="8.3103395335335399"/>
    <n v="7.7839919366814101"/>
    <n v="0"/>
    <n v="4.1470218076934398"/>
    <n v="4.3857176526188901"/>
    <n v="-0.17210278635475201"/>
    <n v="23.7120740021128"/>
    <n v="67.191659055470893"/>
    <n v="59.373254766936398"/>
    <n v="115101.318721759"/>
    <n v="756.79624772285501"/>
    <n v="8.8563557674700796E-2"/>
    <n v="6.3897326889141307E-2"/>
    <n v="0.65035254522689401"/>
    <n v="3.14080094320216E-2"/>
    <n v="0.63783787601454001"/>
    <n v="0"/>
    <x v="5"/>
    <x v="11"/>
    <n v="24357625966.580002"/>
    <n v="211619"/>
  </r>
  <r>
    <n v="0.99289990561310604"/>
    <n v="8.1951483970780394"/>
    <n v="7.3254043540575298"/>
    <n v="0"/>
    <n v="4.1478822451542197"/>
    <n v="4.3857730477436796"/>
    <n v="-0.150110884537179"/>
    <n v="23.340138487575"/>
    <n v="67.754746182752598"/>
    <n v="60.027038804280899"/>
    <n v="124965.65785063199"/>
    <n v="756.79087817400705"/>
    <n v="8.87954225682797E-2"/>
    <n v="7.2532412374518698E-2"/>
    <n v="0.63765490808185199"/>
    <n v="3.1470821025494498E-2"/>
    <n v="0.636630888129332"/>
    <n v="0"/>
    <x v="5"/>
    <x v="12"/>
    <n v="27627282671.959999"/>
    <n v="221079"/>
  </r>
  <r>
    <n v="0.99293767062374205"/>
    <n v="8.1532379904779795"/>
    <n v="7.6954450661337397"/>
    <n v="0"/>
    <n v="4.1423094739585"/>
    <n v="4.3816152539360296"/>
    <n v="-0.14915986282671501"/>
    <n v="23.360345828147999"/>
    <n v="68.149720347664598"/>
    <n v="60.300508424137398"/>
    <n v="134996.872753362"/>
    <n v="756.85542992923104"/>
    <n v="9.1551516350468501E-2"/>
    <n v="7.4185595807609597E-2"/>
    <n v="0.62705477320819902"/>
    <n v="3.10072324589E-2"/>
    <n v="0.64456708325872103"/>
    <n v="0"/>
    <x v="5"/>
    <x v="13"/>
    <n v="29065366691.290001"/>
    <n v="215304"/>
  </r>
  <r>
    <n v="0.99300962301058704"/>
    <n v="8.0733389782076106"/>
    <n v="8.0105099350406501"/>
    <n v="0"/>
    <n v="4.1414182246837097"/>
    <n v="4.3861650938996304"/>
    <n v="-0.16605335907326499"/>
    <n v="23.244436104168699"/>
    <n v="67.1866671957535"/>
    <n v="59.586835153465202"/>
    <n v="144955.92915316901"/>
    <n v="757.658500874693"/>
    <n v="9.0306044004070593E-2"/>
    <n v="7.9603643288119599E-2"/>
    <n v="0.61481008086080602"/>
    <n v="3.2638891933171897E-2"/>
    <n v="0.65177410900903698"/>
    <n v="0"/>
    <x v="5"/>
    <x v="14"/>
    <n v="32612184940.880001"/>
    <n v="224980"/>
  </r>
  <r>
    <n v="0.99300817237606298"/>
    <n v="8.0749504540318693"/>
    <n v="7.6528301764752804"/>
    <n v="0"/>
    <n v="4.1367989480810596"/>
    <n v="4.3811353365162304"/>
    <n v="-0.14721873260318299"/>
    <n v="23.3400196652102"/>
    <n v="68.347368177348002"/>
    <n v="60.516097848696297"/>
    <n v="154955.99451229701"/>
    <n v="757.39881008221005"/>
    <n v="9.1343641656540395E-2"/>
    <n v="8.3542669035820902E-2"/>
    <n v="0.61060368394810804"/>
    <n v="3.1156304448188E-2"/>
    <n v="0.67017535361055802"/>
    <n v="0"/>
    <x v="5"/>
    <x v="15"/>
    <n v="32395410124.73"/>
    <n v="209062"/>
  </r>
  <r>
    <n v="0.99302572276789303"/>
    <n v="8.0554523972978398"/>
    <n v="7.6718317645468499"/>
    <n v="0"/>
    <n v="4.1352271337165503"/>
    <n v="4.3794437562179898"/>
    <n v="-0.136924085660592"/>
    <n v="23.310647463661201"/>
    <n v="68.776775589274706"/>
    <n v="60.917992134393899"/>
    <n v="164993.771834952"/>
    <n v="757.837013835824"/>
    <n v="9.0418731966923904E-2"/>
    <n v="8.5734722106027006E-2"/>
    <n v="0.59932897662153595"/>
    <n v="3.2179177311311799E-2"/>
    <n v="0.66104636800868999"/>
    <n v="0"/>
    <x v="5"/>
    <x v="16"/>
    <n v="34756598012.120003"/>
    <n v="210654"/>
  </r>
  <r>
    <n v="0.99227901864415902"/>
    <n v="8.8816804712675506"/>
    <n v="8.8522613240069692"/>
    <n v="0"/>
    <n v="4.0989411816817896"/>
    <n v="4.3546745324756504"/>
    <n v="-0.16729836866356601"/>
    <n v="22.784237276198901"/>
    <n v="69.304415922396899"/>
    <n v="61.127417706712698"/>
    <n v="292590.01653873298"/>
    <n v="758.19750318752301"/>
    <n v="0.13583654876704901"/>
    <n v="0.105385607826019"/>
    <n v="0.52223330337681095"/>
    <n v="5.0392413369894203E-2"/>
    <n v="0.66428799563868102"/>
    <n v="0"/>
    <x v="5"/>
    <x v="17"/>
    <n v="974090683060.75"/>
    <n v="3329200"/>
  </r>
  <r>
    <n v="0.99302761646075"/>
    <n v="8.05334832419822"/>
    <n v="7.8133658720463597"/>
    <n v="0"/>
    <n v="4.1353892419168998"/>
    <n v="4.3778951480847397"/>
    <n v="-0.11614421964621501"/>
    <n v="23.196065738327"/>
    <n v="69.240740153605202"/>
    <n v="61.372958126875702"/>
    <n v="172444.618774095"/>
    <n v="757.74845951478403"/>
    <n v="9.0752184563934205E-2"/>
    <n v="8.9093093772513399E-2"/>
    <n v="0.59727384817872897"/>
    <n v="3.1003414558608101E-2"/>
    <n v="0.65406798552087897"/>
    <n v="0"/>
    <x v="5"/>
    <x v="18"/>
    <n v="18402082603.240002"/>
    <n v="106713"/>
  </r>
  <r>
    <n v="0.99282244172970102"/>
    <n v="8.2810604957803697"/>
    <n v="94.044742269240302"/>
    <n v="0"/>
    <n v="4.0911708808173302"/>
    <n v="4.3814318957296896"/>
    <n v="7.6622117839584698"/>
    <n v="25.641280462638701"/>
    <n v="61.639912171624601"/>
    <n v="3.6487862455609199"/>
    <n v="5630.5077260981898"/>
    <n v="778.290453969689"/>
    <n v="2.1057156190480101E-2"/>
    <n v="4.9755742122640403E-2"/>
    <n v="0.64169347425853596"/>
    <n v="3.0331582445171999E-2"/>
    <n v="0.29681809942658699"/>
    <n v="0"/>
    <x v="6"/>
    <x v="0"/>
    <n v="4358012.9800000004"/>
    <n v="774"/>
  </r>
  <r>
    <n v="0.99271373340878699"/>
    <n v="8.40150027470753"/>
    <n v="65.907548626275798"/>
    <n v="0"/>
    <n v="4.1277594587020801"/>
    <n v="4.3938842826705402"/>
    <n v="7.7036354372796003"/>
    <n v="24.920916298072999"/>
    <n v="57.359166251700202"/>
    <n v="13.245993103581"/>
    <n v="15584.260589743501"/>
    <n v="771.55587710335794"/>
    <n v="3.4145230285540402E-2"/>
    <n v="6.2997547214644303E-2"/>
    <n v="0.66780876311262705"/>
    <n v="2.52902228377976E-2"/>
    <n v="0.34135108921523699"/>
    <n v="0"/>
    <x v="6"/>
    <x v="1"/>
    <n v="24311446.52"/>
    <n v="1560"/>
  </r>
  <r>
    <n v="0.99258990796809199"/>
    <n v="8.5385119377242304"/>
    <n v="35.040850066805099"/>
    <n v="0"/>
    <n v="4.1701874697246302"/>
    <n v="4.39551173811072"/>
    <n v="7.6217459734016"/>
    <n v="24.277815284465099"/>
    <n v="53.653364169529901"/>
    <n v="30.471048230967099"/>
    <n v="25996.337456445901"/>
    <n v="762.84128131454202"/>
    <n v="5.5161092450823297E-2"/>
    <n v="3.81165455153296E-2"/>
    <n v="0.77658716089442104"/>
    <n v="2.47044465588123E-2"/>
    <n v="0.38839699351951101"/>
    <n v="0"/>
    <x v="6"/>
    <x v="2"/>
    <n v="104453283.90000001"/>
    <n v="4018"/>
  </r>
  <r>
    <n v="0.992412403067367"/>
    <n v="8.7345917531230999"/>
    <n v="17.761097069279401"/>
    <n v="0"/>
    <n v="4.1845445476621297"/>
    <n v="4.3940589515526502"/>
    <n v="7.6683572603241696"/>
    <n v="23.829596248194299"/>
    <n v="54.140291322731301"/>
    <n v="39.853030073333002"/>
    <n v="35908.369515762599"/>
    <n v="759.70379774760204"/>
    <n v="5.16858066897211E-2"/>
    <n v="3.4133353867662697E-2"/>
    <n v="0.78116855942444396"/>
    <n v="3.1693812781698298E-2"/>
    <n v="0.476398019774604"/>
    <n v="0"/>
    <x v="6"/>
    <x v="3"/>
    <n v="395243423.25999999"/>
    <n v="11007"/>
  </r>
  <r>
    <n v="0.99231765372438896"/>
    <n v="8.8390982843199097"/>
    <n v="11.720617292162199"/>
    <n v="0"/>
    <n v="4.1973102640386504"/>
    <n v="4.3999514781793998"/>
    <n v="7.6467481335866898"/>
    <n v="23.614882435533701"/>
    <n v="54.416712320520297"/>
    <n v="44.260819527046102"/>
    <n v="45823.978456631601"/>
    <n v="758.03184381266999"/>
    <n v="6.5278802432280597E-2"/>
    <n v="3.8433242397730202E-2"/>
    <n v="0.76636317052889802"/>
    <n v="3.03085988798968E-2"/>
    <n v="0.55275805659853405"/>
    <n v="0"/>
    <x v="6"/>
    <x v="4"/>
    <n v="1142208487.01"/>
    <n v="24926"/>
  </r>
  <r>
    <n v="0.99227983857764901"/>
    <n v="8.8807769596558099"/>
    <n v="9.9210241256148599"/>
    <n v="0"/>
    <n v="4.2151436963419702"/>
    <n v="4.4008359927545797"/>
    <n v="7.6604290455654898"/>
    <n v="23.468055590220999"/>
    <n v="57.180215495255197"/>
    <n v="48.551460155330503"/>
    <n v="55424.558143443603"/>
    <n v="756.61875820069099"/>
    <n v="7.3211323371707895E-2"/>
    <n v="4.1959034941283599E-2"/>
    <n v="0.75643608332783496"/>
    <n v="3.34250778933044E-2"/>
    <n v="0.60076911358626695"/>
    <n v="0"/>
    <x v="6"/>
    <x v="5"/>
    <n v="2295130952.7199998"/>
    <n v="41410"/>
  </r>
  <r>
    <n v="0.99230044301917797"/>
    <n v="8.8580695531847002"/>
    <n v="8.5510437364632708"/>
    <n v="0"/>
    <n v="4.2235980626680902"/>
    <n v="4.4030444892105098"/>
    <n v="7.6417540265388304"/>
    <n v="23.5505114442769"/>
    <n v="59.577880661975399"/>
    <n v="51.248487849423398"/>
    <n v="65259.433437500003"/>
    <n v="756.29684402551698"/>
    <n v="7.8613838166911698E-2"/>
    <n v="4.8440656768802298E-2"/>
    <n v="0.735885712185125"/>
    <n v="3.5292124417381797E-2"/>
    <n v="0.620794367922052"/>
    <n v="0"/>
    <x v="6"/>
    <x v="6"/>
    <n v="3690029404.29"/>
    <n v="56544"/>
  </r>
  <r>
    <n v="0.99235441518966405"/>
    <n v="8.7985641926663103"/>
    <n v="9.13323069003577"/>
    <n v="0"/>
    <n v="4.2137075856405799"/>
    <n v="4.3977457925623202"/>
    <n v="7.6133579323137903"/>
    <n v="23.812320670153799"/>
    <n v="59.9245009715601"/>
    <n v="52.046045981533901"/>
    <n v="75118.801983896803"/>
    <n v="756.29850380856897"/>
    <n v="8.4172348828022797E-2"/>
    <n v="5.8509016880524803E-2"/>
    <n v="0.72500638996953803"/>
    <n v="3.3504978223414701E-2"/>
    <n v="0.65174106997571601"/>
    <n v="0"/>
    <x v="6"/>
    <x v="7"/>
    <n v="5672446094.21"/>
    <n v="75513"/>
  </r>
  <r>
    <n v="0.99238824170370998"/>
    <n v="8.7612516553759097"/>
    <n v="8.2020783208901697"/>
    <n v="0"/>
    <n v="4.2229008043438103"/>
    <n v="4.3953402467989102"/>
    <n v="7.6035105068909798"/>
    <n v="23.753871338782201"/>
    <n v="62.697952040370097"/>
    <n v="54.681127521040601"/>
    <n v="85157.419191834997"/>
    <n v="755.43756403482098"/>
    <n v="8.9390402417067097E-2"/>
    <n v="6.19944691335894E-2"/>
    <n v="0.71403110126057101"/>
    <n v="3.3084212267794601E-2"/>
    <n v="0.65668512608928797"/>
    <n v="0"/>
    <x v="6"/>
    <x v="8"/>
    <n v="7463451690.2299995"/>
    <n v="87643"/>
  </r>
  <r>
    <n v="0.992539062812133"/>
    <n v="8.5947171878472499"/>
    <n v="8.4384760683162305"/>
    <n v="0"/>
    <n v="4.22533960046243"/>
    <n v="4.3990712593506904"/>
    <n v="7.5976297200420699"/>
    <n v="23.575005375936701"/>
    <n v="62.156949151404199"/>
    <n v="54.559974426964402"/>
    <n v="95273.463356198001"/>
    <n v="757.22144133238203"/>
    <n v="8.3020170480017197E-2"/>
    <n v="6.7096907419468693E-2"/>
    <n v="0.68603268741975998"/>
    <n v="3.23333230287274E-2"/>
    <n v="0.62949847017920701"/>
    <n v="0"/>
    <x v="6"/>
    <x v="9"/>
    <n v="11042099129.52"/>
    <n v="115899"/>
  </r>
  <r>
    <n v="0.99254582645645395"/>
    <n v="8.5872423466015793"/>
    <n v="8.19750187609786"/>
    <n v="0"/>
    <n v="4.2374212700048899"/>
    <n v="4.3945102867560202"/>
    <n v="7.5741226712544396"/>
    <n v="23.315651960329902"/>
    <n v="64.906418583301999"/>
    <n v="57.365963673045499"/>
    <n v="105037.382989736"/>
    <n v="755.35673840753998"/>
    <n v="9.3705457141631296E-2"/>
    <n v="6.4272192708644704E-2"/>
    <n v="0.67017557484607404"/>
    <n v="3.0772936749175299E-2"/>
    <n v="0.65393065980740805"/>
    <n v="0"/>
    <x v="6"/>
    <x v="10"/>
    <n v="11359792970.34"/>
    <n v="108150"/>
  </r>
  <r>
    <n v="0.99258644969210896"/>
    <n v="8.5423357888914495"/>
    <n v="8.6004385163476904"/>
    <n v="0"/>
    <n v="4.2255645906534998"/>
    <n v="4.3875698781299199"/>
    <n v="7.5741557116704703"/>
    <n v="23.484992073520299"/>
    <n v="65.080965884706799"/>
    <n v="57.438492396221797"/>
    <n v="115096.118073911"/>
    <n v="756.31816372373396"/>
    <n v="9.1273973348255197E-2"/>
    <n v="6.8443658812423397E-2"/>
    <n v="0.65485373016267701"/>
    <n v="3.0725171402919499E-2"/>
    <n v="0.65506330950479497"/>
    <n v="0"/>
    <x v="6"/>
    <x v="11"/>
    <n v="12980885484.73"/>
    <n v="112783"/>
  </r>
  <r>
    <n v="0.99267812355608698"/>
    <n v="8.4409214958160703"/>
    <n v="8.0490115198449708"/>
    <n v="0"/>
    <n v="4.2301108632386697"/>
    <n v="4.3906284367724204"/>
    <n v="7.56622981450636"/>
    <n v="23.080917326733601"/>
    <n v="65.634893439426406"/>
    <n v="58.1316913693883"/>
    <n v="124938.500503541"/>
    <n v="756.18039205126399"/>
    <n v="9.17852363364728E-2"/>
    <n v="7.6464965379230795E-2"/>
    <n v="0.64490648413097995"/>
    <n v="3.1682940963431903E-2"/>
    <n v="0.65480279856791401"/>
    <n v="0"/>
    <x v="6"/>
    <x v="12"/>
    <n v="14728375131.860001"/>
    <n v="117885"/>
  </r>
  <r>
    <n v="0.992687153650603"/>
    <n v="8.4309263707491908"/>
    <n v="8.5009973815255506"/>
    <n v="0"/>
    <n v="4.2216461813155801"/>
    <n v="4.3843301403963704"/>
    <n v="7.5577073688832401"/>
    <n v="23.131651664751601"/>
    <n v="66.111022689286898"/>
    <n v="58.485148060000398"/>
    <n v="134972.135266828"/>
    <n v="756.12282739902605"/>
    <n v="9.4914835479029097E-2"/>
    <n v="8.0303469431297306E-2"/>
    <n v="0.63487099226816801"/>
    <n v="3.1487680290587003E-2"/>
    <n v="0.66770099225102597"/>
    <n v="0"/>
    <x v="6"/>
    <x v="13"/>
    <n v="15367387432.940001"/>
    <n v="113856"/>
  </r>
  <r>
    <n v="0.99274814912393505"/>
    <n v="8.3633862170967195"/>
    <n v="8.1858754564830392"/>
    <n v="0"/>
    <n v="4.2201860765240502"/>
    <n v="4.3884214145559897"/>
    <n v="7.5637897711064603"/>
    <n v="23.0154010598776"/>
    <n v="64.992955905260402"/>
    <n v="57.616112028487102"/>
    <n v="144949.21177658901"/>
    <n v="756.73665511409297"/>
    <n v="9.1153580501342799E-2"/>
    <n v="8.3308910115195103E-2"/>
    <n v="0.62172446319828401"/>
    <n v="3.28427071972721E-2"/>
    <n v="0.668825101858463"/>
    <n v="0"/>
    <x v="6"/>
    <x v="14"/>
    <n v="17456668421.889999"/>
    <n v="120433"/>
  </r>
  <r>
    <n v="0.99270830535750698"/>
    <n v="8.4075103021878093"/>
    <n v="8.6864100309409906"/>
    <n v="0"/>
    <n v="4.2157649144924996"/>
    <n v="4.3809325547631701"/>
    <n v="7.5535519041169596"/>
    <n v="23.119326261669901"/>
    <n v="66.498018505077695"/>
    <n v="58.857640795413197"/>
    <n v="154940.239249887"/>
    <n v="755.89109120371302"/>
    <n v="9.4780737568648299E-2"/>
    <n v="8.9136507665280001E-2"/>
    <n v="0.61700503806496698"/>
    <n v="3.0807041466047999E-2"/>
    <n v="0.69067067657833903"/>
    <n v="0"/>
    <x v="6"/>
    <x v="15"/>
    <n v="16925206914.940001"/>
    <n v="109237"/>
  </r>
  <r>
    <n v="0.99269796479938399"/>
    <n v="8.4189585376735199"/>
    <n v="8.7268686278620908"/>
    <n v="0"/>
    <n v="4.2164303905953098"/>
    <n v="4.3793220635522001"/>
    <n v="7.5576714311063302"/>
    <n v="23.081146158089101"/>
    <n v="67.049569475796901"/>
    <n v="59.409089869438603"/>
    <n v="164977.71257549201"/>
    <n v="756.01219803082802"/>
    <n v="9.5412304624996294E-2"/>
    <n v="8.9930099452541795E-2"/>
    <n v="0.61072647499550203"/>
    <n v="3.2045215768874001E-2"/>
    <n v="0.68137089466532996"/>
    <n v="0"/>
    <x v="6"/>
    <x v="16"/>
    <n v="18083866986.25"/>
    <n v="109614"/>
  </r>
  <r>
    <n v="0.99179289789137204"/>
    <n v="9.4159094508747003"/>
    <n v="10.124112511247301"/>
    <n v="0"/>
    <n v="4.18309409714964"/>
    <n v="4.3541300767131599"/>
    <n v="7.5487825423133001"/>
    <n v="22.4548412486612"/>
    <n v="67.904579903053204"/>
    <n v="60.099345695483798"/>
    <n v="292161.39011668199"/>
    <n v="756.26035607884603"/>
    <n v="0.14381349400387"/>
    <n v="0.10694356583259999"/>
    <n v="0.534182753894198"/>
    <n v="5.3031069508384397E-2"/>
    <n v="0.67649908314627905"/>
    <n v="0"/>
    <x v="6"/>
    <x v="17"/>
    <n v="477493383614.41998"/>
    <n v="1634348"/>
  </r>
  <r>
    <n v="0.99271703139980105"/>
    <n v="8.3978485083785799"/>
    <n v="8.6331272429939592"/>
    <n v="0"/>
    <n v="4.2167113612569196"/>
    <n v="4.37989958107321"/>
    <n v="7.5379786128649799"/>
    <n v="22.943349041225801"/>
    <n v="67.344229371742102"/>
    <n v="59.704968041026497"/>
    <n v="172441.67988648199"/>
    <n v="756.27990705427203"/>
    <n v="9.3967481309721795E-2"/>
    <n v="9.4831732252039697E-2"/>
    <n v="0.60653532545031497"/>
    <n v="3.1527938633265397E-2"/>
    <n v="0.67291983435374803"/>
    <n v="0"/>
    <x v="6"/>
    <x v="18"/>
    <n v="9403072362.5300007"/>
    <n v="54529"/>
  </r>
  <r>
    <n v="0.99220503210034305"/>
    <n v="8.9631748749736797"/>
    <n v="92.946943733561099"/>
    <n v="0"/>
    <n v="4.1049649629941003"/>
    <n v="4.3763721307830696"/>
    <n v="12.6218098118408"/>
    <n v="26.220425931479902"/>
    <n v="61.149565391361001"/>
    <n v="4.1912691096666697"/>
    <n v="5826.7960035211199"/>
    <n v="772.76654946499798"/>
    <n v="3.4587966444354398E-2"/>
    <n v="4.9320923123585103E-2"/>
    <n v="0.63108097846866695"/>
    <n v="3.1704904453793002E-2"/>
    <n v="0.27906781555622201"/>
    <n v="0"/>
    <x v="7"/>
    <x v="0"/>
    <n v="3309620.13"/>
    <n v="568"/>
  </r>
  <r>
    <n v="0.99209642680318999"/>
    <n v="9.08267999002652"/>
    <n v="63.368980267297701"/>
    <n v="0"/>
    <n v="4.1254025191166104"/>
    <n v="4.3664225601339304"/>
    <n v="12.5327629708228"/>
    <n v="25.976062610375799"/>
    <n v="57.921107263885801"/>
    <n v="15.6138756589297"/>
    <n v="15671.780342034201"/>
    <n v="763.38238959414798"/>
    <n v="4.5259754834053603E-2"/>
    <n v="5.4041066904276597E-2"/>
    <n v="0.68885130706445297"/>
    <n v="2.5802705283479901E-2"/>
    <n v="0.35601646375918999"/>
    <n v="0"/>
    <x v="7"/>
    <x v="1"/>
    <n v="17411347.960000001"/>
    <n v="1111"/>
  </r>
  <r>
    <n v="0.99206886905205605"/>
    <n v="9.1129806028123994"/>
    <n v="32.530467584678298"/>
    <n v="0"/>
    <n v="4.2041180168898604"/>
    <n v="4.3883468923933497"/>
    <n v="12.609245783931099"/>
    <n v="24.940033473332001"/>
    <n v="54.5209916752585"/>
    <n v="33.004076239765197"/>
    <n v="26066.8899629515"/>
    <n v="755.99446897405801"/>
    <n v="5.5600640449786597E-2"/>
    <n v="3.7022918762546098E-2"/>
    <n v="0.79442053845100802"/>
    <n v="2.6446443036005698E-2"/>
    <n v="0.40005005615460798"/>
    <n v="0"/>
    <x v="7"/>
    <x v="2"/>
    <n v="84430656.590000004"/>
    <n v="3239"/>
  </r>
  <r>
    <n v="0.99202656506449205"/>
    <n v="9.1594771536640298"/>
    <n v="16.050304431638398"/>
    <n v="0"/>
    <n v="4.22175696099539"/>
    <n v="4.3787700980083404"/>
    <n v="12.6152484126519"/>
    <n v="24.395198197713398"/>
    <n v="55.9195088483809"/>
    <n v="43.040582449488603"/>
    <n v="35925.3206678719"/>
    <n v="753.61842970587202"/>
    <n v="5.6175388072886197E-2"/>
    <n v="3.1958950118438897E-2"/>
    <n v="0.792871260287489"/>
    <n v="3.1258636012419801E-2"/>
    <n v="0.48008256452555198"/>
    <n v="0"/>
    <x v="7"/>
    <x v="3"/>
    <n v="337805790.24000001"/>
    <n v="9403"/>
  </r>
  <r>
    <n v="0.99193322849218701"/>
    <n v="9.2619867897559303"/>
    <n v="11.4734158442658"/>
    <n v="0"/>
    <n v="4.2359321309738602"/>
    <n v="4.38442783319549"/>
    <n v="12.620601609530601"/>
    <n v="24.049856090945799"/>
    <n v="56.828108347897803"/>
    <n v="47.144528503224699"/>
    <n v="45789.594826869798"/>
    <n v="752.47601757657503"/>
    <n v="6.9197696106780907E-2"/>
    <n v="4.3095717724330899E-2"/>
    <n v="0.77443855690859897"/>
    <n v="3.1828571943354103E-2"/>
    <n v="0.55123452311773802"/>
    <n v="0"/>
    <x v="7"/>
    <x v="4"/>
    <n v="991802623.95000005"/>
    <n v="21660"/>
  </r>
  <r>
    <n v="0.99192420571016604"/>
    <n v="9.2718907026342396"/>
    <n v="9.7899577471123607"/>
    <n v="0"/>
    <n v="4.2562652595303101"/>
    <n v="4.3875015381010201"/>
    <n v="12.6484253263871"/>
    <n v="23.789808496156098"/>
    <n v="59.918370575904497"/>
    <n v="51.507977274475202"/>
    <n v="55426.217920394702"/>
    <n v="751.254481464273"/>
    <n v="7.5260004544240394E-2"/>
    <n v="4.6094731259305799E-2"/>
    <n v="0.76165744425231297"/>
    <n v="3.5256649751886401E-2"/>
    <n v="0.588322036733812"/>
    <n v="0"/>
    <x v="7"/>
    <x v="5"/>
    <n v="2044229769.3399999"/>
    <n v="36882"/>
  </r>
  <r>
    <n v="0.99194657415768805"/>
    <n v="9.2473360199214394"/>
    <n v="8.5504197899004097"/>
    <n v="0"/>
    <n v="4.2678780599145796"/>
    <n v="4.3864712367059697"/>
    <n v="12.6424992113116"/>
    <n v="23.658493886745401"/>
    <n v="62.577887429700901"/>
    <n v="54.487114219806898"/>
    <n v="65248.127403838604"/>
    <n v="750.92853446630102"/>
    <n v="8.0745203961513107E-2"/>
    <n v="5.32493152109655E-2"/>
    <n v="0.74023831002728402"/>
    <n v="3.8706752036375101E-2"/>
    <n v="0.60079382291857097"/>
    <n v="0"/>
    <x v="7"/>
    <x v="6"/>
    <n v="3351926800.9899998"/>
    <n v="51372"/>
  </r>
  <r>
    <n v="0.99200092547947305"/>
    <n v="9.1876471523277896"/>
    <n v="8.0849455531479002"/>
    <n v="0"/>
    <n v="4.26716479967188"/>
    <n v="4.3880005620688198"/>
    <n v="12.622548005889501"/>
    <n v="23.641619164856699"/>
    <n v="62.736508257361002"/>
    <n v="55.1220380313096"/>
    <n v="75131.624526276195"/>
    <n v="751.47550925580902"/>
    <n v="8.4390859807310703E-2"/>
    <n v="6.6359568355662799E-2"/>
    <n v="0.72514241603847895"/>
    <n v="3.7808380249189998E-2"/>
    <n v="0.63528745026518796"/>
    <n v="0"/>
    <x v="7"/>
    <x v="7"/>
    <n v="5003766193.4499998"/>
    <n v="66600"/>
  </r>
  <r>
    <n v="0.99206418630750903"/>
    <n v="9.1181285072646698"/>
    <n v="7.6121496634530699"/>
    <n v="0"/>
    <n v="4.27431979714967"/>
    <n v="4.3830732595047097"/>
    <n v="12.6361003923361"/>
    <n v="23.661469850188499"/>
    <n v="65.477954661412696"/>
    <n v="57.736236659323602"/>
    <n v="85154.753943322998"/>
    <n v="750.92401826175103"/>
    <n v="8.9319323546975304E-2"/>
    <n v="6.9920481503441601E-2"/>
    <n v="0.71187781070855605"/>
    <n v="3.6980112835924603E-2"/>
    <n v="0.62990336566308602"/>
    <n v="0"/>
    <x v="7"/>
    <x v="8"/>
    <n v="6758051582.4499998"/>
    <n v="79362"/>
  </r>
  <r>
    <n v="0.99221490093962095"/>
    <n v="8.9523084481765292"/>
    <n v="8.3262498729317507"/>
    <n v="0"/>
    <n v="4.27937084118133"/>
    <n v="4.3873518678588104"/>
    <n v="12.640175306457699"/>
    <n v="23.429590681493401"/>
    <n v="65.419213190665303"/>
    <n v="58.058248734908702"/>
    <n v="95249.286704279599"/>
    <n v="753.05025707885704"/>
    <n v="8.34924605630991E-2"/>
    <n v="7.1702180887865299E-2"/>
    <n v="0.68186001949499497"/>
    <n v="3.4646187797188997E-2"/>
    <n v="0.60520334083488803"/>
    <n v="0"/>
    <x v="7"/>
    <x v="9"/>
    <n v="9977458031.5599995"/>
    <n v="104751"/>
  </r>
  <r>
    <n v="0.99225911461185401"/>
    <n v="8.9036108582098201"/>
    <n v="7.8937845466945804"/>
    <n v="0"/>
    <n v="4.2920447088928002"/>
    <n v="4.3828130438072499"/>
    <n v="12.644787016986299"/>
    <n v="23.122316220165001"/>
    <n v="67.793164016536295"/>
    <n v="60.538738510221499"/>
    <n v="105054.368182315"/>
    <n v="751.78255327018996"/>
    <n v="9.0439465232449001E-2"/>
    <n v="7.0814766488853501E-2"/>
    <n v="0.66258832334356099"/>
    <n v="3.2878498480689099E-2"/>
    <n v="0.62234630288330295"/>
    <n v="0"/>
    <x v="7"/>
    <x v="10"/>
    <n v="10557543784.85"/>
    <n v="100496"/>
  </r>
  <r>
    <n v="0.99228537139786999"/>
    <n v="8.8746799488576507"/>
    <n v="8.2545155024687595"/>
    <n v="0"/>
    <n v="4.2810958974279698"/>
    <n v="4.3767623629785604"/>
    <n v="12.6449517583748"/>
    <n v="23.285975755485801"/>
    <n v="67.950186972234107"/>
    <n v="60.592908943056401"/>
    <n v="115105.345653993"/>
    <n v="752.75577650981802"/>
    <n v="9.1195591063276196E-2"/>
    <n v="7.4288703473976397E-2"/>
    <n v="0.65048887888710505"/>
    <n v="3.05854708742236E-2"/>
    <n v="0.62403026350491098"/>
    <n v="0"/>
    <x v="7"/>
    <x v="11"/>
    <n v="11964740259.35"/>
    <n v="103946"/>
  </r>
  <r>
    <n v="0.99236062426408"/>
    <n v="8.7917162845306205"/>
    <n v="8.7145571083064297"/>
    <n v="0"/>
    <n v="4.2816536015323399"/>
    <n v="4.3764893355956103"/>
    <n v="12.6410558766707"/>
    <n v="22.8790750679917"/>
    <n v="68.581342473666794"/>
    <n v="61.298938885710299"/>
    <n v="124976.530700081"/>
    <n v="752.59432292085899"/>
    <n v="8.7852742636652298E-2"/>
    <n v="8.0034315513845003E-2"/>
    <n v="0.64324711860168204"/>
    <n v="3.2702583894019803E-2"/>
    <n v="0.62330272046145296"/>
    <n v="0"/>
    <x v="7"/>
    <x v="12"/>
    <n v="13549455552.379999"/>
    <n v="108416"/>
  </r>
  <r>
    <n v="0.992396224845143"/>
    <n v="8.7524437631186291"/>
    <n v="8.4976189870883001"/>
    <n v="0"/>
    <n v="4.2760119201442697"/>
    <n v="4.3720556146112397"/>
    <n v="12.6349485511021"/>
    <n v="22.893777773792198"/>
    <n v="68.893410704113506"/>
    <n v="61.577977999279597"/>
    <n v="134985.51280203499"/>
    <n v="753.36818857973799"/>
    <n v="9.30765844680988E-2"/>
    <n v="8.6916866549792707E-2"/>
    <n v="0.63084615242238196"/>
    <n v="3.1918443749006702E-2"/>
    <n v="0.63394407490526705"/>
    <n v="0"/>
    <x v="7"/>
    <x v="13"/>
    <n v="14137167741.27"/>
    <n v="104731"/>
  </r>
  <r>
    <n v="0.99243047563647502"/>
    <n v="8.7146456226011306"/>
    <n v="8.3385257287537602"/>
    <n v="0"/>
    <n v="4.2759508100780002"/>
    <n v="4.3774637873648796"/>
    <n v="12.628254497833099"/>
    <n v="22.781199659911501"/>
    <n v="67.971353065101994"/>
    <n v="60.842934281205203"/>
    <n v="144957.83911741999"/>
    <n v="753.703761291771"/>
    <n v="8.8819959140625807E-2"/>
    <n v="8.8573854290397505E-2"/>
    <n v="0.61558609780804097"/>
    <n v="3.3589992260251701E-2"/>
    <n v="0.639807140426079"/>
    <n v="0"/>
    <x v="7"/>
    <x v="14"/>
    <n v="15787068342.6"/>
    <n v="108908"/>
  </r>
  <r>
    <n v="0.99238747188586895"/>
    <n v="8.7621009631008899"/>
    <n v="8.5478021859962094"/>
    <n v="0"/>
    <n v="4.27473544490908"/>
    <n v="4.3729623629872796"/>
    <n v="12.632173413820199"/>
    <n v="22.835954128913698"/>
    <n v="69.075120891572794"/>
    <n v="61.8136418288736"/>
    <n v="154956.18177260799"/>
    <n v="753.15250792719598"/>
    <n v="9.2296949067138395E-2"/>
    <n v="9.1264789428056797E-2"/>
    <n v="0.613527353030487"/>
    <n v="3.1992282746390002E-2"/>
    <n v="0.66084820675440703"/>
    <n v="0"/>
    <x v="7"/>
    <x v="15"/>
    <n v="15535751828.34"/>
    <n v="100259"/>
  </r>
  <r>
    <n v="0.992383768077301"/>
    <n v="8.7661871183789195"/>
    <n v="9.3687600068418107"/>
    <n v="0"/>
    <n v="4.2734684006918702"/>
    <n v="4.3700625946071003"/>
    <n v="12.6308882433714"/>
    <n v="22.8339458804545"/>
    <n v="69.601756562733698"/>
    <n v="62.297880326793702"/>
    <n v="164999.75375984999"/>
    <n v="753.63185081028405"/>
    <n v="9.1900589498807694E-2"/>
    <n v="9.41963995178038E-2"/>
    <n v="0.60512549927370196"/>
    <n v="3.1662614364139301E-2"/>
    <n v="0.65120993066788502"/>
    <n v="0"/>
    <x v="7"/>
    <x v="16"/>
    <n v="16519940346.190001"/>
    <n v="100121"/>
  </r>
  <r>
    <n v="0.99131792690203802"/>
    <n v="9.9351106313177695"/>
    <n v="11.001054083967601"/>
    <n v="0"/>
    <n v="4.2426168299747697"/>
    <n v="4.3434958259259204"/>
    <n v="12.612868482349899"/>
    <n v="22.069940714706199"/>
    <n v="70.068594784595604"/>
    <n v="62.748102187847103"/>
    <n v="290801.57078115799"/>
    <n v="754.57608154399099"/>
    <n v="0.139087111462628"/>
    <n v="0.108878363376285"/>
    <n v="0.53367958300388696"/>
    <n v="5.6639244889133002E-2"/>
    <n v="0.64532008987231004"/>
    <n v="0"/>
    <x v="7"/>
    <x v="17"/>
    <n v="435030425841.48999"/>
    <n v="1495970"/>
  </r>
  <r>
    <n v="0.99237506126872599"/>
    <n v="8.7757920761306902"/>
    <n v="8.1162419778958199"/>
    <n v="0"/>
    <n v="4.2713358398819201"/>
    <n v="4.3675602734021197"/>
    <n v="12.6306514505008"/>
    <n v="22.7390395398245"/>
    <n v="69.918590040354104"/>
    <n v="62.582165812996799"/>
    <n v="172450.93558365101"/>
    <n v="753.83419306559097"/>
    <n v="8.9619811583460898E-2"/>
    <n v="9.68619466493785E-2"/>
    <n v="0.60687128571253701"/>
    <n v="3.2793257504097902E-2"/>
    <n v="0.63860228697996402"/>
    <n v="0"/>
    <x v="7"/>
    <x v="18"/>
    <n v="8729638810.1800003"/>
    <n v="50621"/>
  </r>
  <r>
    <n v="0.99263263794895296"/>
    <n v="8.4912528664942197"/>
    <n v="88.089896717483001"/>
    <n v="0"/>
    <n v="4.1252390677641202"/>
    <n v="4.3227832210301802"/>
    <n v="18.313633588559501"/>
    <n v="24.8943730860512"/>
    <n v="62.325024481842902"/>
    <n v="4.2917660296446201"/>
    <n v="5570.3789033457197"/>
    <n v="771.737844323491"/>
    <n v="1.19887962210895E-2"/>
    <n v="6.7935521995768994E-2"/>
    <n v="0.61749363088349796"/>
    <n v="3.2329279823639603E-2"/>
    <n v="0.263936004299961"/>
    <n v="0"/>
    <x v="8"/>
    <x v="0"/>
    <n v="2996863.85"/>
    <n v="538"/>
  </r>
  <r>
    <n v="0.99270282179348102"/>
    <n v="8.4135814272510601"/>
    <n v="62.845179006989802"/>
    <n v="0"/>
    <n v="4.1714682687030198"/>
    <n v="4.3325752989466402"/>
    <n v="18.142261808457398"/>
    <n v="24.382319418606201"/>
    <n v="59.341789594631599"/>
    <n v="16.006924205889"/>
    <n v="15703.869070598699"/>
    <n v="765.71431888648999"/>
    <n v="4.0104460769576002E-2"/>
    <n v="5.5794861580502099E-2"/>
    <n v="0.745613674234475"/>
    <n v="3.24013523601583E-2"/>
    <n v="0.260904454999693"/>
    <n v="0"/>
    <x v="8"/>
    <x v="1"/>
    <n v="17572629.489999998"/>
    <n v="1119"/>
  </r>
  <r>
    <n v="0.99230995215548501"/>
    <n v="8.8475881302222206"/>
    <n v="32.060195235824601"/>
    <n v="0"/>
    <n v="4.2497261522452803"/>
    <n v="4.3533498624829097"/>
    <n v="17.9338506234619"/>
    <n v="23.962408800129001"/>
    <n v="56.0486387757703"/>
    <n v="34.618943706972502"/>
    <n v="26093.790826237699"/>
    <n v="753.11845641915897"/>
    <n v="4.5082139085054401E-2"/>
    <n v="4.0527915651834702E-2"/>
    <n v="0.79374800067387696"/>
    <n v="3.1360683439731502E-2"/>
    <n v="0.33634715213203698"/>
    <n v="0"/>
    <x v="8"/>
    <x v="2"/>
    <n v="82743410.709999993"/>
    <n v="3171"/>
  </r>
  <r>
    <n v="0.99217907806416406"/>
    <n v="8.9917467899763608"/>
    <n v="15.9450503511303"/>
    <n v="0"/>
    <n v="4.2689465035864496"/>
    <n v="4.3542982385620999"/>
    <n v="17.900325592153902"/>
    <n v="23.721394553054701"/>
    <n v="57.9499101510836"/>
    <n v="44.666611943551899"/>
    <n v="35942.750968363704"/>
    <n v="751.12953793829195"/>
    <n v="4.94932946715868E-2"/>
    <n v="3.7373900402255501E-2"/>
    <n v="0.78153217348382298"/>
    <n v="3.2429766681100203E-2"/>
    <n v="0.426495171552841"/>
    <n v="0"/>
    <x v="8"/>
    <x v="3"/>
    <n v="316979120.79000002"/>
    <n v="8819"/>
  </r>
  <r>
    <n v="0.99202165260418496"/>
    <n v="9.1648750531717909"/>
    <n v="10.633354027478999"/>
    <n v="0"/>
    <n v="4.2825144900884604"/>
    <n v="4.3621998200302396"/>
    <n v="17.8424394914164"/>
    <n v="23.421873440401001"/>
    <n v="58.297373711889001"/>
    <n v="48.539649633275303"/>
    <n v="45875.978362971699"/>
    <n v="749.302267646004"/>
    <n v="6.1408826623647099E-2"/>
    <n v="4.82587088947826E-2"/>
    <n v="0.75727053077792905"/>
    <n v="3.0680197415641999E-2"/>
    <n v="0.50305646277674898"/>
    <n v="0"/>
    <x v="8"/>
    <x v="4"/>
    <n v="928713305.98000002"/>
    <n v="20244"/>
  </r>
  <r>
    <n v="0.99200118325793896"/>
    <n v="9.1873639731267502"/>
    <n v="9.7025753175343006"/>
    <n v="0"/>
    <n v="4.2990556342641604"/>
    <n v="4.36472846019202"/>
    <n v="17.786176305230398"/>
    <n v="23.256296706196"/>
    <n v="61.443481290404499"/>
    <n v="52.996947952792901"/>
    <n v="55447.417022800102"/>
    <n v="749.66872215790102"/>
    <n v="6.6390995881850601E-2"/>
    <n v="5.0607733517969301E-2"/>
    <n v="0.74289218244364197"/>
    <n v="3.7597308455527202E-2"/>
    <n v="0.53881842795648704"/>
    <n v="0"/>
    <x v="8"/>
    <x v="5"/>
    <n v="1935780223.0999999"/>
    <n v="34912"/>
  </r>
  <r>
    <n v="0.99199429204127698"/>
    <n v="9.1949339516845008"/>
    <n v="8.8121795024272593"/>
    <n v="0"/>
    <n v="4.3061945611691597"/>
    <n v="4.3664555910057601"/>
    <n v="17.737557932890802"/>
    <n v="23.172083325834102"/>
    <n v="63.369178064175401"/>
    <n v="55.332220175404203"/>
    <n v="65217.907364325103"/>
    <n v="750.00221439380095"/>
    <n v="7.2481980506958102E-2"/>
    <n v="5.6883702436073602E-2"/>
    <n v="0.72818214428407602"/>
    <n v="3.8429938293521503E-2"/>
    <n v="0.56640574336956595"/>
    <n v="0"/>
    <x v="8"/>
    <x v="6"/>
    <n v="3176177306.5500002"/>
    <n v="48701"/>
  </r>
  <r>
    <n v="0.99205854710038999"/>
    <n v="9.1243275296424091"/>
    <n v="8.7769409674244301"/>
    <n v="0"/>
    <n v="4.3050634639059098"/>
    <n v="4.36693774639458"/>
    <n v="17.728647544928599"/>
    <n v="23.022341647592899"/>
    <n v="63.291873569309899"/>
    <n v="55.838859590091097"/>
    <n v="75160.686426345899"/>
    <n v="750.45011765869003"/>
    <n v="7.6412083589457405E-2"/>
    <n v="6.8552821049632506E-2"/>
    <n v="0.71202506173369295"/>
    <n v="3.6218138100683299E-2"/>
    <n v="0.59880350846681196"/>
    <n v="0"/>
    <x v="8"/>
    <x v="7"/>
    <n v="4824714783.0799999"/>
    <n v="64192"/>
  </r>
  <r>
    <n v="0.99207109230243995"/>
    <n v="9.1105364125222295"/>
    <n v="8.0653791481177208"/>
    <n v="0"/>
    <n v="4.3088716829707199"/>
    <n v="4.3624426936209302"/>
    <n v="17.679254500260601"/>
    <n v="23.130318581833901"/>
    <n v="66.027755772702307"/>
    <n v="58.410837326285503"/>
    <n v="85173.766236300697"/>
    <n v="751.08280575128299"/>
    <n v="8.0813483872099995E-2"/>
    <n v="7.5337961227619502E-2"/>
    <n v="0.69595458445716396"/>
    <n v="3.6401284511770597E-2"/>
    <n v="0.60425192662180605"/>
    <n v="0"/>
    <x v="8"/>
    <x v="8"/>
    <n v="6629329747.4700003"/>
    <n v="77833"/>
  </r>
  <r>
    <n v="0.99220325340434001"/>
    <n v="8.9651332432761901"/>
    <n v="8.58264796266125"/>
    <n v="0"/>
    <n v="4.3102464997242498"/>
    <n v="4.3644614372986998"/>
    <n v="17.672986575920401"/>
    <n v="22.890092931528901"/>
    <n v="65.679680606927903"/>
    <n v="58.431561512775701"/>
    <n v="95292.987595428305"/>
    <n v="753.01231983922503"/>
    <n v="7.6455297342835002E-2"/>
    <n v="7.5301168697936197E-2"/>
    <n v="0.66533867272327396"/>
    <n v="3.2901058313339698E-2"/>
    <n v="0.58016785753258904"/>
    <n v="0"/>
    <x v="8"/>
    <x v="9"/>
    <n v="9863491267.0400009"/>
    <n v="103507"/>
  </r>
  <r>
    <n v="0.99219434708118603"/>
    <n v="8.9749386444800106"/>
    <n v="8.2784416958534095"/>
    <n v="0"/>
    <n v="4.3192571939717199"/>
    <n v="4.3590642816771803"/>
    <n v="17.619157392802698"/>
    <n v="22.7146647551588"/>
    <n v="68.101348543881102"/>
    <n v="60.866322732805202"/>
    <n v="105045.463590774"/>
    <n v="751.88861814376503"/>
    <n v="8.5806492861017603E-2"/>
    <n v="7.5546366169353202E-2"/>
    <n v="0.65229338940884496"/>
    <n v="3.2403642246771898E-2"/>
    <n v="0.60351552658879204"/>
    <n v="0"/>
    <x v="8"/>
    <x v="10"/>
    <n v="10394038531.379999"/>
    <n v="98948"/>
  </r>
  <r>
    <n v="0.99222118524222203"/>
    <n v="8.9453882798602198"/>
    <n v="8.0300156617784992"/>
    <n v="0"/>
    <n v="4.3102356084288997"/>
    <n v="4.3552535116650501"/>
    <n v="17.605322322689599"/>
    <n v="22.9089121968934"/>
    <n v="68.353621863752394"/>
    <n v="60.990276275565698"/>
    <n v="115102.454579257"/>
    <n v="753.20157785189804"/>
    <n v="8.4558891409946602E-2"/>
    <n v="7.48296353420351E-2"/>
    <n v="0.63562058232577201"/>
    <n v="2.9342966407736398E-2"/>
    <n v="0.60125778308153599"/>
    <n v="0"/>
    <x v="8"/>
    <x v="11"/>
    <n v="11920815913.41"/>
    <n v="103567"/>
  </r>
  <r>
    <n v="0.99228595555406096"/>
    <n v="8.8740362034947697"/>
    <n v="8.7063284803422594"/>
    <n v="0"/>
    <n v="4.3126504648686197"/>
    <n v="4.35482593513259"/>
    <n v="17.601395362713301"/>
    <n v="22.445037158024402"/>
    <n v="68.7708050439918"/>
    <n v="61.615599982265003"/>
    <n v="124954.963861015"/>
    <n v="753.17148747636702"/>
    <n v="8.3119199875718794E-2"/>
    <n v="8.4383806599185193E-2"/>
    <n v="0.63121764406633196"/>
    <n v="3.1521034032091097E-2"/>
    <n v="0.60508732137100296"/>
    <n v="0"/>
    <x v="8"/>
    <x v="12"/>
    <n v="13600972951.379999"/>
    <n v="108847"/>
  </r>
  <r>
    <n v="0.99227182194964303"/>
    <n v="8.8896103926827905"/>
    <n v="9.0164304813543303"/>
    <n v="0"/>
    <n v="4.3063238461252098"/>
    <n v="4.3504195351646997"/>
    <n v="17.582425352048698"/>
    <n v="22.551769243622701"/>
    <n v="69.192733274635202"/>
    <n v="61.8658762674565"/>
    <n v="134972.149620012"/>
    <n v="753.40333997423897"/>
    <n v="8.7218735396051197E-2"/>
    <n v="8.8957866370448405E-2"/>
    <n v="0.61759626387016398"/>
    <n v="2.9986650911193301E-2"/>
    <n v="0.613874320374174"/>
    <n v="0"/>
    <x v="8"/>
    <x v="13"/>
    <n v="14144136475.129999"/>
    <n v="104793"/>
  </r>
  <r>
    <n v="0.99230804216948698"/>
    <n v="8.8496934964372507"/>
    <n v="9.6414833181847808"/>
    <n v="0"/>
    <n v="4.3009530304919901"/>
    <n v="4.3515807987817103"/>
    <n v="17.606134290677499"/>
    <n v="22.4307309542552"/>
    <n v="67.9845760432882"/>
    <n v="60.917936007526102"/>
    <n v="144961.378994845"/>
    <n v="754.22222492011804"/>
    <n v="8.41966705816731E-2"/>
    <n v="8.9239960664126705E-2"/>
    <n v="0.60710995470904106"/>
    <n v="3.1945465144560301E-2"/>
    <n v="0.62008456725358596"/>
    <n v="0"/>
    <x v="8"/>
    <x v="14"/>
    <n v="15888491944.73"/>
    <n v="109605"/>
  </r>
  <r>
    <n v="0.99226421223456696"/>
    <n v="8.8979947266537796"/>
    <n v="9.4026965318404105"/>
    <n v="0"/>
    <n v="4.2994659548249299"/>
    <n v="4.3476338022075298"/>
    <n v="17.577008871907999"/>
    <n v="22.473105428288601"/>
    <n v="69.253901546947503"/>
    <n v="62.0271904851691"/>
    <n v="154934.256405038"/>
    <n v="753.768291094544"/>
    <n v="8.7259884425152603E-2"/>
    <n v="9.2381682658758596E-2"/>
    <n v="0.60295233665965897"/>
    <n v="3.0246700528745101E-2"/>
    <n v="0.64116123406196301"/>
    <n v="0"/>
    <x v="8"/>
    <x v="15"/>
    <n v="15485833861.940001"/>
    <n v="99951"/>
  </r>
  <r>
    <n v="0.992218958467048"/>
    <n v="8.9478404223762507"/>
    <n v="8.7267010194788295"/>
    <n v="0"/>
    <n v="4.29747067787694"/>
    <n v="4.3449523112908297"/>
    <n v="17.566682745571701"/>
    <n v="22.554412593569701"/>
    <n v="69.828664226948604"/>
    <n v="62.480693081190303"/>
    <n v="165001.7082969"/>
    <n v="754.299715294262"/>
    <n v="8.8625081044562196E-2"/>
    <n v="9.3865799511827094E-2"/>
    <n v="0.59596812327199999"/>
    <n v="3.1030210461427399E-2"/>
    <n v="0.62986325961373102"/>
    <n v="0"/>
    <x v="8"/>
    <x v="16"/>
    <n v="16651312394.49"/>
    <n v="100916"/>
  </r>
  <r>
    <n v="0.99091685667807805"/>
    <n v="10.3714034454946"/>
    <n v="11.9944544351904"/>
    <n v="0"/>
    <n v="4.2636234753849198"/>
    <n v="4.3188062934006801"/>
    <n v="17.518793756639301"/>
    <n v="21.775579681300499"/>
    <n v="69.919898736397897"/>
    <n v="62.721903319144701"/>
    <n v="290081.69226669299"/>
    <n v="755.06299323093299"/>
    <n v="0.13729600748384799"/>
    <n v="0.107510510417409"/>
    <n v="0.52926364802890702"/>
    <n v="5.4352949542885297E-2"/>
    <n v="0.63210113875427298"/>
    <n v="0"/>
    <x v="8"/>
    <x v="17"/>
    <n v="439505672770.19"/>
    <n v="1515110"/>
  </r>
  <r>
    <n v="0.992180570539277"/>
    <n v="8.9901039977061199"/>
    <n v="8.8761502118072197"/>
    <n v="0"/>
    <n v="4.2903410389485197"/>
    <n v="4.3391310295188203"/>
    <n v="17.57841324943"/>
    <n v="22.519418836107501"/>
    <n v="69.914984210668806"/>
    <n v="62.580324532724397"/>
    <n v="172431.117621285"/>
    <n v="754.46418879094699"/>
    <n v="8.8515297459419495E-2"/>
    <n v="9.6397551650784605E-2"/>
    <n v="0.597053373035762"/>
    <n v="3.2392522733183902E-2"/>
    <n v="0.62607004591850302"/>
    <n v="0"/>
    <x v="8"/>
    <x v="18"/>
    <n v="8878478246.3199997"/>
    <n v="51490"/>
  </r>
  <r>
    <n v="0.992575331104389"/>
    <n v="8.5546287322331001"/>
    <n v="90.605818895171396"/>
    <n v="0"/>
    <n v="4.1867009907551003"/>
    <n v="4.3494555069921299"/>
    <n v="22.110851838022299"/>
    <n v="25.7703430249292"/>
    <n v="60.631742307855198"/>
    <n v="4.0244094400485304"/>
    <n v="5732.2926478149102"/>
    <n v="775.77128851624195"/>
    <n v="2.02120795968238E-2"/>
    <n v="6.2436937797007097E-2"/>
    <n v="0.60844248090276298"/>
    <n v="2.2175519627709299E-2"/>
    <n v="0.297863290489782"/>
    <n v="0"/>
    <x v="9"/>
    <x v="0"/>
    <n v="4459723.68"/>
    <n v="778"/>
  </r>
  <r>
    <n v="0.99249370369238699"/>
    <n v="8.6448313409430497"/>
    <n v="65.872657717304705"/>
    <n v="0"/>
    <n v="4.2280843749426102"/>
    <n v="4.34976176713222"/>
    <n v="22.183812783441201"/>
    <n v="25.0797952625242"/>
    <n v="57.471652016666702"/>
    <n v="15.004763581678599"/>
    <n v="15733.177666428001"/>
    <n v="770.95194475159701"/>
    <n v="3.9139497085278002E-2"/>
    <n v="4.5490411474109801E-2"/>
    <n v="0.71455558136171404"/>
    <n v="2.5581352888068599E-2"/>
    <n v="0.357515706223486"/>
    <n v="0"/>
    <x v="9"/>
    <x v="1"/>
    <n v="21979249.199999999"/>
    <n v="1397"/>
  </r>
  <r>
    <n v="0.99226181712627204"/>
    <n v="8.9006334948656196"/>
    <n v="29.652827002278901"/>
    <n v="0"/>
    <n v="4.2824390905242202"/>
    <n v="4.3610787546773198"/>
    <n v="22.2657969587124"/>
    <n v="24.392944540875199"/>
    <n v="53.748794377558497"/>
    <n v="32.414370638481799"/>
    <n v="26126.879383794199"/>
    <n v="760.25935430857896"/>
    <n v="5.9045089909126498E-2"/>
    <n v="3.6047453220956399E-2"/>
    <n v="0.79753695683334902"/>
    <n v="2.0702397658513599E-2"/>
    <n v="0.42496862446167599"/>
    <n v="0"/>
    <x v="9"/>
    <x v="2"/>
    <n v="107694996.81999999"/>
    <n v="4122"/>
  </r>
  <r>
    <n v="0.99216032875633597"/>
    <n v="9.0123821505424306"/>
    <n v="16.669687726075299"/>
    <n v="0"/>
    <n v="4.2989568558273596"/>
    <n v="4.3565089004279303"/>
    <n v="22.269102207069"/>
    <n v="24.062277349145699"/>
    <n v="54.664023848331702"/>
    <n v="41.887443816348501"/>
    <n v="35910.229487933"/>
    <n v="758.18756933339398"/>
    <n v="5.7295879944617302E-2"/>
    <n v="3.2918041888444501E-2"/>
    <n v="0.79154106658179901"/>
    <n v="3.29991665218691E-2"/>
    <n v="0.49584958241006299"/>
    <n v="0"/>
    <x v="9"/>
    <x v="3"/>
    <n v="403235966.92000002"/>
    <n v="11229"/>
  </r>
  <r>
    <n v="0.99200710025847105"/>
    <n v="9.1808637061555594"/>
    <n v="11.180958085987101"/>
    <n v="0"/>
    <n v="4.30905579755993"/>
    <n v="4.36249748651848"/>
    <n v="22.2734265052434"/>
    <n v="23.636157913223801"/>
    <n v="54.449110431933001"/>
    <n v="45.138303452772099"/>
    <n v="45789.169485672501"/>
    <n v="757.19976316666498"/>
    <n v="7.1711845248506295E-2"/>
    <n v="4.0546755106900999E-2"/>
    <n v="0.77974377341767998"/>
    <n v="2.8348155142992899E-2"/>
    <n v="0.57719121382747396"/>
    <n v="0"/>
    <x v="9"/>
    <x v="4"/>
    <n v="1192075238.3900001"/>
    <n v="26034"/>
  </r>
  <r>
    <n v="0.99191278417495998"/>
    <n v="9.2844262007929093"/>
    <n v="9.2735422014736901"/>
    <n v="0"/>
    <n v="4.3172707471569796"/>
    <n v="4.3561185778886902"/>
    <n v="22.301883267434601"/>
    <n v="23.5248264864391"/>
    <n v="57.902482300027501"/>
    <n v="49.644597175344003"/>
    <n v="55409.107937201101"/>
    <n v="755.530906503599"/>
    <n v="7.7345500376785198E-2"/>
    <n v="4.3691327915099699E-2"/>
    <n v="0.766790108317289"/>
    <n v="3.3573617031874302E-2"/>
    <n v="0.60990667194241699"/>
    <n v="0"/>
    <x v="9"/>
    <x v="5"/>
    <n v="2410517831.6999998"/>
    <n v="43504"/>
  </r>
  <r>
    <n v="0.99188825620303001"/>
    <n v="9.3113410645656902"/>
    <n v="9.07379132265193"/>
    <n v="0"/>
    <n v="4.3374134928818604"/>
    <n v="4.3615372231708198"/>
    <n v="22.319703360214099"/>
    <n v="23.4983457934025"/>
    <n v="60.657521079887204"/>
    <n v="52.785318701172599"/>
    <n v="65220.0451906077"/>
    <n v="754.10859426473405"/>
    <n v="8.0907353309881302E-2"/>
    <n v="5.2071450807832501E-2"/>
    <n v="0.737483752251338"/>
    <n v="3.5804373389482197E-2"/>
    <n v="0.61387600138290899"/>
    <n v="0"/>
    <x v="9"/>
    <x v="6"/>
    <n v="3777545017.4400001"/>
    <n v="57920"/>
  </r>
  <r>
    <n v="0.99188749437067802"/>
    <n v="9.3121769159277594"/>
    <n v="8.4277556070200905"/>
    <n v="0"/>
    <n v="4.3301959166856197"/>
    <n v="4.3540054411812799"/>
    <n v="22.327613487631901"/>
    <n v="23.432139610432898"/>
    <n v="61.354057063368998"/>
    <n v="53.8987883994768"/>
    <n v="75139.713534111201"/>
    <n v="753.65876939044199"/>
    <n v="8.5510178888472899E-2"/>
    <n v="6.0013606643019198E-2"/>
    <n v="0.72472128747871101"/>
    <n v="3.4412815031618901E-2"/>
    <n v="0.63456220649879103"/>
    <n v="0"/>
    <x v="9"/>
    <x v="7"/>
    <n v="5614890233.5500002"/>
    <n v="74726"/>
  </r>
  <r>
    <n v="0.99189184770232097"/>
    <n v="9.3074005230130101"/>
    <n v="8.6201202114993194"/>
    <n v="0"/>
    <n v="4.3369541421569799"/>
    <n v="4.3479281413507298"/>
    <n v="22.36025707552"/>
    <n v="23.368609325108299"/>
    <n v="63.937959849922201"/>
    <n v="56.426777341003898"/>
    <n v="85156.783081958507"/>
    <n v="752.87741199474794"/>
    <n v="9.2950444171723295E-2"/>
    <n v="6.4257323136381203E-2"/>
    <n v="0.71193507743392803"/>
    <n v="3.4643121603693101E-2"/>
    <n v="0.64177401765758402"/>
    <n v="0"/>
    <x v="9"/>
    <x v="8"/>
    <n v="7453943536.7299995"/>
    <n v="87532"/>
  </r>
  <r>
    <n v="0.992028449585028"/>
    <n v="9.1574063306579596"/>
    <n v="8.5883834100042193"/>
    <n v="0"/>
    <n v="4.3422362501949898"/>
    <n v="4.35182370381313"/>
    <n v="22.355315540330501"/>
    <n v="23.018702643424501"/>
    <n v="63.8911350549104"/>
    <n v="56.832254753262397"/>
    <n v="95277.829627444793"/>
    <n v="754.98265257927005"/>
    <n v="8.3493406536597994E-2"/>
    <n v="6.8441630918894006E-2"/>
    <n v="0.67789194501568995"/>
    <n v="3.2569131314145197E-2"/>
    <n v="0.60910387036135905"/>
    <n v="0"/>
    <x v="9"/>
    <x v="9"/>
    <n v="10950852626.059999"/>
    <n v="114936"/>
  </r>
  <r>
    <n v="0.99198011298256705"/>
    <n v="9.2105077810059193"/>
    <n v="8.27235602172677"/>
    <n v="0"/>
    <n v="4.3451625447083799"/>
    <n v="4.3400997354319397"/>
    <n v="22.3817576750242"/>
    <n v="22.82859967565"/>
    <n v="66.589646955107"/>
    <n v="59.480294700067802"/>
    <n v="105049.409517119"/>
    <n v="753.12048029416098"/>
    <n v="9.3066878042923906E-2"/>
    <n v="6.7987381826646806E-2"/>
    <n v="0.66211276488466297"/>
    <n v="3.3295058036300701E-2"/>
    <n v="0.62887447000332297"/>
    <n v="0"/>
    <x v="9"/>
    <x v="10"/>
    <n v="11395129647.959999"/>
    <n v="108474"/>
  </r>
  <r>
    <n v="0.99199676837590001"/>
    <n v="9.1922137729313391"/>
    <n v="8.6994296319635698"/>
    <n v="0"/>
    <n v="4.3382084399141903"/>
    <n v="4.3360193573181602"/>
    <n v="22.3934148141763"/>
    <n v="22.968388747544701"/>
    <n v="66.816782754875206"/>
    <n v="59.700611535518803"/>
    <n v="115105.161942527"/>
    <n v="754.07749185861906"/>
    <n v="9.3465064274136297E-2"/>
    <n v="7.0216262589626197E-2"/>
    <n v="0.65114776846070599"/>
    <n v="3.1662709652267799E-2"/>
    <n v="0.62768970068975405"/>
    <n v="0"/>
    <x v="9"/>
    <x v="11"/>
    <n v="12909964753.15"/>
    <n v="112158"/>
  </r>
  <r>
    <n v="0.99203363654873"/>
    <n v="9.1517063636430294"/>
    <n v="8.8139815219650597"/>
    <n v="0"/>
    <n v="4.3383157956619698"/>
    <n v="4.3328054653333297"/>
    <n v="22.405179825129402"/>
    <n v="22.577561547722802"/>
    <n v="67.498194914049094"/>
    <n v="60.492917825294903"/>
    <n v="124969.218019408"/>
    <n v="753.83943940619099"/>
    <n v="9.1261351837593499E-2"/>
    <n v="7.6741486428326594E-2"/>
    <n v="0.64023216297591301"/>
    <n v="3.2328752441398899E-2"/>
    <n v="0.62534703491605004"/>
    <n v="0"/>
    <x v="9"/>
    <x v="12"/>
    <n v="14538793855.16"/>
    <n v="116339"/>
  </r>
  <r>
    <n v="0.99200578381817806"/>
    <n v="9.1823099510191408"/>
    <n v="9.0458883404012997"/>
    <n v="0"/>
    <n v="4.3339674683807896"/>
    <n v="4.3292967730004301"/>
    <n v="22.415717327970899"/>
    <n v="22.625799003956399"/>
    <n v="67.958168679561496"/>
    <n v="60.845630945348397"/>
    <n v="134982.246557965"/>
    <n v="754.08458913596098"/>
    <n v="9.4937449977716901E-2"/>
    <n v="7.9001474778251604E-2"/>
    <n v="0.63189405565650203"/>
    <n v="3.24453695580691E-2"/>
    <n v="0.63567494424744198"/>
    <n v="0"/>
    <x v="9"/>
    <x v="13"/>
    <n v="15087505626.77"/>
    <n v="111774"/>
  </r>
  <r>
    <n v="0.99201042228334202"/>
    <n v="9.1772140267970794"/>
    <n v="8.8577687912007796"/>
    <n v="0"/>
    <n v="4.3298629530242101"/>
    <n v="4.3313176652542698"/>
    <n v="22.3910735003588"/>
    <n v="22.486279049104901"/>
    <n v="66.944658536859095"/>
    <n v="60.046240160515303"/>
    <n v="144956.24509689701"/>
    <n v="754.39961137409603"/>
    <n v="9.1628724897703198E-2"/>
    <n v="8.3988458240143796E-2"/>
    <n v="0.61628667659803504"/>
    <n v="3.3667218115775499E-2"/>
    <n v="0.63659853011179701"/>
    <n v="0"/>
    <x v="9"/>
    <x v="14"/>
    <n v="16971912044.68"/>
    <n v="117083"/>
  </r>
  <r>
    <n v="0.99194096886560501"/>
    <n v="9.2534897309275408"/>
    <n v="9.5093306452333302"/>
    <n v="0"/>
    <n v="4.3321659137372901"/>
    <n v="4.3283778342162504"/>
    <n v="22.408183904739602"/>
    <n v="22.537640713333499"/>
    <n v="68.232978665881106"/>
    <n v="61.214436177104297"/>
    <n v="154952.43700957601"/>
    <n v="754.16286187694004"/>
    <n v="9.4776210491620896E-2"/>
    <n v="8.5908857043683104E-2"/>
    <n v="0.61348573722481203"/>
    <n v="3.1489436903330802E-2"/>
    <n v="0.65999771673781904"/>
    <n v="0"/>
    <x v="9"/>
    <x v="15"/>
    <n v="16391023739.309999"/>
    <n v="105781"/>
  </r>
  <r>
    <n v="0.991863321518622"/>
    <n v="9.3386947159513394"/>
    <n v="9.0891776779122608"/>
    <n v="0"/>
    <n v="4.32617088399636"/>
    <n v="4.3222816082639497"/>
    <n v="22.411044340093301"/>
    <n v="22.541523211922001"/>
    <n v="68.753481388613395"/>
    <n v="61.650514453537603"/>
    <n v="165002.60894561399"/>
    <n v="754.36141175495004"/>
    <n v="9.4290327256990894E-2"/>
    <n v="8.8422722518347305E-2"/>
    <n v="0.60582082370915902"/>
    <n v="3.3673229917684601E-2"/>
    <n v="0.64900160345566105"/>
    <n v="0"/>
    <x v="9"/>
    <x v="16"/>
    <n v="17426915546.400002"/>
    <n v="105616"/>
  </r>
  <r>
    <n v="0.99024162164945895"/>
    <n v="11.101564346007301"/>
    <n v="13.0359946586794"/>
    <n v="0"/>
    <n v="4.2894896287682496"/>
    <n v="4.2912188518444401"/>
    <n v="22.4332404204429"/>
    <n v="21.757028799696698"/>
    <n v="69.362206140157696"/>
    <n v="62.291105038060998"/>
    <n v="291406.60083312"/>
    <n v="755.45237478220099"/>
    <n v="0.142808612528075"/>
    <n v="0.101366332366844"/>
    <n v="0.53033546246915397"/>
    <n v="5.4770064455646902E-2"/>
    <n v="0.64404133615383996"/>
    <n v="0"/>
    <x v="9"/>
    <x v="17"/>
    <n v="459565402503.28003"/>
    <n v="1577059"/>
  </r>
  <r>
    <n v="0.99183426409641096"/>
    <n v="9.3705615186472908"/>
    <n v="9.7610873184281193"/>
    <n v="0"/>
    <n v="4.3179342744604003"/>
    <n v="4.3169306127594602"/>
    <n v="22.413719404857801"/>
    <n v="22.474834246433801"/>
    <n v="68.9846783294971"/>
    <n v="61.8488031543666"/>
    <n v="172445.67198532901"/>
    <n v="755.41832845053204"/>
    <n v="9.2876121644020995E-2"/>
    <n v="9.0378492332037694E-2"/>
    <n v="0.60311575278548102"/>
    <n v="3.3663359896166999E-2"/>
    <n v="0.63923422233348004"/>
    <n v="0"/>
    <x v="9"/>
    <x v="18"/>
    <n v="9239294213.6299992"/>
    <n v="53578"/>
  </r>
  <r>
    <n v="0.99231314500949097"/>
    <n v="8.8440685666842107"/>
    <n v="88.297668708859007"/>
    <n v="0"/>
    <n v="4.1954589156668201"/>
    <n v="4.3057970653234801"/>
    <n v="27.271268715191301"/>
    <n v="24.8381774726538"/>
    <n v="62.090297936265898"/>
    <n v="4.1192650481192796"/>
    <n v="5748.2235204081599"/>
    <n v="771.40682371068999"/>
    <n v="2.9546939913346702E-2"/>
    <n v="7.0416623807373596E-2"/>
    <n v="0.64830337422526296"/>
    <n v="2.25460014423918E-2"/>
    <n v="0.241833020265595"/>
    <n v="0"/>
    <x v="10"/>
    <x v="0"/>
    <n v="3379955.43"/>
    <n v="588"/>
  </r>
  <r>
    <n v="0.99231583479994701"/>
    <n v="8.8411034461140297"/>
    <n v="67.882929615301194"/>
    <n v="0"/>
    <n v="4.2519546141907796"/>
    <n v="4.3198709494220902"/>
    <n v="27.283792291006101"/>
    <n v="24.7733308336155"/>
    <n v="58.6166915172141"/>
    <n v="15.922607328742901"/>
    <n v="15830.108430656899"/>
    <n v="764.31398254298097"/>
    <n v="3.6256219786810998E-2"/>
    <n v="5.3880210867044198E-2"/>
    <n v="0.70693210872985501"/>
    <n v="1.67733449064012E-2"/>
    <n v="0.31244398508541998"/>
    <n v="0"/>
    <x v="10"/>
    <x v="1"/>
    <n v="17349798.84"/>
    <n v="1096"/>
  </r>
  <r>
    <n v="0.99215608330276905"/>
    <n v="9.0170540722632495"/>
    <n v="26.905047418761601"/>
    <n v="0"/>
    <n v="4.3410211717293201"/>
    <n v="4.35264392780382"/>
    <n v="27.3636352189489"/>
    <n v="23.499619087024399"/>
    <n v="54.7393519172917"/>
    <n v="34.925541174933898"/>
    <n v="26171.858913366999"/>
    <n v="753.01048535431403"/>
    <n v="5.1230006579011597E-2"/>
    <n v="3.4602363479407497E-2"/>
    <n v="0.79034937019418605"/>
    <n v="2.4116743067896899E-2"/>
    <n v="0.37156713445603001"/>
    <n v="0"/>
    <x v="10"/>
    <x v="2"/>
    <n v="87911274.090000004"/>
    <n v="3359"/>
  </r>
  <r>
    <n v="0.99200154735619295"/>
    <n v="9.1869639963180898"/>
    <n v="16.6105455863785"/>
    <n v="0"/>
    <n v="4.3655467186144001"/>
    <n v="4.3547932157084999"/>
    <n v="27.4102258374085"/>
    <n v="23.292607870012301"/>
    <n v="57.529819177425502"/>
    <n v="45.290041239157802"/>
    <n v="35985.365090733299"/>
    <n v="750.50092770557103"/>
    <n v="5.1024547216169197E-2"/>
    <n v="3.4917588883025603E-2"/>
    <n v="0.78166720886539198"/>
    <n v="2.4893125727270701E-2"/>
    <n v="0.453656877134829"/>
    <n v="0"/>
    <x v="10"/>
    <x v="3"/>
    <n v="335131705.08999997"/>
    <n v="9313"/>
  </r>
  <r>
    <n v="0.99181981515477602"/>
    <n v="9.3864036156332897"/>
    <n v="12.383878164032501"/>
    <n v="0"/>
    <n v="4.3736589059086004"/>
    <n v="4.35706231981675"/>
    <n v="27.400358870962702"/>
    <n v="23.025153029456"/>
    <n v="57.985189327284097"/>
    <n v="48.914084367836502"/>
    <n v="45836.446958095701"/>
    <n v="749.59025070015605"/>
    <n v="6.3650632197950904E-2"/>
    <n v="4.5815115282986402E-2"/>
    <n v="0.76699391788859705"/>
    <n v="2.8311432552791001E-2"/>
    <n v="0.52728348734769204"/>
    <n v="0"/>
    <x v="10"/>
    <x v="4"/>
    <n v="1012893804.88"/>
    <n v="22098"/>
  </r>
  <r>
    <n v="0.99176076570565797"/>
    <n v="9.4511201836724101"/>
    <n v="9.7346086655700699"/>
    <n v="0"/>
    <n v="4.3903814965998498"/>
    <n v="4.3581314132338598"/>
    <n v="27.422213720775702"/>
    <n v="22.918451872979698"/>
    <n v="61.363419865728702"/>
    <n v="53.408453266394098"/>
    <n v="55415.9056620103"/>
    <n v="749.33783300440803"/>
    <n v="7.0635344763549296E-2"/>
    <n v="4.9322363576427102E-2"/>
    <n v="0.74855946158055697"/>
    <n v="3.6511456850308002E-2"/>
    <n v="0.561715638814969"/>
    <n v="0"/>
    <x v="10"/>
    <x v="5"/>
    <n v="2106524821.9300001"/>
    <n v="38013"/>
  </r>
  <r>
    <n v="0.99168434124419602"/>
    <n v="9.53481638249845"/>
    <n v="8.7171381038679598"/>
    <n v="0"/>
    <n v="4.4042354334705598"/>
    <n v="4.3574345416827303"/>
    <n v="27.445223583220201"/>
    <n v="22.883698783500702"/>
    <n v="63.345581870615703"/>
    <n v="55.818190957134199"/>
    <n v="65247.1841819369"/>
    <n v="748.99619583542801"/>
    <n v="7.4640252094354598E-2"/>
    <n v="5.4199450708970302E-2"/>
    <n v="0.72855671025173996"/>
    <n v="3.7254788984949203E-2"/>
    <n v="0.58146582637928301"/>
    <n v="0"/>
    <x v="10"/>
    <x v="6"/>
    <n v="3396898902.8800001"/>
    <n v="52062"/>
  </r>
  <r>
    <n v="0.99174232784364102"/>
    <n v="9.47131889017224"/>
    <n v="8.8119126801140606"/>
    <n v="0"/>
    <n v="4.3977049026399904"/>
    <n v="4.3540618461557798"/>
    <n v="27.471274022794599"/>
    <n v="22.5779389818222"/>
    <n v="63.553372900374796"/>
    <n v="56.644187672793798"/>
    <n v="75168.004962351493"/>
    <n v="749.86857372635905"/>
    <n v="7.68666500820087E-2"/>
    <n v="6.6899174442112797E-2"/>
    <n v="0.70635396267946104"/>
    <n v="3.40576757575307E-2"/>
    <n v="0.60523137693012896"/>
    <n v="0"/>
    <x v="10"/>
    <x v="7"/>
    <n v="5081281967.4499998"/>
    <n v="67599"/>
  </r>
  <r>
    <n v="0.99176857679632302"/>
    <n v="9.4425618759850192"/>
    <n v="8.6871829018265903"/>
    <n v="0"/>
    <n v="4.4057427252853802"/>
    <n v="4.3501770672355304"/>
    <n v="27.491378125699999"/>
    <n v="22.595985090770601"/>
    <n v="65.953358485856597"/>
    <n v="59.015724400333397"/>
    <n v="85191.3539437047"/>
    <n v="750.38673998237903"/>
    <n v="8.3490797065004105E-2"/>
    <n v="7.1806631647816796E-2"/>
    <n v="0.69024506321980705"/>
    <n v="3.4474222137122298E-2"/>
    <n v="0.60956921331745195"/>
    <n v="0"/>
    <x v="10"/>
    <x v="8"/>
    <n v="7012611491.2299995"/>
    <n v="82316"/>
  </r>
  <r>
    <n v="0.99184636198114295"/>
    <n v="9.3572952128012297"/>
    <n v="8.8205840092229799"/>
    <n v="0"/>
    <n v="4.4041724074203499"/>
    <n v="4.3475760240392498"/>
    <n v="27.498634775935301"/>
    <n v="22.2969769205903"/>
    <n v="65.839784891100706"/>
    <n v="59.279375877200899"/>
    <n v="95297.602913426701"/>
    <n v="752.50267036069704"/>
    <n v="7.7890127398096407E-2"/>
    <n v="7.2841922799598294E-2"/>
    <n v="0.66170654043765298"/>
    <n v="3.2429031829391101E-2"/>
    <n v="0.584408743684943"/>
    <n v="0"/>
    <x v="10"/>
    <x v="9"/>
    <n v="10270222665.98"/>
    <n v="107770"/>
  </r>
  <r>
    <n v="0.99178898381151304"/>
    <n v="9.4201992053521"/>
    <n v="8.5783661288668807"/>
    <n v="0"/>
    <n v="4.4111709245852504"/>
    <n v="4.33940480792924"/>
    <n v="27.506403793553599"/>
    <n v="22.251569299406"/>
    <n v="68.284073016822404"/>
    <n v="61.713658991722298"/>
    <n v="105043.18273192699"/>
    <n v="751.17086777567101"/>
    <n v="8.7302270113993705E-2"/>
    <n v="7.2717196919347304E-2"/>
    <n v="0.64634075743127395"/>
    <n v="3.2262400371369002E-2"/>
    <n v="0.60508217560816302"/>
    <n v="0"/>
    <x v="10"/>
    <x v="10"/>
    <n v="10872179499.120001"/>
    <n v="103502"/>
  </r>
  <r>
    <n v="0.99177966786549798"/>
    <n v="9.4304085497413705"/>
    <n v="8.8368633320106191"/>
    <n v="0"/>
    <n v="4.4028702847587597"/>
    <n v="4.3379430221311299"/>
    <n v="27.511099902048802"/>
    <n v="22.320994229346201"/>
    <n v="68.444139493822902"/>
    <n v="61.766725828190602"/>
    <n v="115105.75541247601"/>
    <n v="752.47919085782405"/>
    <n v="8.6073179354963197E-2"/>
    <n v="7.4208803171573398E-2"/>
    <n v="0.63177480832039601"/>
    <n v="2.9539048317876401E-2"/>
    <n v="0.60557784914721702"/>
    <n v="0"/>
    <x v="10"/>
    <x v="11"/>
    <n v="12454442735.629999"/>
    <n v="108200"/>
  </r>
  <r>
    <n v="0.99178675158018703"/>
    <n v="9.4226456035577009"/>
    <n v="8.9749261241426002"/>
    <n v="0"/>
    <n v="4.3999965449624998"/>
    <n v="4.3340153148555398"/>
    <n v="27.514980372333099"/>
    <n v="22.037712140382599"/>
    <n v="68.7931217622519"/>
    <n v="62.264777903173403"/>
    <n v="124983.252279109"/>
    <n v="753.03525946251102"/>
    <n v="8.5776563841329298E-2"/>
    <n v="8.1995838019112394E-2"/>
    <n v="0.62162333938577796"/>
    <n v="3.01542994072404E-2"/>
    <n v="0.60856214555300303"/>
    <n v="0"/>
    <x v="10"/>
    <x v="12"/>
    <n v="14224593908.389999"/>
    <n v="113812"/>
  </r>
  <r>
    <n v="0.99172887372641805"/>
    <n v="9.4860552898914001"/>
    <n v="9.1202673692930407"/>
    <n v="0"/>
    <n v="4.3956698405711903"/>
    <n v="4.3276842866572904"/>
    <n v="27.511273896162699"/>
    <n v="21.9855705939828"/>
    <n v="69.251314231268097"/>
    <n v="62.681631452548601"/>
    <n v="134971.29862227201"/>
    <n v="752.78491431592795"/>
    <n v="8.9864921513038001E-2"/>
    <n v="8.4517052661509801E-2"/>
    <n v="0.61354674482128102"/>
    <n v="2.9659899627677799E-2"/>
    <n v="0.61954278562559495"/>
    <n v="0"/>
    <x v="10"/>
    <x v="13"/>
    <n v="14733197015.01"/>
    <n v="109158"/>
  </r>
  <r>
    <n v="0.99169396429093404"/>
    <n v="9.5242816131105599"/>
    <n v="8.9760252046940892"/>
    <n v="0"/>
    <n v="4.3915482395214704"/>
    <n v="4.3301471520979904"/>
    <n v="27.520329714404099"/>
    <n v="21.8234638360444"/>
    <n v="68.127328971696102"/>
    <n v="61.800500661939097"/>
    <n v="144971.83079935701"/>
    <n v="753.41946536540104"/>
    <n v="8.6778026379241396E-2"/>
    <n v="8.7725076373553298E-2"/>
    <n v="0.60085467979935103"/>
    <n v="3.1482058992848401E-2"/>
    <n v="0.62492194577467297"/>
    <n v="0"/>
    <x v="10"/>
    <x v="14"/>
    <n v="16512871415.370001"/>
    <n v="113904"/>
  </r>
  <r>
    <n v="0.99159581640484795"/>
    <n v="9.6316756526886103"/>
    <n v="9.9540737150468797"/>
    <n v="0"/>
    <n v="4.39482738478267"/>
    <n v="4.3280951229900397"/>
    <n v="27.523890279599499"/>
    <n v="21.8853272071654"/>
    <n v="69.291295530959999"/>
    <n v="62.858727983109603"/>
    <n v="154946.40810140799"/>
    <n v="753.20203090560005"/>
    <n v="9.16632204631007E-2"/>
    <n v="8.9759668997825601E-2"/>
    <n v="0.59524922362645505"/>
    <n v="2.9438665941191301E-2"/>
    <n v="0.64358672971685404"/>
    <n v="0"/>
    <x v="10"/>
    <x v="15"/>
    <n v="15963973480.280001"/>
    <n v="103029"/>
  </r>
  <r>
    <n v="0.99150061734741002"/>
    <n v="9.7357314136182094"/>
    <n v="9.7620886934883107"/>
    <n v="0"/>
    <n v="4.3892948256193396"/>
    <n v="4.3232580599196897"/>
    <n v="27.5221458617469"/>
    <n v="21.985051774784001"/>
    <n v="69.845891309088202"/>
    <n v="63.285893627467999"/>
    <n v="165000.489948245"/>
    <n v="753.75277294971602"/>
    <n v="9.1645762486540105E-2"/>
    <n v="9.1541251654826197E-2"/>
    <n v="0.58677895909445799"/>
    <n v="3.09460722824801E-2"/>
    <n v="0.63030617045647797"/>
    <n v="0"/>
    <x v="10"/>
    <x v="16"/>
    <n v="17024750552.860001"/>
    <n v="103180"/>
  </r>
  <r>
    <n v="0.98949057673138496"/>
    <n v="11.907293843012001"/>
    <n v="14.5758123091095"/>
    <n v="0"/>
    <n v="4.3515615197363999"/>
    <n v="4.2911029829061"/>
    <n v="27.517956315707998"/>
    <n v="21.090442776567699"/>
    <n v="69.573999629291805"/>
    <n v="63.297344715295701"/>
    <n v="290006.63054278999"/>
    <n v="754.61709249895705"/>
    <n v="0.14385368936818499"/>
    <n v="0.103464094927957"/>
    <n v="0.52004699539050503"/>
    <n v="5.4886091032897398E-2"/>
    <n v="0.63480896374060403"/>
    <n v="0"/>
    <x v="10"/>
    <x v="17"/>
    <n v="441664147951.98999"/>
    <n v="1522945"/>
  </r>
  <r>
    <n v="0.99141730427596597"/>
    <n v="9.8267052628662395"/>
    <n v="10.1739048569729"/>
    <n v="0"/>
    <n v="4.3838584106021301"/>
    <n v="4.31790482053208"/>
    <n v="27.5254615779976"/>
    <n v="21.918674456222099"/>
    <n v="69.837667919835894"/>
    <n v="63.296154411975898"/>
    <n v="172435.806005833"/>
    <n v="754.12224271335901"/>
    <n v="9.1971506682532206E-2"/>
    <n v="9.2990653552303001E-2"/>
    <n v="0.58654887569019298"/>
    <n v="3.1730053008562603E-2"/>
    <n v="0.62691059593026299"/>
    <n v="0"/>
    <x v="10"/>
    <x v="18"/>
    <n v="8986664465.7999992"/>
    <n v="52116"/>
  </r>
  <r>
    <n v="0.99278878622157896"/>
    <n v="8.3183635049721296"/>
    <n v="88.963285810644606"/>
    <n v="0"/>
    <n v="4.3286036366695004"/>
    <n v="4.3628655798963498"/>
    <n v="32.6563095040934"/>
    <n v="25.2102977078018"/>
    <n v="60.3517692530597"/>
    <n v="4.4316984234649199"/>
    <n v="5692.9176346604199"/>
    <n v="775.93039233312004"/>
    <n v="3.4707214971157099E-2"/>
    <n v="8.3165903624127097E-2"/>
    <n v="0.625701622118641"/>
    <n v="2.02714837968502E-2"/>
    <n v="0.264444465680503"/>
    <n v="0"/>
    <x v="11"/>
    <x v="0"/>
    <n v="4861751.66"/>
    <n v="854"/>
  </r>
  <r>
    <n v="0.99257353843785601"/>
    <n v="8.5566106000846105"/>
    <n v="68.612476237909505"/>
    <n v="0"/>
    <n v="4.34382243113442"/>
    <n v="4.3538570231818001"/>
    <n v="32.654933100590299"/>
    <n v="25.102734180106999"/>
    <n v="58.422108318870897"/>
    <n v="14.7227286836677"/>
    <n v="15809.3614415584"/>
    <n v="768.81243991954602"/>
    <n v="3.7470428368936701E-2"/>
    <n v="5.23441638205236E-2"/>
    <n v="0.70703140666127295"/>
    <n v="2.2675404295287201E-2"/>
    <n v="0.30560705610729799"/>
    <n v="0"/>
    <x v="11"/>
    <x v="1"/>
    <n v="24346416.620000001"/>
    <n v="1540"/>
  </r>
  <r>
    <n v="0.99232157254916098"/>
    <n v="8.8347780786911407"/>
    <n v="32.379810059029197"/>
    <n v="0"/>
    <n v="4.40854537119142"/>
    <n v="4.3723636939850703"/>
    <n v="32.654400384234002"/>
    <n v="24.0349845081289"/>
    <n v="52.639922771884599"/>
    <n v="31.059549846367901"/>
    <n v="26069.621496583601"/>
    <n v="758.08031019703697"/>
    <n v="4.8859211166166101E-2"/>
    <n v="3.8729797503688997E-2"/>
    <n v="0.78225034221918699"/>
    <n v="2.6518783671059601E-2"/>
    <n v="0.39350981198527002"/>
    <n v="0"/>
    <x v="11"/>
    <x v="2"/>
    <n v="118277872.73"/>
    <n v="4537"/>
  </r>
  <r>
    <n v="0.99220956116491099"/>
    <n v="8.9581881394026492"/>
    <n v="18.7440495082216"/>
    <n v="0"/>
    <n v="4.4129447063460603"/>
    <n v="4.3626361515182497"/>
    <n v="32.657741034525898"/>
    <n v="23.6153796694751"/>
    <n v="54.583206028765098"/>
    <n v="41.590282090381002"/>
    <n v="35873.771690460097"/>
    <n v="757.85321551465199"/>
    <n v="5.5074836332110202E-2"/>
    <n v="4.0407092337003098E-2"/>
    <n v="0.785983998225669"/>
    <n v="2.4192093391341301E-2"/>
    <n v="0.47380961381232001"/>
    <n v="0"/>
    <x v="11"/>
    <x v="3"/>
    <n v="427184873.29000002"/>
    <n v="11908"/>
  </r>
  <r>
    <n v="0.99193894378294201"/>
    <n v="9.2557128525885695"/>
    <n v="13.132441931776199"/>
    <n v="0"/>
    <n v="4.41708051193977"/>
    <n v="4.3610905649306302"/>
    <n v="32.677807637280701"/>
    <n v="23.427071675207198"/>
    <n v="54.493501964165802"/>
    <n v="45.2482139509493"/>
    <n v="45829.9261356262"/>
    <n v="755.52497652712896"/>
    <n v="6.85188225317057E-2"/>
    <n v="4.7728696088080703E-2"/>
    <n v="0.766115468957141"/>
    <n v="2.92142816574542E-2"/>
    <n v="0.55584999878406904"/>
    <n v="0"/>
    <x v="11"/>
    <x v="4"/>
    <n v="1271230491.1500001"/>
    <n v="27738"/>
  </r>
  <r>
    <n v="0.99180254112866795"/>
    <n v="9.4053398580057905"/>
    <n v="10.279317116363099"/>
    <n v="0"/>
    <n v="4.4340952593609302"/>
    <n v="4.3613353630485001"/>
    <n v="32.661520845112399"/>
    <n v="23.175419196994302"/>
    <n v="58.005427264813498"/>
    <n v="49.976537955651203"/>
    <n v="55408.869818225401"/>
    <n v="753.56724756161498"/>
    <n v="7.3483658679611305E-2"/>
    <n v="5.06646953245087E-2"/>
    <n v="0.75925951746067499"/>
    <n v="3.3926695651953998E-2"/>
    <n v="0.59512723234202702"/>
    <n v="0"/>
    <x v="11"/>
    <x v="5"/>
    <n v="2539166868.29"/>
    <n v="45826"/>
  </r>
  <r>
    <n v="0.99170476492930104"/>
    <n v="9.5124563433679903"/>
    <n v="9.1608310465454306"/>
    <n v="0"/>
    <n v="4.4363573141850701"/>
    <n v="4.3538040296874003"/>
    <n v="32.639116786586101"/>
    <n v="23.146862439433601"/>
    <n v="60.604253193711401"/>
    <n v="52.818842041150397"/>
    <n v="65255.253782365602"/>
    <n v="752.679920786362"/>
    <n v="7.7324427853185898E-2"/>
    <n v="5.5695532905129699E-2"/>
    <n v="0.73705491271921497"/>
    <n v="3.4011656625976897E-2"/>
    <n v="0.61524678862017201"/>
    <n v="0"/>
    <x v="11"/>
    <x v="6"/>
    <n v="3992055405.3899999"/>
    <n v="61176"/>
  </r>
  <r>
    <n v="0.99170077555870595"/>
    <n v="9.5168243412463696"/>
    <n v="8.5879585646839107"/>
    <n v="0"/>
    <n v="4.4324330189165098"/>
    <n v="4.3498301718239603"/>
    <n v="32.591200540321303"/>
    <n v="22.9236306439375"/>
    <n v="61.106013493909799"/>
    <n v="53.940208575930299"/>
    <n v="75142.637388439296"/>
    <n v="752.08176851990697"/>
    <n v="7.9794791935082099E-2"/>
    <n v="6.9269454696814406E-2"/>
    <n v="0.71250306069987202"/>
    <n v="3.3175862850736502E-2"/>
    <n v="0.63179441962651495"/>
    <n v="0"/>
    <x v="11"/>
    <x v="7"/>
    <n v="5849854320.6899996"/>
    <n v="77850"/>
  </r>
  <r>
    <n v="0.99164810927897995"/>
    <n v="9.5744710106540101"/>
    <n v="9.3363033330959198"/>
    <n v="0"/>
    <n v="4.4351584180197801"/>
    <n v="4.3394634599803599"/>
    <n v="32.578531528497201"/>
    <n v="22.883448675911701"/>
    <n v="63.937245182855797"/>
    <n v="56.745185978656799"/>
    <n v="85172.697579977801"/>
    <n v="751.51781657455501"/>
    <n v="8.4432812422286299E-2"/>
    <n v="7.2982989775586898E-2"/>
    <n v="0.70372717871690105"/>
    <n v="3.2148280441172503E-2"/>
    <n v="0.64003953252719004"/>
    <n v="0"/>
    <x v="11"/>
    <x v="8"/>
    <n v="7760851030.79"/>
    <n v="91119"/>
  </r>
  <r>
    <n v="0.99172581599845999"/>
    <n v="9.4894041365377593"/>
    <n v="9.0509041274088506"/>
    <n v="0"/>
    <n v="4.4323771036701203"/>
    <n v="4.3364592101874297"/>
    <n v="32.563688729726998"/>
    <n v="22.5614982848703"/>
    <n v="63.725966381998198"/>
    <n v="56.947665670263397"/>
    <n v="95296.379015009996"/>
    <n v="753.93810031374505"/>
    <n v="8.0149928655758804E-2"/>
    <n v="7.7649227931289894E-2"/>
    <n v="0.66786581416721302"/>
    <n v="3.0788812366674301E-2"/>
    <n v="0.60611479042144401"/>
    <n v="0"/>
    <x v="11"/>
    <x v="9"/>
    <n v="11383438362.48"/>
    <n v="119453"/>
  </r>
  <r>
    <n v="0.99158415998859295"/>
    <n v="9.6444224112269694"/>
    <n v="8.9626178045871701"/>
    <n v="0"/>
    <n v="4.43140725292856"/>
    <n v="4.3197574154415204"/>
    <n v="32.555768518677297"/>
    <n v="22.433570617053299"/>
    <n v="66.477201786766599"/>
    <n v="59.672083754526398"/>
    <n v="105040.482894909"/>
    <n v="751.92196950655102"/>
    <n v="9.0077562194287294E-2"/>
    <n v="7.6028012306736906E-2"/>
    <n v="0.65341742456463003"/>
    <n v="3.1220922206485601E-2"/>
    <n v="0.62980538137512498"/>
    <n v="0"/>
    <x v="11"/>
    <x v="10"/>
    <n v="11681447062.26"/>
    <n v="111209"/>
  </r>
  <r>
    <n v="0.99153917885229403"/>
    <n v="9.6935956373745302"/>
    <n v="9.9080705628824397"/>
    <n v="0"/>
    <n v="4.4277736836448396"/>
    <n v="4.3176852263127801"/>
    <n v="32.5552527992552"/>
    <n v="22.481552098100501"/>
    <n v="66.773592901914895"/>
    <n v="59.977578805287102"/>
    <n v="115107.132469289"/>
    <n v="752.73547742394805"/>
    <n v="8.9226084959095994E-2"/>
    <n v="7.7758347718492105E-2"/>
    <n v="0.64020322807559504"/>
    <n v="2.9095852340334499E-2"/>
    <n v="0.62994672723837797"/>
    <n v="0"/>
    <x v="11"/>
    <x v="11"/>
    <n v="13193579523.629999"/>
    <n v="114620"/>
  </r>
  <r>
    <n v="0.991503196691912"/>
    <n v="9.7329135518190704"/>
    <n v="9.4565853090994096"/>
    <n v="0"/>
    <n v="4.4237857336018003"/>
    <n v="4.3121143880680703"/>
    <n v="32.545048797788098"/>
    <n v="22.054884439284201"/>
    <n v="67.211307882187796"/>
    <n v="60.623886399090601"/>
    <n v="124952.679295111"/>
    <n v="753.01923450776303"/>
    <n v="8.77994956814665E-2"/>
    <n v="8.4980724205448194E-2"/>
    <n v="0.62801552846567199"/>
    <n v="3.0349934372493802E-2"/>
    <n v="0.63055232613360701"/>
    <n v="0"/>
    <x v="11"/>
    <x v="12"/>
    <n v="14883238583.52"/>
    <n v="119111"/>
  </r>
  <r>
    <n v="0.99140846851811704"/>
    <n v="9.8363485524071805"/>
    <n v="9.8562473389059804"/>
    <n v="0"/>
    <n v="4.4152208947545803"/>
    <n v="4.3038950410492403"/>
    <n v="32.5394913442275"/>
    <n v="22.1201245644273"/>
    <n v="67.825288376434301"/>
    <n v="61.110373895684098"/>
    <n v="134972.206474768"/>
    <n v="753.06206542904795"/>
    <n v="9.2121898410818304E-2"/>
    <n v="8.5861399581110998E-2"/>
    <n v="0.62262142916838004"/>
    <n v="3.0678487590147401E-2"/>
    <n v="0.64036281718367105"/>
    <n v="0"/>
    <x v="11"/>
    <x v="13"/>
    <n v="15497238803.02"/>
    <n v="114818"/>
  </r>
  <r>
    <n v="0.99136073857638296"/>
    <n v="9.8884243612288394"/>
    <n v="10.5266443556157"/>
    <n v="0"/>
    <n v="4.4069176788806601"/>
    <n v="4.30332672385489"/>
    <n v="32.527891228359898"/>
    <n v="21.920139775796301"/>
    <n v="66.690697014359699"/>
    <n v="60.165694975748501"/>
    <n v="144968.84512226301"/>
    <n v="753.88949882957797"/>
    <n v="8.7632294312539702E-2"/>
    <n v="8.8457884650953195E-2"/>
    <n v="0.60945908751976297"/>
    <n v="3.1706113645369703E-2"/>
    <n v="0.64066015334763704"/>
    <n v="0"/>
    <x v="11"/>
    <x v="14"/>
    <n v="17329140839.380001"/>
    <n v="119537"/>
  </r>
  <r>
    <n v="0.99119905160084198"/>
    <n v="10.064628300915"/>
    <n v="10.158921779760499"/>
    <n v="0"/>
    <n v="4.4141634747061902"/>
    <n v="4.3026413219464104"/>
    <n v="32.518191694116602"/>
    <n v="22.017775065773801"/>
    <n v="68.031182700967904"/>
    <n v="61.4520582943561"/>
    <n v="154955.100762747"/>
    <n v="752.79843819850703"/>
    <n v="9.4024216316116599E-2"/>
    <n v="9.1834196526856496E-2"/>
    <n v="0.60756339271542803"/>
    <n v="3.0717801697301102E-2"/>
    <n v="0.664133795621348"/>
    <n v="0"/>
    <x v="11"/>
    <x v="15"/>
    <n v="16601734540.620001"/>
    <n v="107139"/>
  </r>
  <r>
    <n v="0.99104584679613605"/>
    <n v="10.2312970299757"/>
    <n v="10.1102832416883"/>
    <n v="0"/>
    <n v="4.4090436684613099"/>
    <n v="4.2963961135424196"/>
    <n v="32.5207973573823"/>
    <n v="22.056417016733999"/>
    <n v="68.656801699300104"/>
    <n v="61.950702545574103"/>
    <n v="164978.343066006"/>
    <n v="753.08839297095199"/>
    <n v="9.2902242839171895E-2"/>
    <n v="9.3632694114745604E-2"/>
    <n v="0.59484179001604898"/>
    <n v="3.1296864095206399E-2"/>
    <n v="0.65120387965093995"/>
    <n v="0"/>
    <x v="11"/>
    <x v="16"/>
    <n v="17588506132.610001"/>
    <n v="106611"/>
  </r>
  <r>
    <n v="0.98857305977272503"/>
    <n v="12.882530368216401"/>
    <n v="15.263373163011"/>
    <n v="0"/>
    <n v="4.36875554049168"/>
    <n v="4.25851933787047"/>
    <n v="32.505705200035301"/>
    <n v="21.0790851777484"/>
    <n v="69.262608049193403"/>
    <n v="62.827473943873997"/>
    <n v="289691.228247775"/>
    <n v="754.25232840466697"/>
    <n v="0.14455975328780299"/>
    <n v="0.107479660296738"/>
    <n v="0.52337511046926299"/>
    <n v="5.46186490184941E-2"/>
    <n v="0.64539234757365505"/>
    <n v="0"/>
    <x v="11"/>
    <x v="17"/>
    <n v="446204446280.57001"/>
    <n v="1540276"/>
  </r>
  <r>
    <n v="0.990935704646557"/>
    <n v="10.3509436821296"/>
    <n v="10.140027413021601"/>
    <n v="0"/>
    <n v="4.3991609746707603"/>
    <n v="4.2872103960617203"/>
    <n v="32.5241065106501"/>
    <n v="21.9989631901732"/>
    <n v="68.833337487183499"/>
    <n v="62.121794927856698"/>
    <n v="172420.62534743"/>
    <n v="753.56213909638495"/>
    <n v="9.4869737933139298E-2"/>
    <n v="9.5767576323398496E-2"/>
    <n v="0.593984431047336"/>
    <n v="3.1599934643407199E-2"/>
    <n v="0.64676214274825705"/>
    <n v="0"/>
    <x v="11"/>
    <x v="18"/>
    <n v="9262953255.5400009"/>
    <n v="53723"/>
  </r>
  <r>
    <n v="0.99247475861837298"/>
    <n v="8.6657549849062008"/>
    <n v="89.225502731540004"/>
    <n v="0"/>
    <n v="4.3325033972323199"/>
    <n v="4.3349234625417497"/>
    <n v="37.588482066988398"/>
    <n v="23.930710980704202"/>
    <n v="60.773531963680597"/>
    <n v="4.26915372272454"/>
    <n v="5968.75212962962"/>
    <n v="773.93032150892805"/>
    <n v="2.7370476951390801E-2"/>
    <n v="0.104102236788549"/>
    <n v="0.59953393384866405"/>
    <n v="1.91899692373711E-2"/>
    <n v="0.30831796639421"/>
    <n v="0"/>
    <x v="12"/>
    <x v="0"/>
    <n v="3867751.38"/>
    <n v="648"/>
  </r>
  <r>
    <n v="0.99253895824125904"/>
    <n v="8.5948327499466597"/>
    <n v="62.7581925721448"/>
    <n v="0"/>
    <n v="4.3610277921364604"/>
    <n v="4.3231976332043098"/>
    <n v="37.593697551316303"/>
    <n v="23.6810937743221"/>
    <n v="57.577768983654202"/>
    <n v="15.7725726157067"/>
    <n v="15779.147425515601"/>
    <n v="766.78579987569594"/>
    <n v="4.3516825876815303E-2"/>
    <n v="4.5663295308139201E-2"/>
    <n v="0.70955998702251"/>
    <n v="3.24308881149298E-2"/>
    <n v="0.31607195300067398"/>
    <n v="0"/>
    <x v="12"/>
    <x v="1"/>
    <n v="20654903.98"/>
    <n v="1309"/>
  </r>
  <r>
    <n v="0.99214632970121597"/>
    <n v="9.0277866185374602"/>
    <n v="32.325604746881901"/>
    <n v="0"/>
    <n v="4.4313948475997602"/>
    <n v="4.3387459293939203"/>
    <n v="37.5540099788223"/>
    <n v="23.593906598305299"/>
    <n v="54.480128704112602"/>
    <n v="34.551365345787502"/>
    <n v="26060.425676757499"/>
    <n v="753.68911970209194"/>
    <n v="5.0286966666349499E-2"/>
    <n v="3.8323354617793202E-2"/>
    <n v="0.79345803814382398"/>
    <n v="2.7043964156809701E-2"/>
    <n v="0.37601390613815699"/>
    <n v="0"/>
    <x v="12"/>
    <x v="2"/>
    <n v="104163521.43000001"/>
    <n v="3997"/>
  </r>
  <r>
    <n v="0.992023836930083"/>
    <n v="9.1624749129947602"/>
    <n v="16.924327686687501"/>
    <n v="0"/>
    <n v="4.4357843612118897"/>
    <n v="4.32733541153251"/>
    <n v="37.557888999297901"/>
    <n v="23.0817842883894"/>
    <n v="56.058661275675"/>
    <n v="44.067885345219601"/>
    <n v="35928.9871968562"/>
    <n v="753.339612924476"/>
    <n v="5.7006314528524699E-2"/>
    <n v="3.71515983135337E-2"/>
    <n v="0.785148903533882"/>
    <n v="2.35043145178227E-2"/>
    <n v="0.46621057527882798"/>
    <n v="0"/>
    <x v="12"/>
    <x v="3"/>
    <n v="384009015.16000003"/>
    <n v="10688"/>
  </r>
  <r>
    <n v="0.991699125628272"/>
    <n v="9.5186308084741196"/>
    <n v="12.107438707804899"/>
    <n v="0"/>
    <n v="4.4451833436930901"/>
    <n v="4.33091686655691"/>
    <n v="37.550960592612697"/>
    <n v="22.9388162985212"/>
    <n v="56.574061149293001"/>
    <n v="47.922295921535103"/>
    <n v="45879.104107371197"/>
    <n v="751.54061100134697"/>
    <n v="6.8550231969940506E-2"/>
    <n v="5.1254998491538098E-2"/>
    <n v="0.75972363506902696"/>
    <n v="2.8781764977165301E-2"/>
    <n v="0.54326991066179098"/>
    <n v="0"/>
    <x v="12"/>
    <x v="4"/>
    <n v="1147711668.3499999"/>
    <n v="25016"/>
  </r>
  <r>
    <n v="0.99151784049310898"/>
    <n v="9.7169140796576308"/>
    <n v="9.0495432204951207"/>
    <n v="0"/>
    <n v="4.46121629130608"/>
    <n v="4.3270880944273804"/>
    <n v="37.5750707595382"/>
    <n v="22.7319480911551"/>
    <n v="60.116179320675101"/>
    <n v="52.538035844937397"/>
    <n v="55435.080624350099"/>
    <n v="749.21684330884204"/>
    <n v="7.3699258406062104E-2"/>
    <n v="5.3315276872641197E-2"/>
    <n v="0.741541709960436"/>
    <n v="3.3469589496314102E-2"/>
    <n v="0.58402260770464998"/>
    <n v="0"/>
    <x v="12"/>
    <x v="5"/>
    <n v="2345790871.6999998"/>
    <n v="42316"/>
  </r>
  <r>
    <n v="0.99144681069245899"/>
    <n v="9.7944952981817597"/>
    <n v="9.5602227168195792"/>
    <n v="0"/>
    <n v="4.47545580457846"/>
    <n v="4.3271470694652097"/>
    <n v="37.567220303558202"/>
    <n v="22.494087984682299"/>
    <n v="62.345693150417802"/>
    <n v="55.253219979320598"/>
    <n v="65271.991206430597"/>
    <n v="749.63853823016302"/>
    <n v="7.6998325680036797E-2"/>
    <n v="5.91391361592839E-2"/>
    <n v="0.72206460646958404"/>
    <n v="3.4470627311843499E-2"/>
    <n v="0.59860866796518797"/>
    <n v="0"/>
    <x v="12"/>
    <x v="6"/>
    <n v="3792106873.1199999"/>
    <n v="58097"/>
  </r>
  <r>
    <n v="0.99143025646268701"/>
    <n v="9.8125676204802907"/>
    <n v="8.5117825697236906"/>
    <n v="0"/>
    <n v="4.4741666801059603"/>
    <n v="4.3253255231210899"/>
    <n v="37.565081468815102"/>
    <n v="22.045826474280599"/>
    <n v="62.568627828336801"/>
    <n v="56.146306845635401"/>
    <n v="75175.350800605403"/>
    <n v="749.54896066371896"/>
    <n v="7.8570139970504105E-2"/>
    <n v="7.2008854588162599E-2"/>
    <n v="0.69718698771341203"/>
    <n v="3.3128931137419701E-2"/>
    <n v="0.6193543737867"/>
    <n v="0"/>
    <x v="12"/>
    <x v="7"/>
    <n v="5612290989.3699999"/>
    <n v="74656"/>
  </r>
  <r>
    <n v="0.99133732732655899"/>
    <n v="9.9139571531870399"/>
    <n v="9.1145506939059899"/>
    <n v="0"/>
    <n v="4.4770205857112702"/>
    <n v="4.3148739981595998"/>
    <n v="37.561407891623297"/>
    <n v="22.061158755510299"/>
    <n v="65.198649030080006"/>
    <n v="58.702511508989502"/>
    <n v="85181.260911952806"/>
    <n v="749.58166393813099"/>
    <n v="8.3431852330470596E-2"/>
    <n v="7.4992521623557407E-2"/>
    <n v="0.68874457073622797"/>
    <n v="3.2292554408435002E-2"/>
    <n v="0.626927725623044"/>
    <n v="0"/>
    <x v="12"/>
    <x v="8"/>
    <n v="7549018885.8000002"/>
    <n v="88623"/>
  </r>
  <r>
    <n v="0.99136022037174298"/>
    <n v="9.8889895976830395"/>
    <n v="8.7468994013902197"/>
    <n v="0"/>
    <n v="4.47487786173369"/>
    <n v="4.3116486560261196"/>
    <n v="37.566240631371898"/>
    <n v="21.6832853680733"/>
    <n v="65.115112812378598"/>
    <n v="59.037275358626999"/>
    <n v="95315.013628019107"/>
    <n v="752.097031716988"/>
    <n v="8.1042984091095005E-2"/>
    <n v="7.5631992663586306E-2"/>
    <n v="0.65892306570176995"/>
    <n v="3.1782687747624001E-2"/>
    <n v="0.59536245634301699"/>
    <n v="0"/>
    <x v="12"/>
    <x v="9"/>
    <n v="11100672432.16"/>
    <n v="116463"/>
  </r>
  <r>
    <n v="0.991194298929852"/>
    <n v="10.069802905866601"/>
    <n v="8.5976234371769902"/>
    <n v="0"/>
    <n v="4.4780620076793598"/>
    <n v="4.2995408066459104"/>
    <n v="37.5565127758533"/>
    <n v="21.639764396773099"/>
    <n v="67.491573375299296"/>
    <n v="61.428724294401398"/>
    <n v="105061.376537452"/>
    <n v="750.44535434362103"/>
    <n v="8.8664672132028097E-2"/>
    <n v="7.5247103439180396E-2"/>
    <n v="0.642077839778598"/>
    <n v="2.9933635790416201E-2"/>
    <n v="0.62116674478603995"/>
    <n v="0"/>
    <x v="12"/>
    <x v="10"/>
    <n v="11613484562.450001"/>
    <n v="110540"/>
  </r>
  <r>
    <n v="0.99109136238155604"/>
    <n v="10.1818110371192"/>
    <n v="9.5567914614324305"/>
    <n v="0"/>
    <n v="4.4675617471554503"/>
    <n v="4.29296993967953"/>
    <n v="37.564761270245398"/>
    <n v="21.665466223502001"/>
    <n v="67.886224368193496"/>
    <n v="61.751460135325097"/>
    <n v="115103.265033487"/>
    <n v="751.75545601237604"/>
    <n v="8.8424451942018895E-2"/>
    <n v="7.4016714734530406E-2"/>
    <n v="0.62885090812528999"/>
    <n v="2.89488355471289E-2"/>
    <n v="0.62200105264824102"/>
    <n v="0"/>
    <x v="12"/>
    <x v="11"/>
    <n v="13130059648.9"/>
    <n v="114072"/>
  </r>
  <r>
    <n v="0.99100523947583996"/>
    <n v="10.2754255042442"/>
    <n v="9.6847902823780299"/>
    <n v="0"/>
    <n v="4.4582538903727"/>
    <n v="4.2832412249193501"/>
    <n v="37.564454346602801"/>
    <n v="21.277804172994301"/>
    <n v="68.199559089238207"/>
    <n v="62.216686411464003"/>
    <n v="124950.51080659599"/>
    <n v="752.16970931480898"/>
    <n v="8.6782249101342301E-2"/>
    <n v="8.4430419509763197E-2"/>
    <n v="0.61568518650659798"/>
    <n v="2.89354561138651E-2"/>
    <n v="0.62039112844050004"/>
    <n v="0"/>
    <x v="12"/>
    <x v="12"/>
    <n v="15040292985.790001"/>
    <n v="120370"/>
  </r>
  <r>
    <n v="0.99085911179151898"/>
    <n v="10.4340597776577"/>
    <n v="10.104459347308101"/>
    <n v="0"/>
    <n v="4.4542168409478302"/>
    <n v="4.2796582654746302"/>
    <n v="37.557693324731801"/>
    <n v="21.335913590643401"/>
    <n v="68.685690825604098"/>
    <n v="62.607422156048997"/>
    <n v="134961.65605393299"/>
    <n v="752.25815015559999"/>
    <n v="9.1694535344100395E-2"/>
    <n v="8.6100284890862203E-2"/>
    <n v="0.61126088790759603"/>
    <n v="2.9259385690567099E-2"/>
    <n v="0.630485532316995"/>
    <n v="0"/>
    <x v="12"/>
    <x v="13"/>
    <n v="15469709901.870001"/>
    <n v="114623"/>
  </r>
  <r>
    <n v="0.99075007847878005"/>
    <n v="10.552257364629099"/>
    <n v="9.8674452331683202"/>
    <n v="0"/>
    <n v="4.4483793034911701"/>
    <n v="4.2796059871220402"/>
    <n v="37.5486252914692"/>
    <n v="21.099901122086901"/>
    <n v="67.673082947911297"/>
    <n v="61.822291588251801"/>
    <n v="144985.908902778"/>
    <n v="753.27594847799196"/>
    <n v="8.9183386979885898E-2"/>
    <n v="8.8476696812425898E-2"/>
    <n v="0.59541323694829396"/>
    <n v="2.9856730967583001E-2"/>
    <n v="0.63582877686398898"/>
    <n v="0"/>
    <x v="12"/>
    <x v="14"/>
    <n v="17212437133.119999"/>
    <n v="118718"/>
  </r>
  <r>
    <n v="0.99056269387356999"/>
    <n v="10.755057716445799"/>
    <n v="10.4460884843858"/>
    <n v="0"/>
    <n v="4.4575081768823797"/>
    <n v="4.2805922849243601"/>
    <n v="37.558820566237401"/>
    <n v="21.199378994717598"/>
    <n v="68.770664253860701"/>
    <n v="62.901985922450599"/>
    <n v="154962.56918317301"/>
    <n v="752.51536203423802"/>
    <n v="9.2182501314366394E-2"/>
    <n v="8.9502288127744398E-2"/>
    <n v="0.597151025999346"/>
    <n v="2.8813343043040299E-2"/>
    <n v="0.65801754413715996"/>
    <n v="0"/>
    <x v="12"/>
    <x v="15"/>
    <n v="16647318882.209999"/>
    <n v="107428"/>
  </r>
  <r>
    <n v="0.99034650946875402"/>
    <n v="10.988503490834599"/>
    <n v="10.9381690886343"/>
    <n v="0"/>
    <n v="4.4491610050555304"/>
    <n v="4.2714195528206904"/>
    <n v="37.553616915947401"/>
    <n v="21.185491905583099"/>
    <n v="69.273955940344095"/>
    <n v="63.3244638086016"/>
    <n v="164995.41844173701"/>
    <n v="752.99528131563795"/>
    <n v="9.32454679219126E-2"/>
    <n v="9.1243000938782695E-2"/>
    <n v="0.58310799388394197"/>
    <n v="3.0731334747109901E-2"/>
    <n v="0.64766438196070997"/>
    <n v="0"/>
    <x v="12"/>
    <x v="16"/>
    <n v="17665729461.720001"/>
    <n v="107068"/>
  </r>
  <r>
    <n v="0.98730791417018704"/>
    <n v="14.211036738653499"/>
    <n v="17.034612795950601"/>
    <n v="0"/>
    <n v="4.4044297043797798"/>
    <n v="4.23272231959898"/>
    <n v="37.543144119835503"/>
    <n v="20.362539192981799"/>
    <n v="69.545977897512699"/>
    <n v="63.758294327618302"/>
    <n v="289675.17839522997"/>
    <n v="754.52738356499401"/>
    <n v="0.145363779160738"/>
    <n v="0.102566266937776"/>
    <n v="0.51227306030073305"/>
    <n v="5.5241116675483898E-2"/>
    <n v="0.64050828271063698"/>
    <n v="0"/>
    <x v="12"/>
    <x v="17"/>
    <n v="448254089030.38"/>
    <n v="1547437"/>
  </r>
  <r>
    <n v="0.99019225250137499"/>
    <n v="11.1547348453057"/>
    <n v="10.1520147527436"/>
    <n v="0"/>
    <n v="4.4411026073428097"/>
    <n v="4.2632666971731403"/>
    <n v="37.5555059753246"/>
    <n v="21.201766779556099"/>
    <n v="69.522094554154805"/>
    <n v="63.561120993981802"/>
    <n v="172411.65439188399"/>
    <n v="753.54158665921602"/>
    <n v="9.2159825469014606E-2"/>
    <n v="9.3543019783380296E-2"/>
    <n v="0.57917566250613095"/>
    <n v="3.1890503610851002E-2"/>
    <n v="0.63726260262313905"/>
    <n v="0"/>
    <x v="12"/>
    <x v="18"/>
    <n v="9305056987.5300007"/>
    <n v="53970"/>
  </r>
  <r>
    <n v="0.99273890478303795"/>
    <n v="8.3736253906038005"/>
    <n v="88.179384741023597"/>
    <n v="0"/>
    <n v="4.3666244171741102"/>
    <n v="4.2914251967443597"/>
    <n v="42.743060788475397"/>
    <n v="23.3305011006894"/>
    <n v="62.3363581338347"/>
    <n v="4.26286645655399"/>
    <n v="5766.2318541996801"/>
    <n v="775.16827341643602"/>
    <n v="2.2958627671137301E-2"/>
    <n v="6.9093497875479901E-2"/>
    <n v="0.58140749122926505"/>
    <n v="2.91955324462277E-2"/>
    <n v="0.287544197908567"/>
    <n v="0"/>
    <x v="13"/>
    <x v="0"/>
    <n v="3638492.3"/>
    <n v="631"/>
  </r>
  <r>
    <n v="0.99268260138548003"/>
    <n v="8.4359652535656302"/>
    <n v="66.501996201023999"/>
    <n v="0"/>
    <n v="4.4163887220642897"/>
    <n v="4.3132263390819201"/>
    <n v="42.683323379681902"/>
    <n v="22.668006013065099"/>
    <n v="59.1258100051216"/>
    <n v="16.017561943241201"/>
    <n v="15812.169803278601"/>
    <n v="764.10979440624999"/>
    <n v="4.63943709976498E-2"/>
    <n v="5.1792711938110601E-2"/>
    <n v="0.70545127682199704"/>
    <n v="2.79891881119439E-2"/>
    <n v="0.29327609840437902"/>
    <n v="0"/>
    <x v="13"/>
    <x v="1"/>
    <n v="19290847.16"/>
    <n v="1220"/>
  </r>
  <r>
    <n v="0.99239311020582999"/>
    <n v="8.7558802734114494"/>
    <n v="34.312729472572599"/>
    <n v="0"/>
    <n v="4.4786598679934597"/>
    <n v="4.3254753769042598"/>
    <n v="42.699114659919701"/>
    <n v="22.570153016916599"/>
    <n v="54.600991818123298"/>
    <n v="34.582536875112403"/>
    <n v="26109.750206611501"/>
    <n v="753.86712082506699"/>
    <n v="4.3174728012177997E-2"/>
    <n v="3.95393237806866E-2"/>
    <n v="0.77331701188524804"/>
    <n v="2.2182044541306799E-2"/>
    <n v="0.35946204443859298"/>
    <n v="0"/>
    <x v="13"/>
    <x v="2"/>
    <n v="101096952.8"/>
    <n v="3872"/>
  </r>
  <r>
    <n v="0.99211260985600402"/>
    <n v="9.0648818999262204"/>
    <n v="18.940998910322399"/>
    <n v="0"/>
    <n v="4.4832783497572102"/>
    <n v="4.31339707508796"/>
    <n v="42.661737463294202"/>
    <n v="22.423521004271201"/>
    <n v="56.5042477022604"/>
    <n v="44.598777935678001"/>
    <n v="35975.111043835299"/>
    <n v="752.14659017593101"/>
    <n v="4.92036719143292E-2"/>
    <n v="4.0125032405314398E-2"/>
    <n v="0.76221910996206999"/>
    <n v="2.9185429866712902E-2"/>
    <n v="0.42890842906076698"/>
    <n v="0"/>
    <x v="13"/>
    <x v="3"/>
    <n v="376695387.74000001"/>
    <n v="10471"/>
  </r>
  <r>
    <n v="0.99180882208698995"/>
    <n v="9.3984549258049306"/>
    <n v="12.5866643301678"/>
    <n v="0"/>
    <n v="4.4978948714338696"/>
    <n v="4.3249686670724099"/>
    <n v="42.644150375314197"/>
    <n v="22.361173238941699"/>
    <n v="56.579018226319398"/>
    <n v="48.004595949611499"/>
    <n v="45920.367416656103"/>
    <n v="751.88026714383398"/>
    <n v="6.21273642179433E-2"/>
    <n v="5.4837897111982302E-2"/>
    <n v="0.74629337507239601"/>
    <n v="2.6076962032422699E-2"/>
    <n v="0.52034121856688398"/>
    <n v="0"/>
    <x v="13"/>
    <x v="4"/>
    <n v="1092307779.74"/>
    <n v="23787"/>
  </r>
  <r>
    <n v="0.99158629665031295"/>
    <n v="9.6420860093399501"/>
    <n v="9.6788873383033796"/>
    <n v="0"/>
    <n v="4.5073869738421299"/>
    <n v="4.31889672856994"/>
    <n v="42.614258397744997"/>
    <n v="22.175408109026399"/>
    <n v="59.8635501443393"/>
    <n v="52.5219134925688"/>
    <n v="55498.186725992702"/>
    <n v="749.85774347560198"/>
    <n v="6.8027701204777302E-2"/>
    <n v="6.0234107520886801E-2"/>
    <n v="0.72220704504404998"/>
    <n v="3.3373124082221803E-2"/>
    <n v="0.56454896440289104"/>
    <n v="0"/>
    <x v="13"/>
    <x v="5"/>
    <n v="2238907848.9000001"/>
    <n v="40342"/>
  </r>
  <r>
    <n v="0.99141891872974397"/>
    <n v="9.8249431561985592"/>
    <n v="9.4129874485190808"/>
    <n v="0"/>
    <n v="4.51553231816448"/>
    <n v="4.3161090670449704"/>
    <n v="42.576084941022103"/>
    <n v="22.151692648180799"/>
    <n v="61.960107068552503"/>
    <n v="55.076209160305098"/>
    <n v="65277.887689465198"/>
    <n v="749.98549962163304"/>
    <n v="7.1069343557828596E-2"/>
    <n v="6.3029076551211399E-2"/>
    <n v="0.70865764495926897"/>
    <n v="3.4984073679666897E-2"/>
    <n v="0.594067747809506"/>
    <n v="0"/>
    <x v="13"/>
    <x v="6"/>
    <n v="3674492298.04"/>
    <n v="56290"/>
  </r>
  <r>
    <n v="0.99135241062843105"/>
    <n v="9.8975077531065203"/>
    <n v="8.5923748336124"/>
    <n v="0"/>
    <n v="4.5153587906361796"/>
    <n v="4.3166587516057904"/>
    <n v="42.5658795396103"/>
    <n v="21.7337491668025"/>
    <n v="61.605809032836"/>
    <n v="55.412231335789798"/>
    <n v="75173.212537796295"/>
    <n v="750.57542377002198"/>
    <n v="7.5782450279047398E-2"/>
    <n v="7.1393381867747699E-2"/>
    <n v="0.69550897733851103"/>
    <n v="3.3172359935667702E-2"/>
    <n v="0.62953258493449205"/>
    <n v="0"/>
    <x v="13"/>
    <x v="7"/>
    <n v="5529140128.5799999"/>
    <n v="73552"/>
  </r>
  <r>
    <n v="0.99123797124984403"/>
    <n v="10.022243162194099"/>
    <n v="9.4196619902398506"/>
    <n v="0"/>
    <n v="4.51755795983863"/>
    <n v="4.3075113603484203"/>
    <n v="42.549122950424497"/>
    <n v="21.7760905071937"/>
    <n v="64.409881959054204"/>
    <n v="58.139311395461199"/>
    <n v="85182.380919946198"/>
    <n v="751.39635787691896"/>
    <n v="8.1797190575791698E-2"/>
    <n v="7.6540127887656795E-2"/>
    <n v="0.68122425360569705"/>
    <n v="3.05376859813885E-2"/>
    <n v="0.63583873637039101"/>
    <n v="0"/>
    <x v="13"/>
    <x v="8"/>
    <n v="7354817133.3900003"/>
    <n v="86342"/>
  </r>
  <r>
    <n v="0.99117812371597502"/>
    <n v="10.0874120824431"/>
    <n v="9.4572521423370208"/>
    <n v="0"/>
    <n v="4.51328024889012"/>
    <n v="4.3049480634341499"/>
    <n v="42.5256946179924"/>
    <n v="21.493436827492101"/>
    <n v="64.069031211513405"/>
    <n v="58.173999594233699"/>
    <n v="95335.485457033094"/>
    <n v="753.96008186969095"/>
    <n v="7.8918521727000299E-2"/>
    <n v="7.8488759496755697E-2"/>
    <n v="0.65647890237376905"/>
    <n v="2.9771731207514199E-2"/>
    <n v="0.60766895957282496"/>
    <n v="0"/>
    <x v="13"/>
    <x v="9"/>
    <n v="10904377491.09"/>
    <n v="114379"/>
  </r>
  <r>
    <n v="0.99094169679038802"/>
    <n v="10.344438219823999"/>
    <n v="9.1694009212891991"/>
    <n v="0"/>
    <n v="4.5184695584389098"/>
    <n v="4.29291779717824"/>
    <n v="42.502858490794097"/>
    <n v="21.5092761090336"/>
    <n v="66.6376759017014"/>
    <n v="60.767746032986402"/>
    <n v="105048.95376789699"/>
    <n v="751.77096016116298"/>
    <n v="8.8664050935457497E-2"/>
    <n v="7.6392146396510902E-2"/>
    <n v="0.64054084240257403"/>
    <n v="2.9631416412447601E-2"/>
    <n v="0.63197657184673905"/>
    <n v="0"/>
    <x v="13"/>
    <x v="10"/>
    <n v="11232569479.540001"/>
    <n v="106927"/>
  </r>
  <r>
    <n v="0.99078288315374397"/>
    <n v="10.516710496296101"/>
    <n v="10.0445890543057"/>
    <n v="0"/>
    <n v="4.5083992560272002"/>
    <n v="4.2878503319904997"/>
    <n v="42.497322266602502"/>
    <n v="21.602321966640499"/>
    <n v="66.875870271496098"/>
    <n v="60.916257798180098"/>
    <n v="115091.740090388"/>
    <n v="753.11913758224"/>
    <n v="8.82051244393212E-2"/>
    <n v="7.7879467716407802E-2"/>
    <n v="0.62540412020119596"/>
    <n v="2.79219859957755E-2"/>
    <n v="0.63605088231947804"/>
    <n v="0"/>
    <x v="13"/>
    <x v="11"/>
    <n v="12643863474.59"/>
    <n v="109859"/>
  </r>
  <r>
    <n v="0.99061446836298095"/>
    <n v="10.6990660275357"/>
    <n v="10.4797844990923"/>
    <n v="0"/>
    <n v="4.50009916964492"/>
    <n v="4.2781639629455599"/>
    <n v="42.489637116571203"/>
    <n v="21.254069277023"/>
    <n v="67.082000427102699"/>
    <n v="61.262766036272197"/>
    <n v="124942.493407531"/>
    <n v="753.30103386348298"/>
    <n v="8.9032526964767295E-2"/>
    <n v="8.5826207031253099E-2"/>
    <n v="0.61942530249668903"/>
    <n v="2.9620039965821701E-2"/>
    <n v="0.63999358831157904"/>
    <n v="0"/>
    <x v="13"/>
    <x v="12"/>
    <n v="14436730285.76"/>
    <n v="115547"/>
  </r>
  <r>
    <n v="0.99043412686858601"/>
    <n v="10.8939577716346"/>
    <n v="10.8626194035723"/>
    <n v="0"/>
    <n v="4.4952322564200102"/>
    <n v="4.2728619657074702"/>
    <n v="42.483534642518897"/>
    <n v="21.3061402548499"/>
    <n v="67.721083358199095"/>
    <n v="61.813666704325499"/>
    <n v="134957.76683271499"/>
    <n v="753.44719228963197"/>
    <n v="9.3366849660816306E-2"/>
    <n v="8.7348305448002997E-2"/>
    <n v="0.60926893851653796"/>
    <n v="2.7745198863739599E-2"/>
    <n v="0.64948419692258796"/>
    <n v="0"/>
    <x v="13"/>
    <x v="13"/>
    <n v="14849133169.07"/>
    <n v="110028"/>
  </r>
  <r>
    <n v="0.99024190419972902"/>
    <n v="11.101259955855999"/>
    <n v="10.6503759436076"/>
    <n v="0"/>
    <n v="4.49070527538231"/>
    <n v="4.2724545121264299"/>
    <n v="42.479391408252503"/>
    <n v="21.0857023925041"/>
    <n v="66.412789484675301"/>
    <n v="60.806427293507902"/>
    <n v="144985.627433913"/>
    <n v="753.95819704255996"/>
    <n v="9.2018588386417799E-2"/>
    <n v="8.90190405535944E-2"/>
    <n v="0.59436367421914205"/>
    <n v="3.0944312794343599E-2"/>
    <n v="0.65279411955140798"/>
    <n v="0"/>
    <x v="13"/>
    <x v="14"/>
    <n v="16448474446.75"/>
    <n v="113449"/>
  </r>
  <r>
    <n v="0.98999974287564396"/>
    <n v="11.3617890839186"/>
    <n v="11.6776166352233"/>
    <n v="0"/>
    <n v="4.4950843956737598"/>
    <n v="4.2702549604322"/>
    <n v="42.479920760710399"/>
    <n v="21.185362746711402"/>
    <n v="67.833170389417901"/>
    <n v="62.126179169769202"/>
    <n v="154946.388251464"/>
    <n v="752.78759785600096"/>
    <n v="9.5581902719427195E-2"/>
    <n v="9.1324980623432001E-2"/>
    <n v="0.59533397528603604"/>
    <n v="3.0330178818897099E-2"/>
    <n v="0.67385859618256005"/>
    <n v="0"/>
    <x v="13"/>
    <x v="15"/>
    <n v="15815997634.379999"/>
    <n v="102074"/>
  </r>
  <r>
    <n v="0.98974197691864296"/>
    <n v="11.638337309286999"/>
    <n v="11.8291918064469"/>
    <n v="0"/>
    <n v="4.4877282021365099"/>
    <n v="4.2632150059110403"/>
    <n v="42.463757453071601"/>
    <n v="21.244074002041501"/>
    <n v="68.307192546768903"/>
    <n v="62.493481484870202"/>
    <n v="164999.26548507699"/>
    <n v="753.38750525089495"/>
    <n v="9.5830088158091201E-2"/>
    <n v="9.2920121716725604E-2"/>
    <n v="0.58464439761729203"/>
    <n v="2.9708029413001099E-2"/>
    <n v="0.66492855308299803"/>
    <n v="0"/>
    <x v="13"/>
    <x v="16"/>
    <n v="16718385576.01"/>
    <n v="101324"/>
  </r>
  <r>
    <n v="0.98612241908020504"/>
    <n v="15.4390235990327"/>
    <n v="18.728924391415401"/>
    <n v="0"/>
    <n v="4.44345382436377"/>
    <n v="4.2233872449904899"/>
    <n v="42.441282759344197"/>
    <n v="20.354381808490899"/>
    <n v="68.403850067307602"/>
    <n v="62.858905219537199"/>
    <n v="289326.87164537498"/>
    <n v="754.39320715942699"/>
    <n v="0.152406298528909"/>
    <n v="0.101644469826048"/>
    <n v="0.51742016816052505"/>
    <n v="5.70409808396048E-2"/>
    <n v="0.65894567466418497"/>
    <n v="0"/>
    <x v="13"/>
    <x v="17"/>
    <n v="416699265637.91998"/>
    <n v="1440237"/>
  </r>
  <r>
    <n v="0.98953315242100004"/>
    <n v="11.861797760189001"/>
    <n v="11.767497388766801"/>
    <n v="0"/>
    <n v="4.4858120044944201"/>
    <n v="4.2587846175247002"/>
    <n v="42.469507630789202"/>
    <n v="21.193698909558599"/>
    <n v="68.411191052664094"/>
    <n v="62.676248568529402"/>
    <n v="172416.21286254001"/>
    <n v="753.65229140200699"/>
    <n v="9.3636218879137006E-2"/>
    <n v="9.3102548421413397E-2"/>
    <n v="0.58364918537849497"/>
    <n v="3.2524358420481701E-2"/>
    <n v="0.65457891582243899"/>
    <n v="0"/>
    <x v="13"/>
    <x v="18"/>
    <n v="8807709817.8700008"/>
    <n v="51084"/>
  </r>
  <r>
    <n v="0.99270504808070104"/>
    <n v="8.4111166389931498"/>
    <n v="89.645541897352103"/>
    <n v="0"/>
    <n v="4.4760100838824002"/>
    <n v="4.3474840359380904"/>
    <n v="47.158133008586098"/>
    <n v="23.891635695955699"/>
    <n v="61.559812629713399"/>
    <n v="4.6574603534016497"/>
    <n v="5840.3731818181795"/>
    <n v="775.521473576164"/>
    <n v="2.2631846568221699E-2"/>
    <n v="5.6499863790120203E-2"/>
    <n v="0.65193538226604797"/>
    <n v="1.7983359694789799E-2"/>
    <n v="0.27105492732946002"/>
    <n v="0"/>
    <x v="14"/>
    <x v="0"/>
    <n v="4240110.93"/>
    <n v="726"/>
  </r>
  <r>
    <n v="0.992766941194689"/>
    <n v="8.3425685985275404"/>
    <n v="65.945397433821299"/>
    <n v="0"/>
    <n v="4.5131110384006003"/>
    <n v="4.3609549573666504"/>
    <n v="47.224165461614298"/>
    <n v="23.294174377993102"/>
    <n v="57.068925120016502"/>
    <n v="16.1484076239548"/>
    <n v="15744.8011324786"/>
    <n v="769.53191175566997"/>
    <n v="4.0171090635665797E-2"/>
    <n v="4.6524822703890398E-2"/>
    <n v="0.70116562950185402"/>
    <n v="2.4820171285779801E-2"/>
    <n v="0.32257840489842199"/>
    <n v="0"/>
    <x v="14"/>
    <x v="1"/>
    <n v="22105700.789999999"/>
    <n v="1404"/>
  </r>
  <r>
    <n v="0.99229946321221796"/>
    <n v="8.8591494802986208"/>
    <n v="30.5790992259885"/>
    <n v="0"/>
    <n v="4.5493519023029796"/>
    <n v="4.3521246061405101"/>
    <n v="47.231148692235401"/>
    <n v="23.112408847736901"/>
    <n v="52.917305395070599"/>
    <n v="33.445217777034202"/>
    <n v="26120.014971853099"/>
    <n v="757.76237415493301"/>
    <n v="4.4092632140720601E-2"/>
    <n v="3.7132167015712002E-2"/>
    <n v="0.78911678498062698"/>
    <n v="3.07379981316248E-2"/>
    <n v="0.40580741603339798"/>
    <n v="0"/>
    <x v="14"/>
    <x v="2"/>
    <n v="115998986.48999999"/>
    <n v="4441"/>
  </r>
  <r>
    <n v="0.99203650158104795"/>
    <n v="9.1485578321162198"/>
    <n v="18.310553754832199"/>
    <n v="0"/>
    <n v="4.54127620331644"/>
    <n v="4.3323577148186603"/>
    <n v="47.283044194295201"/>
    <n v="22.847234990165401"/>
    <n v="54.508212090895803"/>
    <n v="42.823713481963601"/>
    <n v="35873.024944458302"/>
    <n v="756.84063671851095"/>
    <n v="6.00408251569663E-2"/>
    <n v="3.6638288711901799E-2"/>
    <n v="0.78524138461364701"/>
    <n v="2.7813177111114699E-2"/>
    <n v="0.48234000477401301"/>
    <n v="0"/>
    <x v="14"/>
    <x v="3"/>
    <n v="429507727.66000003"/>
    <n v="11973"/>
  </r>
  <r>
    <n v="0.99165588479622202"/>
    <n v="9.5659623200110708"/>
    <n v="11.2101840860189"/>
    <n v="0"/>
    <n v="4.5417816658951198"/>
    <n v="4.3277380905829803"/>
    <n v="47.296257115623902"/>
    <n v="22.7042008259391"/>
    <n v="54.861327779990802"/>
    <n v="46.510031174868899"/>
    <n v="45864.487320088403"/>
    <n v="754.89225447110596"/>
    <n v="7.0935157099724505E-2"/>
    <n v="4.7029745446277402E-2"/>
    <n v="0.77352143587842603"/>
    <n v="3.0597572489979401E-2"/>
    <n v="0.56846150635457304"/>
    <n v="0"/>
    <x v="14"/>
    <x v="4"/>
    <n v="1265080153.75"/>
    <n v="27583"/>
  </r>
  <r>
    <n v="0.99142517226379501"/>
    <n v="9.8181173955640393"/>
    <n v="9.6259032533053297"/>
    <n v="0"/>
    <n v="4.5476323464466502"/>
    <n v="4.3191184666253397"/>
    <n v="47.307994586171603"/>
    <n v="22.520346688374801"/>
    <n v="58.583126971209197"/>
    <n v="51.203211703781797"/>
    <n v="55453.327526254601"/>
    <n v="753.05315467045205"/>
    <n v="7.5433308170936395E-2"/>
    <n v="5.2050638797736998E-2"/>
    <n v="0.74963750048355005"/>
    <n v="3.4631858852387301E-2"/>
    <n v="0.60176253137978597"/>
    <n v="0"/>
    <x v="14"/>
    <x v="5"/>
    <n v="2576805223.4899998"/>
    <n v="46468"/>
  </r>
  <r>
    <n v="0.99120878823623904"/>
    <n v="10.0540264114158"/>
    <n v="9.0795217844119893"/>
    <n v="0"/>
    <n v="4.5564772471192097"/>
    <n v="4.3113547616814296"/>
    <n v="47.324220800134"/>
    <n v="22.430265428323398"/>
    <n v="60.957482863560998"/>
    <n v="54.008563172727897"/>
    <n v="65247.531896145701"/>
    <n v="752.13678624047895"/>
    <n v="8.0977231246728301E-2"/>
    <n v="5.4520318588521098E-2"/>
    <n v="0.73509068004518296"/>
    <n v="3.4095902022874401E-2"/>
    <n v="0.62025254403672003"/>
    <n v="0"/>
    <x v="14"/>
    <x v="6"/>
    <n v="4045999452.8800001"/>
    <n v="62010"/>
  </r>
  <r>
    <n v="0.99112115130737199"/>
    <n v="10.149410031682301"/>
    <n v="8.9351123163550401"/>
    <n v="0"/>
    <n v="4.5623493318925004"/>
    <n v="4.3138616411864001"/>
    <n v="47.3411903140127"/>
    <n v="21.950193846273901"/>
    <n v="61.192852126652802"/>
    <n v="55.028572110924401"/>
    <n v="75169.940055990606"/>
    <n v="752.52966753055296"/>
    <n v="8.25101366822482E-2"/>
    <n v="6.6276196504926804E-2"/>
    <n v="0.71170632996321503"/>
    <n v="3.3308115642100199E-2"/>
    <n v="0.64366987735470105"/>
    <n v="0"/>
    <x v="14"/>
    <x v="7"/>
    <n v="5893774320.0299997"/>
    <n v="78406"/>
  </r>
  <r>
    <n v="0.99090160068240796"/>
    <n v="10.387960931936201"/>
    <n v="9.3681576267703104"/>
    <n v="0"/>
    <n v="4.56341824285425"/>
    <n v="4.2993980130617002"/>
    <n v="47.344908008629801"/>
    <n v="21.840699056692301"/>
    <n v="64.025810250301106"/>
    <n v="57.889281195790602"/>
    <n v="85177.192239656797"/>
    <n v="751.64163922191301"/>
    <n v="8.7875997833365499E-2"/>
    <n v="7.0895330282120306E-2"/>
    <n v="0.70037275185764003"/>
    <n v="3.2230223131358197E-2"/>
    <n v="0.64690657098475601"/>
    <n v="0"/>
    <x v="14"/>
    <x v="8"/>
    <n v="7784258421.5900002"/>
    <n v="91389"/>
  </r>
  <r>
    <n v="0.99077106735724696"/>
    <n v="10.529515485262401"/>
    <n v="9.01712517438901"/>
    <n v="0"/>
    <n v="4.5553045250321302"/>
    <n v="4.2917565215625197"/>
    <n v="47.356860541575998"/>
    <n v="21.533499890920002"/>
    <n v="64.073162434086797"/>
    <n v="58.273408252061699"/>
    <n v="95301.997759404694"/>
    <n v="753.55713882149996"/>
    <n v="8.5536303553364904E-2"/>
    <n v="7.3729364562572897E-2"/>
    <n v="0.66905114624759598"/>
    <n v="3.1952634374184101E-2"/>
    <n v="0.61502325502702204"/>
    <n v="0"/>
    <x v="14"/>
    <x v="9"/>
    <n v="11232865267.91"/>
    <n v="117866"/>
  </r>
  <r>
    <n v="0.99043754067600198"/>
    <n v="10.890272155889001"/>
    <n v="9.7313149776314791"/>
    <n v="0"/>
    <n v="4.5514297195301001"/>
    <n v="4.2712596312372799"/>
    <n v="47.3686953038155"/>
    <n v="21.4903720674683"/>
    <n v="66.607492061032602"/>
    <n v="60.834441517955099"/>
    <n v="105046.239712479"/>
    <n v="751.33156013866005"/>
    <n v="9.4664724610027604E-2"/>
    <n v="7.2939927919112801E-2"/>
    <n v="0.65323455904126104"/>
    <n v="3.2167597392648899E-2"/>
    <n v="0.63808786207828705"/>
    <n v="0"/>
    <x v="14"/>
    <x v="10"/>
    <n v="11501302693.639999"/>
    <n v="109488"/>
  </r>
  <r>
    <n v="0.99023004311395602"/>
    <n v="11.114037029184701"/>
    <n v="9.6604375879019599"/>
    <n v="0"/>
    <n v="4.5416919084188203"/>
    <n v="4.2662081942971097"/>
    <n v="47.372036554218703"/>
    <n v="21.5054263507973"/>
    <n v="66.913682933345399"/>
    <n v="61.100075202067501"/>
    <n v="115083.05853386001"/>
    <n v="752.80747008130402"/>
    <n v="9.3107914859343402E-2"/>
    <n v="7.3584464578346595E-2"/>
    <n v="0.63531521338765196"/>
    <n v="3.0084310516021499E-2"/>
    <n v="0.63554295764499302"/>
    <n v="0"/>
    <x v="14"/>
    <x v="11"/>
    <n v="12905184017.870001"/>
    <n v="112138"/>
  </r>
  <r>
    <n v="0.98999055971091199"/>
    <n v="11.371654998801001"/>
    <n v="10.0836300089522"/>
    <n v="0"/>
    <n v="4.53049492821195"/>
    <n v="4.2519935509541202"/>
    <n v="47.375325467127197"/>
    <n v="21.196132519038901"/>
    <n v="67.419775448349796"/>
    <n v="61.719802578189103"/>
    <n v="124958.234479216"/>
    <n v="752.66958685091504"/>
    <n v="9.4061442528387704E-2"/>
    <n v="8.0964328267114902E-2"/>
    <n v="0.62720461644352099"/>
    <n v="3.05521850035489E-2"/>
    <n v="0.63595099461587401"/>
    <n v="0"/>
    <x v="14"/>
    <x v="12"/>
    <n v="14586124794.290001"/>
    <n v="116728"/>
  </r>
  <r>
    <n v="0.98976376583286896"/>
    <n v="11.6149913722343"/>
    <n v="10.6803976346357"/>
    <n v="0"/>
    <n v="4.5258471621367704"/>
    <n v="4.2479758057871404"/>
    <n v="47.380375524606499"/>
    <n v="21.205169428669699"/>
    <n v="67.945179114118702"/>
    <n v="62.191726491961397"/>
    <n v="134954.895567973"/>
    <n v="752.666147720911"/>
    <n v="9.7978965053662104E-2"/>
    <n v="8.3997545522520603E-2"/>
    <n v="0.62299619944760698"/>
    <n v="3.0744216349005201E-2"/>
    <n v="0.64680465260962805"/>
    <n v="0"/>
    <x v="14"/>
    <x v="13"/>
    <n v="15058402202.370001"/>
    <n v="111581"/>
  </r>
  <r>
    <n v="0.98952589298043703"/>
    <n v="11.8695566702094"/>
    <n v="11.571226557116001"/>
    <n v="0"/>
    <n v="4.5246525071463504"/>
    <n v="4.2491108082700402"/>
    <n v="47.368943350156698"/>
    <n v="20.978307440752499"/>
    <n v="66.956411241750004"/>
    <n v="61.479340460875598"/>
    <n v="144987.45218859499"/>
    <n v="753.23896736670497"/>
    <n v="9.3470296083081897E-2"/>
    <n v="8.5238476776387295E-2"/>
    <n v="0.60425158149028901"/>
    <n v="3.2702866111229099E-2"/>
    <n v="0.64606014953022595"/>
    <n v="0"/>
    <x v="14"/>
    <x v="14"/>
    <n v="16508706268.549999"/>
    <n v="113863"/>
  </r>
  <r>
    <n v="0.98922140627257404"/>
    <n v="12.194429586579"/>
    <n v="12.3038954747089"/>
    <n v="0"/>
    <n v="4.5294791126333704"/>
    <n v="4.24659700555297"/>
    <n v="47.379461971376102"/>
    <n v="21.0996357028347"/>
    <n v="68.222811500471096"/>
    <n v="62.6928894341697"/>
    <n v="154963.38246017901"/>
    <n v="752.77737137095903"/>
    <n v="9.8702618506546103E-2"/>
    <n v="8.6480156640148201E-2"/>
    <n v="0.60315362651404802"/>
    <n v="3.0728029701484499E-2"/>
    <n v="0.66502078572856305"/>
    <n v="0"/>
    <x v="14"/>
    <x v="15"/>
    <n v="15965102477.959999"/>
    <n v="103025"/>
  </r>
  <r>
    <n v="0.98890251052548395"/>
    <n v="12.533499035747001"/>
    <n v="12.240104194427801"/>
    <n v="0"/>
    <n v="4.5205666469505301"/>
    <n v="4.2375563047028599"/>
    <n v="47.372624874795399"/>
    <n v="21.087649111448101"/>
    <n v="68.753675461083205"/>
    <n v="63.153816483829601"/>
    <n v="164984.93973524601"/>
    <n v="752.74605710591095"/>
    <n v="9.8828510299010006E-2"/>
    <n v="8.9295329775720203E-2"/>
    <n v="0.59254285919659799"/>
    <n v="3.1818360479295801E-2"/>
    <n v="0.65699728318984896"/>
    <n v="0"/>
    <x v="14"/>
    <x v="16"/>
    <n v="16731947663.25"/>
    <n v="101415"/>
  </r>
  <r>
    <n v="0.98473934010868003"/>
    <n v="16.851300920891401"/>
    <n v="20.012988643148599"/>
    <n v="0"/>
    <n v="4.4754027010136603"/>
    <n v="4.1962145518867704"/>
    <n v="47.389704005004504"/>
    <n v="20.272625834605002"/>
    <n v="69.180785867819594"/>
    <n v="63.794680095486697"/>
    <n v="289052.73973550502"/>
    <n v="754.060110151858"/>
    <n v="0.151222866945633"/>
    <n v="9.6685241405200906E-2"/>
    <n v="0.52075113083937397"/>
    <n v="5.8812301388616602E-2"/>
    <n v="0.64355639334136905"/>
    <n v="0"/>
    <x v="14"/>
    <x v="17"/>
    <n v="410397368929.21002"/>
    <n v="1419801"/>
  </r>
  <r>
    <n v="0.98866694878740902"/>
    <n v="12.783191460812001"/>
    <n v="12.521166482417501"/>
    <n v="0"/>
    <n v="4.5166175505150399"/>
    <n v="4.2324231184871799"/>
    <n v="47.3638782125456"/>
    <n v="20.986164682272101"/>
    <n v="68.949661899037693"/>
    <n v="63.378520240795702"/>
    <n v="172411.42142704999"/>
    <n v="753.37443195965"/>
    <n v="9.3848785743793905E-2"/>
    <n v="8.69357571011901E-2"/>
    <n v="0.58974218358897501"/>
    <n v="3.3786759435203297E-2"/>
    <n v="0.64314399253559995"/>
    <n v="0"/>
    <x v="14"/>
    <x v="18"/>
    <n v="8744707294.7800007"/>
    <n v="50720"/>
  </r>
  <r>
    <n v="0.99271565534474804"/>
    <n v="8.3993721890062805"/>
    <n v="94.321867440464203"/>
    <n v="0"/>
    <n v="4.5178169361775202"/>
    <n v="4.3259890624635302"/>
    <n v="52.241170644567397"/>
    <n v="22.9353769912478"/>
    <n v="60.227700886530798"/>
    <n v="4.5077178449163799"/>
    <n v="5660.4805670102996"/>
    <n v="770.26836344802996"/>
    <n v="2.9283860210659499E-2"/>
    <n v="5.8932487939858898E-2"/>
    <n v="0.59648929847974796"/>
    <n v="2.4176007010248302E-2"/>
    <n v="0.34775562099448798"/>
    <n v="0"/>
    <x v="15"/>
    <x v="0"/>
    <n v="3294399.69"/>
    <n v="582"/>
  </r>
  <r>
    <n v="0.99259224870827401"/>
    <n v="8.5359236741691902"/>
    <n v="67.362171175875901"/>
    <n v="0"/>
    <n v="4.5213497572860302"/>
    <n v="4.3136266237710599"/>
    <n v="52.228985473275102"/>
    <n v="23.132380438262199"/>
    <n v="58.487783428171298"/>
    <n v="16.653017069705601"/>
    <n v="15716.4296056782"/>
    <n v="763.87982866776701"/>
    <n v="3.2994932345091099E-2"/>
    <n v="5.9590417143862102E-2"/>
    <n v="0.68868725147926502"/>
    <n v="2.45718494970819E-2"/>
    <n v="0.29182129602831902"/>
    <n v="0"/>
    <x v="15"/>
    <x v="1"/>
    <n v="19928432.739999998"/>
    <n v="1268"/>
  </r>
  <r>
    <n v="0.99231444729671303"/>
    <n v="8.8426329868513793"/>
    <n v="31.3731728666965"/>
    <n v="0"/>
    <n v="4.5746215178247303"/>
    <n v="4.3166449205563397"/>
    <n v="52.341199053065303"/>
    <n v="22.6313147878435"/>
    <n v="54.863065750289202"/>
    <n v="35.339899932490901"/>
    <n v="26098.980058673402"/>
    <n v="755.56883693522502"/>
    <n v="4.1072953482000303E-2"/>
    <n v="3.6939644137315202E-2"/>
    <n v="0.77520388299426102"/>
    <n v="2.4795395908672101E-2"/>
    <n v="0.36762967653788198"/>
    <n v="0"/>
    <x v="15"/>
    <x v="2"/>
    <n v="102308001.83"/>
    <n v="3920"/>
  </r>
  <r>
    <n v="0.99196770198484596"/>
    <n v="9.22413761853071"/>
    <n v="17.4711666345545"/>
    <n v="0"/>
    <n v="4.5922892884947499"/>
    <n v="4.31667758268628"/>
    <n v="52.357337506418901"/>
    <n v="22.411251706337801"/>
    <n v="56.470181010443497"/>
    <n v="45.232216550710802"/>
    <n v="35920.742206037299"/>
    <n v="752.64078666671696"/>
    <n v="5.0235132730979098E-2"/>
    <n v="4.0001725283779703E-2"/>
    <n v="0.76214634335562903"/>
    <n v="2.78308185589888E-2"/>
    <n v="0.44423547691502602"/>
    <n v="0"/>
    <x v="15"/>
    <x v="3"/>
    <n v="374832944.92000002"/>
    <n v="10435"/>
  </r>
  <r>
    <n v="0.99159364743677203"/>
    <n v="9.6340476310618293"/>
    <n v="11.4028335579331"/>
    <n v="0"/>
    <n v="4.5983026033903398"/>
    <n v="4.3170512852537097"/>
    <n v="52.379554382503798"/>
    <n v="22.2962525627769"/>
    <n v="56.5751552259036"/>
    <n v="48.542470867662203"/>
    <n v="45924.128856071999"/>
    <n v="751.94881823223704"/>
    <n v="5.98655271118642E-2"/>
    <n v="5.2193032924141403E-2"/>
    <n v="0.74450865832671498"/>
    <n v="3.0793771129006099E-2"/>
    <n v="0.52858598895219699"/>
    <n v="0"/>
    <x v="15"/>
    <x v="4"/>
    <n v="1127299591.03"/>
    <n v="24547"/>
  </r>
  <r>
    <n v="0.991254272892654"/>
    <n v="10.004484545486701"/>
    <n v="9.7494086399620201"/>
    <n v="0"/>
    <n v="4.60437598395258"/>
    <n v="4.3085957792511502"/>
    <n v="52.392765218769902"/>
    <n v="22.129876984907199"/>
    <n v="60.1412860710155"/>
    <n v="53.151411645272603"/>
    <n v="55471.954141569797"/>
    <n v="749.86821974820498"/>
    <n v="6.8378360145022798E-2"/>
    <n v="5.8474583186422902E-2"/>
    <n v="0.72309432462371404"/>
    <n v="3.3915297884465401E-2"/>
    <n v="0.57167588870349395"/>
    <n v="0"/>
    <x v="15"/>
    <x v="5"/>
    <n v="2339252306.1500001"/>
    <n v="42170"/>
  </r>
  <r>
    <n v="0.99097056215133394"/>
    <n v="10.313094037020299"/>
    <n v="9.7959963925272007"/>
    <n v="0"/>
    <n v="4.6106875484954202"/>
    <n v="4.3049260094864001"/>
    <n v="52.396366369783699"/>
    <n v="22.173215499715901"/>
    <n v="62.086563633624898"/>
    <n v="55.597392261301401"/>
    <n v="65260.724444883803"/>
    <n v="749.99346017272501"/>
    <n v="7.3546180499473798E-2"/>
    <n v="6.13978952905282E-2"/>
    <n v="0.71266018835442801"/>
    <n v="3.3805451890729303E-2"/>
    <n v="0.60183755433064501"/>
    <n v="0"/>
    <x v="15"/>
    <x v="6"/>
    <n v="3795498472.9899998"/>
    <n v="58159"/>
  </r>
  <r>
    <n v="0.99078782613126304"/>
    <n v="10.5113532052143"/>
    <n v="9.6261452848494908"/>
    <n v="0"/>
    <n v="4.6069350700672898"/>
    <n v="4.29957428540839"/>
    <n v="52.408925206136402"/>
    <n v="21.581803335768502"/>
    <n v="62.034533615987499"/>
    <n v="56.243545684219399"/>
    <n v="75175.307431840003"/>
    <n v="751.23199126355701"/>
    <n v="7.6398067080776594E-2"/>
    <n v="6.8561274236200107E-2"/>
    <n v="0.69846411758008398"/>
    <n v="3.1943767180292702E-2"/>
    <n v="0.63722085301271902"/>
    <n v="0"/>
    <x v="15"/>
    <x v="7"/>
    <n v="5624917203.2799997"/>
    <n v="74824"/>
  </r>
  <r>
    <n v="0.99051034901037904"/>
    <n v="10.8116335213128"/>
    <n v="9.3335633366878596"/>
    <n v="0"/>
    <n v="4.60810336905634"/>
    <n v="4.28639080082724"/>
    <n v="52.421414430513003"/>
    <n v="21.588496632129701"/>
    <n v="64.616312307840104"/>
    <n v="58.856395056077297"/>
    <n v="85189.034184819204"/>
    <n v="751.18633843985594"/>
    <n v="8.4207105662127593E-2"/>
    <n v="7.3988867210606393E-2"/>
    <n v="0.68144008718845295"/>
    <n v="3.0513874104051202E-2"/>
    <n v="0.63958978408788603"/>
    <n v="0"/>
    <x v="15"/>
    <x v="8"/>
    <n v="7457873997.71"/>
    <n v="87545"/>
  </r>
  <r>
    <n v="0.99028597955343001"/>
    <n v="11.053766072971801"/>
    <n v="9.72695542084411"/>
    <n v="0"/>
    <n v="4.5993371635608904"/>
    <n v="4.2777101115385001"/>
    <n v="52.430740954190597"/>
    <n v="21.318856929307501"/>
    <n v="64.473896989876707"/>
    <n v="59.059121647155301"/>
    <n v="95300.1875498093"/>
    <n v="753.51530218484402"/>
    <n v="8.2530786387359306E-2"/>
    <n v="7.6195704084813104E-2"/>
    <n v="0.65714202157908996"/>
    <n v="3.0351979857862602E-2"/>
    <n v="0.61120486973244004"/>
    <n v="0"/>
    <x v="15"/>
    <x v="9"/>
    <n v="11049294344.9"/>
    <n v="115942"/>
  </r>
  <r>
    <n v="0.98990946462340901"/>
    <n v="11.4587356613395"/>
    <n v="10.1468109956043"/>
    <n v="0"/>
    <n v="4.5997007335182296"/>
    <n v="4.2615444249929304"/>
    <n v="52.431703359851198"/>
    <n v="21.319319348267602"/>
    <n v="66.946636218075895"/>
    <n v="61.5194215149576"/>
    <n v="105034.550485136"/>
    <n v="751.53669455872102"/>
    <n v="9.0514219624930406E-2"/>
    <n v="7.4311072780385207E-2"/>
    <n v="0.63902287434735705"/>
    <n v="2.8831581870355599E-2"/>
    <n v="0.62913565838651697"/>
    <n v="0"/>
    <x v="15"/>
    <x v="10"/>
    <n v="11310225430.790001"/>
    <n v="107681"/>
  </r>
  <r>
    <n v="0.98961802850830005"/>
    <n v="11.771035494789199"/>
    <n v="10.8148323826832"/>
    <n v="0"/>
    <n v="4.5846986720004201"/>
    <n v="4.2533147227037897"/>
    <n v="52.441885208740402"/>
    <n v="21.367827591186298"/>
    <n v="67.315816129419005"/>
    <n v="61.770910312657499"/>
    <n v="115098.664220504"/>
    <n v="752.92729589627595"/>
    <n v="9.0598193182971701E-2"/>
    <n v="7.6597234487624594E-2"/>
    <n v="0.62269972375345695"/>
    <n v="2.8066257879120801E-2"/>
    <n v="0.631802418875547"/>
    <n v="0"/>
    <x v="15"/>
    <x v="11"/>
    <n v="12713338055.139999"/>
    <n v="110456"/>
  </r>
  <r>
    <n v="0.98932692124252197"/>
    <n v="12.081974608396999"/>
    <n v="11.0331206371902"/>
    <n v="0"/>
    <n v="4.5765984601522502"/>
    <n v="4.2428549434525804"/>
    <n v="52.449860418542201"/>
    <n v="21.105298134266398"/>
    <n v="67.540483686350498"/>
    <n v="62.128476849443899"/>
    <n v="124936.62325541599"/>
    <n v="752.91025511452699"/>
    <n v="9.0304450263917604E-2"/>
    <n v="8.2445048967098797E-2"/>
    <n v="0.62071346794110405"/>
    <n v="2.8992764691341998E-2"/>
    <n v="0.63588825772552304"/>
    <n v="0"/>
    <x v="15"/>
    <x v="12"/>
    <n v="14340350553.879999"/>
    <n v="114781"/>
  </r>
  <r>
    <n v="0.98903440935129305"/>
    <n v="12.393401961494099"/>
    <n v="11.6952732984169"/>
    <n v="0"/>
    <n v="4.5691749741668799"/>
    <n v="4.2364317270785303"/>
    <n v="52.439858063632798"/>
    <n v="21.104346257028698"/>
    <n v="68.089856631931596"/>
    <n v="62.600377637301499"/>
    <n v="134959.85718362301"/>
    <n v="753.16408851420795"/>
    <n v="9.4075499007386598E-2"/>
    <n v="8.4734072384439807E-2"/>
    <n v="0.61054979073953897"/>
    <n v="2.8961259299887101E-2"/>
    <n v="0.641317749092842"/>
    <n v="0"/>
    <x v="15"/>
    <x v="13"/>
    <n v="14731948090.450001"/>
    <n v="109158"/>
  </r>
  <r>
    <n v="0.988712947256285"/>
    <n v="12.7344850719112"/>
    <n v="12.0623338897773"/>
    <n v="0"/>
    <n v="4.5633789168916197"/>
    <n v="4.2340918080653802"/>
    <n v="52.450380001366199"/>
    <n v="20.878452383576398"/>
    <n v="66.985842803562804"/>
    <n v="61.765161015876302"/>
    <n v="144994.304164298"/>
    <n v="753.57232856245105"/>
    <n v="9.4386750270324796E-2"/>
    <n v="8.5030130477837099E-2"/>
    <n v="0.59812406872636503"/>
    <n v="3.19414219270613E-2"/>
    <n v="0.64355192884926504"/>
    <n v="0"/>
    <x v="15"/>
    <x v="14"/>
    <n v="16278655522.83"/>
    <n v="112271"/>
  </r>
  <r>
    <n v="0.98835974673341698"/>
    <n v="13.1078400129829"/>
    <n v="12.357275791826901"/>
    <n v="0"/>
    <n v="4.5691307706834303"/>
    <n v="4.2324452339989502"/>
    <n v="52.443109365121401"/>
    <n v="21.003250911100199"/>
    <n v="68.329616655901305"/>
    <n v="63.029099030941502"/>
    <n v="154960.42101940801"/>
    <n v="752.45372107964101"/>
    <n v="9.9436136677391596E-2"/>
    <n v="8.7250636500116802E-2"/>
    <n v="0.59655418860125198"/>
    <n v="3.0459857647440199E-2"/>
    <n v="0.66453679011769495"/>
    <n v="0"/>
    <x v="15"/>
    <x v="15"/>
    <n v="15632717193.280001"/>
    <n v="100882"/>
  </r>
  <r>
    <n v="0.98798578336521703"/>
    <n v="13.5015462325711"/>
    <n v="13.5394631794776"/>
    <n v="0"/>
    <n v="4.5596020962775503"/>
    <n v="4.2234745819859096"/>
    <n v="52.448351226115697"/>
    <n v="21.019846737019598"/>
    <n v="68.828351698492995"/>
    <n v="63.450714641052102"/>
    <n v="164985.88016579399"/>
    <n v="753.01219892621305"/>
    <n v="9.7465764098544197E-2"/>
    <n v="9.0121524111099E-2"/>
    <n v="0.58408645300881901"/>
    <n v="3.1638722160192E-2"/>
    <n v="0.65249834080620805"/>
    <n v="0"/>
    <x v="15"/>
    <x v="16"/>
    <n v="16449422224.290001"/>
    <n v="99702"/>
  </r>
  <r>
    <n v="0.98328035511431799"/>
    <n v="18.317626258170399"/>
    <n v="22.5055930204182"/>
    <n v="0"/>
    <n v="4.5150361240218899"/>
    <n v="4.1844438242444397"/>
    <n v="52.4460785227256"/>
    <n v="20.230831710901199"/>
    <n v="68.823862794786805"/>
    <n v="63.646638147342998"/>
    <n v="288306.27693872497"/>
    <n v="754.27435376024005"/>
    <n v="0.153623184090624"/>
    <n v="9.5404653127293099E-2"/>
    <n v="0.51820439470707802"/>
    <n v="5.8780750378752099E-2"/>
    <n v="0.64587884057730505"/>
    <n v="0"/>
    <x v="15"/>
    <x v="17"/>
    <n v="399655927218"/>
    <n v="1386220"/>
  </r>
  <r>
    <n v="0.98771438926148203"/>
    <n v="13.7862434796827"/>
    <n v="12.4315546474502"/>
    <n v="0"/>
    <n v="4.5585054594488303"/>
    <n v="4.2200564873755502"/>
    <n v="52.438973298282903"/>
    <n v="20.894255568553501"/>
    <n v="68.914148200000398"/>
    <n v="63.597967851459501"/>
    <n v="172432.53279992699"/>
    <n v="753.58129108343303"/>
    <n v="9.6126835288011803E-2"/>
    <n v="8.7645858576552493E-2"/>
    <n v="0.57810972364934499"/>
    <n v="3.2857851010033703E-2"/>
    <n v="0.63993741436137697"/>
    <n v="0"/>
    <x v="15"/>
    <x v="18"/>
    <n v="8597830950.4699993"/>
    <n v="49862"/>
  </r>
  <r>
    <n v="0.99277036021644005"/>
    <n v="8.3387805833398705"/>
    <n v="91.171540821147104"/>
    <n v="0"/>
    <n v="4.5388319793367797"/>
    <n v="4.3133881141510297"/>
    <n v="57.882083284969099"/>
    <n v="23.843172958666901"/>
    <n v="62.277563035894303"/>
    <n v="4.28857920269032"/>
    <n v="5695.3750057142797"/>
    <n v="773.42363517192302"/>
    <n v="2.3774952208690601E-2"/>
    <n v="7.6487517802740906E-2"/>
    <n v="0.59941913610412501"/>
    <n v="2.1609835026179899E-2"/>
    <n v="0.25098899445252698"/>
    <n v="0"/>
    <x v="16"/>
    <x v="0"/>
    <n v="4983453.13"/>
    <n v="875"/>
  </r>
  <r>
    <n v="0.99265345399350902"/>
    <n v="8.4682223538754098"/>
    <n v="65.227143741568796"/>
    <n v="0"/>
    <n v="4.5784363468764298"/>
    <n v="4.3301357169084396"/>
    <n v="57.800936188799398"/>
    <n v="23.547000920831099"/>
    <n v="57.330797608078697"/>
    <n v="15.3601749989478"/>
    <n v="15698.742134484801"/>
    <n v="769.12003547830898"/>
    <n v="3.7483809219244102E-2"/>
    <n v="4.9004676304042198E-2"/>
    <n v="0.68803607451388105"/>
    <n v="3.0112678332205E-2"/>
    <n v="0.30747389200131198"/>
    <n v="0"/>
    <x v="16"/>
    <x v="1"/>
    <n v="25447661"/>
    <n v="1621"/>
  </r>
  <r>
    <n v="0.99235191874208195"/>
    <n v="8.8013173596818994"/>
    <n v="34.498549486983499"/>
    <n v="0"/>
    <n v="4.62612704438639"/>
    <n v="4.3338129113645403"/>
    <n v="57.754659686178201"/>
    <n v="23.2515524553049"/>
    <n v="53.511343505258203"/>
    <n v="32.938386083519902"/>
    <n v="26132.9860312032"/>
    <n v="758.36365799599605"/>
    <n v="4.23811047877738E-2"/>
    <n v="3.9990834641423598E-2"/>
    <n v="0.76816085987119098"/>
    <n v="2.5930131704038201E-2"/>
    <n v="0.37058916705513401"/>
    <n v="0"/>
    <x v="16"/>
    <x v="2"/>
    <n v="122276241.64"/>
    <n v="4679"/>
  </r>
  <r>
    <n v="0.99193670322592498"/>
    <n v="9.2581724623227206"/>
    <n v="17.6538430235072"/>
    <n v="0"/>
    <n v="4.6259054275117002"/>
    <n v="4.3129666143382597"/>
    <n v="57.712011620745997"/>
    <n v="22.8166557549389"/>
    <n v="54.254374011676397"/>
    <n v="42.620235892791101"/>
    <n v="35914.2224653425"/>
    <n v="755.64677188814505"/>
    <n v="5.8443251815625798E-2"/>
    <n v="4.2271426258265798E-2"/>
    <n v="0.77053267003398895"/>
    <n v="2.8574592333172E-2"/>
    <n v="0.47099003222001901"/>
    <n v="0"/>
    <x v="16"/>
    <x v="3"/>
    <n v="443001934.11000001"/>
    <n v="12335"/>
  </r>
  <r>
    <n v="0.99148933781008497"/>
    <n v="9.7480530457032799"/>
    <n v="12.518119861315901"/>
    <n v="0"/>
    <n v="4.6261648439533403"/>
    <n v="4.3107479905748196"/>
    <n v="57.695088662913399"/>
    <n v="22.714197360711101"/>
    <n v="54.5800064025319"/>
    <n v="46.069052342321399"/>
    <n v="45927.6950508749"/>
    <n v="754.80611149532297"/>
    <n v="6.5975935228628005E-2"/>
    <n v="5.6138296233388299E-2"/>
    <n v="0.75397488465207696"/>
    <n v="2.8218138795725801E-2"/>
    <n v="0.54760016612892004"/>
    <n v="0"/>
    <x v="16"/>
    <x v="4"/>
    <n v="1304484322.53"/>
    <n v="28403"/>
  </r>
  <r>
    <n v="0.99112755414655096"/>
    <n v="10.142444352641199"/>
    <n v="10.4726552627285"/>
    <n v="0"/>
    <n v="4.6256168915163798"/>
    <n v="4.2957974364515197"/>
    <n v="57.669037302236603"/>
    <n v="22.525482453289001"/>
    <n v="58.2156670682335"/>
    <n v="50.804370958088697"/>
    <n v="55434.877187001301"/>
    <n v="752.89035440072405"/>
    <n v="7.3461766793550307E-2"/>
    <n v="6.1967238900861997E-2"/>
    <n v="0.734744495876547"/>
    <n v="3.1716198735633902E-2"/>
    <n v="0.59372053255332202"/>
    <n v="0"/>
    <x v="16"/>
    <x v="5"/>
    <n v="2570736994.6700001"/>
    <n v="46374"/>
  </r>
  <r>
    <n v="0.99075834979607602"/>
    <n v="10.543295855774399"/>
    <n v="10.4476967658389"/>
    <n v="0"/>
    <n v="4.6298760742996699"/>
    <n v="4.2862141012408603"/>
    <n v="57.6569296965829"/>
    <n v="22.461134756690601"/>
    <n v="60.768856294760099"/>
    <n v="53.773138467459098"/>
    <n v="65246.994242146102"/>
    <n v="752.21051023230996"/>
    <n v="7.5473087968668306E-2"/>
    <n v="6.4687717687894594E-2"/>
    <n v="0.71984965859125105"/>
    <n v="3.53023221362605E-2"/>
    <n v="0.61209426178780701"/>
    <n v="0"/>
    <x v="16"/>
    <x v="6"/>
    <n v="4052034083.4200001"/>
    <n v="62103"/>
  </r>
  <r>
    <n v="0.99047642491112198"/>
    <n v="10.8482820848643"/>
    <n v="9.6926438733173192"/>
    <n v="0"/>
    <n v="4.6204403927861399"/>
    <n v="4.2800173720084196"/>
    <n v="57.642170124765002"/>
    <n v="21.990686767463401"/>
    <n v="60.67905347528"/>
    <n v="54.409094759603398"/>
    <n v="75183.616586210803"/>
    <n v="752.99798860811995"/>
    <n v="8.01597236504039E-2"/>
    <n v="7.3364008523160107E-2"/>
    <n v="0.70388257257398001"/>
    <n v="3.0981363121895901E-2"/>
    <n v="0.64077646314376402"/>
    <n v="0"/>
    <x v="16"/>
    <x v="7"/>
    <n v="5946347419.4200001"/>
    <n v="79091"/>
  </r>
  <r>
    <n v="0.99009375423715096"/>
    <n v="11.260730239829201"/>
    <n v="10.054320807741901"/>
    <n v="0"/>
    <n v="4.6135016118451704"/>
    <n v="4.2585531175991402"/>
    <n v="57.623196659609803"/>
    <n v="21.915996266854901"/>
    <n v="63.4333745441632"/>
    <n v="57.176424827794598"/>
    <n v="85152.007665712998"/>
    <n v="752.29580575824798"/>
    <n v="8.8488606334518397E-2"/>
    <n v="7.6240229037672205E-2"/>
    <n v="0.69584435152156598"/>
    <n v="3.1000393550235199E-2"/>
    <n v="0.65326174824348204"/>
    <n v="0"/>
    <x v="16"/>
    <x v="8"/>
    <n v="7738614456.6599998"/>
    <n v="90880"/>
  </r>
  <r>
    <n v="0.98976937236921003"/>
    <n v="11.6089832815944"/>
    <n v="9.9000447986909101"/>
    <n v="0"/>
    <n v="4.60362173629815"/>
    <n v="4.2465997821064603"/>
    <n v="57.6117420647956"/>
    <n v="21.572076438485599"/>
    <n v="63.5434911973989"/>
    <n v="57.692529498559999"/>
    <n v="95316.575895905393"/>
    <n v="754.082309251634"/>
    <n v="8.4705529457122203E-2"/>
    <n v="7.9159504174154904E-2"/>
    <n v="0.66443737061401198"/>
    <n v="3.1319609755775399E-2"/>
    <n v="0.61406478118576602"/>
    <n v="0"/>
    <x v="16"/>
    <x v="9"/>
    <n v="11178537387.92"/>
    <n v="117278"/>
  </r>
  <r>
    <n v="0.98929397948020303"/>
    <n v="12.117097207049699"/>
    <n v="9.8539879620602697"/>
    <n v="0"/>
    <n v="4.5979171856570602"/>
    <n v="4.2263815950400403"/>
    <n v="57.591589647139102"/>
    <n v="21.607178637894201"/>
    <n v="66.137741537944507"/>
    <n v="60.258258132288702"/>
    <n v="105021.427580217"/>
    <n v="751.98892910283905"/>
    <n v="9.16508351674475E-2"/>
    <n v="7.8260871256512501E-2"/>
    <n v="0.65224812058827297"/>
    <n v="3.0387378220559601E-2"/>
    <n v="0.64571206405965398"/>
    <n v="0"/>
    <x v="16"/>
    <x v="10"/>
    <n v="11318159250.32"/>
    <n v="107770"/>
  </r>
  <r>
    <n v="0.98893147363280098"/>
    <n v="12.5027533182295"/>
    <n v="10.9577314961233"/>
    <n v="0"/>
    <n v="4.5884888480598196"/>
    <n v="4.21828283479896"/>
    <n v="57.592795451185502"/>
    <n v="21.649894642682501"/>
    <n v="66.556481442126596"/>
    <n v="60.637861077763503"/>
    <n v="115089.226714156"/>
    <n v="752.93006300624995"/>
    <n v="9.5972038516397698E-2"/>
    <n v="7.8328329681540895E-2"/>
    <n v="0.63796004047106003"/>
    <n v="2.93773650632147E-2"/>
    <n v="0.64279817766588698"/>
    <n v="0"/>
    <x v="16"/>
    <x v="11"/>
    <n v="12609981303.389999"/>
    <n v="109567"/>
  </r>
  <r>
    <n v="0.98857413600001498"/>
    <n v="12.881392257982901"/>
    <n v="10.9695163994199"/>
    <n v="0"/>
    <n v="4.5740605051873899"/>
    <n v="4.20308064119099"/>
    <n v="57.581298970220601"/>
    <n v="21.357409624878901"/>
    <n v="66.903361164315498"/>
    <n v="61.129401985469002"/>
    <n v="124927.385682762"/>
    <n v="753.14401051282596"/>
    <n v="9.4677959789763205E-2"/>
    <n v="8.43400027168828E-2"/>
    <n v="0.62494738072407696"/>
    <n v="2.98924162988656E-2"/>
    <n v="0.64206749252172202"/>
    <n v="0"/>
    <x v="16"/>
    <x v="12"/>
    <n v="14068822466.049999"/>
    <n v="112616"/>
  </r>
  <r>
    <n v="0.98824384341265203"/>
    <n v="13.2300375854989"/>
    <n v="11.6964789478215"/>
    <n v="0"/>
    <n v="4.5706954240200801"/>
    <n v="4.1985533422815502"/>
    <n v="57.578166805995401"/>
    <n v="21.364462213936498"/>
    <n v="67.520695550332704"/>
    <n v="61.717465777426"/>
    <n v="134947.895834756"/>
    <n v="752.95183868997697"/>
    <n v="9.7115847097822394E-2"/>
    <n v="8.7095440556862705E-2"/>
    <n v="0.62263912683428801"/>
    <n v="3.1319051783468298E-2"/>
    <n v="0.65019527452844905"/>
    <n v="0"/>
    <x v="16"/>
    <x v="13"/>
    <n v="14384636008.610001"/>
    <n v="106594"/>
  </r>
  <r>
    <n v="0.98788390260014503"/>
    <n v="13.608521847997499"/>
    <n v="12.338804744059001"/>
    <n v="0"/>
    <n v="4.5618320983317302"/>
    <n v="4.1954620104421201"/>
    <n v="57.577885536661199"/>
    <n v="21.106092922408099"/>
    <n v="66.498605549449806"/>
    <n v="60.925698179200801"/>
    <n v="145000.65656216099"/>
    <n v="753.59793486334797"/>
    <n v="9.39792906914554E-2"/>
    <n v="8.7667908679137194E-2"/>
    <n v="0.607691865148976"/>
    <n v="3.2712712012735602E-2"/>
    <n v="0.64517575355902501"/>
    <n v="0"/>
    <x v="16"/>
    <x v="14"/>
    <n v="15919187081.99"/>
    <n v="109787"/>
  </r>
  <r>
    <n v="0.98747927519482004"/>
    <n v="14.032187655673001"/>
    <n v="13.0969155170405"/>
    <n v="0"/>
    <n v="4.5717399981206102"/>
    <n v="4.1970096111241304"/>
    <n v="57.573871845007801"/>
    <n v="21.216405472215602"/>
    <n v="67.715856857415801"/>
    <n v="62.1022181677126"/>
    <n v="154950.64690396699"/>
    <n v="752.91368878490596"/>
    <n v="0.10044316608096999"/>
    <n v="9.0995724486486101E-2"/>
    <n v="0.60445588437546105"/>
    <n v="3.0345949598799899E-2"/>
    <n v="0.66842377939460595"/>
    <n v="0"/>
    <x v="16"/>
    <x v="15"/>
    <n v="15375287840.34"/>
    <n v="99227"/>
  </r>
  <r>
    <n v="0.98700822045940495"/>
    <n v="14.5230066777172"/>
    <n v="14.2207316919013"/>
    <n v="0"/>
    <n v="4.5606809997842701"/>
    <n v="4.1840995094772797"/>
    <n v="57.565209168956898"/>
    <n v="21.225309541575999"/>
    <n v="68.308856985205097"/>
    <n v="62.649927439927403"/>
    <n v="164996.204754818"/>
    <n v="752.91118507393696"/>
    <n v="9.8266169894874203E-2"/>
    <n v="9.2010863035239004E-2"/>
    <n v="0.59439078949579305"/>
    <n v="3.4102888259070797E-2"/>
    <n v="0.65560797015429595"/>
    <n v="0"/>
    <x v="16"/>
    <x v="16"/>
    <n v="16043240973.129999"/>
    <n v="97234"/>
  </r>
  <r>
    <n v="0.98172392520866403"/>
    <n v="19.8557255203491"/>
    <n v="23.786564930817899"/>
    <n v="0"/>
    <n v="4.5131520897382904"/>
    <n v="4.1404818815200901"/>
    <n v="57.553291435406898"/>
    <n v="20.504929485418401"/>
    <n v="68.834090693793499"/>
    <n v="63.307253965216901"/>
    <n v="287623.43721309397"/>
    <n v="754.00227244983205"/>
    <n v="0.15283582380469399"/>
    <n v="9.8328264085712894E-2"/>
    <n v="0.52102427421179298"/>
    <n v="6.00416353356732E-2"/>
    <n v="0.64414079993415196"/>
    <n v="0"/>
    <x v="16"/>
    <x v="17"/>
    <n v="379267167271.67999"/>
    <n v="1318624"/>
  </r>
  <r>
    <n v="0.98670130001214895"/>
    <n v="14.841421227754401"/>
    <n v="13.879020718782099"/>
    <n v="0"/>
    <n v="4.5612377530298396"/>
    <n v="4.18279857972533"/>
    <n v="57.5602021875495"/>
    <n v="21.139680001611701"/>
    <n v="68.470358540092505"/>
    <n v="62.844260075626003"/>
    <n v="172435.15739621501"/>
    <n v="753.36567901389401"/>
    <n v="9.5944068243024205E-2"/>
    <n v="8.9540649297548194E-2"/>
    <n v="0.58797314845081405"/>
    <n v="3.4754062647919602E-2"/>
    <n v="0.64440116240449496"/>
    <n v="0"/>
    <x v="16"/>
    <x v="18"/>
    <n v="8365519225.9200001"/>
    <n v="48514"/>
  </r>
  <r>
    <n v="0.99261653271928796"/>
    <n v="8.5090677699279205"/>
    <n v="92.129708982054893"/>
    <n v="0"/>
    <n v="4.54323759241651"/>
    <n v="4.2804633390760998"/>
    <n v="62.639739544524602"/>
    <n v="22.900434146799299"/>
    <n v="59.4762598925834"/>
    <n v="4.4354490492498497"/>
    <n v="5676.1643624160997"/>
    <n v="771.69356650284999"/>
    <n v="4.2860726833813201E-2"/>
    <n v="6.6148362263112007E-2"/>
    <n v="0.67173116679167799"/>
    <n v="3.31252793605342E-2"/>
    <n v="0.31827590079410001"/>
    <n v="0"/>
    <x v="17"/>
    <x v="0"/>
    <n v="3382993.96"/>
    <n v="596"/>
  </r>
  <r>
    <n v="0.99252864229000004"/>
    <n v="8.6062323308968107"/>
    <n v="57.385895469140102"/>
    <n v="0"/>
    <n v="4.5822282633978304"/>
    <n v="4.2806347612259001"/>
    <n v="62.650893262764001"/>
    <n v="22.183617928301299"/>
    <n v="57.2950656896694"/>
    <n v="18.248637451583399"/>
    <n v="15952.0394006568"/>
    <n v="762.38268299382105"/>
    <n v="3.9472008787976097E-2"/>
    <n v="6.7452373693359699E-2"/>
    <n v="0.71444895408694697"/>
    <n v="2.1095746064916099E-2"/>
    <n v="0.30049814000160602"/>
    <n v="0"/>
    <x v="17"/>
    <x v="1"/>
    <n v="19429583.989999998"/>
    <n v="1218"/>
  </r>
  <r>
    <n v="0.99213889444779002"/>
    <n v="9.03596735029436"/>
    <n v="25.828607913205399"/>
    <n v="0"/>
    <n v="4.6392479517670999"/>
    <n v="4.2789404186582001"/>
    <n v="62.605429030602799"/>
    <n v="22.270113246167799"/>
    <n v="54.471101812710799"/>
    <n v="36.793490048288398"/>
    <n v="26295.832315283998"/>
    <n v="752.12694797286099"/>
    <n v="4.3740903240142202E-2"/>
    <n v="3.3630056459787602E-2"/>
    <n v="0.79931132316821096"/>
    <n v="2.99806216179276E-2"/>
    <n v="0.39535922775409699"/>
    <n v="0"/>
    <x v="17"/>
    <x v="2"/>
    <n v="98583075.349999994"/>
    <n v="3749"/>
  </r>
  <r>
    <n v="0.99173060550014303"/>
    <n v="9.4841585879103008"/>
    <n v="19.7020644833283"/>
    <n v="0"/>
    <n v="4.6480662233845402"/>
    <n v="4.2678567199741302"/>
    <n v="62.586796048330001"/>
    <n v="22.0270200018292"/>
    <n v="56.0789213800971"/>
    <n v="45.579576707268899"/>
    <n v="35960.225987020502"/>
    <n v="751.029809298896"/>
    <n v="5.78958765306338E-2"/>
    <n v="4.19441719825802E-2"/>
    <n v="0.78372537493272698"/>
    <n v="2.7025454008650002E-2"/>
    <n v="0.451069441298796"/>
    <n v="0"/>
    <x v="17"/>
    <x v="3"/>
    <n v="371253373.08999997"/>
    <n v="10324"/>
  </r>
  <r>
    <n v="0.99115314161557699"/>
    <n v="10.1146026818935"/>
    <n v="12.5244568838063"/>
    <n v="0"/>
    <n v="4.6447855494398302"/>
    <n v="4.2636147957244397"/>
    <n v="62.575862496151402"/>
    <n v="22.117999801961499"/>
    <n v="56.698285294733303"/>
    <n v="49.000032708585401"/>
    <n v="45902.776003808198"/>
    <n v="749.97651548152101"/>
    <n v="6.6132408667374395E-2"/>
    <n v="5.74315883871786E-2"/>
    <n v="0.75803964768660703"/>
    <n v="2.9101683211296601E-2"/>
    <n v="0.54859159976967298"/>
    <n v="0"/>
    <x v="17"/>
    <x v="4"/>
    <n v="1108919262.7"/>
    <n v="24158"/>
  </r>
  <r>
    <n v="0.99064815812935703"/>
    <n v="10.6626148287435"/>
    <n v="10.8097661645182"/>
    <n v="0"/>
    <n v="4.6547747479784798"/>
    <n v="4.2547158924589104"/>
    <n v="62.595185864407298"/>
    <n v="22.0280801928667"/>
    <n v="60.531384645508197"/>
    <n v="53.734095222667499"/>
    <n v="55448.6471115272"/>
    <n v="747.275082812954"/>
    <n v="7.10303632749235E-2"/>
    <n v="6.6350976365277106E-2"/>
    <n v="0.73611640878611195"/>
    <n v="3.5364668515643002E-2"/>
    <n v="0.577512949687224"/>
    <n v="0"/>
    <x v="17"/>
    <x v="5"/>
    <n v="2250216997.0799999"/>
    <n v="40582"/>
  </r>
  <r>
    <n v="0.99017421166490005"/>
    <n v="11.174157525569001"/>
    <n v="9.8354296521888696"/>
    <n v="0"/>
    <n v="4.6616895535752603"/>
    <n v="4.2494477525351604"/>
    <n v="62.596134269631499"/>
    <n v="21.948067403327801"/>
    <n v="62.494735863971201"/>
    <n v="56.1899589653462"/>
    <n v="65252.260814031397"/>
    <n v="747.170223268428"/>
    <n v="7.5452929947421504E-2"/>
    <n v="6.5968923256224707E-2"/>
    <n v="0.72255772739193103"/>
    <n v="3.6002599252331201E-2"/>
    <n v="0.59938573741532297"/>
    <n v="0"/>
    <x v="17"/>
    <x v="6"/>
    <n v="3603164589.8899999"/>
    <n v="55219"/>
  </r>
  <r>
    <n v="0.98981081507010105"/>
    <n v="11.564560736946101"/>
    <n v="9.9600977108534501"/>
    <n v="0"/>
    <n v="4.65961026620033"/>
    <n v="4.2431289701748698"/>
    <n v="62.590622196298902"/>
    <n v="21.272962608329699"/>
    <n v="62.448906526779403"/>
    <n v="56.9583562514226"/>
    <n v="75187.857935310196"/>
    <n v="748.44999822368698"/>
    <n v="8.06838036251524E-2"/>
    <n v="7.0541661443637396E-2"/>
    <n v="0.70631860392104695"/>
    <n v="3.4673189403064901E-2"/>
    <n v="0.63685800130020898"/>
    <n v="0"/>
    <x v="17"/>
    <x v="7"/>
    <n v="5281420704.9499998"/>
    <n v="70243"/>
  </r>
  <r>
    <n v="0.98935609237968403"/>
    <n v="12.050861519107601"/>
    <n v="10.7411695603456"/>
    <n v="0"/>
    <n v="4.6580034726688604"/>
    <n v="4.2272615074889996"/>
    <n v="62.602069623405697"/>
    <n v="21.370401147957399"/>
    <n v="65.083155943837099"/>
    <n v="59.591395005705998"/>
    <n v="85190.033528645901"/>
    <n v="748.58044766317698"/>
    <n v="8.8983164961900799E-2"/>
    <n v="7.3946813591608304E-2"/>
    <n v="0.69756557215636905"/>
    <n v="3.2942725616525802E-2"/>
    <n v="0.64179046975457099"/>
    <n v="0"/>
    <x v="17"/>
    <x v="8"/>
    <n v="7002024425.8199997"/>
    <n v="82193"/>
  </r>
  <r>
    <n v="0.988961286223344"/>
    <n v="12.4710954870507"/>
    <n v="10.505234828180299"/>
    <n v="0"/>
    <n v="4.6468579091656501"/>
    <n v="4.2160332819766602"/>
    <n v="62.605580824035499"/>
    <n v="21.082665135272801"/>
    <n v="65.237520100827098"/>
    <n v="60.029450058713302"/>
    <n v="95316.242042989499"/>
    <n v="750.60043059685802"/>
    <n v="8.3318627513574203E-2"/>
    <n v="7.6899414053760801E-2"/>
    <n v="0.66623391103331298"/>
    <n v="3.2578568310269201E-2"/>
    <n v="0.607258941774108"/>
    <n v="0"/>
    <x v="17"/>
    <x v="9"/>
    <n v="10168050752.42"/>
    <n v="106677"/>
  </r>
  <r>
    <n v="0.98843835565476501"/>
    <n v="13.0248723964808"/>
    <n v="10.823357686798801"/>
    <n v="0"/>
    <n v="4.64759058981255"/>
    <n v="4.2006832719768399"/>
    <n v="62.602546516641503"/>
    <n v="21.146214326770199"/>
    <n v="67.6570379189221"/>
    <n v="62.393165908559098"/>
    <n v="105038.75258103501"/>
    <n v="748.85989202598103"/>
    <n v="9.3068349901550898E-2"/>
    <n v="7.57283390859501E-2"/>
    <n v="0.65006415814981999"/>
    <n v="3.0365752532062699E-2"/>
    <n v="0.62428972148446404"/>
    <n v="0"/>
    <x v="17"/>
    <x v="10"/>
    <n v="10418268674.75"/>
    <n v="99185"/>
  </r>
  <r>
    <n v="0.98801279614770499"/>
    <n v="13.473162237328101"/>
    <n v="10.715610364480501"/>
    <n v="0"/>
    <n v="4.6327474771220398"/>
    <n v="4.1906873002510903"/>
    <n v="62.615028125028203"/>
    <n v="21.231018043939802"/>
    <n v="68.008273462447093"/>
    <n v="62.6761764871327"/>
    <n v="115069.646901806"/>
    <n v="750.07702866887405"/>
    <n v="9.3024972666358202E-2"/>
    <n v="7.7359289601176495E-2"/>
    <n v="0.63486989248592396"/>
    <n v="3.0311003274639502E-2"/>
    <n v="0.623956388407926"/>
    <n v="0"/>
    <x v="17"/>
    <x v="11"/>
    <n v="11606154725.809999"/>
    <n v="100862"/>
  </r>
  <r>
    <n v="0.98760748065260895"/>
    <n v="13.8981564927133"/>
    <n v="12.1223706843406"/>
    <n v="0"/>
    <n v="4.6225678657510096"/>
    <n v="4.18025200146558"/>
    <n v="62.603537079073497"/>
    <n v="21.0166869974299"/>
    <n v="68.386470281079298"/>
    <n v="63.1255553884913"/>
    <n v="124949.60492364199"/>
    <n v="750.33059463731695"/>
    <n v="9.4823632009945397E-2"/>
    <n v="8.1549557138528905E-2"/>
    <n v="0.62478176739439595"/>
    <n v="3.0931067356762001E-2"/>
    <n v="0.62662470316133001"/>
    <n v="0"/>
    <x v="17"/>
    <x v="12"/>
    <n v="13041989862.719999"/>
    <n v="104378"/>
  </r>
  <r>
    <n v="0.98720950819589504"/>
    <n v="14.3135885771365"/>
    <n v="13.0353734338617"/>
    <n v="0"/>
    <n v="4.6153810092290497"/>
    <n v="4.1726908703164698"/>
    <n v="62.597881499060499"/>
    <n v="21.017107810888401"/>
    <n v="68.891392080317004"/>
    <n v="63.578358104966703"/>
    <n v="134937.14419000599"/>
    <n v="750.50075047803398"/>
    <n v="9.8328264190157194E-2"/>
    <n v="8.3618555210885404E-2"/>
    <n v="0.620005994511313"/>
    <n v="3.2078319908984097E-2"/>
    <n v="0.63310301562114302"/>
    <n v="0"/>
    <x v="17"/>
    <x v="13"/>
    <n v="13470505230.200001"/>
    <n v="99828"/>
  </r>
  <r>
    <n v="0.98678154823093001"/>
    <n v="14.758272879368"/>
    <n v="13.489916916488999"/>
    <n v="0"/>
    <n v="4.6103631103670697"/>
    <n v="4.1717674055736902"/>
    <n v="62.603041336747999"/>
    <n v="20.795655999105499"/>
    <n v="67.717246746070501"/>
    <n v="62.648289668072501"/>
    <n v="144993.58386508099"/>
    <n v="750.99483651882099"/>
    <n v="9.6087380091040994E-2"/>
    <n v="8.4523990290525097E-2"/>
    <n v="0.60969002983641296"/>
    <n v="3.3080514801454797E-2"/>
    <n v="0.63590104937418501"/>
    <n v="0"/>
    <x v="17"/>
    <x v="14"/>
    <n v="14667115963.040001"/>
    <n v="101157"/>
  </r>
  <r>
    <n v="0.98632688598461504"/>
    <n v="15.2283846150951"/>
    <n v="14.167923057817299"/>
    <n v="0"/>
    <n v="4.6186291838661102"/>
    <n v="4.1730020084019701"/>
    <n v="62.601575840351501"/>
    <n v="20.911642909059999"/>
    <n v="68.957213226959496"/>
    <n v="63.866368899974397"/>
    <n v="154959.135759653"/>
    <n v="750.35217596457699"/>
    <n v="0.101015343408165"/>
    <n v="8.8128330326487495E-2"/>
    <n v="0.60114290014530003"/>
    <n v="3.0956323715133901E-2"/>
    <n v="0.65611821231259504"/>
    <n v="0"/>
    <x v="17"/>
    <x v="15"/>
    <n v="14218895338.17"/>
    <n v="91759"/>
  </r>
  <r>
    <n v="0.98583836768536304"/>
    <n v="15.730853243104301"/>
    <n v="14.4351719715941"/>
    <n v="0"/>
    <n v="4.6082982220129596"/>
    <n v="4.1612056239860502"/>
    <n v="62.605625054593602"/>
    <n v="20.947227226961001"/>
    <n v="69.458796804859006"/>
    <n v="64.316060914796594"/>
    <n v="165031.24456526799"/>
    <n v="750.59091788054297"/>
    <n v="0.100972594358632"/>
    <n v="8.6640705603375695E-2"/>
    <n v="0.59414301229827704"/>
    <n v="3.38218397301321E-2"/>
    <n v="0.641874310762792"/>
    <n v="0"/>
    <x v="17"/>
    <x v="16"/>
    <n v="14818320480.76"/>
    <n v="89791"/>
  </r>
  <r>
    <n v="0.98009858652802595"/>
    <n v="21.4335456073382"/>
    <n v="25.0032257023989"/>
    <n v="0"/>
    <n v="4.5661879201505702"/>
    <n v="4.1260866876942499"/>
    <n v="62.601535410148998"/>
    <n v="20.486829078712599"/>
    <n v="69.773142686497394"/>
    <n v="64.673591801802104"/>
    <n v="287091.22681109997"/>
    <n v="752.31453071360795"/>
    <n v="0.15287753929214401"/>
    <n v="9.2523681761245993E-2"/>
    <n v="0.52468673712703895"/>
    <n v="6.3476762921548704E-2"/>
    <n v="0.62825406775766002"/>
    <n v="0"/>
    <x v="17"/>
    <x v="17"/>
    <n v="350225458499.13"/>
    <n v="1219910"/>
  </r>
  <r>
    <n v="0.98545702607726104"/>
    <n v="16.121185608680399"/>
    <n v="14.636025809855701"/>
    <n v="0"/>
    <n v="4.6019230465456999"/>
    <n v="4.1549403166292"/>
    <n v="62.604488630603903"/>
    <n v="20.865713484160601"/>
    <n v="69.713859810011101"/>
    <n v="64.562723333727703"/>
    <n v="172454.42198399201"/>
    <n v="751.76134358620197"/>
    <n v="9.94456702953503E-2"/>
    <n v="8.55348665491346E-2"/>
    <n v="0.58673591835899597"/>
    <n v="3.29809313717144E-2"/>
    <n v="0.62498517372869999"/>
    <n v="0"/>
    <x v="17"/>
    <x v="18"/>
    <n v="7756999900.8400002"/>
    <n v="44980"/>
  </r>
  <r>
    <n v="0.99293691423770603"/>
    <n v="8.1540775757111401"/>
    <n v="90.878911894822096"/>
    <n v="0"/>
    <n v="4.5546580039908999"/>
    <n v="4.2104698865492098"/>
    <n v="67.643617555300693"/>
    <n v="21.720739244674899"/>
    <n v="60.234462965813599"/>
    <n v="4.5940173751123803"/>
    <n v="5691.0494680850998"/>
    <n v="773.44482164493695"/>
    <n v="3.3992608587598297E-2"/>
    <n v="5.2887573647047201E-2"/>
    <n v="0.662937375315518"/>
    <n v="3.6043362105338997E-2"/>
    <n v="0.26829309455350703"/>
    <n v="0"/>
    <x v="18"/>
    <x v="0"/>
    <n v="3209751.9"/>
    <n v="564"/>
  </r>
  <r>
    <n v="0.99283274296860302"/>
    <n v="8.2696400533664498"/>
    <n v="59.169828069236601"/>
    <n v="0"/>
    <n v="4.6470371999919404"/>
    <n v="4.2670083770620399"/>
    <n v="67.589865301541593"/>
    <n v="21.886400062511299"/>
    <n v="56.492648476546002"/>
    <n v="18.075421110135199"/>
    <n v="15980.1758890701"/>
    <n v="764.89743039719804"/>
    <n v="3.90758938923573E-2"/>
    <n v="5.2807848233804001E-2"/>
    <n v="0.70852835022910698"/>
    <n v="2.0062171096488099E-2"/>
    <n v="0.29279286670257798"/>
    <n v="0"/>
    <x v="18"/>
    <x v="1"/>
    <n v="19591695.640000001"/>
    <n v="1226"/>
  </r>
  <r>
    <n v="0.992341019286342"/>
    <n v="8.8133367565212399"/>
    <n v="29.2526349493832"/>
    <n v="0"/>
    <n v="4.6936092485068803"/>
    <n v="4.2699549952597504"/>
    <n v="67.5332883371604"/>
    <n v="21.781350222855199"/>
    <n v="54.130344718530097"/>
    <n v="35.726920384011599"/>
    <n v="26102.097829092902"/>
    <n v="753.90199072506402"/>
    <n v="4.3235757365662597E-2"/>
    <n v="3.9169647446500797E-2"/>
    <n v="0.77998927845517296"/>
    <n v="2.5655359903765398E-2"/>
    <n v="0.38710735535104801"/>
    <n v="0"/>
    <x v="18"/>
    <x v="2"/>
    <n v="94385185.75"/>
    <n v="3616"/>
  </r>
  <r>
    <n v="0.99180885783241302"/>
    <n v="9.3984157417463106"/>
    <n v="17.6702970197667"/>
    <n v="0"/>
    <n v="4.6975760925094203"/>
    <n v="4.2621506243216301"/>
    <n v="67.542541547123804"/>
    <n v="21.6159110352935"/>
    <n v="55.877885769410902"/>
    <n v="45.323780375868303"/>
    <n v="36028.544063629"/>
    <n v="750.99521666265002"/>
    <n v="5.3508321582860001E-2"/>
    <n v="4.7978824841906603E-2"/>
    <n v="0.75712950688506897"/>
    <n v="2.8152507915603298E-2"/>
    <n v="0.44094592854714898"/>
    <n v="0"/>
    <x v="18"/>
    <x v="3"/>
    <n v="358988413.05000001"/>
    <n v="9964"/>
  </r>
  <r>
    <n v="0.99116695275442501"/>
    <n v="10.099571525194699"/>
    <n v="11.300505230235901"/>
    <n v="0"/>
    <n v="4.6910433404002196"/>
    <n v="4.25298602231718"/>
    <n v="67.529406945071798"/>
    <n v="21.783227387662102"/>
    <n v="56.5370300234853"/>
    <n v="49.054986160563899"/>
    <n v="45986.246671191402"/>
    <n v="750.58391411046398"/>
    <n v="5.9643324191444302E-2"/>
    <n v="6.3184779597723201E-2"/>
    <n v="0.72778372785084799"/>
    <n v="2.8916003754765399E-2"/>
    <n v="0.52455294626900395"/>
    <n v="0"/>
    <x v="18"/>
    <x v="4"/>
    <n v="1050187915.23"/>
    <n v="22837"/>
  </r>
  <r>
    <n v="0.99056792766900004"/>
    <n v="10.7493990739643"/>
    <n v="11.278494798339899"/>
    <n v="0"/>
    <n v="4.6881624637651402"/>
    <n v="4.2388986535854896"/>
    <n v="67.515975108153796"/>
    <n v="21.697427707567901"/>
    <n v="60.344267072810503"/>
    <n v="53.657106423040297"/>
    <n v="55454.481162140903"/>
    <n v="748.58836922417697"/>
    <n v="6.51412937898595E-2"/>
    <n v="7.1776942890821704E-2"/>
    <n v="0.72338933174188003"/>
    <n v="3.3989371863603998E-2"/>
    <n v="0.56640249048233304"/>
    <n v="0"/>
    <x v="18"/>
    <x v="5"/>
    <n v="2123906628.51"/>
    <n v="38300"/>
  </r>
  <r>
    <n v="0.98995785514317902"/>
    <n v="11.4067829109967"/>
    <n v="10.4789901430507"/>
    <n v="0"/>
    <n v="4.6947651976994402"/>
    <n v="4.2321090697317896"/>
    <n v="67.494547346262806"/>
    <n v="21.695240284748301"/>
    <n v="62.5087998410471"/>
    <n v="56.360071129780799"/>
    <n v="65284.844090675098"/>
    <n v="748.43062700459495"/>
    <n v="7.1173049823319803E-2"/>
    <n v="7.0893374693972194E-2"/>
    <n v="0.70855610614047304"/>
    <n v="3.7048005936778199E-2"/>
    <n v="0.58725209685204505"/>
    <n v="0"/>
    <x v="18"/>
    <x v="6"/>
    <n v="3424255357.4000001"/>
    <n v="52451"/>
  </r>
  <r>
    <n v="0.98945810092922204"/>
    <n v="11.941982782858"/>
    <n v="9.8539408520710605"/>
    <n v="0"/>
    <n v="4.6834677713228503"/>
    <n v="4.2234988041592203"/>
    <n v="67.472957070037197"/>
    <n v="21.282126256287601"/>
    <n v="62.132671362939803"/>
    <n v="56.6368964388327"/>
    <n v="75211.966260126399"/>
    <n v="750.01354089714903"/>
    <n v="7.6288909965826698E-2"/>
    <n v="7.5382179349896605E-2"/>
    <n v="0.69556558754042297"/>
    <n v="3.30776274035815E-2"/>
    <n v="0.63317182586272502"/>
    <n v="0"/>
    <x v="18"/>
    <x v="7"/>
    <n v="5069136102"/>
    <n v="67398"/>
  </r>
  <r>
    <n v="0.98893118089496002"/>
    <n v="12.5030641229406"/>
    <n v="10.734000671906299"/>
    <n v="0"/>
    <n v="4.6779946142798003"/>
    <n v="4.2063599443152802"/>
    <n v="67.464353740928303"/>
    <n v="21.3610326976948"/>
    <n v="64.875159654368403"/>
    <n v="59.385097018404402"/>
    <n v="85195.568339902704"/>
    <n v="750.65677528327603"/>
    <n v="8.4990222068038704E-2"/>
    <n v="7.6745514493767E-2"/>
    <n v="0.68929435495715397"/>
    <n v="3.2929160026698802E-2"/>
    <n v="0.64050850400001602"/>
    <n v="0"/>
    <x v="18"/>
    <x v="8"/>
    <n v="6830128713.8100004"/>
    <n v="80170"/>
  </r>
  <r>
    <n v="0.98840837439858498"/>
    <n v="13.0565246114211"/>
    <n v="10.8802207142715"/>
    <n v="0"/>
    <n v="4.6660083028080397"/>
    <n v="4.19373809464137"/>
    <n v="67.444103550589901"/>
    <n v="21.194843216343099"/>
    <n v="64.914020964931794"/>
    <n v="59.680266850325502"/>
    <n v="95327.627970784597"/>
    <n v="752.60502053798405"/>
    <n v="8.3274912587137095E-2"/>
    <n v="8.1941841978025898E-2"/>
    <n v="0.65771820563127203"/>
    <n v="3.2094632252557799E-2"/>
    <n v="0.60722680280535402"/>
    <n v="0"/>
    <x v="18"/>
    <x v="9"/>
    <n v="9919316328.5"/>
    <n v="104055"/>
  </r>
  <r>
    <n v="0.98783166401915201"/>
    <n v="13.6633257282642"/>
    <n v="11.501199645405199"/>
    <n v="0"/>
    <n v="4.6672816756444204"/>
    <n v="4.1806006845464703"/>
    <n v="67.441945972532906"/>
    <n v="21.300069797644401"/>
    <n v="67.229212478342902"/>
    <n v="61.988157294774702"/>
    <n v="105019.882239511"/>
    <n v="751.16978426851301"/>
    <n v="9.2746552932076495E-2"/>
    <n v="7.7991067095511998E-2"/>
    <n v="0.64543254151411"/>
    <n v="3.0544646675483698E-2"/>
    <n v="0.63422972758884499"/>
    <n v="0"/>
    <x v="18"/>
    <x v="10"/>
    <n v="9968277182.4099998"/>
    <n v="94918"/>
  </r>
  <r>
    <n v="0.98732398922052"/>
    <n v="14.1942737566076"/>
    <n v="11.776315694363801"/>
    <n v="0"/>
    <n v="4.6528152234072104"/>
    <n v="4.1701148598535402"/>
    <n v="67.443431144947596"/>
    <n v="21.445034335597398"/>
    <n v="67.713166632264802"/>
    <n v="62.391979784225498"/>
    <n v="115076.14407501501"/>
    <n v="751.93819205623402"/>
    <n v="9.3053395919578993E-2"/>
    <n v="7.8192816302097096E-2"/>
    <n v="0.62762489893307005"/>
    <n v="3.1235845626341501E-2"/>
    <n v="0.62866413954243705"/>
    <n v="0"/>
    <x v="18"/>
    <x v="11"/>
    <n v="11176885569.43"/>
    <n v="97126"/>
  </r>
  <r>
    <n v="0.986856121682673"/>
    <n v="14.6809376756724"/>
    <n v="12.1771423645894"/>
    <n v="0"/>
    <n v="4.6423346392565596"/>
    <n v="4.1602605406069104"/>
    <n v="67.420616076533804"/>
    <n v="21.256156862470199"/>
    <n v="67.895304830529099"/>
    <n v="62.696373173925103"/>
    <n v="124923.656686139"/>
    <n v="752.42206465861796"/>
    <n v="9.3592832784846203E-2"/>
    <n v="8.53189714238511E-2"/>
    <n v="0.62145269182172402"/>
    <n v="3.0535181080808799E-2"/>
    <n v="0.63174098558694003"/>
    <n v="0"/>
    <x v="18"/>
    <x v="12"/>
    <n v="12531341849.5"/>
    <n v="100312"/>
  </r>
  <r>
    <n v="0.986372073407079"/>
    <n v="15.181768311047801"/>
    <n v="13.197629055458201"/>
    <n v="0"/>
    <n v="4.6351412441687998"/>
    <n v="4.15127298961335"/>
    <n v="67.423478554445097"/>
    <n v="21.3482115862253"/>
    <n v="68.5606952134479"/>
    <n v="63.2226172621545"/>
    <n v="134946.552922462"/>
    <n v="752.09536611633803"/>
    <n v="9.7457429933030804E-2"/>
    <n v="8.6311249803946194E-2"/>
    <n v="0.61356746140530904"/>
    <n v="3.1476821875883999E-2"/>
    <n v="0.63795904661408098"/>
    <n v="0"/>
    <x v="18"/>
    <x v="13"/>
    <n v="12873766202.25"/>
    <n v="95399"/>
  </r>
  <r>
    <n v="0.98590092280646902"/>
    <n v="15.6666645449026"/>
    <n v="14.3266866946314"/>
    <n v="0"/>
    <n v="4.63001828205278"/>
    <n v="4.15071545902771"/>
    <n v="67.4115752528689"/>
    <n v="21.1320281094489"/>
    <n v="67.415557457596904"/>
    <n v="62.337233776043199"/>
    <n v="144980.42192155801"/>
    <n v="753.10393577778802"/>
    <n v="9.50383624285836E-2"/>
    <n v="8.6207307702609495E-2"/>
    <n v="0.60489709404258996"/>
    <n v="3.2542836998043598E-2"/>
    <n v="0.64322481050608205"/>
    <n v="0"/>
    <x v="18"/>
    <x v="14"/>
    <n v="14142985138.870001"/>
    <n v="97551"/>
  </r>
  <r>
    <n v="0.98538183222051501"/>
    <n v="16.1979563877087"/>
    <n v="14.825315838091599"/>
    <n v="0"/>
    <n v="4.6364305458040898"/>
    <n v="4.1498915503116702"/>
    <n v="67.428626234286597"/>
    <n v="21.2516431846229"/>
    <n v="68.662545126104803"/>
    <n v="63.546302439418"/>
    <n v="154952.03977539"/>
    <n v="752.03633681340204"/>
    <n v="9.9261268344995393E-2"/>
    <n v="8.69182848472764E-2"/>
    <n v="0.59710317061950402"/>
    <n v="3.0340243925998999E-2"/>
    <n v="0.66094689621967895"/>
    <n v="0"/>
    <x v="18"/>
    <x v="15"/>
    <n v="13645696430.780001"/>
    <n v="88064"/>
  </r>
  <r>
    <n v="0.98482593077542202"/>
    <n v="16.763520724427099"/>
    <n v="15.6247203559812"/>
    <n v="0"/>
    <n v="4.6261442200001301"/>
    <n v="4.1389612378811496"/>
    <n v="67.432130314659005"/>
    <n v="21.2946926322732"/>
    <n v="69.183609702572099"/>
    <n v="64.031543807759505"/>
    <n v="165010.14454718801"/>
    <n v="752.55883864031102"/>
    <n v="9.9250366750129604E-2"/>
    <n v="8.8105763020895594E-2"/>
    <n v="0.58688574349343003"/>
    <n v="3.38152684406351E-2"/>
    <n v="0.64587710965160405"/>
    <n v="0"/>
    <x v="18"/>
    <x v="16"/>
    <n v="14359677808.93"/>
    <n v="87023"/>
  </r>
  <r>
    <n v="0.97854044554459096"/>
    <n v="22.919349657449001"/>
    <n v="26.850436393729499"/>
    <n v="0"/>
    <n v="4.58606456718522"/>
    <n v="4.1046046136050602"/>
    <n v="67.3968727683515"/>
    <n v="20.932998464007401"/>
    <n v="69.198178742485695"/>
    <n v="64.167259723385797"/>
    <n v="286572.51003714697"/>
    <n v="753.42575997163499"/>
    <n v="0.15712743767201801"/>
    <n v="9.1428706490706002E-2"/>
    <n v="0.52252160342012699"/>
    <n v="6.3882497015821299E-2"/>
    <n v="0.63745534988808294"/>
    <n v="0"/>
    <x v="18"/>
    <x v="17"/>
    <n v="331646926995.87"/>
    <n v="1157288"/>
  </r>
  <r>
    <n v="0.98439561129483"/>
    <n v="17.198915325513099"/>
    <n v="16.429710985050701"/>
    <n v="0"/>
    <n v="4.61982488678529"/>
    <n v="4.1330802560732103"/>
    <n v="67.417228756680302"/>
    <n v="21.206051143781199"/>
    <n v="69.2951077010121"/>
    <n v="64.163598929380797"/>
    <n v="172444.564927069"/>
    <n v="753.39651496689999"/>
    <n v="9.7783465208822695E-2"/>
    <n v="8.9366671582842103E-2"/>
    <n v="0.58521836069824096"/>
    <n v="3.3138590644701801E-2"/>
    <n v="0.634755337064417"/>
    <n v="0"/>
    <x v="18"/>
    <x v="18"/>
    <n v="7436326973.3500004"/>
    <n v="43123"/>
  </r>
  <r>
    <n v="0.99268985055412096"/>
    <n v="8.4279410598669706"/>
    <n v="91.201704527036298"/>
    <n v="0"/>
    <n v="4.6285861327786799"/>
    <n v="4.25265636572726"/>
    <n v="72.174393219535304"/>
    <n v="23.593984025865801"/>
    <n v="58.1664377699339"/>
    <n v="4.57582508760522"/>
    <n v="5597.6562158647503"/>
    <n v="772.91627488059203"/>
    <n v="4.0004552063092502E-2"/>
    <n v="5.9821328759129502E-2"/>
    <n v="0.67374171508801295"/>
    <n v="2.8524754356657401E-2"/>
    <n v="0.33499841888822401"/>
    <n v="0"/>
    <x v="19"/>
    <x v="0"/>
    <n v="4304597.63"/>
    <n v="769"/>
  </r>
  <r>
    <n v="0.99262221982960896"/>
    <n v="8.5027772993865796"/>
    <n v="61.878948134386903"/>
    <n v="0"/>
    <n v="4.6696119735502499"/>
    <n v="4.2611718550764399"/>
    <n v="72.225412846447298"/>
    <n v="23.2452469025521"/>
    <n v="55.052414822023202"/>
    <n v="17.1032235176516"/>
    <n v="15806.0766377005"/>
    <n v="767.80026793112097"/>
    <n v="4.0586159523663297E-2"/>
    <n v="4.5392349811953399E-2"/>
    <n v="0.72335251030182701"/>
    <n v="2.7272547249134801E-2"/>
    <n v="0.32992720365134498"/>
    <n v="0"/>
    <x v="19"/>
    <x v="1"/>
    <n v="23645890.649999999"/>
    <n v="1496"/>
  </r>
  <r>
    <n v="0.99211053273057503"/>
    <n v="9.0671664970903905"/>
    <n v="29.206408131915801"/>
    <n v="0"/>
    <n v="4.70981259437389"/>
    <n v="4.2574905066121902"/>
    <n v="72.256113855893901"/>
    <n v="22.8442187422242"/>
    <n v="52.516536813618004"/>
    <n v="34.076781779529703"/>
    <n v="26158.342320148"/>
    <n v="756.70070092246999"/>
    <n v="5.3773529814397501E-2"/>
    <n v="3.3882572553015397E-2"/>
    <n v="0.79765066144220598"/>
    <n v="2.7905518568377599E-2"/>
    <n v="0.42865490445585802"/>
    <n v="0"/>
    <x v="19"/>
    <x v="2"/>
    <n v="113082513.84999999"/>
    <n v="4323"/>
  </r>
  <r>
    <n v="0.99157732446637104"/>
    <n v="9.6518965621903892"/>
    <n v="19.0767762031217"/>
    <n v="0"/>
    <n v="4.7180928722790103"/>
    <n v="4.2520901767322501"/>
    <n v="72.288506089387198"/>
    <n v="22.483669889328201"/>
    <n v="54.067656574742003"/>
    <n v="43.130936322976503"/>
    <n v="35934.532184916898"/>
    <n v="754.69147369808502"/>
    <n v="6.0544329777998999E-2"/>
    <n v="4.1895403242939701E-2"/>
    <n v="0.77738351946190498"/>
    <n v="2.6084996769129998E-2"/>
    <n v="0.48367372101353101"/>
    <n v="0"/>
    <x v="19"/>
    <x v="3"/>
    <n v="421691735.19"/>
    <n v="11735"/>
  </r>
  <r>
    <n v="0.99088295933621995"/>
    <n v="10.408188767383299"/>
    <n v="12.7542858600189"/>
    <n v="0"/>
    <n v="4.7036323145116201"/>
    <n v="4.2340047518095698"/>
    <n v="72.301694114900698"/>
    <n v="22.588553067110599"/>
    <n v="54.962146388798601"/>
    <n v="47.042380637587897"/>
    <n v="45889.731277245701"/>
    <n v="753.729973815932"/>
    <n v="6.57065185230193E-2"/>
    <n v="5.4466703070229001E-2"/>
    <n v="0.74870859381138899"/>
    <n v="3.08840800899042E-2"/>
    <n v="0.55792466236154503"/>
    <n v="0"/>
    <x v="19"/>
    <x v="4"/>
    <n v="1231634497.75"/>
    <n v="26839"/>
  </r>
  <r>
    <n v="0.99015122316519399"/>
    <n v="11.198901197225799"/>
    <n v="10.360217755137899"/>
    <n v="0"/>
    <n v="4.70291478532444"/>
    <n v="4.2175676831944502"/>
    <n v="72.308393391817205"/>
    <n v="22.534376663720501"/>
    <n v="58.998640833799001"/>
    <n v="52.000321259047404"/>
    <n v="55416.368814850597"/>
    <n v="750.85835298798497"/>
    <n v="7.37918215719605E-2"/>
    <n v="6.3831023643951601E-2"/>
    <n v="0.73940156165599402"/>
    <n v="3.33745282563188E-2"/>
    <n v="0.592693592412318"/>
    <n v="0"/>
    <x v="19"/>
    <x v="5"/>
    <n v="2407619559.5300002"/>
    <n v="43446"/>
  </r>
  <r>
    <n v="0.98945825399361997"/>
    <n v="11.9418193169098"/>
    <n v="10.304357603106199"/>
    <n v="0"/>
    <n v="4.70741334213933"/>
    <n v="4.2088715353431203"/>
    <n v="72.322619384812"/>
    <n v="22.353066691509799"/>
    <n v="61.311646194460202"/>
    <n v="54.850517295344403"/>
    <n v="65234.941012572497"/>
    <n v="750.76740373334201"/>
    <n v="7.6822744254622904E-2"/>
    <n v="6.4642092596316397E-2"/>
    <n v="0.71978676311109302"/>
    <n v="3.5375651953306497E-2"/>
    <n v="0.61503854286801196"/>
    <n v="0"/>
    <x v="19"/>
    <x v="6"/>
    <n v="3855189309.02"/>
    <n v="59097"/>
  </r>
  <r>
    <n v="0.98885507560625197"/>
    <n v="12.583832070118399"/>
    <n v="10.228636535252701"/>
    <n v="0"/>
    <n v="4.6966205638138101"/>
    <n v="4.1951468874561701"/>
    <n v="72.332021862855797"/>
    <n v="21.9413643191047"/>
    <n v="61.644917815782897"/>
    <n v="55.8611638870414"/>
    <n v="75198.330061413406"/>
    <n v="751.40247143520196"/>
    <n v="8.0870069655147397E-2"/>
    <n v="7.1015786422874497E-2"/>
    <n v="0.70445807260085502"/>
    <n v="3.3407015212148602E-2"/>
    <n v="0.643687823798892"/>
    <n v="0"/>
    <x v="19"/>
    <x v="7"/>
    <n v="5571293877.5900002"/>
    <n v="74088"/>
  </r>
  <r>
    <n v="0.98822927823689299"/>
    <n v="13.245382591525599"/>
    <n v="11.3403005287725"/>
    <n v="0"/>
    <n v="4.69018031312212"/>
    <n v="4.1757971052822001"/>
    <n v="72.363468711059198"/>
    <n v="21.941138050759701"/>
    <n v="64.257629198579096"/>
    <n v="58.564677596561097"/>
    <n v="85167.944016349007"/>
    <n v="751.34294859128204"/>
    <n v="8.8106222732576206E-2"/>
    <n v="7.3125537059302706E-2"/>
    <n v="0.69461038508120698"/>
    <n v="3.3527800832258703E-2"/>
    <n v="0.65132593588504994"/>
    <n v="0"/>
    <x v="19"/>
    <x v="8"/>
    <n v="7386871288.3699999"/>
    <n v="86733"/>
  </r>
  <r>
    <n v="0.98763250901186606"/>
    <n v="13.871968498286201"/>
    <n v="11.226219056904"/>
    <n v="0"/>
    <n v="4.6755097836113197"/>
    <n v="4.1596699534785797"/>
    <n v="72.355686671764403"/>
    <n v="21.811936563537099"/>
    <n v="64.455451816365596"/>
    <n v="59.034445458277602"/>
    <n v="95277.2228638058"/>
    <n v="752.86350802459401"/>
    <n v="8.4036602984256095E-2"/>
    <n v="7.6161334051114402E-2"/>
    <n v="0.66486716668568602"/>
    <n v="3.40059499051606E-2"/>
    <n v="0.61384471196540003"/>
    <n v="0"/>
    <x v="19"/>
    <x v="9"/>
    <n v="10499835791.26"/>
    <n v="110203"/>
  </r>
  <r>
    <n v="0.98697484518029699"/>
    <n v="14.557684662465601"/>
    <n v="12.2024620187743"/>
    <n v="0"/>
    <n v="4.6757731256568897"/>
    <n v="4.14516488226581"/>
    <n v="72.361211742418106"/>
    <n v="21.806676676601601"/>
    <n v="66.815323701087493"/>
    <n v="61.406281393956398"/>
    <n v="105009.80212964999"/>
    <n v="751.32262881429301"/>
    <n v="9.4655096624932294E-2"/>
    <n v="7.3801739176782802E-2"/>
    <n v="0.65020039828113896"/>
    <n v="3.0965558653865199E-2"/>
    <n v="0.64155633387323097"/>
    <n v="0"/>
    <x v="19"/>
    <x v="10"/>
    <n v="10615125867.879999"/>
    <n v="101087"/>
  </r>
  <r>
    <n v="0.98641154273344001"/>
    <n v="15.1410316913797"/>
    <n v="12.446359536224"/>
    <n v="0"/>
    <n v="4.6598634063753597"/>
    <n v="4.1320120437113204"/>
    <n v="72.363930953019107"/>
    <n v="21.899074866921399"/>
    <n v="67.315247037329399"/>
    <n v="61.8634761816759"/>
    <n v="115058.305019458"/>
    <n v="752.68917230976695"/>
    <n v="9.7358675001141301E-2"/>
    <n v="7.3599850574666406E-2"/>
    <n v="0.62984042636136806"/>
    <n v="3.1002125404189999E-2"/>
    <n v="0.63480599410995797"/>
    <n v="0"/>
    <x v="19"/>
    <x v="11"/>
    <n v="11885292791.9"/>
    <n v="103298"/>
  </r>
  <r>
    <n v="0.98588599903487195"/>
    <n v="15.6819821083294"/>
    <n v="13.153761253804801"/>
    <n v="0"/>
    <n v="4.64930978506613"/>
    <n v="4.1225103986607596"/>
    <n v="72.382876891185504"/>
    <n v="21.749173257633299"/>
    <n v="67.552044738416797"/>
    <n v="62.171704531252402"/>
    <n v="124932.187829609"/>
    <n v="753.11424988662395"/>
    <n v="9.6143002148992907E-2"/>
    <n v="8.14771016207161E-2"/>
    <n v="0.62270568514958002"/>
    <n v="3.1297801591361502E-2"/>
    <n v="0.63728446422049101"/>
    <n v="0"/>
    <x v="19"/>
    <x v="12"/>
    <n v="13262301331.24"/>
    <n v="106156"/>
  </r>
  <r>
    <n v="0.98535768524826906"/>
    <n v="16.222596089933798"/>
    <n v="14.5539381475879"/>
    <n v="0"/>
    <n v="4.6444923432783902"/>
    <n v="4.1149072186037996"/>
    <n v="72.380513002660905"/>
    <n v="21.8129992803885"/>
    <n v="68.109809034395795"/>
    <n v="62.6987245460477"/>
    <n v="134946.67513008701"/>
    <n v="752.83191397455096"/>
    <n v="9.8982469796522199E-2"/>
    <n v="8.2581228871881199E-2"/>
    <n v="0.61867939522283699"/>
    <n v="3.3195361159910799E-2"/>
    <n v="0.64403378818101797"/>
    <n v="0"/>
    <x v="19"/>
    <x v="13"/>
    <n v="13677520257.809999"/>
    <n v="101355"/>
  </r>
  <r>
    <n v="0.98483016130555101"/>
    <n v="16.759229902154601"/>
    <n v="14.7494841098094"/>
    <n v="0"/>
    <n v="4.6375852494454604"/>
    <n v="4.1132867182782"/>
    <n v="72.382677872408607"/>
    <n v="21.5921765679226"/>
    <n v="67.0782332883566"/>
    <n v="61.925490254193697"/>
    <n v="144963.203423192"/>
    <n v="753.42940506234095"/>
    <n v="9.6570630852307202E-2"/>
    <n v="8.1836808965294897E-2"/>
    <n v="0.602703592744253"/>
    <n v="3.3680473735119697E-2"/>
    <n v="0.64427424354787"/>
    <n v="0"/>
    <x v="19"/>
    <x v="14"/>
    <n v="14938458112.76"/>
    <n v="103050"/>
  </r>
  <r>
    <n v="0.98426013769182796"/>
    <n v="17.335553983035201"/>
    <n v="15.671764408142799"/>
    <n v="0"/>
    <n v="4.6441775365219202"/>
    <n v="4.1116654175893599"/>
    <n v="72.388702289093999"/>
    <n v="21.6834443917508"/>
    <n v="68.293774949893105"/>
    <n v="63.117828166551298"/>
    <n v="154955.236611884"/>
    <n v="752.85354069943503"/>
    <n v="0.10254748678247801"/>
    <n v="8.3438372529206897E-2"/>
    <n v="0.59994392380456396"/>
    <n v="3.2020707658921198E-2"/>
    <n v="0.65987361922076704"/>
    <n v="0"/>
    <x v="19"/>
    <x v="15"/>
    <n v="14321892699.09"/>
    <n v="92426"/>
  </r>
  <r>
    <n v="0.98363709154392598"/>
    <n v="17.9613011093487"/>
    <n v="16.880763126923299"/>
    <n v="0"/>
    <n v="4.63376330162881"/>
    <n v="4.1015282835963802"/>
    <n v="72.387725293573894"/>
    <n v="21.7355536083512"/>
    <n v="68.814138846477803"/>
    <n v="63.549435717407398"/>
    <n v="165018.66254593199"/>
    <n v="753.31277309467202"/>
    <n v="0.10005922263557999"/>
    <n v="8.5977669556053599E-2"/>
    <n v="0.58904354635026102"/>
    <n v="3.4448046008353203E-2"/>
    <n v="0.64908916090207103"/>
    <n v="0"/>
    <x v="19"/>
    <x v="16"/>
    <n v="15080230476.76"/>
    <n v="91385"/>
  </r>
  <r>
    <n v="0.97689435952153203"/>
    <n v="24.4610011725158"/>
    <n v="28.7386220898034"/>
    <n v="0"/>
    <n v="4.5969713209407397"/>
    <n v="4.0685165178450102"/>
    <n v="72.389346387800302"/>
    <n v="21.4160148654924"/>
    <n v="69.1189068611735"/>
    <n v="63.982346189651103"/>
    <n v="285256.48486139497"/>
    <n v="753.99912174494898"/>
    <n v="0.157465671510155"/>
    <n v="8.8332935890017103E-2"/>
    <n v="0.52123785723643401"/>
    <n v="6.4256694217557503E-2"/>
    <n v="0.63654530496308404"/>
    <n v="0"/>
    <x v="19"/>
    <x v="17"/>
    <n v="340486704434.32001"/>
    <n v="1193616"/>
  </r>
  <r>
    <n v="0.98318770368624797"/>
    <n v="18.409938498613801"/>
    <n v="18.236013868373998"/>
    <n v="0"/>
    <n v="4.6332225912009903"/>
    <n v="4.0998170909263099"/>
    <n v="72.3880420834994"/>
    <n v="21.662070809990102"/>
    <n v="68.934242382410602"/>
    <n v="63.730618640860399"/>
    <n v="172460.75412423199"/>
    <n v="753.78128382340299"/>
    <n v="0.10066205812993299"/>
    <n v="8.4281109879720595E-2"/>
    <n v="0.58600707418620601"/>
    <n v="3.5739283019368302E-2"/>
    <n v="0.63930136298887297"/>
    <n v="0"/>
    <x v="19"/>
    <x v="18"/>
    <n v="7887837511.3800001"/>
    <n v="45737"/>
  </r>
  <r>
    <n v="0.99287883020776002"/>
    <n v="8.2185295889208607"/>
    <n v="83.385019932240397"/>
    <n v="0"/>
    <n v="4.64161804766053"/>
    <n v="4.1963075867010602"/>
    <n v="77.436285259912196"/>
    <n v="22.297126304868002"/>
    <n v="60.465095050845797"/>
    <n v="4.4197323831790198"/>
    <n v="5748.5494170403499"/>
    <n v="772.34040071709103"/>
    <n v="3.54467248767633E-2"/>
    <n v="6.0937317478487997E-2"/>
    <n v="0.62394173211529502"/>
    <n v="2.9402636899968301E-2"/>
    <n v="0.31905860979717698"/>
    <n v="0"/>
    <x v="20"/>
    <x v="0"/>
    <n v="3845779.56"/>
    <n v="669"/>
  </r>
  <r>
    <n v="0.99284987448717099"/>
    <n v="8.25064435214491"/>
    <n v="63.028832758399297"/>
    <n v="0"/>
    <n v="4.6748907819052699"/>
    <n v="4.2020778237935303"/>
    <n v="77.446514420563801"/>
    <n v="22.278860768895399"/>
    <n v="55.812004546642399"/>
    <n v="16.629976021755301"/>
    <n v="15835.227224489699"/>
    <n v="766.60941322798601"/>
    <n v="4.1942037058216503E-2"/>
    <n v="4.5434631539295403E-2"/>
    <n v="0.70045768643573803"/>
    <n v="2.8815799193930298E-2"/>
    <n v="0.32075791680105098"/>
    <n v="0"/>
    <x v="20"/>
    <x v="1"/>
    <n v="23277784.02"/>
    <n v="1470"/>
  </r>
  <r>
    <n v="0.99222363862055596"/>
    <n v="8.9426865300533098"/>
    <n v="32.724730133075198"/>
    <n v="0"/>
    <n v="4.7502350534136797"/>
    <n v="4.2302480254012096"/>
    <n v="77.417357774770196"/>
    <n v="21.899658225726299"/>
    <n v="53.412098781240203"/>
    <n v="35.011144369518298"/>
    <n v="26051.5992074159"/>
    <n v="755.423080908001"/>
    <n v="4.4259990173073901E-2"/>
    <n v="3.8928124970113998E-2"/>
    <n v="0.77072393518861104"/>
    <n v="2.7495890133827298E-2"/>
    <n v="0.39057896654392699"/>
    <n v="0"/>
    <x v="20"/>
    <x v="2"/>
    <n v="112412650.58"/>
    <n v="4315"/>
  </r>
  <r>
    <n v="0.99157708170290904"/>
    <n v="9.6521619961200091"/>
    <n v="18.7675114132016"/>
    <n v="0"/>
    <n v="4.7604423953598198"/>
    <n v="4.2260683071814604"/>
    <n v="77.425992053759103"/>
    <n v="21.731118903779599"/>
    <n v="54.711975779338303"/>
    <n v="43.906590094938601"/>
    <n v="35926.390716024798"/>
    <n v="754.17219941972201"/>
    <n v="5.12843422816152E-2"/>
    <n v="4.1477829574204303E-2"/>
    <n v="0.75034859637041396"/>
    <n v="2.5099048838930899E-2"/>
    <n v="0.45478827879004902"/>
    <n v="0"/>
    <x v="20"/>
    <x v="3"/>
    <n v="398387746.64999998"/>
    <n v="11089"/>
  </r>
  <r>
    <n v="0.99063726710355404"/>
    <n v="10.6744000454733"/>
    <n v="13.675109586760801"/>
    <n v="0"/>
    <n v="4.7465267400717703"/>
    <n v="4.2121181914068702"/>
    <n v="77.4341307564723"/>
    <n v="21.909964841715301"/>
    <n v="55.425785431792399"/>
    <n v="47.9386503412004"/>
    <n v="45957.454303188199"/>
    <n v="752.72374389639799"/>
    <n v="6.1440001003367398E-2"/>
    <n v="5.6117784181239E-2"/>
    <n v="0.72521968878345999"/>
    <n v="2.8503750553134099E-2"/>
    <n v="0.53195209076782202"/>
    <n v="0"/>
    <x v="20"/>
    <x v="4"/>
    <n v="1145949123.05"/>
    <n v="24935"/>
  </r>
  <r>
    <n v="0.98975360693900705"/>
    <n v="11.625876918058299"/>
    <n v="11.6092063002649"/>
    <n v="0"/>
    <n v="4.7525803288314901"/>
    <n v="4.20429381070924"/>
    <n v="77.425676964070107"/>
    <n v="21.842406057861002"/>
    <n v="59.147108217771702"/>
    <n v="52.747944273402801"/>
    <n v="55475.500239935798"/>
    <n v="750.59706251453895"/>
    <n v="6.8537827504853793E-2"/>
    <n v="6.2200566741330197E-2"/>
    <n v="0.71727939200343305"/>
    <n v="3.2987594837293098E-2"/>
    <n v="0.57832054325696503"/>
    <n v="0"/>
    <x v="20"/>
    <x v="5"/>
    <n v="2282040177.8699999"/>
    <n v="41136"/>
  </r>
  <r>
    <n v="0.98890655831101304"/>
    <n v="12.5292027140733"/>
    <n v="10.7580092403281"/>
    <n v="0"/>
    <n v="4.7504104074723204"/>
    <n v="4.1918861448146796"/>
    <n v="77.429919946470207"/>
    <n v="21.9718074570639"/>
    <n v="61.050223480199598"/>
    <n v="55.141890178414897"/>
    <n v="65259.141562906501"/>
    <n v="751.21520006763603"/>
    <n v="7.1537454597778105E-2"/>
    <n v="6.3854310011881604E-2"/>
    <n v="0.70046227174696996"/>
    <n v="3.4401992023924001E-2"/>
    <n v="0.60915731310329102"/>
    <n v="0"/>
    <x v="20"/>
    <x v="6"/>
    <n v="3661494655.6700001"/>
    <n v="56107"/>
  </r>
  <r>
    <n v="0.988186656884538"/>
    <n v="13.2902716335973"/>
    <n v="11.0512213739191"/>
    <n v="0"/>
    <n v="4.7356964638740902"/>
    <n v="4.1789895125460097"/>
    <n v="77.449657023005798"/>
    <n v="21.674223807724299"/>
    <n v="60.737804060472001"/>
    <n v="55.584413343810603"/>
    <n v="75198.024855009193"/>
    <n v="752.44962505269905"/>
    <n v="7.9509123261954501E-2"/>
    <n v="6.8416264435441201E-2"/>
    <n v="0.68805886721583898"/>
    <n v="3.1977231085384097E-2"/>
    <n v="0.64667775424357699"/>
    <n v="0"/>
    <x v="20"/>
    <x v="7"/>
    <n v="5427567839.96"/>
    <n v="72177"/>
  </r>
  <r>
    <n v="0.98748964600182498"/>
    <n v="14.0213527091994"/>
    <n v="11.748204748187501"/>
    <n v="0"/>
    <n v="4.7296683465402198"/>
    <n v="4.1609664897640899"/>
    <n v="77.449574162726293"/>
    <n v="21.805417160657601"/>
    <n v="63.608797204285402"/>
    <n v="58.433233150014097"/>
    <n v="85167.6497266886"/>
    <n v="752.39821367301704"/>
    <n v="8.7179076760931798E-2"/>
    <n v="6.9598276555587493E-2"/>
    <n v="0.67900112634084897"/>
    <n v="3.1133251033958399E-2"/>
    <n v="0.65668391761323197"/>
    <n v="0"/>
    <x v="20"/>
    <x v="8"/>
    <n v="7092336030.9899998"/>
    <n v="83275"/>
  </r>
  <r>
    <n v="0.98679908579945896"/>
    <n v="14.740091605873801"/>
    <n v="11.925099715396"/>
    <n v="0"/>
    <n v="4.71862320784488"/>
    <n v="4.1484015582306801"/>
    <n v="77.446056286051302"/>
    <n v="21.666648396159701"/>
    <n v="63.300127644348997"/>
    <n v="58.510913130343901"/>
    <n v="95318.8076537585"/>
    <n v="754.28342171438703"/>
    <n v="8.5221069437847699E-2"/>
    <n v="7.3371474009532603E-2"/>
    <n v="0.65029510309430505"/>
    <n v="3.1433350012049097E-2"/>
    <n v="0.63186176872955402"/>
    <n v="0"/>
    <x v="20"/>
    <x v="9"/>
    <n v="10335704270.32"/>
    <n v="108433"/>
  </r>
  <r>
    <n v="0.98609770502989802"/>
    <n v="15.4644511460864"/>
    <n v="12.5992129708891"/>
    <n v="0"/>
    <n v="4.7171908755597496"/>
    <n v="4.1335605582302604"/>
    <n v="77.451728857947501"/>
    <n v="21.824375091174101"/>
    <n v="65.969894928577204"/>
    <n v="61.0797088793569"/>
    <n v="104999.32086624501"/>
    <n v="752.79971638268898"/>
    <n v="9.55742937953174E-2"/>
    <n v="6.9667713637660195E-2"/>
    <n v="0.63999439335033204"/>
    <n v="2.8708088360077301E-2"/>
    <n v="0.65703069489756805"/>
    <n v="0"/>
    <x v="20"/>
    <x v="10"/>
    <n v="10326053211.27"/>
    <n v="98344"/>
  </r>
  <r>
    <n v="0.98546769404514201"/>
    <n v="16.110288697868601"/>
    <n v="13.5851955064928"/>
    <n v="0"/>
    <n v="4.7034209058926102"/>
    <n v="4.1221511698675899"/>
    <n v="77.451165295401097"/>
    <n v="21.980047673254202"/>
    <n v="66.386346335604003"/>
    <n v="61.451487537503901"/>
    <n v="115055.03275111799"/>
    <n v="753.838376687611"/>
    <n v="0.10023088330107401"/>
    <n v="7.0614393262263805E-2"/>
    <n v="0.62270007274924299"/>
    <n v="2.9270702239471699E-2"/>
    <n v="0.65738682626662104"/>
    <n v="0"/>
    <x v="20"/>
    <x v="11"/>
    <n v="11575686845.09"/>
    <n v="100610"/>
  </r>
  <r>
    <n v="0.98489720860875296"/>
    <n v="16.6911999864667"/>
    <n v="14.637533287266701"/>
    <n v="0"/>
    <n v="4.6971577104638298"/>
    <n v="4.1156268657006603"/>
    <n v="77.455204634414798"/>
    <n v="21.8492610648983"/>
    <n v="66.5806248361"/>
    <n v="61.761055023864103"/>
    <n v="124912.312207797"/>
    <n v="754.02032261843203"/>
    <n v="9.8967116337142405E-2"/>
    <n v="7.6736467079263002E-2"/>
    <n v="0.617284933886868"/>
    <n v="2.9745667800915501E-2"/>
    <n v="0.65932045531862005"/>
    <n v="0"/>
    <x v="20"/>
    <x v="12"/>
    <n v="12816003232.52"/>
    <n v="102600"/>
  </r>
  <r>
    <n v="0.98431842052575302"/>
    <n v="17.276795277948501"/>
    <n v="15.1423974799847"/>
    <n v="0"/>
    <n v="4.6910680391323103"/>
    <n v="4.1080191543737801"/>
    <n v="77.451021616687399"/>
    <n v="21.9513284772395"/>
    <n v="67.2467065606684"/>
    <n v="62.304191002571201"/>
    <n v="134935.29414679299"/>
    <n v="753.51143682347504"/>
    <n v="0.102738602690332"/>
    <n v="7.7169745612098495E-2"/>
    <n v="0.610224238961532"/>
    <n v="3.11231210555203E-2"/>
    <n v="0.66594667476491298"/>
    <n v="0"/>
    <x v="20"/>
    <x v="13"/>
    <n v="13115440720.48"/>
    <n v="97198"/>
  </r>
  <r>
    <n v="0.98370408892299699"/>
    <n v="17.894222256582601"/>
    <n v="16.657577486193698"/>
    <n v="0"/>
    <n v="4.6827414351668599"/>
    <n v="4.10489222441743"/>
    <n v="77.4594600008692"/>
    <n v="21.812414331393601"/>
    <n v="66.060739105145998"/>
    <n v="61.403437414638397"/>
    <n v="144972.28674646199"/>
    <n v="754.58409035676596"/>
    <n v="9.9899477313513702E-2"/>
    <n v="7.6833027915827107E-2"/>
    <n v="0.59943385403549698"/>
    <n v="3.2538473564976703E-2"/>
    <n v="0.66633807050481397"/>
    <n v="0"/>
    <x v="20"/>
    <x v="14"/>
    <n v="14497953536.08"/>
    <n v="100005"/>
  </r>
  <r>
    <n v="0.98308822806714802"/>
    <n v="18.5089434832385"/>
    <n v="17.586171893656601"/>
    <n v="0"/>
    <n v="4.6869190913401004"/>
    <n v="4.1011571106418998"/>
    <n v="77.460591847974996"/>
    <n v="21.8843997313516"/>
    <n v="67.434076076871307"/>
    <n v="62.717876743650798"/>
    <n v="154955.22280135399"/>
    <n v="753.44273546547902"/>
    <n v="0.104907854807114"/>
    <n v="7.8712214204124997E-2"/>
    <n v="0.59115082847577605"/>
    <n v="3.0157760439464502E-2"/>
    <n v="0.68627390496622698"/>
    <n v="0"/>
    <x v="20"/>
    <x v="15"/>
    <n v="13820301366.43"/>
    <n v="89189"/>
  </r>
  <r>
    <n v="0.98240034520988095"/>
    <n v="19.1905637767588"/>
    <n v="18.258377903551299"/>
    <n v="0"/>
    <n v="4.6806144526534101"/>
    <n v="4.0940922176395702"/>
    <n v="77.447700920479306"/>
    <n v="21.978410864807302"/>
    <n v="67.979225489336898"/>
    <n v="63.216108879431999"/>
    <n v="164996.19574534"/>
    <n v="753.69218708466803"/>
    <n v="0.107010029225763"/>
    <n v="8.0902766873040599E-2"/>
    <n v="0.57919391235596296"/>
    <n v="3.3092041190098898E-2"/>
    <n v="0.67454934934977095"/>
    <n v="0"/>
    <x v="20"/>
    <x v="16"/>
    <n v="14466536450.559999"/>
    <n v="87678"/>
  </r>
  <r>
    <n v="0.97517214054325596"/>
    <n v="26.043657269215199"/>
    <n v="30.4373048900306"/>
    <n v="0"/>
    <n v="4.6456013596066397"/>
    <n v="4.0641856115392301"/>
    <n v="77.449143195347503"/>
    <n v="21.7447922521769"/>
    <n v="68.098909292951106"/>
    <n v="63.443155434998602"/>
    <n v="285674.88746722299"/>
    <n v="754.20298051496002"/>
    <n v="0.16605765028664499"/>
    <n v="8.2234269204526103E-2"/>
    <n v="0.51854716591860905"/>
    <n v="6.4562282891004394E-2"/>
    <n v="0.66652750971667496"/>
    <n v="0"/>
    <x v="20"/>
    <x v="17"/>
    <n v="320480373056.67999"/>
    <n v="1121836"/>
  </r>
  <r>
    <n v="0.98188557390910303"/>
    <n v="19.697225277039301"/>
    <n v="17.680623716215401"/>
    <n v="0"/>
    <n v="4.6800792442240002"/>
    <n v="4.0933273554472001"/>
    <n v="77.457632933254899"/>
    <n v="21.906658663836801"/>
    <n v="67.972767990899101"/>
    <n v="63.255898241417697"/>
    <n v="172468.45913571"/>
    <n v="754.92749022395901"/>
    <n v="0.103397366077832"/>
    <n v="8.3238590906015306E-2"/>
    <n v="0.57105297198710403"/>
    <n v="3.59988226888679E-2"/>
    <n v="0.667835407565885"/>
    <n v="0"/>
    <x v="20"/>
    <x v="18"/>
    <n v="7433218120.29"/>
    <n v="43099"/>
  </r>
  <r>
    <n v="0.99267106581956199"/>
    <n v="8.4487327841142594"/>
    <n v="90.728537237565007"/>
    <n v="0"/>
    <n v="4.6719628535009399"/>
    <n v="4.1872150302223998"/>
    <n v="82.647215069339794"/>
    <n v="23.353357455901701"/>
    <n v="60.053348645626599"/>
    <n v="4.3200006949406697"/>
    <n v="5688.8814809160303"/>
    <n v="770.371545627248"/>
    <n v="3.8900390290435398E-2"/>
    <n v="9.0239714061555107E-2"/>
    <n v="0.66462432920278003"/>
    <n v="2.4384135700596499E-2"/>
    <n v="0.32185742293397102"/>
    <n v="0"/>
    <x v="21"/>
    <x v="0"/>
    <n v="3726217.37"/>
    <n v="655"/>
  </r>
  <r>
    <n v="0.99252628220331995"/>
    <n v="8.6088401475413008"/>
    <n v="62.5473368969582"/>
    <n v="0"/>
    <n v="4.69909520823321"/>
    <n v="4.1862828190560197"/>
    <n v="82.552792082773607"/>
    <n v="23.3830353211067"/>
    <n v="55.741527468698401"/>
    <n v="17.125508410806901"/>
    <n v="15792.4544651162"/>
    <n v="765.21566550161697"/>
    <n v="3.8952491932670003E-2"/>
    <n v="4.8525639792306202E-2"/>
    <n v="0.71529893671661204"/>
    <n v="2.90322537173212E-2"/>
    <n v="0.31010219478645201"/>
    <n v="0"/>
    <x v="21"/>
    <x v="1"/>
    <n v="23767643.969999999"/>
    <n v="1505"/>
  </r>
  <r>
    <n v="0.99206590749189005"/>
    <n v="9.1162363802921291"/>
    <n v="26.785549213665998"/>
    <n v="0"/>
    <n v="4.7540110459087703"/>
    <n v="4.1979919440383497"/>
    <n v="82.565434961426703"/>
    <n v="22.832008304064999"/>
    <n v="52.239088989438201"/>
    <n v="34.657963807982597"/>
    <n v="26088.195607721598"/>
    <n v="757.29470266962596"/>
    <n v="5.3172728822752598E-2"/>
    <n v="4.4307085515152902E-2"/>
    <n v="0.79012533465259205"/>
    <n v="2.6960530081708799E-2"/>
    <n v="0.43379509772816299"/>
    <n v="0"/>
    <x v="21"/>
    <x v="2"/>
    <n v="109466068.77"/>
    <n v="4196"/>
  </r>
  <r>
    <n v="0.99123972030239205"/>
    <n v="10.020337940360101"/>
    <n v="18.085609733114399"/>
    <n v="0"/>
    <n v="4.7722962948330503"/>
    <n v="4.2011633729070903"/>
    <n v="82.593321641672205"/>
    <n v="22.8096999963456"/>
    <n v="54.097253055483002"/>
    <n v="43.305295554256197"/>
    <n v="35916.097461956502"/>
    <n v="753.33735790558796"/>
    <n v="6.1566115309946302E-2"/>
    <n v="4.1780979023776303E-2"/>
    <n v="0.77500880394639404"/>
    <n v="2.5538025374412899E-2"/>
    <n v="0.498669849695624"/>
    <n v="0"/>
    <x v="21"/>
    <x v="3"/>
    <n v="396513715.98000002"/>
    <n v="11040"/>
  </r>
  <r>
    <n v="0.99026310518217198"/>
    <n v="11.078417506091"/>
    <n v="12.762642744480999"/>
    <n v="0"/>
    <n v="4.7575840793543804"/>
    <n v="4.1853038696264404"/>
    <n v="82.567105469967402"/>
    <n v="22.845440408258298"/>
    <n v="54.910950943404998"/>
    <n v="47.231938717041203"/>
    <n v="45926.275746457599"/>
    <n v="751.85166440350201"/>
    <n v="6.5440750051589697E-2"/>
    <n v="5.7653876480559599E-2"/>
    <n v="0.73687326050114699"/>
    <n v="3.0010997064381598E-2"/>
    <n v="0.56590309034574704"/>
    <n v="0"/>
    <x v="21"/>
    <x v="4"/>
    <n v="1160373283.01"/>
    <n v="25266"/>
  </r>
  <r>
    <n v="0.98930308570179704"/>
    <n v="12.1073894147831"/>
    <n v="11.8301867039886"/>
    <n v="0"/>
    <n v="4.7543292005197904"/>
    <n v="4.1674593880115101"/>
    <n v="82.544323560849506"/>
    <n v="22.77542896784"/>
    <n v="59.123838390047901"/>
    <n v="52.245613832335899"/>
    <n v="55446.747398886197"/>
    <n v="750.34171639319402"/>
    <n v="7.2663598312632194E-2"/>
    <n v="6.5731178694468304E-2"/>
    <n v="0.72922018532320299"/>
    <n v="3.21076543795542E-2"/>
    <n v="0.60216368740906101"/>
    <n v="0"/>
    <x v="21"/>
    <x v="5"/>
    <n v="2270211625.5"/>
    <n v="40944"/>
  </r>
  <r>
    <n v="0.98833188813846995"/>
    <n v="13.137225891070001"/>
    <n v="11.3828194239056"/>
    <n v="0"/>
    <n v="4.7487669830529899"/>
    <n v="4.15213231904632"/>
    <n v="82.553774154156798"/>
    <n v="22.7576714844731"/>
    <n v="61.206033436848898"/>
    <n v="54.767704809459197"/>
    <n v="65235.502818209599"/>
    <n v="750.37405056748901"/>
    <n v="7.8007615790093507E-2"/>
    <n v="6.4382535882197695E-2"/>
    <n v="0.71122255341622698"/>
    <n v="3.4578851071728998E-2"/>
    <n v="0.63496392948982305"/>
    <n v="0"/>
    <x v="21"/>
    <x v="6"/>
    <n v="3616851982.75"/>
    <n v="55443"/>
  </r>
  <r>
    <n v="0.98751742806384302"/>
    <n v="13.992321108464999"/>
    <n v="11.9156258576197"/>
    <n v="0"/>
    <n v="4.7267867519278797"/>
    <n v="4.1269704041903603"/>
    <n v="82.538227156792701"/>
    <n v="22.304068546815099"/>
    <n v="61.704255742222799"/>
    <n v="56.003143911067099"/>
    <n v="75160.090350772894"/>
    <n v="751.65172055107303"/>
    <n v="8.3757966150674101E-2"/>
    <n v="7.0387726594604294E-2"/>
    <n v="0.69293539383431402"/>
    <n v="3.28600217202559E-2"/>
    <n v="0.65925820440689897"/>
    <n v="0"/>
    <x v="21"/>
    <x v="7"/>
    <n v="5187474275.9200001"/>
    <n v="69019"/>
  </r>
  <r>
    <n v="0.98671864815472698"/>
    <n v="14.823452433734801"/>
    <n v="11.1190257375399"/>
    <n v="0"/>
    <n v="4.7223194283148002"/>
    <n v="4.1077636030709002"/>
    <n v="82.516653503609405"/>
    <n v="22.405218972823"/>
    <n v="64.5783329435816"/>
    <n v="58.939522699697498"/>
    <n v="85161.275865183605"/>
    <n v="751.31635933066798"/>
    <n v="9.0514513107766703E-2"/>
    <n v="7.1347678950728202E-2"/>
    <n v="0.68496549485889802"/>
    <n v="3.1752655146292698E-2"/>
    <n v="0.66715111553205197"/>
    <n v="0"/>
    <x v="21"/>
    <x v="8"/>
    <n v="6844922708.9399996"/>
    <n v="80376"/>
  </r>
  <r>
    <n v="0.98595745005589697"/>
    <n v="15.6086225859869"/>
    <n v="12.5479716800224"/>
    <n v="0"/>
    <n v="4.70756116074738"/>
    <n v="4.0925440417410801"/>
    <n v="82.511598940861404"/>
    <n v="22.295419176639601"/>
    <n v="64.545305359610396"/>
    <n v="59.2128965921152"/>
    <n v="95272.964578098996"/>
    <n v="753.46694922148697"/>
    <n v="8.6345607660603105E-2"/>
    <n v="7.4176418969514504E-2"/>
    <n v="0.654138371832652"/>
    <n v="3.34610821936824E-2"/>
    <n v="0.63550016270191401"/>
    <n v="0"/>
    <x v="21"/>
    <x v="9"/>
    <n v="9753093383.8600006"/>
    <n v="102370"/>
  </r>
  <r>
    <n v="0.98517361023533501"/>
    <n v="16.410209080251999"/>
    <n v="13.2022793671306"/>
    <n v="0"/>
    <n v="4.7077729049840897"/>
    <n v="4.0803587853469701"/>
    <n v="82.5058634250138"/>
    <n v="22.408308459413899"/>
    <n v="66.765076229021801"/>
    <n v="61.448556774198998"/>
    <n v="104992.989087845"/>
    <n v="752.01151280795796"/>
    <n v="9.81104504980536E-2"/>
    <n v="7.1249979969171096E-2"/>
    <n v="0.64174373987885203"/>
    <n v="2.9208601163447801E-2"/>
    <n v="0.664371811144714"/>
    <n v="0"/>
    <x v="21"/>
    <x v="10"/>
    <n v="9782721758.2600002"/>
    <n v="93175"/>
  </r>
  <r>
    <n v="0.98449497076608805"/>
    <n v="17.098569806580901"/>
    <n v="14.066351510899199"/>
    <n v="0"/>
    <n v="4.6968807340330496"/>
    <n v="4.0717014449422901"/>
    <n v="82.496587357322795"/>
    <n v="22.586365011406301"/>
    <n v="67.169398942298102"/>
    <n v="61.845599751764297"/>
    <n v="115062.221170323"/>
    <n v="753.37410843594398"/>
    <n v="0.10112271911294"/>
    <n v="7.2771255340068494E-2"/>
    <n v="0.62439180362675095"/>
    <n v="3.0997701260549699E-2"/>
    <n v="0.66596252842661796"/>
    <n v="0"/>
    <x v="21"/>
    <x v="11"/>
    <n v="11043902112.370001"/>
    <n v="95982"/>
  </r>
  <r>
    <n v="0.98387212152172898"/>
    <n v="17.725764082757699"/>
    <n v="14.3985372977758"/>
    <n v="0"/>
    <n v="4.6879951917877802"/>
    <n v="4.0626063179008503"/>
    <n v="82.498466608135601"/>
    <n v="22.4279410078396"/>
    <n v="67.445861887594006"/>
    <n v="62.220720306762502"/>
    <n v="124940.649588178"/>
    <n v="753.72580511149101"/>
    <n v="0.101166622745069"/>
    <n v="7.76039149120204E-2"/>
    <n v="0.62007717587145705"/>
    <n v="3.1485283086951699E-2"/>
    <n v="0.67035263930521805"/>
    <n v="0"/>
    <x v="21"/>
    <x v="12"/>
    <n v="12044403560.950001"/>
    <n v="96401"/>
  </r>
  <r>
    <n v="0.98325059934806702"/>
    <n v="18.347283522609899"/>
    <n v="15.6350034023106"/>
    <n v="0"/>
    <n v="4.6822644755006202"/>
    <n v="4.0552983558003302"/>
    <n v="82.495993210696597"/>
    <n v="22.548697319277601"/>
    <n v="67.951477249558195"/>
    <n v="62.686649181390102"/>
    <n v="134954.50425051001"/>
    <n v="753.66654393882902"/>
    <n v="0.103831042196863"/>
    <n v="7.7872718818815301E-2"/>
    <n v="0.61078337943123495"/>
    <n v="3.09393237519393E-2"/>
    <n v="0.67470397922022396"/>
    <n v="0"/>
    <x v="21"/>
    <x v="13"/>
    <n v="12436867293.709999"/>
    <n v="92156"/>
  </r>
  <r>
    <n v="0.98260674413456195"/>
    <n v="18.986594785026298"/>
    <n v="16.061312969715299"/>
    <n v="0"/>
    <n v="4.6785817749771699"/>
    <n v="4.0544942538848803"/>
    <n v="82.496979147747993"/>
    <n v="22.395156236640599"/>
    <n v="66.980801590796801"/>
    <n v="62.0011913141823"/>
    <n v="144953.78532093501"/>
    <n v="754.20595221106305"/>
    <n v="0.10006554625570301"/>
    <n v="7.9218538410558398E-2"/>
    <n v="0.598175093914871"/>
    <n v="3.3553231381299703E-2"/>
    <n v="0.67663082864113899"/>
    <n v="0"/>
    <x v="21"/>
    <x v="14"/>
    <n v="13554338557.790001"/>
    <n v="93508"/>
  </r>
  <r>
    <n v="0.98194944745096602"/>
    <n v="19.634516647776302"/>
    <n v="17.159176846560602"/>
    <n v="0"/>
    <n v="4.6850263255086997"/>
    <n v="4.0535629986061101"/>
    <n v="82.483112840504305"/>
    <n v="22.417588441807901"/>
    <n v="68.152570211461907"/>
    <n v="63.143878683581001"/>
    <n v="154939.639970141"/>
    <n v="753.33812610277903"/>
    <n v="0.10730674818719101"/>
    <n v="8.2006772795184202E-2"/>
    <n v="0.59394590682613402"/>
    <n v="3.0866758552648001E-2"/>
    <n v="0.69385955737953797"/>
    <n v="0"/>
    <x v="21"/>
    <x v="15"/>
    <n v="13180250353.34"/>
    <n v="85067"/>
  </r>
  <r>
    <n v="0.98120827802856803"/>
    <n v="20.359414895543399"/>
    <n v="18.451342332908101"/>
    <n v="0"/>
    <n v="4.6751851964343896"/>
    <n v="4.0448667236235103"/>
    <n v="82.498162362560507"/>
    <n v="22.490864861612"/>
    <n v="68.666892873619204"/>
    <n v="63.546990519661698"/>
    <n v="165007.788139646"/>
    <n v="754.087062524575"/>
    <n v="0.10763149784642401"/>
    <n v="8.2040104931688604E-2"/>
    <n v="0.58287667510149099"/>
    <n v="3.37800309375825E-2"/>
    <n v="0.68308756412503702"/>
    <n v="0"/>
    <x v="21"/>
    <x v="16"/>
    <n v="13701916711.540001"/>
    <n v="83038"/>
  </r>
  <r>
    <n v="0.97351832115205095"/>
    <n v="27.534790887737199"/>
    <n v="31.852517437946201"/>
    <n v="0"/>
    <n v="4.6449018123464603"/>
    <n v="4.0166164339095198"/>
    <n v="82.487697947304397"/>
    <n v="22.365190329393201"/>
    <n v="68.805745498241805"/>
    <n v="63.863324669838498"/>
    <n v="285079.56866900902"/>
    <n v="754.42778478037201"/>
    <n v="0.16711378009156599"/>
    <n v="8.0541889713283604E-2"/>
    <n v="0.51576624710382402"/>
    <n v="6.5276861595823701E-2"/>
    <n v="0.67227360812169601"/>
    <n v="0"/>
    <x v="21"/>
    <x v="17"/>
    <n v="299695598154.66998"/>
    <n v="1051270"/>
  </r>
  <r>
    <n v="0.980651794227556"/>
    <n v="20.8997370498085"/>
    <n v="19.140875926746901"/>
    <n v="0"/>
    <n v="4.67717996362832"/>
    <n v="4.0433213917280399"/>
    <n v="82.4939507993126"/>
    <n v="22.3958174990677"/>
    <n v="68.792300268554001"/>
    <n v="63.7641530143175"/>
    <n v="172466.60978819401"/>
    <n v="753.96852026411204"/>
    <n v="0.104732909852778"/>
    <n v="8.3545109468930998E-2"/>
    <n v="0.57551007724636305"/>
    <n v="3.6468895009726603E-2"/>
    <n v="0.67166775644552501"/>
    <n v="0"/>
    <x v="21"/>
    <x v="18"/>
    <n v="7067854135.7299995"/>
    <n v="40981"/>
  </r>
  <r>
    <n v="0.99302728076005098"/>
    <n v="8.0537213228622804"/>
    <n v="91.753939829732303"/>
    <n v="0"/>
    <n v="4.68908116597005"/>
    <n v="4.1400900088883903"/>
    <n v="87.456607011324493"/>
    <n v="23.355419084663101"/>
    <n v="58.676596814506901"/>
    <n v="4.8508388467415298"/>
    <n v="5658.5374228395003"/>
    <n v="776.64775293314597"/>
    <n v="5.4616584017008599E-2"/>
    <n v="5.6062018163447802E-2"/>
    <n v="0.64116998452777596"/>
    <n v="2.3593102550643001E-2"/>
    <n v="0.31893914806569201"/>
    <n v="0"/>
    <x v="22"/>
    <x v="0"/>
    <n v="3666732.25"/>
    <n v="648"/>
  </r>
  <r>
    <n v="0.99274314203535996"/>
    <n v="8.3689322752518702"/>
    <n v="61.697384949401602"/>
    <n v="0"/>
    <n v="4.7347682233718604"/>
    <n v="4.1586080487979702"/>
    <n v="87.452226128772807"/>
    <n v="23.346282393775301"/>
    <n v="54.550417620348199"/>
    <n v="17.413942922852399"/>
    <n v="15847.5316198125"/>
    <n v="767.46358173902399"/>
    <n v="4.2990954789650003E-2"/>
    <n v="5.0822683873693798E-2"/>
    <n v="0.69185635286398295"/>
    <n v="2.4739601675407102E-2"/>
    <n v="0.36930549918063998"/>
    <n v="0"/>
    <x v="22"/>
    <x v="1"/>
    <n v="23676212.239999998"/>
    <n v="1494"/>
  </r>
  <r>
    <n v="0.99199085215791305"/>
    <n v="9.1987124356698597"/>
    <n v="38.175716763523297"/>
    <n v="0"/>
    <n v="4.7905196046529701"/>
    <n v="4.1757361707083298"/>
    <n v="87.518495249613395"/>
    <n v="22.406259990920098"/>
    <n v="51.831388892409102"/>
    <n v="34.324491496854897"/>
    <n v="26112.400631988301"/>
    <n v="755.11454557228399"/>
    <n v="5.53982834996593E-2"/>
    <n v="3.2899329746047999E-2"/>
    <n v="0.78017955224312796"/>
    <n v="2.2641791246872101E-2"/>
    <n v="0.43967785737229098"/>
    <n v="0"/>
    <x v="22"/>
    <x v="2"/>
    <n v="107426416.2"/>
    <n v="4114"/>
  </r>
  <r>
    <n v="0.99108909294826897"/>
    <n v="10.1842790294167"/>
    <n v="18.716642305089401"/>
    <n v="0"/>
    <n v="4.79440557725838"/>
    <n v="4.1627945358416403"/>
    <n v="87.5236611170087"/>
    <n v="22.382212600058399"/>
    <n v="54.250854109270499"/>
    <n v="43.547157463908597"/>
    <n v="35909.306718027699"/>
    <n v="753.31429300072205"/>
    <n v="6.1050404628558798E-2"/>
    <n v="3.7788099740724002E-2"/>
    <n v="0.74821363880096803"/>
    <n v="2.6790900943571901E-2"/>
    <n v="0.48968706469277001"/>
    <n v="0"/>
    <x v="22"/>
    <x v="3"/>
    <n v="396187381.01999998"/>
    <n v="11033"/>
  </r>
  <r>
    <n v="0.98985568081396802"/>
    <n v="11.5164459536057"/>
    <n v="13.304214757017499"/>
    <n v="0"/>
    <n v="4.7862955107545302"/>
    <n v="4.1531301502104903"/>
    <n v="87.533073217545706"/>
    <n v="22.489517154302899"/>
    <n v="55.210578002006798"/>
    <n v="47.833750240207301"/>
    <n v="45881.787020853597"/>
    <n v="752.53626468183495"/>
    <n v="6.4023261117289398E-2"/>
    <n v="5.4387925913837197E-2"/>
    <n v="0.72921928042413198"/>
    <n v="2.84126580741056E-2"/>
    <n v="0.56088752052034396"/>
    <n v="0"/>
    <x v="22"/>
    <x v="4"/>
    <n v="1130894286.49"/>
    <n v="24648"/>
  </r>
  <r>
    <n v="0.98871555112024201"/>
    <n v="12.731727173522801"/>
    <n v="11.708469938003301"/>
    <n v="0"/>
    <n v="4.7888923525910903"/>
    <n v="4.1418236875231198"/>
    <n v="87.537107364040594"/>
    <n v="22.4387246375471"/>
    <n v="59.1083793625086"/>
    <n v="52.664076302493299"/>
    <n v="55434.499129488002"/>
    <n v="751.33349113520205"/>
    <n v="6.93809774444797E-2"/>
    <n v="6.3588275437599998E-2"/>
    <n v="0.71097188614031104"/>
    <n v="3.0268451434709999E-2"/>
    <n v="0.598782563142361"/>
    <n v="0"/>
    <x v="22"/>
    <x v="5"/>
    <n v="2240274413.3200002"/>
    <n v="40413"/>
  </r>
  <r>
    <n v="0.98764336825277399"/>
    <n v="13.8606038467984"/>
    <n v="11.3394071752797"/>
    <n v="0"/>
    <n v="4.7808964120520399"/>
    <n v="4.1255765731161302"/>
    <n v="87.545221299897904"/>
    <n v="22.549826996893099"/>
    <n v="60.952383415053298"/>
    <n v="55.0444829363366"/>
    <n v="65220.183169074298"/>
    <n v="751.52349931131198"/>
    <n v="7.8302050354563696E-2"/>
    <n v="5.9899482404341099E-2"/>
    <n v="0.70388450366778299"/>
    <n v="3.3708491231253697E-2"/>
    <n v="0.63031727029700801"/>
    <n v="0"/>
    <x v="22"/>
    <x v="6"/>
    <n v="3580131514.6999998"/>
    <n v="54893"/>
  </r>
  <r>
    <n v="0.98673669200776903"/>
    <n v="14.8047593520054"/>
    <n v="11.5113093454168"/>
    <n v="0"/>
    <n v="4.7658931486662999"/>
    <n v="4.1092870036766698"/>
    <n v="87.544711681079207"/>
    <n v="22.2799338241099"/>
    <n v="60.952389526569597"/>
    <n v="55.812672735644099"/>
    <n v="75175.788861239504"/>
    <n v="752.89597699829301"/>
    <n v="8.2569976349641902E-2"/>
    <n v="6.4412518663101007E-2"/>
    <n v="0.68824578977829498"/>
    <n v="3.06342131375743E-2"/>
    <n v="0.66583558118697805"/>
    <n v="0"/>
    <x v="22"/>
    <x v="7"/>
    <n v="5253509652.9899998"/>
    <n v="69883"/>
  </r>
  <r>
    <n v="0.98590594803891896"/>
    <n v="15.6615061381902"/>
    <n v="11.697637608127501"/>
    <n v="0"/>
    <n v="4.7579715868875496"/>
    <n v="4.09135433589522"/>
    <n v="87.552017218908503"/>
    <n v="22.512102653577799"/>
    <n v="63.548808432778898"/>
    <n v="58.375315903147701"/>
    <n v="85158.985957678495"/>
    <n v="753.13783714330896"/>
    <n v="9.0991790741266093E-2"/>
    <n v="6.6871721424492395E-2"/>
    <n v="0.67925553026984398"/>
    <n v="3.0210979411470499E-2"/>
    <n v="0.67269608086796695"/>
    <n v="0"/>
    <x v="22"/>
    <x v="8"/>
    <n v="6958170424.6300001"/>
    <n v="81708"/>
  </r>
  <r>
    <n v="0.98505515140733402"/>
    <n v="16.530740967145402"/>
    <n v="12.0083287568313"/>
    <n v="0"/>
    <n v="4.7454734551697397"/>
    <n v="4.0772198537797602"/>
    <n v="87.538155652617604"/>
    <n v="22.419100524786099"/>
    <n v="63.417538363370099"/>
    <n v="58.556460091198701"/>
    <n v="95283.490901949597"/>
    <n v="754.98703177347795"/>
    <n v="8.8249151764700301E-2"/>
    <n v="6.9892517958353204E-2"/>
    <n v="0.64853354225497395"/>
    <n v="3.07925370722953E-2"/>
    <n v="0.64498466028786505"/>
    <n v="0"/>
    <x v="22"/>
    <x v="9"/>
    <n v="10043356358.52"/>
    <n v="105405"/>
  </r>
  <r>
    <n v="0.98424408060925905"/>
    <n v="17.351735445956301"/>
    <n v="13.557249741990301"/>
    <n v="0"/>
    <n v="4.7453906424315599"/>
    <n v="4.0652754598032397"/>
    <n v="87.5457522630428"/>
    <n v="22.533915003815299"/>
    <n v="65.784688536338507"/>
    <n v="60.908121197461"/>
    <n v="104998.810403628"/>
    <n v="753.780098757524"/>
    <n v="9.9868824587023106E-2"/>
    <n v="6.7521417011512694E-2"/>
    <n v="0.63385776689263795"/>
    <n v="2.8954074597301201E-2"/>
    <n v="0.67418383611787802"/>
    <n v="0"/>
    <x v="22"/>
    <x v="10"/>
    <n v="9999666707.6000004"/>
    <n v="95236"/>
  </r>
  <r>
    <n v="0.98351020856750004"/>
    <n v="18.088200745575701"/>
    <n v="14.9122887633297"/>
    <n v="0"/>
    <n v="4.73267296302605"/>
    <n v="4.0548464952922503"/>
    <n v="87.557995551049203"/>
    <n v="22.815433000271899"/>
    <n v="66.263268883194797"/>
    <n v="61.307077162321299"/>
    <n v="115053.40927458899"/>
    <n v="754.87704207054196"/>
    <n v="0.100963628253255"/>
    <n v="6.7184088048057006E-2"/>
    <n v="0.61766946860416905"/>
    <n v="2.96342026013739E-2"/>
    <n v="0.67069093189576101"/>
    <n v="0"/>
    <x v="22"/>
    <x v="11"/>
    <n v="11265684675.940001"/>
    <n v="97917"/>
  </r>
  <r>
    <n v="0.98287003389732996"/>
    <n v="18.725719763971899"/>
    <n v="15.435089696099899"/>
    <n v="0"/>
    <n v="4.7247083673416803"/>
    <n v="4.0486305673665601"/>
    <n v="87.550198470317596"/>
    <n v="22.685007646361601"/>
    <n v="66.333325742307693"/>
    <n v="61.484187446516003"/>
    <n v="124931.995970445"/>
    <n v="755.51721156752205"/>
    <n v="0.104118986455907"/>
    <n v="7.3416173945059005E-2"/>
    <n v="0.61699425995496604"/>
    <n v="3.0103962744801101E-2"/>
    <n v="0.67275734467389503"/>
    <n v="0"/>
    <x v="22"/>
    <x v="12"/>
    <n v="12343281201.879999"/>
    <n v="98800"/>
  </r>
  <r>
    <n v="0.98220144088875405"/>
    <n v="19.386680881640299"/>
    <n v="16.491119306406201"/>
    <n v="0"/>
    <n v="4.7205219988743599"/>
    <n v="4.0417268578478902"/>
    <n v="87.542015426220303"/>
    <n v="22.840134763662402"/>
    <n v="66.880364972329204"/>
    <n v="61.9845610879389"/>
    <n v="134947.19325735199"/>
    <n v="755.13320815254701"/>
    <n v="0.107865126974219"/>
    <n v="7.1175204656416302E-2"/>
    <n v="0.60561494877953703"/>
    <n v="2.9849255263078901E-2"/>
    <n v="0.67850107948337202"/>
    <n v="0"/>
    <x v="22"/>
    <x v="13"/>
    <n v="12562774009.1"/>
    <n v="93094"/>
  </r>
  <r>
    <n v="0.98151488446383095"/>
    <n v="20.060269530263898"/>
    <n v="17.545227193401299"/>
    <n v="0"/>
    <n v="4.7156144520645498"/>
    <n v="4.0408475086071602"/>
    <n v="87.546398423810601"/>
    <n v="22.697252265333901"/>
    <n v="65.755702966452802"/>
    <n v="61.137845251680901"/>
    <n v="144941.96095422801"/>
    <n v="755.84431842340302"/>
    <n v="0.107909915568111"/>
    <n v="7.2932895994906002E-2"/>
    <n v="0.59425416201700498"/>
    <n v="3.2178852594529898E-2"/>
    <n v="0.682684452572206"/>
    <n v="0"/>
    <x v="22"/>
    <x v="14"/>
    <n v="13898339693.940001"/>
    <n v="95889"/>
  </r>
  <r>
    <n v="0.98081563309821496"/>
    <n v="20.7410065438341"/>
    <n v="18.8965032381447"/>
    <n v="0"/>
    <n v="4.7188599189175102"/>
    <n v="4.0375131357498404"/>
    <n v="87.552183789823701"/>
    <n v="22.779974640569002"/>
    <n v="67.080523651189907"/>
    <n v="62.4104230236128"/>
    <n v="154953.89729619099"/>
    <n v="754.90449929773001"/>
    <n v="0.113063343945732"/>
    <n v="7.2555379303629097E-2"/>
    <n v="0.59095341837049098"/>
    <n v="3.1831015857623997E-2"/>
    <n v="0.70100382751635304"/>
    <n v="0"/>
    <x v="22"/>
    <x v="15"/>
    <n v="13183477581.959999"/>
    <n v="85080"/>
  </r>
  <r>
    <n v="0.98003317835955805"/>
    <n v="21.496441346370201"/>
    <n v="20.315195070175498"/>
    <n v="0"/>
    <n v="4.7135466049242796"/>
    <n v="4.0311712738583596"/>
    <n v="87.552193632374099"/>
    <n v="22.834938429588899"/>
    <n v="67.5849558439524"/>
    <n v="62.820517716498202"/>
    <n v="165013.05035651999"/>
    <n v="755.978162785363"/>
    <n v="0.112445616017814"/>
    <n v="7.3410776977129694E-2"/>
    <n v="0.57896350930146401"/>
    <n v="3.2743001373221899E-2"/>
    <n v="0.68898381627412097"/>
    <n v="0"/>
    <x v="22"/>
    <x v="16"/>
    <n v="13829743750.379999"/>
    <n v="83810"/>
  </r>
  <r>
    <n v="0.97208642079235796"/>
    <n v="28.803520806714399"/>
    <n v="32.586266617079097"/>
    <n v="0"/>
    <n v="4.6845692372259"/>
    <n v="4.00693756573245"/>
    <n v="87.552736637348801"/>
    <n v="22.841733611679299"/>
    <n v="67.775820044523897"/>
    <n v="63.065801520727398"/>
    <n v="283829.83814169402"/>
    <n v="755.36518947448599"/>
    <n v="0.172770302689706"/>
    <n v="7.4177886548577807E-2"/>
    <n v="0.51614481146240898"/>
    <n v="6.5637832198110396E-2"/>
    <n v="0.67910569168027601"/>
    <n v="0"/>
    <x v="22"/>
    <x v="17"/>
    <n v="294625873695.09003"/>
    <n v="1038037"/>
  </r>
  <r>
    <n v="0.97946439399040397"/>
    <n v="22.0414352508982"/>
    <n v="20.829295081755301"/>
    <n v="0"/>
    <n v="4.7110585478290297"/>
    <n v="4.0286753389127199"/>
    <n v="87.539865553660107"/>
    <n v="22.753474119489599"/>
    <n v="67.751559491986896"/>
    <n v="62.962819238888301"/>
    <n v="172466.76347994499"/>
    <n v="755.75846231881701"/>
    <n v="0.111997094909178"/>
    <n v="7.6633325522182702E-2"/>
    <n v="0.57293065606712401"/>
    <n v="3.49721427923253E-2"/>
    <n v="0.68123279657474001"/>
    <n v="0"/>
    <x v="22"/>
    <x v="18"/>
    <n v="7077691039.6899996"/>
    <n v="41038"/>
  </r>
  <r>
    <n v="0.99301123248446599"/>
    <n v="8.0715510211709098"/>
    <n v="91.932333860753005"/>
    <n v="0"/>
    <n v="4.7293168544963402"/>
    <n v="4.1128978490187498"/>
    <n v="92.108463142787798"/>
    <n v="23.627199875375702"/>
    <n v="60.904863795295498"/>
    <n v="5.0957339078115602"/>
    <n v="5666.3041829085396"/>
    <n v="775.60481474735604"/>
    <n v="2.24425362240761E-2"/>
    <n v="5.2268971007385201E-2"/>
    <n v="0.64148000835121699"/>
    <n v="2.9115932503688401E-2"/>
    <n v="0.29787267713104298"/>
    <n v="0"/>
    <x v="23"/>
    <x v="0"/>
    <n v="3779424.89"/>
    <n v="667"/>
  </r>
  <r>
    <n v="0.99283104184120896"/>
    <n v="8.2715260937941899"/>
    <n v="65.088000712466396"/>
    <n v="0"/>
    <n v="4.7950106120419402"/>
    <n v="4.1579034782266504"/>
    <n v="92.197951147735395"/>
    <n v="22.740265700154801"/>
    <n v="54.9636545391133"/>
    <n v="17.4972498845008"/>
    <n v="15932.995697841699"/>
    <n v="766.15371881072099"/>
    <n v="4.5382906089654097E-2"/>
    <n v="5.3113331031324901E-2"/>
    <n v="0.70568902874403405"/>
    <n v="2.7831404005703501E-2"/>
    <n v="0.35458527685492103"/>
    <n v="0"/>
    <x v="23"/>
    <x v="1"/>
    <n v="22146864.02"/>
    <n v="1390"/>
  </r>
  <r>
    <n v="0.99203854321228302"/>
    <n v="9.1463141173980098"/>
    <n v="27.895155937098401"/>
    <n v="0"/>
    <n v="4.8492110011808398"/>
    <n v="4.1731805609741404"/>
    <n v="92.352963107583605"/>
    <n v="22.288258363548501"/>
    <n v="51.807538898900603"/>
    <n v="34.934217926719803"/>
    <n v="25988.736029486499"/>
    <n v="756.20293126982597"/>
    <n v="4.6752569427893603E-2"/>
    <n v="3.3222479564710097E-2"/>
    <n v="0.76585378578515095"/>
    <n v="2.73408390348059E-2"/>
    <n v="0.43032168621199202"/>
    <n v="0"/>
    <x v="23"/>
    <x v="2"/>
    <n v="102239687.54000001"/>
    <n v="3934"/>
  </r>
  <r>
    <n v="0.99092219486331301"/>
    <n v="10.365609196776299"/>
    <n v="18.454684126697298"/>
    <n v="0"/>
    <n v="4.8366949544561502"/>
    <n v="4.1534763490798197"/>
    <n v="92.324559914285302"/>
    <n v="22.3755043812629"/>
    <n v="54.3167495924286"/>
    <n v="43.8260381749812"/>
    <n v="35879.493468359302"/>
    <n v="753.52720542756401"/>
    <n v="5.7974669708001199E-2"/>
    <n v="4.5757621615483898E-2"/>
    <n v="0.75133836966575696"/>
    <n v="2.8282744068114998E-2"/>
    <n v="0.48302541743238597"/>
    <n v="0"/>
    <x v="23"/>
    <x v="3"/>
    <n v="370240493.10000002"/>
    <n v="10319"/>
  </r>
  <r>
    <n v="0.98955085354241101"/>
    <n v="11.8428761280574"/>
    <n v="13.9404324401712"/>
    <n v="0"/>
    <n v="4.8265965931855002"/>
    <n v="4.1429522917678296"/>
    <n v="92.335716589672302"/>
    <n v="22.468905467353999"/>
    <n v="55.042602207970702"/>
    <n v="47.805993522618103"/>
    <n v="45921.558428520897"/>
    <n v="753.60062019788904"/>
    <n v="6.1164115398113998E-2"/>
    <n v="5.8824434127235203E-2"/>
    <n v="0.71799058598201404"/>
    <n v="3.11941185538115E-2"/>
    <n v="0.55149823525270802"/>
    <n v="0"/>
    <x v="23"/>
    <x v="4"/>
    <n v="1038837494.77"/>
    <n v="22622"/>
  </r>
  <r>
    <n v="0.98825787832873002"/>
    <n v="13.2152488758902"/>
    <n v="11.345295015750199"/>
    <n v="0"/>
    <n v="4.8258642835258199"/>
    <n v="4.1292318896190299"/>
    <n v="92.352815354785903"/>
    <n v="22.5863660163206"/>
    <n v="58.478910558098796"/>
    <n v="52.198884809013002"/>
    <n v="55453.9417690259"/>
    <n v="751.356426881385"/>
    <n v="6.7922860220594405E-2"/>
    <n v="6.7935064329277595E-2"/>
    <n v="0.70693782321813303"/>
    <n v="3.2779662504074103E-2"/>
    <n v="0.60372775134398204"/>
    <n v="0"/>
    <x v="23"/>
    <x v="5"/>
    <n v="2061389377.3800001"/>
    <n v="37173"/>
  </r>
  <r>
    <n v="0.98710314755259299"/>
    <n v="14.4243038401692"/>
    <n v="11.2826563467169"/>
    <n v="0"/>
    <n v="4.8169356608330398"/>
    <n v="4.1149188891945103"/>
    <n v="92.3641894800801"/>
    <n v="22.789755548870801"/>
    <n v="60.632090839721499"/>
    <n v="54.856524626106598"/>
    <n v="65228.796422373503"/>
    <n v="752.12591561373097"/>
    <n v="7.6380098908802901E-2"/>
    <n v="6.7487179208946896E-2"/>
    <n v="0.70015899738943799"/>
    <n v="3.3813033480990101E-2"/>
    <n v="0.638617075573923"/>
    <n v="0"/>
    <x v="23"/>
    <x v="6"/>
    <n v="3285117874.2199998"/>
    <n v="50363"/>
  </r>
  <r>
    <n v="0.986178197198738"/>
    <n v="15.381609391388199"/>
    <n v="12.3293215496541"/>
    <n v="0"/>
    <n v="4.8021464783821699"/>
    <n v="4.0992785051656302"/>
    <n v="92.344788361324703"/>
    <n v="22.496444129963901"/>
    <n v="60.574798745582697"/>
    <n v="55.5467330098828"/>
    <n v="75147.758496024297"/>
    <n v="754.16230784688105"/>
    <n v="8.3797798745041799E-2"/>
    <n v="6.4744878741176098E-2"/>
    <n v="0.68910876648143704"/>
    <n v="3.1705208494894499E-2"/>
    <n v="0.67519547403699798"/>
    <n v="0"/>
    <x v="23"/>
    <x v="7"/>
    <n v="4886182405.1700001"/>
    <n v="65021"/>
  </r>
  <r>
    <n v="0.98527916300209195"/>
    <n v="16.302674715869699"/>
    <n v="12.9660191862973"/>
    <n v="0"/>
    <n v="4.7967821484067699"/>
    <n v="4.0821799391228"/>
    <n v="92.360787130774298"/>
    <n v="22.758804234992802"/>
    <n v="63.349758230334302"/>
    <n v="58.296648861901801"/>
    <n v="85143.160997030704"/>
    <n v="753.63839287012797"/>
    <n v="9.0008258880486497E-2"/>
    <n v="6.7136035930575599E-2"/>
    <n v="0.68201545435906996"/>
    <n v="3.0269359357584201E-2"/>
    <n v="0.68495631315214001"/>
    <n v="0"/>
    <x v="23"/>
    <x v="8"/>
    <n v="6394506820.3599997"/>
    <n v="75103"/>
  </r>
  <r>
    <n v="0.98441031499589804"/>
    <n v="17.184072726779998"/>
    <n v="13.428251845776201"/>
    <n v="0"/>
    <n v="4.7877040859267996"/>
    <n v="4.0731004054918198"/>
    <n v="92.346661729393006"/>
    <n v="22.753669209315301"/>
    <n v="63.094985008514001"/>
    <n v="58.360268177596097"/>
    <n v="95257.717584642203"/>
    <n v="756.024452621916"/>
    <n v="8.9465600662435904E-2"/>
    <n v="7.1378902260242405E-2"/>
    <n v="0.65117326619071203"/>
    <n v="3.1333619791936503E-2"/>
    <n v="0.65577165084155897"/>
    <n v="0"/>
    <x v="23"/>
    <x v="9"/>
    <n v="9048340077.9300003"/>
    <n v="94988"/>
  </r>
  <r>
    <n v="0.98358506800061096"/>
    <n v="18.0133532642947"/>
    <n v="13.690376707545701"/>
    <n v="0"/>
    <n v="4.7866991177250897"/>
    <n v="4.0614637845985797"/>
    <n v="92.358952580527301"/>
    <n v="22.899178531055"/>
    <n v="65.446955379972593"/>
    <n v="60.6751301661659"/>
    <n v="104951.74974465399"/>
    <n v="754.59803212588201"/>
    <n v="9.9882111563192599E-2"/>
    <n v="6.8712707275123006E-2"/>
    <n v="0.63820240836404196"/>
    <n v="2.9891673921331199E-2"/>
    <n v="0.684258099940942"/>
    <n v="0"/>
    <x v="23"/>
    <x v="10"/>
    <n v="9021862311.5499992"/>
    <n v="85962"/>
  </r>
  <r>
    <n v="0.98284812369732499"/>
    <n v="18.747458354351298"/>
    <n v="15.527949606556801"/>
    <n v="0"/>
    <n v="4.77509512604089"/>
    <n v="4.05067363545297"/>
    <n v="92.359765215594706"/>
    <n v="23.103563784817901"/>
    <n v="65.803035097795004"/>
    <n v="61.005131605398198"/>
    <n v="115053.18001768101"/>
    <n v="755.07056663799494"/>
    <n v="0.103845802799928"/>
    <n v="6.75772028650026E-2"/>
    <n v="0.62603306331734898"/>
    <n v="3.0567606664279001E-2"/>
    <n v="0.68786171764085202"/>
    <n v="0"/>
    <x v="23"/>
    <x v="11"/>
    <n v="10020671766.82"/>
    <n v="87096"/>
  </r>
  <r>
    <n v="0.98216493081258605"/>
    <n v="19.422631919624099"/>
    <n v="16.170292400236601"/>
    <n v="0"/>
    <n v="4.7673631846850402"/>
    <n v="4.0433889906059797"/>
    <n v="92.356594982129494"/>
    <n v="23.037523800861901"/>
    <n v="66.103004222093702"/>
    <n v="61.342190190740602"/>
    <n v="124921.035509361"/>
    <n v="755.22049988840104"/>
    <n v="0.104487124164182"/>
    <n v="7.3992142804237798E-2"/>
    <n v="0.62023269035777795"/>
    <n v="3.2879253037133099E-2"/>
    <n v="0.68830307555082004"/>
    <n v="0"/>
    <x v="23"/>
    <x v="12"/>
    <n v="10895237954.02"/>
    <n v="87217"/>
  </r>
  <r>
    <n v="0.98149878874337804"/>
    <n v="20.0759991522626"/>
    <n v="17.707000612526901"/>
    <n v="0"/>
    <n v="4.7644250011338896"/>
    <n v="4.0384136500402796"/>
    <n v="92.365362708136203"/>
    <n v="23.148969537645598"/>
    <n v="66.623284805300699"/>
    <n v="61.842726110264103"/>
    <n v="134939.78545093699"/>
    <n v="755.12229260396896"/>
    <n v="0.104930384439496"/>
    <n v="7.2513273932944503E-2"/>
    <n v="0.61332303467726601"/>
    <n v="3.2633001765662001E-2"/>
    <n v="0.69699078974818895"/>
    <n v="0"/>
    <x v="23"/>
    <x v="13"/>
    <n v="11083953976.940001"/>
    <n v="82140"/>
  </r>
  <r>
    <n v="0.98078285107976604"/>
    <n v="20.772789791783602"/>
    <n v="18.403046858928398"/>
    <n v="0"/>
    <n v="4.7617486919946899"/>
    <n v="4.0390737661758997"/>
    <n v="92.351068791213194"/>
    <n v="23.0238717367132"/>
    <n v="65.484380112161503"/>
    <n v="61.045963509298701"/>
    <n v="144955.974674981"/>
    <n v="755.96378035265298"/>
    <n v="0.105880624849328"/>
    <n v="7.2658637888718194E-2"/>
    <n v="0.60067779592638204"/>
    <n v="3.5220327184341003E-2"/>
    <n v="0.69965956358390202"/>
    <n v="0"/>
    <x v="23"/>
    <x v="14"/>
    <n v="12249214727.959999"/>
    <n v="84503"/>
  </r>
  <r>
    <n v="0.98006768052638704"/>
    <n v="21.463270215654401"/>
    <n v="19.4025574069423"/>
    <n v="0"/>
    <n v="4.7644393190514096"/>
    <n v="4.0354006323276996"/>
    <n v="92.365683394345695"/>
    <n v="23.182359543136101"/>
    <n v="66.772728450734107"/>
    <n v="62.242769120598801"/>
    <n v="154944.32905646501"/>
    <n v="754.96813049253797"/>
    <n v="0.11334752668613"/>
    <n v="7.3730428590424599E-2"/>
    <n v="0.598257064702582"/>
    <n v="3.3321818724540597E-2"/>
    <n v="0.71713098548232401"/>
    <n v="0"/>
    <x v="23"/>
    <x v="15"/>
    <n v="11642981718.290001"/>
    <n v="75143"/>
  </r>
  <r>
    <n v="0.97929885124013705"/>
    <n v="22.199400997685999"/>
    <n v="20.054250117209101"/>
    <n v="0"/>
    <n v="4.7569179084883997"/>
    <n v="4.0283253517501496"/>
    <n v="92.363193121149294"/>
    <n v="23.2143078733341"/>
    <n v="67.169192300070904"/>
    <n v="62.539725127295497"/>
    <n v="165004.30925864799"/>
    <n v="755.11990037518399"/>
    <n v="0.114147688875819"/>
    <n v="7.4001554217362306E-2"/>
    <n v="0.58969585197570895"/>
    <n v="3.5358087045142102E-2"/>
    <n v="0.70751752316096705"/>
    <n v="0"/>
    <x v="23"/>
    <x v="16"/>
    <n v="12010003653.700001"/>
    <n v="72786"/>
  </r>
  <r>
    <n v="0.97121208386367197"/>
    <n v="29.568177348933201"/>
    <n v="33.310685777355197"/>
    <n v="0"/>
    <n v="4.7335029389494796"/>
    <n v="4.0075137473730198"/>
    <n v="92.357190797360005"/>
    <n v="23.2110729150025"/>
    <n v="67.359845691662301"/>
    <n v="62.879386377372001"/>
    <n v="283874.91260314401"/>
    <n v="754.74307960625401"/>
    <n v="0.17750098078778401"/>
    <n v="7.22066308174871E-2"/>
    <n v="0.53045583430930698"/>
    <n v="7.0426228265432905E-2"/>
    <n v="0.69987330914773305"/>
    <n v="0"/>
    <x v="23"/>
    <x v="17"/>
    <n v="251290046885.07999"/>
    <n v="885214"/>
  </r>
  <r>
    <n v="0.978690972821883"/>
    <n v="22.7769429281066"/>
    <n v="20.8770376959401"/>
    <n v="0"/>
    <n v="4.7601626434553799"/>
    <n v="4.0288679868904298"/>
    <n v="92.363108664639"/>
    <n v="23.091518245485101"/>
    <n v="67.365666098811303"/>
    <n v="62.782862234780602"/>
    <n v="172490.19921863099"/>
    <n v="755.41074275084202"/>
    <n v="0.11139318468463801"/>
    <n v="7.3428790079162198E-2"/>
    <n v="0.58405314271403197"/>
    <n v="3.97558909501321E-2"/>
    <n v="0.69878465840670001"/>
    <n v="0"/>
    <x v="23"/>
    <x v="18"/>
    <n v="6143583425.5699997"/>
    <n v="35617"/>
  </r>
  <r>
    <n v="0.99291770785766098"/>
    <n v="8.1753942173995799"/>
    <n v="90.023338037625507"/>
    <n v="0"/>
    <n v="4.7855126839354698"/>
    <n v="4.1203944686936804"/>
    <n v="97.406243450514793"/>
    <n v="24.788248996694001"/>
    <n v="60.295817183740297"/>
    <n v="4.9441554462600497"/>
    <n v="5715.9558931082902"/>
    <n v="773.105890965311"/>
    <n v="2.7991269800619101E-2"/>
    <n v="7.2969803796249594E-2"/>
    <n v="0.57392900831916005"/>
    <n v="2.3006361465557099E-2"/>
    <n v="0.33053314837604703"/>
    <n v="0"/>
    <x v="24"/>
    <x v="0"/>
    <n v="4064044.64"/>
    <n v="711"/>
  </r>
  <r>
    <n v="0.99272891646428796"/>
    <n v="8.3846874266118192"/>
    <n v="64.399075096740205"/>
    <n v="0"/>
    <n v="4.84702134797526"/>
    <n v="4.1612273463915201"/>
    <n v="97.391618479863297"/>
    <n v="23.638309771222399"/>
    <n v="51.8556858573806"/>
    <n v="16.007565167834201"/>
    <n v="15617.831931079299"/>
    <n v="767.64431908850997"/>
    <n v="4.3963587251100701E-2"/>
    <n v="4.97274540367127E-2"/>
    <n v="0.71456610317227598"/>
    <n v="2.5459636078162599E-2"/>
    <n v="0.39594066075860002"/>
    <n v="0"/>
    <x v="24"/>
    <x v="1"/>
    <n v="24020225.510000002"/>
    <n v="1538"/>
  </r>
  <r>
    <n v="0.99192094244616702"/>
    <n v="9.2754724006794902"/>
    <n v="36.295271230772698"/>
    <n v="0"/>
    <n v="4.8637096497827601"/>
    <n v="4.1499455205124303"/>
    <n v="97.394438297735903"/>
    <n v="23.153142542374098"/>
    <n v="51.5521028238879"/>
    <n v="32.898838976331298"/>
    <n v="26078.682803099298"/>
    <n v="759.97462393991702"/>
    <n v="4.9728611183828798E-2"/>
    <n v="3.4138935089505801E-2"/>
    <n v="0.75947772486489595"/>
    <n v="2.08180033242562E-2"/>
    <n v="0.44812966061844101"/>
    <n v="0"/>
    <x v="24"/>
    <x v="2"/>
    <n v="114433260.14"/>
    <n v="4388"/>
  </r>
  <r>
    <n v="0.99062190800111005"/>
    <n v="10.691017761365501"/>
    <n v="17.901462760951901"/>
    <n v="0"/>
    <n v="4.8714517459776498"/>
    <n v="4.1411888409278301"/>
    <n v="97.360057444062804"/>
    <n v="23.0779607426174"/>
    <n v="52.7755841859721"/>
    <n v="42.277720125019798"/>
    <n v="35881.389172925599"/>
    <n v="755.39887658134398"/>
    <n v="6.5842761775245798E-2"/>
    <n v="3.9587135508306198E-2"/>
    <n v="0.75000756218971898"/>
    <n v="2.8063437974268201E-2"/>
    <n v="0.51671002513526398"/>
    <n v="0"/>
    <x v="24"/>
    <x v="3"/>
    <n v="401297456.50999999"/>
    <n v="11184"/>
  </r>
  <r>
    <n v="0.98912522996145602"/>
    <n v="12.296816795865"/>
    <n v="13.570222132231301"/>
    <n v="0"/>
    <n v="4.8525742308081599"/>
    <n v="4.1218750815538101"/>
    <n v="97.378267823375595"/>
    <n v="23.124560358381899"/>
    <n v="53.7055682265051"/>
    <n v="46.349075427197"/>
    <n v="45878.555222916999"/>
    <n v="755.62114662788497"/>
    <n v="6.3775535591614294E-2"/>
    <n v="5.1058121079334599E-2"/>
    <n v="0.72745986766480197"/>
    <n v="2.9909997549211101E-2"/>
    <n v="0.580193337389588"/>
    <n v="0"/>
    <x v="24"/>
    <x v="4"/>
    <n v="1137099991.2"/>
    <n v="24785"/>
  </r>
  <r>
    <n v="0.987770276942456"/>
    <n v="13.7276866328894"/>
    <n v="13.5936282433803"/>
    <n v="0"/>
    <n v="4.8537286738397398"/>
    <n v="4.1115838103392699"/>
    <n v="97.3646761300203"/>
    <n v="23.130216400484599"/>
    <n v="57.405636823078602"/>
    <n v="51.076916233587802"/>
    <n v="55443.430631397998"/>
    <n v="753.98585407150995"/>
    <n v="7.5160592467916398E-2"/>
    <n v="5.79098961062064E-2"/>
    <n v="0.71882294104450495"/>
    <n v="3.3933040245802001E-2"/>
    <n v="0.62711532545705995"/>
    <n v="0"/>
    <x v="24"/>
    <x v="5"/>
    <n v="2193508446.0700002"/>
    <n v="39563"/>
  </r>
  <r>
    <n v="0.98655670725524203"/>
    <n v="14.9910518516179"/>
    <n v="11.7061942840804"/>
    <n v="0"/>
    <n v="4.8469718205911896"/>
    <n v="4.0986633386108"/>
    <n v="97.383546162504501"/>
    <n v="23.212299579466599"/>
    <n v="59.273380792370197"/>
    <n v="53.494120137612001"/>
    <n v="65230.146900728199"/>
    <n v="754.40293583107302"/>
    <n v="8.0954279453390801E-2"/>
    <n v="5.8173383277770198E-2"/>
    <n v="0.70095163596291399"/>
    <n v="3.59783952959652E-2"/>
    <n v="0.65556377837364699"/>
    <n v="0"/>
    <x v="24"/>
    <x v="6"/>
    <n v="3484529217.29"/>
    <n v="53419"/>
  </r>
  <r>
    <n v="0.98551011180548298"/>
    <n v="16.0669477799674"/>
    <n v="12.9849939839201"/>
    <n v="0"/>
    <n v="4.8301340071625303"/>
    <n v="4.07565957734215"/>
    <n v="97.3754262973099"/>
    <n v="22.770503418679201"/>
    <n v="59.6013917497473"/>
    <n v="54.658800660167998"/>
    <n v="75129.537824950501"/>
    <n v="754.97310048581699"/>
    <n v="8.76111033588306E-2"/>
    <n v="6.0006867871455101E-2"/>
    <n v="0.68852838231412195"/>
    <n v="3.0422620843130199E-2"/>
    <n v="0.68807754752512396"/>
    <n v="0"/>
    <x v="24"/>
    <x v="7"/>
    <n v="5087622042.4300003"/>
    <n v="67718"/>
  </r>
  <r>
    <n v="0.98458888925092602"/>
    <n v="17.003616798847599"/>
    <n v="12.9248082702766"/>
    <n v="0"/>
    <n v="4.8252541901536201"/>
    <n v="4.0603418298204801"/>
    <n v="97.368408602347401"/>
    <n v="23.0575807711651"/>
    <n v="62.347858531105601"/>
    <n v="57.3127316971105"/>
    <n v="85142.339244218805"/>
    <n v="754.40415903698795"/>
    <n v="9.4447573893048906E-2"/>
    <n v="6.2431160523807899E-2"/>
    <n v="0.68340217564725303"/>
    <n v="3.15133548344987E-2"/>
    <n v="0.69515725656440397"/>
    <n v="0"/>
    <x v="24"/>
    <x v="8"/>
    <n v="6491166801.6400003"/>
    <n v="76239"/>
  </r>
  <r>
    <n v="0.98368278369886497"/>
    <n v="17.915558839293801"/>
    <n v="14.5285333697955"/>
    <n v="0"/>
    <n v="4.8160478627492802"/>
    <n v="4.0504121330739196"/>
    <n v="97.379159406503206"/>
    <n v="22.985499785698401"/>
    <n v="61.909693146326397"/>
    <n v="57.319092301233198"/>
    <n v="95256.355384400304"/>
    <n v="756.43117671579603"/>
    <n v="9.4730600613692095E-2"/>
    <n v="6.6445083163171298E-2"/>
    <n v="0.65489707715268397"/>
    <n v="3.3173158554761599E-2"/>
    <n v="0.66973648802639296"/>
    <n v="0"/>
    <x v="24"/>
    <x v="9"/>
    <n v="9199763546.6700001"/>
    <n v="96579"/>
  </r>
  <r>
    <n v="0.98280869310746599"/>
    <n v="18.786566681179899"/>
    <n v="15.280892592293601"/>
    <n v="0"/>
    <n v="4.8134477804609803"/>
    <n v="4.0378697299988104"/>
    <n v="97.381893381437607"/>
    <n v="23.134588449020399"/>
    <n v="64.357770713449298"/>
    <n v="59.681730230446099"/>
    <n v="104994.441972588"/>
    <n v="755.36317912764696"/>
    <n v="0.103179325047764"/>
    <n v="6.5785857033587705E-2"/>
    <n v="0.63974297586575302"/>
    <n v="3.0405290937000701E-2"/>
    <n v="0.69555600429994602"/>
    <n v="0"/>
    <x v="24"/>
    <x v="10"/>
    <n v="8993718904.9300003"/>
    <n v="85659"/>
  </r>
  <r>
    <n v="0.98203942242074105"/>
    <n v="19.5461064698044"/>
    <n v="16.289887244937201"/>
    <n v="0"/>
    <n v="4.8011919347206096"/>
    <n v="4.0264063134598"/>
    <n v="97.383051779177407"/>
    <n v="23.372343599386902"/>
    <n v="64.837738659146694"/>
    <n v="60.070453618864398"/>
    <n v="115046.906069555"/>
    <n v="755.642887421041"/>
    <n v="0.107327337122042"/>
    <n v="6.5252251589809296E-2"/>
    <n v="0.62770956403115297"/>
    <n v="3.2112999461609497E-2"/>
    <n v="0.69364771616572696"/>
    <n v="0"/>
    <x v="24"/>
    <x v="11"/>
    <n v="9983655461.8099995"/>
    <n v="86779"/>
  </r>
  <r>
    <n v="0.98134188201285399"/>
    <n v="20.2291884577511"/>
    <n v="17.482683594952601"/>
    <n v="0"/>
    <n v="4.7946837024958997"/>
    <n v="4.01954340929466"/>
    <n v="97.385309867565994"/>
    <n v="23.296437407531599"/>
    <n v="64.939029235773205"/>
    <n v="60.309659135422201"/>
    <n v="124917.855259991"/>
    <n v="756.05266417445898"/>
    <n v="0.109132657596709"/>
    <n v="6.7675804377073906E-2"/>
    <n v="0.62370300565620895"/>
    <n v="3.2764446672059501E-2"/>
    <n v="0.69371737837438396"/>
    <n v="0"/>
    <x v="24"/>
    <x v="12"/>
    <n v="10880220275.290001"/>
    <n v="87099"/>
  </r>
  <r>
    <n v="0.98063549906317204"/>
    <n v="20.915508201226999"/>
    <n v="19.287891351423699"/>
    <n v="0"/>
    <n v="4.7915276262361299"/>
    <n v="4.0141929328697099"/>
    <n v="97.371083334083295"/>
    <n v="23.467866626492501"/>
    <n v="65.497226421540205"/>
    <n v="60.840792316183602"/>
    <n v="134955.93927023199"/>
    <n v="755.89451088901399"/>
    <n v="0.11061258272385099"/>
    <n v="6.7568717457632793E-2"/>
    <n v="0.61645588280192898"/>
    <n v="3.4658894116530503E-2"/>
    <n v="0.70507967550022299"/>
    <n v="0"/>
    <x v="24"/>
    <x v="13"/>
    <n v="10927517358.65"/>
    <n v="80971"/>
  </r>
  <r>
    <n v="0.97993017216031297"/>
    <n v="21.595397346917"/>
    <n v="19.533476041778599"/>
    <n v="0"/>
    <n v="4.7896842221033502"/>
    <n v="4.0157183824817597"/>
    <n v="97.379678187252196"/>
    <n v="23.305562964296399"/>
    <n v="64.298408729129804"/>
    <n v="59.946593059409103"/>
    <n v="144944.16893991001"/>
    <n v="756.42693450895001"/>
    <n v="0.110566229453347"/>
    <n v="6.8546912699111895E-2"/>
    <n v="0.60607125449614496"/>
    <n v="3.7226406996834403E-2"/>
    <n v="0.70565879737912696"/>
    <n v="0"/>
    <x v="24"/>
    <x v="14"/>
    <n v="12079936927.790001"/>
    <n v="83342"/>
  </r>
  <r>
    <n v="0.97923041384795695"/>
    <n v="22.264620198745"/>
    <n v="20.2137081854531"/>
    <n v="0"/>
    <n v="4.7937181968047504"/>
    <n v="4.0132597666816201"/>
    <n v="97.369802795818899"/>
    <n v="23.355895571046599"/>
    <n v="65.843217238997894"/>
    <n v="61.380257583545898"/>
    <n v="154955.499933641"/>
    <n v="755.08099082813897"/>
    <n v="0.119224663233437"/>
    <n v="6.9149257264979794E-2"/>
    <n v="0.60647193257065002"/>
    <n v="3.5131632849701402E-2"/>
    <n v="0.72375853777444399"/>
    <n v="0"/>
    <x v="24"/>
    <x v="15"/>
    <n v="11395427465.120001"/>
    <n v="73540"/>
  </r>
  <r>
    <n v="0.97839367977073599"/>
    <n v="23.057965988620701"/>
    <n v="22.001684056919402"/>
    <n v="0"/>
    <n v="4.7899210450911101"/>
    <n v="4.0069860969174798"/>
    <n v="97.363623125212698"/>
    <n v="23.524087183748801"/>
    <n v="66.322246877878101"/>
    <n v="61.785049247520597"/>
    <n v="165004.926895791"/>
    <n v="755.68173733537196"/>
    <n v="0.122280683582244"/>
    <n v="6.9470921604232502E-2"/>
    <n v="0.59434304187832598"/>
    <n v="3.7563230668552001E-2"/>
    <n v="0.71042232602044297"/>
    <n v="0"/>
    <x v="24"/>
    <x v="16"/>
    <n v="11671293494.120001"/>
    <n v="70733"/>
  </r>
  <r>
    <n v="0.97013569161569202"/>
    <n v="30.499201762712101"/>
    <n v="34.713833944013103"/>
    <n v="0"/>
    <n v="4.7685778831361203"/>
    <n v="3.9882243632540901"/>
    <n v="97.361731165906306"/>
    <n v="23.480420215598901"/>
    <n v="66.286253241417995"/>
    <n v="61.961306952566702"/>
    <n v="282951.31921669998"/>
    <n v="754.90861797816001"/>
    <n v="0.18498803178978401"/>
    <n v="6.8838259526234E-2"/>
    <n v="0.53727320964863001"/>
    <n v="7.4698111585813506E-2"/>
    <n v="0.70516526991283501"/>
    <n v="0"/>
    <x v="24"/>
    <x v="17"/>
    <n v="238379412657.09"/>
    <n v="842475"/>
  </r>
  <r>
    <n v="0.97782140117440397"/>
    <n v="23.596287962506501"/>
    <n v="23.036058942160899"/>
    <n v="0"/>
    <n v="4.7891096830191202"/>
    <n v="4.0071959939383204"/>
    <n v="97.370877718686103"/>
    <n v="23.317003699353101"/>
    <n v="66.401852260930298"/>
    <n v="61.885665454228999"/>
    <n v="172487.14073228501"/>
    <n v="756.129670173455"/>
    <n v="0.118469615607534"/>
    <n v="7.1649822201730495E-2"/>
    <n v="0.58966191936580403"/>
    <n v="3.9579145961426199E-2"/>
    <n v="0.70397914186127397"/>
    <n v="0"/>
    <x v="24"/>
    <x v="18"/>
    <n v="5968745017.8999996"/>
    <n v="34604"/>
  </r>
  <r>
    <n v="0.99308374593333104"/>
    <n v="7.9909630889224301"/>
    <n v="87.752651719982694"/>
    <n v="0"/>
    <n v="4.8251417163348398"/>
    <n v="4.1131485402037198"/>
    <n v="102.17970902133"/>
    <n v="24.3716419226193"/>
    <n v="61.688163178874298"/>
    <n v="5.0776663565001003"/>
    <n v="5653.7338552437204"/>
    <n v="776.83775216881099"/>
    <n v="1.9988238932788002E-2"/>
    <n v="6.5143313010419701E-2"/>
    <n v="0.61089539911692703"/>
    <n v="4.1633157441590497E-2"/>
    <n v="0.27169495406888899"/>
    <n v="0"/>
    <x v="25"/>
    <x v="0"/>
    <n v="3827577.82"/>
    <n v="677"/>
  </r>
  <r>
    <n v="0.99272956997638595"/>
    <n v="8.3839637011609103"/>
    <n v="68.439094002648204"/>
    <n v="0"/>
    <n v="4.8978292445271503"/>
    <n v="4.1578423876020096"/>
    <n v="102.236213109898"/>
    <n v="23.957838605761001"/>
    <n v="54.233069781326599"/>
    <n v="16.855076943341601"/>
    <n v="15823.0275991649"/>
    <n v="768.63276793564705"/>
    <n v="3.5352801303349203E-2"/>
    <n v="3.5521867285356001E-2"/>
    <n v="0.72617455382340002"/>
    <n v="3.0756687231666201E-2"/>
    <n v="0.36240874824180502"/>
    <n v="0"/>
    <x v="25"/>
    <x v="1"/>
    <n v="22737690.66"/>
    <n v="1437"/>
  </r>
  <r>
    <n v="0.99186196720803399"/>
    <n v="9.3401801945369201"/>
    <n v="32.677183026328898"/>
    <n v="0"/>
    <n v="4.9268760468186699"/>
    <n v="4.1571599811302198"/>
    <n v="102.274904278541"/>
    <n v="22.971573549066999"/>
    <n v="50.966824900159502"/>
    <n v="33.481189991355599"/>
    <n v="26039.0187845849"/>
    <n v="759.65769275229604"/>
    <n v="4.6730270365110599E-2"/>
    <n v="3.3674422705756803E-2"/>
    <n v="0.75015693488183099"/>
    <n v="2.50878490177469E-2"/>
    <n v="0.44454990853284598"/>
    <n v="0"/>
    <x v="25"/>
    <x v="2"/>
    <n v="105405948.04000001"/>
    <n v="4048"/>
  </r>
  <r>
    <n v="0.99035339333249695"/>
    <n v="10.9810786176173"/>
    <n v="19.703436959833901"/>
    <n v="0"/>
    <n v="4.9251816250003504"/>
    <n v="4.1433006071124501"/>
    <n v="102.301533383175"/>
    <n v="22.786651425073099"/>
    <n v="52.7265098769481"/>
    <n v="42.651747056304202"/>
    <n v="35806.412332554501"/>
    <n v="755.14642303248502"/>
    <n v="6.3395661437770104E-2"/>
    <n v="3.9697665495211601E-2"/>
    <n v="0.74179266856649695"/>
    <n v="3.0290976146400299E-2"/>
    <n v="0.507582377754912"/>
    <n v="0"/>
    <x v="25"/>
    <x v="3"/>
    <n v="367803467.48000002"/>
    <n v="10272"/>
  </r>
  <r>
    <n v="0.98863901022162004"/>
    <n v="12.812762598305399"/>
    <n v="14.456757837114001"/>
    <n v="0"/>
    <n v="4.9106585772264904"/>
    <n v="4.1234812166596502"/>
    <n v="102.31318267213599"/>
    <n v="22.791285458742301"/>
    <n v="53.615975645938803"/>
    <n v="46.777864736961803"/>
    <n v="45932.369915796102"/>
    <n v="755.40065451124894"/>
    <n v="6.3450229121765803E-2"/>
    <n v="5.0421919479235397E-2"/>
    <n v="0.71208269921558098"/>
    <n v="3.2883546027716502E-2"/>
    <n v="0.56240048706549295"/>
    <n v="0"/>
    <x v="25"/>
    <x v="4"/>
    <n v="1020066071.09"/>
    <n v="22208"/>
  </r>
  <r>
    <n v="0.98714604680748597"/>
    <n v="14.3796639918073"/>
    <n v="13.752444330789499"/>
    <n v="0"/>
    <n v="4.9009552497983"/>
    <n v="4.1038798165673498"/>
    <n v="102.312714713585"/>
    <n v="22.898834222547201"/>
    <n v="57.4713267747562"/>
    <n v="51.5013747932462"/>
    <n v="55471.874241947196"/>
    <n v="753.31977288370604"/>
    <n v="7.4041393506682998E-2"/>
    <n v="5.9058523719345099E-2"/>
    <n v="0.70719166486251495"/>
    <n v="3.2377582230846601E-2"/>
    <n v="0.62222652213159002"/>
    <n v="0"/>
    <x v="25"/>
    <x v="5"/>
    <n v="1973578341.78"/>
    <n v="35578"/>
  </r>
  <r>
    <n v="0.98588958441378505"/>
    <n v="15.678302355207199"/>
    <n v="12.5790075603747"/>
    <n v="0"/>
    <n v="4.8933408111332097"/>
    <n v="4.0896683659350099"/>
    <n v="102.29875261882"/>
    <n v="23.085655668514399"/>
    <n v="59.500560246090501"/>
    <n v="54.033723622305899"/>
    <n v="65233.734746627502"/>
    <n v="753.45455107638202"/>
    <n v="8.0167166712665702E-2"/>
    <n v="5.9161003183266399E-2"/>
    <n v="0.69735206224000501"/>
    <n v="3.4899100692401999E-2"/>
    <n v="0.65710217695220396"/>
    <n v="0"/>
    <x v="25"/>
    <x v="6"/>
    <n v="3157769397.8800001"/>
    <n v="48407"/>
  </r>
  <r>
    <n v="0.98483564853122696"/>
    <n v="16.753664172268198"/>
    <n v="13.454183771573099"/>
    <n v="0"/>
    <n v="4.8674692420513104"/>
    <n v="4.0641269736649202"/>
    <n v="102.301364253385"/>
    <n v="22.8787417028562"/>
    <n v="59.481477444063501"/>
    <n v="54.695248900254597"/>
    <n v="75149.309719722907"/>
    <n v="755.11698418858202"/>
    <n v="8.82495892100187E-2"/>
    <n v="5.7626040222970097E-2"/>
    <n v="0.693015699964729"/>
    <n v="3.1178819145787101E-2"/>
    <n v="0.69305713085729703"/>
    <n v="0"/>
    <x v="25"/>
    <x v="7"/>
    <n v="4643926743.4399996"/>
    <n v="61796"/>
  </r>
  <r>
    <n v="0.98393019417072503"/>
    <n v="17.667470724176098"/>
    <n v="13.5495679366348"/>
    <n v="0"/>
    <n v="4.8653689768135804"/>
    <n v="4.0490211667236"/>
    <n v="102.30909907559401"/>
    <n v="23.187024420415199"/>
    <n v="62.347088702165401"/>
    <n v="57.499954392585899"/>
    <n v="85134.366777571297"/>
    <n v="754.39907367404805"/>
    <n v="9.6217239913054697E-2"/>
    <n v="5.9422677999218201E-2"/>
    <n v="0.68983813110084102"/>
    <n v="3.0383998846655099E-2"/>
    <n v="0.70729501447308996"/>
    <n v="0"/>
    <x v="25"/>
    <x v="8"/>
    <n v="5910793951"/>
    <n v="69429"/>
  </r>
  <r>
    <n v="0.98299839973987002"/>
    <n v="18.5982521829227"/>
    <n v="15.225710923427"/>
    <n v="0"/>
    <n v="4.8557023211532604"/>
    <n v="4.0384617908035203"/>
    <n v="102.29536367101799"/>
    <n v="23.198578555861399"/>
    <n v="62.166144288872502"/>
    <n v="57.645554744446599"/>
    <n v="95241.546243293604"/>
    <n v="756.35560779391699"/>
    <n v="9.4835717341960807E-2"/>
    <n v="6.5386288363599304E-2"/>
    <n v="0.66041161640011603"/>
    <n v="3.1784962045240298E-2"/>
    <n v="0.677237481787058"/>
    <n v="0"/>
    <x v="25"/>
    <x v="9"/>
    <n v="8325730247.9499998"/>
    <n v="87417"/>
  </r>
  <r>
    <n v="0.98212907001540595"/>
    <n v="19.457929312506199"/>
    <n v="15.953869019737001"/>
    <n v="0"/>
    <n v="4.8476346162849699"/>
    <n v="4.0208414303289803"/>
    <n v="102.30264921631399"/>
    <n v="23.380954592813598"/>
    <n v="64.744299223579802"/>
    <n v="60.061542894645797"/>
    <n v="104997.808069679"/>
    <n v="754.39356744731106"/>
    <n v="0.108083184987604"/>
    <n v="6.3581213474551701E-2"/>
    <n v="0.64854721262034998"/>
    <n v="3.0230771603705801E-2"/>
    <n v="0.70865156596919299"/>
    <n v="0"/>
    <x v="25"/>
    <x v="10"/>
    <n v="8167254500.6999998"/>
    <n v="77785"/>
  </r>
  <r>
    <n v="0.98137995546648704"/>
    <n v="20.1920417892869"/>
    <n v="16.800860236395401"/>
    <n v="0"/>
    <n v="4.84062212362217"/>
    <n v="4.0128250000709098"/>
    <n v="102.298063951386"/>
    <n v="23.622860799759199"/>
    <n v="65.185114556886205"/>
    <n v="60.5263658329213"/>
    <n v="115033.046503283"/>
    <n v="755.16695133122903"/>
    <n v="0.111046578526521"/>
    <n v="6.3021450000006599E-2"/>
    <n v="0.64030273400536197"/>
    <n v="3.1366813507268602E-2"/>
    <n v="0.709194320535253"/>
    <n v="0"/>
    <x v="25"/>
    <x v="11"/>
    <n v="9037916397.6700001"/>
    <n v="78568"/>
  </r>
  <r>
    <n v="0.98068032389780302"/>
    <n v="20.872117881905002"/>
    <n v="18.419684255437001"/>
    <n v="0"/>
    <n v="4.8323518741286602"/>
    <n v="4.00538965546657"/>
    <n v="102.2906793562"/>
    <n v="23.541200407125199"/>
    <n v="65.336616434918"/>
    <n v="60.7250592554919"/>
    <n v="124898.466489342"/>
    <n v="755.28809578370704"/>
    <n v="0.113225790278685"/>
    <n v="6.5323206179155505E-2"/>
    <n v="0.63531341800206798"/>
    <n v="3.3055300949658299E-2"/>
    <n v="0.71300995110480803"/>
    <n v="0"/>
    <x v="25"/>
    <x v="12"/>
    <n v="9703611658.4899998"/>
    <n v="77692"/>
  </r>
  <r>
    <n v="0.97998341981261805"/>
    <n v="21.544257675146302"/>
    <n v="19.007426381424601"/>
    <n v="0"/>
    <n v="4.82740756276608"/>
    <n v="3.9976924842486601"/>
    <n v="102.289652083398"/>
    <n v="23.667286746498299"/>
    <n v="65.847194910897997"/>
    <n v="61.207859134574001"/>
    <n v="134943.14423144"/>
    <n v="755.15915748182601"/>
    <n v="0.11751803950594999"/>
    <n v="6.3168548878602598E-2"/>
    <n v="0.62725431684071198"/>
    <n v="3.4899201074065897E-2"/>
    <n v="0.72014713684801201"/>
    <n v="0"/>
    <x v="25"/>
    <x v="13"/>
    <n v="9742895013.5100002"/>
    <n v="72200"/>
  </r>
  <r>
    <n v="0.97923626694836297"/>
    <n v="22.259044294221201"/>
    <n v="20.926299248894001"/>
    <n v="0"/>
    <n v="4.82540177362318"/>
    <n v="3.9983747508266601"/>
    <n v="102.28612396208"/>
    <n v="23.600770661029699"/>
    <n v="64.908432479344"/>
    <n v="60.528057559298098"/>
    <n v="144969.140266595"/>
    <n v="755.45061370393898"/>
    <n v="0.116601459231812"/>
    <n v="6.5864804463067597E-2"/>
    <n v="0.61626128518214096"/>
    <n v="3.6948436209777197E-2"/>
    <n v="0.72103685538116202"/>
    <n v="0"/>
    <x v="25"/>
    <x v="14"/>
    <n v="10663495050.59"/>
    <n v="73557"/>
  </r>
  <r>
    <n v="0.97852865572721903"/>
    <n v="22.9304932733512"/>
    <n v="23.020163058988398"/>
    <n v="0"/>
    <n v="4.8275421774343599"/>
    <n v="3.9957446612629801"/>
    <n v="102.301086229707"/>
    <n v="23.6620072727032"/>
    <n v="66.221530442131396"/>
    <n v="61.733332570601299"/>
    <n v="154927.25114852199"/>
    <n v="754.13358073030895"/>
    <n v="0.122110028596396"/>
    <n v="6.6187760206912E-2"/>
    <n v="0.61228946216208602"/>
    <n v="3.5288334917484301E-2"/>
    <n v="0.741018186054343"/>
    <n v="0"/>
    <x v="25"/>
    <x v="15"/>
    <n v="10095369539.34"/>
    <n v="65162"/>
  </r>
  <r>
    <n v="0.97772011277915505"/>
    <n v="23.691205933346598"/>
    <n v="22.485151258326098"/>
    <n v="0"/>
    <n v="4.8230016005882099"/>
    <n v="3.98849161472386"/>
    <n v="102.29151346558299"/>
    <n v="23.797666772865199"/>
    <n v="66.724011603089906"/>
    <n v="62.156312585706203"/>
    <n v="164993.49117729801"/>
    <n v="754.50155398045001"/>
    <n v="0.125433466473206"/>
    <n v="6.5931207891446297E-2"/>
    <n v="0.60555506961936401"/>
    <n v="3.68081660434623E-2"/>
    <n v="0.73337432617557996"/>
    <n v="0"/>
    <x v="25"/>
    <x v="16"/>
    <n v="10320342873.139999"/>
    <n v="62550"/>
  </r>
  <r>
    <n v="0.96920347748725399"/>
    <n v="31.2963888835842"/>
    <n v="35.019303818091601"/>
    <n v="0"/>
    <n v="4.7988311712351202"/>
    <n v="3.9653274167224399"/>
    <n v="102.284676435241"/>
    <n v="23.7791859529943"/>
    <n v="66.990656608788399"/>
    <n v="62.583222017889803"/>
    <n v="282269.54624946299"/>
    <n v="753.97937757463797"/>
    <n v="0.18591405906490899"/>
    <n v="6.4832761139124603E-2"/>
    <n v="0.547753989037707"/>
    <n v="7.5836648762582004E-2"/>
    <n v="0.72077223475180596"/>
    <n v="0"/>
    <x v="25"/>
    <x v="17"/>
    <n v="204574006835.66"/>
    <n v="724747"/>
  </r>
  <r>
    <n v="0.97706252214577605"/>
    <n v="24.304813928051299"/>
    <n v="24.7664323143368"/>
    <n v="0"/>
    <n v="4.8248238772891598"/>
    <n v="3.9883530398292"/>
    <n v="102.288097164276"/>
    <n v="23.708209129286399"/>
    <n v="66.805203304523104"/>
    <n v="62.322097031687299"/>
    <n v="172502.14270716201"/>
    <n v="754.79659665976305"/>
    <n v="0.12612717401121201"/>
    <n v="6.5814030841040705E-2"/>
    <n v="0.60199473194909103"/>
    <n v="4.2771794490641002E-2"/>
    <n v="0.72246184210089204"/>
    <n v="0"/>
    <x v="25"/>
    <x v="18"/>
    <n v="5185586911.9200001"/>
    <n v="30061"/>
  </r>
  <r>
    <n v="0.99246426809881705"/>
    <n v="8.6773392148344097"/>
    <n v="91.944534324081602"/>
    <n v="0"/>
    <n v="4.7568383517158699"/>
    <n v="4.0068069786893599"/>
    <n v="107.68115826042001"/>
    <n v="25.440884492799199"/>
    <n v="58.349345724612"/>
    <n v="5.0650296692656802"/>
    <n v="5802.8966979655697"/>
    <n v="772.02457084874095"/>
    <n v="2.20670320393841E-2"/>
    <n v="4.6998301930038899E-2"/>
    <n v="0.60877730001226305"/>
    <n v="2.2366982067849001E-2"/>
    <n v="0.34582339440806797"/>
    <n v="0"/>
    <x v="26"/>
    <x v="0"/>
    <n v="3708050.99"/>
    <n v="639"/>
  </r>
  <r>
    <n v="0.99232490667778295"/>
    <n v="8.8311023082402507"/>
    <n v="67.555665451867398"/>
    <n v="0"/>
    <n v="4.8738837512242599"/>
    <n v="4.0924139211939696"/>
    <n v="107.704188715668"/>
    <n v="24.095884933030799"/>
    <n v="53.530465405098397"/>
    <n v="16.8920815974435"/>
    <n v="15786.8185301016"/>
    <n v="768.03667873008897"/>
    <n v="4.8662791384994103E-2"/>
    <n v="4.3834117525102002E-2"/>
    <n v="0.72181559819040997"/>
    <n v="2.8612390968050998E-2"/>
    <n v="0.43996301553206801"/>
    <n v="0"/>
    <x v="26"/>
    <x v="1"/>
    <n v="20191340.899999999"/>
    <n v="1279"/>
  </r>
  <r>
    <n v="0.99134222293832597"/>
    <n v="9.9086184464739606"/>
    <n v="30.069841159658299"/>
    <n v="0"/>
    <n v="4.8934456748464799"/>
    <n v="4.07998793834554"/>
    <n v="107.63933061177801"/>
    <n v="23.833268344244502"/>
    <n v="51.582959363790998"/>
    <n v="33.834719126352198"/>
    <n v="26064.626637450099"/>
    <n v="756.53296055040903"/>
    <n v="5.0290517692729297E-2"/>
    <n v="3.5531003182476699E-2"/>
    <n v="0.76416206353311"/>
    <n v="2.2278525334899001E-2"/>
    <n v="0.46162685362887002"/>
    <n v="0"/>
    <x v="26"/>
    <x v="2"/>
    <n v="98133319.290000007"/>
    <n v="3765"/>
  </r>
  <r>
    <n v="0.98981284830788996"/>
    <n v="11.5623807772317"/>
    <n v="19.751068786828299"/>
    <n v="0"/>
    <n v="4.9038361781625399"/>
    <n v="4.0816530196400898"/>
    <n v="107.636195894887"/>
    <n v="23.477469800057499"/>
    <n v="52.686850738173398"/>
    <n v="42.724677505429803"/>
    <n v="35839.081204458598"/>
    <n v="753.95462499912003"/>
    <n v="6.0898152054964599E-2"/>
    <n v="4.1232372312504602E-2"/>
    <n v="0.75582854444665004"/>
    <n v="2.6923894537997699E-2"/>
    <n v="0.53852788237138005"/>
    <n v="0"/>
    <x v="26"/>
    <x v="3"/>
    <n v="347244857.79000002"/>
    <n v="9689"/>
  </r>
  <r>
    <n v="0.98804796620401003"/>
    <n v="13.4361940972321"/>
    <n v="13.540651546256299"/>
    <n v="0"/>
    <n v="4.8843421704313004"/>
    <n v="4.0574227978021904"/>
    <n v="107.61046627268099"/>
    <n v="23.5040245185332"/>
    <n v="54.494589434557099"/>
    <n v="47.120603838369298"/>
    <n v="45870.974848699698"/>
    <n v="754.06925005588801"/>
    <n v="6.7412059123604401E-2"/>
    <n v="5.4262132412074997E-2"/>
    <n v="0.72782642783601004"/>
    <n v="2.9511959588684002E-2"/>
    <n v="0.58841247158274901"/>
    <n v="0"/>
    <x v="26"/>
    <x v="4"/>
    <n v="970171118.04999995"/>
    <n v="21150"/>
  </r>
  <r>
    <n v="0.98657660620809395"/>
    <n v="14.970473895475299"/>
    <n v="12.510010163590801"/>
    <n v="0"/>
    <n v="4.8827096112248496"/>
    <n v="4.0475982476821004"/>
    <n v="107.60053407027701"/>
    <n v="23.505538635034799"/>
    <n v="57.645189878664901"/>
    <n v="51.247981376995"/>
    <n v="55419.057867699201"/>
    <n v="753.102377168884"/>
    <n v="7.8523397571775497E-2"/>
    <n v="6.1369182878434597E-2"/>
    <n v="0.71841694289678104"/>
    <n v="3.5507919071589802E-2"/>
    <n v="0.64280943144291203"/>
    <n v="0"/>
    <x v="26"/>
    <x v="5"/>
    <n v="1874937565.78"/>
    <n v="33832"/>
  </r>
  <r>
    <n v="0.98528097684532501"/>
    <n v="16.300825712623201"/>
    <n v="12.754264051866601"/>
    <n v="0"/>
    <n v="4.8707800572927002"/>
    <n v="4.0284650598392799"/>
    <n v="107.575177236191"/>
    <n v="23.762344805594299"/>
    <n v="59.8743915428851"/>
    <n v="53.809645855451002"/>
    <n v="65196.879165872197"/>
    <n v="753.25642358866196"/>
    <n v="8.4869468200273204E-2"/>
    <n v="5.9636499050906601E-2"/>
    <n v="0.71013520836589294"/>
    <n v="3.5509667115114101E-2"/>
    <n v="0.67190236843646201"/>
    <n v="0"/>
    <x v="26"/>
    <x v="6"/>
    <n v="3009227154.7800002"/>
    <n v="46156"/>
  </r>
  <r>
    <n v="0.98421835378881495"/>
    <n v="17.377655497108901"/>
    <n v="13.314986975266899"/>
    <n v="0"/>
    <n v="4.8464507719437702"/>
    <n v="4.0030120341504603"/>
    <n v="107.569302274824"/>
    <n v="23.4826421528007"/>
    <n v="60.042704894215603"/>
    <n v="54.745771455599197"/>
    <n v="75134.233946943903"/>
    <n v="755.07679146952398"/>
    <n v="9.0787210589457906E-2"/>
    <n v="5.9133891284786202E-2"/>
    <n v="0.70154293549300295"/>
    <n v="3.2097235493577299E-2"/>
    <n v="0.70755263752952102"/>
    <n v="0"/>
    <x v="26"/>
    <x v="7"/>
    <n v="4378672885.96"/>
    <n v="58278"/>
  </r>
  <r>
    <n v="0.98329848335606396"/>
    <n v="18.299553187120001"/>
    <n v="13.767069600929601"/>
    <n v="0"/>
    <n v="4.8498515424911401"/>
    <n v="3.9933068217189001"/>
    <n v="107.564795411253"/>
    <n v="23.787595920809899"/>
    <n v="62.665340204204803"/>
    <n v="57.3285815273507"/>
    <n v="85124.736978542001"/>
    <n v="754.29329910400804"/>
    <n v="0.100040003835728"/>
    <n v="6.3304044465867196E-2"/>
    <n v="0.69680419495253798"/>
    <n v="3.1269721736697502E-2"/>
    <n v="0.717350073069559"/>
    <n v="0"/>
    <x v="26"/>
    <x v="8"/>
    <n v="5593546466.8599997"/>
    <n v="65710"/>
  </r>
  <r>
    <n v="0.98234460610751995"/>
    <n v="19.245565876174801"/>
    <n v="15.046576794527301"/>
    <n v="0"/>
    <n v="4.840341085435"/>
    <n v="3.9813988752451501"/>
    <n v="107.559441285457"/>
    <n v="23.793790668899401"/>
    <n v="62.622275932956804"/>
    <n v="57.569251756875197"/>
    <n v="95193.664093488595"/>
    <n v="755.871436449724"/>
    <n v="9.5782822010836294E-2"/>
    <n v="6.6443313867301207E-2"/>
    <n v="0.66575377041702199"/>
    <n v="3.2058434580523501E-2"/>
    <n v="0.68343397558827801"/>
    <n v="0"/>
    <x v="26"/>
    <x v="9"/>
    <n v="7716208024.0900002"/>
    <n v="81058"/>
  </r>
  <r>
    <n v="0.981546315811893"/>
    <n v="20.0295449091122"/>
    <n v="16.633088830362802"/>
    <n v="0"/>
    <n v="4.8419734963546102"/>
    <n v="3.97339694265218"/>
    <n v="107.55111945198701"/>
    <n v="23.8647801059778"/>
    <n v="64.781349799452798"/>
    <n v="59.732878696104102"/>
    <n v="104991.729384363"/>
    <n v="754.66827614526596"/>
    <n v="0.11104971054825701"/>
    <n v="6.1414722607202203E-2"/>
    <n v="0.65986490065242298"/>
    <n v="2.9927166800800601E-2"/>
    <n v="0.71355961303082904"/>
    <n v="0"/>
    <x v="26"/>
    <x v="10"/>
    <n v="7575468250.2700005"/>
    <n v="72153"/>
  </r>
  <r>
    <n v="0.980790856532884"/>
    <n v="20.7650293193369"/>
    <n v="17.571262272982999"/>
    <n v="0"/>
    <n v="4.8316367610795403"/>
    <n v="3.9638838664677398"/>
    <n v="107.551360398271"/>
    <n v="24.161040038327201"/>
    <n v="65.1444167382095"/>
    <n v="60.040163060995198"/>
    <n v="115013.214235997"/>
    <n v="755.03582779160399"/>
    <n v="0.114872325288675"/>
    <n v="6.2560885265092694E-2"/>
    <n v="0.64781244757267697"/>
    <n v="3.3428372690056003E-2"/>
    <n v="0.71246618233453396"/>
    <n v="0"/>
    <x v="26"/>
    <x v="11"/>
    <n v="8400910207.4399996"/>
    <n v="73043"/>
  </r>
  <r>
    <n v="0.98007718400203303"/>
    <n v="21.454131111644902"/>
    <n v="18.686968740306199"/>
    <n v="0"/>
    <n v="4.8280456032485102"/>
    <n v="3.9568096272037301"/>
    <n v="107.55849242195001"/>
    <n v="24.1059264410925"/>
    <n v="65.358687603554799"/>
    <n v="60.403279858511198"/>
    <n v="124924.233734443"/>
    <n v="755.05996849443"/>
    <n v="0.115448981741319"/>
    <n v="6.4066268922021205E-2"/>
    <n v="0.64179785864385797"/>
    <n v="3.2509130192990197E-2"/>
    <n v="0.71774067639166605"/>
    <n v="0"/>
    <x v="26"/>
    <x v="12"/>
    <n v="8943700665.75"/>
    <n v="71593"/>
  </r>
  <r>
    <n v="0.97940931952523302"/>
    <n v="22.094021526212"/>
    <n v="20.031183157332599"/>
    <n v="0"/>
    <n v="4.8251418876277796"/>
    <n v="3.9533322415399499"/>
    <n v="107.541298596544"/>
    <n v="24.232657273203198"/>
    <n v="65.819580504552903"/>
    <n v="60.857973969879602"/>
    <n v="134928.206405128"/>
    <n v="754.70914942275704"/>
    <n v="0.11955258424494"/>
    <n v="6.4723536885593402E-2"/>
    <n v="0.63481996747934999"/>
    <n v="3.4770417077927197E-2"/>
    <n v="0.72563115348916596"/>
    <n v="0"/>
    <x v="26"/>
    <x v="13"/>
    <n v="9007672131.3999996"/>
    <n v="66759"/>
  </r>
  <r>
    <n v="0.97865698247017396"/>
    <n v="22.809120654615"/>
    <n v="22.025424511728801"/>
    <n v="0"/>
    <n v="4.8235485718885203"/>
    <n v="3.9530597528248199"/>
    <n v="107.544963005474"/>
    <n v="24.0641313901567"/>
    <n v="64.946187199326801"/>
    <n v="60.228548399678097"/>
    <n v="144931.008062932"/>
    <n v="755.31783183494395"/>
    <n v="0.11951386908875899"/>
    <n v="6.5439928256409305E-2"/>
    <n v="0.62141449208580801"/>
    <n v="3.7338217208272698E-2"/>
    <n v="0.72411813491969201"/>
    <n v="0"/>
    <x v="26"/>
    <x v="14"/>
    <n v="9681681200.6200008"/>
    <n v="66802"/>
  </r>
  <r>
    <n v="0.97795143461776501"/>
    <n v="23.474274177416898"/>
    <n v="23.446376214912501"/>
    <n v="0"/>
    <n v="4.8347169204385203"/>
    <n v="3.9565710346312901"/>
    <n v="107.534615226639"/>
    <n v="24.213060476377301"/>
    <n v="66.204380197808007"/>
    <n v="61.487452992231802"/>
    <n v="154940.701359314"/>
    <n v="754.07283689262101"/>
    <n v="0.12636516033679099"/>
    <n v="6.5052641168839395E-2"/>
    <n v="0.62487384946516999"/>
    <n v="3.6281771816751698E-2"/>
    <n v="0.74118293945176295"/>
    <n v="0"/>
    <x v="26"/>
    <x v="15"/>
    <n v="9223619951.9200001"/>
    <n v="59530"/>
  </r>
  <r>
    <n v="0.97713913291378096"/>
    <n v="24.2335607456004"/>
    <n v="23.588156775457801"/>
    <n v="0"/>
    <n v="4.83161521103046"/>
    <n v="3.9519235189364399"/>
    <n v="107.533095162607"/>
    <n v="24.2943134691903"/>
    <n v="66.575099344765405"/>
    <n v="61.8166854361966"/>
    <n v="165011.76914214299"/>
    <n v="754.60264915996902"/>
    <n v="0.12910669081464801"/>
    <n v="6.4640292935475893E-2"/>
    <n v="0.61781196144367601"/>
    <n v="3.9756635475998399E-2"/>
    <n v="0.73189874425286505"/>
    <n v="0"/>
    <x v="26"/>
    <x v="16"/>
    <n v="9375308675.5799999"/>
    <n v="56816"/>
  </r>
  <r>
    <n v="0.968584861555712"/>
    <n v="31.820765026979402"/>
    <n v="35.234887960379297"/>
    <n v="0"/>
    <n v="4.8135509813106596"/>
    <n v="3.9329910199514999"/>
    <n v="107.53594872597699"/>
    <n v="24.356327021465901"/>
    <n v="66.794261070043007"/>
    <n v="62.168733453700597"/>
    <n v="281398.96319809399"/>
    <n v="753.46652100394499"/>
    <n v="0.19230310287354799"/>
    <n v="6.35786733687181E-2"/>
    <n v="0.55997057156980601"/>
    <n v="7.8755765087981794E-2"/>
    <n v="0.72356383337310004"/>
    <n v="0"/>
    <x v="26"/>
    <x v="17"/>
    <n v="181545385304.14001"/>
    <n v="645153"/>
  </r>
  <r>
    <n v="0.97657024968699802"/>
    <n v="24.761197064635802"/>
    <n v="24.483431028047399"/>
    <n v="0"/>
    <n v="4.8339257385298504"/>
    <n v="3.95301748763461"/>
    <n v="107.54468975769799"/>
    <n v="24.092356443366398"/>
    <n v="66.597570701708506"/>
    <n v="61.830880710695602"/>
    <n v="172504.87192029299"/>
    <n v="754.87752396357996"/>
    <n v="0.12821974170644099"/>
    <n v="6.4548795092972594E-2"/>
    <n v="0.61672570566596097"/>
    <n v="4.2262725374790602E-2"/>
    <n v="0.72640346307665304"/>
    <n v="0"/>
    <x v="26"/>
    <x v="18"/>
    <n v="4744056482.6800003"/>
    <n v="27501"/>
  </r>
  <r>
    <n v="0.99269797494566303"/>
    <n v="8.4189473051717592"/>
    <n v="91.501315915396603"/>
    <n v="0"/>
    <n v="4.8656342746075598"/>
    <n v="4.0559181162085203"/>
    <n v="112.592767461113"/>
    <n v="25.080276539704201"/>
    <n v="58.745520933983997"/>
    <n v="4.7958858055631897"/>
    <n v="5774.96062730627"/>
    <n v="773.60647428704306"/>
    <n v="1.3165770820769401E-2"/>
    <n v="4.9341132870010199E-2"/>
    <n v="0.65241915388723604"/>
    <n v="4.7398447782903003E-2"/>
    <n v="0.353031502273848"/>
    <n v="0"/>
    <x v="27"/>
    <x v="0"/>
    <n v="3130028.66"/>
    <n v="542"/>
  </r>
  <r>
    <n v="0.99239399126494099"/>
    <n v="8.7549081765104901"/>
    <n v="61.851406425944901"/>
    <n v="0"/>
    <n v="4.9529663871942704"/>
    <n v="4.11484182892303"/>
    <n v="112.52257043239401"/>
    <n v="24.3315960564377"/>
    <n v="52.886582495735702"/>
    <n v="17.114507906028201"/>
    <n v="15731.651759336"/>
    <n v="766.07360004477403"/>
    <n v="5.9364983353323998E-2"/>
    <n v="2.83098017119791E-2"/>
    <n v="0.75899307467845301"/>
    <n v="3.3108935325547803E-2"/>
    <n v="0.42775923326755599"/>
    <n v="0"/>
    <x v="27"/>
    <x v="1"/>
    <n v="18956640.370000001"/>
    <n v="1205"/>
  </r>
  <r>
    <n v="0.991311307749561"/>
    <n v="9.9423268592497092"/>
    <n v="29.688435711661199"/>
    <n v="0"/>
    <n v="4.9735418611419799"/>
    <n v="4.1029561506632097"/>
    <n v="112.55587820260899"/>
    <n v="23.7020529620555"/>
    <n v="51.0236986727096"/>
    <n v="34.549879838908801"/>
    <n v="25970.949797052999"/>
    <n v="757.03012819796004"/>
    <n v="5.3330843874177497E-2"/>
    <n v="2.9922079566465001E-2"/>
    <n v="0.77525470187989198"/>
    <n v="2.3367384911621301E-2"/>
    <n v="0.47209574757561801"/>
    <n v="0"/>
    <x v="27"/>
    <x v="2"/>
    <n v="93417506.420000002"/>
    <n v="3597"/>
  </r>
  <r>
    <n v="0.98944800119037701"/>
    <n v="11.952768238639999"/>
    <n v="19.508572138264501"/>
    <n v="0"/>
    <n v="4.9748449255256002"/>
    <n v="4.0897799364210998"/>
    <n v="112.551653555897"/>
    <n v="23.490965435544201"/>
    <n v="53.720603976575603"/>
    <n v="43.877433910759699"/>
    <n v="35828.619614050702"/>
    <n v="753.28540424590199"/>
    <n v="5.9796540791740398E-2"/>
    <n v="3.7872470544346601E-2"/>
    <n v="0.74872203308991003"/>
    <n v="3.3862004044751301E-2"/>
    <n v="0.51732357091049597"/>
    <n v="0"/>
    <x v="27"/>
    <x v="3"/>
    <n v="320272030.73000002"/>
    <n v="8939"/>
  </r>
  <r>
    <n v="0.98752637291624001"/>
    <n v="13.9829720361505"/>
    <n v="13.993149750034799"/>
    <n v="0"/>
    <n v="4.9607923166856001"/>
    <n v="4.0675151588112399"/>
    <n v="112.568052237983"/>
    <n v="23.4669056163888"/>
    <n v="54.670272253631502"/>
    <n v="47.644725372520803"/>
    <n v="45863.799847459297"/>
    <n v="753.37605571115"/>
    <n v="6.7671988960316398E-2"/>
    <n v="4.8281965383822102E-2"/>
    <n v="0.72367376257558103"/>
    <n v="3.1478928229803999E-2"/>
    <n v="0.58093989230056098"/>
    <n v="0"/>
    <x v="27"/>
    <x v="4"/>
    <n v="880951867.47000003"/>
    <n v="19208"/>
  </r>
  <r>
    <n v="0.98591268786944897"/>
    <n v="15.6545872405441"/>
    <n v="12.3011342938672"/>
    <n v="0"/>
    <n v="4.9516362539326604"/>
    <n v="4.0500195811386899"/>
    <n v="112.57204090869099"/>
    <n v="23.539829185317501"/>
    <n v="58.410001323009503"/>
    <n v="52.360982270039301"/>
    <n v="55415.987396626297"/>
    <n v="751.66062280502797"/>
    <n v="7.2330012298555998E-2"/>
    <n v="6.0434099325750598E-2"/>
    <n v="0.71329737625189404"/>
    <n v="3.2967137715502699E-2"/>
    <n v="0.62371973434439199"/>
    <n v="0"/>
    <x v="27"/>
    <x v="5"/>
    <n v="1652449328.1800001"/>
    <n v="29819"/>
  </r>
  <r>
    <n v="0.98459335439866802"/>
    <n v="16.9990999854545"/>
    <n v="12.798580143075201"/>
    <n v="0"/>
    <n v="4.9435828300762399"/>
    <n v="4.0327702584338603"/>
    <n v="112.587101107422"/>
    <n v="23.6001382279998"/>
    <n v="60.550876888373999"/>
    <n v="55.039732401953799"/>
    <n v="65244.709769593203"/>
    <n v="750.82771238077703"/>
    <n v="8.4188748568862895E-2"/>
    <n v="6.14604334866726E-2"/>
    <n v="0.70570436722666796"/>
    <n v="3.4727952601030801E-2"/>
    <n v="0.65377591431983095"/>
    <n v="0"/>
    <x v="27"/>
    <x v="6"/>
    <n v="2644824799.9299998"/>
    <n v="40537"/>
  </r>
  <r>
    <n v="0.98353752372835102"/>
    <n v="18.0608972065892"/>
    <n v="13.9867028376603"/>
    <n v="0"/>
    <n v="4.9290937100004397"/>
    <n v="4.0190274776507504"/>
    <n v="112.607319905324"/>
    <n v="23.6492254650693"/>
    <n v="60.538181801986497"/>
    <n v="55.652349713099703"/>
    <n v="75136.434947111906"/>
    <n v="752.71801132514599"/>
    <n v="8.9342547993479293E-2"/>
    <n v="5.7815630941920999E-2"/>
    <n v="0.70151795473151102"/>
    <n v="3.1721470145799298E-2"/>
    <n v="0.69536796973432702"/>
    <n v="0"/>
    <x v="27"/>
    <x v="7"/>
    <n v="3793187781.8699999"/>
    <n v="50484"/>
  </r>
  <r>
    <n v="0.98261985762267801"/>
    <n v="18.973619751239099"/>
    <n v="13.9025368510723"/>
    <n v="0"/>
    <n v="4.9179719897983798"/>
    <n v="3.99580725765568"/>
    <n v="112.609779467151"/>
    <n v="23.958836566529801"/>
    <n v="63.366373539492002"/>
    <n v="58.378897241081397"/>
    <n v="85129.739918502994"/>
    <n v="752.67874165914202"/>
    <n v="9.8279804477618402E-2"/>
    <n v="6.11786131363182E-2"/>
    <n v="0.69743746851505495"/>
    <n v="3.1187375903439601E-2"/>
    <n v="0.70030034779202099"/>
    <n v="0"/>
    <x v="27"/>
    <x v="8"/>
    <n v="4940844975.1300001"/>
    <n v="58039"/>
  </r>
  <r>
    <n v="0.98169483077864095"/>
    <n v="19.884222802220801"/>
    <n v="16.574628583336299"/>
    <n v="0"/>
    <n v="4.9140024900463501"/>
    <n v="3.9902207275133601"/>
    <n v="112.609713762184"/>
    <n v="24.173091294151099"/>
    <n v="63.505800444073898"/>
    <n v="58.7296060783356"/>
    <n v="95182.973114149107"/>
    <n v="754.15181410066896"/>
    <n v="9.6363196134280696E-2"/>
    <n v="6.4106422697955898E-2"/>
    <n v="0.66424096193277204"/>
    <n v="3.2479297872025401E-2"/>
    <n v="0.67292997261829601"/>
    <n v="0"/>
    <x v="27"/>
    <x v="9"/>
    <n v="6732482054.3100004"/>
    <n v="70732"/>
  </r>
  <r>
    <n v="0.980866588369671"/>
    <n v="20.691580524338502"/>
    <n v="17.011342365600399"/>
    <n v="0"/>
    <n v="4.9091703219405201"/>
    <n v="3.9740394140440598"/>
    <n v="112.619423377521"/>
    <n v="24.1678044029766"/>
    <n v="65.828515426572693"/>
    <n v="60.963386481021502"/>
    <n v="104966.045172892"/>
    <n v="752.56543245098703"/>
    <n v="0.11416638130342099"/>
    <n v="6.2314466942578597E-2"/>
    <n v="0.65797335246813504"/>
    <n v="3.1891653318181598E-2"/>
    <n v="0.70092312519118205"/>
    <n v="0"/>
    <x v="27"/>
    <x v="10"/>
    <n v="6647919504.9799995"/>
    <n v="63334"/>
  </r>
  <r>
    <n v="0.98006786190335504"/>
    <n v="21.463095801963799"/>
    <n v="18.658144825919901"/>
    <n v="0"/>
    <n v="4.8992256630088704"/>
    <n v="3.9643659476295601"/>
    <n v="112.619495449029"/>
    <n v="24.441993482254301"/>
    <n v="66.498817761562606"/>
    <n v="61.5546635713605"/>
    <n v="115008.94070436301"/>
    <n v="753.09183993734496"/>
    <n v="0.114307630227434"/>
    <n v="5.9859892781582102E-2"/>
    <n v="0.64759229554011599"/>
    <n v="3.2321462774135098E-2"/>
    <n v="0.69324568202962"/>
    <n v="0"/>
    <x v="27"/>
    <x v="11"/>
    <n v="7360687214.0200005"/>
    <n v="64001"/>
  </r>
  <r>
    <n v="0.97929824355668105"/>
    <n v="22.199980326157799"/>
    <n v="19.514552415692599"/>
    <n v="0"/>
    <n v="4.8915434432769302"/>
    <n v="3.95558851981145"/>
    <n v="112.61197233854"/>
    <n v="24.4249753514293"/>
    <n v="66.7502611085674"/>
    <n v="61.910467966213503"/>
    <n v="124893.819884242"/>
    <n v="753.25777101290203"/>
    <n v="0.11224045375073299"/>
    <n v="6.4121417808423606E-2"/>
    <n v="0.63486644741485698"/>
    <n v="3.3316201944764902E-2"/>
    <n v="0.69517520325236504"/>
    <n v="0"/>
    <x v="27"/>
    <x v="12"/>
    <n v="7854572332.5200005"/>
    <n v="62890"/>
  </r>
  <r>
    <n v="0.97862392640654206"/>
    <n v="22.8404021274218"/>
    <n v="21.3267369956402"/>
    <n v="0"/>
    <n v="4.8890368930719301"/>
    <n v="3.9496413109133699"/>
    <n v="112.623247376748"/>
    <n v="24.550207551728601"/>
    <n v="67.189186024149606"/>
    <n v="62.338229864615698"/>
    <n v="134927.98558370501"/>
    <n v="753.68207234825104"/>
    <n v="0.118039394655576"/>
    <n v="6.3106437162098905E-2"/>
    <n v="0.63441045542066399"/>
    <n v="3.6673738306497401E-2"/>
    <n v="0.70643434889676304"/>
    <n v="0"/>
    <x v="27"/>
    <x v="13"/>
    <n v="7892882372.6899996"/>
    <n v="58497"/>
  </r>
  <r>
    <n v="0.977872183531178"/>
    <n v="23.548658785869801"/>
    <n v="23.004381389356201"/>
    <n v="0"/>
    <n v="4.8848196817946201"/>
    <n v="3.9508379339543498"/>
    <n v="112.640758277907"/>
    <n v="24.514863607528302"/>
    <n v="66.195278961955694"/>
    <n v="61.516490855896599"/>
    <n v="144916.76459294799"/>
    <n v="753.67044416585804"/>
    <n v="0.117293102284695"/>
    <n v="6.36886032405721E-2"/>
    <n v="0.62254599621694495"/>
    <n v="3.9575507423395599E-2"/>
    <n v="0.70943096243511905"/>
    <n v="0"/>
    <x v="27"/>
    <x v="14"/>
    <n v="8446473624.3000002"/>
    <n v="58285"/>
  </r>
  <r>
    <n v="0.97711439494247798"/>
    <n v="24.256575446083801"/>
    <n v="23.0031598914886"/>
    <n v="0"/>
    <n v="4.8931226357843203"/>
    <n v="3.9507080728027102"/>
    <n v="112.637122681159"/>
    <n v="24.686210934121998"/>
    <n v="67.505227740550097"/>
    <n v="62.777480929783501"/>
    <n v="154954.17398116499"/>
    <n v="752.04913351831794"/>
    <n v="0.12764302606940001"/>
    <n v="6.4746926243495206E-2"/>
    <n v="0.62417890014461297"/>
    <n v="3.5928799442465402E-2"/>
    <n v="0.72671186621899997"/>
    <n v="0"/>
    <x v="27"/>
    <x v="15"/>
    <n v="8029570341.5299997"/>
    <n v="51819"/>
  </r>
  <r>
    <n v="0.97620805457434101"/>
    <n v="25.0953740279163"/>
    <n v="24.290193768230701"/>
    <n v="0"/>
    <n v="4.8850291129815098"/>
    <n v="3.9410590039534799"/>
    <n v="112.633413445245"/>
    <n v="24.8130669559655"/>
    <n v="68.072290395582201"/>
    <n v="63.246367650813198"/>
    <n v="164999.727287649"/>
    <n v="752.62073663025399"/>
    <n v="0.12587103371033201"/>
    <n v="6.4239451270339601E-2"/>
    <n v="0.60980214133003097"/>
    <n v="4.0444424993782202E-2"/>
    <n v="0.71575880361426403"/>
    <n v="0"/>
    <x v="27"/>
    <x v="16"/>
    <n v="8232496393.29"/>
    <n v="49894"/>
  </r>
  <r>
    <n v="0.967529317127646"/>
    <n v="32.707044717852597"/>
    <n v="35.418567418925299"/>
    <n v="0"/>
    <n v="4.8705380043328397"/>
    <n v="3.9267603404325602"/>
    <n v="112.63655097238301"/>
    <n v="24.855346612627901"/>
    <n v="68.204871492988104"/>
    <n v="63.521711782837599"/>
    <n v="280079.763176526"/>
    <n v="752.20769080445098"/>
    <n v="0.18633765334351399"/>
    <n v="6.2714893082697398E-2"/>
    <n v="0.55901586162535599"/>
    <n v="8.25830725552784E-2"/>
    <n v="0.70327680845723795"/>
    <n v="0"/>
    <x v="27"/>
    <x v="17"/>
    <n v="156776327916.64001"/>
    <n v="559756"/>
  </r>
  <r>
    <n v="0.97562199336483402"/>
    <n v="25.6332188400552"/>
    <n v="25.016142698641001"/>
    <n v="0"/>
    <n v="4.8851130488078498"/>
    <n v="3.9422145528052699"/>
    <n v="112.61988415764399"/>
    <n v="24.680566627750999"/>
    <n v="68.061333391744895"/>
    <n v="63.228740941518303"/>
    <n v="172509.39622916401"/>
    <n v="753.20190775199603"/>
    <n v="0.12978695108965599"/>
    <n v="6.3518536104521697E-2"/>
    <n v="0.60543832258256103"/>
    <n v="4.0434371411460099E-2"/>
    <n v="0.70853480511252098"/>
    <n v="0"/>
    <x v="27"/>
    <x v="18"/>
    <n v="4201983873.3499999"/>
    <n v="24358"/>
  </r>
  <r>
    <n v="0.99254293152654405"/>
    <n v="8.5904417468603693"/>
    <n v="91.256420992537002"/>
    <n v="0"/>
    <n v="4.9467336292476896"/>
    <n v="4.0569894123474901"/>
    <n v="117.008529979051"/>
    <n v="24.538749453320801"/>
    <n v="57.858241253713999"/>
    <n v="5.4426614131136404"/>
    <n v="5924.0412213740401"/>
    <n v="766.83276660931597"/>
    <n v="2.9332913600603201E-2"/>
    <n v="6.9498430125710997E-2"/>
    <n v="0.64957787803199096"/>
    <n v="5.3504474070851599E-2"/>
    <n v="0.38153255127830699"/>
    <n v="0"/>
    <x v="28"/>
    <x v="0"/>
    <n v="3104197.6"/>
    <n v="524"/>
  </r>
  <r>
    <n v="0.99248751940408497"/>
    <n v="8.6516619818310492"/>
    <n v="72.9338405598766"/>
    <n v="0"/>
    <n v="5.0205252598637697"/>
    <n v="4.11789617120822"/>
    <n v="117.043649931396"/>
    <n v="23.938475711484799"/>
    <n v="51.011988735977603"/>
    <n v="17.547781629493901"/>
    <n v="15758.5020130475"/>
    <n v="762.92424587814003"/>
    <n v="5.9445655556790898E-2"/>
    <n v="3.7336322929053201E-2"/>
    <n v="0.74869256836664799"/>
    <n v="3.2355636061665097E-2"/>
    <n v="0.43730064911376498"/>
    <n v="0"/>
    <x v="28"/>
    <x v="1"/>
    <n v="16908872.66"/>
    <n v="1073"/>
  </r>
  <r>
    <n v="0.99119207839124901"/>
    <n v="10.072220486523999"/>
    <n v="29.4298258576198"/>
    <n v="0"/>
    <n v="5.0094005484536197"/>
    <n v="4.0898626650066499"/>
    <n v="117.185696417483"/>
    <n v="23.419855079252802"/>
    <n v="50.887629228308498"/>
    <n v="34.9919957399891"/>
    <n v="26070.147622877499"/>
    <n v="756.73201356240099"/>
    <n v="6.2261888290216699E-2"/>
    <n v="3.1465627492204398E-2"/>
    <n v="0.770448324478753"/>
    <n v="2.5213628860886801E-2"/>
    <n v="0.46930102610350799"/>
    <n v="0"/>
    <x v="28"/>
    <x v="2"/>
    <n v="87517485.569999993"/>
    <n v="3357"/>
  </r>
  <r>
    <n v="0.98920340747295998"/>
    <n v="12.2135990470835"/>
    <n v="18.145471792812501"/>
    <n v="0"/>
    <n v="5.0210454187898002"/>
    <n v="4.08254265463483"/>
    <n v="117.24623983775"/>
    <n v="23.334199581993001"/>
    <n v="53.341681122314398"/>
    <n v="43.817229246984198"/>
    <n v="35782.972739639699"/>
    <n v="752.06291321423703"/>
    <n v="6.0270302694080798E-2"/>
    <n v="3.9227553066544199E-2"/>
    <n v="0.75571466644158503"/>
    <n v="2.94992655014066E-2"/>
    <n v="0.52690908369870204"/>
    <n v="0"/>
    <x v="28"/>
    <x v="3"/>
    <n v="284081020.57999998"/>
    <n v="7939"/>
  </r>
  <r>
    <n v="0.98716593581866396"/>
    <n v="14.3589607630161"/>
    <n v="14.736066618490799"/>
    <n v="0"/>
    <n v="4.9958088882560103"/>
    <n v="4.0557492689063404"/>
    <n v="117.24752689070201"/>
    <n v="23.4828903990391"/>
    <n v="54.466007713525599"/>
    <n v="47.680881400293998"/>
    <n v="45850.317058164801"/>
    <n v="752.60936916849403"/>
    <n v="6.4364115564073301E-2"/>
    <n v="5.54049239094788E-2"/>
    <n v="0.72561244660969604"/>
    <n v="3.29147903141635E-2"/>
    <n v="0.57612876561172899"/>
    <n v="0"/>
    <x v="28"/>
    <x v="4"/>
    <n v="778034030.15999997"/>
    <n v="16969"/>
  </r>
  <r>
    <n v="0.98551750378318603"/>
    <n v="16.059392827394401"/>
    <n v="13.1493022628928"/>
    <n v="0"/>
    <n v="4.9918712867162496"/>
    <n v="4.0401875412065396"/>
    <n v="117.289994012919"/>
    <n v="23.5056211134956"/>
    <n v="58.4761343674976"/>
    <n v="52.5960501474922"/>
    <n v="55465.258288184203"/>
    <n v="749.95943870174699"/>
    <n v="7.2931201220381395E-2"/>
    <n v="6.4719231958551698E-2"/>
    <n v="0.71468708406301895"/>
    <n v="3.2568632762667901E-2"/>
    <n v="0.63211621597703704"/>
    <n v="0"/>
    <x v="28"/>
    <x v="5"/>
    <n v="1488521136.6800001"/>
    <n v="26837"/>
  </r>
  <r>
    <n v="0.98424710904134105"/>
    <n v="17.348683777412798"/>
    <n v="13.200959290240901"/>
    <n v="0"/>
    <n v="4.9785039734209198"/>
    <n v="4.0206395232963503"/>
    <n v="117.32600183425799"/>
    <n v="23.622010117965299"/>
    <n v="60.433041604405801"/>
    <n v="55.040783764005802"/>
    <n v="65229.647013387897"/>
    <n v="749.96965278626101"/>
    <n v="8.1633568654500596E-2"/>
    <n v="6.3670031720545098E-2"/>
    <n v="0.70932295122337796"/>
    <n v="3.7451764729892499E-2"/>
    <n v="0.66436616180240304"/>
    <n v="0"/>
    <x v="28"/>
    <x v="6"/>
    <n v="2324067093.4400001"/>
    <n v="35629"/>
  </r>
  <r>
    <n v="0.98319287016810697"/>
    <n v="18.4047934494535"/>
    <n v="13.946222288253599"/>
    <n v="0"/>
    <n v="4.9612227066817098"/>
    <n v="4.0039685094694697"/>
    <n v="117.304922306466"/>
    <n v="23.8725590843943"/>
    <n v="60.588988441430402"/>
    <n v="55.8061743339114"/>
    <n v="75155.296939269407"/>
    <n v="751.97426366569505"/>
    <n v="9.2904271283784104E-2"/>
    <n v="5.95429599839516E-2"/>
    <n v="0.70357956776886499"/>
    <n v="3.3698258208237103E-2"/>
    <n v="0.70230161614164199"/>
    <n v="0"/>
    <x v="28"/>
    <x v="7"/>
    <n v="3384618797.6599998"/>
    <n v="45035"/>
  </r>
  <r>
    <n v="0.98233131290333797"/>
    <n v="19.2586782436573"/>
    <n v="14.872867915476901"/>
    <n v="0"/>
    <n v="4.9519833119148604"/>
    <n v="3.9830536006614898"/>
    <n v="117.344970317407"/>
    <n v="24.170863503124899"/>
    <n v="63.221649635467401"/>
    <n v="58.329104828688003"/>
    <n v="85090.834227420593"/>
    <n v="752.29331804826904"/>
    <n v="9.7970800270975197E-2"/>
    <n v="6.2093815468875498E-2"/>
    <n v="0.70033320693388601"/>
    <n v="3.1010333735935199E-2"/>
    <n v="0.71454901963058404"/>
    <n v="0"/>
    <x v="28"/>
    <x v="8"/>
    <n v="4339462363.9300003"/>
    <n v="50998"/>
  </r>
  <r>
    <n v="0.98139309564348798"/>
    <n v="20.179217790722799"/>
    <n v="16.3946400515905"/>
    <n v="0"/>
    <n v="4.9545299313534601"/>
    <n v="3.9812203057336699"/>
    <n v="117.33060757915899"/>
    <n v="24.318116384303"/>
    <n v="63.4505214987066"/>
    <n v="58.9218096534117"/>
    <n v="95218.880203920096"/>
    <n v="752.91728369382304"/>
    <n v="9.8099492935872001E-2"/>
    <n v="6.4665619168021105E-2"/>
    <n v="0.67471878991443701"/>
    <n v="3.28814594743011E-2"/>
    <n v="0.68410977546496299"/>
    <n v="0"/>
    <x v="28"/>
    <x v="9"/>
    <n v="5897476564.3100004"/>
    <n v="61936"/>
  </r>
  <r>
    <n v="0.98053683854580698"/>
    <n v="21.010934493541999"/>
    <n v="16.852876448684999"/>
    <n v="0"/>
    <n v="4.9449280004446301"/>
    <n v="3.9612413071268899"/>
    <n v="117.376063240428"/>
    <n v="24.393577661439"/>
    <n v="65.8026336178566"/>
    <n v="61.110444928090203"/>
    <n v="104983.787965001"/>
    <n v="751.16977255769496"/>
    <n v="0.113408551275939"/>
    <n v="6.2375877247354203E-2"/>
    <n v="0.66680398944859098"/>
    <n v="3.1327474184308798E-2"/>
    <n v="0.71204685600143303"/>
    <n v="0"/>
    <x v="28"/>
    <x v="10"/>
    <n v="5789330987.3299999"/>
    <n v="55145"/>
  </r>
  <r>
    <n v="0.97971267655986105"/>
    <n v="21.803965533461"/>
    <n v="20.004989517522301"/>
    <n v="0"/>
    <n v="4.9329281276481698"/>
    <n v="3.9500346847916599"/>
    <n v="117.37860619748901"/>
    <n v="24.750121470361201"/>
    <n v="66.132358386420293"/>
    <n v="61.363091952484098"/>
    <n v="115028.18264796201"/>
    <n v="751.59408114916698"/>
    <n v="0.118734204418125"/>
    <n v="6.0670238122804698E-2"/>
    <n v="0.64765942995595804"/>
    <n v="3.3797822334370502E-2"/>
    <n v="0.71100162295484404"/>
    <n v="0"/>
    <x v="28"/>
    <x v="11"/>
    <n v="6252356867.8299999"/>
    <n v="54355"/>
  </r>
  <r>
    <n v="0.97899096938470198"/>
    <n v="22.492410845105599"/>
    <n v="20.687212978607398"/>
    <n v="0"/>
    <n v="4.9300231082030601"/>
    <n v="3.9443876746279098"/>
    <n v="117.399080371135"/>
    <n v="24.6474112010246"/>
    <n v="66.466542357330198"/>
    <n v="61.8460565129446"/>
    <n v="124907.32481916599"/>
    <n v="751.86337450303404"/>
    <n v="0.11749353008970401"/>
    <n v="6.3141499536867401E-2"/>
    <n v="0.64239380080411002"/>
    <n v="3.4208500468212201E-2"/>
    <n v="0.71621838868068199"/>
    <n v="0"/>
    <x v="28"/>
    <x v="12"/>
    <n v="6772600059.0200005"/>
    <n v="54221"/>
  </r>
  <r>
    <n v="0.97829642945949702"/>
    <n v="23.1496903845422"/>
    <n v="20.713990019448399"/>
    <n v="0"/>
    <n v="4.9240754748550799"/>
    <n v="3.9376410620424398"/>
    <n v="117.40892776702"/>
    <n v="24.734375023022899"/>
    <n v="66.813366247875095"/>
    <n v="62.184243942314303"/>
    <n v="134947.055355383"/>
    <n v="751.84070171806104"/>
    <n v="0.122157377373889"/>
    <n v="6.1667732174529498E-2"/>
    <n v="0.642528058510769"/>
    <n v="3.6977930549986299E-2"/>
    <n v="0.72640341785240303"/>
    <n v="0"/>
    <x v="28"/>
    <x v="13"/>
    <n v="6711591798.1000004"/>
    <n v="49735"/>
  </r>
  <r>
    <n v="0.97752834344196904"/>
    <n v="23.870618147445501"/>
    <n v="21.570596820667799"/>
    <n v="0"/>
    <n v="4.9230875264554399"/>
    <n v="3.9406734120149198"/>
    <n v="117.38135768385401"/>
    <n v="24.7870408152117"/>
    <n v="65.969241224258596"/>
    <n v="61.5165186071048"/>
    <n v="144902.28983856799"/>
    <n v="752.22592038139305"/>
    <n v="0.12147599429943901"/>
    <n v="6.4094878969569294E-2"/>
    <n v="0.63073134551976895"/>
    <n v="3.9768464451856E-2"/>
    <n v="0.72556452394764204"/>
    <n v="0"/>
    <x v="28"/>
    <x v="14"/>
    <n v="7261633352.9700003"/>
    <n v="50114"/>
  </r>
  <r>
    <n v="0.97675704590275503"/>
    <n v="24.588317106723199"/>
    <n v="23.616531846316001"/>
    <n v="0"/>
    <n v="4.9310024118043803"/>
    <n v="3.94074770277608"/>
    <n v="117.393910477048"/>
    <n v="24.9526308062186"/>
    <n v="67.156033373847904"/>
    <n v="62.690840320262701"/>
    <n v="154944.98324922199"/>
    <n v="751.12321069526502"/>
    <n v="0.129960916893615"/>
    <n v="6.3838576141714301E-2"/>
    <n v="0.62952185911229097"/>
    <n v="3.8236551973342303E-2"/>
    <n v="0.73786545503838497"/>
    <n v="0"/>
    <x v="28"/>
    <x v="15"/>
    <n v="6926505586.1899996"/>
    <n v="44703"/>
  </r>
  <r>
    <n v="0.97587398558108995"/>
    <n v="25.402393852428698"/>
    <n v="25.1733933303329"/>
    <n v="0"/>
    <n v="4.9228286364521097"/>
    <n v="3.9308547579103399"/>
    <n v="117.424894138429"/>
    <n v="25.078228364830299"/>
    <n v="67.506658806273705"/>
    <n v="62.974426942104699"/>
    <n v="165003.91139980601"/>
    <n v="751.23744506233504"/>
    <n v="0.12937372287089599"/>
    <n v="6.2895855584670798E-2"/>
    <n v="0.621592219419007"/>
    <n v="4.2307706333556003E-2"/>
    <n v="0.73137995063056704"/>
    <n v="0"/>
    <x v="28"/>
    <x v="16"/>
    <n v="6981810503.0600004"/>
    <n v="42313"/>
  </r>
  <r>
    <n v="0.966953713400034"/>
    <n v="33.1858839931486"/>
    <n v="36.217573944955397"/>
    <n v="0"/>
    <n v="4.9096922076532596"/>
    <n v="3.9155020879827398"/>
    <n v="117.41939078546"/>
    <n v="25.1798118530339"/>
    <n v="67.978538183789595"/>
    <n v="63.592637903092097"/>
    <n v="280180.76131016499"/>
    <n v="750.36549885241902"/>
    <n v="0.192350696925876"/>
    <n v="6.01233191064489E-2"/>
    <n v="0.56388422122517801"/>
    <n v="8.5557025061852601E-2"/>
    <n v="0.71767094618326799"/>
    <n v="0"/>
    <x v="28"/>
    <x v="17"/>
    <n v="128894637613.89"/>
    <n v="460041"/>
  </r>
  <r>
    <n v="0.97523510463705199"/>
    <n v="25.986335105347901"/>
    <n v="23.4763904798466"/>
    <n v="0"/>
    <n v="4.9259429403529502"/>
    <n v="3.9337291797342"/>
    <n v="117.40848149350001"/>
    <n v="24.892860891206801"/>
    <n v="67.590230492727201"/>
    <n v="63.117862084024097"/>
    <n v="172500.014606752"/>
    <n v="751.66992008988097"/>
    <n v="0.13030945935239499"/>
    <n v="6.2455133246835597E-2"/>
    <n v="0.612591725520791"/>
    <n v="4.5426404080327602E-2"/>
    <n v="0.72663152623659399"/>
    <n v="0"/>
    <x v="28"/>
    <x v="18"/>
    <n v="3535560299.3800001"/>
    <n v="20496"/>
  </r>
  <r>
    <n v="0.99275221954470205"/>
    <n v="8.3588774241548194"/>
    <n v="92.019510030435498"/>
    <n v="0"/>
    <n v="4.9458640440190296"/>
    <n v="3.99541483682887"/>
    <n v="122.24659201677601"/>
    <n v="25.023687012377501"/>
    <n v="58.387807785474401"/>
    <n v="5.2970218714108901"/>
    <n v="6046.6032313575497"/>
    <n v="773.71308345681803"/>
    <n v="3.7315415264248197E-2"/>
    <n v="3.7343062220016203E-2"/>
    <n v="0.62110772690546401"/>
    <n v="2.69554024120028E-2"/>
    <n v="0.394544108703618"/>
    <n v="0"/>
    <x v="29"/>
    <x v="0"/>
    <n v="3162373.49"/>
    <n v="523"/>
  </r>
  <r>
    <n v="0.992432337619084"/>
    <n v="8.7125903834639207"/>
    <n v="66.057432329061896"/>
    <n v="0"/>
    <n v="5.0119735692316398"/>
    <n v="4.0463685133061897"/>
    <n v="122.19326718414401"/>
    <n v="24.601008013646702"/>
    <n v="52.5098107469219"/>
    <n v="16.834486738821798"/>
    <n v="15796.6009830781"/>
    <n v="767.77264380147801"/>
    <n v="4.6629052200420698E-2"/>
    <n v="3.2043785455529501E-2"/>
    <n v="0.71312290214931695"/>
    <n v="3.2051238685318902E-2"/>
    <n v="0.45306153750631201"/>
    <n v="0"/>
    <x v="29"/>
    <x v="1"/>
    <n v="19603581.82"/>
    <n v="1241"/>
  </r>
  <r>
    <n v="0.99097813321227002"/>
    <n v="10.3048711461746"/>
    <n v="32.1060251852318"/>
    <n v="0"/>
    <n v="5.0191880286045301"/>
    <n v="4.0446529507534201"/>
    <n v="122.252432523525"/>
    <n v="23.965687480635701"/>
    <n v="49.3399528398417"/>
    <n v="32.514477476606501"/>
    <n v="26069.393777341498"/>
    <n v="759.36827470609603"/>
    <n v="5.3119674924795302E-2"/>
    <n v="2.3944236293057301E-2"/>
    <n v="0.76903824918498498"/>
    <n v="2.42342729431472E-2"/>
    <n v="0.48676066232153498"/>
    <n v="0"/>
    <x v="29"/>
    <x v="2"/>
    <n v="92963458.209999993"/>
    <n v="3566"/>
  </r>
  <r>
    <n v="0.98879998275564795"/>
    <n v="12.642257582910499"/>
    <n v="19.8954543711389"/>
    <n v="0"/>
    <n v="5.0312175026822397"/>
    <n v="4.0386563159369899"/>
    <n v="122.27286130999801"/>
    <n v="23.725638782535999"/>
    <n v="51.920660969636202"/>
    <n v="42.718233540983498"/>
    <n v="35799.398097156598"/>
    <n v="755.52664308254202"/>
    <n v="6.6568924061479795E-2"/>
    <n v="3.3629221112254998E-2"/>
    <n v="0.75692238502785003"/>
    <n v="3.3076053879248002E-2"/>
    <n v="0.54892542668858602"/>
    <n v="0"/>
    <x v="29"/>
    <x v="3"/>
    <n v="310989371.26999998"/>
    <n v="8687"/>
  </r>
  <r>
    <n v="0.98665727123698899"/>
    <n v="14.8870095880274"/>
    <n v="15.649002139358601"/>
    <n v="0"/>
    <n v="5.0177793920688902"/>
    <n v="4.0222244762609103"/>
    <n v="122.257865954526"/>
    <n v="23.854622258226701"/>
    <n v="53.785999445447899"/>
    <n v="46.998839503071501"/>
    <n v="45838.825968899502"/>
    <n v="754.84213468211203"/>
    <n v="6.5965328624304903E-2"/>
    <n v="4.6320938629224602E-2"/>
    <n v="0.72500645722233503"/>
    <n v="3.1909224926776197E-2"/>
    <n v="0.60179584333612901"/>
    <n v="0"/>
    <x v="29"/>
    <x v="4"/>
    <n v="843067687.22000003"/>
    <n v="18392"/>
  </r>
  <r>
    <n v="0.98505967154350005"/>
    <n v="16.5261446526562"/>
    <n v="14.5683980208671"/>
    <n v="0"/>
    <n v="5.0098563032028203"/>
    <n v="4.0052666323241697"/>
    <n v="122.28861377909701"/>
    <n v="23.7372689106904"/>
    <n v="57.141643044039803"/>
    <n v="51.408194223153998"/>
    <n v="55434.923152270298"/>
    <n v="753.29148091203297"/>
    <n v="7.9411147616456804E-2"/>
    <n v="5.6257979404828802E-2"/>
    <n v="0.71714069596498997"/>
    <n v="3.34880896491477E-2"/>
    <n v="0.65087027414038601"/>
    <n v="0"/>
    <x v="29"/>
    <x v="5"/>
    <n v="1561435480.4300001"/>
    <n v="28167"/>
  </r>
  <r>
    <n v="0.98377082487091505"/>
    <n v="17.827355173858699"/>
    <n v="13.8735659888047"/>
    <n v="0"/>
    <n v="4.9982248799555702"/>
    <n v="3.9885202691314499"/>
    <n v="122.264845968221"/>
    <n v="23.8153604102869"/>
    <n v="59.136608989553999"/>
    <n v="53.863514711899299"/>
    <n v="65213.976296558401"/>
    <n v="753.45073287471303"/>
    <n v="8.4047628474418601E-2"/>
    <n v="5.3831277192107001E-2"/>
    <n v="0.70694488157119995"/>
    <n v="3.5654912468092097E-2"/>
    <n v="0.67337313494563"/>
    <n v="0"/>
    <x v="29"/>
    <x v="6"/>
    <n v="2487978409.6900001"/>
    <n v="38151"/>
  </r>
  <r>
    <n v="0.98272463788280795"/>
    <n v="18.869877338892401"/>
    <n v="14.0537151712546"/>
    <n v="0"/>
    <n v="4.9848085463587601"/>
    <n v="3.9725518896272898"/>
    <n v="122.282901537133"/>
    <n v="23.982026259300198"/>
    <n v="59.229980328365002"/>
    <n v="54.685220273087403"/>
    <n v="75108.446711733399"/>
    <n v="754.32059153675698"/>
    <n v="9.5524439620055204E-2"/>
    <n v="5.1994450533906098E-2"/>
    <n v="0.70489141135906197"/>
    <n v="3.1756777849409702E-2"/>
    <n v="0.71240190171488704"/>
    <n v="0"/>
    <x v="29"/>
    <x v="7"/>
    <n v="3577640642.2199998"/>
    <n v="47633"/>
  </r>
  <r>
    <n v="0.98179804459265096"/>
    <n v="19.783085405748398"/>
    <n v="16.2340920393662"/>
    <n v="0"/>
    <n v="4.9774025219068596"/>
    <n v="3.9554595698901398"/>
    <n v="122.28359737262601"/>
    <n v="24.372675614395298"/>
    <n v="61.948237331996701"/>
    <n v="57.280091805108597"/>
    <n v="85088.265851375603"/>
    <n v="754.84799663647595"/>
    <n v="0.100687039786619"/>
    <n v="5.6469002903746998E-2"/>
    <n v="0.69090027820548605"/>
    <n v="3.1531702775175099E-2"/>
    <n v="0.71686787628387205"/>
    <n v="0"/>
    <x v="29"/>
    <x v="8"/>
    <n v="4499892939.5500002"/>
    <n v="52885"/>
  </r>
  <r>
    <n v="0.98082260309098701"/>
    <n v="20.734247399483401"/>
    <n v="16.8374605685967"/>
    <n v="0"/>
    <n v="4.9753566561480502"/>
    <n v="3.9498779998865801"/>
    <n v="122.272405133695"/>
    <n v="24.555870248782298"/>
    <n v="61.962478733610702"/>
    <n v="57.652456162412101"/>
    <n v="95185.218678399702"/>
    <n v="755.87778011129706"/>
    <n v="9.9650849733788099E-2"/>
    <n v="5.8136934832531698E-2"/>
    <n v="0.66853599339347103"/>
    <n v="3.2472938633130603E-2"/>
    <n v="0.69287756392384303"/>
    <n v="0"/>
    <x v="29"/>
    <x v="9"/>
    <n v="6138494752.5699997"/>
    <n v="64490"/>
  </r>
  <r>
    <n v="0.97995404364340799"/>
    <n v="21.572474673617499"/>
    <n v="18.1364166130091"/>
    <n v="0"/>
    <n v="4.9691855121507"/>
    <n v="3.9347421209101898"/>
    <n v="122.289761746827"/>
    <n v="24.6575576821181"/>
    <n v="64.339713831898294"/>
    <n v="59.881603029931902"/>
    <n v="104949.54349329"/>
    <n v="753.45545202129995"/>
    <n v="0.117459532145057"/>
    <n v="5.5042306758800799E-2"/>
    <n v="0.659673741294871"/>
    <n v="3.1830640363626601E-2"/>
    <n v="0.71711751410791003"/>
    <n v="0"/>
    <x v="29"/>
    <x v="10"/>
    <n v="5974987410.1599998"/>
    <n v="56932"/>
  </r>
  <r>
    <n v="0.97912896784213499"/>
    <n v="22.3612036208444"/>
    <n v="19.153705613288398"/>
    <n v="0"/>
    <n v="4.9582822826768096"/>
    <n v="3.9245079584920002"/>
    <n v="122.290332536237"/>
    <n v="24.903651312375899"/>
    <n v="64.926885014261103"/>
    <n v="60.362421096166997"/>
    <n v="114991.539114731"/>
    <n v="754.46959051936199"/>
    <n v="0.12148849131829199"/>
    <n v="5.4386205543490197E-2"/>
    <n v="0.64605156638758499"/>
    <n v="3.3594806779224301E-2"/>
    <n v="0.71554598219170495"/>
    <n v="0"/>
    <x v="29"/>
    <x v="11"/>
    <n v="6507716173.1199999"/>
    <n v="56593"/>
  </r>
  <r>
    <n v="0.97829892081623404"/>
    <n v="23.147341842166799"/>
    <n v="21.6700789123216"/>
    <n v="0"/>
    <n v="4.9531130530412399"/>
    <n v="3.9179993898977901"/>
    <n v="122.296231206258"/>
    <n v="24.911440644809701"/>
    <n v="65.123875918915999"/>
    <n v="60.742055588713598"/>
    <n v="124876.680737691"/>
    <n v="754.89898741287004"/>
    <n v="0.12103634438689399"/>
    <n v="5.71406789421883E-2"/>
    <n v="0.63481612931287501"/>
    <n v="3.4209966006029199E-2"/>
    <n v="0.71799411591658602"/>
    <n v="0"/>
    <x v="29"/>
    <x v="12"/>
    <n v="6992969244.6300001"/>
    <n v="55999"/>
  </r>
  <r>
    <n v="0.97765029662126102"/>
    <n v="23.756568135377499"/>
    <n v="22.6773337090541"/>
    <n v="0"/>
    <n v="4.94911134251333"/>
    <n v="3.9134624876286002"/>
    <n v="122.28709225906"/>
    <n v="24.999030867639298"/>
    <n v="65.564130335494099"/>
    <n v="61.184922956429403"/>
    <n v="134940.20570924101"/>
    <n v="755.014438568164"/>
    <n v="0.12851331787478701"/>
    <n v="5.48087051809482E-2"/>
    <n v="0.63493706480425105"/>
    <n v="3.8781371880094097E-2"/>
    <n v="0.72683065299853999"/>
    <n v="0"/>
    <x v="29"/>
    <x v="13"/>
    <n v="6916900004.4499998"/>
    <n v="51259"/>
  </r>
  <r>
    <n v="0.97680684991736499"/>
    <n v="24.5421620302217"/>
    <n v="24.646952137192301"/>
    <n v="0"/>
    <n v="4.9465831354854899"/>
    <n v="3.91261047128426"/>
    <n v="122.281158557919"/>
    <n v="25.004902269379201"/>
    <n v="64.479144450356998"/>
    <n v="60.327791781892898"/>
    <n v="144887.51991938899"/>
    <n v="755.28499883307495"/>
    <n v="0.125790444767264"/>
    <n v="5.5957294910319401E-2"/>
    <n v="0.62368610248943301"/>
    <n v="3.9718646898691402E-2"/>
    <n v="0.72815119550321705"/>
    <n v="0"/>
    <x v="29"/>
    <x v="14"/>
    <n v="7423167195.5500002"/>
    <n v="51234"/>
  </r>
  <r>
    <n v="0.97602965316321599"/>
    <n v="25.259474304186"/>
    <n v="25.3706669228607"/>
    <n v="0"/>
    <n v="4.9575135088999298"/>
    <n v="3.91543317370426"/>
    <n v="122.294500643745"/>
    <n v="25.216404421261299"/>
    <n v="65.991265789121599"/>
    <n v="61.7756588850662"/>
    <n v="154961.898181228"/>
    <n v="753.34177868284303"/>
    <n v="0.13373235346770601"/>
    <n v="5.5442633985269198E-2"/>
    <n v="0.62171018767505404"/>
    <n v="4.1464562421903398E-2"/>
    <n v="0.74340342886322297"/>
    <n v="0"/>
    <x v="29"/>
    <x v="15"/>
    <n v="6924317458.3299999"/>
    <n v="44684"/>
  </r>
  <r>
    <n v="0.97512948358304896"/>
    <n v="26.082468803189101"/>
    <n v="26.371869169003698"/>
    <n v="0"/>
    <n v="4.95224915312855"/>
    <n v="3.9090581831857398"/>
    <n v="122.311796888394"/>
    <n v="25.2771813804092"/>
    <n v="66.319205478114597"/>
    <n v="62.071124497095198"/>
    <n v="165014.81614463701"/>
    <n v="754.08767921710796"/>
    <n v="0.13539801026711301"/>
    <n v="5.6067732253412397E-2"/>
    <n v="0.61594936954420898"/>
    <n v="4.3163011364263898E-2"/>
    <n v="0.73701288158755895"/>
    <n v="0"/>
    <x v="29"/>
    <x v="16"/>
    <n v="7002733752.7299995"/>
    <n v="42437"/>
  </r>
  <r>
    <n v="0.96596187012587598"/>
    <n v="34.0036672313297"/>
    <n v="37.212398167514799"/>
    <n v="0"/>
    <n v="4.9372560757135302"/>
    <n v="3.8912441549276"/>
    <n v="122.285924107328"/>
    <n v="25.367182659238502"/>
    <n v="66.464780420641901"/>
    <n v="62.429159889231201"/>
    <n v="279489.35664295702"/>
    <n v="752.45359011879805"/>
    <n v="0.19986952165733099"/>
    <n v="5.5638346578596197E-2"/>
    <n v="0.56157623337337303"/>
    <n v="8.8466646662760398E-2"/>
    <n v="0.724965128896224"/>
    <n v="0"/>
    <x v="29"/>
    <x v="17"/>
    <n v="127587729775.58"/>
    <n v="456503"/>
  </r>
  <r>
    <n v="0.97440905173108605"/>
    <n v="26.7351413585966"/>
    <n v="28.097727186697899"/>
    <n v="0"/>
    <n v="4.95109281776688"/>
    <n v="3.9059121718329699"/>
    <n v="122.288430790482"/>
    <n v="25.186104755277899"/>
    <n v="66.430768062334906"/>
    <n v="62.211843940495598"/>
    <n v="172488.179808621"/>
    <n v="754.50890130509094"/>
    <n v="0.13450789872639299"/>
    <n v="5.5065475436711503E-2"/>
    <n v="0.60550792715306601"/>
    <n v="4.7020511583286899E-2"/>
    <n v="0.72224834942803096"/>
    <n v="0"/>
    <x v="29"/>
    <x v="18"/>
    <n v="3533075387.02"/>
    <n v="20483"/>
  </r>
  <r>
    <n v="0.99288534715556598"/>
    <n v="8.2113002276654701"/>
    <n v="92.125020326932002"/>
    <n v="0"/>
    <n v="5.0113003202351498"/>
    <n v="4.0245539255611797"/>
    <n v="127.175589175143"/>
    <n v="24.6232946094865"/>
    <n v="55.210935906689002"/>
    <n v="4.7145367047157096"/>
    <n v="5966.01019230769"/>
    <n v="773.63010760465204"/>
    <n v="4.5940540149029499E-2"/>
    <n v="5.19199259987339E-2"/>
    <n v="0.63242101013713803"/>
    <n v="2.9387677805301798E-2"/>
    <n v="0.44091267458462302"/>
    <n v="0"/>
    <x v="30"/>
    <x v="0"/>
    <n v="3412557.83"/>
    <n v="572"/>
  </r>
  <r>
    <n v="0.99260564886284397"/>
    <n v="8.5211052175029902"/>
    <n v="60.1332504114812"/>
    <n v="0"/>
    <n v="5.0750342021343799"/>
    <n v="4.0662137159454597"/>
    <n v="127.143563514696"/>
    <n v="23.817977122113501"/>
    <n v="49.557531321802998"/>
    <n v="17.903798476002599"/>
    <n v="15896.2684582982"/>
    <n v="769.43416536196605"/>
    <n v="5.4141738443608499E-2"/>
    <n v="2.4557790890066902E-2"/>
    <n v="0.72459329158388497"/>
    <n v="3.1590835548183198E-2"/>
    <n v="0.46777380157207499"/>
    <n v="0"/>
    <x v="30"/>
    <x v="1"/>
    <n v="18868870.66"/>
    <n v="1187"/>
  </r>
  <r>
    <n v="0.99084758925615501"/>
    <n v="10.446557546879401"/>
    <n v="28.9602252733245"/>
    <n v="0"/>
    <n v="5.0814583899432897"/>
    <n v="4.0595191822652703"/>
    <n v="127.249457256863"/>
    <n v="23.737066617642"/>
    <n v="49.037671397138098"/>
    <n v="33.268274866121899"/>
    <n v="25964.2512402885"/>
    <n v="758.01737005669497"/>
    <n v="5.9161628182440702E-2"/>
    <n v="2.1608671662813599E-2"/>
    <n v="0.77782627512039904"/>
    <n v="2.4389879473856901E-2"/>
    <n v="0.504224637059554"/>
    <n v="0"/>
    <x v="30"/>
    <x v="2"/>
    <n v="93575161.469999999"/>
    <n v="3604"/>
  </r>
  <r>
    <n v="0.98847044060172295"/>
    <n v="12.990987544458701"/>
    <n v="19.566907709262399"/>
    <n v="0"/>
    <n v="5.0825232214814298"/>
    <n v="4.0438434855969803"/>
    <n v="127.282551395502"/>
    <n v="23.751212360804601"/>
    <n v="51.880091320489299"/>
    <n v="42.960051758170003"/>
    <n v="35811.737251853599"/>
    <n v="755.67434938819395"/>
    <n v="6.0480956954665398E-2"/>
    <n v="3.7481663894800302E-2"/>
    <n v="0.74715251899866597"/>
    <n v="3.1927357528649003E-2"/>
    <n v="0.55066358284952399"/>
    <n v="0"/>
    <x v="30"/>
    <x v="3"/>
    <n v="299457746.89999998"/>
    <n v="8362"/>
  </r>
  <r>
    <n v="0.98631614184094096"/>
    <n v="15.2394650452737"/>
    <n v="15.1557321770812"/>
    <n v="0"/>
    <n v="5.0631182523643803"/>
    <n v="4.0237922017762404"/>
    <n v="127.27404328517299"/>
    <n v="23.657717816902899"/>
    <n v="53.501271735638902"/>
    <n v="46.811288285684803"/>
    <n v="45838.114369277399"/>
    <n v="754.63904188283504"/>
    <n v="6.7397208037477299E-2"/>
    <n v="4.6530066980699898E-2"/>
    <n v="0.71630035298259898"/>
    <n v="3.0322886794175101E-2"/>
    <n v="0.60209659410932503"/>
    <n v="0"/>
    <x v="30"/>
    <x v="4"/>
    <n v="785986147.09000003"/>
    <n v="17147"/>
  </r>
  <r>
    <n v="0.98466557418574197"/>
    <n v="16.9260132500293"/>
    <n v="13.7568252867555"/>
    <n v="0"/>
    <n v="5.0589994592205496"/>
    <n v="4.0058627473097497"/>
    <n v="127.29408055737299"/>
    <n v="23.665487271967201"/>
    <n v="57.410444943396698"/>
    <n v="51.775811109609499"/>
    <n v="55404.142955707903"/>
    <n v="752.31418753318997"/>
    <n v="7.8180898021013107E-2"/>
    <n v="5.6050033475816302E-2"/>
    <n v="0.70792755638502003"/>
    <n v="3.0133665038558601E-2"/>
    <n v="0.64758911054339496"/>
    <n v="0"/>
    <x v="30"/>
    <x v="5"/>
    <n v="1462281545.03"/>
    <n v="26393"/>
  </r>
  <r>
    <n v="0.98340997972132405"/>
    <n v="18.1883155174927"/>
    <n v="14.253132244642501"/>
    <n v="0"/>
    <n v="5.0435750125206704"/>
    <n v="3.98481734710689"/>
    <n v="127.285030380363"/>
    <n v="23.879624560544499"/>
    <n v="59.711940436846596"/>
    <n v="54.479151942733203"/>
    <n v="65219.208028979701"/>
    <n v="752.44049693889701"/>
    <n v="8.2475997965363104E-2"/>
    <n v="5.3455504127156703E-2"/>
    <n v="0.70548709253210595"/>
    <n v="3.0967639245856101E-2"/>
    <n v="0.67555027472756501"/>
    <n v="0"/>
    <x v="30"/>
    <x v="6"/>
    <n v="2300020590.3499999"/>
    <n v="35266"/>
  </r>
  <r>
    <n v="0.98233009342871702"/>
    <n v="19.259881031179201"/>
    <n v="14.190902614781599"/>
    <n v="0"/>
    <n v="5.0213004665601799"/>
    <n v="3.9626956521947001"/>
    <n v="127.296054602155"/>
    <n v="24.2530661759852"/>
    <n v="59.935454830294297"/>
    <n v="55.309433704018701"/>
    <n v="75144.266393611499"/>
    <n v="753.92627977822303"/>
    <n v="9.3670239948389702E-2"/>
    <n v="5.0728720178126498E-2"/>
    <n v="0.69803261950639195"/>
    <n v="3.1659322986818499E-2"/>
    <n v="0.71362840522035298"/>
    <n v="0"/>
    <x v="30"/>
    <x v="7"/>
    <n v="3354665484.6100001"/>
    <n v="44643"/>
  </r>
  <r>
    <n v="0.98137910878263002"/>
    <n v="20.192868035498499"/>
    <n v="16.348072195128999"/>
    <n v="0"/>
    <n v="5.0076035266177898"/>
    <n v="3.94072432875334"/>
    <n v="127.284498227745"/>
    <n v="24.613505654415199"/>
    <n v="62.515347743888597"/>
    <n v="57.8370907296406"/>
    <n v="85075.814844047301"/>
    <n v="754.25085831136403"/>
    <n v="0.103414174960929"/>
    <n v="5.3894372813835002E-2"/>
    <n v="0.68708350531656004"/>
    <n v="2.8228945098237101E-2"/>
    <n v="0.72111718176588302"/>
    <n v="0"/>
    <x v="30"/>
    <x v="8"/>
    <n v="4246899601.1999998"/>
    <n v="49919"/>
  </r>
  <r>
    <n v="0.98041598884319503"/>
    <n v="21.127678749232601"/>
    <n v="17.333383298485899"/>
    <n v="0"/>
    <n v="5.0082672155751498"/>
    <n v="3.9360765152331498"/>
    <n v="127.291030242171"/>
    <n v="24.843580438542801"/>
    <n v="62.736194336716103"/>
    <n v="58.404468322742197"/>
    <n v="95191.400348634997"/>
    <n v="755.87727410986395"/>
    <n v="0.10093804199872999"/>
    <n v="5.3183775455988701E-2"/>
    <n v="0.66707809109319605"/>
    <n v="3.2236842104011398E-2"/>
    <n v="0.69342404050441397"/>
    <n v="0"/>
    <x v="30"/>
    <x v="9"/>
    <n v="5750226920.8599997"/>
    <n v="60407"/>
  </r>
  <r>
    <n v="0.97954059183735898"/>
    <n v="21.968626268657999"/>
    <n v="18.825964230071602"/>
    <n v="0"/>
    <n v="4.9963084645368001"/>
    <n v="3.9180899968674798"/>
    <n v="127.284102174973"/>
    <n v="24.963522111075999"/>
    <n v="65.064985426196799"/>
    <n v="60.460110831936902"/>
    <n v="104960.210992427"/>
    <n v="753.625302679588"/>
    <n v="0.119868891748902"/>
    <n v="5.1349834541367503E-2"/>
    <n v="0.65814545272171299"/>
    <n v="3.0909018442722501E-2"/>
    <n v="0.72177763175707099"/>
    <n v="0"/>
    <x v="30"/>
    <x v="10"/>
    <n v="5613796884.9300003"/>
    <n v="53485"/>
  </r>
  <r>
    <n v="0.97867381758609395"/>
    <n v="22.7931848521924"/>
    <n v="19.9240842810365"/>
    <n v="0"/>
    <n v="4.9869867576904703"/>
    <n v="3.90774448302296"/>
    <n v="127.277956217926"/>
    <n v="25.2707896148655"/>
    <n v="65.649464182332693"/>
    <n v="61.072733311593304"/>
    <n v="115009.545669645"/>
    <n v="754.83386986465598"/>
    <n v="0.12533928862124699"/>
    <n v="4.7677301863491402E-2"/>
    <n v="0.64449549546248797"/>
    <n v="3.1729865995472201E-2"/>
    <n v="0.72009316482440699"/>
    <n v="0"/>
    <x v="30"/>
    <x v="11"/>
    <n v="6113332400.0699997"/>
    <n v="53155"/>
  </r>
  <r>
    <n v="0.977852044469119"/>
    <n v="23.567550628104701"/>
    <n v="21.186355350701099"/>
    <n v="0"/>
    <n v="4.9794337007543996"/>
    <n v="3.9013494487298401"/>
    <n v="127.277308846004"/>
    <n v="25.216133107025001"/>
    <n v="65.801870968572999"/>
    <n v="61.314656747630501"/>
    <n v="124914.44155783601"/>
    <n v="755.36892300520901"/>
    <n v="0.120957739623906"/>
    <n v="5.0087158061544297E-2"/>
    <n v="0.63392055245258505"/>
    <n v="3.2252730323262598E-2"/>
    <n v="0.72376859532843696"/>
    <n v="0"/>
    <x v="30"/>
    <x v="12"/>
    <n v="6511789838.4099998"/>
    <n v="52130"/>
  </r>
  <r>
    <n v="0.97715302442014995"/>
    <n v="24.2206341245471"/>
    <n v="22.131805979489599"/>
    <n v="0"/>
    <n v="4.9767159843808502"/>
    <n v="3.89567787935305"/>
    <n v="127.27636195417401"/>
    <n v="25.351186281398999"/>
    <n v="66.208983690286999"/>
    <n v="61.766570189383003"/>
    <n v="134940.664610473"/>
    <n v="754.69063830409198"/>
    <n v="0.12926839808096899"/>
    <n v="4.9053739115976498E-2"/>
    <n v="0.63099987801452695"/>
    <n v="3.5809439082165898E-2"/>
    <n v="0.73424264285485197"/>
    <n v="0"/>
    <x v="30"/>
    <x v="13"/>
    <n v="6467706054.7799997"/>
    <n v="47930"/>
  </r>
  <r>
    <n v="0.97631808469915105"/>
    <n v="24.9939996159702"/>
    <n v="24.569820362822401"/>
    <n v="0"/>
    <n v="4.9751601620803898"/>
    <n v="3.8967561446238799"/>
    <n v="127.284805356661"/>
    <n v="25.395739191983601"/>
    <n v="65.433463447365199"/>
    <n v="61.184440574906901"/>
    <n v="144882.907639349"/>
    <n v="755.147434819007"/>
    <n v="0.127285772032497"/>
    <n v="5.0650064107886798E-2"/>
    <n v="0.621127376772726"/>
    <n v="3.7430910633565503E-2"/>
    <n v="0.73547140906921404"/>
    <n v="0"/>
    <x v="30"/>
    <x v="14"/>
    <n v="6942644051.1700001"/>
    <n v="47919"/>
  </r>
  <r>
    <n v="0.97554017043223196"/>
    <n v="25.7080277577336"/>
    <n v="24.593251707122299"/>
    <n v="0"/>
    <n v="4.9819017296603603"/>
    <n v="3.8970887395299298"/>
    <n v="127.28052045533499"/>
    <n v="25.530195972022401"/>
    <n v="66.466758228318895"/>
    <n v="62.245487564676203"/>
    <n v="154959.38191735299"/>
    <n v="754.18525473733598"/>
    <n v="0.13818856388630199"/>
    <n v="5.27535056848496E-2"/>
    <n v="0.61882296207453602"/>
    <n v="3.9314102596919698E-2"/>
    <n v="0.75302193845754695"/>
    <n v="0"/>
    <x v="30"/>
    <x v="15"/>
    <n v="6487374523.9700003"/>
    <n v="41865"/>
  </r>
  <r>
    <n v="0.97466448152382901"/>
    <n v="26.504342611208301"/>
    <n v="27.802949708125102"/>
    <n v="0"/>
    <n v="4.9772940220405797"/>
    <n v="3.8913347795259998"/>
    <n v="127.283690079115"/>
    <n v="25.675012057361201"/>
    <n v="66.955982415998406"/>
    <n v="62.649582434532903"/>
    <n v="164993.20506036101"/>
    <n v="754.77368567377505"/>
    <n v="0.13855651247471401"/>
    <n v="5.1523666917259098E-2"/>
    <n v="0.61757601336507795"/>
    <n v="4.1163668932628898E-2"/>
    <n v="0.74633997965868004"/>
    <n v="0"/>
    <x v="30"/>
    <x v="16"/>
    <n v="6587518705.2399998"/>
    <n v="39926"/>
  </r>
  <r>
    <n v="0.96525166922894001"/>
    <n v="34.5835855927808"/>
    <n v="37.081965123550198"/>
    <n v="0"/>
    <n v="4.95857828082345"/>
    <n v="3.8697079934871899"/>
    <n v="127.284163592518"/>
    <n v="25.741224885443199"/>
    <n v="67.620283028526401"/>
    <n v="63.416456252770097"/>
    <n v="278696.70340192999"/>
    <n v="753.21938833289505"/>
    <n v="0.196728268747318"/>
    <n v="5.16591330862314E-2"/>
    <n v="0.55563383621061702"/>
    <n v="8.5243723894585302E-2"/>
    <n v="0.72708885680194502"/>
    <n v="0"/>
    <x v="30"/>
    <x v="17"/>
    <n v="118485395181"/>
    <n v="425141"/>
  </r>
  <r>
    <n v="0.97384488532005897"/>
    <n v="27.242552939561001"/>
    <n v="28.507389931359899"/>
    <n v="0"/>
    <n v="4.9735990754616104"/>
    <n v="3.8880085502355399"/>
    <n v="127.28268517814701"/>
    <n v="25.5761852069251"/>
    <n v="67.286523567725993"/>
    <n v="62.981395238738699"/>
    <n v="172491.56166268801"/>
    <n v="754.935805221951"/>
    <n v="0.13558936831385299"/>
    <n v="4.7908828510000299E-2"/>
    <n v="0.59565941458224203"/>
    <n v="4.37557728975616E-2"/>
    <n v="0.73331144299024997"/>
    <n v="0"/>
    <x v="30"/>
    <x v="18"/>
    <n v="3323912393.2399998"/>
    <n v="19270"/>
  </r>
  <r>
    <n v="0.99227324775681702"/>
    <n v="8.8880393690466803"/>
    <n v="85.495693296858903"/>
    <n v="0"/>
    <n v="4.8974503032570098"/>
    <n v="3.8797156961645798"/>
    <n v="132.48284725058599"/>
    <n v="26.707309944894"/>
    <n v="55.620414749273898"/>
    <n v="4.7751452436067403"/>
    <n v="5852.5385828343296"/>
    <n v="773.89340380853105"/>
    <n v="2.2148888676975599E-2"/>
    <n v="5.4023181567458903E-2"/>
    <n v="0.61426213657704598"/>
    <n v="3.5560408484118101E-2"/>
    <n v="0.40058944276541097"/>
    <n v="0"/>
    <x v="31"/>
    <x v="0"/>
    <n v="2932121.83"/>
    <n v="501"/>
  </r>
  <r>
    <n v="0.99182224499434202"/>
    <n v="9.3837396704476301"/>
    <n v="64.055576254744693"/>
    <n v="0"/>
    <n v="4.9832287710613299"/>
    <n v="3.9373406593315501"/>
    <n v="132.530922847912"/>
    <n v="25.484828494638599"/>
    <n v="48.884203169648401"/>
    <n v="16.925984589273298"/>
    <n v="15929.7381491712"/>
    <n v="764.89066968226098"/>
    <n v="4.7122182229977098E-2"/>
    <n v="2.2850026870675E-2"/>
    <n v="0.73505002006789599"/>
    <n v="2.8051618963656801E-2"/>
    <n v="0.49422748543466699"/>
    <n v="0"/>
    <x v="31"/>
    <x v="1"/>
    <n v="17299695.629999999"/>
    <n v="1086"/>
  </r>
  <r>
    <n v="0.99021835857637497"/>
    <n v="11.1266222741716"/>
    <n v="30.6621664091562"/>
    <n v="0"/>
    <n v="5.0219961027048399"/>
    <n v="3.96134656029282"/>
    <n v="132.49966813914099"/>
    <n v="24.488642072844598"/>
    <n v="49.610601440901597"/>
    <n v="33.584349690496602"/>
    <n v="26072.916993464001"/>
    <n v="757.83050065904604"/>
    <n v="5.6694535466893903E-2"/>
    <n v="2.6986614401933201E-2"/>
    <n v="0.76887591100045705"/>
    <n v="1.9519424386029799E-2"/>
    <n v="0.52030342654279005"/>
    <n v="0"/>
    <x v="31"/>
    <x v="2"/>
    <n v="83772282.299999997"/>
    <n v="3213"/>
  </r>
  <r>
    <n v="0.98788011981484403"/>
    <n v="13.6124914666582"/>
    <n v="20.073947239189199"/>
    <n v="0"/>
    <n v="5.0465057128789201"/>
    <n v="3.9670221843290898"/>
    <n v="132.52291275058801"/>
    <n v="24.4104339462552"/>
    <n v="52.074537283565498"/>
    <n v="42.794512673691102"/>
    <n v="35837.071013795699"/>
    <n v="754.53300189397896"/>
    <n v="7.1577154115233896E-2"/>
    <n v="3.7845710090365102E-2"/>
    <n v="0.75404105216714301"/>
    <n v="2.8907145840689701E-2"/>
    <n v="0.56358992342925296"/>
    <n v="0"/>
    <x v="31"/>
    <x v="3"/>
    <n v="283148698.07999998"/>
    <n v="7901"/>
  </r>
  <r>
    <n v="0.98578994412085796"/>
    <n v="15.780510595200701"/>
    <n v="14.705634703782099"/>
    <n v="0"/>
    <n v="5.03438526769422"/>
    <n v="3.9507782840482002"/>
    <n v="132.52095854290101"/>
    <n v="24.388416908329098"/>
    <n v="53.872847493661901"/>
    <n v="47.018194814857402"/>
    <n v="45822.508929678399"/>
    <n v="755.15180226433699"/>
    <n v="6.4777119527086202E-2"/>
    <n v="4.43777566578272E-2"/>
    <n v="0.72469162175480895"/>
    <n v="3.1024472123436401E-2"/>
    <n v="0.61294144336689305"/>
    <n v="0"/>
    <x v="31"/>
    <x v="4"/>
    <n v="753917739.41999996"/>
    <n v="16453"/>
  </r>
  <r>
    <n v="0.98423596436652105"/>
    <n v="17.3599134534401"/>
    <n v="13.4041402096772"/>
    <n v="0"/>
    <n v="5.0333676978977397"/>
    <n v="3.93902014020611"/>
    <n v="132.50224252336699"/>
    <n v="24.345354447422999"/>
    <n v="57.763790114852398"/>
    <n v="51.778850812104899"/>
    <n v="55393.439914569703"/>
    <n v="753.773710530318"/>
    <n v="7.8134073351342107E-2"/>
    <n v="5.58456074881791E-2"/>
    <n v="0.71077062501681099"/>
    <n v="3.1923597454385402E-2"/>
    <n v="0.65066677503850501"/>
    <n v="0"/>
    <x v="31"/>
    <x v="5"/>
    <n v="1426491864.6800001"/>
    <n v="25752"/>
  </r>
  <r>
    <n v="0.983001892612961"/>
    <n v="18.594781192151299"/>
    <n v="13.732058962341799"/>
    <n v="0"/>
    <n v="5.0220118839643302"/>
    <n v="3.9210406163391802"/>
    <n v="132.505594286649"/>
    <n v="24.359323181519599"/>
    <n v="59.674271660863198"/>
    <n v="54.235735237492698"/>
    <n v="65235.683057606999"/>
    <n v="754.00828578912001"/>
    <n v="8.7865163450539505E-2"/>
    <n v="4.99080785675017E-2"/>
    <n v="0.71461721389775101"/>
    <n v="3.27597701850392E-2"/>
    <n v="0.689937958021836"/>
    <n v="0"/>
    <x v="31"/>
    <x v="6"/>
    <n v="2296556986.3600001"/>
    <n v="35204"/>
  </r>
  <r>
    <n v="0.98187867889095803"/>
    <n v="19.703991862303099"/>
    <n v="14.618393554797301"/>
    <n v="0"/>
    <n v="5.0076180625346396"/>
    <n v="3.9058601973681601"/>
    <n v="132.500064113429"/>
    <n v="24.907003345331901"/>
    <n v="59.968306641054902"/>
    <n v="55.169608225537402"/>
    <n v="75115.044577741894"/>
    <n v="755.70321260712205"/>
    <n v="9.4256824740352296E-2"/>
    <n v="4.8922102384980001E-2"/>
    <n v="0.69548197818900004"/>
    <n v="3.0954720668761E-2"/>
    <n v="0.71571465892160802"/>
    <n v="0"/>
    <x v="31"/>
    <x v="7"/>
    <n v="3263373111.6799998"/>
    <n v="43445"/>
  </r>
  <r>
    <n v="0.98097794304925401"/>
    <n v="20.5834694301717"/>
    <n v="15.9937492877387"/>
    <n v="0"/>
    <n v="5.0016894147024704"/>
    <n v="3.8907272590425701"/>
    <n v="132.49710913639501"/>
    <n v="25.208811786839199"/>
    <n v="62.2989047105265"/>
    <n v="57.505350358202698"/>
    <n v="85095.455588037905"/>
    <n v="757.17620806803802"/>
    <n v="0.100412107088704"/>
    <n v="4.9722104763629399E-2"/>
    <n v="0.68871536691401003"/>
    <n v="2.97004234599502E-2"/>
    <n v="0.72961910201430402"/>
    <n v="0"/>
    <x v="31"/>
    <x v="8"/>
    <n v="4185760364.9200001"/>
    <n v="49189"/>
  </r>
  <r>
    <n v="0.97998842365749095"/>
    <n v="21.539450352313899"/>
    <n v="18.022305399986699"/>
    <n v="0"/>
    <n v="5.0026478161233996"/>
    <n v="3.8867187592482799"/>
    <n v="132.495063344952"/>
    <n v="25.434037724213798"/>
    <n v="62.529462865224197"/>
    <n v="58.013027356507898"/>
    <n v="95154.470943370194"/>
    <n v="757.889057741221"/>
    <n v="0.101345300494082"/>
    <n v="4.9118556383393401E-2"/>
    <n v="0.67184560021206996"/>
    <n v="3.3963543259957603E-2"/>
    <n v="0.700061351704794"/>
    <n v="0"/>
    <x v="31"/>
    <x v="9"/>
    <n v="5531519704.8800001"/>
    <n v="58132"/>
  </r>
  <r>
    <n v="0.97917906126601995"/>
    <n v="22.3135250679458"/>
    <n v="20.049047701820001"/>
    <n v="0"/>
    <n v="4.99999472776424"/>
    <n v="3.8788029746141399"/>
    <n v="132.493281768407"/>
    <n v="25.514461683621601"/>
    <n v="64.414325885574698"/>
    <n v="59.8321316919955"/>
    <n v="104907.76360569699"/>
    <n v="756.31563685302797"/>
    <n v="0.122557705666202"/>
    <n v="4.69571707564434E-2"/>
    <n v="0.66475735372493405"/>
    <n v="3.2046199455194997E-2"/>
    <n v="0.73529102793837497"/>
    <n v="0"/>
    <x v="31"/>
    <x v="10"/>
    <n v="5442509868.1000004"/>
    <n v="51879"/>
  </r>
  <r>
    <n v="0.97827325428123701"/>
    <n v="23.171533918318101"/>
    <n v="20.142835319999801"/>
    <n v="0"/>
    <n v="4.9937798692276099"/>
    <n v="3.8701801940651301"/>
    <n v="132.49477917754999"/>
    <n v="25.7515532067859"/>
    <n v="64.910557570137698"/>
    <n v="60.364662038142399"/>
    <n v="115007.613738709"/>
    <n v="756.989135827984"/>
    <n v="0.125307143075893"/>
    <n v="4.6491187984368999E-2"/>
    <n v="0.65079571311701301"/>
    <n v="3.4157265229230002E-2"/>
    <n v="0.73392986779713798"/>
    <n v="0"/>
    <x v="31"/>
    <x v="11"/>
    <n v="5844341907.3599997"/>
    <n v="50817"/>
  </r>
  <r>
    <n v="0.97743404789098398"/>
    <n v="23.958695650142001"/>
    <n v="23.253216736399299"/>
    <n v="0"/>
    <n v="4.9859462197317104"/>
    <n v="3.8614118566490401"/>
    <n v="132.49379536336301"/>
    <n v="25.751815086908799"/>
    <n v="64.961351622987706"/>
    <n v="60.5338933379902"/>
    <n v="124902.44570086501"/>
    <n v="756.80995200105394"/>
    <n v="0.12552614944697599"/>
    <n v="4.7170747683173198E-2"/>
    <n v="0.64058289515682998"/>
    <n v="3.4099023681151398E-2"/>
    <n v="0.73785163756529604"/>
    <n v="0"/>
    <x v="31"/>
    <x v="12"/>
    <n v="6262358822.5500002"/>
    <n v="50138"/>
  </r>
  <r>
    <n v="0.97677948423065997"/>
    <n v="24.567525948230902"/>
    <n v="23.1316320916542"/>
    <n v="0"/>
    <n v="4.98774873291205"/>
    <n v="3.8617325592624199"/>
    <n v="132.507753259868"/>
    <n v="25.8787315904795"/>
    <n v="65.400083055398994"/>
    <n v="61.109529769962201"/>
    <n v="134946.94422358499"/>
    <n v="757.30541575088398"/>
    <n v="0.131230125116331"/>
    <n v="4.5949617370529001E-2"/>
    <n v="0.63822438260496095"/>
    <n v="3.8309863448699001E-2"/>
    <n v="0.75147682644297098"/>
    <n v="0"/>
    <x v="31"/>
    <x v="13"/>
    <n v="6249258040.0500002"/>
    <n v="46309"/>
  </r>
  <r>
    <n v="0.97588085743407005"/>
    <n v="25.3960900429967"/>
    <n v="24.175766044494299"/>
    <n v="0"/>
    <n v="4.98252264194943"/>
    <n v="3.85936259343076"/>
    <n v="132.498483126374"/>
    <n v="25.9341034689125"/>
    <n v="64.576022820039398"/>
    <n v="60.466916862886897"/>
    <n v="144852.23453034399"/>
    <n v="757.85745461072395"/>
    <n v="0.12816376927652801"/>
    <n v="4.8536249557086297E-2"/>
    <n v="0.61964226323967397"/>
    <n v="4.15925916345899E-2"/>
    <n v="0.74911375585255302"/>
    <n v="0"/>
    <x v="31"/>
    <x v="14"/>
    <n v="6597150169.4499998"/>
    <n v="45544"/>
  </r>
  <r>
    <n v="0.97517171939963598"/>
    <n v="26.044040538998601"/>
    <n v="26.276149248002199"/>
    <n v="0"/>
    <n v="4.9943122091110004"/>
    <n v="3.8641886599510502"/>
    <n v="132.483007024041"/>
    <n v="26.093994951345898"/>
    <n v="65.680526571397095"/>
    <n v="61.519363193798"/>
    <n v="154942.62043483599"/>
    <n v="756.03434797206899"/>
    <n v="0.14004197320569101"/>
    <n v="4.95219193238189E-2"/>
    <n v="0.62863711565601799"/>
    <n v="4.3313329717363597E-2"/>
    <n v="0.76311878276765299"/>
    <n v="0"/>
    <x v="31"/>
    <x v="15"/>
    <n v="6221411038.3199997"/>
    <n v="40153"/>
  </r>
  <r>
    <n v="0.97420099285234596"/>
    <n v="26.922645966120399"/>
    <n v="27.132512144999499"/>
    <n v="0"/>
    <n v="4.9892792838316398"/>
    <n v="3.85702364476743"/>
    <n v="132.486194533391"/>
    <n v="26.225090992345301"/>
    <n v="66.104513958617005"/>
    <n v="61.937299280439397"/>
    <n v="164995.278664994"/>
    <n v="756.841203286422"/>
    <n v="0.13693373878703199"/>
    <n v="4.8814006692596598E-2"/>
    <n v="0.61628078456884605"/>
    <n v="4.4622381910647303E-2"/>
    <n v="0.75557738638633198"/>
    <n v="0"/>
    <x v="31"/>
    <x v="16"/>
    <n v="6247546226.6499996"/>
    <n v="37865"/>
  </r>
  <r>
    <n v="0.96478858374953302"/>
    <n v="34.9592006123275"/>
    <n v="37.476372580051802"/>
    <n v="0"/>
    <n v="4.9759276317264396"/>
    <n v="3.8408026068264101"/>
    <n v="132.503848526724"/>
    <n v="26.127486110167801"/>
    <n v="66.580387855663702"/>
    <n v="62.433787898071898"/>
    <n v="278422.49254458502"/>
    <n v="754.57747255178595"/>
    <n v="0.20301032223219101"/>
    <n v="4.9867164335458798E-2"/>
    <n v="0.56330216573256797"/>
    <n v="9.0066766896967507E-2"/>
    <n v="0.74238684916003395"/>
    <n v="0"/>
    <x v="31"/>
    <x v="17"/>
    <n v="110735029002.31"/>
    <n v="397723"/>
  </r>
  <r>
    <n v="0.97345542184387901"/>
    <n v="27.590954911154402"/>
    <n v="25.774254782565301"/>
    <n v="0"/>
    <n v="4.9868220251350204"/>
    <n v="3.8537222991843199"/>
    <n v="132.49849741528499"/>
    <n v="25.969012381360699"/>
    <n v="66.296359486508706"/>
    <n v="62.097768081486301"/>
    <n v="172515.63475622301"/>
    <n v="756.34694801113596"/>
    <n v="0.14121673948687"/>
    <n v="4.9600405246217102E-2"/>
    <n v="0.60780271873901404"/>
    <n v="4.9041225218128599E-2"/>
    <n v="0.74607861454768198"/>
    <n v="0"/>
    <x v="31"/>
    <x v="18"/>
    <n v="3166869507.2199998"/>
    <n v="18357"/>
  </r>
  <r>
    <n v="0.99304191219348203"/>
    <n v="8.0374629794153591"/>
    <n v="89.657763330353106"/>
    <n v="0"/>
    <n v="5.1065230474387198"/>
    <n v="4.0082250320248303"/>
    <n v="137.532034311746"/>
    <n v="26.083262906658199"/>
    <n v="56.942953188750302"/>
    <n v="4.8438909930140204"/>
    <n v="5707.1731539888597"/>
    <n v="774.06420950911297"/>
    <n v="4.1786579856362902E-2"/>
    <n v="3.98185588358611E-2"/>
    <n v="0.61986016536368405"/>
    <n v="2.8675770597879201E-2"/>
    <n v="0.41024142215352799"/>
    <n v="0"/>
    <x v="32"/>
    <x v="0"/>
    <n v="3076166.33"/>
    <n v="539"/>
  </r>
  <r>
    <n v="0.99237837110239702"/>
    <n v="8.7721409264130497"/>
    <n v="67.583955969009907"/>
    <n v="0"/>
    <n v="5.1327619876719499"/>
    <n v="4.0217960566622803"/>
    <n v="137.54341329655901"/>
    <n v="25.5678639896235"/>
    <n v="51.554074761051297"/>
    <n v="17.1558272795688"/>
    <n v="15857.9581395348"/>
    <n v="768.805024668991"/>
    <n v="6.4153213008677198E-2"/>
    <n v="2.8476216078772602E-2"/>
    <n v="0.68742388649744901"/>
    <n v="2.7144851080892499E-2"/>
    <n v="0.434224131245595"/>
    <n v="0"/>
    <x v="32"/>
    <x v="1"/>
    <n v="18411089.399999999"/>
    <n v="1161"/>
  </r>
  <r>
    <n v="0.99036825159000696"/>
    <n v="10.965050700151"/>
    <n v="30.69409509898"/>
    <n v="0"/>
    <n v="5.1302948975902503"/>
    <n v="4.0119031698837304"/>
    <n v="137.569447570557"/>
    <n v="24.764153746714499"/>
    <n v="50.389020622236004"/>
    <n v="33.137708472710699"/>
    <n v="25931.547059859098"/>
    <n v="761.030145302861"/>
    <n v="5.0184317556021603E-2"/>
    <n v="2.7354569366011199E-2"/>
    <n v="0.75215023370240597"/>
    <n v="2.9729950788440599E-2"/>
    <n v="0.48538042902539102"/>
    <n v="0"/>
    <x v="32"/>
    <x v="2"/>
    <n v="88374712.379999995"/>
    <n v="3408"/>
  </r>
  <r>
    <n v="0.98777116137695697"/>
    <n v="13.7267596652975"/>
    <n v="20.0988006687816"/>
    <n v="0"/>
    <n v="5.1375523814644497"/>
    <n v="3.9987954263826402"/>
    <n v="137.56564318890199"/>
    <n v="24.3848236254805"/>
    <n v="52.188922178432598"/>
    <n v="42.911924128548897"/>
    <n v="35748.1072028505"/>
    <n v="756.83666767500699"/>
    <n v="6.4371065679740103E-2"/>
    <n v="3.69951776603753E-2"/>
    <n v="0.73504986894200897"/>
    <n v="3.15234115928879E-2"/>
    <n v="0.53311932755226998"/>
    <n v="0"/>
    <x v="32"/>
    <x v="3"/>
    <n v="280908626.39999998"/>
    <n v="7858"/>
  </r>
  <r>
    <n v="0.98558624892425095"/>
    <n v="15.9891021637888"/>
    <n v="15.605335195895499"/>
    <n v="0"/>
    <n v="5.1322136396004998"/>
    <n v="3.9888811994251698"/>
    <n v="137.57611069168601"/>
    <n v="24.5092095006707"/>
    <n v="53.035153659854302"/>
    <n v="46.625291361447303"/>
    <n v="45837.2699668731"/>
    <n v="756.16499273146599"/>
    <n v="6.7899334038672599E-2"/>
    <n v="5.18249717103242E-2"/>
    <n v="0.70340584607824597"/>
    <n v="3.0886289190039901E-2"/>
    <n v="0.59266589763146305"/>
    <n v="0"/>
    <x v="32"/>
    <x v="4"/>
    <n v="747193337.73000002"/>
    <n v="16301"/>
  </r>
  <r>
    <n v="0.98402453973130199"/>
    <n v="17.5726858727825"/>
    <n v="15.803341065847899"/>
    <n v="0"/>
    <n v="5.1207129082308098"/>
    <n v="3.9701149880505699"/>
    <n v="137.58179212732699"/>
    <n v="24.5369619160961"/>
    <n v="56.960196170238902"/>
    <n v="51.365858355078501"/>
    <n v="55396.116608278302"/>
    <n v="754.87903339399998"/>
    <n v="7.4851582923708804E-2"/>
    <n v="5.5409965298192997E-2"/>
    <n v="0.696524688464352"/>
    <n v="3.0103106134544699E-2"/>
    <n v="0.64841572347257204"/>
    <n v="0"/>
    <x v="32"/>
    <x v="5"/>
    <n v="1419968657.02"/>
    <n v="25633"/>
  </r>
  <r>
    <n v="0.982761474083783"/>
    <n v="18.833377083401999"/>
    <n v="14.814533239942399"/>
    <n v="0"/>
    <n v="5.0996374690464501"/>
    <n v="3.9445142193546299"/>
    <n v="137.60405448436401"/>
    <n v="24.661682072970301"/>
    <n v="59.099060772981701"/>
    <n v="53.872212702527598"/>
    <n v="65195.896197132999"/>
    <n v="755.04059161382099"/>
    <n v="8.7177375741126106E-2"/>
    <n v="5.0980088351365097E-2"/>
    <n v="0.70145141398245803"/>
    <n v="3.08512047070886E-2"/>
    <n v="0.67799186571246695"/>
    <n v="0"/>
    <x v="32"/>
    <x v="6"/>
    <n v="2201274239.1999998"/>
    <n v="33764"/>
  </r>
  <r>
    <n v="0.98171173282357205"/>
    <n v="19.867668793883201"/>
    <n v="14.777020485717999"/>
    <n v="0"/>
    <n v="5.0921326919206296"/>
    <n v="3.9368760656795998"/>
    <n v="137.607815135001"/>
    <n v="25.273794579389101"/>
    <n v="59.181213392398398"/>
    <n v="54.767567446804499"/>
    <n v="75092.262875150598"/>
    <n v="756.92540381204401"/>
    <n v="9.7085615780509907E-2"/>
    <n v="4.4335734130266799E-2"/>
    <n v="0.69234303610279802"/>
    <n v="3.02640631474527E-2"/>
    <n v="0.71698333622943999"/>
    <n v="0"/>
    <x v="32"/>
    <x v="7"/>
    <n v="3115577986.6900001"/>
    <n v="41490"/>
  </r>
  <r>
    <n v="0.98069541275899297"/>
    <n v="20.857506996273798"/>
    <n v="16.652077510639899"/>
    <n v="0"/>
    <n v="5.0761721018180097"/>
    <n v="3.91047255206347"/>
    <n v="137.631813916195"/>
    <n v="25.5530805432401"/>
    <n v="62.264215594306599"/>
    <n v="57.657399872520301"/>
    <n v="85061.943123550896"/>
    <n v="756.96983785138298"/>
    <n v="0.101327007932815"/>
    <n v="4.6618914502541998E-2"/>
    <n v="0.68121546437148395"/>
    <n v="3.0604860064955199E-2"/>
    <n v="0.72078678540228902"/>
    <n v="0"/>
    <x v="32"/>
    <x v="8"/>
    <n v="3815538520.75"/>
    <n v="44856"/>
  </r>
  <r>
    <n v="0.97976968256987995"/>
    <n v="21.749348654033"/>
    <n v="19.6782332717682"/>
    <n v="0"/>
    <n v="5.0727536230547399"/>
    <n v="3.9060407106337101"/>
    <n v="137.63743703649999"/>
    <n v="25.846924937171998"/>
    <n v="61.908684673470901"/>
    <n v="57.641787878014902"/>
    <n v="95176.5854634235"/>
    <n v="758.25022217652497"/>
    <n v="0.104351336825331"/>
    <n v="4.94572880362655E-2"/>
    <n v="0.66647559585552596"/>
    <n v="3.35769909403833E-2"/>
    <n v="0.702170866396301"/>
    <n v="0"/>
    <x v="32"/>
    <x v="9"/>
    <n v="5204255693.1400003"/>
    <n v="54680"/>
  </r>
  <r>
    <n v="0.97883471113189002"/>
    <n v="22.640733857436999"/>
    <n v="19.112214105042799"/>
    <n v="0"/>
    <n v="5.0567503764214603"/>
    <n v="3.8837590164351701"/>
    <n v="137.648353953738"/>
    <n v="25.992058529503701"/>
    <n v="64.591252238256601"/>
    <n v="60.013769115201598"/>
    <n v="104915.01213672099"/>
    <n v="756.54075881243898"/>
    <n v="0.122165569195896"/>
    <n v="4.47422793807907E-2"/>
    <n v="0.65397652368083503"/>
    <n v="3.0748206029397401E-2"/>
    <n v="0.72251481793803096"/>
    <n v="0"/>
    <x v="32"/>
    <x v="10"/>
    <n v="4921877964.3699999"/>
    <n v="46913"/>
  </r>
  <r>
    <n v="0.977953123608443"/>
    <n v="23.472688178839899"/>
    <n v="22.056146040442801"/>
    <n v="0"/>
    <n v="5.0513869620047096"/>
    <n v="3.8777839253058399"/>
    <n v="137.66396410218499"/>
    <n v="26.146832268668501"/>
    <n v="65.048570811913805"/>
    <n v="60.499442324001599"/>
    <n v="115006.73026875001"/>
    <n v="757.118949916411"/>
    <n v="0.12573414901837701"/>
    <n v="4.5618155458063997E-2"/>
    <n v="0.64314893958243102"/>
    <n v="3.2316528519587197E-2"/>
    <n v="0.723292210496841"/>
    <n v="0"/>
    <x v="32"/>
    <x v="11"/>
    <n v="5400486039.96"/>
    <n v="46958"/>
  </r>
  <r>
    <n v="0.977145802263784"/>
    <n v="24.227354891945701"/>
    <n v="23.2939181809007"/>
    <n v="0"/>
    <n v="5.0408439451332496"/>
    <n v="3.8672980850837302"/>
    <n v="137.67197105724301"/>
    <n v="26.128431975946999"/>
    <n v="65.268351907224499"/>
    <n v="60.774489123265397"/>
    <n v="124864.088287422"/>
    <n v="757.31125770592098"/>
    <n v="0.12778939638568301"/>
    <n v="4.8084708688356202E-2"/>
    <n v="0.63525735564427299"/>
    <n v="3.4883033220975301E-2"/>
    <n v="0.72677649694485003"/>
    <n v="0"/>
    <x v="32"/>
    <x v="12"/>
    <n v="5575431270.21"/>
    <n v="44652"/>
  </r>
  <r>
    <n v="0.97644639385779297"/>
    <n v="24.875625290573701"/>
    <n v="24.075081786342999"/>
    <n v="0"/>
    <n v="5.0405322802258503"/>
    <n v="3.8657580629091801"/>
    <n v="137.67323302063099"/>
    <n v="26.248713810326201"/>
    <n v="65.647868726016796"/>
    <n v="61.160967586578202"/>
    <n v="134926.64592240599"/>
    <n v="757.27793516517897"/>
    <n v="0.136010511520645"/>
    <n v="4.5950041641580099E-2"/>
    <n v="0.62867772145993095"/>
    <n v="3.78072165173476E-2"/>
    <n v="0.73795623595238602"/>
    <n v="0"/>
    <x v="32"/>
    <x v="13"/>
    <n v="5679197453.5200005"/>
    <n v="42091"/>
  </r>
  <r>
    <n v="0.97559583796417904"/>
    <n v="25.657139656023901"/>
    <n v="25.8927548789353"/>
    <n v="0"/>
    <n v="5.0374985898573001"/>
    <n v="3.8649034437041898"/>
    <n v="137.68506048303399"/>
    <n v="26.368892134047101"/>
    <n v="64.885804606986298"/>
    <n v="60.644260977051303"/>
    <n v="144898.08834407799"/>
    <n v="757.40445179954497"/>
    <n v="0.13032579061371199"/>
    <n v="4.62131834238678E-2"/>
    <n v="0.62077359204770699"/>
    <n v="4.0847314015715099E-2"/>
    <n v="0.73970267822394598"/>
    <n v="0"/>
    <x v="32"/>
    <x v="14"/>
    <n v="5978205328.8999996"/>
    <n v="41258"/>
  </r>
  <r>
    <n v="0.97479585428683702"/>
    <n v="26.385378736531202"/>
    <n v="25.915754115186299"/>
    <n v="0"/>
    <n v="5.0425968308458096"/>
    <n v="3.8623552603745899"/>
    <n v="137.68246529280299"/>
    <n v="26.443755859359101"/>
    <n v="66.281670277319606"/>
    <n v="62.036581083087"/>
    <n v="154929.86205834601"/>
    <n v="755.99498542739605"/>
    <n v="0.14642459514098799"/>
    <n v="4.8078250864516898E-2"/>
    <n v="0.62410376751475005"/>
    <n v="4.2888405387865397E-2"/>
    <n v="0.75198483657986503"/>
    <n v="0"/>
    <x v="32"/>
    <x v="15"/>
    <n v="5539052428.3100004"/>
    <n v="35752"/>
  </r>
  <r>
    <n v="0.97383198651175096"/>
    <n v="27.254116374506001"/>
    <n v="26.6866816619332"/>
    <n v="0"/>
    <n v="5.0377706430098401"/>
    <n v="3.8571391516543598"/>
    <n v="137.69292865376801"/>
    <n v="26.6627304343098"/>
    <n v="66.636707392218696"/>
    <n v="62.333031996514997"/>
    <n v="164993.37804489699"/>
    <n v="756.839586175504"/>
    <n v="0.13894708744369499"/>
    <n v="4.6235647113257797E-2"/>
    <n v="0.60773799005478402"/>
    <n v="4.35185855292375E-2"/>
    <n v="0.74385398059535701"/>
    <n v="0"/>
    <x v="32"/>
    <x v="16"/>
    <n v="5585850813.71"/>
    <n v="33855"/>
  </r>
  <r>
    <n v="0.96438039089419203"/>
    <n v="35.288650987762601"/>
    <n v="37.567277691435002"/>
    <n v="0"/>
    <n v="5.0172391875163802"/>
    <n v="3.8357388440392599"/>
    <n v="137.72109594980799"/>
    <n v="26.6114469608973"/>
    <n v="67.241680628747204"/>
    <n v="62.890747710642998"/>
    <n v="277201.18123740499"/>
    <n v="754.54610537696897"/>
    <n v="0.201746550177717"/>
    <n v="4.7624490372728999E-2"/>
    <n v="0.55512678277364202"/>
    <n v="8.9678485466282695E-2"/>
    <n v="0.72797796913986901"/>
    <n v="0"/>
    <x v="32"/>
    <x v="17"/>
    <n v="96318817243.380005"/>
    <n v="347469"/>
  </r>
  <r>
    <n v="0.97305796476376805"/>
    <n v="27.944930413094902"/>
    <n v="28.647270272113399"/>
    <n v="0"/>
    <n v="5.0319162146473797"/>
    <n v="3.8519144691779799"/>
    <n v="137.69167987205199"/>
    <n v="26.433020757575399"/>
    <n v="66.974843392035098"/>
    <n v="62.564643132377597"/>
    <n v="172498.580443346"/>
    <n v="756.46744397832094"/>
    <n v="0.13922491426216299"/>
    <n v="4.5068187040236497E-2"/>
    <n v="0.59766594434531894"/>
    <n v="4.6226392608106001E-2"/>
    <n v="0.72817965667992302"/>
    <n v="0"/>
    <x v="32"/>
    <x v="18"/>
    <n v="2828631722.1100001"/>
    <n v="16398"/>
  </r>
  <r>
    <n v="0.99275353515017895"/>
    <n v="8.3574200884069008"/>
    <n v="90.478053575177498"/>
    <n v="0"/>
    <n v="5.0941272871143699"/>
    <n v="3.9627779576639899"/>
    <n v="141.944649291823"/>
    <n v="26.330537532866899"/>
    <n v="54.973530882023702"/>
    <n v="5.5955801106944296"/>
    <n v="5640.68495555555"/>
    <n v="775.42813710610699"/>
    <n v="4.1647006754573598E-2"/>
    <n v="3.6775762256422199E-2"/>
    <n v="0.63298614447623602"/>
    <n v="3.03711303020122E-2"/>
    <n v="0.41655733039166698"/>
    <n v="0"/>
    <x v="33"/>
    <x v="0"/>
    <n v="2538308.23"/>
    <n v="450"/>
  </r>
  <r>
    <n v="0.99220526646398499"/>
    <n v="8.9629168345612094"/>
    <n v="63.359545674363702"/>
    <n v="0"/>
    <n v="5.1520326064536501"/>
    <n v="4.0056092001886201"/>
    <n v="142.09805639053499"/>
    <n v="25.502698191663701"/>
    <n v="49.218144172199104"/>
    <n v="18.143558879545701"/>
    <n v="15911.154925521299"/>
    <n v="767.09310935849305"/>
    <n v="6.9782119300498699E-2"/>
    <n v="2.5331064055020999E-2"/>
    <n v="0.72415047126184695"/>
    <n v="3.2559946649783802E-2"/>
    <n v="0.48225381250127303"/>
    <n v="0"/>
    <x v="33"/>
    <x v="1"/>
    <n v="16022533.01"/>
    <n v="1007"/>
  </r>
  <r>
    <n v="0.98998900662599498"/>
    <n v="11.3733234529918"/>
    <n v="33.155429682841202"/>
    <n v="0"/>
    <n v="5.1452612605320303"/>
    <n v="3.9875489274950202"/>
    <n v="142.22231174809099"/>
    <n v="24.920302235668998"/>
    <n v="48.964139185174403"/>
    <n v="32.4503507224156"/>
    <n v="25940.5749365786"/>
    <n v="759.11795121300202"/>
    <n v="5.6765668047882599E-2"/>
    <n v="2.5218654240557199E-2"/>
    <n v="0.76566750802898298"/>
    <n v="2.2545303638346802E-2"/>
    <n v="0.52778298777655697"/>
    <n v="0"/>
    <x v="33"/>
    <x v="2"/>
    <n v="75668657.090000004"/>
    <n v="2917"/>
  </r>
  <r>
    <n v="0.98748136712923296"/>
    <n v="14.0300021987231"/>
    <n v="19.243025447593901"/>
    <n v="0"/>
    <n v="5.1568384857885796"/>
    <n v="3.97896508373899"/>
    <n v="142.23850560214299"/>
    <n v="24.4786848613759"/>
    <n v="51.5831544968201"/>
    <n v="42.433793077087202"/>
    <n v="35760.627599591397"/>
    <n v="756.55483915469097"/>
    <n v="6.8534376866893898E-2"/>
    <n v="3.8619834837791897E-2"/>
    <n v="0.73842974470909595"/>
    <n v="3.18334288855203E-2"/>
    <n v="0.55547242245529105"/>
    <n v="0"/>
    <x v="33"/>
    <x v="3"/>
    <n v="245067580.94"/>
    <n v="6853"/>
  </r>
  <r>
    <n v="0.98537339553080805"/>
    <n v="16.206565986830299"/>
    <n v="16.894080353496602"/>
    <n v="0"/>
    <n v="5.1437366334601604"/>
    <n v="3.9620838289218701"/>
    <n v="142.254595928105"/>
    <n v="24.717851677870001"/>
    <n v="52.306590359005497"/>
    <n v="46.007095997980102"/>
    <n v="45857.031490601701"/>
    <n v="755.50629327925003"/>
    <n v="7.2284650359730598E-2"/>
    <n v="4.9812729302450197E-2"/>
    <n v="0.71559917301819798"/>
    <n v="2.84707159493503E-2"/>
    <n v="0.62403486390580898"/>
    <n v="0"/>
    <x v="33"/>
    <x v="4"/>
    <n v="629433614.24000001"/>
    <n v="13726"/>
  </r>
  <r>
    <n v="0.98377419699930502"/>
    <n v="17.823975094772301"/>
    <n v="14.2864099059066"/>
    <n v="0"/>
    <n v="5.1314104985933398"/>
    <n v="3.94005850120694"/>
    <n v="142.304580332309"/>
    <n v="24.820029489043499"/>
    <n v="56.5642681068353"/>
    <n v="50.8425063575039"/>
    <n v="55399.663160290103"/>
    <n v="753.62188373619995"/>
    <n v="7.7994273525986701E-2"/>
    <n v="5.63462575637666E-2"/>
    <n v="0.70556097601160805"/>
    <n v="3.2085810884959098E-2"/>
    <n v="0.67227557990229603"/>
    <n v="0"/>
    <x v="33"/>
    <x v="5"/>
    <n v="1168545095.04"/>
    <n v="21093"/>
  </r>
  <r>
    <n v="0.98263196333207004"/>
    <n v="18.961640164979499"/>
    <n v="14.243046678475601"/>
    <n v="0"/>
    <n v="5.1152992439733298"/>
    <n v="3.9213850579471998"/>
    <n v="142.33563611395201"/>
    <n v="24.8806375157559"/>
    <n v="58.318355037964302"/>
    <n v="53.048194759386803"/>
    <n v="65202.297764633899"/>
    <n v="753.84894467603397"/>
    <n v="9.4292399076804895E-2"/>
    <n v="5.0492000990527197E-2"/>
    <n v="0.71667631998876702"/>
    <n v="3.0169597456553999E-2"/>
    <n v="0.70776505949981205"/>
    <n v="0"/>
    <x v="33"/>
    <x v="6"/>
    <n v="1813406305.4300001"/>
    <n v="27812"/>
  </r>
  <r>
    <n v="0.981520078618626"/>
    <n v="20.055192911337599"/>
    <n v="15.619519159873199"/>
    <n v="0"/>
    <n v="5.1026065507119496"/>
    <n v="3.9072387804464799"/>
    <n v="142.32836942676701"/>
    <n v="25.679036425796301"/>
    <n v="58.966021455112298"/>
    <n v="54.364795733561301"/>
    <n v="75092.3001801801"/>
    <n v="755.67345185658098"/>
    <n v="9.9675067594324193E-2"/>
    <n v="4.7504271672384898E-2"/>
    <n v="0.70499606911616997"/>
    <n v="3.1678907744054199E-2"/>
    <n v="0.73695886759537599"/>
    <n v="0"/>
    <x v="33"/>
    <x v="7"/>
    <n v="2550585067.9200001"/>
    <n v="33966"/>
  </r>
  <r>
    <n v="0.98058879146572797"/>
    <n v="20.960697824981299"/>
    <n v="16.105397595849698"/>
    <n v="0"/>
    <n v="5.0957671914554901"/>
    <n v="3.8882268281531802"/>
    <n v="142.38101663718001"/>
    <n v="25.996972695665502"/>
    <n v="61.646883225356802"/>
    <n v="56.950317180409797"/>
    <n v="85065.026181095804"/>
    <n v="755.52645578931197"/>
    <n v="0.11009041820444899"/>
    <n v="4.7988471121354202E-2"/>
    <n v="0.69673340655520899"/>
    <n v="3.1158809408222101E-2"/>
    <n v="0.74347674252523699"/>
    <n v="0"/>
    <x v="33"/>
    <x v="8"/>
    <n v="3104873455.6100001"/>
    <n v="36500"/>
  </r>
  <r>
    <n v="0.97967112802119505"/>
    <n v="21.843750748085199"/>
    <n v="20.468001263255001"/>
    <n v="0"/>
    <n v="5.09110440346823"/>
    <n v="3.8825987293969302"/>
    <n v="142.36170932070101"/>
    <n v="26.244622744741498"/>
    <n v="61.367487844343501"/>
    <n v="56.987772641802202"/>
    <n v="95123.055653166593"/>
    <n v="756.69089245220903"/>
    <n v="0.108619053497269"/>
    <n v="4.8527672437112999E-2"/>
    <n v="0.68638451280609603"/>
    <n v="3.4044825603004203E-2"/>
    <n v="0.71881907196917005"/>
    <n v="0"/>
    <x v="33"/>
    <x v="9"/>
    <n v="4124345447.0100002"/>
    <n v="43358"/>
  </r>
  <r>
    <n v="0.97882234606409002"/>
    <n v="22.652459875360599"/>
    <n v="21.277366432263101"/>
    <n v="0"/>
    <n v="5.0793324218089904"/>
    <n v="3.86391744230303"/>
    <n v="142.405609654785"/>
    <n v="26.396565172000201"/>
    <n v="63.636573272667199"/>
    <n v="59.138752572875703"/>
    <n v="104911.510869682"/>
    <n v="755.31199824614305"/>
    <n v="0.132815442651536"/>
    <n v="4.5300351555410699E-2"/>
    <n v="0.67719721992398796"/>
    <n v="3.2871697173790598E-2"/>
    <n v="0.74923854476349905"/>
    <n v="0"/>
    <x v="33"/>
    <x v="10"/>
    <n v="3886761654.6999998"/>
    <n v="37048"/>
  </r>
  <r>
    <n v="0.97795562932103097"/>
    <n v="23.4703352053134"/>
    <n v="22.376037451602901"/>
    <n v="0"/>
    <n v="5.0718744150765502"/>
    <n v="3.8549745050215201"/>
    <n v="142.4062443432"/>
    <n v="26.5948923081109"/>
    <n v="63.998775303191401"/>
    <n v="59.493760545696503"/>
    <n v="114974.726883814"/>
    <n v="755.02509087156102"/>
    <n v="0.13723762858125699"/>
    <n v="4.3900301397918999E-2"/>
    <n v="0.66644624311004097"/>
    <n v="3.3941330229926403E-2"/>
    <n v="0.74845169555507596"/>
    <n v="0"/>
    <x v="33"/>
    <x v="11"/>
    <n v="4174042484.79"/>
    <n v="36304"/>
  </r>
  <r>
    <n v="0.97713855268223204"/>
    <n v="24.234100631068198"/>
    <n v="22.0317364039424"/>
    <n v="0"/>
    <n v="5.06527835863211"/>
    <n v="3.8466539297778599"/>
    <n v="142.41966689800901"/>
    <n v="26.5170520088252"/>
    <n v="64.255645587849401"/>
    <n v="59.800157587098099"/>
    <n v="124874.056289926"/>
    <n v="754.92832375310502"/>
    <n v="0.13679312939398899"/>
    <n v="4.6867547036042401E-2"/>
    <n v="0.65782157692159104"/>
    <n v="3.5640970685137802E-2"/>
    <n v="0.75701129410486301"/>
    <n v="0"/>
    <x v="33"/>
    <x v="12"/>
    <n v="4320017977.3500004"/>
    <n v="34595"/>
  </r>
  <r>
    <n v="0.97643153929539495"/>
    <n v="24.8893384408522"/>
    <n v="24.7385954395846"/>
    <n v="0"/>
    <n v="5.0657072682319999"/>
    <n v="3.8449473801313698"/>
    <n v="142.409957080141"/>
    <n v="26.668163453503801"/>
    <n v="64.969535569578298"/>
    <n v="60.553202032697001"/>
    <n v="134941.68045413899"/>
    <n v="754.95299985579902"/>
    <n v="0.142623689880745"/>
    <n v="4.5213430332982203E-2"/>
    <n v="0.65385422641725"/>
    <n v="4.2157970087887298E-2"/>
    <n v="0.76105221937425804"/>
    <n v="0"/>
    <x v="33"/>
    <x v="13"/>
    <n v="4376833405.5299997"/>
    <n v="32435"/>
  </r>
  <r>
    <n v="0.975612250111492"/>
    <n v="25.642130503753499"/>
    <n v="25.629181248997799"/>
    <n v="0"/>
    <n v="5.0624559988217603"/>
    <n v="3.84636039357015"/>
    <n v="142.40175030882099"/>
    <n v="26.793975779481102"/>
    <n v="64.042223401757994"/>
    <n v="59.8334114982435"/>
    <n v="144854.35831556699"/>
    <n v="755.52153135741105"/>
    <n v="0.137356529231871"/>
    <n v="4.6065604112918802E-2"/>
    <n v="0.63996599865220105"/>
    <n v="4.1612602302637802E-2"/>
    <n v="0.76300226915270997"/>
    <n v="0"/>
    <x v="33"/>
    <x v="14"/>
    <n v="4606803157.5100002"/>
    <n v="31803"/>
  </r>
  <r>
    <n v="0.97489477941171698"/>
    <n v="26.295681166017498"/>
    <n v="26.4800657547299"/>
    <n v="0"/>
    <n v="5.0708607307767499"/>
    <n v="3.84764420123394"/>
    <n v="142.426124120765"/>
    <n v="26.923295330064501"/>
    <n v="65.175905895279598"/>
    <n v="61.032127030068402"/>
    <n v="154933.690776362"/>
    <n v="754.29124908885001"/>
    <n v="0.15332285151948499"/>
    <n v="4.7169123954390303E-2"/>
    <n v="0.65083550766327802"/>
    <n v="4.4114202371028401E-2"/>
    <n v="0.77684829257022103"/>
    <n v="0"/>
    <x v="33"/>
    <x v="15"/>
    <n v="4244718326.1999998"/>
    <n v="27397"/>
  </r>
  <r>
    <n v="0.97388028969158102"/>
    <n v="27.210805212314401"/>
    <n v="27.616775428169898"/>
    <n v="0"/>
    <n v="5.0637249501288801"/>
    <n v="3.8374900454001701"/>
    <n v="142.42841310518199"/>
    <n v="27.019336936630701"/>
    <n v="65.818729071164498"/>
    <n v="61.6128694407371"/>
    <n v="164978.336737312"/>
    <n v="754.71171442445302"/>
    <n v="0.153254313983479"/>
    <n v="4.5848904803102997E-2"/>
    <n v="0.63494154860013496"/>
    <n v="4.6606115563070601E-2"/>
    <n v="0.76641884824670303"/>
    <n v="0"/>
    <x v="33"/>
    <x v="16"/>
    <n v="4281352816.6700001"/>
    <n v="25951"/>
  </r>
  <r>
    <n v="0.96440432440673496"/>
    <n v="35.269376668416903"/>
    <n v="37.648436272844997"/>
    <n v="0"/>
    <n v="5.0440213829682499"/>
    <n v="3.8163215838619999"/>
    <n v="142.41924685815201"/>
    <n v="27.005276570738602"/>
    <n v="66.515573520608896"/>
    <n v="62.159112330508201"/>
    <n v="277552.11465757497"/>
    <n v="752.18723541329496"/>
    <n v="0.21023751042648101"/>
    <n v="4.9538859881481302E-2"/>
    <n v="0.57309283259134602"/>
    <n v="9.4063299849703394E-2"/>
    <n v="0.75073895528351398"/>
    <n v="0"/>
    <x v="33"/>
    <x v="17"/>
    <n v="71887663009"/>
    <n v="259006"/>
  </r>
  <r>
    <n v="0.97310200603564501"/>
    <n v="27.905785526237899"/>
    <n v="29.760450050011201"/>
    <n v="0"/>
    <n v="5.0606397744414799"/>
    <n v="3.8352912139261002"/>
    <n v="142.39726406702701"/>
    <n v="26.754043340960099"/>
    <n v="65.834940142375899"/>
    <n v="61.554437574931399"/>
    <n v="172489.691142041"/>
    <n v="753.95738055656398"/>
    <n v="0.151365426923113"/>
    <n v="4.4581987718677399E-2"/>
    <n v="0.62154816859342399"/>
    <n v="4.96469947848764E-2"/>
    <n v="0.75488902136337299"/>
    <n v="0"/>
    <x v="33"/>
    <x v="18"/>
    <n v="2174922515.6100001"/>
    <n v="12609"/>
  </r>
  <r>
    <n v="0.99287731073561603"/>
    <n v="8.2202150902271498"/>
    <n v="92.486078024465002"/>
    <n v="0"/>
    <n v="5.1453460169832397"/>
    <n v="3.9481946081260202"/>
    <n v="147.14267251866499"/>
    <n v="27.0682659529086"/>
    <n v="56.364619754168103"/>
    <n v="5.3015949891617797"/>
    <n v="5768.7798317756997"/>
    <n v="778.16730668333696"/>
    <n v="3.5752347389770602E-2"/>
    <n v="1.8915427137362401E-2"/>
    <n v="0.60207323001144097"/>
    <n v="2.29937090213032E-2"/>
    <n v="0.36542717154580101"/>
    <n v="0"/>
    <x v="34"/>
    <x v="0"/>
    <n v="3086297.21"/>
    <n v="535"/>
  </r>
  <r>
    <n v="0.99225685387569196"/>
    <n v="8.9061014454059606"/>
    <n v="65.038076347640498"/>
    <n v="0"/>
    <n v="5.1783579065648402"/>
    <n v="3.97008685403418"/>
    <n v="147.14739854480001"/>
    <n v="26.450060236063301"/>
    <n v="49.466722065091297"/>
    <n v="16.478000279932601"/>
    <n v="15748.535208711401"/>
    <n v="772.33496676941502"/>
    <n v="6.7256698399017906E-2"/>
    <n v="2.2199045527571199E-2"/>
    <n v="0.724702307750132"/>
    <n v="2.9033732967577299E-2"/>
    <n v="0.479395423621859"/>
    <n v="0"/>
    <x v="34"/>
    <x v="1"/>
    <n v="17354885.800000001"/>
    <n v="1102"/>
  </r>
  <r>
    <n v="0.98992862384508995"/>
    <n v="11.4381693890103"/>
    <n v="30.915375799315498"/>
    <n v="0"/>
    <n v="5.1931860352949597"/>
    <n v="3.97840505577124"/>
    <n v="147.14063967726199"/>
    <n v="25.236573632809499"/>
    <n v="47.844407598679297"/>
    <n v="30.975419521582499"/>
    <n v="25840.091179756801"/>
    <n v="763.27632942122204"/>
    <n v="5.3740343762167103E-2"/>
    <n v="2.5475115217416799E-2"/>
    <n v="0.76711656143062501"/>
    <n v="2.4532216548501299E-2"/>
    <n v="0.53468357104281805"/>
    <n v="0"/>
    <x v="34"/>
    <x v="2"/>
    <n v="78631397.459999993"/>
    <n v="3043"/>
  </r>
  <r>
    <n v="0.98735761245575104"/>
    <n v="14.159201906768301"/>
    <n v="20.710800917290999"/>
    <n v="0"/>
    <n v="5.1972938824126702"/>
    <n v="3.96602741477068"/>
    <n v="147.19537513547601"/>
    <n v="24.838027971254199"/>
    <n v="50.4130307316426"/>
    <n v="41.486566072866601"/>
    <n v="35770.095496837603"/>
    <n v="760.27858509432997"/>
    <n v="7.0411130447702197E-2"/>
    <n v="3.01423389948248E-2"/>
    <n v="0.75019843483586501"/>
    <n v="2.57652049787667E-2"/>
    <n v="0.569074659220007"/>
    <n v="0"/>
    <x v="34"/>
    <x v="3"/>
    <n v="254504229.46000001"/>
    <n v="7115"/>
  </r>
  <r>
    <n v="0.98521386222997198"/>
    <n v="16.369216362035498"/>
    <n v="16.5805370506598"/>
    <n v="0"/>
    <n v="5.1919561871711197"/>
    <n v="3.9528853033361901"/>
    <n v="147.183609041924"/>
    <n v="25.0622213696473"/>
    <n v="51.886567632742"/>
    <n v="45.587165132173297"/>
    <n v="45814.340108836601"/>
    <n v="758.62237631975199"/>
    <n v="7.0245842576279693E-2"/>
    <n v="3.9707834815944497E-2"/>
    <n v="0.72409037031871204"/>
    <n v="3.28680758183948E-2"/>
    <n v="0.62511545004844504"/>
    <n v="0"/>
    <x v="34"/>
    <x v="4"/>
    <n v="635628154.66999996"/>
    <n v="13874"/>
  </r>
  <r>
    <n v="0.98367831889378599"/>
    <n v="17.920029571773799"/>
    <n v="14.205603089203301"/>
    <n v="0"/>
    <n v="5.1824610601279701"/>
    <n v="3.9364297053985502"/>
    <n v="147.181452393001"/>
    <n v="25.0566323519881"/>
    <n v="55.1268327791392"/>
    <n v="49.650786742739797"/>
    <n v="55378.065902827402"/>
    <n v="757.22021176619899"/>
    <n v="8.0290563569494905E-2"/>
    <n v="4.8158587444095499E-2"/>
    <n v="0.71684077912236099"/>
    <n v="3.1917096912847998E-2"/>
    <n v="0.67972003807925596"/>
    <n v="0"/>
    <x v="34"/>
    <x v="5"/>
    <n v="1161444176.1800001"/>
    <n v="20973"/>
  </r>
  <r>
    <n v="0.98242954977740504"/>
    <n v="19.161731654860599"/>
    <n v="15.218868868423201"/>
    <n v="0"/>
    <n v="5.1655227566335098"/>
    <n v="3.9136269444762899"/>
    <n v="147.174084764376"/>
    <n v="25.082366878787699"/>
    <n v="57.4976998007322"/>
    <n v="52.652299251653901"/>
    <n v="65192.686665216897"/>
    <n v="757.44139141310802"/>
    <n v="9.4315582078051699E-2"/>
    <n v="4.24040495184861E-2"/>
    <n v="0.72174707237408298"/>
    <n v="3.1552426426201097E-2"/>
    <n v="0.70207038792294796"/>
    <n v="0"/>
    <x v="34"/>
    <x v="6"/>
    <n v="1798731417.78"/>
    <n v="27591"/>
  </r>
  <r>
    <n v="0.98125860064762604"/>
    <n v="20.310387341404098"/>
    <n v="17.087233057780299"/>
    <n v="0"/>
    <n v="5.1486986523920999"/>
    <n v="3.89462909438349"/>
    <n v="147.16225337151801"/>
    <n v="25.9587925144614"/>
    <n v="57.656886394550703"/>
    <n v="53.555543256778897"/>
    <n v="75060.120355792606"/>
    <n v="759.24013719054096"/>
    <n v="0.102215686006561"/>
    <n v="3.7297705925083198E-2"/>
    <n v="0.71204031732735695"/>
    <n v="3.2668424441682699E-2"/>
    <n v="0.73080336794770195"/>
    <n v="0"/>
    <x v="34"/>
    <x v="7"/>
    <n v="2461971947.6700001"/>
    <n v="32800"/>
  </r>
  <r>
    <n v="0.98026571523242001"/>
    <n v="21.2726267138579"/>
    <n v="17.329223623875301"/>
    <n v="0"/>
    <n v="5.1393422434209102"/>
    <n v="3.8750486230279102"/>
    <n v="147.146680864443"/>
    <n v="26.2235341907536"/>
    <n v="60.543262204738198"/>
    <n v="56.353287443658097"/>
    <n v="85048.043045669096"/>
    <n v="758.04915320975601"/>
    <n v="0.11110656079834499"/>
    <n v="3.8775779476623799E-2"/>
    <n v="0.70004558556513197"/>
    <n v="3.33189346793243E-2"/>
    <n v="0.74330685383490303"/>
    <n v="0"/>
    <x v="34"/>
    <x v="8"/>
    <n v="2936793974.4099998"/>
    <n v="34531"/>
  </r>
  <r>
    <n v="0.97930947193054996"/>
    <n v="22.1892752384563"/>
    <n v="20.429332896200702"/>
    <n v="0"/>
    <n v="5.1287159742136099"/>
    <n v="3.86520827906919"/>
    <n v="147.133220281154"/>
    <n v="26.5375134762733"/>
    <n v="60.168675981605801"/>
    <n v="56.338228894498002"/>
    <n v="95128.726935953004"/>
    <n v="759.57446764517897"/>
    <n v="0.111668947755732"/>
    <n v="4.0269843614495801E-2"/>
    <n v="0.685146497738783"/>
    <n v="3.6958682090411601E-2"/>
    <n v="0.71951668630975696"/>
    <n v="0"/>
    <x v="34"/>
    <x v="9"/>
    <n v="3858801679.4299998"/>
    <n v="40564"/>
  </r>
  <r>
    <n v="0.97839858313894701"/>
    <n v="23.0533385810946"/>
    <n v="21.672150301068498"/>
    <n v="0"/>
    <n v="5.1215355990024696"/>
    <n v="3.8487200415438099"/>
    <n v="147.151202872656"/>
    <n v="26.5352960320654"/>
    <n v="62.871652779489203"/>
    <n v="58.8660970379525"/>
    <n v="104910.290738262"/>
    <n v="757.14835762817995"/>
    <n v="0.130593631059085"/>
    <n v="4.0115021312741098E-2"/>
    <n v="0.67487071733189097"/>
    <n v="3.6012912049797098E-2"/>
    <n v="0.74749801294436502"/>
    <n v="0"/>
    <x v="34"/>
    <x v="10"/>
    <n v="3590974341.6799998"/>
    <n v="34229"/>
  </r>
  <r>
    <n v="0.97749452398209502"/>
    <n v="23.902218230273299"/>
    <n v="22.0750369850828"/>
    <n v="0"/>
    <n v="5.11307149894437"/>
    <n v="3.8395855635271201"/>
    <n v="147.14059389930199"/>
    <n v="26.750645350967702"/>
    <n v="63.478588333445003"/>
    <n v="59.466697787608901"/>
    <n v="115005.19577763201"/>
    <n v="757.52521007651296"/>
    <n v="0.13340615034005401"/>
    <n v="4.0181141412210498E-2"/>
    <n v="0.66478801711234803"/>
    <n v="3.6687494633269299E-2"/>
    <n v="0.74056748475937895"/>
    <n v="0"/>
    <x v="34"/>
    <x v="11"/>
    <n v="3879930289.9499998"/>
    <n v="33737"/>
  </r>
  <r>
    <n v="0.97669104188521105"/>
    <n v="24.649445403229301"/>
    <n v="24.3164035346493"/>
    <n v="0"/>
    <n v="5.1022697360472096"/>
    <n v="3.8294656086889001"/>
    <n v="147.152200374015"/>
    <n v="26.681337477282799"/>
    <n v="63.6244295692305"/>
    <n v="59.682158778904601"/>
    <n v="124887.20551188001"/>
    <n v="757.65474279553598"/>
    <n v="0.13852443502175399"/>
    <n v="3.7395258154626201E-2"/>
    <n v="0.65814942772949703"/>
    <n v="3.9576982932374299E-2"/>
    <n v="0.74929491035213602"/>
    <n v="0"/>
    <x v="34"/>
    <x v="12"/>
    <n v="3984151630.2399998"/>
    <n v="31902"/>
  </r>
  <r>
    <n v="0.97601146017100904"/>
    <n v="25.2761903669243"/>
    <n v="24.733430200214901"/>
    <n v="0"/>
    <n v="5.1028836881241597"/>
    <n v="3.8263082345698498"/>
    <n v="147.14708980196801"/>
    <n v="26.8401599410968"/>
    <n v="64.127844240805402"/>
    <n v="60.246851969062099"/>
    <n v="134943.57833870599"/>
    <n v="756.91892649600004"/>
    <n v="0.14427187748894901"/>
    <n v="3.5565478564435503E-2"/>
    <n v="0.65697140532700504"/>
    <n v="4.36401744668602E-2"/>
    <n v="0.75952121928570004"/>
    <n v="0"/>
    <x v="34"/>
    <x v="13"/>
    <n v="3976112535.75"/>
    <n v="29465"/>
  </r>
  <r>
    <n v="0.97509219497639099"/>
    <n v="26.1163806334066"/>
    <n v="26.972537146983601"/>
    <n v="0"/>
    <n v="5.0973050331161502"/>
    <n v="3.8261465289258498"/>
    <n v="147.139807844176"/>
    <n v="26.956628789779401"/>
    <n v="63.118486742711198"/>
    <n v="59.486111484571197"/>
    <n v="144879.51699399701"/>
    <n v="757.74156231923598"/>
    <n v="0.14183757376255801"/>
    <n v="4.0094442053116998E-2"/>
    <n v="0.64119524524175897"/>
    <n v="4.4160120178915699E-2"/>
    <n v="0.75904437033348704"/>
    <n v="0"/>
    <x v="34"/>
    <x v="14"/>
    <n v="4175282800.25"/>
    <n v="28819"/>
  </r>
  <r>
    <n v="0.97437363594218496"/>
    <n v="26.767089511771498"/>
    <n v="28.536285974510399"/>
    <n v="0"/>
    <n v="5.1071517911498603"/>
    <n v="3.8269977651942901"/>
    <n v="147.16769680873699"/>
    <n v="27.0381046315056"/>
    <n v="64.287868015207707"/>
    <n v="60.665327928221799"/>
    <n v="154916.69994717199"/>
    <n v="755.93829760134497"/>
    <n v="0.15997366613488201"/>
    <n v="4.0118713997162499E-2"/>
    <n v="0.65437992330619599"/>
    <n v="4.6238134907752901E-2"/>
    <n v="0.77904447060887705"/>
    <n v="0"/>
    <x v="34"/>
    <x v="15"/>
    <n v="3870903581.5799999"/>
    <n v="24987"/>
  </r>
  <r>
    <n v="0.97336302703173805"/>
    <n v="27.673383693252699"/>
    <n v="28.193292642086401"/>
    <n v="0"/>
    <n v="5.1009956425249996"/>
    <n v="3.8201049297902698"/>
    <n v="147.15275472588999"/>
    <n v="27.211755776749701"/>
    <n v="64.985716811736197"/>
    <n v="61.231862187365003"/>
    <n v="164987.55699919301"/>
    <n v="756.786496875068"/>
    <n v="0.15312972475056699"/>
    <n v="3.7902773093629501E-2"/>
    <n v="0.63846340694832004"/>
    <n v="5.2012355221910098E-2"/>
    <n v="0.76390657118144101"/>
    <n v="0"/>
    <x v="34"/>
    <x v="16"/>
    <n v="3884962004.6599998"/>
    <n v="23547"/>
  </r>
  <r>
    <n v="0.96356920082259301"/>
    <n v="35.938822221703902"/>
    <n v="37.933871310180201"/>
    <n v="0"/>
    <n v="5.07394808296341"/>
    <n v="3.7931609114687399"/>
    <n v="147.125631783247"/>
    <n v="27.170707504589199"/>
    <n v="65.484605871489407"/>
    <n v="61.731864068938798"/>
    <n v="277690.86825193401"/>
    <n v="753.74172667994503"/>
    <n v="0.21632488876056399"/>
    <n v="4.2564224954273901E-2"/>
    <n v="0.58038837271597798"/>
    <n v="9.9990123086181507E-2"/>
    <n v="0.75398462548319101"/>
    <n v="0"/>
    <x v="34"/>
    <x v="17"/>
    <n v="63953873103.629997"/>
    <n v="230306"/>
  </r>
  <r>
    <n v="0.97251409264477195"/>
    <n v="28.4267331184856"/>
    <n v="29.093281588016801"/>
    <n v="0"/>
    <n v="5.0998789017342601"/>
    <n v="3.8188483209021298"/>
    <n v="147.16809868937199"/>
    <n v="27.076231243209499"/>
    <n v="65.150780350888297"/>
    <n v="61.394338837541298"/>
    <n v="172523.059033097"/>
    <n v="755.30431149328797"/>
    <n v="0.155166931737311"/>
    <n v="3.9388102206315799E-2"/>
    <n v="0.62232530322202095"/>
    <n v="5.1380808846981298E-2"/>
    <n v="0.75726973037951095"/>
    <n v="0"/>
    <x v="34"/>
    <x v="18"/>
    <n v="1923459585.1600001"/>
    <n v="11149"/>
  </r>
  <r>
    <n v="0.99316857679314396"/>
    <n v="7.8966039919434001"/>
    <n v="95.184346372932097"/>
    <n v="0"/>
    <n v="5.2233028632042604"/>
    <n v="3.96414478480059"/>
    <n v="152.005044286985"/>
    <n v="26.755157992873901"/>
    <n v="54.932175861801703"/>
    <n v="5.4673576103475803"/>
    <n v="5617.2745278450302"/>
    <n v="777.16421817930905"/>
    <n v="2.9792562494806399E-2"/>
    <n v="2.6698612915077299E-2"/>
    <n v="0.65756478853509603"/>
    <n v="5.8557294193812399E-2"/>
    <n v="0.43097063374697597"/>
    <n v="0"/>
    <x v="35"/>
    <x v="0"/>
    <n v="2319934.38"/>
    <n v="413"/>
  </r>
  <r>
    <n v="0.99216536932150001"/>
    <n v="9.0068349604093498"/>
    <n v="62.607452457562601"/>
    <n v="0"/>
    <n v="5.2583483809840503"/>
    <n v="3.9800002878648502"/>
    <n v="152.07585626493801"/>
    <n v="26.009030984814199"/>
    <n v="48.500892962425901"/>
    <n v="18.76233642016"/>
    <n v="16248.541778017199"/>
    <n v="766.369803964178"/>
    <n v="6.5042466672226407E-2"/>
    <n v="1.8398753829286699E-2"/>
    <n v="0.74735480059262605"/>
    <n v="2.14092295498477E-2"/>
    <n v="0.51104611823200097"/>
    <n v="0"/>
    <x v="35"/>
    <x v="1"/>
    <n v="15078646.77"/>
    <n v="928"/>
  </r>
  <r>
    <n v="0.98970606603593902"/>
    <n v="11.6768020271456"/>
    <n v="34.3509406540649"/>
    <n v="0"/>
    <n v="5.2388773027325799"/>
    <n v="3.9643015796775098"/>
    <n v="152.11537098911401"/>
    <n v="24.936249891227501"/>
    <n v="48.187943828896003"/>
    <n v="33.269411574764099"/>
    <n v="25864.702102340299"/>
    <n v="761.04631780635395"/>
    <n v="5.5900543630806702E-2"/>
    <n v="1.9406964174509898E-2"/>
    <n v="0.78532560690134401"/>
    <n v="2.2050710319163901E-2"/>
    <n v="0.53884631900595703"/>
    <n v="0"/>
    <x v="35"/>
    <x v="2"/>
    <n v="65204914"/>
    <n v="2521"/>
  </r>
  <r>
    <n v="0.98713021701513803"/>
    <n v="14.396138546248601"/>
    <n v="18.3665269596126"/>
    <n v="0"/>
    <n v="5.2407642310880904"/>
    <n v="3.9546409815788199"/>
    <n v="152.17946384637301"/>
    <n v="24.8282699335122"/>
    <n v="51.107498926752399"/>
    <n v="42.738350828131502"/>
    <n v="35787.324991133297"/>
    <n v="758.94163026932597"/>
    <n v="6.8373312113296003E-2"/>
    <n v="3.3090144834876899E-2"/>
    <n v="0.75064044908923999"/>
    <n v="3.1945724096473803E-2"/>
    <n v="0.58742610630713998"/>
    <n v="0"/>
    <x v="35"/>
    <x v="3"/>
    <n v="221988776.91999999"/>
    <n v="6203"/>
  </r>
  <r>
    <n v="0.98499714608504796"/>
    <n v="16.589703272017399"/>
    <n v="15.3471476827673"/>
    <n v="0"/>
    <n v="5.2205021652706698"/>
    <n v="3.93031571079527"/>
    <n v="152.154252556405"/>
    <n v="25.185511058081001"/>
    <n v="52.730540074352"/>
    <n v="46.577761968287803"/>
    <n v="45792.397886077"/>
    <n v="756.98046246382705"/>
    <n v="7.1998106721917601E-2"/>
    <n v="3.7553992039742898E-2"/>
    <n v="0.72766439027995999"/>
    <n v="3.2275183392514201E-2"/>
    <n v="0.63191713067784006"/>
    <n v="0"/>
    <x v="35"/>
    <x v="4"/>
    <n v="548272379.88999999"/>
    <n v="11973"/>
  </r>
  <r>
    <n v="0.98340000748098799"/>
    <n v="18.1982702704011"/>
    <n v="16.012362987549501"/>
    <n v="0"/>
    <n v="5.2075412231811304"/>
    <n v="3.9092592932178301"/>
    <n v="152.15918759461201"/>
    <n v="25.1578304562052"/>
    <n v="56.590939930469702"/>
    <n v="51.228343898586402"/>
    <n v="55369.052211861599"/>
    <n v="754.86037969488996"/>
    <n v="8.2634294534634903E-2"/>
    <n v="5.1670782442644003E-2"/>
    <n v="0.71784967041529002"/>
    <n v="3.0701792611123602E-2"/>
    <n v="0.68126324255707205"/>
    <n v="0"/>
    <x v="35"/>
    <x v="5"/>
    <n v="1021337537.1"/>
    <n v="18446"/>
  </r>
  <r>
    <n v="0.98221043658707297"/>
    <n v="19.377820667032601"/>
    <n v="14.236920404519299"/>
    <n v="0"/>
    <n v="5.1834190157454199"/>
    <n v="3.8823587316205002"/>
    <n v="152.149070991071"/>
    <n v="25.285104686968399"/>
    <n v="58.831956727827503"/>
    <n v="53.919284368437403"/>
    <n v="65175.607654164698"/>
    <n v="754.78440885465704"/>
    <n v="9.8920280991286094E-2"/>
    <n v="4.2482634617349302E-2"/>
    <n v="0.72805830566362195"/>
    <n v="3.1830206078064603E-2"/>
    <n v="0.70716353868856197"/>
    <n v="0"/>
    <x v="35"/>
    <x v="6"/>
    <n v="1596997914.3499999"/>
    <n v="24503"/>
  </r>
  <r>
    <n v="0.981014150110603"/>
    <n v="20.548287929893199"/>
    <n v="16.979308092924398"/>
    <n v="0"/>
    <n v="5.1672311728926497"/>
    <n v="3.8639332788278602"/>
    <n v="152.14916962989099"/>
    <n v="26.1183260068583"/>
    <n v="59.636448504787403"/>
    <n v="55.291060434562503"/>
    <n v="75027.051230040903"/>
    <n v="757.42372712897202"/>
    <n v="0.100051416812557"/>
    <n v="3.8562731008074502E-2"/>
    <n v="0.71055981830523796"/>
    <n v="3.2493218948966E-2"/>
    <n v="0.73153253327548695"/>
    <n v="0"/>
    <x v="35"/>
    <x v="7"/>
    <n v="2123865766.22"/>
    <n v="28308"/>
  </r>
  <r>
    <n v="0.98004985908467501"/>
    <n v="21.4804057397652"/>
    <n v="16.450051959479801"/>
    <n v="0"/>
    <n v="5.1523282018069798"/>
    <n v="3.8385966818814201"/>
    <n v="152.155186792737"/>
    <n v="26.391575308612399"/>
    <n v="62.667625433857403"/>
    <n v="58.132653365856598"/>
    <n v="85029.8995907028"/>
    <n v="757.44059745779396"/>
    <n v="0.10701785050646"/>
    <n v="3.8793408391267603E-2"/>
    <n v="0.70593238599608998"/>
    <n v="3.3072234317206801E-2"/>
    <n v="0.73772898592935798"/>
    <n v="0"/>
    <x v="35"/>
    <x v="8"/>
    <n v="2586439485.75"/>
    <n v="30418"/>
  </r>
  <r>
    <n v="0.97906019362371999"/>
    <n v="22.4266187244863"/>
    <n v="19.4757239493238"/>
    <n v="0"/>
    <n v="5.1454012280835997"/>
    <n v="3.8309997043286899"/>
    <n v="152.14795343053399"/>
    <n v="26.6800716629111"/>
    <n v="62.4168239735084"/>
    <n v="58.207908221449003"/>
    <n v="95083.042741835903"/>
    <n v="758.122135546187"/>
    <n v="0.113567000877369"/>
    <n v="3.9815994242164601E-2"/>
    <n v="0.689900178024352"/>
    <n v="3.6641762248856499E-2"/>
    <n v="0.71817036812063095"/>
    <n v="0"/>
    <x v="35"/>
    <x v="9"/>
    <n v="3389139975.4899998"/>
    <n v="35644"/>
  </r>
  <r>
    <n v="0.978204090137334"/>
    <n v="23.236690060891199"/>
    <n v="20.025742423054499"/>
    <n v="0"/>
    <n v="5.1355094065823303"/>
    <n v="3.8156316902898899"/>
    <n v="152.16137475756801"/>
    <n v="26.7706794141444"/>
    <n v="64.614705857505996"/>
    <n v="60.252122147887398"/>
    <n v="104874.954902388"/>
    <n v="756.69681968458895"/>
    <n v="0.132900608104182"/>
    <n v="3.86956573225892E-2"/>
    <n v="0.67915541414254099"/>
    <n v="3.6285588886643898E-2"/>
    <n v="0.74274292047380697"/>
    <n v="0"/>
    <x v="35"/>
    <x v="10"/>
    <n v="3217878241.27"/>
    <n v="30683"/>
  </r>
  <r>
    <n v="0.97730675349292995"/>
    <n v="24.0774478267058"/>
    <n v="22.943859047664098"/>
    <n v="0"/>
    <n v="5.1262685787175997"/>
    <n v="3.8062961247687102"/>
    <n v="152.166401901813"/>
    <n v="27.048511065042199"/>
    <n v="65.422462823143803"/>
    <n v="61.041685876320898"/>
    <n v="114994.43971209601"/>
    <n v="757.41471402985496"/>
    <n v="0.13575539527693201"/>
    <n v="3.76938969080578E-2"/>
    <n v="0.67155269786731597"/>
    <n v="3.6244155842187299E-2"/>
    <n v="0.73759427976723901"/>
    <n v="0"/>
    <x v="35"/>
    <x v="11"/>
    <n v="3466967362.8800001"/>
    <n v="30149"/>
  </r>
  <r>
    <n v="0.97652553390637198"/>
    <n v="24.802527604843899"/>
    <n v="23.982487711827599"/>
    <n v="0"/>
    <n v="5.1215964492024399"/>
    <n v="3.8010196781744701"/>
    <n v="152.171184412218"/>
    <n v="27.0340328716632"/>
    <n v="65.483823909551404"/>
    <n v="61.249324006393003"/>
    <n v="124857.25422726601"/>
    <n v="757.03851025397603"/>
    <n v="0.13834937425189101"/>
    <n v="3.5849526636973501E-2"/>
    <n v="0.66364803925148996"/>
    <n v="3.9903251569656698E-2"/>
    <n v="0.75032288291156601"/>
    <n v="0"/>
    <x v="35"/>
    <x v="12"/>
    <n v="3536956297.75"/>
    <n v="28328"/>
  </r>
  <r>
    <n v="0.97583337103106604"/>
    <n v="25.439641138416398"/>
    <n v="25.313647654429001"/>
    <n v="0"/>
    <n v="5.1175185747960299"/>
    <n v="3.7959022945129002"/>
    <n v="152.157092483957"/>
    <n v="27.149871911784199"/>
    <n v="66.039954908077505"/>
    <n v="61.774136531822002"/>
    <n v="134944.66197298199"/>
    <n v="757.47290514761698"/>
    <n v="0.13862728837576499"/>
    <n v="3.3230827069674999E-2"/>
    <n v="0.66089995646959698"/>
    <n v="4.2590616711083301E-2"/>
    <n v="0.75258683847166596"/>
    <n v="0"/>
    <x v="35"/>
    <x v="13"/>
    <n v="3566182581.96"/>
    <n v="26427"/>
  </r>
  <r>
    <n v="0.97490536700799102"/>
    <n v="26.286075228625101"/>
    <n v="26.223721926977401"/>
    <n v="0"/>
    <n v="5.1133406638794998"/>
    <n v="3.7946743303694399"/>
    <n v="152.16691696630599"/>
    <n v="27.290767659986901"/>
    <n v="64.926737548798599"/>
    <n v="60.956671680640298"/>
    <n v="144894.99963557901"/>
    <n v="757.23736662680699"/>
    <n v="0.138791617322056"/>
    <n v="3.61874877388089E-2"/>
    <n v="0.652282429727847"/>
    <n v="4.4972371650447901E-2"/>
    <n v="0.75927659795512703"/>
    <n v="0"/>
    <x v="35"/>
    <x v="14"/>
    <n v="3697720390.6999998"/>
    <n v="25520"/>
  </r>
  <r>
    <n v="0.97415626197076699"/>
    <n v="26.962900358751199"/>
    <n v="27.832501269194701"/>
    <n v="0"/>
    <n v="5.1217923074491702"/>
    <n v="3.7963397167633"/>
    <n v="152.15977980622401"/>
    <n v="27.4071928553509"/>
    <n v="66.295124745126202"/>
    <n v="62.279759248407601"/>
    <n v="154936.77728743799"/>
    <n v="755.71831154267795"/>
    <n v="0.15398794421187301"/>
    <n v="3.7752732163257099E-2"/>
    <n v="0.65629374853070499"/>
    <n v="4.7911784515011997E-2"/>
    <n v="0.77124694368756697"/>
    <n v="0"/>
    <x v="35"/>
    <x v="15"/>
    <n v="3504205091.9099998"/>
    <n v="22617"/>
  </r>
  <r>
    <n v="0.97314463680818497"/>
    <n v="27.8678757569574"/>
    <n v="28.129713111227101"/>
    <n v="0"/>
    <n v="5.1169399397000896"/>
    <n v="3.78932780894031"/>
    <n v="152.15920496726599"/>
    <n v="27.620620302715501"/>
    <n v="66.884905536540998"/>
    <n v="62.8437411296429"/>
    <n v="164971.085582439"/>
    <n v="756.64459336087805"/>
    <n v="0.15278637177951301"/>
    <n v="3.7914969962556097E-2"/>
    <n v="0.63979492840571595"/>
    <n v="5.3811220382591299E-2"/>
    <n v="0.75971595668940095"/>
    <n v="0"/>
    <x v="35"/>
    <x v="16"/>
    <n v="3490953142.0100002"/>
    <n v="21161"/>
  </r>
  <r>
    <n v="0.963526420559495"/>
    <n v="35.972943921662598"/>
    <n v="37.603369555358398"/>
    <n v="0"/>
    <n v="5.0865248066512896"/>
    <n v="3.76288443300689"/>
    <n v="152.16214420708801"/>
    <n v="27.485903338493699"/>
    <n v="67.325137184953107"/>
    <n v="63.058031718198002"/>
    <n v="277284.42147552199"/>
    <n v="754.95924510588304"/>
    <n v="0.211526288697996"/>
    <n v="4.14925532159146E-2"/>
    <n v="0.59026141928222298"/>
    <n v="9.7084523219674396E-2"/>
    <n v="0.75083205684452203"/>
    <n v="0"/>
    <x v="35"/>
    <x v="17"/>
    <n v="58652587252.610001"/>
    <n v="211525"/>
  </r>
  <r>
    <n v="0.97244150939947804"/>
    <n v="28.490808957176"/>
    <n v="29.203557926907799"/>
    <n v="0"/>
    <n v="5.1085909986761298"/>
    <n v="3.7840586844564998"/>
    <n v="152.153236259956"/>
    <n v="27.309499515531702"/>
    <n v="66.553830979719706"/>
    <n v="62.370119921910401"/>
    <n v="172472.37399164101"/>
    <n v="756.02108052385302"/>
    <n v="0.15327782024744999"/>
    <n v="3.6636871802579997E-2"/>
    <n v="0.63933274373301896"/>
    <n v="5.2355777736846798E-2"/>
    <n v="0.76186148647076801"/>
    <n v="0"/>
    <x v="35"/>
    <x v="18"/>
    <n v="1774568256"/>
    <n v="10289"/>
  </r>
  <r>
    <n v="0.99245869710298895"/>
    <n v="8.6834904785754503"/>
    <n v="92.739185513132099"/>
    <n v="0"/>
    <n v="5.1056469996866598"/>
    <n v="3.8237432919565202"/>
    <n v="157.843447225202"/>
    <n v="27.881839182963901"/>
    <n v="54.654535765703997"/>
    <n v="5.5748209077432103"/>
    <n v="5848.2871495327099"/>
    <n v="772.59972084645403"/>
    <n v="2.23957897409773E-2"/>
    <n v="1.44606003139588E-2"/>
    <n v="0.63558274850744101"/>
    <n v="1.4275515368766201E-2"/>
    <n v="0.41714990118721901"/>
    <n v="0"/>
    <x v="36"/>
    <x v="0"/>
    <n v="2503066.9"/>
    <n v="428"/>
  </r>
  <r>
    <n v="0.99174297365291897"/>
    <n v="9.4706114749105392"/>
    <n v="60.167280519611701"/>
    <n v="0"/>
    <n v="5.1673981208508497"/>
    <n v="3.8735115741386799"/>
    <n v="157.79671679160299"/>
    <n v="27.3535927739313"/>
    <n v="50.144852651939502"/>
    <n v="16.470927612490598"/>
    <n v="15867.4142263759"/>
    <n v="767.95070640307699"/>
    <n v="6.1637403284992703E-2"/>
    <n v="2.72315575016201E-2"/>
    <n v="0.73207610071042994"/>
    <n v="2.4696559526872199E-2"/>
    <n v="0.50948738187084597"/>
    <n v="0"/>
    <x v="36"/>
    <x v="1"/>
    <n v="15280319.9"/>
    <n v="963"/>
  </r>
  <r>
    <n v="0.98928988685853203"/>
    <n v="12.121459873312901"/>
    <n v="31.684072617650699"/>
    <n v="0"/>
    <n v="5.1866328193944504"/>
    <n v="3.8849242195478801"/>
    <n v="157.735428252406"/>
    <n v="26.141416434817099"/>
    <n v="47.2355199769707"/>
    <n v="30.9770805966285"/>
    <n v="25877.228602996202"/>
    <n v="763.62556814196796"/>
    <n v="6.0438765412559603E-2"/>
    <n v="2.48912974371958E-2"/>
    <n v="0.77003486725110903"/>
    <n v="2.7557667432845701E-2"/>
    <n v="0.53925127395678496"/>
    <n v="0"/>
    <x v="36"/>
    <x v="2"/>
    <n v="69092200.370000005"/>
    <n v="2670"/>
  </r>
  <r>
    <n v="0.98680565307152901"/>
    <n v="14.7332823716298"/>
    <n v="20.872359478923499"/>
    <n v="0"/>
    <n v="5.1891054748105203"/>
    <n v="3.8712140920125901"/>
    <n v="157.657315722725"/>
    <n v="25.8130749018686"/>
    <n v="49.449350150543196"/>
    <n v="40.462194811417497"/>
    <n v="35714.333080065298"/>
    <n v="759.77335725037301"/>
    <n v="7.2069124137867105E-2"/>
    <n v="3.1075489721026101E-2"/>
    <n v="0.76191026625475999"/>
    <n v="3.4633091205400597E-2"/>
    <n v="0.59958207927975404"/>
    <n v="0"/>
    <x v="36"/>
    <x v="3"/>
    <n v="218571718.44999999"/>
    <n v="6120"/>
  </r>
  <r>
    <n v="0.98478372858997498"/>
    <n v="16.806313263809201"/>
    <n v="16.8714003451562"/>
    <n v="0"/>
    <n v="5.1850758297839201"/>
    <n v="3.8617071389688502"/>
    <n v="157.68608074540899"/>
    <n v="25.9435250056485"/>
    <n v="51.128656092431299"/>
    <n v="44.487595079745397"/>
    <n v="45727.7448602433"/>
    <n v="759.41099041596897"/>
    <n v="7.6357609329123194E-2"/>
    <n v="3.48356190413723E-2"/>
    <n v="0.73571369585229296"/>
    <n v="3.5327516681381101E-2"/>
    <n v="0.64151162550289398"/>
    <n v="0"/>
    <x v="36"/>
    <x v="4"/>
    <n v="556232288.48000002"/>
    <n v="12164"/>
  </r>
  <r>
    <n v="0.98325949455543904"/>
    <n v="18.3384187959185"/>
    <n v="15.675286042542201"/>
    <n v="0"/>
    <n v="5.1824431628039704"/>
    <n v="3.8517268181439999"/>
    <n v="157.657128808756"/>
    <n v="25.7800363804329"/>
    <n v="54.117851275858797"/>
    <n v="48.477940828489501"/>
    <n v="55384.301150264801"/>
    <n v="757.58288325406795"/>
    <n v="8.6328348027845905E-2"/>
    <n v="4.1813762217595203E-2"/>
    <n v="0.73631852230235595"/>
    <n v="3.2670040962013903E-2"/>
    <n v="0.71441682089333702"/>
    <n v="0"/>
    <x v="36"/>
    <x v="5"/>
    <n v="993317441.13"/>
    <n v="17935"/>
  </r>
  <r>
    <n v="0.98213403415474498"/>
    <n v="19.453044009479001"/>
    <n v="15.7423296359601"/>
    <n v="0"/>
    <n v="5.1655018922552998"/>
    <n v="3.83243611368616"/>
    <n v="157.644676479851"/>
    <n v="25.774795786875799"/>
    <n v="56.116986082564203"/>
    <n v="50.956309924078099"/>
    <n v="65212.460701987802"/>
    <n v="757.94485538025299"/>
    <n v="0.10044770498041999"/>
    <n v="3.4307820731316802E-2"/>
    <n v="0.739289572118632"/>
    <n v="3.4722614064198402E-2"/>
    <n v="0.73721066828454396"/>
    <n v="0"/>
    <x v="36"/>
    <x v="6"/>
    <n v="1568098830.04"/>
    <n v="24046"/>
  </r>
  <r>
    <n v="0.98099264412227205"/>
    <n v="20.569186485790102"/>
    <n v="16.987364902092299"/>
    <n v="0"/>
    <n v="5.1525301885587202"/>
    <n v="3.81764092538956"/>
    <n v="157.652541511355"/>
    <n v="26.726164390063001"/>
    <n v="56.8094150207898"/>
    <n v="52.196898988645401"/>
    <n v="75018.5590490092"/>
    <n v="760.12937959478904"/>
    <n v="0.105953488348418"/>
    <n v="3.2002974896279499E-2"/>
    <n v="0.73137934344887201"/>
    <n v="3.2244601007938203E-2"/>
    <n v="0.75911341699401702"/>
    <n v="0"/>
    <x v="36"/>
    <x v="7"/>
    <n v="2055733573.6199999"/>
    <n v="27403"/>
  </r>
  <r>
    <n v="0.980098790493657"/>
    <n v="21.433349404119799"/>
    <n v="19.751753475512398"/>
    <n v="0"/>
    <n v="5.1581841747843598"/>
    <n v="3.80943758119292"/>
    <n v="157.62880871174099"/>
    <n v="27.071696344248501"/>
    <n v="59.264790075226799"/>
    <n v="54.757615784180302"/>
    <n v="84993.209895072898"/>
    <n v="758.99286978969303"/>
    <n v="0.110056887434561"/>
    <n v="3.4054333364116202E-2"/>
    <n v="0.72768989686153096"/>
    <n v="3.4618864254540603E-2"/>
    <n v="0.77095931896262904"/>
    <n v="0"/>
    <x v="36"/>
    <x v="8"/>
    <n v="2421966509.1700001"/>
    <n v="28496"/>
  </r>
  <r>
    <n v="0.979127300131722"/>
    <n v="22.362790473899999"/>
    <n v="20.808678383513602"/>
    <n v="0"/>
    <n v="5.14351826682159"/>
    <n v="3.7970118866456302"/>
    <n v="157.65220197166599"/>
    <n v="27.380245185088899"/>
    <n v="58.811421972392999"/>
    <n v="54.6296050019847"/>
    <n v="95084.436065198301"/>
    <n v="760.63872936743098"/>
    <n v="0.11554728925777601"/>
    <n v="3.3594075146725098E-2"/>
    <n v="0.70966743327745396"/>
    <n v="3.9397753341240002E-2"/>
    <n v="0.74947552853751398"/>
    <n v="0"/>
    <x v="36"/>
    <x v="9"/>
    <n v="3155947517.4400001"/>
    <n v="33191"/>
  </r>
  <r>
    <n v="0.97834986727006101"/>
    <n v="23.099301408432002"/>
    <n v="23.259772115102901"/>
    <n v="0"/>
    <n v="5.1494656736468398"/>
    <n v="3.7942130126414"/>
    <n v="157.63580894771201"/>
    <n v="27.461070043457799"/>
    <n v="61.1138128223932"/>
    <n v="56.874738645748799"/>
    <n v="104921.038678243"/>
    <n v="759.02156553451096"/>
    <n v="0.14318986817125601"/>
    <n v="3.20265220275932E-2"/>
    <n v="0.70941204247693102"/>
    <n v="3.8338201997701903E-2"/>
    <n v="0.7837643016625"/>
    <n v="0"/>
    <x v="36"/>
    <x v="10"/>
    <n v="2906102929.3099999"/>
    <n v="27698"/>
  </r>
  <r>
    <n v="0.97750883144826295"/>
    <n v="23.888851148644001"/>
    <n v="23.114844691135001"/>
    <n v="0"/>
    <n v="5.1433538982834399"/>
    <n v="3.7861477811451199"/>
    <n v="157.64914006083001"/>
    <n v="27.669196201095399"/>
    <n v="61.557314274392802"/>
    <n v="57.348319418662399"/>
    <n v="115046.24809302299"/>
    <n v="758.03795369444401"/>
    <n v="0.15036414252323799"/>
    <n v="3.2920620665549502E-2"/>
    <n v="0.70260651430624999"/>
    <n v="4.1059212721042702E-2"/>
    <n v="0.77932246239622804"/>
    <n v="0"/>
    <x v="36"/>
    <x v="11"/>
    <n v="3091867917.5"/>
    <n v="26875"/>
  </r>
  <r>
    <n v="0.97672175542865103"/>
    <n v="24.621006323806501"/>
    <n v="24.772988002101201"/>
    <n v="0"/>
    <n v="5.1363350267629801"/>
    <n v="3.7795520620829199"/>
    <n v="157.636214968643"/>
    <n v="27.623161340396901"/>
    <n v="61.495123232741904"/>
    <n v="57.415465169914299"/>
    <n v="124857.22745439"/>
    <n v="758.45494680640297"/>
    <n v="0.14518251687640699"/>
    <n v="3.1578649935220998E-2"/>
    <n v="0.69651424124224204"/>
    <n v="4.5124647949376498E-2"/>
    <n v="0.78982112176731201"/>
    <n v="0"/>
    <x v="36"/>
    <x v="12"/>
    <n v="3072861224.8800001"/>
    <n v="24611"/>
  </r>
  <r>
    <n v="0.97607666190536002"/>
    <n v="25.216265916668998"/>
    <n v="25.6484714875847"/>
    <n v="0"/>
    <n v="5.1377020670527802"/>
    <n v="3.7782312506390001"/>
    <n v="157.63090659086501"/>
    <n v="27.646279202653002"/>
    <n v="62.291634505472203"/>
    <n v="58.228417487511997"/>
    <n v="134950.403574119"/>
    <n v="758.11457481841501"/>
    <n v="0.15605883237214499"/>
    <n v="3.3688780817562901E-2"/>
    <n v="0.69151365193720105"/>
    <n v="4.8334749894188102E-2"/>
    <n v="0.79438948073784399"/>
    <n v="0"/>
    <x v="36"/>
    <x v="13"/>
    <n v="3045155856.6500001"/>
    <n v="22565"/>
  </r>
  <r>
    <n v="0.975135537886472"/>
    <n v="26.076961418352099"/>
    <n v="27.051844283387901"/>
    <n v="0"/>
    <n v="5.1269037865184899"/>
    <n v="3.77234158974845"/>
    <n v="157.667087186602"/>
    <n v="27.796871218724899"/>
    <n v="61.114808461172501"/>
    <n v="57.154764368708697"/>
    <n v="144847.53241257599"/>
    <n v="757.80603518358305"/>
    <n v="0.14778314082569599"/>
    <n v="3.4355523204609703E-2"/>
    <n v="0.676567479471327"/>
    <n v="5.2417595567565999E-2"/>
    <n v="0.79630630974710603"/>
    <n v="0"/>
    <x v="36"/>
    <x v="14"/>
    <n v="3243281098.25"/>
    <n v="22391"/>
  </r>
  <r>
    <n v="0.97441254931905397"/>
    <n v="26.731985533885901"/>
    <n v="28.8174749010625"/>
    <n v="0"/>
    <n v="5.14595877723964"/>
    <n v="3.7802381575738799"/>
    <n v="157.614501344155"/>
    <n v="27.942128232931701"/>
    <n v="62.856787692463499"/>
    <n v="59.034775053477397"/>
    <n v="154868.90644049799"/>
    <n v="755.89775362625301"/>
    <n v="0.16429178032474401"/>
    <n v="3.5477109019160603E-2"/>
    <n v="0.68823680625802397"/>
    <n v="5.6419829444126497E-2"/>
    <n v="0.80529840501090399"/>
    <n v="0"/>
    <x v="36"/>
    <x v="15"/>
    <n v="2930739185.48"/>
    <n v="18924"/>
  </r>
  <r>
    <n v="0.973440959665129"/>
    <n v="27.6038628303066"/>
    <n v="26.890060632391201"/>
    <n v="0"/>
    <n v="5.1395341082347903"/>
    <n v="3.7733409110252998"/>
    <n v="157.616805757224"/>
    <n v="27.971787634919298"/>
    <n v="62.971219334579999"/>
    <n v="59.181012173856303"/>
    <n v="164994.031641098"/>
    <n v="757.23232157438895"/>
    <n v="0.162234355210195"/>
    <n v="3.4808181517458403E-2"/>
    <n v="0.67959072268576204"/>
    <n v="6.3609670306792807E-2"/>
    <n v="0.79706001688751504"/>
    <n v="0"/>
    <x v="36"/>
    <x v="16"/>
    <n v="2914619568.9400001"/>
    <n v="17665"/>
  </r>
  <r>
    <n v="0.96398462679655705"/>
    <n v="35.606608954609499"/>
    <n v="37.9664742983908"/>
    <n v="0"/>
    <n v="5.1198145813884803"/>
    <n v="3.75414845171957"/>
    <n v="157.63496903316101"/>
    <n v="28.043070282450199"/>
    <n v="63.387053602773697"/>
    <n v="59.412317349603001"/>
    <n v="277601.01480121101"/>
    <n v="753.13477404815501"/>
    <n v="0.23685688179247399"/>
    <n v="3.8016974621343201E-2"/>
    <n v="0.62786997883351203"/>
    <n v="0.11092718082151"/>
    <n v="0.80066027960644903"/>
    <n v="0"/>
    <x v="36"/>
    <x v="17"/>
    <n v="46453476215.82"/>
    <n v="167339"/>
  </r>
  <r>
    <n v="0.97273868759105597"/>
    <n v="28.2281291732894"/>
    <n v="30.531977638967799"/>
    <n v="0"/>
    <n v="5.13389063345626"/>
    <n v="3.7703296041592398"/>
    <n v="157.634943170144"/>
    <n v="27.705988382386"/>
    <n v="63.055398561858098"/>
    <n v="59.150875972678897"/>
    <n v="172505.89246510499"/>
    <n v="755.89775711394896"/>
    <n v="0.168171880152509"/>
    <n v="3.3008684519929797E-2"/>
    <n v="0.66647007424314897"/>
    <n v="6.0898566499007198E-2"/>
    <n v="0.80634950038933395"/>
    <n v="0"/>
    <x v="36"/>
    <x v="18"/>
    <n v="1458364814.9000001"/>
    <n v="8454"/>
  </r>
  <r>
    <n v="0.99287706715261703"/>
    <n v="8.2204852863307494"/>
    <n v="88.5948720299195"/>
    <n v="0"/>
    <n v="5.36041213669328"/>
    <n v="3.9976861212894099"/>
    <n v="162.613935610662"/>
    <n v="27.399394800908599"/>
    <n v="54.346388392414497"/>
    <n v="7.3838300440454798"/>
    <n v="5804.0393265993198"/>
    <n v="766.37758607775095"/>
    <n v="2.4329822360797702E-2"/>
    <n v="4.3271628870472902E-2"/>
    <n v="0.66445064544854704"/>
    <n v="3.0115900706049501E-2"/>
    <n v="0.44341934789081699"/>
    <n v="0"/>
    <x v="37"/>
    <x v="0"/>
    <n v="1723799.68"/>
    <n v="297"/>
  </r>
  <r>
    <n v="0.99178757755285396"/>
    <n v="9.4217403916887896"/>
    <n v="61.132918361906398"/>
    <n v="0"/>
    <n v="5.3711647758448597"/>
    <n v="3.9909735158169699"/>
    <n v="162.641280561093"/>
    <n v="27.120228789262399"/>
    <n v="49.7081303961724"/>
    <n v="20.2337117784834"/>
    <n v="16036.1364066852"/>
    <n v="763.96772081248798"/>
    <n v="5.88658400457975E-2"/>
    <n v="2.0846830552341399E-2"/>
    <n v="0.75386663053934699"/>
    <n v="2.4774273866357902E-2"/>
    <n v="0.51149459887076698"/>
    <n v="0"/>
    <x v="37"/>
    <x v="1"/>
    <n v="11513945.939999999"/>
    <n v="718"/>
  </r>
  <r>
    <n v="0.98910301854426097"/>
    <n v="12.320447026208001"/>
    <n v="26.764128323854401"/>
    <n v="0"/>
    <n v="5.3542037968137404"/>
    <n v="3.9758337016572698"/>
    <n v="162.60230909852601"/>
    <n v="26.134098680733999"/>
    <n v="48.033390974723503"/>
    <n v="34.071048071281503"/>
    <n v="26034.209676470498"/>
    <n v="758.99649157400302"/>
    <n v="6.6278553724078496E-2"/>
    <n v="1.94226274269798E-2"/>
    <n v="0.76965095511413495"/>
    <n v="2.8506334602797601E-2"/>
    <n v="0.57411450934938302"/>
    <n v="0"/>
    <x v="37"/>
    <x v="2"/>
    <n v="53109787.740000002"/>
    <n v="2040"/>
  </r>
  <r>
    <n v="0.98673173054176"/>
    <n v="14.8098997093643"/>
    <n v="19.442828466972099"/>
    <n v="0"/>
    <n v="5.3579822497271499"/>
    <n v="3.9606982873841301"/>
    <n v="162.64433142283099"/>
    <n v="25.902883194850698"/>
    <n v="51.4352206137116"/>
    <n v="43.5071494266627"/>
    <n v="35802.376830300404"/>
    <n v="756.50766083645794"/>
    <n v="8.1438092757099401E-2"/>
    <n v="3.4634217329193799E-2"/>
    <n v="0.75836177095954904"/>
    <n v="2.98591579746912E-2"/>
    <n v="0.60524834456643195"/>
    <n v="0"/>
    <x v="37"/>
    <x v="3"/>
    <n v="169202032.90000001"/>
    <n v="4726"/>
  </r>
  <r>
    <n v="0.984722117213223"/>
    <n v="16.868750293074601"/>
    <n v="15.6020290880813"/>
    <n v="0"/>
    <n v="5.3386348489595203"/>
    <n v="3.9396748837990399"/>
    <n v="162.669817866557"/>
    <n v="26.240820771242198"/>
    <n v="52.717921712791103"/>
    <n v="47.125450046747098"/>
    <n v="45674.077200133201"/>
    <n v="755.95524467688494"/>
    <n v="7.4796654669750898E-2"/>
    <n v="4.1383856676514202E-2"/>
    <n v="0.73847534888815802"/>
    <n v="3.7031173733523E-2"/>
    <n v="0.64447205744095004"/>
    <n v="0"/>
    <x v="37"/>
    <x v="4"/>
    <n v="411249391.11000001"/>
    <n v="9004"/>
  </r>
  <r>
    <n v="0.98307149417609696"/>
    <n v="18.525587378637201"/>
    <n v="16.9575225045865"/>
    <n v="0"/>
    <n v="5.3212476117405103"/>
    <n v="3.9101586414951299"/>
    <n v="162.70392030747999"/>
    <n v="26.193322959661199"/>
    <n v="57.124981625796401"/>
    <n v="52.078669757061299"/>
    <n v="55350.119956023897"/>
    <n v="752.470355089284"/>
    <n v="8.7907955913855404E-2"/>
    <n v="4.5276214107827797E-2"/>
    <n v="0.732356246406897"/>
    <n v="3.0913327381403299E-2"/>
    <n v="0.68303005719590204"/>
    <n v="0"/>
    <x v="37"/>
    <x v="5"/>
    <n v="730012732.10000002"/>
    <n v="13189"/>
  </r>
  <r>
    <n v="0.98181372611665196"/>
    <n v="19.767709119479701"/>
    <n v="15.722721060727199"/>
    <n v="0"/>
    <n v="5.3024760020907298"/>
    <n v="3.8851787712567898"/>
    <n v="162.73193929398599"/>
    <n v="26.375827981935199"/>
    <n v="59.607407685481"/>
    <n v="54.997180673232897"/>
    <n v="65159.803994907903"/>
    <n v="752.02467270021805"/>
    <n v="9.3812757866403501E-2"/>
    <n v="3.9023365541446503E-2"/>
    <n v="0.73261404909543903"/>
    <n v="3.2701972095850199E-2"/>
    <n v="0.70573441809631099"/>
    <n v="0"/>
    <x v="37"/>
    <x v="6"/>
    <n v="1100483929.6700001"/>
    <n v="16889"/>
  </r>
  <r>
    <n v="0.98062415549158499"/>
    <n v="20.926485289315401"/>
    <n v="17.1548666626916"/>
    <n v="0"/>
    <n v="5.28269331279893"/>
    <n v="3.8623079862204301"/>
    <n v="162.75531966605499"/>
    <n v="27.430479505156999"/>
    <n v="60.914998085741402"/>
    <n v="56.6717309571874"/>
    <n v="75033.473514529702"/>
    <n v="753.20295806409899"/>
    <n v="0.11217781389162899"/>
    <n v="3.3770376915300902E-2"/>
    <n v="0.72313440326682998"/>
    <n v="3.8093770790349001E-2"/>
    <n v="0.73097068877767102"/>
    <n v="0"/>
    <x v="37"/>
    <x v="7"/>
    <n v="1396898176.4200001"/>
    <n v="18617"/>
  </r>
  <r>
    <n v="0.97958689399649301"/>
    <n v="21.924352935890202"/>
    <n v="18.0039660638624"/>
    <n v="0"/>
    <n v="5.2744670652665304"/>
    <n v="3.8395185072172699"/>
    <n v="162.802730135947"/>
    <n v="27.768327015827001"/>
    <n v="63.7256793284892"/>
    <n v="59.489763924578"/>
    <n v="85045.339665546693"/>
    <n v="752.40953761832304"/>
    <n v="0.111264856797687"/>
    <n v="3.9889834635000398E-2"/>
    <n v="0.71786809962111897"/>
    <n v="3.47589209002757E-2"/>
    <n v="0.73372980023225698"/>
    <n v="0"/>
    <x v="37"/>
    <x v="8"/>
    <n v="1670630652.3900001"/>
    <n v="19644"/>
  </r>
  <r>
    <n v="0.97867605316800299"/>
    <n v="22.791068465817801"/>
    <n v="21.586451120171301"/>
    <n v="0"/>
    <n v="5.2687405322221803"/>
    <n v="3.8339786374759401"/>
    <n v="162.787057747788"/>
    <n v="28.136549077283799"/>
    <n v="63.706141111614201"/>
    <n v="59.791508338056303"/>
    <n v="95039.071021284093"/>
    <n v="754.17399903503497"/>
    <n v="0.118221332691281"/>
    <n v="3.8599451329458599E-2"/>
    <n v="0.69899197428179005"/>
    <n v="3.8781038718983203E-2"/>
    <n v="0.72961367084627005"/>
    <n v="0"/>
    <x v="37"/>
    <x v="9"/>
    <n v="2147787966.0100002"/>
    <n v="22599"/>
  </r>
  <r>
    <n v="0.97776323831531597"/>
    <n v="23.650805952868399"/>
    <n v="21.793142137789498"/>
    <n v="0"/>
    <n v="5.2566393597242103"/>
    <n v="3.8157813606667599"/>
    <n v="162.79859436994701"/>
    <n v="28.221726305158199"/>
    <n v="66.209870641595003"/>
    <n v="62.080548158526"/>
    <n v="104943.021747119"/>
    <n v="752.18803459948299"/>
    <n v="0.13455630077658301"/>
    <n v="3.4905885820327998E-2"/>
    <n v="0.69194749772648301"/>
    <n v="3.5294740749952203E-2"/>
    <n v="0.74223436158919898"/>
    <n v="0"/>
    <x v="37"/>
    <x v="10"/>
    <n v="2021832256.98"/>
    <n v="19266"/>
  </r>
  <r>
    <n v="0.97685431844872905"/>
    <n v="24.498147225223398"/>
    <n v="23.7040352956395"/>
    <n v="0"/>
    <n v="5.2522288266245196"/>
    <n v="3.8079064061679202"/>
    <n v="162.79838345675"/>
    <n v="28.379414775760399"/>
    <n v="66.7457943380914"/>
    <n v="62.729932473550903"/>
    <n v="115010.63880561601"/>
    <n v="751.64067356004"/>
    <n v="0.146028065357591"/>
    <n v="3.36201534470605E-2"/>
    <n v="0.67983782538640702"/>
    <n v="3.9542523644981599E-2"/>
    <n v="0.73367994426427696"/>
    <n v="0"/>
    <x v="37"/>
    <x v="11"/>
    <n v="2137702743.48"/>
    <n v="18587"/>
  </r>
  <r>
    <n v="0.97618311255311596"/>
    <n v="25.118336472199399"/>
    <n v="25.256328807219699"/>
    <n v="0"/>
    <n v="5.2431253871883401"/>
    <n v="3.8003206626872701"/>
    <n v="162.786727382393"/>
    <n v="28.385716158176798"/>
    <n v="66.930455600202805"/>
    <n v="62.902694440694503"/>
    <n v="124877.631718866"/>
    <n v="752.66319222253196"/>
    <n v="0.15406202406324501"/>
    <n v="3.2068285632962802E-2"/>
    <n v="0.68234355987643402"/>
    <n v="4.0635513580518201E-2"/>
    <n v="0.75240055920870896"/>
    <n v="0"/>
    <x v="37"/>
    <x v="12"/>
    <n v="2172995669.54"/>
    <n v="17401"/>
  </r>
  <r>
    <n v="0.97557422710014496"/>
    <n v="25.6768988759002"/>
    <n v="26.302911306001199"/>
    <n v="0"/>
    <n v="5.2385432440060598"/>
    <n v="3.7952022899598501"/>
    <n v="162.81146486717799"/>
    <n v="28.367185451258699"/>
    <n v="67.409872059498696"/>
    <n v="63.354656804088798"/>
    <n v="134951.05409924299"/>
    <n v="752.78748113275196"/>
    <n v="0.15545920695440299"/>
    <n v="3.20335328280602E-2"/>
    <n v="0.683605854847538"/>
    <n v="4.7503924215627998E-2"/>
    <n v="0.760170160919178"/>
    <n v="0"/>
    <x v="37"/>
    <x v="13"/>
    <n v="2104966541.8399999"/>
    <n v="15598"/>
  </r>
  <r>
    <n v="0.97465644031440302"/>
    <n v="26.5116185569455"/>
    <n v="29.039030869454201"/>
    <n v="0"/>
    <n v="5.23866786871268"/>
    <n v="3.7993158908720601"/>
    <n v="162.81216262186899"/>
    <n v="28.599209163200399"/>
    <n v="66.434903853337602"/>
    <n v="62.664606479402998"/>
    <n v="144870.819227411"/>
    <n v="752.47304039551796"/>
    <n v="0.148385624437323"/>
    <n v="3.1526595476388697E-2"/>
    <n v="0.67459391303879401"/>
    <n v="4.5413041527516101E-2"/>
    <n v="0.76303371470741099"/>
    <n v="0"/>
    <x v="37"/>
    <x v="14"/>
    <n v="2190157045.0799999"/>
    <n v="15118"/>
  </r>
  <r>
    <n v="0.97387959296447202"/>
    <n v="27.211430102328901"/>
    <n v="26.729376814243"/>
    <n v="0"/>
    <n v="5.23854521958134"/>
    <n v="3.7943099394617201"/>
    <n v="162.801288732719"/>
    <n v="28.7336047120526"/>
    <n v="67.538339637024905"/>
    <n v="63.648498031438898"/>
    <n v="154935.57473782299"/>
    <n v="750.93808326162696"/>
    <n v="0.16883150818137199"/>
    <n v="3.3455590540939002E-2"/>
    <n v="0.67236471135999298"/>
    <n v="5.1227232714798197E-2"/>
    <n v="0.77384596530356997"/>
    <n v="0"/>
    <x v="37"/>
    <x v="15"/>
    <n v="2077221250.51"/>
    <n v="13407"/>
  </r>
  <r>
    <n v="0.97289050868931004"/>
    <n v="28.093591382279801"/>
    <n v="29.678055854484899"/>
    <n v="0"/>
    <n v="5.2359606705938599"/>
    <n v="3.7894396796070602"/>
    <n v="162.803826683594"/>
    <n v="28.824799822527101"/>
    <n v="68.251936774658105"/>
    <n v="64.326217082064403"/>
    <n v="165002.96839593101"/>
    <n v="752.19569907338098"/>
    <n v="0.16405764936144801"/>
    <n v="3.3435509723984298E-2"/>
    <n v="0.66332097558232594"/>
    <n v="6.0502634277867999E-2"/>
    <n v="0.75410338925684905"/>
    <n v="0"/>
    <x v="37"/>
    <x v="16"/>
    <n v="2060392066.3599999"/>
    <n v="12487"/>
  </r>
  <r>
    <n v="0.96354839765278499"/>
    <n v="35.955416990278302"/>
    <n v="37.449435435197202"/>
    <n v="0"/>
    <n v="5.2150631868722197"/>
    <n v="3.7653605674284401"/>
    <n v="162.845815977044"/>
    <n v="28.933588836856501"/>
    <n v="68.576161521748105"/>
    <n v="64.662898766198296"/>
    <n v="275869.888482882"/>
    <n v="749.117922554546"/>
    <n v="0.22262723444992899"/>
    <n v="3.7963524507153602E-2"/>
    <n v="0.62582222385228603"/>
    <n v="0.106914312722193"/>
    <n v="0.76684233792302503"/>
    <n v="0"/>
    <x v="37"/>
    <x v="17"/>
    <n v="31636207071.439999"/>
    <n v="114678"/>
  </r>
  <r>
    <n v="0.97220453743812696"/>
    <n v="28.699639775910502"/>
    <n v="33.038415770394103"/>
    <n v="0"/>
    <n v="5.2359107353469696"/>
    <n v="3.7873363644359701"/>
    <n v="162.83635990181301"/>
    <n v="28.6473969827085"/>
    <n v="67.829218051782604"/>
    <n v="64.0735189971994"/>
    <n v="172518.056581615"/>
    <n v="749.99295362559201"/>
    <n v="0.17570921455583599"/>
    <n v="2.7738195412998899E-2"/>
    <n v="0.67474191225512803"/>
    <n v="6.11609117703329E-2"/>
    <n v="0.76534913795913095"/>
    <n v="0"/>
    <x v="37"/>
    <x v="18"/>
    <n v="1020961858.85"/>
    <n v="5918"/>
  </r>
  <r>
    <n v="0.99272161933120595"/>
    <n v="8.3927682078643606"/>
    <n v="87.049314469250206"/>
    <n v="0"/>
    <n v="5.3408009001994099"/>
    <n v="3.9536850245688102"/>
    <n v="166.97194762442101"/>
    <n v="27.404089163327001"/>
    <n v="49.341367357919403"/>
    <n v="5.7494256359430196"/>
    <n v="5969.9279581151804"/>
    <n v="767.72197298389699"/>
    <n v="5.3137784187876902E-2"/>
    <n v="3.3233073997472697E-2"/>
    <n v="0.74366663408919298"/>
    <n v="2.66452828181847E-2"/>
    <n v="0.54412873022295405"/>
    <n v="0"/>
    <x v="38"/>
    <x v="0"/>
    <n v="1140256.24"/>
    <n v="191"/>
  </r>
  <r>
    <n v="0.99177065669723397"/>
    <n v="9.4402828845955504"/>
    <n v="56.223761710353102"/>
    <n v="0"/>
    <n v="5.3771729545165403"/>
    <n v="3.9701722132017401"/>
    <n v="167.09645171846799"/>
    <n v="26.4192733302981"/>
    <n v="44.694363047891898"/>
    <n v="19.9725749813135"/>
    <n v="15991.965314814801"/>
    <n v="761.85760636949999"/>
    <n v="8.9708725919028495E-2"/>
    <n v="2.22333882718398E-2"/>
    <n v="0.80308060763017797"/>
    <n v="2.9025216733634101E-2"/>
    <n v="0.59230421852801496"/>
    <n v="0"/>
    <x v="38"/>
    <x v="1"/>
    <n v="8635661.2699999996"/>
    <n v="540"/>
  </r>
  <r>
    <n v="0.98886613822318403"/>
    <n v="12.5720959388078"/>
    <n v="24.648157435346999"/>
    <n v="0"/>
    <n v="5.3777261670185696"/>
    <n v="3.9553104696628898"/>
    <n v="167.19197977566699"/>
    <n v="26.017062898109799"/>
    <n v="47.033502797553503"/>
    <n v="35.099176971906097"/>
    <n v="26052.098936567101"/>
    <n v="753.94758654902296"/>
    <n v="7.5086783819549002E-2"/>
    <n v="1.6724105352299502E-2"/>
    <n v="0.79203132354065098"/>
    <n v="2.93968968217336E-2"/>
    <n v="0.60562492340068497"/>
    <n v="0"/>
    <x v="38"/>
    <x v="2"/>
    <n v="41891775.090000004"/>
    <n v="1608"/>
  </r>
  <r>
    <n v="0.98653179886855802"/>
    <n v="15.016803742752399"/>
    <n v="14.5561671413678"/>
    <n v="0"/>
    <n v="5.3562551505280096"/>
    <n v="3.9205310312425099"/>
    <n v="167.24848674469399"/>
    <n v="25.933472720145499"/>
    <n v="52.006101348350001"/>
    <n v="44.2607341704094"/>
    <n v="35807.889332111001"/>
    <n v="754.103491586617"/>
    <n v="7.7430226768726199E-2"/>
    <n v="3.16533706402915E-2"/>
    <n v="0.78094672513210905"/>
    <n v="3.02657088326054E-2"/>
    <n v="0.61800565047173905"/>
    <n v="0"/>
    <x v="38"/>
    <x v="3"/>
    <n v="136714521.47"/>
    <n v="3818"/>
  </r>
  <r>
    <n v="0.98457973139148802"/>
    <n v="17.012879917756599"/>
    <n v="15.308663252953099"/>
    <n v="0"/>
    <n v="5.3487764324879699"/>
    <n v="3.907201436212"/>
    <n v="167.34163219773899"/>
    <n v="26.308987647760699"/>
    <n v="53.982994187587202"/>
    <n v="48.207437490224002"/>
    <n v="45681.213232157497"/>
    <n v="751.26010723923105"/>
    <n v="7.4782297305045597E-2"/>
    <n v="4.17394599780413E-2"/>
    <n v="0.74857442263695595"/>
    <n v="3.3757972486882198E-2"/>
    <n v="0.66558806704891904"/>
    <n v="0"/>
    <x v="38"/>
    <x v="4"/>
    <n v="334112393.57999998"/>
    <n v="7314"/>
  </r>
  <r>
    <n v="0.98308858502388896"/>
    <n v="18.508588412279199"/>
    <n v="12.4474618665415"/>
    <n v="0"/>
    <n v="5.32609531611973"/>
    <n v="3.8782907788879202"/>
    <n v="167.39376416312899"/>
    <n v="26.2685131160944"/>
    <n v="57.735421374591503"/>
    <n v="52.437987169711299"/>
    <n v="55306.5205928266"/>
    <n v="750.02693852487698"/>
    <n v="9.6426307015789497E-2"/>
    <n v="4.5519852000329701E-2"/>
    <n v="0.75303844657894103"/>
    <n v="3.0465854710520698E-2"/>
    <n v="0.71015187637288701"/>
    <n v="0"/>
    <x v="38"/>
    <x v="5"/>
    <n v="595208774.62"/>
    <n v="10762"/>
  </r>
  <r>
    <n v="0.98188627914035798"/>
    <n v="19.696533152598199"/>
    <n v="16.059332854280498"/>
    <n v="0"/>
    <n v="5.3116100019895303"/>
    <n v="3.8548048434621598"/>
    <n v="167.46759250771899"/>
    <n v="26.3376270341289"/>
    <n v="60.109527827250801"/>
    <n v="55.190221269314897"/>
    <n v="65132.228911437698"/>
    <n v="749.96568801914702"/>
    <n v="0.10147873654534301"/>
    <n v="3.8279292276279797E-2"/>
    <n v="0.74851757980504297"/>
    <n v="3.3232175516436702E-2"/>
    <n v="0.72333934767575203"/>
    <n v="0"/>
    <x v="38"/>
    <x v="6"/>
    <n v="908268932.16999996"/>
    <n v="13945"/>
  </r>
  <r>
    <n v="0.98072969807481802"/>
    <n v="20.824298554991898"/>
    <n v="16.663852212206201"/>
    <n v="0"/>
    <n v="5.2930807871191599"/>
    <n v="3.8344016272791599"/>
    <n v="167.452268569794"/>
    <n v="27.501566179537701"/>
    <n v="61.154764087971003"/>
    <n v="56.619737363043001"/>
    <n v="74992.076421422695"/>
    <n v="751.37238766847497"/>
    <n v="0.108909423838932"/>
    <n v="3.2321669764182E-2"/>
    <n v="0.73411946995462796"/>
    <n v="3.3501653258226197E-2"/>
    <n v="0.74916026213565601"/>
    <n v="0"/>
    <x v="38"/>
    <x v="7"/>
    <n v="1108982826.1199999"/>
    <n v="14788"/>
  </r>
  <r>
    <n v="0.97971100800009303"/>
    <n v="21.805563637126198"/>
    <n v="18.767340643891401"/>
    <n v="0"/>
    <n v="5.2857129240928504"/>
    <n v="3.8128025653645299"/>
    <n v="167.50766397061699"/>
    <n v="27.983719621047602"/>
    <n v="64.020599574034307"/>
    <n v="59.452728838349699"/>
    <n v="85009.263632689093"/>
    <n v="750.45262448138203"/>
    <n v="0.11553341145087299"/>
    <n v="3.6522270022279001E-2"/>
    <n v="0.71483506578933498"/>
    <n v="3.4823814271884003E-2"/>
    <n v="0.74712032215276303"/>
    <n v="0"/>
    <x v="38"/>
    <x v="8"/>
    <n v="1346036680.3599999"/>
    <n v="15834"/>
  </r>
  <r>
    <n v="0.97890375879946301"/>
    <n v="22.5752247412812"/>
    <n v="19.4321278539351"/>
    <n v="0"/>
    <n v="5.2768178002467296"/>
    <n v="3.8072090243882499"/>
    <n v="167.48608993579001"/>
    <n v="28.312651120324201"/>
    <n v="63.840812555625803"/>
    <n v="59.621571299997299"/>
    <n v="95054.733899565996"/>
    <n v="752.67403451452003"/>
    <n v="0.119790028780869"/>
    <n v="3.3921823520537998E-2"/>
    <n v="0.71200864374488504"/>
    <n v="4.0319798868749798E-2"/>
    <n v="0.74254795856465095"/>
    <n v="0"/>
    <x v="38"/>
    <x v="9"/>
    <n v="1686556143.5799999"/>
    <n v="17743"/>
  </r>
  <r>
    <n v="0.97801981136356597"/>
    <n v="23.4100428557506"/>
    <n v="22.560749533402401"/>
    <n v="0"/>
    <n v="5.2724726968882303"/>
    <n v="3.7946486619975301"/>
    <n v="167.49651329660901"/>
    <n v="28.282076740780401"/>
    <n v="65.956277754058604"/>
    <n v="61.462881825228301"/>
    <n v="104936.693891017"/>
    <n v="750.56799168628402"/>
    <n v="0.14365754529112801"/>
    <n v="3.2048007445827503E-2"/>
    <n v="0.70363023275201597"/>
    <n v="3.8406082199111097E-2"/>
    <n v="0.76378769636849098"/>
    <n v="0"/>
    <x v="38"/>
    <x v="10"/>
    <n v="1588741545.51"/>
    <n v="15140"/>
  </r>
  <r>
    <n v="0.97713833678870698"/>
    <n v="24.234301511655801"/>
    <n v="23.103608600190199"/>
    <n v="0"/>
    <n v="5.2714685214976003"/>
    <n v="3.7880454238979602"/>
    <n v="167.522699253567"/>
    <n v="28.449180361481499"/>
    <n v="66.4613257689699"/>
    <n v="62.225288461587603"/>
    <n v="115034.18989963501"/>
    <n v="749.69763709072799"/>
    <n v="0.14604521487071301"/>
    <n v="2.85381931734499E-2"/>
    <n v="0.69606090553311395"/>
    <n v="4.1508477901567503E-2"/>
    <n v="0.75651473283713899"/>
    <n v="0"/>
    <x v="38"/>
    <x v="11"/>
    <n v="1673402360.47"/>
    <n v="14547"/>
  </r>
  <r>
    <n v="0.97646142531831304"/>
    <n v="24.861746498743202"/>
    <n v="21.3149330804839"/>
    <n v="0"/>
    <n v="5.2660701601600604"/>
    <n v="3.7845605588031801"/>
    <n v="167.48885336815999"/>
    <n v="28.3972403710472"/>
    <n v="66.544943300845901"/>
    <n v="62.322377880887203"/>
    <n v="124881.859808219"/>
    <n v="751.09181188527396"/>
    <n v="0.15805279260098101"/>
    <n v="3.0486367935202301E-2"/>
    <n v="0.69153319332065"/>
    <n v="3.9700382244488797E-2"/>
    <n v="0.77393032824959396"/>
    <n v="0"/>
    <x v="38"/>
    <x v="12"/>
    <n v="1686529516.71"/>
    <n v="13505"/>
  </r>
  <r>
    <n v="0.97593741410746004"/>
    <n v="25.344189926958599"/>
    <n v="25.086052497712998"/>
    <n v="0"/>
    <n v="5.26461987050702"/>
    <n v="3.7829992926160698"/>
    <n v="167.50475672808099"/>
    <n v="28.5291478397003"/>
    <n v="66.918891194959002"/>
    <n v="62.691750838013199"/>
    <n v="134907.77013256299"/>
    <n v="750.49022505648702"/>
    <n v="0.15968299821287499"/>
    <n v="2.7612047631230801E-2"/>
    <n v="0.69323682740063897"/>
    <n v="4.6068973004240003E-2"/>
    <n v="0.78865538140040403"/>
    <n v="0"/>
    <x v="38"/>
    <x v="13"/>
    <n v="1658825941.55"/>
    <n v="12296"/>
  </r>
  <r>
    <n v="0.97500604415898295"/>
    <n v="26.194675286356901"/>
    <n v="27.8217257879882"/>
    <n v="0"/>
    <n v="5.2593218674862499"/>
    <n v="3.77971466473412"/>
    <n v="167.49261011270801"/>
    <n v="28.634168806265301"/>
    <n v="66.126463933998295"/>
    <n v="62.064819425662101"/>
    <n v="144884.25554332"/>
    <n v="749.32665960219902"/>
    <n v="0.15156104813101501"/>
    <n v="2.8247226693041399E-2"/>
    <n v="0.68849507587241898"/>
    <n v="5.5213663510264299E-2"/>
    <n v="0.789315249591658"/>
    <n v="0"/>
    <x v="38"/>
    <x v="14"/>
    <n v="1697319053.6900001"/>
    <n v="11715"/>
  </r>
  <r>
    <n v="0.97425762972636898"/>
    <n v="26.871647908087599"/>
    <n v="27.8617862576289"/>
    <n v="0"/>
    <n v="5.2646805442083897"/>
    <n v="3.7790967967643798"/>
    <n v="167.50962308189"/>
    <n v="28.797535596926899"/>
    <n v="67.140108030255206"/>
    <n v="63.1601368377817"/>
    <n v="154931.25995379401"/>
    <n v="749.361429944463"/>
    <n v="0.17621352450205"/>
    <n v="3.1545841717137701E-2"/>
    <n v="0.68444580413776002"/>
    <n v="5.3742751670213001E-2"/>
    <n v="0.803464280540656"/>
    <n v="0"/>
    <x v="38"/>
    <x v="15"/>
    <n v="1575960776.25"/>
    <n v="10172"/>
  </r>
  <r>
    <n v="0.97333136948448196"/>
    <n v="27.701606755021999"/>
    <n v="26.104836200898699"/>
    <n v="0"/>
    <n v="5.2618514112250496"/>
    <n v="3.7745020827228499"/>
    <n v="167.48612909703201"/>
    <n v="28.882769128668599"/>
    <n v="67.498476537928198"/>
    <n v="63.507153714687803"/>
    <n v="164932.320157232"/>
    <n v="750.01170878366599"/>
    <n v="0.171928368909638"/>
    <n v="2.9935138124586601E-2"/>
    <n v="0.67496491744228104"/>
    <n v="6.4015600233362197E-2"/>
    <n v="0.78488660723631298"/>
    <n v="0"/>
    <x v="38"/>
    <x v="16"/>
    <n v="1573454334.3"/>
    <n v="9540"/>
  </r>
  <r>
    <n v="0.96416201512494504"/>
    <n v="35.464272197755001"/>
    <n v="35.137642805959999"/>
    <n v="0"/>
    <n v="5.2396799433520096"/>
    <n v="3.7510916702268"/>
    <n v="167.49306500869901"/>
    <n v="28.990193244098101"/>
    <n v="67.989077082903805"/>
    <n v="63.821400484836502"/>
    <n v="277076.34276879602"/>
    <n v="746.56214072439104"/>
    <n v="0.23611445891473701"/>
    <n v="3.6536290120785998E-2"/>
    <n v="0.64164092070809997"/>
    <n v="0.109167463953828"/>
    <n v="0.79294243969573897"/>
    <n v="0"/>
    <x v="38"/>
    <x v="17"/>
    <n v="23942998007.68"/>
    <n v="86413"/>
  </r>
  <r>
    <n v="0.97261014435844495"/>
    <n v="28.341858618308599"/>
    <n v="27.670433534974801"/>
    <n v="0"/>
    <n v="5.2595087742790403"/>
    <n v="3.7735014663588702"/>
    <n v="167.51346121834899"/>
    <n v="28.780341700426"/>
    <n v="67.617201196549303"/>
    <n v="63.604106230007403"/>
    <n v="172488.1855284"/>
    <n v="748.85380802573502"/>
    <n v="0.16745516014065501"/>
    <n v="3.2862405509012302E-2"/>
    <n v="0.68608295443824197"/>
    <n v="5.9983651275897998E-2"/>
    <n v="0.78651680627776499"/>
    <n v="0"/>
    <x v="38"/>
    <x v="18"/>
    <n v="762225291.85000002"/>
    <n v="4419"/>
  </r>
  <r>
    <n v="0.99224694749008302"/>
    <n v="8.9170142859524795"/>
    <n v="91.420372858403695"/>
    <n v="0"/>
    <n v="5.33403539406308"/>
    <n v="3.88545707373616"/>
    <n v="171.71331188121201"/>
    <n v="28.9458351868692"/>
    <n v="50.679568900632397"/>
    <n v="6.0723871207019098"/>
    <n v="5530.9608176100601"/>
    <n v="771.27660444247897"/>
    <n v="4.4622576693118803E-2"/>
    <n v="3.6058174841208601E-2"/>
    <n v="0.68348114866300302"/>
    <n v="4.0111822440076203E-2"/>
    <n v="0.49742768202374299"/>
    <n v="0"/>
    <x v="39"/>
    <x v="0"/>
    <n v="1758845.54"/>
    <n v="318"/>
  </r>
  <r>
    <n v="0.99149746219796397"/>
    <n v="9.7391782165870904"/>
    <n v="57.463017096096998"/>
    <n v="0"/>
    <n v="5.3758884818711801"/>
    <n v="3.9062130626039102"/>
    <n v="171.864993522915"/>
    <n v="28.094757400146801"/>
    <n v="46.742469814157303"/>
    <n v="17.450945993536699"/>
    <n v="15962.175953420599"/>
    <n v="770.68448004239804"/>
    <n v="8.7729606473049004E-2"/>
    <n v="1.4931910251064599E-2"/>
    <n v="0.787896405808998"/>
    <n v="2.6187946409206402E-2"/>
    <n v="0.56574556189185099"/>
    <n v="0"/>
    <x v="39"/>
    <x v="1"/>
    <n v="10966014.880000001"/>
    <n v="687"/>
  </r>
  <r>
    <n v="0.98881141412898699"/>
    <n v="12.6301376498482"/>
    <n v="32.4839255110087"/>
    <n v="0"/>
    <n v="5.37606860294279"/>
    <n v="3.90880290352426"/>
    <n v="172.00308323572401"/>
    <n v="26.896693961247099"/>
    <n v="45.833189768828497"/>
    <n v="31.760767812791499"/>
    <n v="25888.555369433099"/>
    <n v="766.60084687105496"/>
    <n v="6.8921534323873004E-2"/>
    <n v="1.66121951444787E-2"/>
    <n v="0.78634373351125497"/>
    <n v="3.1308408367959797E-2"/>
    <n v="0.58521924744308196"/>
    <n v="0"/>
    <x v="39"/>
    <x v="2"/>
    <n v="51155785.409999996"/>
    <n v="1976"/>
  </r>
  <r>
    <n v="0.98648723350306"/>
    <n v="15.0628604400037"/>
    <n v="21.259854533442098"/>
    <n v="0"/>
    <n v="5.37704687256754"/>
    <n v="3.8976554085644799"/>
    <n v="172.087218928098"/>
    <n v="26.5759558767569"/>
    <n v="49.135536207191997"/>
    <n v="41.009477858060798"/>
    <n v="35774.421689397197"/>
    <n v="761.036034294459"/>
    <n v="8.41468017556187E-2"/>
    <n v="2.3472441621213199E-2"/>
    <n v="0.77879833822828304"/>
    <n v="3.2708370404839301E-2"/>
    <n v="0.64285120564792297"/>
    <n v="0"/>
    <x v="39"/>
    <x v="3"/>
    <n v="162630521"/>
    <n v="4546"/>
  </r>
  <r>
    <n v="0.98448994339590301"/>
    <n v="17.1036497448492"/>
    <n v="18.1608111927289"/>
    <n v="0"/>
    <n v="5.3604237732774402"/>
    <n v="3.8770725711582701"/>
    <n v="172.043499423181"/>
    <n v="26.8839123443042"/>
    <n v="51.0077841336795"/>
    <n v="44.9309577134878"/>
    <n v="45646.208769947501"/>
    <n v="760.73801543263698"/>
    <n v="8.1484047634350396E-2"/>
    <n v="3.0282479822281799E-2"/>
    <n v="0.75413979979472801"/>
    <n v="3.34745848928572E-2"/>
    <n v="0.67624852793111301"/>
    <n v="0"/>
    <x v="39"/>
    <x v="4"/>
    <n v="391872702.29000002"/>
    <n v="8585"/>
  </r>
  <r>
    <n v="0.98294359505884199"/>
    <n v="18.6526957600698"/>
    <n v="15.6537173678011"/>
    <n v="0"/>
    <n v="5.3471737150363401"/>
    <n v="3.8570300851912598"/>
    <n v="172.053391810226"/>
    <n v="26.699739953982501"/>
    <n v="54.3836560076859"/>
    <n v="49.206902564922402"/>
    <n v="55283.569857450602"/>
    <n v="757.84251040949096"/>
    <n v="9.5265760492518906E-2"/>
    <n v="3.8740448423981999E-2"/>
    <n v="0.74576630536502198"/>
    <n v="3.08152628680953E-2"/>
    <n v="0.71464169475791905"/>
    <n v="0"/>
    <x v="39"/>
    <x v="5"/>
    <n v="667051553.89999998"/>
    <n v="12066"/>
  </r>
  <r>
    <n v="0.98181786299454699"/>
    <n v="19.763652314727199"/>
    <n v="15.6461622387588"/>
    <n v="0"/>
    <n v="5.3311702100475502"/>
    <n v="3.8342711907742002"/>
    <n v="172.04585024347799"/>
    <n v="26.590247134693101"/>
    <n v="56.993729078515599"/>
    <n v="52.273339223874899"/>
    <n v="65191.263311890798"/>
    <n v="757.28112344713702"/>
    <n v="0.100940465450192"/>
    <n v="3.0144323652834301E-2"/>
    <n v="0.75478109792391201"/>
    <n v="3.6136358153324499E-2"/>
    <n v="0.744987991803852"/>
    <n v="0"/>
    <x v="39"/>
    <x v="6"/>
    <n v="1003293542.37"/>
    <n v="15390"/>
  </r>
  <r>
    <n v="0.98057258262376601"/>
    <n v="20.976374354466099"/>
    <n v="18.548414507229701"/>
    <n v="0"/>
    <n v="5.3110658271546498"/>
    <n v="3.81337867506253"/>
    <n v="171.985911596964"/>
    <n v="27.863920093610901"/>
    <n v="57.869474073337102"/>
    <n v="53.585295623440402"/>
    <n v="74933.344901863005"/>
    <n v="757.43526393126501"/>
    <n v="0.11244613620138399"/>
    <n v="2.63898355079621E-2"/>
    <n v="0.73226925900565598"/>
    <n v="3.7477877543505199E-2"/>
    <n v="0.76178489767530999"/>
    <n v="0"/>
    <x v="39"/>
    <x v="7"/>
    <n v="1202605252.3299999"/>
    <n v="16049"/>
  </r>
  <r>
    <n v="0.97959762834546105"/>
    <n v="21.914085647592199"/>
    <n v="19.7897088380467"/>
    <n v="0"/>
    <n v="5.30111009781311"/>
    <n v="3.7901361257949899"/>
    <n v="172.04444325389301"/>
    <n v="28.3088868511526"/>
    <n v="60.901314723375101"/>
    <n v="56.512372715192797"/>
    <n v="85037.826929192001"/>
    <n v="756.25986067709005"/>
    <n v="0.114150092037416"/>
    <n v="3.0596289959247399E-2"/>
    <n v="0.72309649546257204"/>
    <n v="3.4415434827994897E-2"/>
    <n v="0.75758288744277302"/>
    <n v="0"/>
    <x v="39"/>
    <x v="8"/>
    <n v="1379908817.5799999"/>
    <n v="16227"/>
  </r>
  <r>
    <n v="0.97872264960517197"/>
    <n v="22.746944324462"/>
    <n v="21.094400288440301"/>
    <n v="0"/>
    <n v="5.2976646925575901"/>
    <n v="3.7876926598379601"/>
    <n v="172.03068045510099"/>
    <n v="28.545767378019502"/>
    <n v="60.432369214981698"/>
    <n v="56.606886259675797"/>
    <n v="95036.285834854207"/>
    <n v="757.15350147588697"/>
    <n v="0.123423033629479"/>
    <n v="3.1070319460052401E-2"/>
    <n v="0.71720036787366004"/>
    <n v="4.4249083118124401E-2"/>
    <n v="0.75846312233796997"/>
    <n v="0"/>
    <x v="39"/>
    <x v="9"/>
    <n v="1718351084.1800001"/>
    <n v="18081"/>
  </r>
  <r>
    <n v="0.97788858272491797"/>
    <n v="23.533272038712301"/>
    <n v="24.307157473192301"/>
    <n v="0"/>
    <n v="5.2899467656891499"/>
    <n v="3.7732588630645498"/>
    <n v="172.063355377101"/>
    <n v="28.506566593531701"/>
    <n v="62.637811208162901"/>
    <n v="58.5591581180052"/>
    <n v="104862.400054507"/>
    <n v="755.15896067123595"/>
    <n v="0.151464531587297"/>
    <n v="2.9698558544520401E-2"/>
    <n v="0.71175504211450003"/>
    <n v="4.37583831035495E-2"/>
    <n v="0.78421619788200103"/>
    <n v="0"/>
    <x v="39"/>
    <x v="10"/>
    <n v="1539065445.5999999"/>
    <n v="14677"/>
  </r>
  <r>
    <n v="0.97700923179190602"/>
    <n v="24.3543413225457"/>
    <n v="22.8062543934141"/>
    <n v="0"/>
    <n v="5.2872957419778599"/>
    <n v="3.7680481984392702"/>
    <n v="172.093652620185"/>
    <n v="28.760768315433001"/>
    <n v="63.435715128110402"/>
    <n v="59.467293986360502"/>
    <n v="115064.632652564"/>
    <n v="754.35545700918703"/>
    <n v="0.15351015340445801"/>
    <n v="2.5513374091838899E-2"/>
    <n v="0.70888785162134105"/>
    <n v="4.5585915413897199E-2"/>
    <n v="0.77754323228901501"/>
    <n v="0"/>
    <x v="39"/>
    <x v="11"/>
    <n v="1653593835.8499999"/>
    <n v="14371"/>
  </r>
  <r>
    <n v="0.97635933639166805"/>
    <n v="24.955960657343201"/>
    <n v="26.244133894081799"/>
    <n v="0"/>
    <n v="5.2875985492217801"/>
    <n v="3.7665974083340998"/>
    <n v="172.10334205536299"/>
    <n v="28.742759073680801"/>
    <n v="63.605487608462703"/>
    <n v="59.684543521026598"/>
    <n v="124850.850443683"/>
    <n v="754.25179349160499"/>
    <n v="0.162191462817009"/>
    <n v="2.7862665389029501E-2"/>
    <n v="0.70548150506753904"/>
    <n v="5.2377211233645103E-2"/>
    <n v="0.80178393882376797"/>
    <n v="0"/>
    <x v="39"/>
    <x v="12"/>
    <n v="1603958875.6500001"/>
    <n v="12847"/>
  </r>
  <r>
    <n v="0.97581788818519"/>
    <n v="25.453835846392799"/>
    <n v="28.705076434663798"/>
    <n v="0"/>
    <n v="5.2786399260119703"/>
    <n v="3.7607457769964299"/>
    <n v="172.10219129476499"/>
    <n v="28.736908050637201"/>
    <n v="63.877680456114703"/>
    <n v="59.903681171192602"/>
    <n v="134884.754105937"/>
    <n v="755.41275937712498"/>
    <n v="0.164737646978597"/>
    <n v="2.6826803114616299E-2"/>
    <n v="0.70731012776633495"/>
    <n v="4.81175082736282E-2"/>
    <n v="0.80883820166267995"/>
    <n v="0"/>
    <x v="39"/>
    <x v="13"/>
    <n v="1578826046.8099999"/>
    <n v="11705"/>
  </r>
  <r>
    <n v="0.97487347070708896"/>
    <n v="26.315010695346501"/>
    <n v="26.713324523741399"/>
    <n v="0"/>
    <n v="5.2797587063103997"/>
    <n v="3.7611593592070101"/>
    <n v="172.06247008284501"/>
    <n v="28.942497138668699"/>
    <n v="62.710217529572802"/>
    <n v="59.082807501470299"/>
    <n v="144858.90122043301"/>
    <n v="752.82657706449504"/>
    <n v="0.16115721867008401"/>
    <n v="2.7355348934751601E-2"/>
    <n v="0.70126483180821197"/>
    <n v="6.1432164341228702E-2"/>
    <n v="0.80427537076720101"/>
    <n v="0"/>
    <x v="39"/>
    <x v="14"/>
    <n v="1610686122.6700001"/>
    <n v="11119"/>
  </r>
  <r>
    <n v="0.97411666169687805"/>
    <n v="26.9985206306945"/>
    <n v="28.031059687685602"/>
    <n v="0"/>
    <n v="5.2833201083194403"/>
    <n v="3.7565776086540499"/>
    <n v="172.12931704133001"/>
    <n v="29.130349819438202"/>
    <n v="64.477735112996001"/>
    <n v="60.764611989034499"/>
    <n v="154892.552056641"/>
    <n v="752.13662968223605"/>
    <n v="0.17897078888700199"/>
    <n v="2.7040758220830099E-2"/>
    <n v="0.70617615423569302"/>
    <n v="5.9771631856276097E-2"/>
    <n v="0.81720022299052697"/>
    <n v="0"/>
    <x v="39"/>
    <x v="15"/>
    <n v="1482166830.6300001"/>
    <n v="9569"/>
  </r>
  <r>
    <n v="0.97321623348253505"/>
    <n v="27.804166701148201"/>
    <n v="29.6147630672919"/>
    <n v="0"/>
    <n v="5.2843247539849898"/>
    <n v="3.7566157332130201"/>
    <n v="172.13933755602699"/>
    <n v="29.1847671985816"/>
    <n v="64.812484064920596"/>
    <n v="61.087592400118403"/>
    <n v="164995.74245394499"/>
    <n v="753.01100708788601"/>
    <n v="0.174902070903972"/>
    <n v="2.73134929803063E-2"/>
    <n v="0.69338286313034003"/>
    <n v="7.2445847820489406E-2"/>
    <n v="0.80986325934914505"/>
    <n v="0"/>
    <x v="39"/>
    <x v="16"/>
    <n v="1424078253.1199999"/>
    <n v="8631"/>
  </r>
  <r>
    <n v="0.96406366775402896"/>
    <n v="35.543221912169301"/>
    <n v="37.340282025456702"/>
    <n v="0"/>
    <n v="5.2603243418021899"/>
    <n v="3.7336788558915002"/>
    <n v="172.127547098957"/>
    <n v="29.206714218937599"/>
    <n v="65.391241628585405"/>
    <n v="61.546418183542698"/>
    <n v="276998.00847925799"/>
    <n v="749.19656822042703"/>
    <n v="0.246485636096859"/>
    <n v="3.4337034636590498E-2"/>
    <n v="0.65744949537381203"/>
    <n v="0.11566249377568601"/>
    <n v="0.81515042355532596"/>
    <n v="0"/>
    <x v="39"/>
    <x v="17"/>
    <n v="21788386348.970001"/>
    <n v="78659"/>
  </r>
  <r>
    <n v="0.97251333645509297"/>
    <n v="28.427400947174299"/>
    <n v="31.2338492869047"/>
    <n v="0"/>
    <n v="5.2839505228030603"/>
    <n v="3.7530920959167302"/>
    <n v="172.10627354381199"/>
    <n v="28.971488092249299"/>
    <n v="65.080013214109201"/>
    <n v="61.468037857761701"/>
    <n v="172519.685368773"/>
    <n v="751.41824881542004"/>
    <n v="0.181769848783433"/>
    <n v="2.85329040635727E-2"/>
    <n v="0.701593327945365"/>
    <n v="6.5412975129692297E-2"/>
    <n v="0.804812998337188"/>
    <n v="0"/>
    <x v="39"/>
    <x v="18"/>
    <n v="720442206.10000002"/>
    <n v="4176"/>
  </r>
  <r>
    <n v="0.99238936074045503"/>
    <n v="8.7600170561635107"/>
    <n v="85.741147416488005"/>
    <n v="0"/>
    <n v="5.4047261860685998"/>
    <n v="3.8973718045166899"/>
    <n v="176.948489919878"/>
    <n v="28.4502145382869"/>
    <n v="49.644386952850297"/>
    <n v="6.0954903972812904"/>
    <n v="5890.5426938775499"/>
    <n v="769.18013169307301"/>
    <n v="2.2824403359086198E-2"/>
    <n v="1.9880050413011999E-2"/>
    <n v="0.699956462900587"/>
    <n v="2.3106266443167999E-2"/>
    <n v="0.51065681235593297"/>
    <n v="0"/>
    <x v="40"/>
    <x v="0"/>
    <n v="1443182.96"/>
    <n v="245"/>
  </r>
  <r>
    <n v="0.991366957443649"/>
    <n v="9.8816408212977702"/>
    <n v="51.713743134010002"/>
    <n v="0"/>
    <n v="5.4474879671883398"/>
    <n v="3.9218441138631301"/>
    <n v="177.05443666424199"/>
    <n v="27.596609903995802"/>
    <n v="45.2688919781354"/>
    <n v="19.069323741041"/>
    <n v="16007.8544981412"/>
    <n v="763.84539444351606"/>
    <n v="8.8580113295033305E-2"/>
    <n v="7.8533136727865493E-3"/>
    <n v="0.77862438677466494"/>
    <n v="4.1491092037936002E-2"/>
    <n v="0.58234508163819898"/>
    <n v="0"/>
    <x v="40"/>
    <x v="1"/>
    <n v="8612225.7200000007"/>
    <n v="538"/>
  </r>
  <r>
    <n v="0.98850240258832001"/>
    <n v="12.9572205193366"/>
    <n v="30.023373009962398"/>
    <n v="0"/>
    <n v="5.4144132546261003"/>
    <n v="3.8922541726153201"/>
    <n v="177.110719870911"/>
    <n v="27.0271048543555"/>
    <n v="46.280086334452299"/>
    <n v="33.4396735241599"/>
    <n v="25923.110217522601"/>
    <n v="760.83628546948501"/>
    <n v="7.5980264593502406E-2"/>
    <n v="1.14775926887429E-2"/>
    <n v="0.78987641365133698"/>
    <n v="3.4710996612139798E-2"/>
    <n v="0.58750694563036099"/>
    <n v="0"/>
    <x v="40"/>
    <x v="2"/>
    <n v="42902747.409999996"/>
    <n v="1655"/>
  </r>
  <r>
    <n v="0.98619621324377205"/>
    <n v="15.363057264493101"/>
    <n v="18.1792672460208"/>
    <n v="0"/>
    <n v="5.4218898989794502"/>
    <n v="3.8859856581452599"/>
    <n v="177.120464718873"/>
    <n v="26.803607069257701"/>
    <n v="50.813127804545502"/>
    <n v="42.893784397645398"/>
    <n v="35789.100248920397"/>
    <n v="757.39860051282596"/>
    <n v="7.7781716531956299E-2"/>
    <n v="2.5469551494303199E-2"/>
    <n v="0.77855278539414496"/>
    <n v="3.6939545762011403E-2"/>
    <n v="0.61515606673817802"/>
    <n v="0"/>
    <x v="40"/>
    <x v="3"/>
    <n v="140901687.68000001"/>
    <n v="3937"/>
  </r>
  <r>
    <n v="0.984177557737833"/>
    <n v="17.418742685218501"/>
    <n v="14.156392550357801"/>
    <n v="0"/>
    <n v="5.3996405330169397"/>
    <n v="3.8628037868621101"/>
    <n v="177.151892270758"/>
    <n v="26.960161001115399"/>
    <n v="52.456644885858601"/>
    <n v="46.473511328828302"/>
    <n v="45642.621085228799"/>
    <n v="755.57580174100099"/>
    <n v="8.1980598875125196E-2"/>
    <n v="3.29319755727005E-2"/>
    <n v="0.73420726592687902"/>
    <n v="3.4902435369067897E-2"/>
    <n v="0.66313313841280797"/>
    <n v="0"/>
    <x v="40"/>
    <x v="4"/>
    <n v="333099848.68000001"/>
    <n v="7298"/>
  </r>
  <r>
    <n v="0.98273887664565795"/>
    <n v="18.855770217606501"/>
    <n v="16.128857482770599"/>
    <n v="0"/>
    <n v="5.3761975867074101"/>
    <n v="3.8367185278584901"/>
    <n v="177.13430390507301"/>
    <n v="26.8373310297494"/>
    <n v="55.811465103296698"/>
    <n v="50.402475727343003"/>
    <n v="55284.028281745203"/>
    <n v="755.89112636636401"/>
    <n v="9.1177743845495401E-2"/>
    <n v="3.3871532410601202E-2"/>
    <n v="0.74201052150706304"/>
    <n v="3.3734320443962199E-2"/>
    <n v="0.71418480240690396"/>
    <n v="0"/>
    <x v="40"/>
    <x v="5"/>
    <n v="592976487.35000002"/>
    <n v="10726"/>
  </r>
  <r>
    <n v="0.98167017384667898"/>
    <n v="19.9083663915535"/>
    <n v="16.6924234732071"/>
    <n v="0"/>
    <n v="5.3577843809880799"/>
    <n v="3.81494112978329"/>
    <n v="177.128711720882"/>
    <n v="26.623796978772699"/>
    <n v="58.336839287251998"/>
    <n v="53.293316707855702"/>
    <n v="65167.681206540903"/>
    <n v="754.85752469663896"/>
    <n v="0.104122257379723"/>
    <n v="2.6551903826277801E-2"/>
    <n v="0.750415165445524"/>
    <n v="3.6296902957768197E-2"/>
    <n v="0.73973949951197404"/>
    <n v="0"/>
    <x v="40"/>
    <x v="6"/>
    <n v="884716440.05999994"/>
    <n v="13576"/>
  </r>
  <r>
    <n v="0.98045462329370903"/>
    <n v="21.090373980524799"/>
    <n v="17.185679341375"/>
    <n v="0"/>
    <n v="5.3407371970714896"/>
    <n v="3.7921490107166198"/>
    <n v="177.148087131707"/>
    <n v="28.038009741516401"/>
    <n v="59.172182793428902"/>
    <n v="54.684980562124899"/>
    <n v="74961.887107951698"/>
    <n v="755.38220755310601"/>
    <n v="0.114757112595595"/>
    <n v="2.6133786383183699E-2"/>
    <n v="0.73127381838821703"/>
    <n v="3.8148820179779802E-2"/>
    <n v="0.76834006622087303"/>
    <n v="0"/>
    <x v="40"/>
    <x v="7"/>
    <n v="1049241533.85"/>
    <n v="13997"/>
  </r>
  <r>
    <n v="0.97954022884863001"/>
    <n v="21.968973261340398"/>
    <n v="21.362474254611602"/>
    <n v="0"/>
    <n v="5.3357293341271603"/>
    <n v="3.7785021985907199"/>
    <n v="177.16375587930401"/>
    <n v="28.456332415235298"/>
    <n v="62.237901474728503"/>
    <n v="57.552000259399897"/>
    <n v="84982.635879934707"/>
    <n v="754.26260748346795"/>
    <n v="0.11964020803478199"/>
    <n v="2.85176678498897E-2"/>
    <n v="0.72174059638674704"/>
    <n v="3.0718518460226399E-2"/>
    <n v="0.75916236968463102"/>
    <n v="0"/>
    <x v="40"/>
    <x v="8"/>
    <n v="1199020009.6300001"/>
    <n v="14109"/>
  </r>
  <r>
    <n v="0.97878049961943003"/>
    <n v="22.6921315311535"/>
    <n v="20.534061445604301"/>
    <n v="0"/>
    <n v="5.32830737999054"/>
    <n v="3.7737964072347898"/>
    <n v="177.15873763346301"/>
    <n v="28.844545803274301"/>
    <n v="61.793250321996197"/>
    <n v="57.604906413172799"/>
    <n v="95066.048763141196"/>
    <n v="756.08381523365404"/>
    <n v="0.12789397989617801"/>
    <n v="2.86492059514553E-2"/>
    <n v="0.72247471158309096"/>
    <n v="4.0022829853483599E-2"/>
    <n v="0.76693744048328605"/>
    <n v="0"/>
    <x v="40"/>
    <x v="9"/>
    <n v="1501092909.97"/>
    <n v="15790"/>
  </r>
  <r>
    <n v="0.97793972739009605"/>
    <n v="23.485266687814399"/>
    <n v="24.5421324830277"/>
    <n v="0"/>
    <n v="5.3241641620297804"/>
    <n v="3.7638400081905199"/>
    <n v="177.17243127863199"/>
    <n v="28.928499792528701"/>
    <n v="64.366376336328798"/>
    <n v="59.9531937764962"/>
    <n v="104899.065282768"/>
    <n v="754.71540557820504"/>
    <n v="0.152443997625926"/>
    <n v="2.8544509564638099E-2"/>
    <n v="0.71548234882467898"/>
    <n v="3.9758583204532502E-2"/>
    <n v="0.77943887657452804"/>
    <n v="0"/>
    <x v="40"/>
    <x v="10"/>
    <n v="1342917833.75"/>
    <n v="12802"/>
  </r>
  <r>
    <n v="0.977106951137234"/>
    <n v="24.263499454332202"/>
    <n v="20.630352532537199"/>
    <n v="0"/>
    <n v="5.3225057164929197"/>
    <n v="3.76009353111158"/>
    <n v="177.17095689343"/>
    <n v="29.039101697845702"/>
    <n v="64.588498049058899"/>
    <n v="60.270519159746001"/>
    <n v="114998.67179374601"/>
    <n v="754.05055438976103"/>
    <n v="0.15661518159494101"/>
    <n v="2.3910531964133099E-2"/>
    <n v="0.71132647736696597"/>
    <n v="4.1602185575907398E-2"/>
    <n v="0.78354129024192398"/>
    <n v="0"/>
    <x v="40"/>
    <x v="11"/>
    <n v="1467498050.76"/>
    <n v="12761"/>
  </r>
  <r>
    <n v="0.97646344516719097"/>
    <n v="24.859881360318699"/>
    <n v="27.091564012371901"/>
    <n v="0"/>
    <n v="5.3218453825683198"/>
    <n v="3.7577082327670199"/>
    <n v="177.15571223037799"/>
    <n v="28.970484027621801"/>
    <n v="64.833163117281998"/>
    <n v="60.616545768742498"/>
    <n v="124873.587752639"/>
    <n v="753.77533652417196"/>
    <n v="0.16354248990381201"/>
    <n v="2.6976526513021501E-2"/>
    <n v="0.71276230813105601"/>
    <n v="4.8026011212988801E-2"/>
    <n v="0.80589485414647999"/>
    <n v="0"/>
    <x v="40"/>
    <x v="12"/>
    <n v="1407450207.5599999"/>
    <n v="11271"/>
  </r>
  <r>
    <n v="0.97594391846402795"/>
    <n v="25.338218980850701"/>
    <n v="26.660440522384899"/>
    <n v="0"/>
    <n v="5.3160553289065398"/>
    <n v="3.7551287215519999"/>
    <n v="177.188911063012"/>
    <n v="29.050375183371301"/>
    <n v="65.017483420535996"/>
    <n v="60.824068802459401"/>
    <n v="134907.64507115301"/>
    <n v="754.89684162839706"/>
    <n v="0.169850090917262"/>
    <n v="2.6779730346825702E-2"/>
    <n v="0.71771444200763801"/>
    <n v="4.7488496271808803E-2"/>
    <n v="0.81180577334766202"/>
    <n v="0"/>
    <x v="40"/>
    <x v="13"/>
    <n v="1403039508.74"/>
    <n v="10400"/>
  </r>
  <r>
    <n v="0.97505999235101104"/>
    <n v="26.1456555808983"/>
    <n v="26.003810926158899"/>
    <n v="0"/>
    <n v="5.3127138086849399"/>
    <n v="3.7521481733769"/>
    <n v="177.16795895251499"/>
    <n v="29.176152119493601"/>
    <n v="64.042771684965103"/>
    <n v="60.118854342445303"/>
    <n v="144813.936042797"/>
    <n v="752.39589478155403"/>
    <n v="0.16574646521314301"/>
    <n v="2.7483686712473001E-2"/>
    <n v="0.71291536141273204"/>
    <n v="5.8694471652211103E-2"/>
    <n v="0.816568212734753"/>
    <n v="0"/>
    <x v="40"/>
    <x v="14"/>
    <n v="1414397713.3299999"/>
    <n v="9767"/>
  </r>
  <r>
    <n v="0.97433254742599495"/>
    <n v="26.804138960519602"/>
    <n v="30.376963874643199"/>
    <n v="0"/>
    <n v="5.3151347663727799"/>
    <n v="3.7504949526327902"/>
    <n v="177.180691097335"/>
    <n v="29.477574100788701"/>
    <n v="65.748072735502006"/>
    <n v="61.709607102942599"/>
    <n v="154878.743709389"/>
    <n v="751.91667813145796"/>
    <n v="0.18319173743177999"/>
    <n v="2.8985953072860001E-2"/>
    <n v="0.71029721730929596"/>
    <n v="5.5229005409715898E-2"/>
    <n v="0.82299450880826996"/>
    <n v="0"/>
    <x v="40"/>
    <x v="15"/>
    <n v="1301446083.3900001"/>
    <n v="8403"/>
  </r>
  <r>
    <n v="0.97351345492655605"/>
    <n v="27.5391374605246"/>
    <n v="29.013184763068502"/>
    <n v="0"/>
    <n v="5.3164242268060597"/>
    <n v="3.7489791720434198"/>
    <n v="177.197246090378"/>
    <n v="29.4025360816287"/>
    <n v="65.860352687654597"/>
    <n v="61.872787948340502"/>
    <n v="165041.894084848"/>
    <n v="753.18548832311296"/>
    <n v="0.18214880354337401"/>
    <n v="2.7664475297847099E-2"/>
    <n v="0.715018902797941"/>
    <n v="6.4539426633935304E-2"/>
    <n v="0.81948843333060595"/>
    <n v="0"/>
    <x v="40"/>
    <x v="16"/>
    <n v="1225436063.5799999"/>
    <n v="7425"/>
  </r>
  <r>
    <n v="0.96436185254065998"/>
    <n v="35.303576820563102"/>
    <n v="35.994823118591199"/>
    <n v="0"/>
    <n v="5.2944089773148999"/>
    <n v="3.7283103798505"/>
    <n v="177.200169231888"/>
    <n v="29.461962630858402"/>
    <n v="66.652550435074403"/>
    <n v="62.405527324944401"/>
    <n v="277744.13973560999"/>
    <n v="749.58907481311701"/>
    <n v="0.24888682124367301"/>
    <n v="3.54989699609356E-2"/>
    <n v="0.66927125272694099"/>
    <n v="0.108992337447193"/>
    <n v="0.81939186757743498"/>
    <n v="0"/>
    <x v="40"/>
    <x v="17"/>
    <n v="18751617850.110001"/>
    <n v="67514"/>
  </r>
  <r>
    <n v="0.97284201600073905"/>
    <n v="28.136588771518799"/>
    <n v="29.4686048674406"/>
    <n v="0"/>
    <n v="5.3100202102940397"/>
    <n v="3.74372978798081"/>
    <n v="177.16607179686301"/>
    <n v="29.123188018006399"/>
    <n v="66.272739238016001"/>
    <n v="62.145666081621201"/>
    <n v="172503.80765598101"/>
    <n v="751.66967286250701"/>
    <n v="0.18493093611088501"/>
    <n v="2.8072840414349601E-2"/>
    <n v="0.71644655905494403"/>
    <n v="5.9495308093204698E-2"/>
    <n v="0.81629826961106899"/>
    <n v="0"/>
    <x v="40"/>
    <x v="18"/>
    <n v="602728303.95000005"/>
    <n v="3494"/>
  </r>
  <r>
    <n v="0.992129963980388"/>
    <n v="9.0457923187609097"/>
    <n v="93.498404115310606"/>
    <n v="0"/>
    <n v="5.3383113227533396"/>
    <n v="3.8012414555761902"/>
    <n v="182.93611527618199"/>
    <n v="29.788050302175598"/>
    <n v="53.205700558901597"/>
    <n v="5.8331200555137404"/>
    <n v="5679.48901869158"/>
    <n v="771.05227235749396"/>
    <n v="5.6829689619718203E-2"/>
    <n v="1.39564352180063E-2"/>
    <n v="0.71189400882738596"/>
    <n v="1.6051554262750602E-2"/>
    <n v="0.47911684005730898"/>
    <n v="0"/>
    <x v="41"/>
    <x v="0"/>
    <n v="1215410.6499999999"/>
    <n v="214"/>
  </r>
  <r>
    <n v="0.99091532490842704"/>
    <n v="10.3730660172331"/>
    <n v="61.322782136433197"/>
    <n v="0"/>
    <n v="5.4032690586195997"/>
    <n v="3.8437931539355801"/>
    <n v="182.765217229787"/>
    <n v="28.872183125520401"/>
    <n v="46.632470591171597"/>
    <n v="19.003347836019898"/>
    <n v="16053.541442125201"/>
    <n v="763.17740178497604"/>
    <n v="8.84217495081219E-2"/>
    <n v="1.52658412988053E-2"/>
    <n v="0.78769884860887596"/>
    <n v="4.1777844182173701E-2"/>
    <n v="0.60737686171273397"/>
    <n v="0"/>
    <x v="41"/>
    <x v="1"/>
    <n v="8460216.3399999999"/>
    <n v="527"/>
  </r>
  <r>
    <n v="0.98816680361635501"/>
    <n v="13.3111739350684"/>
    <n v="27.714911089677202"/>
    <n v="0"/>
    <n v="5.39330042583628"/>
    <n v="3.83209304356203"/>
    <n v="182.67806202536599"/>
    <n v="27.6464710047808"/>
    <n v="47.483371235632802"/>
    <n v="33.144706179120298"/>
    <n v="25962.080084911799"/>
    <n v="761.05468315686005"/>
    <n v="6.4264415809751202E-2"/>
    <n v="1.79179946784171E-2"/>
    <n v="0.76691868671696795"/>
    <n v="3.2789519628949597E-2"/>
    <n v="0.57633838239365498"/>
    <n v="0"/>
    <x v="41"/>
    <x v="2"/>
    <n v="39747944.609999999"/>
    <n v="1531"/>
  </r>
  <r>
    <n v="0.98605762820277798"/>
    <n v="15.505670096632301"/>
    <n v="20.9319513627741"/>
    <n v="0"/>
    <n v="5.3839789572101999"/>
    <n v="3.8193530313298498"/>
    <n v="182.679974732472"/>
    <n v="27.600443033283501"/>
    <n v="49.625087580631501"/>
    <n v="40.930132169790298"/>
    <n v="35679.682336655504"/>
    <n v="758.59154356408101"/>
    <n v="8.33618438769409E-2"/>
    <n v="2.51884220572328E-2"/>
    <n v="0.78218255274102599"/>
    <n v="3.7575274076054599E-2"/>
    <n v="0.63468486341781305"/>
    <n v="0"/>
    <x v="41"/>
    <x v="3"/>
    <n v="128875012.59999999"/>
    <n v="3612"/>
  </r>
  <r>
    <n v="0.98418101192971696"/>
    <n v="17.415264568738301"/>
    <n v="14.9263397607256"/>
    <n v="0"/>
    <n v="5.3798888233519397"/>
    <n v="3.8136258912815899"/>
    <n v="182.64193344621199"/>
    <n v="27.561284242210998"/>
    <n v="51.414365057993102"/>
    <n v="45.117735218305903"/>
    <n v="45719.909362752398"/>
    <n v="759.07600952453095"/>
    <n v="8.1674321852727605E-2"/>
    <n v="3.0714930857738802E-2"/>
    <n v="0.74947650344527605"/>
    <n v="3.86267037114668E-2"/>
    <n v="0.69038774152850102"/>
    <n v="0"/>
    <x v="41"/>
    <x v="4"/>
    <n v="305637594.08999997"/>
    <n v="6685"/>
  </r>
  <r>
    <n v="0.98290100191096297"/>
    <n v="18.694985211431501"/>
    <n v="17.797299294021901"/>
    <n v="0"/>
    <n v="5.3702384949036697"/>
    <n v="3.79871125194322"/>
    <n v="182.63502631940099"/>
    <n v="27.305532925905599"/>
    <n v="54.352767962645899"/>
    <n v="48.720445105410199"/>
    <n v="55342.370749195798"/>
    <n v="759.41457644474099"/>
    <n v="0.100214878870025"/>
    <n v="2.8924298754490801E-2"/>
    <n v="0.76823075353269898"/>
    <n v="3.3711609719569102E-2"/>
    <n v="0.74756418080860298"/>
    <n v="0"/>
    <x v="41"/>
    <x v="5"/>
    <n v="533334426.91000003"/>
    <n v="9637"/>
  </r>
  <r>
    <n v="0.98190728822926698"/>
    <n v="19.675912012259701"/>
    <n v="18.7552054356714"/>
    <n v="0"/>
    <n v="5.3594687745749097"/>
    <n v="3.7878906560865802"/>
    <n v="182.63120289852"/>
    <n v="27.0959357187431"/>
    <n v="56.217143691529103"/>
    <n v="50.950865184504899"/>
    <n v="65120.3226164874"/>
    <n v="758.05490394983497"/>
    <n v="0.110330089587985"/>
    <n v="2.3356115643039601E-2"/>
    <n v="0.77564793888072503"/>
    <n v="3.7530382355795103E-2"/>
    <n v="0.77966897694345405"/>
    <n v="0"/>
    <x v="41"/>
    <x v="6"/>
    <n v="817585650.45000005"/>
    <n v="12555"/>
  </r>
  <r>
    <n v="0.98081550501774395"/>
    <n v="20.741130744814001"/>
    <n v="18.5292984816457"/>
    <n v="0"/>
    <n v="5.3453397249222903"/>
    <n v="3.7697617974565101"/>
    <n v="182.63884150358001"/>
    <n v="28.540141215178501"/>
    <n v="57.4146569179971"/>
    <n v="52.6984183229794"/>
    <n v="74919.091000162298"/>
    <n v="757.73768903299106"/>
    <n v="0.12651161956874199"/>
    <n v="2.27122705098304E-2"/>
    <n v="0.76388811907686904"/>
    <n v="3.4010745325788697E-2"/>
    <n v="0.79220346835050903"/>
    <n v="0"/>
    <x v="41"/>
    <x v="7"/>
    <n v="922853362.94000006"/>
    <n v="12318"/>
  </r>
  <r>
    <n v="0.97987595655973203"/>
    <n v="21.647435251329401"/>
    <n v="18.7541267972992"/>
    <n v="0"/>
    <n v="5.3525468251839099"/>
    <n v="3.7612654154397802"/>
    <n v="182.63765967816701"/>
    <n v="28.765128246438898"/>
    <n v="60.4572307600288"/>
    <n v="55.824608983460003"/>
    <n v="84999.721935903595"/>
    <n v="757.01644662614899"/>
    <n v="0.129457947515844"/>
    <n v="2.6195885856476801E-2"/>
    <n v="0.74801844407698703"/>
    <n v="3.3528946840998802E-2"/>
    <n v="0.79555615593893703"/>
    <n v="0"/>
    <x v="41"/>
    <x v="8"/>
    <n v="1044986581.48"/>
    <n v="12294"/>
  </r>
  <r>
    <n v="0.97908725954943199"/>
    <n v="22.400880801683901"/>
    <n v="22.664715886164299"/>
    <n v="0"/>
    <n v="5.3459450549400698"/>
    <n v="3.7547273709673101"/>
    <n v="182.63789903284501"/>
    <n v="29.059056226717399"/>
    <n v="59.924352938225603"/>
    <n v="55.754488067185598"/>
    <n v="94996.005833018498"/>
    <n v="757.68357965519704"/>
    <n v="0.13785237148894899"/>
    <n v="2.6574746637119701E-2"/>
    <n v="0.74367912219251198"/>
    <n v="4.2475270651372798E-2"/>
    <n v="0.79405348909850904"/>
    <n v="0"/>
    <x v="41"/>
    <x v="9"/>
    <n v="1257272137.2"/>
    <n v="13235"/>
  </r>
  <r>
    <n v="0.97824736724041395"/>
    <n v="23.1959267618601"/>
    <n v="22.473217685386601"/>
    <n v="0"/>
    <n v="5.3472658690035901"/>
    <n v="3.7470952991333801"/>
    <n v="182.61892350037201"/>
    <n v="29.032640633309999"/>
    <n v="62.075249060747197"/>
    <n v="57.889633665268697"/>
    <n v="104857.60384467299"/>
    <n v="754.91582556923095"/>
    <n v="0.166533813192942"/>
    <n v="2.8323002647654701E-2"/>
    <n v="0.74380150516354104"/>
    <n v="4.7476192731094699E-2"/>
    <n v="0.82051970551003806"/>
    <n v="0"/>
    <x v="41"/>
    <x v="10"/>
    <n v="1089575361.55"/>
    <n v="10391"/>
  </r>
  <r>
    <n v="0.97744973044370498"/>
    <n v="23.944053716923399"/>
    <n v="25.532148881831201"/>
    <n v="0"/>
    <n v="5.3477644571991796"/>
    <n v="3.7464447041097899"/>
    <n v="182.61914558904101"/>
    <n v="29.345856965533301"/>
    <n v="62.530273754397598"/>
    <n v="58.423033482759401"/>
    <n v="115071.872268051"/>
    <n v="754.80623001529"/>
    <n v="0.17014883722017801"/>
    <n v="2.08719022219334E-2"/>
    <n v="0.73902532629839601"/>
    <n v="4.6509734391505603E-2"/>
    <n v="0.82539235221123497"/>
    <n v="0"/>
    <x v="41"/>
    <x v="11"/>
    <n v="1152214657.02"/>
    <n v="10013"/>
  </r>
  <r>
    <n v="0.97679929269082499"/>
    <n v="24.549167235533901"/>
    <n v="27.314891443582798"/>
    <n v="0"/>
    <n v="5.3401335068191802"/>
    <n v="3.7376759257257102"/>
    <n v="182.638318485638"/>
    <n v="29.133331539784798"/>
    <n v="62.782912688385601"/>
    <n v="58.663238546640301"/>
    <n v="124893.101877069"/>
    <n v="754.35423500961895"/>
    <n v="0.18218640910199799"/>
    <n v="2.3962907664722598E-2"/>
    <n v="0.73607244559723795"/>
    <n v="5.0908675606589897E-2"/>
    <n v="0.83977690985103903"/>
    <n v="0"/>
    <x v="41"/>
    <x v="12"/>
    <n v="1131781289.21"/>
    <n v="9062"/>
  </r>
  <r>
    <n v="0.97648980528953899"/>
    <n v="24.835536401880301"/>
    <n v="25.4769268754394"/>
    <n v="0"/>
    <n v="5.3419088773796899"/>
    <n v="3.7415411810277499"/>
    <n v="182.62825468601801"/>
    <n v="29.132351729815699"/>
    <n v="63.103592722429603"/>
    <n v="59.080212047469999"/>
    <n v="134983.08649428701"/>
    <n v="755.39971557272997"/>
    <n v="0.18789425129805201"/>
    <n v="2.2699560313422198E-2"/>
    <n v="0.75977527998424998"/>
    <n v="5.3906421650060203E-2"/>
    <n v="0.85594460456044896"/>
    <n v="0"/>
    <x v="41"/>
    <x v="13"/>
    <n v="1122384364.2"/>
    <n v="8315"/>
  </r>
  <r>
    <n v="0.97555077034391002"/>
    <n v="25.6983403812701"/>
    <n v="27.676566358027401"/>
    <n v="0"/>
    <n v="5.3348900477852403"/>
    <n v="3.7369071581176998"/>
    <n v="182.63769298405199"/>
    <n v="29.347809059194098"/>
    <n v="62.194206333125003"/>
    <n v="58.2462472915281"/>
    <n v="144824.31626772901"/>
    <n v="753.18606103556499"/>
    <n v="0.18537626094166401"/>
    <n v="2.4661061105089099E-2"/>
    <n v="0.737661227628715"/>
    <n v="5.7206012359498799E-2"/>
    <n v="0.850495786202635"/>
    <n v="0"/>
    <x v="41"/>
    <x v="14"/>
    <n v="1072134413.33"/>
    <n v="7403"/>
  </r>
  <r>
    <n v="0.97482394587313903"/>
    <n v="26.359917660437699"/>
    <n v="29.9532993958078"/>
    <n v="0"/>
    <n v="5.3454740359900201"/>
    <n v="3.7379320676079302"/>
    <n v="182.61874101502099"/>
    <n v="29.480282516180299"/>
    <n v="63.427484495605398"/>
    <n v="59.563484069790597"/>
    <n v="154840.820236842"/>
    <n v="752.17667110770401"/>
    <n v="0.20504208057710999"/>
    <n v="2.8720224041602498E-2"/>
    <n v="0.74288835307793599"/>
    <n v="6.5263237301309507E-2"/>
    <n v="0.86531388433657397"/>
    <n v="0"/>
    <x v="41"/>
    <x v="15"/>
    <n v="1000271698.73"/>
    <n v="6460"/>
  </r>
  <r>
    <n v="0.97390544900902798"/>
    <n v="27.188236688743"/>
    <n v="30.4890114355014"/>
    <n v="0"/>
    <n v="5.3419584704674996"/>
    <n v="3.73504238002239"/>
    <n v="182.61843286783699"/>
    <n v="29.311051531157698"/>
    <n v="63.768096877703996"/>
    <n v="59.858149113796998"/>
    <n v="164928.749499225"/>
    <n v="752.93782182818904"/>
    <n v="0.20017300719463099"/>
    <n v="2.0321619922131301E-2"/>
    <n v="0.72591242700283998"/>
    <n v="7.5611782356161894E-2"/>
    <n v="0.86400714504106502"/>
    <n v="0"/>
    <x v="41"/>
    <x v="16"/>
    <n v="958400963.34000003"/>
    <n v="5811"/>
  </r>
  <r>
    <n v="0.96532105036698101"/>
    <n v="34.527138635301"/>
    <n v="35.964943253450599"/>
    <n v="0"/>
    <n v="5.3196057434464299"/>
    <n v="3.7159330040549001"/>
    <n v="182.61158758358701"/>
    <n v="29.5738523843591"/>
    <n v="64.477543432611597"/>
    <n v="60.276522410347901"/>
    <n v="276781.83013489703"/>
    <n v="749.24810800555497"/>
    <n v="0.277130417991304"/>
    <n v="3.44809562819621E-2"/>
    <n v="0.695436283675679"/>
    <n v="0.114653584880457"/>
    <n v="0.86375241475903097"/>
    <n v="0"/>
    <x v="41"/>
    <x v="17"/>
    <n v="14177872466.83"/>
    <n v="51224"/>
  </r>
  <r>
    <n v="0.97347836747164995"/>
    <n v="27.570470935752901"/>
    <n v="28.350778810014798"/>
    <n v="0"/>
    <n v="5.3477345880898399"/>
    <n v="3.7407446554858401"/>
    <n v="182.60210198387"/>
    <n v="29.364258103028401"/>
    <n v="64.018045077802299"/>
    <n v="60.350692502320904"/>
    <n v="172503.660514786"/>
    <n v="752.78797484753397"/>
    <n v="0.221920222051982"/>
    <n v="2.37178828218256E-2"/>
    <n v="0.74443653678242105"/>
    <n v="7.0153053055366801E-2"/>
    <n v="0.85944274723791003"/>
    <n v="0"/>
    <x v="41"/>
    <x v="18"/>
    <n v="472487526.14999998"/>
    <n v="2739"/>
  </r>
  <r>
    <n v="0.99247535783574403"/>
    <n v="8.6650932542486796"/>
    <n v="79.444204294549195"/>
    <n v="0"/>
    <n v="5.5357630168242498"/>
    <n v="3.9228282180834899"/>
    <n v="187.83965919569101"/>
    <n v="28.9211399383782"/>
    <n v="46.505477574028198"/>
    <n v="7.1430391104695996"/>
    <n v="5890.1389830508397"/>
    <n v="765.65970819178096"/>
    <n v="4.8400266038824198E-2"/>
    <n v="1.6452567568163799E-2"/>
    <n v="0.77865473904196403"/>
    <n v="8.6225124324423794E-3"/>
    <n v="0.59184153041001397"/>
    <n v="0"/>
    <x v="42"/>
    <x v="0"/>
    <n v="1042554.6"/>
    <n v="177"/>
  </r>
  <r>
    <n v="0.99104657166346399"/>
    <n v="10.2305091270328"/>
    <n v="54.6300511460786"/>
    <n v="0"/>
    <n v="5.5805046575662498"/>
    <n v="3.95044842892356"/>
    <n v="187.76237257021199"/>
    <n v="28.0879251355395"/>
    <n v="43.334215143228398"/>
    <n v="20.1884104889001"/>
    <n v="16020.1561179361"/>
    <n v="762.95658521727603"/>
    <n v="9.3112294160068498E-2"/>
    <n v="1.35967181785248E-2"/>
    <n v="0.82679021090804705"/>
    <n v="3.9657286526978502E-2"/>
    <n v="0.64380286815401999"/>
    <n v="0"/>
    <x v="42"/>
    <x v="1"/>
    <n v="6520203.54"/>
    <n v="407"/>
  </r>
  <r>
    <n v="0.98845735178611005"/>
    <n v="13.004812079063401"/>
    <n v="24.924080019878399"/>
    <n v="0"/>
    <n v="5.5194596277983603"/>
    <n v="3.8946917373521601"/>
    <n v="187.80822224615801"/>
    <n v="27.330884708215098"/>
    <n v="45.255241186127002"/>
    <n v="34.668057643334699"/>
    <n v="25881.141468120801"/>
    <n v="762.82983807387404"/>
    <n v="7.5312601054156297E-2"/>
    <n v="1.3929623135978401E-2"/>
    <n v="0.81011192816247801"/>
    <n v="3.74195676552357E-2"/>
    <n v="0.63574923046107701"/>
    <n v="0"/>
    <x v="42"/>
    <x v="2"/>
    <n v="30850320.629999999"/>
    <n v="1192"/>
  </r>
  <r>
    <n v="0.98609200413760101"/>
    <n v="15.470315628682901"/>
    <n v="16.401706736462799"/>
    <n v="0"/>
    <n v="5.5059597467245203"/>
    <n v="3.8685052099799799"/>
    <n v="187.79925789980899"/>
    <n v="27.451101910350001"/>
    <n v="51.018448567265096"/>
    <n v="43.838366374663401"/>
    <n v="35725.508733528499"/>
    <n v="756.18323613004202"/>
    <n v="7.8864224332091504E-2"/>
    <n v="2.9991826959841199E-2"/>
    <n v="0.77989151881055796"/>
    <n v="2.9435589485030299E-2"/>
    <n v="0.65342205419452604"/>
    <n v="0"/>
    <x v="42"/>
    <x v="3"/>
    <n v="97602089.859999999"/>
    <n v="2732"/>
  </r>
  <r>
    <n v="0.98416472040319503"/>
    <n v="17.431667757645201"/>
    <n v="13.677673074762399"/>
    <n v="0"/>
    <n v="5.4903762212393596"/>
    <n v="3.8537234892589498"/>
    <n v="187.846403466423"/>
    <n v="27.3067757725021"/>
    <n v="52.827214831758802"/>
    <n v="47.391109725579398"/>
    <n v="45658.150899075299"/>
    <n v="753.941634392678"/>
    <n v="9.7685382066165602E-2"/>
    <n v="3.9041293021744701E-2"/>
    <n v="0.75186638790015803"/>
    <n v="3.1292432337803398E-2"/>
    <n v="0.70042515388662396"/>
    <n v="0"/>
    <x v="42"/>
    <x v="4"/>
    <n v="232080381.02000001"/>
    <n v="5083"/>
  </r>
  <r>
    <n v="0.98275289458197301"/>
    <n v="18.841879684751699"/>
    <n v="14.9930424951863"/>
    <n v="0"/>
    <n v="5.4693463904552901"/>
    <n v="3.8277710339052602"/>
    <n v="187.86042087163699"/>
    <n v="27.4245980851016"/>
    <n v="56.458231477983396"/>
    <n v="51.406284990868002"/>
    <n v="55313.813420799503"/>
    <n v="755.79972604162799"/>
    <n v="0.104573430347273"/>
    <n v="3.41853644317473E-2"/>
    <n v="0.75039068399358499"/>
    <n v="3.2659186730499203E-2"/>
    <n v="0.72906772274575904"/>
    <n v="0"/>
    <x v="42"/>
    <x v="5"/>
    <n v="402629247.88999999"/>
    <n v="7279"/>
  </r>
  <r>
    <n v="0.98165099145416401"/>
    <n v="19.9271448051806"/>
    <n v="14.578367113129399"/>
    <n v="0"/>
    <n v="5.4458908928973804"/>
    <n v="3.80215120045915"/>
    <n v="187.88188463229901"/>
    <n v="27.0456402591809"/>
    <n v="59.459625200577001"/>
    <n v="54.572626905039499"/>
    <n v="65108.735738131298"/>
    <n v="752.89194743142798"/>
    <n v="0.118390066065391"/>
    <n v="2.58040310848873E-2"/>
    <n v="0.75589952655377102"/>
    <n v="3.5684840889815501E-2"/>
    <n v="0.75074612546478603"/>
    <n v="0"/>
    <x v="42"/>
    <x v="6"/>
    <n v="600693195.91999996"/>
    <n v="9226"/>
  </r>
  <r>
    <n v="0.98043227706415303"/>
    <n v="21.111953091488399"/>
    <n v="16.077973224520601"/>
    <n v="0"/>
    <n v="5.4260699726897004"/>
    <n v="3.7775128954862498"/>
    <n v="187.93713896926499"/>
    <n v="28.582273679714699"/>
    <n v="60.680960422467599"/>
    <n v="56.201663483176702"/>
    <n v="74930.719269261303"/>
    <n v="753.63178004840802"/>
    <n v="0.12353738977646"/>
    <n v="2.6912497360079599E-2"/>
    <n v="0.73394732545279995"/>
    <n v="3.35408256259715E-2"/>
    <n v="0.77381941132977805"/>
    <n v="0"/>
    <x v="42"/>
    <x v="7"/>
    <n v="660364428.91999996"/>
    <n v="8813"/>
  </r>
  <r>
    <n v="0.97953130740314798"/>
    <n v="21.977501115442699"/>
    <n v="17.892162867660598"/>
    <n v="0"/>
    <n v="5.4157620695747397"/>
    <n v="3.7583465121008799"/>
    <n v="187.94992339661599"/>
    <n v="28.977661255843699"/>
    <n v="63.910125650294397"/>
    <n v="59.346026542263601"/>
    <n v="84965.060105381097"/>
    <n v="754.20638357192604"/>
    <n v="0.127882991831789"/>
    <n v="2.5755167653608298E-2"/>
    <n v="0.72824966841559202"/>
    <n v="3.1379458300050699E-2"/>
    <n v="0.76822990024542004"/>
    <n v="0"/>
    <x v="42"/>
    <x v="8"/>
    <n v="757888336.13999999"/>
    <n v="8920"/>
  </r>
  <r>
    <n v="0.97878424832342703"/>
    <n v="22.688578410668701"/>
    <n v="22.191252322791801"/>
    <n v="0"/>
    <n v="5.4114148948876597"/>
    <n v="3.7531875224320501"/>
    <n v="187.95933985959999"/>
    <n v="29.2967893416454"/>
    <n v="63.4677374049568"/>
    <n v="59.326082250903603"/>
    <n v="94960.606617571306"/>
    <n v="755.48537058080205"/>
    <n v="0.140870977597678"/>
    <n v="2.3904239346877802E-2"/>
    <n v="0.72931934855506098"/>
    <n v="4.0457121422218502E-2"/>
    <n v="0.77749788638727002"/>
    <n v="0"/>
    <x v="42"/>
    <x v="9"/>
    <n v="921972529.64999998"/>
    <n v="9709"/>
  </r>
  <r>
    <n v="0.97787111956098405"/>
    <n v="23.549656971068199"/>
    <n v="24.621191910966701"/>
    <n v="0"/>
    <n v="5.4080543344801404"/>
    <n v="3.7452554188850602"/>
    <n v="187.92192128977601"/>
    <n v="29.192996881196301"/>
    <n v="65.605636276095098"/>
    <n v="61.345449820671298"/>
    <n v="104938.21769941"/>
    <n v="753.50014938007996"/>
    <n v="0.15832738502065799"/>
    <n v="2.7615222691106899E-2"/>
    <n v="0.71839706610327903"/>
    <n v="4.3161977867065202E-2"/>
    <n v="0.79684346510549897"/>
    <n v="0"/>
    <x v="42"/>
    <x v="10"/>
    <n v="818308221.62"/>
    <n v="7798"/>
  </r>
  <r>
    <n v="0.97710479646945303"/>
    <n v="24.265503554516702"/>
    <n v="22.805653036805701"/>
    <n v="0"/>
    <n v="5.3973100045327698"/>
    <n v="3.7373985489544501"/>
    <n v="187.95213547901301"/>
    <n v="29.385319765548601"/>
    <n v="65.955137599571103"/>
    <n v="61.635708282065202"/>
    <n v="114978.554740711"/>
    <n v="753.58626629457899"/>
    <n v="0.169309317544656"/>
    <n v="2.1418278775242099E-2"/>
    <n v="0.71560209918103301"/>
    <n v="4.12485618009455E-2"/>
    <n v="0.78872238288463303"/>
    <n v="0"/>
    <x v="42"/>
    <x v="11"/>
    <n v="875791651.46000004"/>
    <n v="7617"/>
  </r>
  <r>
    <n v="0.97642387521178597"/>
    <n v="24.896412725325501"/>
    <n v="25.584636140628799"/>
    <n v="0"/>
    <n v="5.4024613590816299"/>
    <n v="3.7386390315162599"/>
    <n v="187.89121377823699"/>
    <n v="29.3404704570723"/>
    <n v="66.408124584950201"/>
    <n v="62.384148778270301"/>
    <n v="124890.328897591"/>
    <n v="753.29624535723894"/>
    <n v="0.174617107278948"/>
    <n v="2.3645124143979301E-2"/>
    <n v="0.71290818952555002"/>
    <n v="4.2859273435939801E-2"/>
    <n v="0.81409954695328302"/>
    <n v="0"/>
    <x v="42"/>
    <x v="12"/>
    <n v="845132855.64999998"/>
    <n v="6767"/>
  </r>
  <r>
    <n v="0.97596207606630503"/>
    <n v="25.321548133694201"/>
    <n v="24.150152274856399"/>
    <n v="0"/>
    <n v="5.3862177156284199"/>
    <n v="3.7254307329641798"/>
    <n v="187.962067092052"/>
    <n v="29.4544435060076"/>
    <n v="66.561293764914694"/>
    <n v="62.3852889138888"/>
    <n v="134913.37270557799"/>
    <n v="753.45329284891295"/>
    <n v="0.18342598588277501"/>
    <n v="1.89302160531532E-2"/>
    <n v="0.73335777294757998"/>
    <n v="4.75693133484556E-2"/>
    <n v="0.82532588371862703"/>
    <n v="0"/>
    <x v="42"/>
    <x v="13"/>
    <n v="836732737.51999998"/>
    <n v="6202"/>
  </r>
  <r>
    <n v="0.97510495094378002"/>
    <n v="26.104781424346701"/>
    <n v="27.427553315976301"/>
    <n v="0"/>
    <n v="5.3902330821120499"/>
    <n v="3.72870491608038"/>
    <n v="187.955710789498"/>
    <n v="29.469887217940801"/>
    <n v="65.9615982608466"/>
    <n v="61.930389502986301"/>
    <n v="144829.617860962"/>
    <n v="751.52364647014701"/>
    <n v="0.19106779094394599"/>
    <n v="2.77581574930717E-2"/>
    <n v="0.71256329938142604"/>
    <n v="5.6924618850569403E-2"/>
    <n v="0.82980164249210797"/>
    <n v="0"/>
    <x v="42"/>
    <x v="14"/>
    <n v="812494156.20000005"/>
    <n v="5610"/>
  </r>
  <r>
    <n v="0.97452964354432303"/>
    <n v="26.6262611079283"/>
    <n v="29.3976631144923"/>
    <n v="0"/>
    <n v="5.3871149950040902"/>
    <n v="3.7278388882805298"/>
    <n v="187.95705744060399"/>
    <n v="29.568962816744801"/>
    <n v="67.008493323801801"/>
    <n v="62.873697763737702"/>
    <n v="154935.04461442999"/>
    <n v="752.18528160588596"/>
    <n v="0.20886798522836"/>
    <n v="2.73789815872564E-2"/>
    <n v="0.71766548327616797"/>
    <n v="5.0783389440938097E-2"/>
    <n v="0.83792085019585105"/>
    <n v="0"/>
    <x v="42"/>
    <x v="15"/>
    <n v="749420810.79999995"/>
    <n v="4837"/>
  </r>
  <r>
    <n v="0.97355189306869605"/>
    <n v="27.504797523860201"/>
    <n v="26.784741773567902"/>
    <n v="0"/>
    <n v="5.3979755739720598"/>
    <n v="3.7319026577469998"/>
    <n v="187.887939711564"/>
    <n v="29.663906637284299"/>
    <n v="67.128032572775894"/>
    <n v="63.182972711138"/>
    <n v="164993.30193921499"/>
    <n v="752.02609579827299"/>
    <n v="0.206746672510149"/>
    <n v="2.04090690055789E-2"/>
    <n v="0.70809998335592195"/>
    <n v="5.8738413298056798E-2"/>
    <n v="0.84517588732827498"/>
    <n v="0"/>
    <x v="42"/>
    <x v="16"/>
    <n v="727455468.25"/>
    <n v="4409"/>
  </r>
  <r>
    <n v="0.96457653206315896"/>
    <n v="35.130537850356603"/>
    <n v="34.782597474552396"/>
    <n v="0"/>
    <n v="5.3669997053987704"/>
    <n v="3.7076769620234402"/>
    <n v="187.94497019434399"/>
    <n v="29.629301848135199"/>
    <n v="68.243931461384093"/>
    <n v="63.788559651978701"/>
    <n v="276331.43750283198"/>
    <n v="749.21755688773601"/>
    <n v="0.264242894734254"/>
    <n v="3.7581225743484201E-2"/>
    <n v="0.65606116585381902"/>
    <n v="0.103391473695115"/>
    <n v="0.83499426229307905"/>
    <n v="0"/>
    <x v="42"/>
    <x v="17"/>
    <n v="10244711713.98"/>
    <n v="37074"/>
  </r>
  <r>
    <n v="0.97291926909876802"/>
    <n v="28.068079026905899"/>
    <n v="30.881289696245901"/>
    <n v="0"/>
    <n v="5.3974956280733704"/>
    <n v="3.7318746067738502"/>
    <n v="187.93243994603301"/>
    <n v="29.766928694922399"/>
    <n v="66.981573730174603"/>
    <n v="63.083042727259397"/>
    <n v="172476.006555723"/>
    <n v="752.74385507091495"/>
    <n v="0.22248283245466199"/>
    <n v="2.2165559385647501E-2"/>
    <n v="0.70255450193499103"/>
    <n v="5.6471124820825801E-2"/>
    <n v="0.81742593882418901"/>
    <n v="0"/>
    <x v="42"/>
    <x v="18"/>
    <n v="342019921"/>
    <n v="1983"/>
  </r>
  <r>
    <n v="0.99088695767496604"/>
    <n v="10.403850498889501"/>
    <n v="38.293644749793003"/>
    <n v="0"/>
    <n v="5.5557410196896697"/>
    <n v="3.9111678744223699"/>
    <n v="192.19595357119599"/>
    <n v="27.693554747198299"/>
    <n v="42.904525144021598"/>
    <n v="20.3586901195753"/>
    <n v="16032.8804659498"/>
    <n v="763.08042056002"/>
    <n v="8.31878257174299E-2"/>
    <n v="1.2365574048304601E-2"/>
    <n v="0.80480360291847797"/>
    <n v="3.6195929929972601E-2"/>
    <n v="0.62565944650952598"/>
    <n v="0"/>
    <x v="43"/>
    <x v="1"/>
    <n v="4473173.6500000004"/>
    <n v="279"/>
  </r>
  <r>
    <n v="0.98841340535748001"/>
    <n v="13.051213997214999"/>
    <n v="26.5293119568022"/>
    <n v="0"/>
    <n v="5.5608652843503696"/>
    <n v="3.9000850382798502"/>
    <n v="192.29770916886599"/>
    <n v="27.0017397004552"/>
    <n v="44.874462202538901"/>
    <n v="34.043360291939003"/>
    <n v="25922.0768723404"/>
    <n v="757.772368679632"/>
    <n v="6.7969637985723003E-2"/>
    <n v="1.2769762940906501E-2"/>
    <n v="0.81406220896177806"/>
    <n v="3.2495216085887998E-2"/>
    <n v="0.674717053982966"/>
    <n v="0"/>
    <x v="43"/>
    <x v="2"/>
    <n v="24366752.260000002"/>
    <n v="940"/>
  </r>
  <r>
    <n v="0.98616522906802495"/>
    <n v="15.394961091827"/>
    <n v="14.1345501048914"/>
    <n v="0"/>
    <n v="5.5247696149404204"/>
    <n v="3.8568774254318998"/>
    <n v="192.37217815287701"/>
    <n v="27.405452395686901"/>
    <n v="50.1516918998026"/>
    <n v="42.837864458964802"/>
    <n v="35682.778567972899"/>
    <n v="752.76052215240998"/>
    <n v="8.7673265072654397E-2"/>
    <n v="3.1408806384687599E-2"/>
    <n v="0.78786898502273395"/>
    <n v="2.6204589621833699E-2"/>
    <n v="0.68807058013169098"/>
    <n v="0"/>
    <x v="43"/>
    <x v="3"/>
    <n v="73756303.299999997"/>
    <n v="2067"/>
  </r>
  <r>
    <n v="0.98433866788489699"/>
    <n v="17.256373643172001"/>
    <n v="13.5235951538902"/>
    <n v="0"/>
    <n v="5.5050771518747501"/>
    <n v="3.8399274393718699"/>
    <n v="192.40750932625599"/>
    <n v="27.374181552552201"/>
    <n v="52.311111344832"/>
    <n v="46.580049525738097"/>
    <n v="45607.289037037001"/>
    <n v="753.15747443877501"/>
    <n v="0.100689116756411"/>
    <n v="3.5795251318054E-2"/>
    <n v="0.762369143393405"/>
    <n v="3.5942283533349599E-2"/>
    <n v="0.72801087769546302"/>
    <n v="0"/>
    <x v="43"/>
    <x v="4"/>
    <n v="172395552.56"/>
    <n v="3780"/>
  </r>
  <r>
    <n v="0.98309741703366604"/>
    <n v="18.499802609829501"/>
    <n v="15.514149189668199"/>
    <n v="0"/>
    <n v="5.4867621723949096"/>
    <n v="3.81786762556764"/>
    <n v="192.466665224986"/>
    <n v="27.355105706537199"/>
    <n v="55.7122531497456"/>
    <n v="50.376160072295001"/>
    <n v="55364.868076018"/>
    <n v="755.05209804394303"/>
    <n v="0.11281676309340601"/>
    <n v="3.2803706214465198E-2"/>
    <n v="0.76442998191835099"/>
    <n v="3.79218542530581E-2"/>
    <n v="0.76461873395619295"/>
    <n v="0"/>
    <x v="43"/>
    <x v="5"/>
    <n v="305890896.12"/>
    <n v="5525"/>
  </r>
  <r>
    <n v="0.98213814514405195"/>
    <n v="19.448998101854599"/>
    <n v="15.689341245269601"/>
    <n v="0"/>
    <n v="5.4638526886321896"/>
    <n v="3.7922615721942998"/>
    <n v="192.51996900602899"/>
    <n v="27.148043551823601"/>
    <n v="58.4289209051637"/>
    <n v="53.273973832994599"/>
    <n v="65104.819307948397"/>
    <n v="753.65349717284096"/>
    <n v="0.11894813920837601"/>
    <n v="2.34977600608673E-2"/>
    <n v="0.77302846833027805"/>
    <n v="3.4976198234939998E-2"/>
    <n v="0.79512378047098897"/>
    <n v="0"/>
    <x v="43"/>
    <x v="6"/>
    <n v="449678986.95999998"/>
    <n v="6907"/>
  </r>
  <r>
    <n v="0.98099387286044004"/>
    <n v="20.5679925888296"/>
    <n v="18.5123347835553"/>
    <n v="0"/>
    <n v="5.4510612778236496"/>
    <n v="3.7730433128335399"/>
    <n v="192.50429743323099"/>
    <n v="28.6900466045484"/>
    <n v="60.076315236436002"/>
    <n v="55.379173979616503"/>
    <n v="74839.6388692076"/>
    <n v="753.83690224361703"/>
    <n v="0.134646500030594"/>
    <n v="2.7680801836206401E-2"/>
    <n v="0.74744115943221201"/>
    <n v="3.5966482720616602E-2"/>
    <n v="0.79911631527229099"/>
    <n v="0"/>
    <x v="43"/>
    <x v="7"/>
    <n v="473211036.56999999"/>
    <n v="6323"/>
  </r>
  <r>
    <n v="0.980124031491998"/>
    <n v="21.409065546584799"/>
    <n v="18.998847268333499"/>
    <n v="0"/>
    <n v="5.4534796807712898"/>
    <n v="3.7621854348422499"/>
    <n v="192.456554252703"/>
    <n v="29.037116017968199"/>
    <n v="62.994389465420099"/>
    <n v="58.274621598448498"/>
    <n v="84958.955192769106"/>
    <n v="752.88093748991105"/>
    <n v="0.13810032977714601"/>
    <n v="2.7251511569965501E-2"/>
    <n v="0.74408609694627104"/>
    <n v="3.2459187987319497E-2"/>
    <n v="0.79782247721796196"/>
    <n v="0"/>
    <x v="43"/>
    <x v="8"/>
    <n v="531078428.91000003"/>
    <n v="6251"/>
  </r>
  <r>
    <n v="0.97949940518137202"/>
    <n v="22.007988903527298"/>
    <n v="18.8188598587138"/>
    <n v="0"/>
    <n v="5.4447469108832696"/>
    <n v="3.7559505902547201"/>
    <n v="192.44621600422099"/>
    <n v="29.2838252690476"/>
    <n v="62.648246644705999"/>
    <n v="58.325645407491997"/>
    <n v="94934.472901482295"/>
    <n v="753.890135077134"/>
    <n v="0.15365992302690001"/>
    <n v="2.4416214404270001E-2"/>
    <n v="0.73989498774468099"/>
    <n v="4.5966119328303197E-2"/>
    <n v="0.81258955048874704"/>
    <n v="0"/>
    <x v="43"/>
    <x v="9"/>
    <n v="614795646.50999999"/>
    <n v="6476"/>
  </r>
  <r>
    <n v="0.97869254807713302"/>
    <n v="22.775451379420002"/>
    <n v="19.507846109530501"/>
    <n v="0"/>
    <n v="5.4409215105824096"/>
    <n v="3.74361916345448"/>
    <n v="192.43522930749"/>
    <n v="29.4139366621698"/>
    <n v="64.159888965293504"/>
    <n v="59.814533774286197"/>
    <n v="104851.606673117"/>
    <n v="750.77028659416601"/>
    <n v="0.17890752418480599"/>
    <n v="2.5273048462218398E-2"/>
    <n v="0.74102537037760496"/>
    <n v="4.6033210053679198E-2"/>
    <n v="0.84225915428784204"/>
    <n v="0"/>
    <x v="43"/>
    <x v="10"/>
    <n v="541768251.67999995"/>
    <n v="5167"/>
  </r>
  <r>
    <n v="0.97804840877867705"/>
    <n v="23.383164540426801"/>
    <n v="24.717697640499701"/>
    <n v="0"/>
    <n v="5.4306744919085501"/>
    <n v="3.73667232932053"/>
    <n v="192.44151238510099"/>
    <n v="29.606427077265"/>
    <n v="64.219145370093898"/>
    <n v="60.064991103101001"/>
    <n v="114975.781671763"/>
    <n v="751.36803268794495"/>
    <n v="0.19661777008707099"/>
    <n v="2.2643881163006401E-2"/>
    <n v="0.75145522219945005"/>
    <n v="4.6648323283794403E-2"/>
    <n v="0.84078324493794399"/>
    <n v="0"/>
    <x v="43"/>
    <x v="11"/>
    <n v="563956209.10000002"/>
    <n v="4905"/>
  </r>
  <r>
    <n v="0.97731793810845802"/>
    <n v="24.067020582592701"/>
    <n v="25.403074700584501"/>
    <n v="0"/>
    <n v="5.4272947589642202"/>
    <n v="3.7291739349333102"/>
    <n v="192.424350277999"/>
    <n v="29.460195906029099"/>
    <n v="65.183142700853494"/>
    <n v="61.023537173197298"/>
    <n v="124924.09514585701"/>
    <n v="750.52405811854703"/>
    <n v="0.19545653830316501"/>
    <n v="2.0787769801521201E-2"/>
    <n v="0.75127438101349897"/>
    <n v="4.8253724910171401E-2"/>
    <n v="0.85945094188207105"/>
    <n v="0"/>
    <x v="43"/>
    <x v="12"/>
    <n v="535299747.69999999"/>
    <n v="4285"/>
  </r>
  <r>
    <n v="0.97700276721555801"/>
    <n v="24.360347398937002"/>
    <n v="28.012312034654499"/>
    <n v="0"/>
    <n v="5.4199278786111504"/>
    <n v="3.7273486806664602"/>
    <n v="192.40706189234601"/>
    <n v="29.597874655423499"/>
    <n v="64.835841544733"/>
    <n v="60.615812805361998"/>
    <n v="134948.29680130401"/>
    <n v="750.68170613319"/>
    <n v="0.19592901056300999"/>
    <n v="2.34205831398555E-2"/>
    <n v="0.77138380196947598"/>
    <n v="5.1424720236750099E-2"/>
    <n v="0.86216439652711796"/>
    <n v="0"/>
    <x v="43"/>
    <x v="13"/>
    <n v="537903911.04999995"/>
    <n v="3986"/>
  </r>
  <r>
    <n v="0.97612340418389398"/>
    <n v="25.173279748651499"/>
    <n v="27.130236621756801"/>
    <n v="0"/>
    <n v="5.4241379181208602"/>
    <n v="3.7309245380220499"/>
    <n v="192.465267143457"/>
    <n v="29.720613159461099"/>
    <n v="64.276955080180201"/>
    <n v="60.153250314693203"/>
    <n v="144833.56486681401"/>
    <n v="748.28678258947298"/>
    <n v="0.194886587401678"/>
    <n v="2.5526702243629799E-2"/>
    <n v="0.73350472943901301"/>
    <n v="6.6063722395165794E-2"/>
    <n v="0.86738182798321095"/>
    <n v="0"/>
    <x v="43"/>
    <x v="14"/>
    <n v="521980167.77999997"/>
    <n v="3604"/>
  </r>
  <r>
    <n v="0.97553340371058805"/>
    <n v="25.7142113339752"/>
    <n v="24.301569892523599"/>
    <n v="0"/>
    <n v="5.4252600643002102"/>
    <n v="3.7277331363388"/>
    <n v="192.35294488859401"/>
    <n v="29.577092982038099"/>
    <n v="65.313850985437298"/>
    <n v="61.286039615648299"/>
    <n v="154859.08123310201"/>
    <n v="748.88969145721398"/>
    <n v="0.22529206896548501"/>
    <n v="2.8975443788206101E-2"/>
    <n v="0.74863926330180197"/>
    <n v="5.7452569836495597E-2"/>
    <n v="0.87470961630789801"/>
    <n v="0"/>
    <x v="43"/>
    <x v="15"/>
    <n v="469687593.38"/>
    <n v="3033"/>
  </r>
  <r>
    <n v="0.97458481859933199"/>
    <n v="26.576395070595701"/>
    <n v="24.815978563254799"/>
    <n v="0"/>
    <n v="5.43679723565974"/>
    <n v="3.7334238581524799"/>
    <n v="192.423718333945"/>
    <n v="29.800608186350399"/>
    <n v="65.471346777331107"/>
    <n v="61.452047840250302"/>
    <n v="164926.24656759601"/>
    <n v="747.87587255133406"/>
    <n v="0.20677763145455899"/>
    <n v="1.8513825121167601E-2"/>
    <n v="0.73628443810122601"/>
    <n v="6.1268668158321798E-2"/>
    <n v="0.890458293028626"/>
    <n v="0"/>
    <x v="43"/>
    <x v="16"/>
    <n v="455031514.27999997"/>
    <n v="2759"/>
  </r>
  <r>
    <n v="0.96607633731579801"/>
    <n v="33.909758675847897"/>
    <n v="35.168444060580399"/>
    <n v="0"/>
    <n v="5.3957782210187499"/>
    <n v="3.70615818971699"/>
    <n v="192.394204859491"/>
    <n v="29.6697406792122"/>
    <n v="66.550999712287407"/>
    <n v="61.938270509226399"/>
    <n v="278040.74624824902"/>
    <n v="746.67659410161104"/>
    <n v="0.28106060378078801"/>
    <n v="3.6378245128416198E-2"/>
    <n v="0.68473285939864004"/>
    <n v="0.109935006536186"/>
    <n v="0.87313408983767304"/>
    <n v="0"/>
    <x v="43"/>
    <x v="17"/>
    <n v="6352674970.2799997"/>
    <n v="22848"/>
  </r>
  <r>
    <n v="0.97403853361245196"/>
    <n v="27.068749801981099"/>
    <n v="22.165020723774798"/>
    <n v="0"/>
    <n v="5.42832375748511"/>
    <n v="3.7291312243826198"/>
    <n v="192.361847300156"/>
    <n v="29.527324014813399"/>
    <n v="65.625139177231006"/>
    <n v="61.895831356473998"/>
    <n v="172463.82543171101"/>
    <n v="751.81198315327902"/>
    <n v="0.23531338077761099"/>
    <n v="2.3498039178362198E-2"/>
    <n v="0.73386916937677704"/>
    <n v="5.8853655828380098E-2"/>
    <n v="0.86258829576699603"/>
    <n v="0"/>
    <x v="43"/>
    <x v="18"/>
    <n v="219718913.59999999"/>
    <n v="1274"/>
  </r>
  <r>
    <n v="0.99088334456445504"/>
    <n v="10.407770796294299"/>
    <n v="51.236398120318"/>
    <n v="0"/>
    <n v="5.5586307155110397"/>
    <n v="3.8554302979116599"/>
    <n v="196.92389407743499"/>
    <n v="28.9278570874209"/>
    <n v="43.7479505761615"/>
    <n v="19.143108173849502"/>
    <n v="16073.905467422001"/>
    <n v="768.55025623559902"/>
    <n v="7.9809477702853501E-2"/>
    <n v="1.03157570874954E-2"/>
    <n v="0.76827505953145403"/>
    <n v="3.3828888217419299E-2"/>
    <n v="0.60248897804051305"/>
    <n v="0"/>
    <x v="44"/>
    <x v="1"/>
    <n v="5674088.6299999999"/>
    <n v="353"/>
  </r>
  <r>
    <n v="0.98823507816719902"/>
    <n v="13.2392724267504"/>
    <n v="34.817776370658201"/>
    <n v="0"/>
    <n v="5.5445824082208697"/>
    <n v="3.8380073057854101"/>
    <n v="196.87625096211801"/>
    <n v="28.337289943014898"/>
    <n v="44.208371045361702"/>
    <n v="30.5717814039925"/>
    <n v="25918.102133726599"/>
    <n v="766.67407744793297"/>
    <n v="7.4068801152595995E-2"/>
    <n v="1.30983933471247E-2"/>
    <n v="0.765018355960985"/>
    <n v="4.3087452519541602E-2"/>
    <n v="0.64405209070272296"/>
    <n v="0"/>
    <x v="44"/>
    <x v="2"/>
    <n v="26358709.870000001"/>
    <n v="1017"/>
  </r>
  <r>
    <n v="0.98627149390808599"/>
    <n v="15.2854962166841"/>
    <n v="22.507626673087401"/>
    <n v="0"/>
    <n v="5.5423385211566396"/>
    <n v="3.8226131927664402"/>
    <n v="196.99005427054499"/>
    <n v="27.925029494453099"/>
    <n v="47.999714659503901"/>
    <n v="39.9075563459457"/>
    <n v="35504.344131475802"/>
    <n v="761.97691620031901"/>
    <n v="9.9910145132525496E-2"/>
    <n v="1.8721221199186899E-2"/>
    <n v="0.78814441953747305"/>
    <n v="3.5388113715611E-2"/>
    <n v="0.68304361745270303"/>
    <n v="0"/>
    <x v="44"/>
    <x v="3"/>
    <n v="81553478.469999999"/>
    <n v="2297"/>
  </r>
  <r>
    <n v="0.98437171032334503"/>
    <n v="17.223036872804698"/>
    <n v="17.861538269886601"/>
    <n v="0"/>
    <n v="5.5239346020984401"/>
    <n v="3.8062940144789499"/>
    <n v="196.92872820336299"/>
    <n v="27.794431658417899"/>
    <n v="49.017070916902398"/>
    <n v="43.5311539762276"/>
    <n v="45665.114289227698"/>
    <n v="761.61357118054798"/>
    <n v="9.2048608423142594E-2"/>
    <n v="2.38088845233509E-2"/>
    <n v="0.75932725070081997"/>
    <n v="4.1671117438384697E-2"/>
    <n v="0.72869161171238395"/>
    <n v="0"/>
    <x v="44"/>
    <x v="4"/>
    <n v="185674354.69999999"/>
    <n v="4066"/>
  </r>
  <r>
    <n v="0.98314952341225903"/>
    <n v="18.447951166679101"/>
    <n v="14.379865071456701"/>
    <n v="0"/>
    <n v="5.5008408736031598"/>
    <n v="3.7866301441308199"/>
    <n v="196.94637602100201"/>
    <n v="27.6909830038508"/>
    <n v="51.366362287701001"/>
    <n v="46.586554482543697"/>
    <n v="55237.845079424398"/>
    <n v="762.68875004875997"/>
    <n v="0.11066839014503101"/>
    <n v="2.0075873277705301E-2"/>
    <n v="0.77506053176188106"/>
    <n v="4.0822886306299697E-2"/>
    <n v="0.79279117436472202"/>
    <n v="0"/>
    <x v="44"/>
    <x v="5"/>
    <n v="295577709.01999998"/>
    <n v="5351"/>
  </r>
  <r>
    <n v="0.98215650424959"/>
    <n v="19.4309273682744"/>
    <n v="14.0765797253835"/>
    <n v="0"/>
    <n v="5.4839560543798704"/>
    <n v="3.7660001623075101"/>
    <n v="196.926396192803"/>
    <n v="27.3483357555053"/>
    <n v="54.347715693374198"/>
    <n v="49.874841719761797"/>
    <n v="65107.105802804101"/>
    <n v="759.016614630812"/>
    <n v="0.126902596468317"/>
    <n v="1.44295995068104E-2"/>
    <n v="0.78779514770035697"/>
    <n v="3.89065685510789E-2"/>
    <n v="0.81008284825750299"/>
    <n v="0"/>
    <x v="44"/>
    <x v="6"/>
    <n v="431855432.79000002"/>
    <n v="6633"/>
  </r>
  <r>
    <n v="0.98102324789610595"/>
    <n v="20.539445592549999"/>
    <n v="19.955828907964602"/>
    <n v="0"/>
    <n v="5.4662027086899396"/>
    <n v="3.7463499722296598"/>
    <n v="196.94209631334701"/>
    <n v="29.2417397721802"/>
    <n v="55.667966315594903"/>
    <n v="51.5718436764408"/>
    <n v="74899.052733492397"/>
    <n v="759.49862841883896"/>
    <n v="0.138467897899023"/>
    <n v="1.95888262439513E-2"/>
    <n v="0.75994975266741005"/>
    <n v="3.7882072035729603E-2"/>
    <n v="0.81990091364987805"/>
    <n v="0"/>
    <x v="44"/>
    <x v="7"/>
    <n v="470740546.43000001"/>
    <n v="6285"/>
  </r>
  <r>
    <n v="0.98013178930136802"/>
    <n v="21.401600531823"/>
    <n v="19.016131249174801"/>
    <n v="0"/>
    <n v="5.4680564747915499"/>
    <n v="3.7369121834654302"/>
    <n v="196.95526286792199"/>
    <n v="29.5868646018478"/>
    <n v="58.450889596037896"/>
    <n v="54.4023611532958"/>
    <n v="84953.560849073503"/>
    <n v="758.65972597483096"/>
    <n v="0.14202097520488999"/>
    <n v="2.3788292651870799E-2"/>
    <n v="0.75894061535973201"/>
    <n v="3.2297369830079102E-2"/>
    <n v="0.83180721054373197"/>
    <n v="0"/>
    <x v="44"/>
    <x v="8"/>
    <n v="472256844.75999999"/>
    <n v="5559"/>
  </r>
  <r>
    <n v="0.97945737498792695"/>
    <n v="22.048138952994901"/>
    <n v="23.833805753195701"/>
    <n v="0"/>
    <n v="5.4612593176841502"/>
    <n v="3.7301372445985499"/>
    <n v="196.95015213533199"/>
    <n v="29.8706284094079"/>
    <n v="57.659250682250999"/>
    <n v="53.979685548187902"/>
    <n v="94889.656398135805"/>
    <n v="758.66420975244398"/>
    <n v="0.151619997200236"/>
    <n v="2.1432506814621499E-2"/>
    <n v="0.751935179876979"/>
    <n v="4.7493038443435602E-2"/>
    <n v="0.84128161302566196"/>
    <n v="0"/>
    <x v="44"/>
    <x v="9"/>
    <n v="570097055.63999999"/>
    <n v="6008"/>
  </r>
  <r>
    <n v="0.97883272262423904"/>
    <n v="22.6426197052369"/>
    <n v="23.8065919946315"/>
    <n v="0"/>
    <n v="5.4699001435361403"/>
    <n v="3.7319848062094301"/>
    <n v="196.99134905755301"/>
    <n v="29.809730505046101"/>
    <n v="60.152132071834501"/>
    <n v="56.240735613037103"/>
    <n v="104852.574305367"/>
    <n v="756.080052396101"/>
    <n v="0.193348494884449"/>
    <n v="2.0196183566291801E-2"/>
    <n v="0.768480131542156"/>
    <n v="4.9079139147895703E-2"/>
    <n v="0.87163196133903098"/>
    <n v="0"/>
    <x v="44"/>
    <x v="10"/>
    <n v="464916314.47000003"/>
    <n v="4434"/>
  </r>
  <r>
    <n v="0.977998941145237"/>
    <n v="23.4296530295167"/>
    <n v="24.2717321939997"/>
    <n v="0"/>
    <n v="5.4498835711657296"/>
    <n v="3.71628084733968"/>
    <n v="197.00270929896399"/>
    <n v="30.221794356822802"/>
    <n v="59.819034840645898"/>
    <n v="56.270214943846199"/>
    <n v="115031.261410081"/>
    <n v="756.48856598202406"/>
    <n v="0.19209343268694701"/>
    <n v="1.7475763278287901E-2"/>
    <n v="0.76281780750236405"/>
    <n v="5.3447299509691099E-2"/>
    <n v="0.86211076362415595"/>
    <n v="0"/>
    <x v="44"/>
    <x v="11"/>
    <n v="506597675.25"/>
    <n v="4404"/>
  </r>
  <r>
    <n v="0.97738659638113701"/>
    <n v="24.0029827681375"/>
    <n v="26.4137299099534"/>
    <n v="0"/>
    <n v="5.4540648591515497"/>
    <n v="3.71909759340015"/>
    <n v="196.97598038036301"/>
    <n v="29.895189398288899"/>
    <n v="60.584564104310097"/>
    <n v="56.988871659707797"/>
    <n v="124925.914214898"/>
    <n v="755.05451974478501"/>
    <n v="0.201892975131196"/>
    <n v="2.0214449572435501E-2"/>
    <n v="0.75870719093446604"/>
    <n v="5.7679900802028797E-2"/>
    <n v="0.88229111733247501"/>
    <n v="0"/>
    <x v="44"/>
    <x v="12"/>
    <n v="451107476.23000002"/>
    <n v="3611"/>
  </r>
  <r>
    <n v="0.97703708629546704"/>
    <n v="24.328457398862099"/>
    <n v="26.6328899991911"/>
    <n v="0"/>
    <n v="5.4304382258044903"/>
    <n v="3.7016348032897701"/>
    <n v="196.98114917097601"/>
    <n v="30.032672557531502"/>
    <n v="60.431881343336102"/>
    <n v="56.534035439598398"/>
    <n v="134915.44464589999"/>
    <n v="757.29602417958199"/>
    <n v="0.22182471158852099"/>
    <n v="1.7359676027999E-2"/>
    <n v="0.78672819632435798"/>
    <n v="5.67412049507919E-2"/>
    <n v="0.88816294896180703"/>
    <n v="0"/>
    <x v="44"/>
    <x v="13"/>
    <n v="459117258.13"/>
    <n v="3403"/>
  </r>
  <r>
    <n v="0.97619594716869396"/>
    <n v="25.106521309400701"/>
    <n v="24.456070218528701"/>
    <n v="0"/>
    <n v="5.4411893340961699"/>
    <n v="3.7086697638664998"/>
    <n v="196.976081367728"/>
    <n v="30.126215918362899"/>
    <n v="59.691173838798797"/>
    <n v="56.277264284602801"/>
    <n v="144807.81542026199"/>
    <n v="754.92839211080798"/>
    <n v="0.199456878955658"/>
    <n v="1.7460907305202601E-2"/>
    <n v="0.76544546254210799"/>
    <n v="6.3728220234838998E-2"/>
    <n v="0.89303361640543"/>
    <n v="0"/>
    <x v="44"/>
    <x v="14"/>
    <n v="453103654.44999999"/>
    <n v="3129"/>
  </r>
  <r>
    <n v="0.97559598745458398"/>
    <n v="25.657002957363002"/>
    <n v="27.826124770005698"/>
    <n v="0"/>
    <n v="5.4527961533497402"/>
    <n v="3.7141759705630601"/>
    <n v="197.018322073234"/>
    <n v="30.045634726710201"/>
    <n v="61.283752372396897"/>
    <n v="57.643771178007299"/>
    <n v="154911.061609375"/>
    <n v="752.98376682569005"/>
    <n v="0.230607367139957"/>
    <n v="1.9884874631032001E-2"/>
    <n v="0.77791621266872302"/>
    <n v="6.9703340311102896E-2"/>
    <n v="0.90478966276042705"/>
    <n v="0"/>
    <x v="44"/>
    <x v="15"/>
    <n v="396572317.72000003"/>
    <n v="2560"/>
  </r>
  <r>
    <n v="0.97488306487787402"/>
    <n v="26.306308216596602"/>
    <n v="35.3053817292421"/>
    <n v="0"/>
    <n v="5.4581870477071099"/>
    <n v="3.7146444087497899"/>
    <n v="196.95540314934499"/>
    <n v="30.071527048646601"/>
    <n v="61.584569706001602"/>
    <n v="58.095910678960202"/>
    <n v="164966.706654257"/>
    <n v="752.57519264568305"/>
    <n v="0.22365357835788899"/>
    <n v="2.2281992889315799E-2"/>
    <n v="0.76304016441716205"/>
    <n v="7.5961539209584206E-2"/>
    <n v="0.90642577104844102"/>
    <n v="0"/>
    <x v="44"/>
    <x v="16"/>
    <n v="354513452.60000002"/>
    <n v="2149"/>
  </r>
  <r>
    <n v="0.96597338839537605"/>
    <n v="33.994223213804602"/>
    <n v="34.761980023145803"/>
    <n v="0"/>
    <n v="5.4195847383380196"/>
    <n v="3.68615494552694"/>
    <n v="197.010341690589"/>
    <n v="30.044495197938801"/>
    <n v="62.592301165034101"/>
    <n v="58.635482487381601"/>
    <n v="278608.21230253798"/>
    <n v="749.97946923999905"/>
    <n v="0.29948103504704199"/>
    <n v="3.1282779753670699E-2"/>
    <n v="0.70575574024990795"/>
    <n v="0.116302797567006"/>
    <n v="0.893694451739387"/>
    <n v="0"/>
    <x v="44"/>
    <x v="17"/>
    <n v="4906569226.8599997"/>
    <n v="17611"/>
  </r>
  <r>
    <n v="0.97428056492201798"/>
    <n v="26.850986881412599"/>
    <n v="29.731735434658901"/>
    <n v="0"/>
    <n v="5.4636477648493997"/>
    <n v="3.72045595692465"/>
    <n v="196.97836564238401"/>
    <n v="29.9028237967865"/>
    <n v="60.937632905087099"/>
    <n v="57.568551539463598"/>
    <n v="172589.11403180499"/>
    <n v="753.65578080805994"/>
    <n v="0.235827430675041"/>
    <n v="2.05580072645964E-2"/>
    <n v="0.77638205855990805"/>
    <n v="7.2959939071434596E-2"/>
    <n v="0.90451594895734"/>
    <n v="0"/>
    <x v="44"/>
    <x v="18"/>
    <n v="184497762.90000001"/>
    <n v="1069"/>
  </r>
  <r>
    <n v="0.99052971558976299"/>
    <n v="10.7907054087856"/>
    <n v="52.2859052676191"/>
    <n v="0"/>
    <n v="5.6466724038694602"/>
    <n v="3.86845191363525"/>
    <n v="202.02017065596399"/>
    <n v="28.563642714667399"/>
    <n v="42.012943365114502"/>
    <n v="19.9282531179045"/>
    <n v="16409.825719844299"/>
    <n v="762.99656845529296"/>
    <n v="7.9240225346529497E-2"/>
    <n v="1.7866670519345599E-2"/>
    <n v="0.81266721662188302"/>
    <n v="1.3099321785525701E-2"/>
    <n v="0.62948682347406604"/>
    <n v="0"/>
    <x v="45"/>
    <x v="1"/>
    <n v="4217325.21"/>
    <n v="257"/>
  </r>
  <r>
    <n v="0.98814336256376001"/>
    <n v="13.335847650723499"/>
    <n v="24.392020976957198"/>
    <n v="0"/>
    <n v="5.6707364273015699"/>
    <n v="3.89458865350176"/>
    <n v="202.071426378963"/>
    <n v="27.549777904719399"/>
    <n v="44.313537056518101"/>
    <n v="33.390536476530102"/>
    <n v="26057.078769017899"/>
    <n v="760.74438761884005"/>
    <n v="6.8008088923646307E-2"/>
    <n v="1.04907590106228E-2"/>
    <n v="0.78896442417233004"/>
    <n v="3.0630303764005801E-2"/>
    <n v="0.70372132373646701"/>
    <n v="0"/>
    <x v="45"/>
    <x v="2"/>
    <n v="18839267.949999999"/>
    <n v="723"/>
  </r>
  <r>
    <n v="0.98619010398233797"/>
    <n v="15.3693487296563"/>
    <n v="17.0237102377566"/>
    <n v="0"/>
    <n v="5.6292850261324103"/>
    <n v="3.8489636558479599"/>
    <n v="202.05359417431399"/>
    <n v="27.755575818094901"/>
    <n v="47.915314716348703"/>
    <n v="40.827895861121597"/>
    <n v="35576.310634146299"/>
    <n v="754.86047327570202"/>
    <n v="0.106548263903118"/>
    <n v="1.87755136547645E-2"/>
    <n v="0.80724963706597297"/>
    <n v="3.0579860658936E-2"/>
    <n v="0.72691780545724805"/>
    <n v="0"/>
    <x v="45"/>
    <x v="3"/>
    <n v="58345149.439999998"/>
    <n v="1640"/>
  </r>
  <r>
    <n v="0.98431862683504501"/>
    <n v="17.276587216185501"/>
    <n v="16.438917197801999"/>
    <n v="0"/>
    <n v="5.6059811571641003"/>
    <n v="3.8246754702414401"/>
    <n v="202.07175912048999"/>
    <n v="27.8504413878916"/>
    <n v="50.143234642840703"/>
    <n v="45.147227311518598"/>
    <n v="45656.171921249101"/>
    <n v="753.84517353449405"/>
    <n v="0.10848514488260599"/>
    <n v="2.64916071386678E-2"/>
    <n v="0.78074530095334305"/>
    <n v="3.28623343681156E-2"/>
    <n v="0.75564045140090197"/>
    <n v="0"/>
    <x v="45"/>
    <x v="4"/>
    <n v="134503082.47999999"/>
    <n v="2946"/>
  </r>
  <r>
    <n v="0.98313180670121603"/>
    <n v="18.465584588956901"/>
    <n v="15.615588388499701"/>
    <n v="0"/>
    <n v="5.5916870202456401"/>
    <n v="3.80704491274094"/>
    <n v="202.03914925289601"/>
    <n v="27.997063808651198"/>
    <n v="54.039248523174102"/>
    <n v="49.511656789823398"/>
    <n v="55206.817956989202"/>
    <n v="756.25287450899395"/>
    <n v="0.123939509670764"/>
    <n v="2.58258883023142E-2"/>
    <n v="0.78785889275051901"/>
    <n v="3.5179672699718001E-2"/>
    <n v="0.80790707122704297"/>
    <n v="0"/>
    <x v="45"/>
    <x v="5"/>
    <n v="210503596.87"/>
    <n v="3813"/>
  </r>
  <r>
    <n v="0.98211225594292195"/>
    <n v="19.4744743400116"/>
    <n v="19.4559163210312"/>
    <n v="0"/>
    <n v="5.56465190445953"/>
    <n v="3.7774005234223398"/>
    <n v="202.06635795330499"/>
    <n v="27.524132145045701"/>
    <n v="57.008028176318398"/>
    <n v="52.684386419292601"/>
    <n v="65078.1224768713"/>
    <n v="751.78367924513896"/>
    <n v="0.14408038413416099"/>
    <n v="1.7652405770233099E-2"/>
    <n v="0.80678965142530201"/>
    <n v="3.6244784667575698E-2"/>
    <n v="0.83203788974589399"/>
    <n v="0"/>
    <x v="45"/>
    <x v="6"/>
    <n v="309511550.5"/>
    <n v="4756"/>
  </r>
  <r>
    <n v="0.98115887054678397"/>
    <n v="20.4075239622033"/>
    <n v="18.925875345947901"/>
    <n v="0"/>
    <n v="5.5461863350021101"/>
    <n v="3.7564424997397801"/>
    <n v="202.078372294861"/>
    <n v="29.2813068498638"/>
    <n v="59.222496373644503"/>
    <n v="55.159731291192301"/>
    <n v="74798.227676792201"/>
    <n v="753.16152779608296"/>
    <n v="0.16073995579684"/>
    <n v="2.35165403042061E-2"/>
    <n v="0.80264994741540896"/>
    <n v="3.2270900076100999E-2"/>
    <n v="0.84799231324429203"/>
    <n v="0"/>
    <x v="45"/>
    <x v="7"/>
    <n v="307794706.88999999"/>
    <n v="4115"/>
  </r>
  <r>
    <n v="0.98025820242389095"/>
    <n v="21.279866857930301"/>
    <n v="18.5288930482163"/>
    <n v="0"/>
    <n v="5.5330584430726697"/>
    <n v="3.7359683697084001"/>
    <n v="202.081573433253"/>
    <n v="29.640096027684699"/>
    <n v="62.634915984686202"/>
    <n v="58.385590967120699"/>
    <n v="84964.065683275694"/>
    <n v="753.58081202321898"/>
    <n v="0.15956975457217801"/>
    <n v="2.1154150405988802E-2"/>
    <n v="0.78984157813710199"/>
    <n v="3.6997313457356802E-2"/>
    <n v="0.84475291220933202"/>
    <n v="0"/>
    <x v="45"/>
    <x v="8"/>
    <n v="344444322.27999997"/>
    <n v="4054"/>
  </r>
  <r>
    <n v="0.979672502829257"/>
    <n v="21.8424345839015"/>
    <n v="22.879674374671499"/>
    <n v="0"/>
    <n v="5.53501079087743"/>
    <n v="3.7385005415450099"/>
    <n v="202.085509324529"/>
    <n v="30.103496400648901"/>
    <n v="62.1587309545666"/>
    <n v="58.3499426976717"/>
    <n v="94827.925408443596"/>
    <n v="754.31313517320098"/>
    <n v="0.18086164921769801"/>
    <n v="2.40630185209426E-2"/>
    <n v="0.778005183300295"/>
    <n v="4.08256623634441E-2"/>
    <n v="0.85925942268809496"/>
    <n v="0"/>
    <x v="45"/>
    <x v="9"/>
    <n v="379596185.41000003"/>
    <n v="4003"/>
  </r>
  <r>
    <n v="0.978997430032854"/>
    <n v="22.486272678924902"/>
    <n v="26.380677317142101"/>
    <n v="0"/>
    <n v="5.5323340041950804"/>
    <n v="3.7329401247079299"/>
    <n v="202.083307302105"/>
    <n v="30.053996326982801"/>
    <n v="63.416906142712399"/>
    <n v="59.4535836886308"/>
    <n v="104894.73527468801"/>
    <n v="753.01831375219194"/>
    <n v="0.23180817147386401"/>
    <n v="2.9766977596547398E-2"/>
    <n v="0.770783845056359"/>
    <n v="4.3760539107415397E-2"/>
    <n v="0.87886336955487898"/>
    <n v="0"/>
    <x v="45"/>
    <x v="10"/>
    <n v="311222679.56"/>
    <n v="2967"/>
  </r>
  <r>
    <n v="0.97843479000477196"/>
    <n v="23.019161533704199"/>
    <n v="21.226884579013699"/>
    <n v="0"/>
    <n v="5.5198784463933901"/>
    <n v="3.7220221485320701"/>
    <n v="202.05631103464"/>
    <n v="30.225793384301699"/>
    <n v="64.563390860425201"/>
    <n v="60.7549996908607"/>
    <n v="114897.090772134"/>
    <n v="752.11809341687001"/>
    <n v="0.22714362830451301"/>
    <n v="1.7885059403546399E-2"/>
    <n v="0.78858156112682598"/>
    <n v="3.6936507645854197E-2"/>
    <n v="0.88362279614519001"/>
    <n v="0"/>
    <x v="45"/>
    <x v="11"/>
    <n v="334810122.50999999"/>
    <n v="2914"/>
  </r>
  <r>
    <n v="0.97774227756803"/>
    <n v="23.670444418585099"/>
    <n v="20.815450326039802"/>
    <n v="0"/>
    <n v="5.5215184930609196"/>
    <n v="3.7213912993323999"/>
    <n v="202.085048493632"/>
    <n v="30.273458333668898"/>
    <n v="64.284688356785594"/>
    <n v="60.472611279194602"/>
    <n v="125008.612352941"/>
    <n v="751.46111373951203"/>
    <n v="0.22612127443708399"/>
    <n v="2.4603648366984698E-2"/>
    <n v="0.78677665179173495"/>
    <n v="4.82812694709756E-2"/>
    <n v="0.88325551703924599"/>
    <n v="0"/>
    <x v="45"/>
    <x v="12"/>
    <n v="314521668.68000001"/>
    <n v="2516"/>
  </r>
  <r>
    <n v="0.97757043228761098"/>
    <n v="23.831274551299298"/>
    <n v="22.2762470304205"/>
    <n v="0"/>
    <n v="5.5179782326808899"/>
    <n v="3.7164256443422801"/>
    <n v="202.118884830441"/>
    <n v="30.3540446324734"/>
    <n v="65.1372091387354"/>
    <n v="61.004467731027702"/>
    <n v="134925.61439013999"/>
    <n v="751.51587694867601"/>
    <n v="0.25198734762287001"/>
    <n v="1.7071876782439401E-2"/>
    <n v="0.82500174721415898"/>
    <n v="5.2496450832322801E-2"/>
    <n v="0.89893621807606305"/>
    <n v="0"/>
    <x v="45"/>
    <x v="13"/>
    <n v="317479970.66000003"/>
    <n v="2353"/>
  </r>
  <r>
    <n v="0.97664915728227897"/>
    <n v="24.6882124274868"/>
    <n v="26.468981243923601"/>
    <n v="0"/>
    <n v="5.5179361994866003"/>
    <n v="3.7153243757297099"/>
    <n v="202.11487249639899"/>
    <n v="30.167787533760599"/>
    <n v="64.267984262834105"/>
    <n v="60.595477219655599"/>
    <n v="144882.35616634699"/>
    <n v="751.97100390223602"/>
    <n v="0.22679292955761499"/>
    <n v="1.41884129791252E-2"/>
    <n v="0.78445183143086905"/>
    <n v="5.4031575326801903E-2"/>
    <n v="0.91249066862166495"/>
    <n v="0"/>
    <x v="45"/>
    <x v="14"/>
    <n v="303093889.10000002"/>
    <n v="2092"/>
  </r>
  <r>
    <n v="0.97616899270464397"/>
    <n v="25.131332808059"/>
    <n v="29.517209536462399"/>
    <n v="0"/>
    <n v="5.5272793133157698"/>
    <n v="3.7236577602800298"/>
    <n v="202.14576245425101"/>
    <n v="29.960582222149402"/>
    <n v="64.279136430882502"/>
    <n v="60.454330595012301"/>
    <n v="155007.561725512"/>
    <n v="749.832484527833"/>
    <n v="0.27519695630644098"/>
    <n v="3.0688753261685499E-2"/>
    <n v="0.80090710159876199"/>
    <n v="6.0029963108010002E-2"/>
    <n v="0.91225488486978901"/>
    <n v="0"/>
    <x v="45"/>
    <x v="15"/>
    <n v="272193278.38999999"/>
    <n v="1756"/>
  </r>
  <r>
    <n v="0.97539197927024801"/>
    <n v="25.8433401164502"/>
    <n v="28.8443142246064"/>
    <n v="0"/>
    <n v="5.5382177449814503"/>
    <n v="3.7247542483855098"/>
    <n v="202.157811338182"/>
    <n v="30.124582757612298"/>
    <n v="66.123286707019204"/>
    <n v="62.292184633570699"/>
    <n v="165040.58976470499"/>
    <n v="748.98363725721697"/>
    <n v="0.26643312006254899"/>
    <n v="2.20790786593393E-2"/>
    <n v="0.80857555106441703"/>
    <n v="5.8910707138980403E-2"/>
    <n v="0.92151237233249805"/>
    <n v="0"/>
    <x v="45"/>
    <x v="16"/>
    <n v="252512102.34"/>
    <n v="1530"/>
  </r>
  <r>
    <n v="0.96654850440358697"/>
    <n v="33.521097988715198"/>
    <n v="32.031303774367501"/>
    <n v="0"/>
    <n v="5.4872345300466696"/>
    <n v="3.6909386143779601"/>
    <n v="202.08642486175"/>
    <n v="30.0581056745071"/>
    <n v="67.425479968146405"/>
    <n v="62.933067613885498"/>
    <n v="279301.47315863799"/>
    <n v="747.12945828372904"/>
    <n v="0.32099692357897103"/>
    <n v="3.4244651735104902E-2"/>
    <n v="0.71713837098620303"/>
    <n v="0.10978549168157201"/>
    <n v="0.90111212105489003"/>
    <n v="0"/>
    <x v="45"/>
    <x v="17"/>
    <n v="3160296168.79"/>
    <n v="11315"/>
  </r>
  <r>
    <n v="0.97526019544585896"/>
    <n v="25.9634812251707"/>
    <n v="24.895140770856699"/>
    <n v="0"/>
    <n v="5.53293003623837"/>
    <n v="3.72829113915133"/>
    <n v="202.09790044565699"/>
    <n v="30.257078668165999"/>
    <n v="64.370553181372202"/>
    <n v="61.074524787074097"/>
    <n v="172539.26057534199"/>
    <n v="752.26037589112298"/>
    <n v="0.28899063748065801"/>
    <n v="1.6524863401067701E-2"/>
    <n v="0.82344197452335"/>
    <n v="7.9385278621798103E-2"/>
    <n v="0.92330062442706196"/>
    <n v="0"/>
    <x v="45"/>
    <x v="18"/>
    <n v="125953660.22"/>
    <n v="730"/>
  </r>
  <r>
    <n v="0.99058013652367005"/>
    <n v="10.7361979017448"/>
    <n v="55.176725042208197"/>
    <n v="0"/>
    <n v="5.5736241639100896"/>
    <n v="3.7857675321748698"/>
    <n v="207.88817731115299"/>
    <n v="29.403892241224899"/>
    <n v="41.186334808401298"/>
    <n v="17.6622166867229"/>
    <n v="15976.789444444399"/>
    <n v="773.63491400713997"/>
    <n v="5.9766937600208299E-2"/>
    <n v="2.55550786677659E-2"/>
    <n v="0.78075232122320704"/>
    <n v="2.6813466660542001E-2"/>
    <n v="0.64928564021165702"/>
    <n v="0"/>
    <x v="46"/>
    <x v="1"/>
    <n v="4313733.1500000004"/>
    <n v="270"/>
  </r>
  <r>
    <n v="0.98805153202734797"/>
    <n v="13.4324451614293"/>
    <n v="26.906684309633899"/>
    <n v="0"/>
    <n v="5.5912329842753996"/>
    <n v="3.7920531714925798"/>
    <n v="207.73184931587801"/>
    <n v="28.693772810138999"/>
    <n v="40.602675556111997"/>
    <n v="29.369461567444802"/>
    <n v="26220.298837209299"/>
    <n v="764.28105025156401"/>
    <n v="7.0838330497270896E-2"/>
    <n v="7.2552633972516496E-3"/>
    <n v="0.81265027301987802"/>
    <n v="3.8923472192700599E-2"/>
    <n v="0.74903781718557505"/>
    <n v="0"/>
    <x v="46"/>
    <x v="2"/>
    <n v="18039565.600000001"/>
    <n v="688"/>
  </r>
  <r>
    <n v="0.98614270565135898"/>
    <n v="15.418146113537301"/>
    <n v="19.449283880783099"/>
    <n v="0"/>
    <n v="5.5865040366042598"/>
    <n v="3.7780187904728999"/>
    <n v="207.65263448584199"/>
    <n v="28.372518184469101"/>
    <n v="46.0530625448759"/>
    <n v="39.033339880921602"/>
    <n v="35713.074549019599"/>
    <n v="760.429314020677"/>
    <n v="9.9889522967159E-2"/>
    <n v="1.9874347821418802E-2"/>
    <n v="0.81105747565210395"/>
    <n v="2.09103895445511E-2"/>
    <n v="0.76902517812188198"/>
    <n v="0"/>
    <x v="46"/>
    <x v="3"/>
    <n v="54641004.060000002"/>
    <n v="1530"/>
  </r>
  <r>
    <n v="0.98474587085916998"/>
    <n v="16.844683414802802"/>
    <n v="18.9394416727452"/>
    <n v="0"/>
    <n v="5.5773697529774298"/>
    <n v="3.7712839169708499"/>
    <n v="207.73286924884701"/>
    <n v="28.403092157956301"/>
    <n v="47.860460020745798"/>
    <n v="42.565513296620402"/>
    <n v="45639.042362376902"/>
    <n v="763.18101507957897"/>
    <n v="0.121361726215231"/>
    <n v="2.0998301455559601E-2"/>
    <n v="0.82829538567552097"/>
    <n v="3.0629150167693599E-2"/>
    <n v="0.81243272332663496"/>
    <n v="0"/>
    <x v="46"/>
    <x v="4"/>
    <n v="125187893.2"/>
    <n v="2743"/>
  </r>
  <r>
    <n v="0.98367525272908796"/>
    <n v="17.923099677784201"/>
    <n v="19.3821696509929"/>
    <n v="0"/>
    <n v="5.5660987988731199"/>
    <n v="3.76044842355775"/>
    <n v="207.736308009677"/>
    <n v="27.9311934632745"/>
    <n v="50.477553309952199"/>
    <n v="45.326215347031699"/>
    <n v="55339.350977854403"/>
    <n v="761.55691055279999"/>
    <n v="0.13971507756235499"/>
    <n v="1.69115376465938E-2"/>
    <n v="0.84718677393584796"/>
    <n v="3.4948953349984498E-2"/>
    <n v="0.86669535655847496"/>
    <n v="0"/>
    <x v="46"/>
    <x v="5"/>
    <n v="192414923.34999999"/>
    <n v="3477"/>
  </r>
  <r>
    <n v="0.98277275717954304"/>
    <n v="18.822193878101501"/>
    <n v="15.7630966339925"/>
    <n v="0"/>
    <n v="5.5584215941787001"/>
    <n v="3.7525531811875101"/>
    <n v="207.70891295762701"/>
    <n v="27.965991432800401"/>
    <n v="53.181135388464803"/>
    <n v="48.705464563532502"/>
    <n v="65041.439720984701"/>
    <n v="759.22965361754996"/>
    <n v="0.16426392434543399"/>
    <n v="1.3045023238324099E-2"/>
    <n v="0.84805823515128598"/>
    <n v="3.76203503070155E-2"/>
    <n v="0.88515907069322897"/>
    <n v="0"/>
    <x v="46"/>
    <x v="6"/>
    <n v="277401740.41000003"/>
    <n v="4265"/>
  </r>
  <r>
    <n v="0.98171992809396202"/>
    <n v="19.859641146842598"/>
    <n v="20.736310077852298"/>
    <n v="0"/>
    <n v="5.5415736740572399"/>
    <n v="3.7326188243659"/>
    <n v="207.782821693843"/>
    <n v="29.833143424169599"/>
    <n v="55.188172882756199"/>
    <n v="50.969009109017001"/>
    <n v="74824.616495995404"/>
    <n v="760.44609940830196"/>
    <n v="0.155443550235947"/>
    <n v="2.2848448070668999E-2"/>
    <n v="0.82009697501117096"/>
    <n v="3.7789273580431999E-2"/>
    <n v="0.87386305970383904"/>
    <n v="0"/>
    <x v="46"/>
    <x v="7"/>
    <n v="261586859.27000001"/>
    <n v="3496"/>
  </r>
  <r>
    <n v="0.980916862234267"/>
    <n v="20.6427877736479"/>
    <n v="22.287232623331501"/>
    <n v="0"/>
    <n v="5.5516434102684604"/>
    <n v="3.7309175227070699"/>
    <n v="207.70918519795401"/>
    <n v="30.3272274472871"/>
    <n v="57.240309496667699"/>
    <n v="53.134363663460803"/>
    <n v="84866.7986063727"/>
    <n v="756.23137226501399"/>
    <n v="0.17592744955030601"/>
    <n v="1.67103066429297E-2"/>
    <n v="0.81921480095681998"/>
    <n v="4.0740555455647601E-2"/>
    <n v="0.90614326609370499"/>
    <n v="0"/>
    <x v="46"/>
    <x v="8"/>
    <n v="263681143.27000001"/>
    <n v="3107"/>
  </r>
  <r>
    <n v="0.98045816646491402"/>
    <n v="21.086951945090199"/>
    <n v="22.2574685305635"/>
    <n v="0"/>
    <n v="5.5513845692222299"/>
    <n v="3.7246353398727101"/>
    <n v="207.71395911689899"/>
    <n v="30.449046576697899"/>
    <n v="57.358698339233499"/>
    <n v="53.646298490087098"/>
    <n v="94776.830268087797"/>
    <n v="758.21688901488005"/>
    <n v="0.19740530363588199"/>
    <n v="1.68103602641284E-2"/>
    <n v="0.82379767255184999"/>
    <n v="4.7960851245527097E-2"/>
    <n v="0.90044696383544998"/>
    <n v="0"/>
    <x v="46"/>
    <x v="9"/>
    <n v="293429066.50999999"/>
    <n v="3096"/>
  </r>
  <r>
    <n v="0.97978954255641804"/>
    <n v="21.7303127906935"/>
    <n v="22.323085486990799"/>
    <n v="0"/>
    <n v="5.5553602912529998"/>
    <n v="3.7217195451165699"/>
    <n v="207.74031866740901"/>
    <n v="30.5986427584563"/>
    <n v="58.765622543137198"/>
    <n v="55.0662538361521"/>
    <n v="104914.20222666601"/>
    <n v="755.19528830390902"/>
    <n v="0.23889028314209601"/>
    <n v="1.8614065151411601E-2"/>
    <n v="0.82549395539625103"/>
    <n v="5.8195352767377799E-2"/>
    <n v="0.92927813366357803"/>
    <n v="0"/>
    <x v="46"/>
    <x v="10"/>
    <n v="236056955.00999999"/>
    <n v="2250"/>
  </r>
  <r>
    <n v="0.97923805764540905"/>
    <n v="22.257338329220801"/>
    <n v="27.631958760593001"/>
    <n v="0"/>
    <n v="5.5562238954457097"/>
    <n v="3.7209111186039601"/>
    <n v="207.707656100408"/>
    <n v="30.814218693932599"/>
    <n v="59.731214352754399"/>
    <n v="55.921858484045103"/>
    <n v="114784.36331521699"/>
    <n v="753.13662993995001"/>
    <n v="0.26155036842759499"/>
    <n v="1.4910632563382599E-2"/>
    <n v="0.83170942186959596"/>
    <n v="5.26545317033782E-2"/>
    <n v="0.91403855780461296"/>
    <n v="0"/>
    <x v="46"/>
    <x v="11"/>
    <n v="232323551.34999999"/>
    <n v="2024"/>
  </r>
  <r>
    <n v="0.97875118837536101"/>
    <n v="22.7199083405431"/>
    <n v="27.192236803240199"/>
    <n v="0"/>
    <n v="5.5498368115133196"/>
    <n v="3.71830853733531"/>
    <n v="207.69547151125099"/>
    <n v="30.708826468951099"/>
    <n v="59.584117059770499"/>
    <n v="55.910822677162301"/>
    <n v="124840.304868721"/>
    <n v="754.67626844367499"/>
    <n v="0.27075413123362202"/>
    <n v="1.42080735077963E-2"/>
    <n v="0.83667393143293201"/>
    <n v="7.2607047881551007E-2"/>
    <n v="0.92672604947033199"/>
    <n v="0"/>
    <x v="46"/>
    <x v="12"/>
    <n v="218720214.13"/>
    <n v="1752"/>
  </r>
  <r>
    <n v="0.97846729921732201"/>
    <n v="22.988462987299201"/>
    <n v="31.656963919252298"/>
    <n v="0"/>
    <n v="5.5453620960666896"/>
    <n v="3.7098134904855602"/>
    <n v="207.68323979015099"/>
    <n v="30.921312586736299"/>
    <n v="59.657619125766999"/>
    <n v="55.956607998841001"/>
    <n v="134937.22390476099"/>
    <n v="752.62032049003903"/>
    <n v="0.26723436682888602"/>
    <n v="1.7002270265165102E-2"/>
    <n v="0.854247577480992"/>
    <n v="5.5216616209776401E-2"/>
    <n v="0.94148289156416598"/>
    <n v="0"/>
    <x v="46"/>
    <x v="13"/>
    <n v="198357719.13999999"/>
    <n v="1470"/>
  </r>
  <r>
    <n v="0.97762759627417295"/>
    <n v="23.777809244129401"/>
    <n v="20.9427356037314"/>
    <n v="0"/>
    <n v="5.5437643409092301"/>
    <n v="3.7054040382248901"/>
    <n v="207.686363491572"/>
    <n v="30.745888855941399"/>
    <n v="59.259084433507297"/>
    <n v="55.791137065159504"/>
    <n v="144806.28370508901"/>
    <n v="751.71287569782896"/>
    <n v="0.24966658865365701"/>
    <n v="1.04716287919437E-2"/>
    <n v="0.84214880676579795"/>
    <n v="5.7879227502257602E-2"/>
    <n v="0.94893699504715601"/>
    <n v="0"/>
    <x v="46"/>
    <x v="14"/>
    <n v="193461195.03"/>
    <n v="1336"/>
  </r>
  <r>
    <n v="0.97731819543265097"/>
    <n v="24.066780667779"/>
    <n v="25.974010211896001"/>
    <n v="0"/>
    <n v="5.5432816248866299"/>
    <n v="3.7128091583125098"/>
    <n v="207.66458920617501"/>
    <n v="30.687356911238599"/>
    <n v="59.7870861589358"/>
    <n v="56.205709068677898"/>
    <n v="154951.30740989099"/>
    <n v="752.46172464632195"/>
    <n v="0.32308657671494401"/>
    <n v="1.01016155827035E-2"/>
    <n v="0.84671378841151002"/>
    <n v="6.3164670211261306E-2"/>
    <n v="0.93873937416822595"/>
    <n v="0"/>
    <x v="46"/>
    <x v="15"/>
    <n v="184856909.74000001"/>
    <n v="1193"/>
  </r>
  <r>
    <n v="0.97635175995642398"/>
    <n v="24.962948355638201"/>
    <n v="33.482649858314801"/>
    <n v="0"/>
    <n v="5.57839301822907"/>
    <n v="3.7241053068769299"/>
    <n v="207.61816649196999"/>
    <n v="30.755334275478798"/>
    <n v="62.3148557054988"/>
    <n v="58.931600160331598"/>
    <n v="164793.181756373"/>
    <n v="749.58905026958701"/>
    <n v="0.29058764498876"/>
    <n v="1.69033539438035E-2"/>
    <n v="0.84411665017117998"/>
    <n v="6.3979307357808907E-2"/>
    <n v="0.96223161529597701"/>
    <n v="0"/>
    <x v="46"/>
    <x v="16"/>
    <n v="174515979.47999999"/>
    <n v="1059"/>
  </r>
  <r>
    <n v="0.96772683712292396"/>
    <n v="32.542006140005903"/>
    <n v="33.664080429840801"/>
    <n v="0"/>
    <n v="5.5255928591372498"/>
    <n v="3.6923832283887301"/>
    <n v="207.63753121846901"/>
    <n v="30.279951352250599"/>
    <n v="61.7485025187611"/>
    <n v="57.611277706863298"/>
    <n v="276843.451805925"/>
    <n v="745.48084840598995"/>
    <n v="0.332922619604408"/>
    <n v="2.96946712920763E-2"/>
    <n v="0.73561368723162801"/>
    <n v="0.135084366226323"/>
    <n v="0.92302449552108801"/>
    <n v="0"/>
    <x v="46"/>
    <x v="17"/>
    <n v="1868693299.6900001"/>
    <n v="6750"/>
  </r>
  <r>
    <n v="0.975988671809497"/>
    <n v="25.297123906359701"/>
    <n v="24.141350480859799"/>
    <n v="0"/>
    <n v="5.5585111602899797"/>
    <n v="3.7260532982266099"/>
    <n v="207.701080931598"/>
    <n v="30.7271625040221"/>
    <n v="59.251024829926401"/>
    <n v="56.041081405317001"/>
    <n v="172604.13273869301"/>
    <n v="754.54425872041099"/>
    <n v="0.30375448178778702"/>
    <n v="1.26217905765823E-2"/>
    <n v="0.82923016032298502"/>
    <n v="0.102826705333595"/>
    <n v="0.942284782716025"/>
    <n v="0"/>
    <x v="46"/>
    <x v="18"/>
    <n v="68696444.829999998"/>
    <n v="398"/>
  </r>
  <r>
    <n v="0.99056102004365498"/>
    <n v="10.756867348083601"/>
    <n v="30.624082838776399"/>
    <n v="0"/>
    <n v="5.7816314629685301"/>
    <n v="3.90412292629517"/>
    <n v="212.71115829173701"/>
    <n v="27.950350676492501"/>
    <n v="36.083567412680999"/>
    <n v="21.7702433066843"/>
    <n v="16318.540571428501"/>
    <n v="765.58395312206801"/>
    <n v="0.10071517775083901"/>
    <n v="6.2614974392317798E-3"/>
    <n v="0.89658227402408397"/>
    <n v="1.50982076618476E-2"/>
    <n v="0.76945820452571201"/>
    <n v="0"/>
    <x v="47"/>
    <x v="1"/>
    <n v="2284595.6800000002"/>
    <n v="140"/>
  </r>
  <r>
    <n v="0.98815692652651499"/>
    <n v="13.321571203026201"/>
    <n v="20.741177680689098"/>
    <n v="0"/>
    <n v="5.7629023382077396"/>
    <n v="3.8799488986827901"/>
    <n v="212.86496975122"/>
    <n v="28.068228505863001"/>
    <n v="44.2905749835463"/>
    <n v="35.007579553095503"/>
    <n v="25871.378918918901"/>
    <n v="760.46060605889602"/>
    <n v="0.11641570498286601"/>
    <n v="4.6668193440883897E-3"/>
    <n v="0.819344192864918"/>
    <n v="4.7402962317682498E-2"/>
    <n v="0.74740251842833505"/>
    <n v="0"/>
    <x v="47"/>
    <x v="2"/>
    <n v="10529651.220000001"/>
    <n v="407"/>
  </r>
  <r>
    <n v="0.98615953449675997"/>
    <n v="15.400823486178"/>
    <n v="13.6290230295419"/>
    <n v="0"/>
    <n v="5.7388354932667998"/>
    <n v="3.8419704025366501"/>
    <n v="212.88744086249"/>
    <n v="28.2765172230304"/>
    <n v="47.986193461052203"/>
    <n v="42.186452685755"/>
    <n v="35445.041860465099"/>
    <n v="755.00094163188396"/>
    <n v="0.120152930020932"/>
    <n v="1.27105990867629E-2"/>
    <n v="0.80839604871306903"/>
    <n v="3.2185676270242602E-2"/>
    <n v="0.76314533398361994"/>
    <n v="0"/>
    <x v="47"/>
    <x v="3"/>
    <n v="33531009.600000001"/>
    <n v="946"/>
  </r>
  <r>
    <n v="0.984448250352709"/>
    <n v="17.145767751823101"/>
    <n v="12.742508613325301"/>
    <n v="0"/>
    <n v="5.7252300072380402"/>
    <n v="3.8318626860573999"/>
    <n v="212.905828142839"/>
    <n v="28.350565246345798"/>
    <n v="51.957941430497797"/>
    <n v="46.989501920516297"/>
    <n v="45472.054146341397"/>
    <n v="753.98083644886106"/>
    <n v="0.110841056005344"/>
    <n v="1.8869486573789E-2"/>
    <n v="0.80604029412723599"/>
    <n v="3.3248795282514301E-2"/>
    <n v="0.79339161918132295"/>
    <n v="0"/>
    <x v="47"/>
    <x v="4"/>
    <n v="72709814.579999998"/>
    <n v="1599"/>
  </r>
  <r>
    <n v="0.98329269410362496"/>
    <n v="18.305325219152198"/>
    <n v="15.2912271388528"/>
    <n v="0"/>
    <n v="5.7132004612253704"/>
    <n v="3.8161087733217101"/>
    <n v="212.87409760333699"/>
    <n v="28.304262354814099"/>
    <n v="54.684042821900498"/>
    <n v="50.196580025942602"/>
    <n v="55154.492767905198"/>
    <n v="751.88952838879595"/>
    <n v="0.134074339659146"/>
    <n v="2.18909742125898E-2"/>
    <n v="0.81104875510577201"/>
    <n v="3.4697744432151401E-2"/>
    <n v="0.849631076146247"/>
    <n v="0"/>
    <x v="47"/>
    <x v="5"/>
    <n v="102421893.06999999"/>
    <n v="1857"/>
  </r>
  <r>
    <n v="0.98229020226839803"/>
    <n v="19.299217272055099"/>
    <n v="14.4667007398926"/>
    <n v="0"/>
    <n v="5.7002500477214699"/>
    <n v="3.7975663047506498"/>
    <n v="212.91953326988701"/>
    <n v="28.1612459075284"/>
    <n v="58.648597022910302"/>
    <n v="54.305524295034601"/>
    <n v="65070.362712316499"/>
    <n v="750.539777327617"/>
    <n v="0.15425783865766499"/>
    <n v="1.7905423080853401E-2"/>
    <n v="0.81734982373228804"/>
    <n v="3.4724872708020001E-2"/>
    <n v="0.84485127683761496"/>
    <n v="0"/>
    <x v="47"/>
    <x v="6"/>
    <n v="146343245.74000001"/>
    <n v="2249"/>
  </r>
  <r>
    <n v="0.98107764901693195"/>
    <n v="20.4865531227567"/>
    <n v="14.423411419498199"/>
    <n v="0"/>
    <n v="5.6890145711079496"/>
    <n v="3.77351687140473"/>
    <n v="212.93121334803899"/>
    <n v="29.8285518606232"/>
    <n v="61.702596178118696"/>
    <n v="57.815660248939103"/>
    <n v="74681.626762065003"/>
    <n v="747.26271462429099"/>
    <n v="0.162538678821252"/>
    <n v="2.1833331737094799E-2"/>
    <n v="0.79157868379436003"/>
    <n v="3.91124003188301E-2"/>
    <n v="0.84687271437186995"/>
    <n v="0"/>
    <x v="47"/>
    <x v="7"/>
    <n v="133082658.89"/>
    <n v="1782"/>
  </r>
  <r>
    <n v="0.98017697583233099"/>
    <n v="21.358106506924798"/>
    <n v="19.425551393444199"/>
    <n v="0"/>
    <n v="5.6875312448084898"/>
    <n v="3.7636885922653298"/>
    <n v="212.946180934914"/>
    <n v="30.288949057435801"/>
    <n v="63.899898361657002"/>
    <n v="59.837875315798598"/>
    <n v="84941.899451303107"/>
    <n v="746.13369047809704"/>
    <n v="0.16085386086553799"/>
    <n v="1.90939091139949E-2"/>
    <n v="0.79427712242077397"/>
    <n v="3.7648888969369201E-2"/>
    <n v="0.86061204787333601"/>
    <n v="0"/>
    <x v="47"/>
    <x v="8"/>
    <n v="123845289.40000001"/>
    <n v="1458"/>
  </r>
  <r>
    <n v="0.97959665094391601"/>
    <n v="21.915020572777301"/>
    <n v="20.849710784264001"/>
    <n v="0"/>
    <n v="5.6756186477753996"/>
    <n v="3.75761958579257"/>
    <n v="212.99561988255601"/>
    <n v="30.787075742949099"/>
    <n v="65.155480720198895"/>
    <n v="61.349893965733898"/>
    <n v="94687.045753701197"/>
    <n v="750.32112625606396"/>
    <n v="0.20663207443708401"/>
    <n v="2.3550840181781101E-2"/>
    <n v="0.77321162743550997"/>
    <n v="4.0541385576025601E-2"/>
    <n v="0.87308974175202003"/>
    <n v="0"/>
    <x v="47"/>
    <x v="9"/>
    <n v="140704949.99000001"/>
    <n v="1486"/>
  </r>
  <r>
    <n v="0.97909854196833301"/>
    <n v="22.3901496487514"/>
    <n v="26.3007307808261"/>
    <n v="0"/>
    <n v="5.6868829334035897"/>
    <n v="3.7554808703223101"/>
    <n v="212.95138266434699"/>
    <n v="30.5799386819806"/>
    <n v="66.249506449592204"/>
    <n v="62.352844809715201"/>
    <n v="104842.85665789399"/>
    <n v="745.61743617378102"/>
    <n v="0.21743717959744199"/>
    <n v="2.81484186608606E-2"/>
    <n v="0.77446176400432998"/>
    <n v="5.0008518099092E-2"/>
    <n v="0.88559202284746597"/>
    <n v="0"/>
    <x v="47"/>
    <x v="10"/>
    <n v="119520856.59"/>
    <n v="1140"/>
  </r>
  <r>
    <n v="0.97846821354871505"/>
    <n v="22.987599419212199"/>
    <n v="21.513666006368599"/>
    <n v="0"/>
    <n v="5.6847522385586098"/>
    <n v="3.7466908389743101"/>
    <n v="212.980248774106"/>
    <n v="31.139964453373899"/>
    <n v="66.236906617311206"/>
    <n v="62.656124465345997"/>
    <n v="114931.58544859799"/>
    <n v="745.04291002305399"/>
    <n v="0.26650514431521499"/>
    <n v="2.0691140799462701E-2"/>
    <n v="0.81478334749949999"/>
    <n v="4.9557013980836499E-2"/>
    <n v="0.91030418899976195"/>
    <n v="0"/>
    <x v="47"/>
    <x v="11"/>
    <n v="122976796.43000001"/>
    <n v="1070"/>
  </r>
  <r>
    <n v="0.97822631980205199"/>
    <n v="23.2157541115463"/>
    <n v="16.001679678254099"/>
    <n v="0"/>
    <n v="5.6789968633097798"/>
    <n v="3.7532363265679698"/>
    <n v="212.961914015258"/>
    <n v="30.972135383428999"/>
    <n v="66.407493157522097"/>
    <n v="62.493821021052703"/>
    <n v="125102.632709677"/>
    <n v="748.19351384432798"/>
    <n v="0.26325490524934703"/>
    <n v="1.39127371288015E-2"/>
    <n v="0.81632929529947396"/>
    <n v="6.2289723391999903E-2"/>
    <n v="0.90015440408063996"/>
    <n v="0"/>
    <x v="47"/>
    <x v="12"/>
    <n v="116345448.42"/>
    <n v="930"/>
  </r>
  <r>
    <n v="0.97780759116239802"/>
    <n v="23.609235777587902"/>
    <n v="24.4399600474209"/>
    <n v="0"/>
    <n v="5.6709807747514702"/>
    <n v="3.7426972243224399"/>
    <n v="213.002359760584"/>
    <n v="30.987290900089"/>
    <n v="66.408624661496304"/>
    <n v="62.485663100745299"/>
    <n v="134911.515674967"/>
    <n v="747.61264336898705"/>
    <n v="0.268111279176458"/>
    <n v="2.22278742048856E-2"/>
    <n v="0.81963997957911605"/>
    <n v="6.18455149715922E-2"/>
    <n v="0.91654775577468395"/>
    <n v="0"/>
    <x v="47"/>
    <x v="13"/>
    <n v="102937486.45999999"/>
    <n v="763"/>
  </r>
  <r>
    <n v="0.97691950515896198"/>
    <n v="24.437665033530202"/>
    <n v="26.075195859632501"/>
    <n v="0"/>
    <n v="5.6815535921943603"/>
    <n v="3.7464033608638001"/>
    <n v="212.985377823504"/>
    <n v="31.344767299886701"/>
    <n v="64.540251259126194"/>
    <n v="61.515949444226202"/>
    <n v="144856.42986111101"/>
    <n v="743.624631320037"/>
    <n v="0.244587873187215"/>
    <n v="1.52545453062795E-2"/>
    <n v="0.79156121310708305"/>
    <n v="7.1968908736403603E-2"/>
    <n v="0.92242366192667802"/>
    <n v="0"/>
    <x v="47"/>
    <x v="14"/>
    <n v="104296629.5"/>
    <n v="720"/>
  </r>
  <r>
    <n v="0.97653378461229501"/>
    <n v="24.794903090688798"/>
    <n v="22.527989703490501"/>
    <n v="0"/>
    <n v="5.6970934404692297"/>
    <n v="3.76124911693381"/>
    <n v="212.976881599813"/>
    <n v="31.070281197894602"/>
    <n v="65.8704179355734"/>
    <n v="62.237540220108201"/>
    <n v="155023.25456"/>
    <n v="746.94912477569596"/>
    <n v="0.34404697039409099"/>
    <n v="2.6986145968060701E-2"/>
    <n v="0.824998692918681"/>
    <n v="7.2373200935847995E-2"/>
    <n v="0.91684859531180196"/>
    <n v="0"/>
    <x v="47"/>
    <x v="15"/>
    <n v="96889534.099999994"/>
    <n v="625"/>
  </r>
  <r>
    <n v="0.97546502343924202"/>
    <n v="25.776672233644099"/>
    <n v="23.1352521447842"/>
    <n v="0"/>
    <n v="5.6983884854044096"/>
    <n v="3.7587345771281"/>
    <n v="212.86755275861699"/>
    <n v="31.495531433780201"/>
    <n v="67.336891877164206"/>
    <n v="63.7046453410886"/>
    <n v="164949.30712499999"/>
    <n v="743.10113634880599"/>
    <n v="0.237796813618213"/>
    <n v="2.3087754603988899E-2"/>
    <n v="0.80075307355259195"/>
    <n v="8.9380122768603396E-2"/>
    <n v="0.93397805171289805"/>
    <n v="0"/>
    <x v="47"/>
    <x v="16"/>
    <n v="92371611.989999995"/>
    <n v="560"/>
  </r>
  <r>
    <n v="0.96664545120551704"/>
    <n v="33.441038186024798"/>
    <n v="30.6437635413875"/>
    <n v="0"/>
    <n v="5.6561746597892197"/>
    <n v="3.7232156673396299"/>
    <n v="212.85821286869299"/>
    <n v="30.5125066211227"/>
    <n v="68.706017622091906"/>
    <n v="64.384015584832795"/>
    <n v="276910.206832239"/>
    <n v="735.60003930278106"/>
    <n v="0.30515110029818698"/>
    <n v="3.6763705448270401E-2"/>
    <n v="0.67522192804264403"/>
    <n v="0.12476817296228999"/>
    <n v="0.91102187034328996"/>
    <n v="0"/>
    <x v="47"/>
    <x v="17"/>
    <n v="886389572.07000005"/>
    <n v="3201"/>
  </r>
  <r>
    <n v="0.97533216702577896"/>
    <n v="25.897890255032301"/>
    <n v="32.065884402915501"/>
    <n v="0"/>
    <n v="5.6922776866545997"/>
    <n v="3.75228747663374"/>
    <n v="212.99789401576601"/>
    <n v="31.200913084725101"/>
    <n v="65.652640785369996"/>
    <n v="62.221539170716497"/>
    <n v="172533.756053811"/>
    <n v="746.43681792368602"/>
    <n v="0.273744871595621"/>
    <n v="1.33758765646733E-2"/>
    <n v="0.81153770868250097"/>
    <n v="0.11190802186715"/>
    <n v="0.91502864237061599"/>
    <n v="0"/>
    <x v="47"/>
    <x v="18"/>
    <n v="38475027.600000001"/>
    <n v="223"/>
  </r>
  <r>
    <n v="0.99025428904949298"/>
    <n v="11.087916873442399"/>
    <n v="32.178363243312198"/>
    <n v="0"/>
    <n v="5.7586816160455596"/>
    <n v="3.8489019608466299"/>
    <n v="217.36292712185499"/>
    <n v="29.334714517296302"/>
    <n v="38.4933044991513"/>
    <n v="21.674530065621202"/>
    <n v="16051.817435897399"/>
    <n v="758.84100848734204"/>
    <n v="9.6161366587857705E-2"/>
    <n v="1.0145423051490901E-2"/>
    <n v="0.88293949023979301"/>
    <n v="2.6805863088783799E-2"/>
    <n v="0.79757981874342498"/>
    <n v="0"/>
    <x v="48"/>
    <x v="1"/>
    <n v="1878062.64"/>
    <n v="117"/>
  </r>
  <r>
    <n v="0.988213969658709"/>
    <n v="13.2615081209984"/>
    <n v="19.5757521033789"/>
    <n v="0"/>
    <n v="5.809006086728"/>
    <n v="3.90092341251091"/>
    <n v="217.28082557588499"/>
    <n v="27.874234006949301"/>
    <n v="38.336924101946003"/>
    <n v="30.9326128648745"/>
    <n v="26237.819434523801"/>
    <n v="756.34381903603696"/>
    <n v="0.12211708786190199"/>
    <n v="9.6272404896070897E-3"/>
    <n v="0.83091308991788104"/>
    <n v="4.2869976492822301E-2"/>
    <n v="0.82538591861536703"/>
    <n v="0"/>
    <x v="48"/>
    <x v="2"/>
    <n v="8815907.3300000001"/>
    <n v="336"/>
  </r>
  <r>
    <n v="0.98637424741800905"/>
    <n v="15.1795249628869"/>
    <n v="10.7621788234148"/>
    <n v="0"/>
    <n v="5.7579505182698103"/>
    <n v="3.8382628257060301"/>
    <n v="217.381472043565"/>
    <n v="28.398402339970598"/>
    <n v="45.8708174600552"/>
    <n v="40.238885833542597"/>
    <n v="35532.382124833901"/>
    <n v="752.37845662096197"/>
    <n v="0.132685114590051"/>
    <n v="2.3232239534316301E-2"/>
    <n v="0.82140350786260297"/>
    <n v="3.2294712759130803E-2"/>
    <n v="0.81245557318302197"/>
    <n v="0"/>
    <x v="48"/>
    <x v="3"/>
    <n v="26755883.739999998"/>
    <n v="753"/>
  </r>
  <r>
    <n v="0.98482454809460795"/>
    <n v="16.764923066798001"/>
    <n v="12.136805766597099"/>
    <n v="0"/>
    <n v="5.7602856281518902"/>
    <n v="3.83764336244682"/>
    <n v="217.45744369173599"/>
    <n v="28.3013707295198"/>
    <n v="51.020386396159701"/>
    <n v="46.249994112474397"/>
    <n v="45515.268091787402"/>
    <n v="753.14454121125698"/>
    <n v="0.121198445037651"/>
    <n v="1.8420498179923001E-2"/>
    <n v="0.82450123441147505"/>
    <n v="3.18113677335033E-2"/>
    <n v="0.83002795057376599"/>
    <n v="0"/>
    <x v="48"/>
    <x v="4"/>
    <n v="56529962.969999999"/>
    <n v="1242"/>
  </r>
  <r>
    <n v="0.98371961041231304"/>
    <n v="17.878674720675502"/>
    <n v="17.652001514666299"/>
    <n v="0"/>
    <n v="5.7520975843027502"/>
    <n v="3.8260173631754899"/>
    <n v="217.498494800412"/>
    <n v="28.398272215554901"/>
    <n v="53.598017718235397"/>
    <n v="48.973633483108799"/>
    <n v="55266.012940025998"/>
    <n v="750.46185300951504"/>
    <n v="0.148639501042344"/>
    <n v="1.8604015335743001E-2"/>
    <n v="0.83770279427064298"/>
    <n v="3.3288467580402201E-2"/>
    <n v="0.87702947393979602"/>
    <n v="0"/>
    <x v="48"/>
    <x v="5"/>
    <n v="84778063.849999994"/>
    <n v="1534"/>
  </r>
  <r>
    <n v="0.98291242313966598"/>
    <n v="18.683647395935299"/>
    <n v="20.120525566539701"/>
    <n v="0"/>
    <n v="5.7261810962003503"/>
    <n v="3.8013203812246199"/>
    <n v="217.50707594009901"/>
    <n v="28.161362147606699"/>
    <n v="57.167575573708397"/>
    <n v="52.584355395923801"/>
    <n v="64957.469099552502"/>
    <n v="749.34638749908697"/>
    <n v="0.174088185248401"/>
    <n v="1.13558742066168E-2"/>
    <n v="0.84762939846423602"/>
    <n v="3.7503891953532702E-2"/>
    <n v="0.89467568926569496"/>
    <n v="0"/>
    <x v="48"/>
    <x v="6"/>
    <n v="116143954.75"/>
    <n v="1788"/>
  </r>
  <r>
    <n v="0.98166993798782298"/>
    <n v="19.908597307760001"/>
    <n v="11.5089043699402"/>
    <n v="0"/>
    <n v="5.7330371379043896"/>
    <n v="3.7933312823950498"/>
    <n v="217.41479210435"/>
    <n v="29.646813373023999"/>
    <n v="61.200506682018002"/>
    <n v="57.105448368772997"/>
    <n v="74650.726854115695"/>
    <n v="744.78160662012601"/>
    <n v="0.177338777597942"/>
    <n v="2.2788137266491398E-2"/>
    <n v="0.793120433968036"/>
    <n v="4.1033285508568003E-2"/>
    <n v="0.86950149570684399"/>
    <n v="0"/>
    <x v="48"/>
    <x v="7"/>
    <n v="91596441.849999994"/>
    <n v="1227"/>
  </r>
  <r>
    <n v="0.98085658819838195"/>
    <n v="20.7012828017122"/>
    <n v="14.076359339991001"/>
    <n v="0"/>
    <n v="5.7076287342041496"/>
    <n v="3.7569570095916598"/>
    <n v="217.43965289284"/>
    <n v="30.5518068422396"/>
    <n v="63.845110877845997"/>
    <n v="59.452987031138001"/>
    <n v="84936.3595191364"/>
    <n v="742.90335522034104"/>
    <n v="0.16767706054019499"/>
    <n v="2.0706426652671799E-2"/>
    <n v="0.81051612939225803"/>
    <n v="4.8165873463442199E-2"/>
    <n v="0.89030516155538897"/>
    <n v="0"/>
    <x v="48"/>
    <x v="8"/>
    <n v="86550150.349999994"/>
    <n v="1019"/>
  </r>
  <r>
    <n v="0.98043964914042703"/>
    <n v="21.1048346875234"/>
    <n v="19.2543543636361"/>
    <n v="0"/>
    <n v="5.7186490978248301"/>
    <n v="3.7674821315787002"/>
    <n v="217.419552253522"/>
    <n v="30.618480352107799"/>
    <n v="64.785612873921906"/>
    <n v="60.650096064566398"/>
    <n v="94676.788405379397"/>
    <n v="744.65848485309505"/>
    <n v="0.21332508332177999"/>
    <n v="1.7319084339453499E-2"/>
    <n v="0.80583576111296795"/>
    <n v="4.4559824097542597E-2"/>
    <n v="0.90400135641299495"/>
    <n v="0"/>
    <x v="48"/>
    <x v="9"/>
    <n v="98558536.730000004"/>
    <n v="1041"/>
  </r>
  <r>
    <n v="0.97978517194583603"/>
    <n v="21.734502399774499"/>
    <n v="28.798959285465799"/>
    <n v="0"/>
    <n v="5.7252005383454696"/>
    <n v="3.75471143102473"/>
    <n v="217.46446473696301"/>
    <n v="30.835472320280399"/>
    <n v="66.670537518318"/>
    <n v="62.491103099124103"/>
    <n v="105098.315202086"/>
    <n v="743.34829186379397"/>
    <n v="0.22989626991064299"/>
    <n v="2.7305979850063899E-2"/>
    <n v="0.79522838106531801"/>
    <n v="4.0412751783852202E-2"/>
    <n v="0.914408021721685"/>
    <n v="0"/>
    <x v="48"/>
    <x v="10"/>
    <n v="80610407.760000005"/>
    <n v="767"/>
  </r>
  <r>
    <n v="0.97933020100193602"/>
    <n v="22.169508675533599"/>
    <n v="15.1320999745195"/>
    <n v="0"/>
    <n v="5.7071066594695798"/>
    <n v="3.74384600456554"/>
    <n v="217.53228777789101"/>
    <n v="31.169595921111199"/>
    <n v="65.535816567761898"/>
    <n v="61.590185819204002"/>
    <n v="114891.454926686"/>
    <n v="742.82704891549201"/>
    <n v="0.27734023895321602"/>
    <n v="2.6466451378061098E-2"/>
    <n v="0.835363920988758"/>
    <n v="5.2966805851487997E-2"/>
    <n v="0.93389625014398303"/>
    <n v="0"/>
    <x v="48"/>
    <x v="11"/>
    <n v="78355972.260000005"/>
    <n v="682"/>
  </r>
  <r>
    <n v="0.97875439232578998"/>
    <n v="22.7168725613537"/>
    <n v="18.091632782738898"/>
    <n v="0"/>
    <n v="5.7127761680283697"/>
    <n v="3.7623732983152598"/>
    <n v="217.46673167223199"/>
    <n v="30.962966515682101"/>
    <n v="65.498678153240604"/>
    <n v="61.349892839259702"/>
    <n v="124874.933284789"/>
    <n v="746.89265854494295"/>
    <n v="0.27182127197995398"/>
    <n v="2.26782830082588E-2"/>
    <n v="0.79300339673693099"/>
    <n v="7.4507501442468801E-2"/>
    <n v="0.90929472203882"/>
    <n v="0"/>
    <x v="48"/>
    <x v="12"/>
    <n v="77172708.769999996"/>
    <n v="618"/>
  </r>
  <r>
    <n v="0.97836640230039895"/>
    <n v="23.083703631426602"/>
    <n v="19.459449146041798"/>
    <n v="0"/>
    <n v="5.7033880354806197"/>
    <n v="3.7401051089084199"/>
    <n v="217.447196219457"/>
    <n v="31.066609258238099"/>
    <n v="65.943122937008894"/>
    <n v="61.896947683287301"/>
    <n v="134750.72879310299"/>
    <n v="744.39820714335497"/>
    <n v="0.27990273937973398"/>
    <n v="2.1176178021546799E-2"/>
    <n v="0.8391589261904"/>
    <n v="4.00944882584299E-2"/>
    <n v="0.917425298358585"/>
    <n v="0"/>
    <x v="48"/>
    <x v="13"/>
    <n v="70339880.430000007"/>
    <n v="522"/>
  </r>
  <r>
    <n v="0.97792943818033995"/>
    <n v="23.494926554113398"/>
    <n v="24.843807884838402"/>
    <n v="0"/>
    <n v="5.6761728213945899"/>
    <n v="3.7282770970594798"/>
    <n v="217.389837997429"/>
    <n v="31.590666442741899"/>
    <n v="63.8730816702449"/>
    <n v="60.087691813037402"/>
    <n v="144746.54729729699"/>
    <n v="742.16841508695302"/>
    <n v="0.255738104151992"/>
    <n v="1.4604218527979201E-2"/>
    <n v="0.84186277155175204"/>
    <n v="6.8492734829343899E-2"/>
    <n v="0.95003215330609503"/>
    <n v="0"/>
    <x v="48"/>
    <x v="14"/>
    <n v="69623089.25"/>
    <n v="481"/>
  </r>
  <r>
    <n v="0.97783941593574897"/>
    <n v="23.579394888415599"/>
    <n v="41.821111881582603"/>
    <n v="0"/>
    <n v="5.7028231927997304"/>
    <n v="3.74329711857993"/>
    <n v="217.50846798922501"/>
    <n v="30.9079322273641"/>
    <n v="66.340833751691903"/>
    <n v="62.089340260976797"/>
    <n v="155159.59098630099"/>
    <n v="745.21174342139398"/>
    <n v="0.34736949924942701"/>
    <n v="2.4395802336595201E-2"/>
    <n v="0.87207896387411799"/>
    <n v="7.4269852909172596E-2"/>
    <n v="0.93704797649253602"/>
    <n v="0"/>
    <x v="48"/>
    <x v="15"/>
    <n v="56633250.710000001"/>
    <n v="365"/>
  </r>
  <r>
    <n v="0.97622826786390104"/>
    <n v="25.076760274525501"/>
    <n v="35.567430138497002"/>
    <n v="0"/>
    <n v="5.69938877857295"/>
    <n v="3.7317019920305299"/>
    <n v="217.43085376241601"/>
    <n v="31.2443622664656"/>
    <n v="67.497611450061896"/>
    <n v="63.478928377234098"/>
    <n v="164831.22146964801"/>
    <n v="743.29802530923905"/>
    <n v="0.28753016694064198"/>
    <n v="1.9207070674476301E-2"/>
    <n v="0.79609869003476696"/>
    <n v="4.1518614426894897E-2"/>
    <n v="0.94288052881895001"/>
    <n v="0"/>
    <x v="48"/>
    <x v="16"/>
    <n v="51592172.32"/>
    <n v="313"/>
  </r>
  <r>
    <n v="0.96757788456832605"/>
    <n v="32.666498360988697"/>
    <n v="31.262699017688401"/>
    <n v="0"/>
    <n v="5.68421233468308"/>
    <n v="3.7174109778774702"/>
    <n v="217.39210368292299"/>
    <n v="30.619273929856501"/>
    <n v="68.151874572950206"/>
    <n v="63.377807740846499"/>
    <n v="275815.04884481902"/>
    <n v="731.24098227149398"/>
    <n v="0.29378132606464202"/>
    <n v="4.2709377452741698E-2"/>
    <n v="0.69236497610386105"/>
    <n v="0.12005258506368401"/>
    <n v="0.91373314368252101"/>
    <n v="0"/>
    <x v="48"/>
    <x v="17"/>
    <n v="556318953.51999998"/>
    <n v="2017"/>
  </r>
  <r>
    <n v="0.97605607379913994"/>
    <n v="25.2351924242043"/>
    <n v="0.25507857865901801"/>
    <n v="0"/>
    <n v="5.7016666595143404"/>
    <n v="3.7261203741179698"/>
    <n v="217.67058032019099"/>
    <n v="31.046780123376202"/>
    <n v="65.415504844195894"/>
    <n v="62.128567608828803"/>
    <n v="172438.209480519"/>
    <n v="737.63930435324596"/>
    <n v="0.29255452560894102"/>
    <n v="1.2980294639898899E-2"/>
    <n v="0.79847099425480395"/>
    <n v="8.44620500247657E-2"/>
    <n v="0.95455121931939402"/>
    <n v="0"/>
    <x v="48"/>
    <x v="18"/>
    <n v="26555484.260000002"/>
    <n v="154"/>
  </r>
  <r>
    <n v="0.99046694986158401"/>
    <n v="10.8585156146691"/>
    <n v="50.1872912007385"/>
    <n v="0"/>
    <n v="5.7750290392779302"/>
    <n v="3.80585615634965"/>
    <n v="221.73052244636401"/>
    <n v="29.813751504298001"/>
    <n v="37.222620681754798"/>
    <n v="21.327362380172701"/>
    <n v="16223.136028368701"/>
    <n v="768.59316435124595"/>
    <n v="7.6403602004033996E-2"/>
    <n v="1.4608259009554401E-2"/>
    <n v="0.87061470017397102"/>
    <n v="7.70118087810308E-3"/>
    <n v="0.74629280646729601"/>
    <n v="0"/>
    <x v="49"/>
    <x v="1"/>
    <n v="2287462.1800000002"/>
    <n v="141"/>
  </r>
  <r>
    <n v="0.98836261647912604"/>
    <n v="13.1048124224364"/>
    <n v="20.707496466721501"/>
    <n v="0"/>
    <n v="5.8141579172516504"/>
    <n v="3.8544584455964102"/>
    <n v="221.89423855952799"/>
    <n v="28.701074917272098"/>
    <n v="39.404359503044503"/>
    <n v="30.274313265701899"/>
    <n v="25908.8510614525"/>
    <n v="769.26244285526298"/>
    <n v="8.5188166342515595E-2"/>
    <n v="1.0013842382381699E-2"/>
    <n v="0.84809057315013303"/>
    <n v="3.6053996508093503E-2"/>
    <n v="0.82039913264126896"/>
    <n v="0"/>
    <x v="49"/>
    <x v="2"/>
    <n v="9275368.6799999997"/>
    <n v="358"/>
  </r>
  <r>
    <n v="0.98664693888468802"/>
    <n v="14.8977046909172"/>
    <n v="19.3788518330011"/>
    <n v="0"/>
    <n v="5.77854700646657"/>
    <n v="3.81303683710949"/>
    <n v="221.87769714516199"/>
    <n v="28.5622538589501"/>
    <n v="44.923188812495503"/>
    <n v="38.755031273467999"/>
    <n v="35509.291730531499"/>
    <n v="762.81211080050105"/>
    <n v="0.115383853424327"/>
    <n v="1.18584108430546E-2"/>
    <n v="0.85112100958790005"/>
    <n v="3.5585426417373701E-2"/>
    <n v="0.83265661978316197"/>
    <n v="0"/>
    <x v="49"/>
    <x v="3"/>
    <n v="28727017.010000002"/>
    <n v="809"/>
  </r>
  <r>
    <n v="0.98508469752909"/>
    <n v="16.500692703068601"/>
    <n v="16.7699858450429"/>
    <n v="0"/>
    <n v="5.7766997677799203"/>
    <n v="3.8128218256507602"/>
    <n v="221.928628084785"/>
    <n v="28.403165389194001"/>
    <n v="46.936558087347798"/>
    <n v="42.604979534196303"/>
    <n v="45359.737640532498"/>
    <n v="762.06392879834698"/>
    <n v="0.12990274349911601"/>
    <n v="2.2810193354604401E-2"/>
    <n v="0.84529389985636305"/>
    <n v="3.1326037030165503E-2"/>
    <n v="0.84135889051969603"/>
    <n v="0"/>
    <x v="49"/>
    <x v="4"/>
    <n v="61326365.289999999"/>
    <n v="1352"/>
  </r>
  <r>
    <n v="0.98400081766098801"/>
    <n v="17.596527806289998"/>
    <n v="13.7396436879419"/>
    <n v="0"/>
    <n v="5.7757517774875797"/>
    <n v="3.80504375375659"/>
    <n v="221.91439962178799"/>
    <n v="28.121491416105499"/>
    <n v="50.375644455717399"/>
    <n v="46.181149604670303"/>
    <n v="55169.945112830399"/>
    <n v="759.65186386083997"/>
    <n v="0.17478958688778801"/>
    <n v="1.2256086408268699E-2"/>
    <n v="0.85901056353416805"/>
    <n v="2.56102744170577E-2"/>
    <n v="0.89569581402380805"/>
    <n v="0"/>
    <x v="49"/>
    <x v="5"/>
    <n v="85568584.870000005"/>
    <n v="1551"/>
  </r>
  <r>
    <n v="0.98300039515733895"/>
    <n v="18.596269283054799"/>
    <n v="18.836559146123701"/>
    <n v="0"/>
    <n v="5.7511439555372501"/>
    <n v="3.7781209910034899"/>
    <n v="221.93677193270199"/>
    <n v="27.945961959821499"/>
    <n v="53.502501955816598"/>
    <n v="49.722510760856899"/>
    <n v="65031.081101347299"/>
    <n v="756.39471617385095"/>
    <n v="0.176937676569032"/>
    <n v="5.2729998528474303E-3"/>
    <n v="0.86916222834071399"/>
    <n v="3.7662442184294799E-2"/>
    <n v="0.91364808182608703"/>
    <n v="0"/>
    <x v="49"/>
    <x v="6"/>
    <n v="111008055.44"/>
    <n v="1707"/>
  </r>
  <r>
    <n v="0.98191849281858601"/>
    <n v="19.664912339490201"/>
    <n v="14.7757158545427"/>
    <n v="0"/>
    <n v="5.7432858680164198"/>
    <n v="3.76448200204895"/>
    <n v="221.94122221645401"/>
    <n v="30.069518514566699"/>
    <n v="56.217463969982298"/>
    <n v="52.560868108098802"/>
    <n v="74530.487876480503"/>
    <n v="754.85617682597103"/>
    <n v="0.19010145001396"/>
    <n v="1.27829052869159E-2"/>
    <n v="0.85137937419738097"/>
    <n v="3.8419837347687801E-2"/>
    <n v="0.913650392717408"/>
    <n v="0"/>
    <x v="49"/>
    <x v="7"/>
    <n v="88095036.670000002"/>
    <n v="1182"/>
  </r>
  <r>
    <n v="0.98096719246080899"/>
    <n v="20.593912759496799"/>
    <n v="18.9500398597926"/>
    <n v="0"/>
    <n v="5.7082414132489898"/>
    <n v="3.7318334005204599"/>
    <n v="221.91784839008599"/>
    <n v="31.320905741743601"/>
    <n v="58.797373474875101"/>
    <n v="54.488496446032897"/>
    <n v="85005.385217853298"/>
    <n v="751.63272937413501"/>
    <n v="0.172932071119071"/>
    <n v="1.50945325824477E-2"/>
    <n v="0.845471209390524"/>
    <n v="4.2693683317956102E-2"/>
    <n v="0.92010210891747302"/>
    <n v="0"/>
    <x v="49"/>
    <x v="8"/>
    <n v="79990067.489999995"/>
    <n v="941"/>
  </r>
  <r>
    <n v="0.98064860691047995"/>
    <n v="20.902822097285402"/>
    <n v="22.368448519955901"/>
    <n v="0"/>
    <n v="5.7300756907239299"/>
    <n v="3.7429337622525698"/>
    <n v="221.98190210146899"/>
    <n v="31.303672686180299"/>
    <n v="58.703171770407998"/>
    <n v="54.861734607611602"/>
    <n v="94831.394393004099"/>
    <n v="753.71752853012799"/>
    <n v="0.212933249741251"/>
    <n v="1.45671045574172E-2"/>
    <n v="0.84137066034427899"/>
    <n v="4.0154689595518898E-2"/>
    <n v="0.931745500923846"/>
    <n v="0"/>
    <x v="49"/>
    <x v="9"/>
    <n v="92176115.349999994"/>
    <n v="972"/>
  </r>
  <r>
    <n v="0.98003037091440803"/>
    <n v="21.499139919856798"/>
    <n v="16.602235278605601"/>
    <n v="0"/>
    <n v="5.7456888200287901"/>
    <n v="3.7520963003225498"/>
    <n v="222.045717291682"/>
    <n v="31.1608377736333"/>
    <n v="60.246601936433898"/>
    <n v="56.8351467925226"/>
    <n v="105015.87205797101"/>
    <n v="751.44066516740395"/>
    <n v="0.25448363928830797"/>
    <n v="2.0648238733897699E-2"/>
    <n v="0.84890907612826405"/>
    <n v="6.5269307782147304E-2"/>
    <n v="0.95226003470990495"/>
    <n v="0"/>
    <x v="49"/>
    <x v="10"/>
    <n v="72460951.719999999"/>
    <n v="690"/>
  </r>
  <r>
    <n v="0.97977755061138905"/>
    <n v="21.741807617672201"/>
    <n v="25.112615807489899"/>
    <n v="0"/>
    <n v="5.7188590915039903"/>
    <n v="3.7200089682538802"/>
    <n v="221.99174441127099"/>
    <n v="31.342462250317499"/>
    <n v="60.879637875692801"/>
    <n v="57.382264121977101"/>
    <n v="114798.290722135"/>
    <n v="750.48834411540804"/>
    <n v="0.30774694298662802"/>
    <n v="1.8804552242717199E-2"/>
    <n v="0.84783283560337996"/>
    <n v="5.1780101065696603E-2"/>
    <n v="0.94641802888942095"/>
    <n v="0"/>
    <x v="49"/>
    <x v="11"/>
    <n v="73126511.189999998"/>
    <n v="637"/>
  </r>
  <r>
    <n v="0.97902327862129102"/>
    <n v="22.461709859534899"/>
    <n v="22.122503420467101"/>
    <n v="0"/>
    <n v="5.73091424119733"/>
    <n v="3.7416087024159799"/>
    <n v="221.95398964735099"/>
    <n v="31.183875085917101"/>
    <n v="61.169604274925298"/>
    <n v="57.3807027815431"/>
    <n v="125097.755437956"/>
    <n v="752.76950462427203"/>
    <n v="0.27374917886077899"/>
    <n v="3.0858185804432399E-2"/>
    <n v="0.824818298835441"/>
    <n v="7.5246490029693996E-2"/>
    <n v="0.92521572834943899"/>
    <n v="0"/>
    <x v="49"/>
    <x v="12"/>
    <n v="68553569.980000004"/>
    <n v="548"/>
  </r>
  <r>
    <n v="0.979250611641448"/>
    <n v="22.245377398422399"/>
    <n v="24.1321983992128"/>
    <n v="0"/>
    <n v="5.7011860787851001"/>
    <n v="3.7118867389185501"/>
    <n v="221.99313945658599"/>
    <n v="31.395272098466101"/>
    <n v="59.750704351689002"/>
    <n v="55.968843739048801"/>
    <n v="135346.668284313"/>
    <n v="753.04270744355404"/>
    <n v="0.33057424818731601"/>
    <n v="3.43209723858732E-2"/>
    <n v="0.90437348234876702"/>
    <n v="5.6424386302854498E-2"/>
    <n v="0.94340441189786195"/>
    <n v="0"/>
    <x v="49"/>
    <x v="13"/>
    <n v="55221440.659999996"/>
    <n v="408"/>
  </r>
  <r>
    <n v="0.97810601333285496"/>
    <n v="23.328996563774499"/>
    <n v="28.652957895691099"/>
    <n v="0"/>
    <n v="5.68301431245429"/>
    <n v="3.70366598712239"/>
    <n v="221.89848871005299"/>
    <n v="31.855093477480501"/>
    <n v="59.640284156609802"/>
    <n v="56.279697541997201"/>
    <n v="145242.090366972"/>
    <n v="752.589876216064"/>
    <n v="0.26683172284229001"/>
    <n v="1.5882539792618298E-2"/>
    <n v="0.855538373567166"/>
    <n v="6.6789559135208704E-2"/>
    <n v="0.93624794240638798"/>
    <n v="0"/>
    <x v="49"/>
    <x v="14"/>
    <n v="63325551.399999999"/>
    <n v="436"/>
  </r>
  <r>
    <n v="0.97756315077679501"/>
    <n v="23.838082457828399"/>
    <n v="19.168581200581801"/>
    <n v="0"/>
    <n v="5.7052103829393799"/>
    <n v="3.7128219351378302"/>
    <n v="222.08588653271099"/>
    <n v="31.737388815891102"/>
    <n v="62.122540195787899"/>
    <n v="58.513808689713997"/>
    <n v="155161.31904899099"/>
    <n v="747.848712458308"/>
    <n v="0.34019370076554201"/>
    <n v="3.43152193474534E-2"/>
    <n v="0.85684241598442501"/>
    <n v="6.9635519625856304E-2"/>
    <n v="0.96262261969239404"/>
    <n v="0"/>
    <x v="49"/>
    <x v="15"/>
    <n v="53840977.710000001"/>
    <n v="347"/>
  </r>
  <r>
    <n v="0.97688403892810105"/>
    <n v="24.4705771761767"/>
    <n v="31.376758755230401"/>
    <n v="0"/>
    <n v="5.7299654497290602"/>
    <n v="3.7234017858192399"/>
    <n v="222.05774628812401"/>
    <n v="31.904099085722301"/>
    <n v="63.425523177868001"/>
    <n v="60.507020142496103"/>
    <n v="165016.60728301801"/>
    <n v="748.510727462874"/>
    <n v="0.30985583341719902"/>
    <n v="1.5068351177615799E-2"/>
    <n v="0.872144855609847"/>
    <n v="6.79570926379027E-2"/>
    <n v="0.96604501528898401"/>
    <n v="0"/>
    <x v="49"/>
    <x v="16"/>
    <n v="43729400.93"/>
    <n v="265"/>
  </r>
  <r>
    <n v="0.96786631356412001"/>
    <n v="32.425242658501098"/>
    <n v="28.085516546022401"/>
    <n v="0"/>
    <n v="5.7081814802409196"/>
    <n v="3.7048597787076898"/>
    <n v="222.09058138475001"/>
    <n v="30.654574715944499"/>
    <n v="64.622218205090604"/>
    <n v="60.604183450116501"/>
    <n v="271055.28450335498"/>
    <n v="736.15795460752202"/>
    <n v="0.29979231757748598"/>
    <n v="4.44850445353899E-2"/>
    <n v="0.71019796725169804"/>
    <n v="0.13974860969960101"/>
    <n v="0.92098895660758595"/>
    <n v="0"/>
    <x v="49"/>
    <x v="17"/>
    <n v="403872373.91000003"/>
    <n v="1490"/>
  </r>
  <r>
    <n v="0.976539351686878"/>
    <n v="24.789758131843101"/>
    <n v="37.134094788817897"/>
    <n v="0"/>
    <n v="5.6873832123165302"/>
    <n v="3.7138412733054298"/>
    <n v="222.148848652883"/>
    <n v="31.185502867770602"/>
    <n v="61.040855837680198"/>
    <n v="57.382669207176697"/>
    <n v="172484.37639097701"/>
    <n v="749.62140793367701"/>
    <n v="0.31581979533989402"/>
    <n v="1.5058432189978601E-2"/>
    <n v="0.81898839789698197"/>
    <n v="8.2541209357331197E-2"/>
    <n v="0.954941459782366"/>
    <n v="0"/>
    <x v="49"/>
    <x v="18"/>
    <n v="22940422.059999999"/>
    <n v="133"/>
  </r>
  <r>
    <n v="0.990506294303101"/>
    <n v="10.8160145910569"/>
    <n v="42.106712223973702"/>
    <n v="0"/>
    <n v="5.8541753280058701"/>
    <n v="3.8322407546246802"/>
    <n v="227.004789991671"/>
    <n v="29.870604030278301"/>
    <n v="31.5422438268528"/>
    <n v="18.115086273456701"/>
    <n v="15075.670396039601"/>
    <n v="762.75846413765703"/>
    <n v="6.1065803152205E-2"/>
    <n v="0"/>
    <n v="0.96555831538444103"/>
    <n v="8.0758407203748994E-3"/>
    <n v="0.91863041855695704"/>
    <n v="0"/>
    <x v="50"/>
    <x v="1"/>
    <n v="1522642.71"/>
    <n v="101"/>
  </r>
  <r>
    <n v="0.98836476002207496"/>
    <n v="13.1025509149447"/>
    <n v="25.9739020314653"/>
    <n v="0"/>
    <n v="5.9005367511520399"/>
    <n v="3.8694611170819799"/>
    <n v="227.13648961241501"/>
    <n v="28.2925642050274"/>
    <n v="34.649353638267598"/>
    <n v="28.1020840537476"/>
    <n v="25622.548312101899"/>
    <n v="762.96223149226898"/>
    <n v="0.124974953483727"/>
    <n v="3.5961483203804799E-3"/>
    <n v="0.85488291744804501"/>
    <n v="3.3647183795122E-2"/>
    <n v="0.84636106933565403"/>
    <n v="0"/>
    <x v="50"/>
    <x v="2"/>
    <n v="8045480.1699999999"/>
    <n v="314"/>
  </r>
  <r>
    <n v="0.98648383098546499"/>
    <n v="15.066375878861701"/>
    <n v="17.9720029936564"/>
    <n v="0"/>
    <n v="5.8732019655006402"/>
    <n v="3.83562348889039"/>
    <n v="227.111967508476"/>
    <n v="28.5164566441766"/>
    <n v="45.975668567125801"/>
    <n v="41.083949363132099"/>
    <n v="35492.301139028401"/>
    <n v="760.16239840558603"/>
    <n v="0.10318025428307399"/>
    <n v="1.58808597883962E-2"/>
    <n v="0.85300541630946003"/>
    <n v="3.02220731496473E-2"/>
    <n v="0.81975225619718195"/>
    <n v="0"/>
    <x v="50"/>
    <x v="3"/>
    <n v="21188903.780000001"/>
    <n v="597"/>
  </r>
  <r>
    <n v="0.98509810550964005"/>
    <n v="16.487053580602101"/>
    <n v="15.8644143441447"/>
    <n v="0"/>
    <n v="5.8538379061919299"/>
    <n v="3.82161746787152"/>
    <n v="227.10689972365901"/>
    <n v="28.398814826871401"/>
    <n v="48.097073078693697"/>
    <n v="44.084101909915503"/>
    <n v="45265.880435624298"/>
    <n v="757.18620428540203"/>
    <n v="0.129020663129369"/>
    <n v="2.9979017066941501E-2"/>
    <n v="0.87652042101305905"/>
    <n v="2.805368654468E-2"/>
    <n v="0.88192212388607805"/>
    <n v="0"/>
    <x v="50"/>
    <x v="4"/>
    <n v="46759654.490000002"/>
    <n v="1033"/>
  </r>
  <r>
    <n v="0.98399537801849302"/>
    <n v="17.601994043219399"/>
    <n v="12.333426821318699"/>
    <n v="0"/>
    <n v="5.8384437381517698"/>
    <n v="3.8040326493062802"/>
    <n v="227.12363335011801"/>
    <n v="28.222303251852299"/>
    <n v="51.4672138405449"/>
    <n v="47.759884460499201"/>
    <n v="55191.153782211099"/>
    <n v="754.50456643514997"/>
    <n v="0.18064768984415899"/>
    <n v="1.5771218350646401E-2"/>
    <n v="0.89159345985277905"/>
    <n v="3.12808071962331E-2"/>
    <n v="0.92115231069202497"/>
    <n v="0"/>
    <x v="50"/>
    <x v="5"/>
    <n v="66394958"/>
    <n v="1203"/>
  </r>
  <r>
    <n v="0.983053711783623"/>
    <n v="18.543270721436301"/>
    <n v="20.037509035027899"/>
    <n v="0"/>
    <n v="5.8350091271350397"/>
    <n v="3.7903866159869399"/>
    <n v="227.13890787186"/>
    <n v="28.2213106848215"/>
    <n v="56.3377012104824"/>
    <n v="52.489174951439303"/>
    <n v="64795.568573529403"/>
    <n v="750.61376235797104"/>
    <n v="0.207384780707076"/>
    <n v="1.3444869720567101E-2"/>
    <n v="0.86909841038210001"/>
    <n v="2.8693913861184001E-2"/>
    <n v="0.91219748600985795"/>
    <n v="0"/>
    <x v="50"/>
    <x v="6"/>
    <n v="88121973.260000005"/>
    <n v="1360"/>
  </r>
  <r>
    <n v="0.98182300750381302"/>
    <n v="19.758607119943001"/>
    <n v="11.7537373530081"/>
    <n v="0"/>
    <n v="5.8064804633846299"/>
    <n v="3.7635996360892401"/>
    <n v="227.21958888756501"/>
    <n v="29.694959470381701"/>
    <n v="61.167035733278702"/>
    <n v="57.068071062753503"/>
    <n v="74432.715205314002"/>
    <n v="744.60707855583303"/>
    <n v="0.170704370837374"/>
    <n v="2.3387671749259702E-2"/>
    <n v="0.87794302491643095"/>
    <n v="3.3907018470490699E-2"/>
    <n v="0.92905742114135603"/>
    <n v="0"/>
    <x v="50"/>
    <x v="7"/>
    <n v="61630288.189999998"/>
    <n v="828"/>
  </r>
  <r>
    <n v="0.98049274759475102"/>
    <n v="21.053545949141999"/>
    <n v="17.139723253490398"/>
    <n v="0"/>
    <n v="5.8296556641583503"/>
    <n v="3.7712481753882998"/>
    <n v="227.13947151572901"/>
    <n v="30.650819539174002"/>
    <n v="64.809540008654295"/>
    <n v="60.729241035592203"/>
    <n v="85001.848530884803"/>
    <n v="745.795113321906"/>
    <n v="0.19439380916364299"/>
    <n v="1.8287112859246599E-2"/>
    <n v="0.79833612994900105"/>
    <n v="5.5085563888985001E-2"/>
    <n v="0.89858922928614504"/>
    <n v="0"/>
    <x v="50"/>
    <x v="8"/>
    <n v="50916107.270000003"/>
    <n v="599"/>
  </r>
  <r>
    <n v="0.98014993230820802"/>
    <n v="21.384139739244599"/>
    <n v="20.763083282297"/>
    <n v="0"/>
    <n v="5.8238966667568297"/>
    <n v="3.7581162038657698"/>
    <n v="227.223588697488"/>
    <n v="31.0629507584948"/>
    <n v="64.224376499962901"/>
    <n v="60.3614549392192"/>
    <n v="94907.171578947295"/>
    <n v="745.07548425913103"/>
    <n v="0.22636689291895601"/>
    <n v="2.1318379025109E-2"/>
    <n v="0.82631817439995303"/>
    <n v="4.1242631421741699E-2"/>
    <n v="0.921714197963721"/>
    <n v="0"/>
    <x v="50"/>
    <x v="9"/>
    <n v="57703560.32"/>
    <n v="608"/>
  </r>
  <r>
    <n v="0.97972717488067196"/>
    <n v="21.790078154022002"/>
    <n v="21.6003047240537"/>
    <n v="0"/>
    <n v="5.8236648617526301"/>
    <n v="3.7491267195833"/>
    <n v="227.15999299200499"/>
    <n v="30.931485925268898"/>
    <n v="66.916142069428005"/>
    <n v="62.7731843499582"/>
    <n v="105082.255231788"/>
    <n v="743.60701924313298"/>
    <n v="0.292047674981876"/>
    <n v="2.8767152513288499E-2"/>
    <n v="0.82263829169720004"/>
    <n v="7.9732801779429402E-2"/>
    <n v="0.92132346652146302"/>
    <n v="0"/>
    <x v="50"/>
    <x v="10"/>
    <n v="47602261.619999997"/>
    <n v="453"/>
  </r>
  <r>
    <n v="0.97945243480011601"/>
    <n v="22.0528569059448"/>
    <n v="21.500174337640502"/>
    <n v="0"/>
    <n v="5.8167992203121601"/>
    <n v="3.74803820788676"/>
    <n v="227.10011472349299"/>
    <n v="31.064342058880801"/>
    <n v="66.466367808728904"/>
    <n v="62.435842673732601"/>
    <n v="114867.195766423"/>
    <n v="743.35141322471998"/>
    <n v="0.36418414822464401"/>
    <n v="2.19964019780137E-2"/>
    <n v="0.86817922219660804"/>
    <n v="5.5928684007870599E-2"/>
    <n v="0.92925097171974802"/>
    <n v="0"/>
    <x v="50"/>
    <x v="11"/>
    <n v="47210417.460000001"/>
    <n v="411"/>
  </r>
  <r>
    <n v="0.978777738456859"/>
    <n v="22.694748538104999"/>
    <n v="16.598845041889302"/>
    <n v="0"/>
    <n v="5.8256903003110203"/>
    <n v="3.7432105302779699"/>
    <n v="227.11623370323801"/>
    <n v="31.113400733007801"/>
    <n v="67.020423377480995"/>
    <n v="62.943055940259299"/>
    <n v="125117.595592286"/>
    <n v="744.67799902237198"/>
    <n v="0.294515333664986"/>
    <n v="2.2046137347125801E-2"/>
    <n v="0.824073253998719"/>
    <n v="7.4670599034818305E-2"/>
    <n v="0.91212258448069905"/>
    <n v="0"/>
    <x v="50"/>
    <x v="12"/>
    <n v="45417687.200000003"/>
    <n v="363"/>
  </r>
  <r>
    <n v="0.97870578879001302"/>
    <n v="22.762913213085302"/>
    <n v="16.408566115185099"/>
    <n v="0"/>
    <n v="5.8191107073188402"/>
    <n v="3.7596246317030402"/>
    <n v="227.182479944676"/>
    <n v="31.332856181321301"/>
    <n v="67.2753247249439"/>
    <n v="63.695695130552103"/>
    <n v="134769.20516014201"/>
    <n v="750.56764066399501"/>
    <n v="0.30538910654046802"/>
    <n v="1.4453888046932E-2"/>
    <n v="0.87860325383767601"/>
    <n v="3.9168780192721998E-2"/>
    <n v="0.95672650504510204"/>
    <n v="0"/>
    <x v="50"/>
    <x v="13"/>
    <n v="37870146.649999999"/>
    <n v="281"/>
  </r>
  <r>
    <n v="0.97802984888992395"/>
    <n v="23.400609708063101"/>
    <n v="32.8407771882055"/>
    <n v="0"/>
    <n v="5.7797461470395604"/>
    <n v="3.7211757698485699"/>
    <n v="227.21547237930099"/>
    <n v="31.428614264364899"/>
    <n v="67.523406050750296"/>
    <n v="63.363708110858497"/>
    <n v="145142.96992"/>
    <n v="746.53815668539096"/>
    <n v="0.31680415376193699"/>
    <n v="1.5898917882636001E-2"/>
    <n v="0.84439547535475901"/>
    <n v="6.7839298075732801E-2"/>
    <n v="0.89161108354975005"/>
    <n v="0"/>
    <x v="50"/>
    <x v="14"/>
    <n v="36285742.479999997"/>
    <n v="250"/>
  </r>
  <r>
    <n v="0.97844666569640404"/>
    <n v="23.007948583315098"/>
    <n v="40.818607066990502"/>
    <n v="0"/>
    <n v="5.7604072398934498"/>
    <n v="3.7344950492772302"/>
    <n v="227.04614968603499"/>
    <n v="30.769032097299299"/>
    <n v="68.283362849975802"/>
    <n v="63.667473538700499"/>
    <n v="155375.65101063799"/>
    <n v="749.77993314301295"/>
    <n v="0.43646249469729198"/>
    <n v="5.8535007819119501E-2"/>
    <n v="0.90992260264537195"/>
    <n v="4.76596414623673E-2"/>
    <n v="0.98422577157555702"/>
    <n v="0"/>
    <x v="50"/>
    <x v="15"/>
    <n v="29210622.390000001"/>
    <n v="188"/>
  </r>
  <r>
    <n v="0.97712119147659804"/>
    <n v="24.250253003594398"/>
    <n v="36.110736118615399"/>
    <n v="0"/>
    <n v="5.8062029132078798"/>
    <n v="3.7221220544329201"/>
    <n v="227.170426731292"/>
    <n v="32.669800103837098"/>
    <n v="68.660958582554699"/>
    <n v="65.401181781924294"/>
    <n v="165005.34313252999"/>
    <n v="749.86449866974203"/>
    <n v="0.41055892079808698"/>
    <n v="2.3792813681123601E-2"/>
    <n v="0.81446561634088799"/>
    <n v="9.6836967852610201E-2"/>
    <n v="0.94622011685305396"/>
    <n v="0"/>
    <x v="50"/>
    <x v="16"/>
    <n v="27390886.960000001"/>
    <n v="166"/>
  </r>
  <r>
    <n v="0.96808595264963904"/>
    <n v="32.240994940651902"/>
    <n v="18.187102840984402"/>
    <n v="0"/>
    <n v="5.7703142415401398"/>
    <n v="3.7228040338433099"/>
    <n v="227.172159542955"/>
    <n v="30.976442312928398"/>
    <n v="67.155697900060204"/>
    <n v="62.809400454528799"/>
    <n v="270770.483361169"/>
    <n v="730.43545200030496"/>
    <n v="0.30875259618387701"/>
    <n v="4.2399783623168298E-2"/>
    <n v="0.688979924186503"/>
    <n v="0.13321007493183501"/>
    <n v="0.94694188933349899"/>
    <n v="0"/>
    <x v="50"/>
    <x v="17"/>
    <n v="259398123.06"/>
    <n v="958"/>
  </r>
  <r>
    <n v="0.976568660401821"/>
    <n v="24.762666388658701"/>
    <n v="21.4770455370289"/>
    <n v="0"/>
    <n v="5.7697823909943704"/>
    <n v="3.7644626369004599"/>
    <n v="227.14223171721201"/>
    <n v="31.1259196863511"/>
    <n v="68.120548868721201"/>
    <n v="63.347993838917098"/>
    <n v="172888.62980582501"/>
    <n v="746.64400275039304"/>
    <n v="0.37790574363954399"/>
    <n v="2.89064200742188E-2"/>
    <n v="0.83484047610026402"/>
    <n v="8.7761232982350307E-2"/>
    <n v="0.98074549913673603"/>
    <n v="0"/>
    <x v="50"/>
    <x v="18"/>
    <n v="17807528.870000001"/>
    <n v="103"/>
  </r>
  <r>
    <n v="0.99024871176725704"/>
    <n v="11.0939259047771"/>
    <n v="44.023646750257903"/>
    <n v="0"/>
    <n v="5.7858501747657396"/>
    <n v="3.75164905939483"/>
    <n v="233.013778861611"/>
    <n v="30.5251279784353"/>
    <n v="33.166196469436599"/>
    <n v="17.6974909029896"/>
    <n v="16060.636226414999"/>
    <n v="772.15534871782802"/>
    <n v="0.13215209336616399"/>
    <n v="0"/>
    <n v="0.90489635787355405"/>
    <n v="0"/>
    <n v="0.89705476081846902"/>
    <n v="0"/>
    <x v="51"/>
    <x v="1"/>
    <n v="1702427.44"/>
    <n v="106"/>
  </r>
  <r>
    <n v="0.98840746493720799"/>
    <n v="13.057484595186001"/>
    <n v="29.354396083303602"/>
    <n v="0"/>
    <n v="5.81020910255861"/>
    <n v="3.7716756277477699"/>
    <n v="232.870346545655"/>
    <n v="29.373083980472"/>
    <n v="35.367288716355297"/>
    <n v="27.057114885535398"/>
    <n v="25812.8711654135"/>
    <n v="770.50851899636496"/>
    <n v="0.18548041107888499"/>
    <n v="7.67432755937884E-3"/>
    <n v="0.90635770471755295"/>
    <n v="2.5662582072606001E-2"/>
    <n v="0.89310420707773797"/>
    <n v="0"/>
    <x v="51"/>
    <x v="2"/>
    <n v="6866223.7300000004"/>
    <n v="266"/>
  </r>
  <r>
    <n v="0.98674728582042504"/>
    <n v="14.793782615591599"/>
    <n v="19.023401406630398"/>
    <n v="0"/>
    <n v="5.8242918946944302"/>
    <n v="3.7750100543990399"/>
    <n v="232.84851279732101"/>
    <n v="29.299863966191602"/>
    <n v="43.156910574088698"/>
    <n v="37.719740726713397"/>
    <n v="35592.955291181301"/>
    <n v="760.83967220844295"/>
    <n v="0.14500343181214101"/>
    <n v="1.94228427242575E-2"/>
    <n v="0.89171036828960104"/>
    <n v="2.5481156588478202E-2"/>
    <n v="0.87500480783926404"/>
    <n v="0"/>
    <x v="51"/>
    <x v="3"/>
    <n v="21391366.129999999"/>
    <n v="601"/>
  </r>
  <r>
    <n v="0.98534409285708902"/>
    <n v="16.236462918667002"/>
    <n v="17.8252531684236"/>
    <n v="0"/>
    <n v="5.8258857831723603"/>
    <n v="3.7744961334578502"/>
    <n v="232.80257496751699"/>
    <n v="28.845309476655199"/>
    <n v="45.914771686583897"/>
    <n v="40.947625833723301"/>
    <n v="45408.6902205882"/>
    <n v="761.133843176048"/>
    <n v="0.118990810404165"/>
    <n v="1.2490705476747899E-2"/>
    <n v="0.89463752830144205"/>
    <n v="3.0116756084255802E-2"/>
    <n v="0.91306224164983496"/>
    <n v="0"/>
    <x v="51"/>
    <x v="4"/>
    <n v="43229073.090000004"/>
    <n v="952"/>
  </r>
  <r>
    <n v="0.98444879040109101"/>
    <n v="17.145222324322301"/>
    <n v="12.997581724113299"/>
    <n v="0"/>
    <n v="5.8277291003901501"/>
    <n v="3.7767759945110999"/>
    <n v="232.655112592118"/>
    <n v="28.211795520325001"/>
    <n v="49.945129182892401"/>
    <n v="45.6113996496006"/>
    <n v="55239.259648972598"/>
    <n v="759.912801286736"/>
    <n v="0.18619916426333999"/>
    <n v="1.0276461064733899E-2"/>
    <n v="0.92301548844121195"/>
    <n v="2.61313650734422E-2"/>
    <n v="0.95433487840728903"/>
    <n v="0"/>
    <x v="51"/>
    <x v="5"/>
    <n v="64519455.270000003"/>
    <n v="1168"/>
  </r>
  <r>
    <n v="0.98359431779968998"/>
    <n v="18.0041005914759"/>
    <n v="23.590151197905598"/>
    <n v="0"/>
    <n v="5.8165085426132004"/>
    <n v="3.7577117751362499"/>
    <n v="232.722625219863"/>
    <n v="28.764618415226799"/>
    <n v="53.273446466327897"/>
    <n v="49.133821286597502"/>
    <n v="64757.971734693798"/>
    <n v="760.49372044066297"/>
    <n v="0.21319277925118499"/>
    <n v="8.6052232303399905E-3"/>
    <n v="0.91685179765767499"/>
    <n v="3.1183977329034902E-2"/>
    <n v="0.94966243811312001"/>
    <n v="0"/>
    <x v="51"/>
    <x v="6"/>
    <n v="76155374.760000005"/>
    <n v="1176"/>
  </r>
  <r>
    <n v="0.98195734237161802"/>
    <n v="19.626762596809801"/>
    <n v="18.5899529323591"/>
    <n v="0"/>
    <n v="5.83468798183383"/>
    <n v="3.7516335686521902"/>
    <n v="232.714689228477"/>
    <n v="30.513848870427498"/>
    <n v="57.6994623811105"/>
    <n v="53.567099867703597"/>
    <n v="74394.052573964407"/>
    <n v="748.47183945054701"/>
    <n v="0.15859126482941599"/>
    <n v="1.6585247867071402E-2"/>
    <n v="0.85052069105939299"/>
    <n v="3.5893805067910602E-2"/>
    <n v="0.91373685743315003"/>
    <n v="0"/>
    <x v="51"/>
    <x v="7"/>
    <n v="50290379.539999999"/>
    <n v="676"/>
  </r>
  <r>
    <n v="0.98092444242747601"/>
    <n v="20.635428513039599"/>
    <n v="20.775947865963602"/>
    <n v="0"/>
    <n v="5.8452831708995596"/>
    <n v="3.7525855813610001"/>
    <n v="232.592349954474"/>
    <n v="31.382831011475101"/>
    <n v="59.582590477996099"/>
    <n v="55.735744546347597"/>
    <n v="84855.284105504499"/>
    <n v="750.87391706948199"/>
    <n v="0.20731718786391501"/>
    <n v="1.15311854607902E-2"/>
    <n v="0.83867153935440897"/>
    <n v="0.10427690013077801"/>
    <n v="0.92705466437183703"/>
    <n v="0"/>
    <x v="51"/>
    <x v="8"/>
    <n v="36996903.869999997"/>
    <n v="436"/>
  </r>
  <r>
    <n v="0.98046058212325504"/>
    <n v="21.084618796538201"/>
    <n v="27.8662414799857"/>
    <n v="0"/>
    <n v="5.8306680248176397"/>
    <n v="3.7362280946341602"/>
    <n v="232.68933139443001"/>
    <n v="31.485217936922599"/>
    <n v="58.375428000825401"/>
    <n v="54.317610008885403"/>
    <n v="94849.869498910601"/>
    <n v="745.56327214487203"/>
    <n v="0.220900095711626"/>
    <n v="8.65530182279735E-3"/>
    <n v="0.86742617592111204"/>
    <n v="4.5906192435043597E-2"/>
    <n v="0.95241165352145296"/>
    <n v="0"/>
    <x v="51"/>
    <x v="9"/>
    <n v="43536090.100000001"/>
    <n v="459"/>
  </r>
  <r>
    <n v="0.98024984922402003"/>
    <n v="21.287916176201001"/>
    <n v="28.0930189685829"/>
    <n v="0"/>
    <n v="5.8831104302697304"/>
    <n v="3.7789723151281001"/>
    <n v="232.570008099734"/>
    <n v="31.080157866196799"/>
    <n v="60.635454117057598"/>
    <n v="57.239908353837698"/>
    <n v="105099.308926174"/>
    <n v="750.06807247264805"/>
    <n v="0.21077505338522201"/>
    <n v="1.6837425127214398E-2"/>
    <n v="0.86905068494364701"/>
    <n v="0.101757794941228"/>
    <n v="0.95353767398095002"/>
    <n v="0"/>
    <x v="51"/>
    <x v="10"/>
    <n v="31319594.059999999"/>
    <n v="298"/>
  </r>
  <r>
    <n v="0.97992482823948601"/>
    <n v="21.600528023786399"/>
    <n v="33.4548545136279"/>
    <n v="0"/>
    <n v="5.8544249377994904"/>
    <n v="3.73752751175744"/>
    <n v="232.64465095185699"/>
    <n v="31.945266712693801"/>
    <n v="61.721821236431097"/>
    <n v="57.605674859260297"/>
    <n v="115095.80039568301"/>
    <n v="747.521088998187"/>
    <n v="0.37149490329287099"/>
    <n v="2.9449711300259501E-2"/>
    <n v="0.85508822972070897"/>
    <n v="8.0270220598911299E-2"/>
    <n v="0.94614218701104102"/>
    <n v="0"/>
    <x v="51"/>
    <x v="11"/>
    <n v="31996632.510000002"/>
    <n v="278"/>
  </r>
  <r>
    <n v="0.97942530768907599"/>
    <n v="22.078759036526598"/>
    <n v="22.387346570258799"/>
    <n v="0"/>
    <n v="5.8307590569696597"/>
    <n v="3.7360580057509001"/>
    <n v="232.69651950971499"/>
    <n v="31.776032946060599"/>
    <n v="63.142304237832398"/>
    <n v="58.828869834792897"/>
    <n v="125180.950528455"/>
    <n v="752.77953263664097"/>
    <n v="0.30512954975915502"/>
    <n v="2.4147214471546E-2"/>
    <n v="0.81727621806068895"/>
    <n v="8.5921573388255595E-2"/>
    <n v="0.91476416791347603"/>
    <n v="0"/>
    <x v="51"/>
    <x v="12"/>
    <n v="30794513.829999998"/>
    <n v="246"/>
  </r>
  <r>
    <n v="0.97888326818613203"/>
    <n v="22.594670556870199"/>
    <n v="16.078884927811298"/>
    <n v="0"/>
    <n v="5.8449965236415498"/>
    <n v="3.72748278627496"/>
    <n v="232.69049635369299"/>
    <n v="31.345227832958699"/>
    <n v="62.877609555720802"/>
    <n v="59.472096430308902"/>
    <n v="134688.216634615"/>
    <n v="751.49388023245399"/>
    <n v="0.31246897281366798"/>
    <n v="3.3831550136324703E-2"/>
    <n v="0.84630659216631698"/>
    <n v="8.6844250044479293E-2"/>
    <n v="0.96147420427110797"/>
    <n v="0"/>
    <x v="51"/>
    <x v="13"/>
    <n v="28015149.059999999"/>
    <n v="208"/>
  </r>
  <r>
    <n v="0.97848842383873103"/>
    <n v="22.968508929518901"/>
    <n v="0.252015595000599"/>
    <n v="0"/>
    <n v="5.8316150809558698"/>
    <n v="3.7301152303329901"/>
    <n v="232.46901497369501"/>
    <n v="31.969291764962499"/>
    <n v="61.134341975646599"/>
    <n v="58.144203504459298"/>
    <n v="145002.94884146299"/>
    <n v="753.00369656233397"/>
    <n v="0.31880684700675799"/>
    <n v="1.7904056830070399E-2"/>
    <n v="0.81691987381748599"/>
    <n v="9.1243420259441793E-2"/>
    <n v="0.90815356761367305"/>
    <n v="0"/>
    <x v="51"/>
    <x v="14"/>
    <n v="23780483.609999999"/>
    <n v="164"/>
  </r>
  <r>
    <n v="0.97801110234659105"/>
    <n v="23.4182266233414"/>
    <n v="22.354012364203001"/>
    <n v="0"/>
    <n v="5.7893618486718301"/>
    <n v="3.7221457990409199"/>
    <n v="232.65014195141501"/>
    <n v="31.162652023305899"/>
    <n v="62.441801936634903"/>
    <n v="58.217892882165103"/>
    <n v="155380.60718309801"/>
    <n v="740.82532583364002"/>
    <n v="0.416115627136317"/>
    <n v="3.5287022254977797E-2"/>
    <n v="0.88012611451101197"/>
    <n v="0.112329897031914"/>
    <n v="0.97936011122079603"/>
    <n v="0"/>
    <x v="51"/>
    <x v="15"/>
    <n v="22064046.219999999"/>
    <n v="142"/>
  </r>
  <r>
    <n v="0.97722467147319902"/>
    <n v="24.153931471098399"/>
    <n v="40.787444879418601"/>
    <n v="0"/>
    <n v="5.8711235336400103"/>
    <n v="3.73436723336749"/>
    <n v="232.66985689705999"/>
    <n v="31.979992173719701"/>
    <n v="62.792498451514497"/>
    <n v="59.667126711069599"/>
    <n v="164862.618526315"/>
    <n v="753.03012167625002"/>
    <n v="0.33597421308381198"/>
    <n v="0"/>
    <n v="0.88495858480895695"/>
    <n v="8.4520736230527596E-2"/>
    <n v="0.95779079346189799"/>
    <n v="0"/>
    <x v="51"/>
    <x v="16"/>
    <n v="15661948.76"/>
    <n v="95"/>
  </r>
  <r>
    <n v="0.967392907930538"/>
    <n v="32.820805777790397"/>
    <n v="26.800582367613998"/>
    <n v="0"/>
    <n v="5.8390730238984698"/>
    <n v="3.7410325476653399"/>
    <n v="232.46132195121001"/>
    <n v="30.722991379966999"/>
    <n v="64.193306950279606"/>
    <n v="60.054019434707001"/>
    <n v="278061.06935763801"/>
    <n v="732.61007586198104"/>
    <n v="0.32827696933540901"/>
    <n v="5.2084809011306299E-2"/>
    <n v="0.66870752327885497"/>
    <n v="0.15155645126303999"/>
    <n v="0.92515573927091499"/>
    <n v="0"/>
    <x v="51"/>
    <x v="17"/>
    <n v="160163175.94999999"/>
    <n v="576"/>
  </r>
  <r>
    <n v="0.97601007579077803"/>
    <n v="25.2774622211438"/>
    <n v="0.19487168354850301"/>
    <n v="0"/>
    <n v="5.78963127248538"/>
    <n v="3.7145955779900701"/>
    <n v="232.61089514567999"/>
    <n v="30.586810706387599"/>
    <n v="66.472321222748405"/>
    <n v="62.4115972323115"/>
    <n v="172882.502878787"/>
    <n v="744.23066911588398"/>
    <n v="0.22777287663175899"/>
    <n v="1.50232336944198E-2"/>
    <n v="0.78793199359811406"/>
    <n v="0.136581246419298"/>
    <n v="0.98496654303709996"/>
    <n v="0"/>
    <x v="51"/>
    <x v="18"/>
    <n v="11410245.189999999"/>
    <n v="66"/>
  </r>
  <r>
    <n v="0.99021400345721899"/>
    <n v="11.131312691599099"/>
    <n v="42.125181806641699"/>
    <n v="0"/>
    <n v="6.0437099997962997"/>
    <n v="3.9009424906694599"/>
    <n v="237.80986967869799"/>
    <n v="30.416817060125702"/>
    <n v="30.921514750548798"/>
    <n v="21.412209107644301"/>
    <n v="15413.4095588235"/>
    <n v="761.72759210765503"/>
    <n v="3.5019067859980699E-2"/>
    <n v="1.8523538303664801E-2"/>
    <n v="0.95732245561387297"/>
    <n v="1.03523779451591E-2"/>
    <n v="0.913057676048601"/>
    <n v="0"/>
    <x v="52"/>
    <x v="1"/>
    <n v="1048111.85"/>
    <n v="68"/>
  </r>
  <r>
    <n v="0.98826610266300197"/>
    <n v="13.206581751789299"/>
    <n v="29.123317623210799"/>
    <n v="0"/>
    <n v="6.0940998003134803"/>
    <n v="3.9557940819886399"/>
    <n v="237.777076071728"/>
    <n v="28.498991500713501"/>
    <n v="37.388489003416197"/>
    <n v="31.362750334709801"/>
    <n v="25508.967379679099"/>
    <n v="757.300365388964"/>
    <n v="8.94501312938729E-2"/>
    <n v="1.2107727074021E-2"/>
    <n v="0.90750034238772104"/>
    <n v="1.9647342638383001E-2"/>
    <n v="0.86025169842233695"/>
    <n v="0"/>
    <x v="52"/>
    <x v="2"/>
    <n v="4770176.9000000004"/>
    <n v="187"/>
  </r>
  <r>
    <n v="0.98654031501555095"/>
    <n v="15.008000007227199"/>
    <n v="19.8951365302865"/>
    <n v="0"/>
    <n v="6.0054159689480899"/>
    <n v="3.8732079855247399"/>
    <n v="237.784292953543"/>
    <n v="28.064643180156001"/>
    <n v="43.099172095996202"/>
    <n v="38.920256233766402"/>
    <n v="35302.8150862068"/>
    <n v="755.06218240638498"/>
    <n v="0.110923171185841"/>
    <n v="2.37175462461186E-2"/>
    <n v="0.86684833138225403"/>
    <n v="4.0339142470049702E-2"/>
    <n v="0.88389371100957304"/>
    <n v="0"/>
    <x v="52"/>
    <x v="3"/>
    <n v="12285379.65"/>
    <n v="348"/>
  </r>
  <r>
    <n v="0.98491925689148696"/>
    <n v="16.668817441739002"/>
    <n v="9.0103050925448507"/>
    <n v="0"/>
    <n v="6.0036580484409399"/>
    <n v="3.8638985550996701"/>
    <n v="237.863958180308"/>
    <n v="28.961785242532201"/>
    <n v="49.2427478154844"/>
    <n v="45.703857398491003"/>
    <n v="45474.126229508103"/>
    <n v="754.10306238168096"/>
    <n v="0.15999227303351701"/>
    <n v="1.3664287279630099E-2"/>
    <n v="0.83329302662003701"/>
    <n v="3.8434376500245102E-2"/>
    <n v="0.88314111461761802"/>
    <n v="0"/>
    <x v="52"/>
    <x v="4"/>
    <n v="27739217"/>
    <n v="610"/>
  </r>
  <r>
    <n v="0.98390838654020496"/>
    <n v="17.689365674058401"/>
    <n v="15.819178455268499"/>
    <n v="0"/>
    <n v="5.9817117949067802"/>
    <n v="3.8386772261035"/>
    <n v="237.865979940335"/>
    <n v="28.313666809487099"/>
    <n v="51.662387962729298"/>
    <n v="48.058446668622999"/>
    <n v="55365.943301237901"/>
    <n v="755.07912572614896"/>
    <n v="0.178917968341786"/>
    <n v="1.6531421476451001E-2"/>
    <n v="0.89787728018097701"/>
    <n v="3.3305047373237098E-2"/>
    <n v="0.92606874375584702"/>
    <n v="0"/>
    <x v="52"/>
    <x v="5"/>
    <n v="40251040.780000001"/>
    <n v="727"/>
  </r>
  <r>
    <n v="0.98330570234696402"/>
    <n v="18.292355145737801"/>
    <n v="15.0801962586391"/>
    <n v="0"/>
    <n v="5.9716982676006802"/>
    <n v="3.8288938188881798"/>
    <n v="237.89395437968801"/>
    <n v="28.128011101490198"/>
    <n v="55.479983993514701"/>
    <n v="51.913254971264202"/>
    <n v="64973.557228571401"/>
    <n v="752.41747347569003"/>
    <n v="0.22250696198936201"/>
    <n v="4.32087316710045E-3"/>
    <n v="0.90341997009761099"/>
    <n v="2.7036284835387302E-2"/>
    <n v="0.92366243750106303"/>
    <n v="0"/>
    <x v="52"/>
    <x v="6"/>
    <n v="45481490.060000002"/>
    <n v="700"/>
  </r>
  <r>
    <n v="0.98166567628412704"/>
    <n v="19.912769598229499"/>
    <n v="17.250828937918602"/>
    <n v="0"/>
    <n v="5.9117425319285104"/>
    <n v="3.7732693481545598"/>
    <n v="237.878450421916"/>
    <n v="30.0047309219586"/>
    <n v="63.419912957309002"/>
    <n v="59.177769717521898"/>
    <n v="74443.859923664102"/>
    <n v="740.88049268555903"/>
    <n v="0.198541560612014"/>
    <n v="5.0083525294080597E-3"/>
    <n v="0.87299261880896895"/>
    <n v="3.6050812058985103E-2"/>
    <n v="0.90967908140980902"/>
    <n v="0"/>
    <x v="52"/>
    <x v="7"/>
    <n v="29256436.949999999"/>
    <n v="393"/>
  </r>
  <r>
    <n v="0.98004695933964803"/>
    <n v="21.4831935542312"/>
    <n v="29.9086362423424"/>
    <n v="0"/>
    <n v="5.9460238451438503"/>
    <n v="3.77436479577378"/>
    <n v="237.858471701881"/>
    <n v="30.514596018761299"/>
    <n v="67.647099685371003"/>
    <n v="63.243169626483599"/>
    <n v="85188.830875912405"/>
    <n v="741.796919352239"/>
    <n v="0.15546985455496201"/>
    <n v="2.1780456701400799E-2"/>
    <n v="0.772926456759221"/>
    <n v="3.6070848714109899E-2"/>
    <n v="0.85835495476518298"/>
    <n v="0"/>
    <x v="52"/>
    <x v="8"/>
    <n v="23341739.66"/>
    <n v="274"/>
  </r>
  <r>
    <n v="0.979675707065227"/>
    <n v="21.839366949113298"/>
    <n v="27.929154324372799"/>
    <n v="0"/>
    <n v="5.9222348743289501"/>
    <n v="3.75564977117594"/>
    <n v="237.98661093817"/>
    <n v="30.785135619581698"/>
    <n v="66.213036867001307"/>
    <n v="62.285625343029999"/>
    <n v="94921.727615384603"/>
    <n v="740.96341228177801"/>
    <n v="0.16717763408661199"/>
    <n v="1.55899367610054E-2"/>
    <n v="0.79975715765016298"/>
    <n v="7.3403525179282905E-2"/>
    <n v="0.88803418315041005"/>
    <n v="0"/>
    <x v="52"/>
    <x v="9"/>
    <n v="24679649.18"/>
    <n v="260"/>
  </r>
  <r>
    <n v="0.97958169111104598"/>
    <n v="21.929328994071199"/>
    <n v="24.244042049362399"/>
    <n v="0"/>
    <n v="5.9035134182303803"/>
    <n v="3.7434414404981302"/>
    <n v="237.71983062863799"/>
    <n v="30.474543767430902"/>
    <n v="67.424460934434194"/>
    <n v="63.517787367251501"/>
    <n v="105037.985555555"/>
    <n v="737.87650890148302"/>
    <n v="0.29936257821733803"/>
    <n v="2.14328145647457E-2"/>
    <n v="0.83909991049058197"/>
    <n v="0.100171704549593"/>
    <n v="0.91293046239451903"/>
    <n v="0"/>
    <x v="52"/>
    <x v="10"/>
    <n v="18906837.399999999"/>
    <n v="180"/>
  </r>
  <r>
    <n v="0.97892346100644401"/>
    <n v="22.5565229090641"/>
    <n v="26.153631808009902"/>
    <n v="0"/>
    <n v="5.9826329701521397"/>
    <n v="3.7616429728565701"/>
    <n v="238.11780624502299"/>
    <n v="30.700868953814101"/>
    <n v="69.336724702036506"/>
    <n v="64.759860128373802"/>
    <n v="114751.444662576"/>
    <n v="740.29922203024398"/>
    <n v="0.33759058311183199"/>
    <n v="4.9721706645950402E-2"/>
    <n v="0.84542782248186099"/>
    <n v="7.8957710522385302E-2"/>
    <n v="0.92653593110223298"/>
    <n v="0"/>
    <x v="52"/>
    <x v="11"/>
    <n v="18704485.48"/>
    <n v="163"/>
  </r>
  <r>
    <n v="0.97873908874441196"/>
    <n v="22.731371891547798"/>
    <n v="21.290146778061999"/>
    <n v="0"/>
    <n v="5.89317629789109"/>
    <n v="3.7393832788049499"/>
    <n v="237.76313091566999"/>
    <n v="31.4921580565596"/>
    <n v="70.530541438019199"/>
    <n v="66.334187744516001"/>
    <n v="125324.242960526"/>
    <n v="747.76688528801299"/>
    <n v="0.30918122499834899"/>
    <n v="2.6248183164741999E-2"/>
    <n v="0.79614516637921895"/>
    <n v="1.27455708123527E-2"/>
    <n v="0.887622667839427"/>
    <n v="0"/>
    <x v="52"/>
    <x v="12"/>
    <n v="19049284.93"/>
    <n v="152"/>
  </r>
  <r>
    <n v="0.97845311241163802"/>
    <n v="23.001861009999299"/>
    <n v="32.906134530117598"/>
    <n v="0"/>
    <n v="5.9529815777781101"/>
    <n v="3.77530618324095"/>
    <n v="237.845156490363"/>
    <n v="31.464787666582399"/>
    <n v="67.323258801895605"/>
    <n v="63.990539176131698"/>
    <n v="134449.583766233"/>
    <n v="742.34253060115998"/>
    <n v="0.35254552448735899"/>
    <n v="4.66527328964167E-2"/>
    <n v="0.83735973131317898"/>
    <n v="4.4493627334137198E-2"/>
    <n v="0.92920952665890599"/>
    <n v="0"/>
    <x v="52"/>
    <x v="13"/>
    <n v="20705235.899999999"/>
    <n v="154"/>
  </r>
  <r>
    <n v="0.977002885032492"/>
    <n v="24.3602379420775"/>
    <n v="10.2751682126631"/>
    <n v="0"/>
    <n v="5.9892427609463903"/>
    <n v="3.7916066557902899"/>
    <n v="237.64352610376901"/>
    <n v="31.463069806187601"/>
    <n v="65.811682693260494"/>
    <n v="62.6838244481945"/>
    <n v="145175.84318965499"/>
    <n v="744.469704557412"/>
    <n v="0.26682465941105898"/>
    <n v="3.4106621261579297E-2"/>
    <n v="0.69024229006618598"/>
    <n v="0.111434723286979"/>
    <n v="0.87075539992840501"/>
    <n v="0"/>
    <x v="52"/>
    <x v="14"/>
    <n v="16840397.809999999"/>
    <n v="116"/>
  </r>
  <r>
    <n v="0.978021045688236"/>
    <n v="23.4088829095564"/>
    <n v="12.445391030184201"/>
    <n v="0"/>
    <n v="5.8859080215126598"/>
    <n v="3.7376678766937101"/>
    <n v="237.85258602852701"/>
    <n v="31.962607692807801"/>
    <n v="69.376684489696103"/>
    <n v="65.203464770955193"/>
    <n v="155174.475777777"/>
    <n v="743.05524922518703"/>
    <n v="0.343374504083855"/>
    <n v="3.3115162620938499E-2"/>
    <n v="0.88858635544129305"/>
    <n v="5.5337976896747298E-2"/>
    <n v="0.98922544737351004"/>
    <n v="0"/>
    <x v="52"/>
    <x v="15"/>
    <n v="13965702.82"/>
    <n v="90"/>
  </r>
  <r>
    <n v="0.97640090794961998"/>
    <n v="24.9176088556518"/>
    <n v="36.031012883792101"/>
    <n v="0"/>
    <n v="5.9809792752827997"/>
    <n v="3.7475575455023602"/>
    <n v="237.93148618913099"/>
    <n v="31.993843934401301"/>
    <n v="67.704273245347807"/>
    <n v="64.731320053599703"/>
    <n v="164982.736"/>
    <n v="742.41042085430399"/>
    <n v="0.30931964024074898"/>
    <n v="0"/>
    <n v="0.74553280091516505"/>
    <n v="5.48599350529511E-2"/>
    <n v="0.94551417240958502"/>
    <n v="0"/>
    <x v="52"/>
    <x v="16"/>
    <n v="9074050.4800000004"/>
    <n v="55"/>
  </r>
  <r>
    <n v="0.96815902893407402"/>
    <n v="32.179591724464103"/>
    <n v="46.875994629265001"/>
    <n v="0"/>
    <n v="5.9003590994908501"/>
    <n v="3.7177671066183802"/>
    <n v="237.84256688052"/>
    <n v="30.5101323348674"/>
    <n v="69.098112941213699"/>
    <n v="64.400607182323895"/>
    <n v="269724.77514986298"/>
    <n v="727.01085532919399"/>
    <n v="0.32814115576095798"/>
    <n v="2.9626146670727199E-2"/>
    <n v="0.72074915869473999"/>
    <n v="0.101019736128947"/>
    <n v="0.93031371693783305"/>
    <n v="0"/>
    <x v="52"/>
    <x v="17"/>
    <n v="98988992.480000004"/>
    <n v="367"/>
  </r>
  <r>
    <n v="0.97654728758409504"/>
    <n v="24.782423405276599"/>
    <n v="19.570538787408999"/>
    <n v="0"/>
    <n v="5.8228134341886602"/>
    <n v="3.7003523818866202"/>
    <n v="238.05095868111201"/>
    <n v="31.910847289931102"/>
    <n v="70.507926971217103"/>
    <n v="65.094712977892698"/>
    <n v="172594.22509090899"/>
    <n v="749.54292941064296"/>
    <n v="0.36449933870008999"/>
    <n v="0"/>
    <n v="0.85497883897385796"/>
    <n v="0.109493696132704"/>
    <n v="0.92804016687220003"/>
    <n v="0"/>
    <x v="52"/>
    <x v="18"/>
    <n v="9492682.3800000008"/>
    <n v="55"/>
  </r>
  <r>
    <n v="0.98847133287466205"/>
    <n v="12.990045043768401"/>
    <n v="9.9829846116693606"/>
    <n v="0"/>
    <n v="6.0546415320968503"/>
    <n v="3.90800328128062"/>
    <n v="242.12064276027201"/>
    <n v="28.675872841756899"/>
    <n v="37.728714506278799"/>
    <n v="31.5585485760366"/>
    <n v="25244.661259842502"/>
    <n v="759.50780065767503"/>
    <n v="5.1696690228395903E-2"/>
    <n v="0"/>
    <n v="0.89767150829844999"/>
    <n v="1.55366879816591E-2"/>
    <n v="0.82339329449490395"/>
    <n v="0"/>
    <x v="53"/>
    <x v="2"/>
    <n v="3206071.98"/>
    <n v="127"/>
  </r>
  <r>
    <n v="0.986508488126143"/>
    <n v="15.0408974086764"/>
    <n v="18.816016209799201"/>
    <n v="0"/>
    <n v="6.0252988498010103"/>
    <n v="3.8591503934690898"/>
    <n v="242.32969377652799"/>
    <n v="28.503174699703699"/>
    <n v="46.398021373543003"/>
    <n v="41.754368324765103"/>
    <n v="35281.381014492697"/>
    <n v="752.98795628559299"/>
    <n v="8.4795532154252895E-2"/>
    <n v="1.48919681653823E-2"/>
    <n v="0.87295140181279396"/>
    <n v="2.4950246882486499E-2"/>
    <n v="0.89935358564068102"/>
    <n v="0"/>
    <x v="53"/>
    <x v="3"/>
    <n v="9737661.1600000001"/>
    <n v="276"/>
  </r>
  <r>
    <n v="0.98516908360672895"/>
    <n v="16.414817856282902"/>
    <n v="16.006750539046301"/>
    <n v="0"/>
    <n v="5.9972073476960599"/>
    <n v="3.8420826853635299"/>
    <n v="242.461161911028"/>
    <n v="29.014335376504899"/>
    <n v="48.875936525478103"/>
    <n v="44.936963083473003"/>
    <n v="45752.594793926197"/>
    <n v="754.22668572708506"/>
    <n v="0.13796330847838001"/>
    <n v="1.59577739677716E-2"/>
    <n v="0.86988778683685397"/>
    <n v="3.3612988734059997E-2"/>
    <n v="0.89164978905550196"/>
    <n v="0"/>
    <x v="53"/>
    <x v="4"/>
    <n v="21091946.199999999"/>
    <n v="461"/>
  </r>
  <r>
    <n v="0.98440020730690103"/>
    <n v="17.194276159478601"/>
    <n v="15.6967179755193"/>
    <n v="0"/>
    <n v="5.9851317934851096"/>
    <n v="3.83221802328445"/>
    <n v="242.45155346272799"/>
    <n v="28.361974158550002"/>
    <n v="50.432227044217001"/>
    <n v="46.446812879282902"/>
    <n v="55273.909770554397"/>
    <n v="756.959212043143"/>
    <n v="0.21998800521849901"/>
    <n v="1.3347486817728099E-2"/>
    <n v="0.91762209252506499"/>
    <n v="2.61930799689114E-2"/>
    <n v="0.95430721679044095"/>
    <n v="0"/>
    <x v="53"/>
    <x v="5"/>
    <n v="28908254.809999999"/>
    <n v="523"/>
  </r>
  <r>
    <n v="0.98340757806301604"/>
    <n v="18.1907130657384"/>
    <n v="13.070557830655799"/>
    <n v="0"/>
    <n v="5.9957013144725302"/>
    <n v="3.8119225060178499"/>
    <n v="242.46433530842901"/>
    <n v="28.817951571836598"/>
    <n v="56.129688401142502"/>
    <n v="52.508728520161803"/>
    <n v="64793.002299465203"/>
    <n v="748.278592140961"/>
    <n v="0.211930472964311"/>
    <n v="1.0597763136394499E-2"/>
    <n v="0.90206504659267095"/>
    <n v="4.1175534297406099E-2"/>
    <n v="0.93582399357435497"/>
    <n v="0"/>
    <x v="53"/>
    <x v="6"/>
    <n v="36348874.289999999"/>
    <n v="561"/>
  </r>
  <r>
    <n v="0.98228421803029398"/>
    <n v="19.305116748809301"/>
    <n v="23.971627767142099"/>
    <n v="0"/>
    <n v="5.9509384203618403"/>
    <n v="3.7858805411583201"/>
    <n v="242.39897289457201"/>
    <n v="29.952598635363799"/>
    <n v="62.7933279362909"/>
    <n v="58.408634652471598"/>
    <n v="74274.977912087896"/>
    <n v="740.61841855144598"/>
    <n v="0.18488228774811899"/>
    <n v="2.2566921317721301E-2"/>
    <n v="0.91005647153943603"/>
    <n v="4.5497446468467498E-2"/>
    <n v="0.91094269380492199"/>
    <n v="0"/>
    <x v="53"/>
    <x v="7"/>
    <n v="20277068.969999999"/>
    <n v="273"/>
  </r>
  <r>
    <n v="0.98047829383271501"/>
    <n v="21.067510120760801"/>
    <n v="1.2026243830304799"/>
    <n v="0"/>
    <n v="6.0576459532773397"/>
    <n v="3.81827006239793"/>
    <n v="242.226248816843"/>
    <n v="30.0138537669323"/>
    <n v="64.411997566917805"/>
    <n v="60.1253936715244"/>
    <n v="84801.310137930996"/>
    <n v="741.69412906687501"/>
    <n v="0.13708670605387499"/>
    <n v="3.36198164641726E-2"/>
    <n v="0.80065624587938899"/>
    <n v="6.21396523528173E-2"/>
    <n v="0.89817666829687004"/>
    <n v="0"/>
    <x v="53"/>
    <x v="8"/>
    <n v="12296189.970000001"/>
    <n v="145"/>
  </r>
  <r>
    <n v="0.98011243253442404"/>
    <n v="21.420225524976502"/>
    <n v="8.3419562775070109"/>
    <n v="0"/>
    <n v="5.9491924620077503"/>
    <n v="3.7642758537716201"/>
    <n v="242.34049372037899"/>
    <n v="30.8318169497499"/>
    <n v="62.750955541699803"/>
    <n v="59.385648868408303"/>
    <n v="94917.271914893601"/>
    <n v="737.167213705937"/>
    <n v="0.184709108544238"/>
    <n v="7.2005458693079399E-3"/>
    <n v="0.76579166326112502"/>
    <n v="4.9581815978019098E-2"/>
    <n v="0.922135384526649"/>
    <n v="0"/>
    <x v="53"/>
    <x v="9"/>
    <n v="13383335.34"/>
    <n v="141"/>
  </r>
  <r>
    <n v="0.98102625676774902"/>
    <n v="20.536521005685099"/>
    <n v="37.720878238765302"/>
    <n v="0"/>
    <n v="5.99330654623681"/>
    <n v="3.8218132500443902"/>
    <n v="242.35398489167599"/>
    <n v="30.1804276553652"/>
    <n v="66.098125354289806"/>
    <n v="62.206994214737698"/>
    <n v="104543.62447619"/>
    <n v="739.34971362153306"/>
    <n v="0.35313568715110499"/>
    <n v="2.9040791671988201E-2"/>
    <n v="0.84624715567702102"/>
    <n v="0.14166641941665101"/>
    <n v="0.98106398521223503"/>
    <n v="0"/>
    <x v="53"/>
    <x v="10"/>
    <n v="10977080.57"/>
    <n v="105"/>
  </r>
  <r>
    <n v="0.97957119020642502"/>
    <n v="21.939371211200601"/>
    <n v="11.195344734926101"/>
    <n v="0"/>
    <n v="6.04449918714558"/>
    <n v="3.78702947859668"/>
    <n v="242.39431254111301"/>
    <n v="30.586886407138401"/>
    <n v="69.312925471628802"/>
    <n v="64.068909457734094"/>
    <n v="114222.75509803899"/>
    <n v="740.97617169190403"/>
    <n v="0.37235198770556399"/>
    <n v="3.86207101884583E-2"/>
    <n v="0.78482582788682997"/>
    <n v="5.8852809952529402E-2"/>
    <n v="0.88264741575624805"/>
    <n v="0"/>
    <x v="53"/>
    <x v="11"/>
    <n v="11650721.02"/>
    <n v="102"/>
  </r>
  <r>
    <n v="0.97903324998315899"/>
    <n v="22.452232589542"/>
    <n v="36.830902793086402"/>
    <n v="0"/>
    <n v="5.9080343947394596"/>
    <n v="3.75176292844978"/>
    <n v="241.96067200854401"/>
    <n v="31.000780053378801"/>
    <n v="68.815754233568697"/>
    <n v="64.756709926191903"/>
    <n v="125021.142405063"/>
    <n v="734.679954877505"/>
    <n v="0.31849940216440797"/>
    <n v="7.4582161938635094E-2"/>
    <n v="0.82461775617141797"/>
    <n v="8.8207768200016495E-2"/>
    <n v="0.86062096585638204"/>
    <n v="0"/>
    <x v="53"/>
    <x v="12"/>
    <n v="9876670.25"/>
    <n v="79"/>
  </r>
  <r>
    <n v="0.978863870778515"/>
    <n v="22.613074783151099"/>
    <n v="14.67108844593"/>
    <n v="0"/>
    <n v="5.9150797025750901"/>
    <n v="3.7555218640100101"/>
    <n v="241.93174499368899"/>
    <n v="30.7308033257071"/>
    <n v="66.657189187775899"/>
    <n v="62.572494175423998"/>
    <n v="134625.681153846"/>
    <n v="733.61655072758197"/>
    <n v="0.33333336952104098"/>
    <n v="9.1646360576993297E-2"/>
    <n v="0.806941175365126"/>
    <n v="3.8123381139895697E-2"/>
    <n v="0.97484819049264404"/>
    <n v="0"/>
    <x v="53"/>
    <x v="13"/>
    <n v="10500803.130000001"/>
    <n v="78"/>
  </r>
  <r>
    <n v="0.97761126911833196"/>
    <n v="23.793083493172499"/>
    <n v="20.9321175602078"/>
    <n v="0"/>
    <n v="5.9751961159905296"/>
    <n v="3.76784251696228"/>
    <n v="241.835606553015"/>
    <n v="31.461518330151499"/>
    <n v="61.549865797060498"/>
    <n v="57.495392351923101"/>
    <n v="144753.480555555"/>
    <n v="743.42953128760803"/>
    <n v="0.35066113647276898"/>
    <n v="1.82397469250387E-2"/>
    <n v="0.74044653528736504"/>
    <n v="0.16750489828623599"/>
    <n v="0.87023631153140701"/>
    <n v="0"/>
    <x v="53"/>
    <x v="14"/>
    <n v="7816687.9500000002"/>
    <n v="54"/>
  </r>
  <r>
    <n v="0.97815976822237205"/>
    <n v="23.278416925843999"/>
    <n v="35.182185922706303"/>
    <n v="0"/>
    <n v="5.8465643633981399"/>
    <n v="3.71052270168058"/>
    <n v="242.150001121727"/>
    <n v="30.3125525256279"/>
    <n v="67.936319748973503"/>
    <n v="61.260530045225302"/>
    <n v="155172.58157894699"/>
    <n v="731.74080061496602"/>
    <n v="0.33199043240722598"/>
    <n v="1.6966548671842899E-2"/>
    <n v="0.96534164340154005"/>
    <n v="8.7307420917297401E-2"/>
    <n v="0.96554707510923399"/>
    <n v="0"/>
    <x v="53"/>
    <x v="15"/>
    <n v="8844837.1500000004"/>
    <n v="57"/>
  </r>
  <r>
    <n v="0.97721199741860099"/>
    <n v="24.165734799542701"/>
    <n v="51.020575991415001"/>
    <n v="0"/>
    <n v="5.9572025759085196"/>
    <n v="3.7530923874511202"/>
    <n v="241.96412655609399"/>
    <n v="31.416113261420399"/>
    <n v="66.109306423541994"/>
    <n v="61.268235346973597"/>
    <n v="165672.87485714199"/>
    <n v="743.39999901906504"/>
    <n v="0.22911942260495399"/>
    <n v="2.8375366670507701E-2"/>
    <n v="0.68602543992277798"/>
    <n v="5.69918125505645E-2"/>
    <n v="0.97171628899222995"/>
    <n v="0"/>
    <x v="53"/>
    <x v="16"/>
    <n v="5798550.6200000001"/>
    <n v="35"/>
  </r>
  <r>
    <n v="0.96770213155720497"/>
    <n v="32.562669250884497"/>
    <n v="43.317682907666502"/>
    <n v="0"/>
    <n v="5.9020685543314597"/>
    <n v="3.7211616194595099"/>
    <n v="242.416300769603"/>
    <n v="30.529055948299899"/>
    <n v="67.469348532839007"/>
    <n v="62.341457398856399"/>
    <n v="271286.38967078098"/>
    <n v="722.75135077033303"/>
    <n v="0.23955955834843201"/>
    <n v="4.7954159431589503E-2"/>
    <n v="0.65176085355207203"/>
    <n v="0.147642892107858"/>
    <n v="0.93551279331516801"/>
    <n v="0"/>
    <x v="53"/>
    <x v="17"/>
    <n v="65922592.689999998"/>
    <n v="243"/>
  </r>
  <r>
    <n v="0.97677688426680398"/>
    <n v="24.569935321131702"/>
    <n v="47.718023744900101"/>
    <n v="0"/>
    <n v="5.8880994236977502"/>
    <n v="3.7456237933423102"/>
    <n v="241.97313859579799"/>
    <n v="32.159849894915403"/>
    <n v="68.643083040930904"/>
    <n v="62.0833969898123"/>
    <n v="172788.35421052601"/>
    <n v="730.752295570005"/>
    <n v="0.31662098523556298"/>
    <n v="0"/>
    <n v="0.73702794443630104"/>
    <n v="0.10563508889989"/>
    <n v="1"/>
    <n v="0"/>
    <x v="53"/>
    <x v="18"/>
    <n v="6565957.46"/>
    <n v="38"/>
  </r>
  <r>
    <n v="0.98962922964836297"/>
    <n v="11.759051155559799"/>
    <n v="47.669231315930801"/>
    <n v="0"/>
    <n v="6.1666909147437998"/>
    <n v="3.79727461790571"/>
    <n v="264.67714118831702"/>
    <n v="30.575731194630698"/>
    <n v="30.453726959819701"/>
    <n v="19.292959838356701"/>
    <n v="16021.2143703703"/>
    <n v="767.83206759182406"/>
    <n v="6.4351491291680593E-2"/>
    <n v="4.4769228525766598E-3"/>
    <n v="0.98553567821746502"/>
    <n v="1.27322132893851E-2"/>
    <n v="0.88640190422704002"/>
    <n v="0"/>
    <x v="54"/>
    <x v="1"/>
    <n v="4325727.88"/>
    <n v="270"/>
  </r>
  <r>
    <n v="0.98799929316817303"/>
    <n v="13.4873517171135"/>
    <n v="20.6903771114895"/>
    <n v="0"/>
    <n v="6.2241255395748896"/>
    <n v="3.85762151808466"/>
    <n v="262.15224716905601"/>
    <n v="30.2787289428707"/>
    <n v="36.091721766059599"/>
    <n v="29.946647745379799"/>
    <n v="25292.088899082501"/>
    <n v="762.50673897369199"/>
    <n v="0.143751840416352"/>
    <n v="3.53040249774975E-3"/>
    <n v="0.89596336615184102"/>
    <n v="3.3598413743876697E-2"/>
    <n v="0.88565600924683596"/>
    <n v="0"/>
    <x v="54"/>
    <x v="2"/>
    <n v="16541026.140000001"/>
    <n v="654"/>
  </r>
  <r>
    <n v="0.986536948226582"/>
    <n v="15.0114805918851"/>
    <n v="9.7337259086499195"/>
    <n v="0"/>
    <n v="6.16513422850882"/>
    <n v="3.8083364627812002"/>
    <n v="261.26479497928898"/>
    <n v="29.990908426013402"/>
    <n v="44.4140348152699"/>
    <n v="40.187674181367797"/>
    <n v="35561.184535519104"/>
    <n v="761.35118890381204"/>
    <n v="0.13174842989291"/>
    <n v="2.7659737337966499E-3"/>
    <n v="0.92819659220231299"/>
    <n v="4.5459048025066402E-2"/>
    <n v="0.93013730288890895"/>
    <n v="0"/>
    <x v="54"/>
    <x v="3"/>
    <n v="39046180.619999997"/>
    <n v="1098"/>
  </r>
  <r>
    <n v="0.98512819233919602"/>
    <n v="16.456440647061399"/>
    <n v="16.688280593224398"/>
    <n v="0"/>
    <n v="6.1096346608644199"/>
    <n v="3.7851627737689899"/>
    <n v="259.34138312255402"/>
    <n v="29.936414610845301"/>
    <n v="47.202609012475399"/>
    <n v="43.5170934220546"/>
    <n v="45427.078976520097"/>
    <n v="757.81717623254201"/>
    <n v="0.14366292309958001"/>
    <n v="5.0075568722949297E-3"/>
    <n v="0.920136613072012"/>
    <n v="4.3683266094076197E-2"/>
    <n v="0.935226419090741"/>
    <n v="0"/>
    <x v="54"/>
    <x v="4"/>
    <n v="75454378.180000007"/>
    <n v="1661"/>
  </r>
  <r>
    <n v="0.98433127887291905"/>
    <n v="17.2638267902406"/>
    <n v="18.044443724800502"/>
    <n v="0"/>
    <n v="6.1402400751015298"/>
    <n v="3.77790365749396"/>
    <n v="262.13640354044702"/>
    <n v="29.606069553831102"/>
    <n v="49.6048358445357"/>
    <n v="45.948986270593501"/>
    <n v="55251.391494140596"/>
    <n v="756.41476369109398"/>
    <n v="0.22139998664403601"/>
    <n v="5.0977324535492804E-3"/>
    <n v="0.932316994411726"/>
    <n v="4.3251926625464301E-2"/>
    <n v="0.97360593420603003"/>
    <n v="0"/>
    <x v="54"/>
    <x v="5"/>
    <n v="113154849.78"/>
    <n v="2048"/>
  </r>
  <r>
    <n v="0.983770875443568"/>
    <n v="17.827304482908499"/>
    <n v="17.959927784477301"/>
    <n v="0"/>
    <n v="6.1201050905759704"/>
    <n v="3.7631889265704799"/>
    <n v="260.73770646875101"/>
    <n v="29.684671675359098"/>
    <n v="50.759067994729897"/>
    <n v="47.871793906609497"/>
    <n v="64824.6194189944"/>
    <n v="755.51476156084505"/>
    <n v="0.227723465491179"/>
    <n v="3.9574785229047598E-3"/>
    <n v="0.94688383167523604"/>
    <n v="3.4630815167578502E-2"/>
    <n v="0.96242567801036205"/>
    <n v="0"/>
    <x v="54"/>
    <x v="6"/>
    <n v="116036068.76000001"/>
    <n v="1790"/>
  </r>
  <r>
    <n v="0.98228681202055701"/>
    <n v="19.302559548628199"/>
    <n v="20.273051644948101"/>
    <n v="0"/>
    <n v="6.1566845651125703"/>
    <n v="3.7920413854918"/>
    <n v="260.38838844197397"/>
    <n v="30.3086076931164"/>
    <n v="59.853271289819602"/>
    <n v="55.9209361446324"/>
    <n v="73594.483744855897"/>
    <n v="744.30147836654601"/>
    <n v="0.22648651856252999"/>
    <n v="0"/>
    <n v="0.93489378699846304"/>
    <n v="4.3920861497964397E-2"/>
    <n v="0.932665391169611"/>
    <n v="0"/>
    <x v="54"/>
    <x v="7"/>
    <n v="53650378.649999999"/>
    <n v="729"/>
  </r>
  <r>
    <n v="0.98055588405469596"/>
    <n v="20.992521547326302"/>
    <n v="14.8763102553206"/>
    <n v="0"/>
    <n v="6.1810830929859701"/>
    <n v="3.8532312183062398"/>
    <n v="258.57790588766699"/>
    <n v="30.5012330920027"/>
    <n v="62.968718922846499"/>
    <n v="57.441514193890697"/>
    <n v="85183.436550308004"/>
    <n v="749.15671542907398"/>
    <n v="0.120288721475328"/>
    <n v="1.02055140642297E-2"/>
    <n v="0.860627629076823"/>
    <n v="3.0521911529512901E-2"/>
    <n v="0.93447092518800801"/>
    <n v="0"/>
    <x v="54"/>
    <x v="8"/>
    <n v="41484333.600000001"/>
    <n v="487"/>
  </r>
  <r>
    <n v="0.97985229555365705"/>
    <n v="21.670135932632402"/>
    <n v="42.365330435133501"/>
    <n v="0"/>
    <n v="6.1629619468861696"/>
    <n v="3.7863208587645101"/>
    <n v="257.74070154086701"/>
    <n v="31.036571061745502"/>
    <n v="63.0641662010717"/>
    <n v="59.483802528988697"/>
    <n v="95076.280983050805"/>
    <n v="740.54916748633195"/>
    <n v="0.21803429003942901"/>
    <n v="0"/>
    <n v="0.85776309514447402"/>
    <n v="7.1478985771485107E-2"/>
    <n v="0.93840396641456503"/>
    <n v="0"/>
    <x v="54"/>
    <x v="9"/>
    <n v="28047502.890000001"/>
    <n v="295"/>
  </r>
  <r>
    <n v="0.97967440000343697"/>
    <n v="21.840618302309199"/>
    <n v="8.8333865676342196"/>
    <n v="0"/>
    <n v="6.2046701686399697"/>
    <n v="3.8436101189001199"/>
    <n v="256.88272437676301"/>
    <n v="30.459350146608401"/>
    <n v="66.556342428947104"/>
    <n v="63.259306122598097"/>
    <n v="104495.433846153"/>
    <n v="730.61350929793502"/>
    <n v="0.27250121594601001"/>
    <n v="5.5267656359419902E-2"/>
    <n v="0.86038117134630099"/>
    <n v="0.119356641085739"/>
    <n v="0.93138169701064599"/>
    <n v="0"/>
    <x v="54"/>
    <x v="10"/>
    <n v="28527253.440000001"/>
    <n v="273"/>
  </r>
  <r>
    <n v="0.97917472239632097"/>
    <n v="22.317655833694801"/>
    <n v="24.582954551734598"/>
    <n v="0"/>
    <n v="6.1725563086856399"/>
    <n v="3.7977506587233298"/>
    <n v="255.326631365249"/>
    <n v="31.423471147508302"/>
    <n v="66.167213876271902"/>
    <n v="61.339547820772601"/>
    <n v="114250.608363636"/>
    <n v="744.06842125213802"/>
    <n v="0.37199626266243102"/>
    <n v="4.5833447608966398E-2"/>
    <n v="0.84882521198462801"/>
    <n v="5.8581921201339399E-2"/>
    <n v="0.87674164061662296"/>
    <n v="0"/>
    <x v="54"/>
    <x v="11"/>
    <n v="25135133.84"/>
    <n v="220"/>
  </r>
  <r>
    <n v="0.97826130904289499"/>
    <n v="23.18279056103"/>
    <n v="29.4859290920257"/>
    <n v="0"/>
    <n v="6.0983828026230196"/>
    <n v="3.7747172433585701"/>
    <n v="257.52306835675398"/>
    <n v="31.9834506865636"/>
    <n v="66.105406714450098"/>
    <n v="62.696307770803401"/>
    <n v="124948.17396551699"/>
    <n v="732.260949099242"/>
    <n v="0.30454047189653399"/>
    <n v="6.1472439625884397E-2"/>
    <n v="0.82845650745291699"/>
    <n v="8.0872661969196194E-2"/>
    <n v="0.91867608289071101"/>
    <n v="0"/>
    <x v="54"/>
    <x v="12"/>
    <n v="21740982.27"/>
    <n v="174"/>
  </r>
  <r>
    <n v="0.97774696576739595"/>
    <n v="23.666052370255699"/>
    <n v="52.2289937640478"/>
    <n v="0"/>
    <n v="6.17909593190058"/>
    <n v="3.7636575686202298"/>
    <n v="256.84386953875901"/>
    <n v="30.7295846690897"/>
    <n v="67.129180203901996"/>
    <n v="62.922393621136798"/>
    <n v="134835.990714285"/>
    <n v="723.62994996314399"/>
    <n v="0.26183991763143"/>
    <n v="4.8023195767458997E-2"/>
    <n v="0.86271128823823395"/>
    <n v="6.5310046485204207E-2"/>
    <n v="0.91795604395654795"/>
    <n v="0"/>
    <x v="54"/>
    <x v="13"/>
    <n v="22652446.440000001"/>
    <n v="168"/>
  </r>
  <r>
    <n v="0.97857687350789302"/>
    <n v="22.884908982930899"/>
    <n v="21.128194273821499"/>
    <n v="0"/>
    <n v="6.1138717514760499"/>
    <n v="3.7860385030455701"/>
    <n v="256.21140454062299"/>
    <n v="30.9213012473951"/>
    <n v="64.294247224594599"/>
    <n v="60.218731897987396"/>
    <n v="145425.28120253101"/>
    <n v="742.67645769536102"/>
    <n v="0.420606899133942"/>
    <n v="0"/>
    <n v="0.83781813696390395"/>
    <n v="8.1099246719478602E-2"/>
    <n v="0.92453631424487104"/>
    <n v="0"/>
    <x v="54"/>
    <x v="14"/>
    <n v="22977194.43"/>
    <n v="158"/>
  </r>
  <r>
    <n v="0.97886368755129805"/>
    <n v="22.613248609688"/>
    <n v="51.821100141516098"/>
    <n v="0"/>
    <n v="5.95681734159841"/>
    <n v="3.7470159879886"/>
    <n v="255.525338448409"/>
    <n v="29.263527968806098"/>
    <n v="62.700960153820503"/>
    <n v="59.159206649809597"/>
    <n v="154646.32399999999"/>
    <n v="736.56857483021497"/>
    <n v="0.30627251196508898"/>
    <n v="0"/>
    <n v="1"/>
    <n v="0.16617415437334901"/>
    <n v="0.96550457173187898"/>
    <n v="0"/>
    <x v="54"/>
    <x v="15"/>
    <n v="13144937.539999999"/>
    <n v="85"/>
  </r>
  <r>
    <n v="0.97585994958154498"/>
    <n v="25.415268086071102"/>
    <n v="0.238763084736027"/>
    <n v="0"/>
    <n v="6.0403223441741201"/>
    <n v="3.7002043079795"/>
    <n v="253.482599619056"/>
    <n v="32.098650490436903"/>
    <n v="61.874293396595299"/>
    <n v="56.795185445079298"/>
    <n v="164694.20442307601"/>
    <n v="731.36899502055303"/>
    <n v="0.17363118458153401"/>
    <n v="3.9025804633919699E-2"/>
    <n v="0.82437710085083404"/>
    <n v="7.6442087869788997E-2"/>
    <n v="0.88343029043326105"/>
    <n v="0"/>
    <x v="54"/>
    <x v="16"/>
    <n v="8564098.6300000008"/>
    <n v="52"/>
  </r>
  <r>
    <n v="0.96683820792763997"/>
    <n v="33.281594813825699"/>
    <n v="19.275074728330999"/>
    <n v="0"/>
    <n v="6.1873383304414"/>
    <n v="3.8245641297266801"/>
    <n v="261.01322937294901"/>
    <n v="29.9176236318261"/>
    <n v="66.992014161138101"/>
    <n v="61.775881852704202"/>
    <n v="293178.46825065202"/>
    <n v="721.12493874183201"/>
    <n v="0.26798212608045002"/>
    <n v="6.8299590843308403E-2"/>
    <n v="0.70176526782494997"/>
    <n v="8.8033969774569801E-2"/>
    <n v="0.803658043455314"/>
    <n v="0"/>
    <x v="54"/>
    <x v="17"/>
    <n v="112287353.34"/>
    <n v="383"/>
  </r>
  <r>
    <n v="0.97739568932590604"/>
    <n v="23.994498034954699"/>
    <n v="17.731050924537001"/>
    <n v="0"/>
    <n v="5.9509311758160504"/>
    <n v="3.71535072982104"/>
    <n v="253.59552305152701"/>
    <n v="31.283335036750898"/>
    <n v="61.844921016394601"/>
    <n v="58.020181628910699"/>
    <n v="173004.502580645"/>
    <n v="753.46232782272602"/>
    <n v="0.145516805661806"/>
    <n v="0"/>
    <n v="0.87225421886185495"/>
    <n v="0.209574145560462"/>
    <n v="1"/>
    <n v="0"/>
    <x v="54"/>
    <x v="18"/>
    <n v="10726279.16"/>
    <n v="62"/>
  </r>
  <r>
    <m/>
    <m/>
    <m/>
    <m/>
    <m/>
    <m/>
    <m/>
    <m/>
    <m/>
    <m/>
    <m/>
    <m/>
    <m/>
    <m/>
    <m/>
    <m/>
    <m/>
    <m/>
    <x v="55"/>
    <x v="19"/>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6" cacheId="1"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location ref="A3:U60" firstHeaderRow="1" firstDataRow="2" firstDataCol="1"/>
  <pivotFields count="22">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t="default"/>
      </items>
    </pivotField>
    <pivotField axis="axisCol" showAll="0" defaultSubtotal="0">
      <items count="20">
        <item x="0"/>
        <item x="1"/>
        <item x="2"/>
        <item x="3"/>
        <item x="4"/>
        <item x="5"/>
        <item x="6"/>
        <item x="7"/>
        <item x="8"/>
        <item x="9"/>
        <item x="10"/>
        <item x="11"/>
        <item x="12"/>
        <item x="13"/>
        <item x="14"/>
        <item x="15"/>
        <item x="16"/>
        <item x="17"/>
        <item x="18"/>
        <item x="19"/>
      </items>
    </pivotField>
    <pivotField showAll="0"/>
    <pivotField showAll="0"/>
  </pivotFields>
  <rowFields count="1">
    <field x="18"/>
  </rowFields>
  <rowItems count="5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rowItems>
  <colFields count="1">
    <field x="19"/>
  </colFields>
  <colItems count="20">
    <i>
      <x/>
    </i>
    <i>
      <x v="1"/>
    </i>
    <i>
      <x v="2"/>
    </i>
    <i>
      <x v="3"/>
    </i>
    <i>
      <x v="4"/>
    </i>
    <i>
      <x v="5"/>
    </i>
    <i>
      <x v="6"/>
    </i>
    <i>
      <x v="7"/>
    </i>
    <i>
      <x v="8"/>
    </i>
    <i>
      <x v="9"/>
    </i>
    <i>
      <x v="10"/>
    </i>
    <i>
      <x v="11"/>
    </i>
    <i>
      <x v="12"/>
    </i>
    <i>
      <x v="13"/>
    </i>
    <i>
      <x v="14"/>
    </i>
    <i>
      <x v="15"/>
    </i>
    <i>
      <x v="16"/>
    </i>
    <i>
      <x v="17"/>
    </i>
    <i>
      <x v="18"/>
    </i>
    <i>
      <x v="19"/>
    </i>
  </colItems>
  <dataFields count="1">
    <dataField name="Sum of PREPAY_CPR1" fld="2" baseField="0" baseItem="0"/>
  </dataFields>
  <formats count="1">
    <format dxfId="0">
      <pivotArea collapsedLevelsAreSubtotals="1" fieldPosition="0">
        <references count="1">
          <reference field="18"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119"/>
  <sheetViews>
    <sheetView topLeftCell="A26" zoomScale="85" zoomScaleNormal="85" workbookViewId="0">
      <selection activeCell="AG47" sqref="AG47"/>
    </sheetView>
  </sheetViews>
  <sheetFormatPr defaultRowHeight="15" x14ac:dyDescent="0.25"/>
  <sheetData>
    <row r="1" spans="1:30" x14ac:dyDescent="0.25">
      <c r="B1" s="3">
        <v>60</v>
      </c>
      <c r="C1" s="3">
        <v>70</v>
      </c>
      <c r="D1" s="3">
        <v>80</v>
      </c>
      <c r="E1" s="3">
        <v>90</v>
      </c>
      <c r="F1" s="3">
        <v>100</v>
      </c>
      <c r="G1" s="3">
        <v>110</v>
      </c>
      <c r="H1" s="3">
        <v>120</v>
      </c>
      <c r="I1" s="3">
        <v>130</v>
      </c>
      <c r="J1" s="3">
        <v>140</v>
      </c>
      <c r="K1" s="3">
        <v>150</v>
      </c>
      <c r="L1" s="3">
        <v>160</v>
      </c>
      <c r="M1" s="3">
        <v>170</v>
      </c>
      <c r="Q1" t="s">
        <v>26</v>
      </c>
      <c r="S1" s="3">
        <v>60</v>
      </c>
      <c r="T1" s="3">
        <v>70</v>
      </c>
      <c r="U1" s="3">
        <v>80</v>
      </c>
      <c r="V1" s="3">
        <v>90</v>
      </c>
      <c r="W1" s="3">
        <v>100</v>
      </c>
      <c r="X1" s="3">
        <v>110</v>
      </c>
      <c r="Y1" s="3">
        <v>120</v>
      </c>
      <c r="Z1" s="3">
        <v>130</v>
      </c>
      <c r="AA1" s="3">
        <v>140</v>
      </c>
      <c r="AB1" s="3">
        <v>150</v>
      </c>
      <c r="AC1" s="3">
        <v>160</v>
      </c>
      <c r="AD1" s="3">
        <v>170</v>
      </c>
    </row>
    <row r="2" spans="1:30" x14ac:dyDescent="0.25">
      <c r="A2" s="2">
        <v>-25</v>
      </c>
      <c r="B2" s="4">
        <v>8.0795177965137697</v>
      </c>
      <c r="C2" s="4">
        <v>7.2213767221873697</v>
      </c>
      <c r="D2" s="4">
        <v>6.72535845610353</v>
      </c>
      <c r="E2" s="4">
        <v>6.7273956075274697</v>
      </c>
      <c r="F2" s="4">
        <v>6.1983349838056201</v>
      </c>
      <c r="G2" s="4">
        <v>6.1508329061516198</v>
      </c>
      <c r="H2" s="4">
        <v>6.01864874982068</v>
      </c>
      <c r="I2" s="4">
        <v>5.9980416489125297</v>
      </c>
      <c r="J2" s="4">
        <v>5.7248006393287199</v>
      </c>
      <c r="K2" s="4">
        <v>5.9784956938347698</v>
      </c>
      <c r="L2" s="4">
        <v>5.7883430595130001</v>
      </c>
      <c r="M2" s="4">
        <v>5.6367430894106301</v>
      </c>
      <c r="R2" s="2">
        <v>-25</v>
      </c>
      <c r="S2" s="4"/>
      <c r="T2" s="4"/>
      <c r="U2" s="4"/>
      <c r="V2" s="4"/>
      <c r="W2" s="4"/>
      <c r="X2" s="4"/>
      <c r="Y2" s="4"/>
      <c r="Z2" s="4"/>
      <c r="AA2" s="4"/>
      <c r="AB2" s="4"/>
      <c r="AC2" s="4"/>
      <c r="AD2" s="4"/>
    </row>
    <row r="3" spans="1:30" x14ac:dyDescent="0.25">
      <c r="A3" s="2">
        <v>-15</v>
      </c>
      <c r="B3" s="4">
        <v>8.6805861008429108</v>
      </c>
      <c r="C3" s="4">
        <v>7.60798429900803</v>
      </c>
      <c r="D3" s="4">
        <v>7.4805430498898504</v>
      </c>
      <c r="E3" s="4">
        <v>7.8620456580270099</v>
      </c>
      <c r="F3" s="4">
        <v>7.3503909716776299</v>
      </c>
      <c r="G3" s="4">
        <v>6.8318579596419999</v>
      </c>
      <c r="H3" s="4">
        <v>7.1470810689910804</v>
      </c>
      <c r="I3" s="4">
        <v>7.3289776070984702</v>
      </c>
      <c r="J3" s="4">
        <v>6.6226249984795</v>
      </c>
      <c r="K3" s="4">
        <v>7.2582676732149096</v>
      </c>
      <c r="L3" s="4">
        <v>7.0620182999663896</v>
      </c>
      <c r="M3" s="4">
        <v>7.39347190011385</v>
      </c>
      <c r="R3" s="2">
        <v>-15</v>
      </c>
      <c r="S3" s="4"/>
      <c r="T3" s="4"/>
      <c r="U3" s="4"/>
      <c r="V3" s="4"/>
      <c r="W3" s="4"/>
      <c r="X3" s="4"/>
      <c r="Y3" s="4"/>
      <c r="Z3" s="4"/>
      <c r="AA3" s="4"/>
      <c r="AB3" s="4"/>
      <c r="AC3" s="4"/>
      <c r="AD3" s="4"/>
    </row>
    <row r="4" spans="1:30" x14ac:dyDescent="0.25">
      <c r="A4" s="2">
        <v>-10</v>
      </c>
      <c r="B4" s="4">
        <v>9.3857577878501903</v>
      </c>
      <c r="C4" s="4">
        <v>8.5316426375462697</v>
      </c>
      <c r="D4" s="4">
        <v>8.3592662988301996</v>
      </c>
      <c r="E4" s="4">
        <v>7.7915826465785702</v>
      </c>
      <c r="F4" s="4">
        <v>7.4585722426706198</v>
      </c>
      <c r="G4" s="4">
        <v>7.1811731727842902</v>
      </c>
      <c r="H4" s="4">
        <v>7.3643048870210599</v>
      </c>
      <c r="I4" s="4">
        <v>7.2359503609161697</v>
      </c>
      <c r="J4" s="4">
        <v>7.72379216318798</v>
      </c>
      <c r="K4" s="4">
        <v>7.0846099949903198</v>
      </c>
      <c r="L4" s="4">
        <v>7.1845080037510201</v>
      </c>
      <c r="M4" s="4">
        <v>7.0928405090414701</v>
      </c>
      <c r="R4" s="2">
        <v>-10</v>
      </c>
      <c r="S4" s="4"/>
      <c r="T4" s="4"/>
      <c r="U4" s="4"/>
      <c r="V4" s="4"/>
      <c r="W4" s="4"/>
      <c r="X4" s="4"/>
      <c r="Y4" s="4"/>
      <c r="Z4" s="4"/>
      <c r="AA4" s="4"/>
      <c r="AB4" s="4"/>
      <c r="AC4" s="4"/>
      <c r="AD4" s="4"/>
    </row>
    <row r="5" spans="1:30" x14ac:dyDescent="0.25">
      <c r="A5" s="2">
        <v>-5</v>
      </c>
      <c r="B5" s="4">
        <v>9.3130142574881702</v>
      </c>
      <c r="C5" s="4">
        <v>8.5268070635036803</v>
      </c>
      <c r="D5" s="4">
        <v>7.4374506077358404</v>
      </c>
      <c r="E5" s="4">
        <v>7.4717381758200698</v>
      </c>
      <c r="F5" s="4">
        <v>7.9561029804538199</v>
      </c>
      <c r="G5" s="4">
        <v>7.7793733023266496</v>
      </c>
      <c r="H5" s="4">
        <v>7.3571219664248098</v>
      </c>
      <c r="I5" s="4">
        <v>7.46170518312735</v>
      </c>
      <c r="J5" s="4">
        <v>7.5134142517776201</v>
      </c>
      <c r="K5" s="4">
        <v>7.8908733758567902</v>
      </c>
      <c r="L5" s="4">
        <v>7.1404422375429899</v>
      </c>
      <c r="M5" s="4">
        <v>6.9989426269617496</v>
      </c>
      <c r="R5" s="2">
        <v>-5</v>
      </c>
      <c r="S5" s="4">
        <f>(B5-MIN(B$5:B$44))/(MAX(B$5:B$44)-MIN(B$5:B$44))</f>
        <v>0.13279102082014674</v>
      </c>
      <c r="T5" s="4">
        <f t="shared" ref="T5:AD20" si="0">(C5-MIN(C$5:C$44))/(MAX(C$5:C$44)-MIN(C$5:C$44))</f>
        <v>1.8425011327273137E-2</v>
      </c>
      <c r="U5" s="4">
        <f t="shared" si="0"/>
        <v>0</v>
      </c>
      <c r="V5" s="4">
        <f t="shared" si="0"/>
        <v>1.3363586540451973E-2</v>
      </c>
      <c r="W5" s="4">
        <f t="shared" si="0"/>
        <v>2.3122432016895827E-2</v>
      </c>
      <c r="X5" s="4">
        <f t="shared" si="0"/>
        <v>1.5412267479922198E-2</v>
      </c>
      <c r="Y5" s="4">
        <f t="shared" si="0"/>
        <v>0</v>
      </c>
      <c r="Z5" s="4">
        <f t="shared" si="0"/>
        <v>6.8186256335333126E-3</v>
      </c>
      <c r="AA5" s="4">
        <f t="shared" si="0"/>
        <v>1.8545758443648461E-2</v>
      </c>
      <c r="AB5" s="4">
        <f t="shared" si="0"/>
        <v>2.4099072279366682E-2</v>
      </c>
      <c r="AC5" s="4">
        <f t="shared" si="0"/>
        <v>0</v>
      </c>
      <c r="AD5" s="4">
        <f t="shared" si="0"/>
        <v>0</v>
      </c>
    </row>
    <row r="6" spans="1:30" x14ac:dyDescent="0.25">
      <c r="A6" s="2">
        <v>0</v>
      </c>
      <c r="B6" s="4">
        <v>8.0138615757482903</v>
      </c>
      <c r="C6" s="4">
        <v>8.3348111813328405</v>
      </c>
      <c r="D6" s="4">
        <v>8.1505700920075004</v>
      </c>
      <c r="E6" s="4">
        <v>7.2835938389932799</v>
      </c>
      <c r="F6" s="4">
        <v>7.6079540279936797</v>
      </c>
      <c r="G6" s="4">
        <v>8.2106751749075304</v>
      </c>
      <c r="H6" s="4">
        <v>7.4979874151818899</v>
      </c>
      <c r="I6" s="4">
        <v>7.4238734285865497</v>
      </c>
      <c r="J6" s="4">
        <v>7.1129723042855204</v>
      </c>
      <c r="K6" s="4">
        <v>7.3686369873700999</v>
      </c>
      <c r="L6" s="4">
        <v>7.8046021539688697</v>
      </c>
      <c r="M6" s="4">
        <v>7.6818013501275102</v>
      </c>
      <c r="R6" s="2">
        <v>0</v>
      </c>
      <c r="S6" s="4">
        <f t="shared" ref="S6:S44" si="1">(B6-MIN(B$5:B$44))/(MAX(B$5:B$44)-MIN(B$5:B$44))</f>
        <v>0</v>
      </c>
      <c r="T6" s="4">
        <f t="shared" si="0"/>
        <v>0</v>
      </c>
      <c r="U6" s="4">
        <f t="shared" si="0"/>
        <v>6.4181603929443498E-2</v>
      </c>
      <c r="V6" s="4">
        <f t="shared" si="0"/>
        <v>0</v>
      </c>
      <c r="W6" s="4">
        <f t="shared" si="0"/>
        <v>0</v>
      </c>
      <c r="X6" s="4">
        <f t="shared" si="0"/>
        <v>4.0626559512388347E-2</v>
      </c>
      <c r="Y6" s="4">
        <f t="shared" si="0"/>
        <v>7.7504946437065812E-3</v>
      </c>
      <c r="Z6" s="4">
        <f t="shared" si="0"/>
        <v>4.92604307894518E-3</v>
      </c>
      <c r="AA6" s="4">
        <f t="shared" si="0"/>
        <v>0</v>
      </c>
      <c r="AB6" s="4">
        <f t="shared" si="0"/>
        <v>0</v>
      </c>
      <c r="AC6" s="4">
        <f t="shared" si="0"/>
        <v>2.8582587652252554E-2</v>
      </c>
      <c r="AD6" s="4">
        <f t="shared" si="0"/>
        <v>2.9070103145781848E-2</v>
      </c>
    </row>
    <row r="7" spans="1:30" x14ac:dyDescent="0.25">
      <c r="A7" s="2">
        <v>5</v>
      </c>
      <c r="B7" s="4">
        <v>10.0518989613195</v>
      </c>
      <c r="C7" s="4">
        <v>8.7715591056667694</v>
      </c>
      <c r="D7" s="4">
        <v>7.9699779019127002</v>
      </c>
      <c r="E7" s="4">
        <v>7.5134159181811402</v>
      </c>
      <c r="F7" s="4">
        <v>7.9487307950805004</v>
      </c>
      <c r="G7" s="4">
        <v>7.5157394943161497</v>
      </c>
      <c r="H7" s="4">
        <v>7.7839919366814101</v>
      </c>
      <c r="I7" s="4">
        <v>7.3254043540575298</v>
      </c>
      <c r="J7" s="4">
        <v>7.6954450661337397</v>
      </c>
      <c r="K7" s="4">
        <v>8.0105099350406501</v>
      </c>
      <c r="L7" s="4">
        <v>7.6528301764752804</v>
      </c>
      <c r="M7" s="4">
        <v>7.6718317645468499</v>
      </c>
      <c r="R7" s="2">
        <v>5</v>
      </c>
      <c r="S7" s="4">
        <f t="shared" si="1"/>
        <v>0.20831505696249708</v>
      </c>
      <c r="T7" s="4">
        <f t="shared" si="0"/>
        <v>4.1912802306120787E-2</v>
      </c>
      <c r="U7" s="4">
        <f t="shared" si="0"/>
        <v>4.7928091477384603E-2</v>
      </c>
      <c r="V7" s="4">
        <f t="shared" si="0"/>
        <v>1.6323888860715691E-2</v>
      </c>
      <c r="W7" s="4">
        <f t="shared" si="0"/>
        <v>2.2632805798273065E-2</v>
      </c>
      <c r="X7" s="4">
        <f t="shared" si="0"/>
        <v>0</v>
      </c>
      <c r="Y7" s="4">
        <f t="shared" si="0"/>
        <v>2.3486621078660206E-2</v>
      </c>
      <c r="Z7" s="4">
        <f t="shared" si="0"/>
        <v>0</v>
      </c>
      <c r="AA7" s="4">
        <f t="shared" si="0"/>
        <v>2.6976192701327749E-2</v>
      </c>
      <c r="AB7" s="4">
        <f t="shared" si="0"/>
        <v>2.9619809919616446E-2</v>
      </c>
      <c r="AC7" s="4">
        <f t="shared" si="0"/>
        <v>2.2050974192032027E-2</v>
      </c>
      <c r="AD7" s="4">
        <f t="shared" si="0"/>
        <v>2.8645686101203591E-2</v>
      </c>
    </row>
    <row r="8" spans="1:30" x14ac:dyDescent="0.25">
      <c r="A8" s="2">
        <v>10</v>
      </c>
      <c r="B8" s="4">
        <v>9.9210241256148599</v>
      </c>
      <c r="C8" s="4">
        <v>8.5510437364632708</v>
      </c>
      <c r="D8" s="4">
        <v>9.13323069003577</v>
      </c>
      <c r="E8" s="4">
        <v>8.2020783208901697</v>
      </c>
      <c r="F8" s="4">
        <v>8.4384760683162305</v>
      </c>
      <c r="G8" s="4">
        <v>8.19750187609786</v>
      </c>
      <c r="H8" s="4">
        <v>8.6004385163476904</v>
      </c>
      <c r="I8" s="4">
        <v>8.0490115198449708</v>
      </c>
      <c r="J8" s="4">
        <v>8.5009973815255506</v>
      </c>
      <c r="K8" s="4">
        <v>8.1858754564830392</v>
      </c>
      <c r="L8" s="4">
        <v>8.6864100309409906</v>
      </c>
      <c r="M8" s="4">
        <v>8.7268686278620908</v>
      </c>
      <c r="R8" s="2">
        <v>10</v>
      </c>
      <c r="S8" s="4">
        <f t="shared" si="1"/>
        <v>0.19493787406693977</v>
      </c>
      <c r="T8" s="4">
        <f t="shared" si="0"/>
        <v>2.0750899615952754E-2</v>
      </c>
      <c r="U8" s="4">
        <f t="shared" si="0"/>
        <v>0.15262222950586471</v>
      </c>
      <c r="V8" s="4">
        <f t="shared" si="0"/>
        <v>6.5238460359246644E-2</v>
      </c>
      <c r="W8" s="4">
        <f t="shared" si="0"/>
        <v>5.5159405996174693E-2</v>
      </c>
      <c r="X8" s="4">
        <f t="shared" si="0"/>
        <v>3.9856436718275781E-2</v>
      </c>
      <c r="Y8" s="4">
        <f t="shared" si="0"/>
        <v>6.8407961963949604E-2</v>
      </c>
      <c r="Z8" s="4">
        <f t="shared" si="0"/>
        <v>3.6199386334760927E-2</v>
      </c>
      <c r="AA8" s="4">
        <f t="shared" si="0"/>
        <v>6.4283919198370093E-2</v>
      </c>
      <c r="AB8" s="4">
        <f t="shared" si="0"/>
        <v>3.7712211118995274E-2</v>
      </c>
      <c r="AC8" s="4">
        <f t="shared" si="0"/>
        <v>6.6531807881677812E-2</v>
      </c>
      <c r="AD8" s="4">
        <f t="shared" si="0"/>
        <v>7.3559852675789766E-2</v>
      </c>
    </row>
    <row r="9" spans="1:30" x14ac:dyDescent="0.25">
      <c r="A9" s="2">
        <v>15</v>
      </c>
      <c r="B9" s="4">
        <v>9.7899577471123607</v>
      </c>
      <c r="C9" s="4">
        <v>8.5504197899004097</v>
      </c>
      <c r="D9" s="4">
        <v>8.0849455531479002</v>
      </c>
      <c r="E9" s="4">
        <v>7.6121496634530699</v>
      </c>
      <c r="F9" s="4">
        <v>8.3262498729317507</v>
      </c>
      <c r="G9" s="4">
        <v>7.8937845466945804</v>
      </c>
      <c r="H9" s="4">
        <v>8.2545155024687595</v>
      </c>
      <c r="I9" s="4">
        <v>8.7145571083064297</v>
      </c>
      <c r="J9" s="4">
        <v>8.4976189870883001</v>
      </c>
      <c r="K9" s="4">
        <v>8.3385257287537602</v>
      </c>
      <c r="L9" s="4">
        <v>8.5478021859962094</v>
      </c>
      <c r="M9" s="4">
        <v>9.3687600068418107</v>
      </c>
      <c r="R9" s="2">
        <v>15</v>
      </c>
      <c r="S9" s="4">
        <f t="shared" si="1"/>
        <v>0.18154111290008612</v>
      </c>
      <c r="T9" s="4">
        <f t="shared" si="0"/>
        <v>2.0691022172966252E-2</v>
      </c>
      <c r="U9" s="4">
        <f t="shared" si="0"/>
        <v>5.827531717941728E-2</v>
      </c>
      <c r="V9" s="4">
        <f t="shared" si="0"/>
        <v>2.3336786360889074E-2</v>
      </c>
      <c r="W9" s="4">
        <f t="shared" si="0"/>
        <v>4.7705864760574965E-2</v>
      </c>
      <c r="X9" s="4">
        <f t="shared" si="0"/>
        <v>2.2100850838089457E-2</v>
      </c>
      <c r="Y9" s="4">
        <f t="shared" si="0"/>
        <v>4.9375087047780812E-2</v>
      </c>
      <c r="Z9" s="4">
        <f t="shared" si="0"/>
        <v>6.9494167010259733E-2</v>
      </c>
      <c r="AA9" s="4">
        <f t="shared" si="0"/>
        <v>6.4127454853031118E-2</v>
      </c>
      <c r="AB9" s="4">
        <f t="shared" si="0"/>
        <v>4.4756396522423678E-2</v>
      </c>
      <c r="AC9" s="4">
        <f t="shared" si="0"/>
        <v>6.0566722095194377E-2</v>
      </c>
      <c r="AD9" s="4">
        <f t="shared" si="0"/>
        <v>0.10088592754647574</v>
      </c>
    </row>
    <row r="10" spans="1:30" x14ac:dyDescent="0.25">
      <c r="A10" s="2">
        <v>20</v>
      </c>
      <c r="B10" s="4">
        <v>9.7025753175343006</v>
      </c>
      <c r="C10" s="4">
        <v>8.8121795024272593</v>
      </c>
      <c r="D10" s="4">
        <v>8.7769409674244301</v>
      </c>
      <c r="E10" s="4">
        <v>8.0653791481177208</v>
      </c>
      <c r="F10" s="4">
        <v>8.58264796266125</v>
      </c>
      <c r="G10" s="4">
        <v>8.2784416958534095</v>
      </c>
      <c r="H10" s="4">
        <v>8.0300156617784992</v>
      </c>
      <c r="I10" s="4">
        <v>8.7063284803422594</v>
      </c>
      <c r="J10" s="4">
        <v>9.0164304813543303</v>
      </c>
      <c r="K10" s="4">
        <v>9.6414833181847808</v>
      </c>
      <c r="L10" s="4">
        <v>9.4026965318404105</v>
      </c>
      <c r="M10" s="4">
        <v>8.7267010194788295</v>
      </c>
      <c r="R10" s="2">
        <v>20</v>
      </c>
      <c r="S10" s="4">
        <f t="shared" si="1"/>
        <v>0.17260944367559192</v>
      </c>
      <c r="T10" s="4">
        <f t="shared" si="0"/>
        <v>4.5810965443621794E-2</v>
      </c>
      <c r="U10" s="4">
        <f t="shared" si="0"/>
        <v>0.12055572962032643</v>
      </c>
      <c r="V10" s="4">
        <f t="shared" si="0"/>
        <v>5.5528940231438575E-2</v>
      </c>
      <c r="W10" s="4">
        <f t="shared" si="0"/>
        <v>6.4734631778654864E-2</v>
      </c>
      <c r="X10" s="4">
        <f t="shared" si="0"/>
        <v>4.4588250749500249E-2</v>
      </c>
      <c r="Y10" s="4">
        <f t="shared" si="0"/>
        <v>3.7022982055850431E-2</v>
      </c>
      <c r="Z10" s="4">
        <f t="shared" si="0"/>
        <v>6.9082519231238829E-2</v>
      </c>
      <c r="AA10" s="4">
        <f t="shared" si="0"/>
        <v>8.8155288876678034E-2</v>
      </c>
      <c r="AB10" s="4">
        <f t="shared" si="0"/>
        <v>0.10488255742752078</v>
      </c>
      <c r="AC10" s="4">
        <f t="shared" si="0"/>
        <v>9.7357699643195711E-2</v>
      </c>
      <c r="AD10" s="4">
        <f t="shared" si="0"/>
        <v>7.3552717388761554E-2</v>
      </c>
    </row>
    <row r="11" spans="1:30" x14ac:dyDescent="0.25">
      <c r="A11" s="2">
        <v>25</v>
      </c>
      <c r="B11" s="4">
        <v>9.2735422014736901</v>
      </c>
      <c r="C11" s="4">
        <v>9.07379132265193</v>
      </c>
      <c r="D11" s="4">
        <v>8.4277556070200905</v>
      </c>
      <c r="E11" s="4">
        <v>8.6201202114993194</v>
      </c>
      <c r="F11" s="4">
        <v>8.5883834100042193</v>
      </c>
      <c r="G11" s="4">
        <v>8.27235602172677</v>
      </c>
      <c r="H11" s="4">
        <v>8.6994296319635698</v>
      </c>
      <c r="I11" s="4">
        <v>8.8139815219650597</v>
      </c>
      <c r="J11" s="4">
        <v>9.0458883404012997</v>
      </c>
      <c r="K11" s="4">
        <v>8.8577687912007796</v>
      </c>
      <c r="L11" s="4">
        <v>9.5093306452333302</v>
      </c>
      <c r="M11" s="4">
        <v>9.0891776779122608</v>
      </c>
      <c r="R11" s="2">
        <v>25</v>
      </c>
      <c r="S11" s="4">
        <f t="shared" si="1"/>
        <v>0.12875644144721796</v>
      </c>
      <c r="T11" s="4">
        <f t="shared" si="0"/>
        <v>7.0916716132061242E-2</v>
      </c>
      <c r="U11" s="4">
        <f t="shared" si="0"/>
        <v>8.9128630804872072E-2</v>
      </c>
      <c r="V11" s="4">
        <f t="shared" si="0"/>
        <v>9.4931296598227508E-2</v>
      </c>
      <c r="W11" s="4">
        <f t="shared" si="0"/>
        <v>6.5115553479947297E-2</v>
      </c>
      <c r="X11" s="4">
        <f t="shared" si="0"/>
        <v>4.4232476813891523E-2</v>
      </c>
      <c r="Y11" s="4">
        <f t="shared" si="0"/>
        <v>7.3854507714699924E-2</v>
      </c>
      <c r="Z11" s="4">
        <f t="shared" si="0"/>
        <v>7.4468002167377381E-2</v>
      </c>
      <c r="AA11" s="4">
        <f t="shared" si="0"/>
        <v>8.9519577362371497E-2</v>
      </c>
      <c r="AB11" s="4">
        <f t="shared" si="0"/>
        <v>6.8717339054082102E-2</v>
      </c>
      <c r="AC11" s="4">
        <f t="shared" si="0"/>
        <v>0.10194677347525602</v>
      </c>
      <c r="AD11" s="4">
        <f t="shared" si="0"/>
        <v>8.8983777271466349E-2</v>
      </c>
    </row>
    <row r="12" spans="1:30" x14ac:dyDescent="0.25">
      <c r="A12" s="2">
        <v>30</v>
      </c>
      <c r="B12" s="4">
        <v>9.7346086655700699</v>
      </c>
      <c r="C12" s="4">
        <v>8.7171381038679598</v>
      </c>
      <c r="D12" s="4">
        <v>8.8119126801140606</v>
      </c>
      <c r="E12" s="4">
        <v>8.6871829018265903</v>
      </c>
      <c r="F12" s="4">
        <v>8.8205840092229799</v>
      </c>
      <c r="G12" s="4">
        <v>8.5783661288668807</v>
      </c>
      <c r="H12" s="4">
        <v>8.8368633320106191</v>
      </c>
      <c r="I12" s="4">
        <v>8.9749261241426002</v>
      </c>
      <c r="J12" s="4">
        <v>9.1202673692930407</v>
      </c>
      <c r="K12" s="4">
        <v>8.9760252046940892</v>
      </c>
      <c r="L12" s="4">
        <v>9.9540737150468797</v>
      </c>
      <c r="M12" s="4">
        <v>9.7620886934883107</v>
      </c>
      <c r="R12" s="2">
        <v>30</v>
      </c>
      <c r="S12" s="4">
        <f t="shared" si="1"/>
        <v>0.17588368622286515</v>
      </c>
      <c r="T12" s="4">
        <f t="shared" si="0"/>
        <v>3.6690255013713757E-2</v>
      </c>
      <c r="U12" s="4">
        <f t="shared" si="0"/>
        <v>0.12370322546370897</v>
      </c>
      <c r="V12" s="4">
        <f t="shared" si="0"/>
        <v>9.9694650526063647E-2</v>
      </c>
      <c r="W12" s="4">
        <f t="shared" si="0"/>
        <v>8.0537235871288027E-2</v>
      </c>
      <c r="X12" s="4">
        <f t="shared" si="0"/>
        <v>6.2122100524880812E-2</v>
      </c>
      <c r="Y12" s="4">
        <f t="shared" si="0"/>
        <v>8.1416185652604445E-2</v>
      </c>
      <c r="Z12" s="4">
        <f t="shared" si="0"/>
        <v>8.2519464491384545E-2</v>
      </c>
      <c r="AA12" s="4">
        <f t="shared" si="0"/>
        <v>9.296431014258702E-2</v>
      </c>
      <c r="AB12" s="4">
        <f t="shared" si="0"/>
        <v>7.4174388618422391E-2</v>
      </c>
      <c r="AC12" s="4">
        <f t="shared" si="0"/>
        <v>0.1210866032982988</v>
      </c>
      <c r="AD12" s="4">
        <f t="shared" si="0"/>
        <v>0.11763039474460962</v>
      </c>
    </row>
    <row r="13" spans="1:30" x14ac:dyDescent="0.25">
      <c r="A13" s="2">
        <v>35</v>
      </c>
      <c r="B13" s="4">
        <v>10.279317116363099</v>
      </c>
      <c r="C13" s="4">
        <v>9.1608310465454306</v>
      </c>
      <c r="D13" s="4">
        <v>8.5879585646839107</v>
      </c>
      <c r="E13" s="4">
        <v>9.3363033330959198</v>
      </c>
      <c r="F13" s="4">
        <v>9.0509041274088506</v>
      </c>
      <c r="G13" s="4">
        <v>8.9626178045871701</v>
      </c>
      <c r="H13" s="4">
        <v>9.9080705628824397</v>
      </c>
      <c r="I13" s="4">
        <v>9.4565853090994096</v>
      </c>
      <c r="J13" s="4">
        <v>9.8562473389059804</v>
      </c>
      <c r="K13" s="4">
        <v>10.5266443556157</v>
      </c>
      <c r="L13" s="4">
        <v>10.158921779760499</v>
      </c>
      <c r="M13" s="4">
        <v>10.1102832416883</v>
      </c>
      <c r="R13" s="2">
        <v>35</v>
      </c>
      <c r="S13" s="4">
        <f t="shared" si="1"/>
        <v>0.23156027623944156</v>
      </c>
      <c r="T13" s="4">
        <f t="shared" si="0"/>
        <v>7.9269540580834977E-2</v>
      </c>
      <c r="U13" s="4">
        <f t="shared" si="0"/>
        <v>0.1035470880254124</v>
      </c>
      <c r="V13" s="4">
        <f t="shared" si="0"/>
        <v>0.14580062004259081</v>
      </c>
      <c r="W13" s="4">
        <f t="shared" si="0"/>
        <v>9.5834025470234008E-2</v>
      </c>
      <c r="X13" s="4">
        <f t="shared" si="0"/>
        <v>8.4585796097542576E-2</v>
      </c>
      <c r="Y13" s="4">
        <f t="shared" si="0"/>
        <v>0.14035459800586442</v>
      </c>
      <c r="Z13" s="4">
        <f t="shared" si="0"/>
        <v>0.10661508949665068</v>
      </c>
      <c r="AA13" s="4">
        <f t="shared" si="0"/>
        <v>0.12704991686108544</v>
      </c>
      <c r="AB13" s="4">
        <f t="shared" si="0"/>
        <v>0.1457291171276987</v>
      </c>
      <c r="AC13" s="4">
        <f t="shared" si="0"/>
        <v>0.12990238338418533</v>
      </c>
      <c r="AD13" s="4">
        <f t="shared" si="0"/>
        <v>0.13245344830984251</v>
      </c>
    </row>
    <row r="14" spans="1:30" x14ac:dyDescent="0.25">
      <c r="A14" s="2">
        <v>40</v>
      </c>
      <c r="B14" s="4">
        <v>9.0495432204951207</v>
      </c>
      <c r="C14" s="4">
        <v>9.5602227168195792</v>
      </c>
      <c r="D14" s="4">
        <v>8.5117825697236906</v>
      </c>
      <c r="E14" s="4">
        <v>9.1145506939059899</v>
      </c>
      <c r="F14" s="4">
        <v>8.7468994013902197</v>
      </c>
      <c r="G14" s="4">
        <v>8.5976234371769902</v>
      </c>
      <c r="H14" s="4">
        <v>9.5567914614324305</v>
      </c>
      <c r="I14" s="4">
        <v>9.6847902823780299</v>
      </c>
      <c r="J14" s="4">
        <v>10.104459347308101</v>
      </c>
      <c r="K14" s="4">
        <v>9.8674452331683202</v>
      </c>
      <c r="L14" s="4">
        <v>10.4460884843858</v>
      </c>
      <c r="M14" s="4">
        <v>10.9381690886343</v>
      </c>
      <c r="R14" s="2">
        <v>40</v>
      </c>
      <c r="S14" s="4">
        <f t="shared" si="1"/>
        <v>0.10586070812434091</v>
      </c>
      <c r="T14" s="4">
        <f t="shared" si="0"/>
        <v>0.11759742535427922</v>
      </c>
      <c r="U14" s="4">
        <f t="shared" si="0"/>
        <v>9.6691157644458681E-2</v>
      </c>
      <c r="V14" s="4">
        <f t="shared" si="0"/>
        <v>0.13004989039338305</v>
      </c>
      <c r="W14" s="4">
        <f t="shared" si="0"/>
        <v>7.5643447384305021E-2</v>
      </c>
      <c r="X14" s="4">
        <f t="shared" si="0"/>
        <v>6.3247899939070193E-2</v>
      </c>
      <c r="Y14" s="4">
        <f t="shared" si="0"/>
        <v>0.12102702819895308</v>
      </c>
      <c r="Z14" s="4">
        <f t="shared" si="0"/>
        <v>0.11803133906106308</v>
      </c>
      <c r="AA14" s="4">
        <f t="shared" si="0"/>
        <v>0.13854541572045354</v>
      </c>
      <c r="AB14" s="4">
        <f t="shared" si="0"/>
        <v>0.11530977514276279</v>
      </c>
      <c r="AC14" s="4">
        <f t="shared" si="0"/>
        <v>0.14226080385305626</v>
      </c>
      <c r="AD14" s="4">
        <f t="shared" si="0"/>
        <v>0.16769752757133144</v>
      </c>
    </row>
    <row r="15" spans="1:30" x14ac:dyDescent="0.25">
      <c r="A15" s="2">
        <v>45</v>
      </c>
      <c r="B15" s="4">
        <v>9.6788873383033796</v>
      </c>
      <c r="C15" s="4">
        <v>9.4129874485190808</v>
      </c>
      <c r="D15" s="4">
        <v>8.5923748336124</v>
      </c>
      <c r="E15" s="4">
        <v>9.4196619902398506</v>
      </c>
      <c r="F15" s="4">
        <v>9.4572521423370208</v>
      </c>
      <c r="G15" s="4">
        <v>9.1694009212891991</v>
      </c>
      <c r="H15" s="4">
        <v>10.0445890543057</v>
      </c>
      <c r="I15" s="4">
        <v>10.4797844990923</v>
      </c>
      <c r="J15" s="4">
        <v>10.8626194035723</v>
      </c>
      <c r="K15" s="4">
        <v>10.6503759436076</v>
      </c>
      <c r="L15" s="4">
        <v>11.6776166352233</v>
      </c>
      <c r="M15" s="4">
        <v>11.8291918064469</v>
      </c>
      <c r="R15" s="2">
        <v>45</v>
      </c>
      <c r="S15" s="4">
        <f t="shared" si="1"/>
        <v>0.17018821098489095</v>
      </c>
      <c r="T15" s="4">
        <f t="shared" si="0"/>
        <v>0.10346789582719855</v>
      </c>
      <c r="U15" s="4">
        <f t="shared" si="0"/>
        <v>0.10394455749506755</v>
      </c>
      <c r="V15" s="4">
        <f t="shared" si="0"/>
        <v>0.15172145001508333</v>
      </c>
      <c r="W15" s="4">
        <f t="shared" si="0"/>
        <v>0.12282176817054534</v>
      </c>
      <c r="X15" s="4">
        <f t="shared" si="0"/>
        <v>9.6674521473829336E-2</v>
      </c>
      <c r="Y15" s="4">
        <f t="shared" si="0"/>
        <v>0.1478659206607727</v>
      </c>
      <c r="Z15" s="4">
        <f t="shared" si="0"/>
        <v>0.15780195514309636</v>
      </c>
      <c r="AA15" s="4">
        <f t="shared" si="0"/>
        <v>0.17365825380636898</v>
      </c>
      <c r="AB15" s="4">
        <f t="shared" si="0"/>
        <v>0.15143882359012689</v>
      </c>
      <c r="AC15" s="4">
        <f t="shared" si="0"/>
        <v>0.19526048126050438</v>
      </c>
      <c r="AD15" s="4">
        <f t="shared" si="0"/>
        <v>0.20562941806833479</v>
      </c>
    </row>
    <row r="16" spans="1:30" x14ac:dyDescent="0.25">
      <c r="A16" s="2">
        <v>50</v>
      </c>
      <c r="B16" s="4">
        <v>9.6259032533053297</v>
      </c>
      <c r="C16" s="4">
        <v>9.0795217844119893</v>
      </c>
      <c r="D16" s="4">
        <v>8.9351123163550401</v>
      </c>
      <c r="E16" s="4">
        <v>9.3681576267703104</v>
      </c>
      <c r="F16" s="4">
        <v>9.01712517438901</v>
      </c>
      <c r="G16" s="4">
        <v>9.7313149776314791</v>
      </c>
      <c r="H16" s="4">
        <v>9.6604375879019599</v>
      </c>
      <c r="I16" s="4">
        <v>10.0836300089522</v>
      </c>
      <c r="J16" s="4">
        <v>10.6803976346357</v>
      </c>
      <c r="K16" s="4">
        <v>11.571226557116001</v>
      </c>
      <c r="L16" s="4">
        <v>12.3038954747089</v>
      </c>
      <c r="M16" s="4">
        <v>12.240104194427801</v>
      </c>
      <c r="R16" s="2">
        <v>50</v>
      </c>
      <c r="S16" s="4">
        <f t="shared" si="1"/>
        <v>0.16477251902427412</v>
      </c>
      <c r="T16" s="4">
        <f t="shared" si="0"/>
        <v>7.1466643670328178E-2</v>
      </c>
      <c r="U16" s="4">
        <f t="shared" si="0"/>
        <v>0.13479133963232684</v>
      </c>
      <c r="V16" s="4">
        <f t="shared" si="0"/>
        <v>0.14806317876416736</v>
      </c>
      <c r="W16" s="4">
        <f t="shared" si="0"/>
        <v>9.3590584726598258E-2</v>
      </c>
      <c r="X16" s="4">
        <f t="shared" si="0"/>
        <v>0.12952451822663719</v>
      </c>
      <c r="Y16" s="4">
        <f t="shared" si="0"/>
        <v>0.12672969521297947</v>
      </c>
      <c r="Z16" s="4">
        <f t="shared" si="0"/>
        <v>0.13798381331855253</v>
      </c>
      <c r="AA16" s="4">
        <f t="shared" si="0"/>
        <v>0.16521897582603409</v>
      </c>
      <c r="AB16" s="4">
        <f t="shared" si="0"/>
        <v>0.19393231118057214</v>
      </c>
      <c r="AC16" s="4">
        <f t="shared" si="0"/>
        <v>0.22221283020784693</v>
      </c>
      <c r="AD16" s="4">
        <f t="shared" si="0"/>
        <v>0.22312244422037042</v>
      </c>
    </row>
    <row r="17" spans="1:30" x14ac:dyDescent="0.25">
      <c r="A17" s="2">
        <v>55</v>
      </c>
      <c r="B17" s="4">
        <v>9.7494086399620201</v>
      </c>
      <c r="C17" s="4">
        <v>9.7959963925272007</v>
      </c>
      <c r="D17" s="4">
        <v>9.6261452848494908</v>
      </c>
      <c r="E17" s="4">
        <v>9.3335633366878596</v>
      </c>
      <c r="F17" s="4">
        <v>9.72695542084411</v>
      </c>
      <c r="G17" s="4">
        <v>10.1468109956043</v>
      </c>
      <c r="H17" s="4">
        <v>10.8148323826832</v>
      </c>
      <c r="I17" s="4">
        <v>11.0331206371902</v>
      </c>
      <c r="J17" s="4">
        <v>11.6952732984169</v>
      </c>
      <c r="K17" s="4">
        <v>12.0623338897773</v>
      </c>
      <c r="L17" s="4">
        <v>12.357275791826901</v>
      </c>
      <c r="M17" s="4">
        <v>13.5394631794776</v>
      </c>
      <c r="R17" s="2">
        <v>55</v>
      </c>
      <c r="S17" s="4">
        <f t="shared" si="1"/>
        <v>0.17739644429606335</v>
      </c>
      <c r="T17" s="4">
        <f t="shared" si="0"/>
        <v>0.14022360148091248</v>
      </c>
      <c r="U17" s="4">
        <f t="shared" si="0"/>
        <v>0.19698513080519975</v>
      </c>
      <c r="V17" s="4">
        <f t="shared" si="0"/>
        <v>0.14560600254978076</v>
      </c>
      <c r="W17" s="4">
        <f t="shared" si="0"/>
        <v>0.14073420386207044</v>
      </c>
      <c r="X17" s="4">
        <f t="shared" si="0"/>
        <v>0.15381478590575301</v>
      </c>
      <c r="Y17" s="4">
        <f t="shared" si="0"/>
        <v>0.19024513319027875</v>
      </c>
      <c r="Z17" s="4">
        <f t="shared" si="0"/>
        <v>0.1854833126296451</v>
      </c>
      <c r="AA17" s="4">
        <f t="shared" si="0"/>
        <v>0.21222114187956639</v>
      </c>
      <c r="AB17" s="4">
        <f t="shared" si="0"/>
        <v>0.21659490491715019</v>
      </c>
      <c r="AC17" s="4">
        <f t="shared" si="0"/>
        <v>0.22451008958047056</v>
      </c>
      <c r="AD17" s="4">
        <f t="shared" si="0"/>
        <v>0.27843769236376564</v>
      </c>
    </row>
    <row r="18" spans="1:30" x14ac:dyDescent="0.25">
      <c r="A18" s="2">
        <v>60</v>
      </c>
      <c r="B18" s="4">
        <v>10.4726552627285</v>
      </c>
      <c r="C18" s="4">
        <v>10.4476967658389</v>
      </c>
      <c r="D18" s="4">
        <v>9.6926438733173192</v>
      </c>
      <c r="E18" s="4">
        <v>10.054320807741901</v>
      </c>
      <c r="F18" s="4">
        <v>9.9000447986909101</v>
      </c>
      <c r="G18" s="4">
        <v>9.8539879620602697</v>
      </c>
      <c r="H18" s="4">
        <v>10.9577314961233</v>
      </c>
      <c r="I18" s="4">
        <v>10.9695163994199</v>
      </c>
      <c r="J18" s="4">
        <v>11.6964789478215</v>
      </c>
      <c r="K18" s="4">
        <v>12.338804744059001</v>
      </c>
      <c r="L18" s="4">
        <v>13.0969155170405</v>
      </c>
      <c r="M18" s="4">
        <v>14.2207316919013</v>
      </c>
      <c r="R18" s="2">
        <v>60</v>
      </c>
      <c r="S18" s="4">
        <f t="shared" si="1"/>
        <v>0.25132205649836642</v>
      </c>
      <c r="T18" s="4">
        <f t="shared" si="0"/>
        <v>0.2027644571726597</v>
      </c>
      <c r="U18" s="4">
        <f t="shared" si="0"/>
        <v>0.2029700830622094</v>
      </c>
      <c r="V18" s="4">
        <f t="shared" si="0"/>
        <v>0.19680023460352225</v>
      </c>
      <c r="W18" s="4">
        <f t="shared" si="0"/>
        <v>0.1522299942237193</v>
      </c>
      <c r="X18" s="4">
        <f t="shared" si="0"/>
        <v>0.13669609027517185</v>
      </c>
      <c r="Y18" s="4">
        <f t="shared" si="0"/>
        <v>0.19810752118591735</v>
      </c>
      <c r="Z18" s="4">
        <f t="shared" si="0"/>
        <v>0.1823014281978215</v>
      </c>
      <c r="AA18" s="4">
        <f t="shared" si="0"/>
        <v>0.21227697939300741</v>
      </c>
      <c r="AB18" s="4">
        <f t="shared" si="0"/>
        <v>0.22935290349281395</v>
      </c>
      <c r="AC18" s="4">
        <f t="shared" si="0"/>
        <v>0.25634100372351792</v>
      </c>
      <c r="AD18" s="4">
        <f t="shared" si="0"/>
        <v>0.30744009835825253</v>
      </c>
    </row>
    <row r="19" spans="1:30" x14ac:dyDescent="0.25">
      <c r="A19" s="2">
        <v>65</v>
      </c>
      <c r="B19" s="4">
        <v>10.8097661645182</v>
      </c>
      <c r="C19" s="4">
        <v>9.8354296521888696</v>
      </c>
      <c r="D19" s="4">
        <v>9.9600977108534501</v>
      </c>
      <c r="E19" s="4">
        <v>10.7411695603456</v>
      </c>
      <c r="F19" s="4">
        <v>10.505234828180299</v>
      </c>
      <c r="G19" s="4">
        <v>10.823357686798801</v>
      </c>
      <c r="H19" s="4">
        <v>10.715610364480501</v>
      </c>
      <c r="I19" s="4">
        <v>12.1223706843406</v>
      </c>
      <c r="J19" s="4">
        <v>13.0353734338617</v>
      </c>
      <c r="K19" s="4">
        <v>13.489916916488999</v>
      </c>
      <c r="L19" s="4">
        <v>14.167923057817299</v>
      </c>
      <c r="M19" s="4">
        <v>14.4351719715941</v>
      </c>
      <c r="R19" s="2">
        <v>65</v>
      </c>
      <c r="S19" s="4">
        <f t="shared" si="1"/>
        <v>0.28577936194633186</v>
      </c>
      <c r="T19" s="4">
        <f t="shared" si="0"/>
        <v>0.14400784022459059</v>
      </c>
      <c r="U19" s="4">
        <f t="shared" si="0"/>
        <v>0.22704124736041345</v>
      </c>
      <c r="V19" s="4">
        <f t="shared" si="0"/>
        <v>0.245585985481962</v>
      </c>
      <c r="W19" s="4">
        <f t="shared" si="0"/>
        <v>0.19242389748061248</v>
      </c>
      <c r="X19" s="4">
        <f t="shared" si="0"/>
        <v>0.19336630870183799</v>
      </c>
      <c r="Y19" s="4">
        <f t="shared" si="0"/>
        <v>0.1847858830519149</v>
      </c>
      <c r="Z19" s="4">
        <f t="shared" si="0"/>
        <v>0.23997445801381959</v>
      </c>
      <c r="AA19" s="4">
        <f t="shared" si="0"/>
        <v>0.27428550241399857</v>
      </c>
      <c r="AB19" s="4">
        <f t="shared" si="0"/>
        <v>0.28247201977162212</v>
      </c>
      <c r="AC19" s="4">
        <f t="shared" si="0"/>
        <v>0.30243256413447001</v>
      </c>
      <c r="AD19" s="4">
        <f t="shared" si="0"/>
        <v>0.31656907458393485</v>
      </c>
    </row>
    <row r="20" spans="1:30" x14ac:dyDescent="0.25">
      <c r="A20" s="2">
        <v>70</v>
      </c>
      <c r="B20" s="4">
        <v>11.278494798339899</v>
      </c>
      <c r="C20" s="4">
        <v>10.4789901430507</v>
      </c>
      <c r="D20" s="4">
        <v>9.8539408520710605</v>
      </c>
      <c r="E20" s="4">
        <v>10.734000671906299</v>
      </c>
      <c r="F20" s="4">
        <v>10.8802207142715</v>
      </c>
      <c r="G20" s="4">
        <v>11.501199645405199</v>
      </c>
      <c r="H20" s="4">
        <v>11.776315694363801</v>
      </c>
      <c r="I20" s="4">
        <v>12.1771423645894</v>
      </c>
      <c r="J20" s="4">
        <v>13.197629055458201</v>
      </c>
      <c r="K20" s="4">
        <v>14.3266866946314</v>
      </c>
      <c r="L20" s="4">
        <v>14.825315838091599</v>
      </c>
      <c r="M20" s="4">
        <v>15.6247203559812</v>
      </c>
      <c r="R20" s="2">
        <v>70</v>
      </c>
      <c r="S20" s="4">
        <f t="shared" si="1"/>
        <v>0.33368978436831992</v>
      </c>
      <c r="T20" s="4">
        <f t="shared" si="0"/>
        <v>0.20576754673414824</v>
      </c>
      <c r="U20" s="4">
        <f t="shared" si="0"/>
        <v>0.21748700348538608</v>
      </c>
      <c r="V20" s="4">
        <f t="shared" si="0"/>
        <v>0.24507679098441176</v>
      </c>
      <c r="W20" s="4">
        <f t="shared" si="0"/>
        <v>0.21732871364383774</v>
      </c>
      <c r="X20" s="4">
        <f t="shared" si="0"/>
        <v>0.23299355398572086</v>
      </c>
      <c r="Y20" s="4">
        <f t="shared" si="0"/>
        <v>0.24314647502353798</v>
      </c>
      <c r="Z20" s="4">
        <f t="shared" si="0"/>
        <v>0.24271448230776463</v>
      </c>
      <c r="AA20" s="4">
        <f t="shared" si="0"/>
        <v>0.28180008369874798</v>
      </c>
      <c r="AB20" s="4">
        <f t="shared" si="0"/>
        <v>0.3210855208780416</v>
      </c>
      <c r="AC20" s="4">
        <f t="shared" si="0"/>
        <v>0.33072392333793549</v>
      </c>
      <c r="AD20" s="4">
        <f t="shared" si="0"/>
        <v>0.36720955563500135</v>
      </c>
    </row>
    <row r="21" spans="1:30" x14ac:dyDescent="0.25">
      <c r="A21" s="2">
        <v>75</v>
      </c>
      <c r="B21" s="4">
        <v>10.360217755137899</v>
      </c>
      <c r="C21" s="4">
        <v>10.304357603106199</v>
      </c>
      <c r="D21" s="4">
        <v>10.228636535252701</v>
      </c>
      <c r="E21" s="4">
        <v>11.3403005287725</v>
      </c>
      <c r="F21" s="4">
        <v>11.226219056904</v>
      </c>
      <c r="G21" s="4">
        <v>12.2024620187743</v>
      </c>
      <c r="H21" s="4">
        <v>12.446359536224</v>
      </c>
      <c r="I21" s="4">
        <v>13.153761253804801</v>
      </c>
      <c r="J21" s="4">
        <v>14.5539381475879</v>
      </c>
      <c r="K21" s="4">
        <v>14.7494841098094</v>
      </c>
      <c r="L21" s="4">
        <v>15.671764408142799</v>
      </c>
      <c r="M21" s="4">
        <v>16.880763126923299</v>
      </c>
      <c r="R21" s="2">
        <v>75</v>
      </c>
      <c r="S21" s="4">
        <f t="shared" si="1"/>
        <v>0.23982941854958198</v>
      </c>
      <c r="T21" s="4">
        <f t="shared" ref="T21:T44" si="2">(C21-MIN(C$5:C$44))/(MAX(C$5:C$44)-MIN(C$5:C$44))</f>
        <v>0.18900881998330657</v>
      </c>
      <c r="U21" s="4">
        <f t="shared" ref="U21:U44" si="3">(D21-MIN(D$5:D$44))/(MAX(D$5:D$44)-MIN(D$5:D$44))</f>
        <v>0.25121006177006905</v>
      </c>
      <c r="V21" s="4">
        <f t="shared" ref="V21:V44" si="4">(E21-MIN(E$5:E$44))/(MAX(E$5:E$44)-MIN(E$5:E$44))</f>
        <v>0.28814128467764649</v>
      </c>
      <c r="W21" s="4">
        <f t="shared" ref="W21:W44" si="5">(F21-MIN(F$5:F$44))/(MAX(F$5:F$44)-MIN(F$5:F$44))</f>
        <v>0.24030831217184012</v>
      </c>
      <c r="X21" s="4">
        <f t="shared" ref="X21:X44" si="6">(G21-MIN(G$5:G$44))/(MAX(G$5:G$44)-MIN(G$5:G$44))</f>
        <v>0.27398997759895943</v>
      </c>
      <c r="Y21" s="4">
        <f t="shared" ref="Y21:Y44" si="7">(H21-MIN(H$5:H$44))/(MAX(H$5:H$44)-MIN(H$5:H$44))</f>
        <v>0.28001265656917435</v>
      </c>
      <c r="Z21" s="4">
        <f t="shared" ref="Z21:Z44" si="8">(I21-MIN(I$5:I$44))/(MAX(I$5:I$44)-MIN(I$5:I$44))</f>
        <v>0.29157110803515313</v>
      </c>
      <c r="AA21" s="4">
        <f t="shared" ref="AA21:AA44" si="9">(J21-MIN(J$5:J$44))/(MAX(J$5:J$44)-MIN(J$5:J$44))</f>
        <v>0.34461513330854887</v>
      </c>
      <c r="AB21" s="4">
        <f t="shared" ref="AB21:AB44" si="10">(K21-MIN(K$5:K$44))/(MAX(K$5:K$44)-MIN(K$5:K$44))</f>
        <v>0.34059589145453334</v>
      </c>
      <c r="AC21" s="4">
        <f t="shared" ref="AC21:AC44" si="11">(L21-MIN(L$5:L$44))/(MAX(L$5:L$44)-MIN(L$5:L$44))</f>
        <v>0.36715143100327091</v>
      </c>
      <c r="AD21" s="4">
        <f t="shared" ref="AD21:AD44" si="12">(M21-MIN(M$5:M$44))/(MAX(M$5:M$44)-MIN(M$5:M$44))</f>
        <v>0.42068078133381553</v>
      </c>
    </row>
    <row r="22" spans="1:30" x14ac:dyDescent="0.25">
      <c r="A22" s="2">
        <v>80</v>
      </c>
      <c r="B22" s="4">
        <v>11.6092063002649</v>
      </c>
      <c r="C22" s="4">
        <v>10.7580092403281</v>
      </c>
      <c r="D22" s="4">
        <v>11.0512213739191</v>
      </c>
      <c r="E22" s="4">
        <v>11.748204748187501</v>
      </c>
      <c r="F22" s="4">
        <v>11.925099715396</v>
      </c>
      <c r="G22" s="4">
        <v>12.5992129708891</v>
      </c>
      <c r="H22" s="4">
        <v>13.5851955064928</v>
      </c>
      <c r="I22" s="4">
        <v>14.637533287266701</v>
      </c>
      <c r="J22" s="4">
        <v>15.1423974799847</v>
      </c>
      <c r="K22" s="4">
        <v>16.657577486193698</v>
      </c>
      <c r="L22" s="4">
        <v>17.586171893656601</v>
      </c>
      <c r="M22" s="4">
        <v>18.258377903551299</v>
      </c>
      <c r="R22" s="2">
        <v>80</v>
      </c>
      <c r="S22" s="4">
        <f t="shared" si="1"/>
        <v>0.36749298437308858</v>
      </c>
      <c r="T22" s="4">
        <f t="shared" si="2"/>
        <v>0.23254379823357973</v>
      </c>
      <c r="U22" s="4">
        <f t="shared" si="3"/>
        <v>0.32524367812480054</v>
      </c>
      <c r="V22" s="4">
        <f t="shared" si="4"/>
        <v>0.31711405860379577</v>
      </c>
      <c r="W22" s="4">
        <f t="shared" si="5"/>
        <v>0.2867247106694194</v>
      </c>
      <c r="X22" s="4">
        <f t="shared" si="6"/>
        <v>0.29718439201436536</v>
      </c>
      <c r="Y22" s="4">
        <f t="shared" si="7"/>
        <v>0.34267203944488528</v>
      </c>
      <c r="Z22" s="4">
        <f t="shared" si="8"/>
        <v>0.36579872712395978</v>
      </c>
      <c r="AA22" s="4">
        <f t="shared" si="9"/>
        <v>0.37186858340510004</v>
      </c>
      <c r="AB22" s="4">
        <f t="shared" si="10"/>
        <v>0.42864659264468596</v>
      </c>
      <c r="AC22" s="4">
        <f t="shared" si="11"/>
        <v>0.44953929935174158</v>
      </c>
      <c r="AD22" s="4">
        <f t="shared" si="12"/>
        <v>0.47932747104156037</v>
      </c>
    </row>
    <row r="23" spans="1:30" x14ac:dyDescent="0.25">
      <c r="A23" s="2">
        <v>85</v>
      </c>
      <c r="B23" s="4">
        <v>11.8301867039886</v>
      </c>
      <c r="C23" s="4">
        <v>11.3828194239056</v>
      </c>
      <c r="D23" s="4">
        <v>11.9156258576197</v>
      </c>
      <c r="E23" s="4">
        <v>11.1190257375399</v>
      </c>
      <c r="F23" s="4">
        <v>12.5479716800224</v>
      </c>
      <c r="G23" s="4">
        <v>13.2022793671306</v>
      </c>
      <c r="H23" s="4">
        <v>14.066351510899199</v>
      </c>
      <c r="I23" s="4">
        <v>14.3985372977758</v>
      </c>
      <c r="J23" s="4">
        <v>15.6350034023106</v>
      </c>
      <c r="K23" s="4">
        <v>16.061312969715299</v>
      </c>
      <c r="L23" s="4">
        <v>17.159176846560602</v>
      </c>
      <c r="M23" s="4">
        <v>18.451342332908101</v>
      </c>
      <c r="R23" s="2">
        <v>85</v>
      </c>
      <c r="S23" s="4">
        <f t="shared" si="1"/>
        <v>0.39008017816806217</v>
      </c>
      <c r="T23" s="4">
        <f t="shared" si="2"/>
        <v>0.29250411915112645</v>
      </c>
      <c r="U23" s="4">
        <f t="shared" si="3"/>
        <v>0.40304111239960511</v>
      </c>
      <c r="V23" s="4">
        <f t="shared" si="4"/>
        <v>0.27242449579242156</v>
      </c>
      <c r="W23" s="4">
        <f t="shared" si="5"/>
        <v>0.32809296570948937</v>
      </c>
      <c r="X23" s="4">
        <f t="shared" si="6"/>
        <v>0.33244019125031377</v>
      </c>
      <c r="Y23" s="4">
        <f t="shared" si="7"/>
        <v>0.36914550804803425</v>
      </c>
      <c r="Z23" s="4">
        <f t="shared" si="8"/>
        <v>0.35384264298730689</v>
      </c>
      <c r="AA23" s="4">
        <f t="shared" si="9"/>
        <v>0.39468275285108956</v>
      </c>
      <c r="AB23" s="4">
        <f t="shared" si="10"/>
        <v>0.4011314251898222</v>
      </c>
      <c r="AC23" s="4">
        <f t="shared" si="11"/>
        <v>0.43116326812965688</v>
      </c>
      <c r="AD23" s="4">
        <f t="shared" si="12"/>
        <v>0.48754219492890172</v>
      </c>
    </row>
    <row r="24" spans="1:30" x14ac:dyDescent="0.25">
      <c r="A24" s="2">
        <v>90</v>
      </c>
      <c r="B24" s="4">
        <v>11.708469938003301</v>
      </c>
      <c r="C24" s="4">
        <v>11.3394071752797</v>
      </c>
      <c r="D24" s="4">
        <v>11.5113093454168</v>
      </c>
      <c r="E24" s="4">
        <v>11.697637608127501</v>
      </c>
      <c r="F24" s="4">
        <v>12.0083287568313</v>
      </c>
      <c r="G24" s="4">
        <v>13.557249741990301</v>
      </c>
      <c r="H24" s="4">
        <v>14.9122887633297</v>
      </c>
      <c r="I24" s="4">
        <v>15.435089696099899</v>
      </c>
      <c r="J24" s="4">
        <v>16.491119306406201</v>
      </c>
      <c r="K24" s="4">
        <v>17.545227193401299</v>
      </c>
      <c r="L24" s="4">
        <v>18.8965032381447</v>
      </c>
      <c r="M24" s="4">
        <v>20.315195070175498</v>
      </c>
      <c r="R24" s="2">
        <v>90</v>
      </c>
      <c r="S24" s="4">
        <f t="shared" si="1"/>
        <v>0.37763907418291026</v>
      </c>
      <c r="T24" s="4">
        <f t="shared" si="2"/>
        <v>0.28833803410997499</v>
      </c>
      <c r="U24" s="4">
        <f t="shared" si="3"/>
        <v>0.36665214418224656</v>
      </c>
      <c r="V24" s="4">
        <f t="shared" si="4"/>
        <v>0.31352235680882179</v>
      </c>
      <c r="W24" s="4">
        <f t="shared" si="5"/>
        <v>0.29225239598577685</v>
      </c>
      <c r="X24" s="4">
        <f t="shared" si="6"/>
        <v>0.35319207586659962</v>
      </c>
      <c r="Y24" s="4">
        <f t="shared" si="7"/>
        <v>0.41568944200575658</v>
      </c>
      <c r="Z24" s="4">
        <f t="shared" si="8"/>
        <v>0.40569752018759603</v>
      </c>
      <c r="AA24" s="4">
        <f t="shared" si="9"/>
        <v>0.43433224226287492</v>
      </c>
      <c r="AB24" s="4">
        <f t="shared" si="10"/>
        <v>0.46960799427114469</v>
      </c>
      <c r="AC24" s="4">
        <f t="shared" si="11"/>
        <v>0.50593032744761535</v>
      </c>
      <c r="AD24" s="4">
        <f t="shared" si="12"/>
        <v>0.56688860946940767</v>
      </c>
    </row>
    <row r="25" spans="1:30" x14ac:dyDescent="0.25">
      <c r="A25" s="2">
        <v>95</v>
      </c>
      <c r="B25" s="4">
        <v>11.345295015750199</v>
      </c>
      <c r="C25" s="4">
        <v>11.2826563467169</v>
      </c>
      <c r="D25" s="4">
        <v>12.3293215496541</v>
      </c>
      <c r="E25" s="4">
        <v>12.9660191862973</v>
      </c>
      <c r="F25" s="4">
        <v>13.428251845776201</v>
      </c>
      <c r="G25" s="4">
        <v>13.690376707545701</v>
      </c>
      <c r="H25" s="4">
        <v>15.527949606556801</v>
      </c>
      <c r="I25" s="4">
        <v>16.170292400236601</v>
      </c>
      <c r="J25" s="4">
        <v>17.707000612526901</v>
      </c>
      <c r="K25" s="4">
        <v>18.403046858928398</v>
      </c>
      <c r="L25" s="4">
        <v>19.4025574069423</v>
      </c>
      <c r="M25" s="4">
        <v>20.054250117209101</v>
      </c>
      <c r="R25" s="2">
        <v>95</v>
      </c>
      <c r="S25" s="4">
        <f t="shared" si="1"/>
        <v>0.34051767241073372</v>
      </c>
      <c r="T25" s="4">
        <f t="shared" si="2"/>
        <v>0.28289190345717641</v>
      </c>
      <c r="U25" s="4">
        <f t="shared" si="3"/>
        <v>0.44027421798581307</v>
      </c>
      <c r="V25" s="4">
        <f t="shared" si="4"/>
        <v>0.40361343938970146</v>
      </c>
      <c r="W25" s="4">
        <f t="shared" si="5"/>
        <v>0.38655707466237904</v>
      </c>
      <c r="X25" s="4">
        <f t="shared" si="6"/>
        <v>0.36097479697287177</v>
      </c>
      <c r="Y25" s="4">
        <f t="shared" si="7"/>
        <v>0.44956344098758066</v>
      </c>
      <c r="Z25" s="4">
        <f t="shared" si="8"/>
        <v>0.44247698835724003</v>
      </c>
      <c r="AA25" s="4">
        <f t="shared" si="9"/>
        <v>0.49064362807219292</v>
      </c>
      <c r="AB25" s="4">
        <f t="shared" si="10"/>
        <v>0.50919286154189136</v>
      </c>
      <c r="AC25" s="4">
        <f t="shared" si="11"/>
        <v>0.52770872340123431</v>
      </c>
      <c r="AD25" s="4">
        <f t="shared" si="12"/>
        <v>0.55577987432293874</v>
      </c>
    </row>
    <row r="26" spans="1:30" x14ac:dyDescent="0.25">
      <c r="A26" s="2">
        <v>100</v>
      </c>
      <c r="B26" s="4">
        <v>13.5936282433803</v>
      </c>
      <c r="C26" s="4">
        <v>11.7061942840804</v>
      </c>
      <c r="D26" s="4">
        <v>12.9849939839201</v>
      </c>
      <c r="E26" s="4">
        <v>12.9248082702766</v>
      </c>
      <c r="F26" s="4">
        <v>14.5285333697955</v>
      </c>
      <c r="G26" s="4">
        <v>15.280892592293601</v>
      </c>
      <c r="H26" s="4">
        <v>16.289887244937201</v>
      </c>
      <c r="I26" s="4">
        <v>17.482683594952601</v>
      </c>
      <c r="J26" s="4">
        <v>19.287891351423699</v>
      </c>
      <c r="K26" s="4">
        <v>19.533476041778599</v>
      </c>
      <c r="L26" s="4">
        <v>20.2137081854531</v>
      </c>
      <c r="M26" s="4">
        <v>22.001684056919402</v>
      </c>
      <c r="R26" s="2">
        <v>100</v>
      </c>
      <c r="S26" s="4">
        <f t="shared" si="1"/>
        <v>0.57032781608146399</v>
      </c>
      <c r="T26" s="4">
        <f t="shared" si="2"/>
        <v>0.3235370006603997</v>
      </c>
      <c r="U26" s="4">
        <f t="shared" si="3"/>
        <v>0.49928551891316719</v>
      </c>
      <c r="V26" s="4">
        <f t="shared" si="4"/>
        <v>0.40068629498587632</v>
      </c>
      <c r="W26" s="4">
        <f t="shared" si="5"/>
        <v>0.45963264923701624</v>
      </c>
      <c r="X26" s="4">
        <f t="shared" si="6"/>
        <v>0.45395777374580309</v>
      </c>
      <c r="Y26" s="4">
        <f t="shared" si="7"/>
        <v>0.49148566987487491</v>
      </c>
      <c r="Z26" s="4">
        <f t="shared" si="8"/>
        <v>0.5081310588613156</v>
      </c>
      <c r="AA26" s="4">
        <f t="shared" si="9"/>
        <v>0.56385977826075273</v>
      </c>
      <c r="AB26" s="4">
        <f t="shared" si="10"/>
        <v>0.56135754248868197</v>
      </c>
      <c r="AC26" s="4">
        <f t="shared" si="11"/>
        <v>0.56261716586000954</v>
      </c>
      <c r="AD26" s="4">
        <f t="shared" si="12"/>
        <v>0.63868443946420073</v>
      </c>
    </row>
    <row r="27" spans="1:30" x14ac:dyDescent="0.25">
      <c r="A27" s="2">
        <v>105</v>
      </c>
      <c r="B27" s="4">
        <v>13.752444330789499</v>
      </c>
      <c r="C27" s="4">
        <v>12.5790075603747</v>
      </c>
      <c r="D27" s="4">
        <v>13.454183771573099</v>
      </c>
      <c r="E27" s="4">
        <v>13.5495679366348</v>
      </c>
      <c r="F27" s="4">
        <v>15.225710923427</v>
      </c>
      <c r="G27" s="4">
        <v>15.953869019737001</v>
      </c>
      <c r="H27" s="4">
        <v>16.800860236395401</v>
      </c>
      <c r="I27" s="4">
        <v>18.419684255437001</v>
      </c>
      <c r="J27" s="4">
        <v>19.007426381424601</v>
      </c>
      <c r="K27" s="4">
        <v>20.926299248894001</v>
      </c>
      <c r="L27" s="4">
        <v>23.020163058988398</v>
      </c>
      <c r="M27" s="4">
        <v>22.485151258326098</v>
      </c>
      <c r="R27" s="2">
        <v>105</v>
      </c>
      <c r="S27" s="4">
        <f t="shared" si="1"/>
        <v>0.58656097378967542</v>
      </c>
      <c r="T27" s="4">
        <f t="shared" si="2"/>
        <v>0.4072971017651062</v>
      </c>
      <c r="U27" s="4">
        <f t="shared" si="3"/>
        <v>0.54151315927786781</v>
      </c>
      <c r="V27" s="4">
        <f t="shared" si="4"/>
        <v>0.44506195895309963</v>
      </c>
      <c r="W27" s="4">
        <f t="shared" si="5"/>
        <v>0.5059359354414914</v>
      </c>
      <c r="X27" s="4">
        <f t="shared" si="6"/>
        <v>0.49330057573964697</v>
      </c>
      <c r="Y27" s="4">
        <f t="shared" si="7"/>
        <v>0.51959968554244262</v>
      </c>
      <c r="Z27" s="4">
        <f t="shared" si="8"/>
        <v>0.55500573134730447</v>
      </c>
      <c r="AA27" s="4">
        <f t="shared" si="9"/>
        <v>0.55087054069939312</v>
      </c>
      <c r="AB27" s="4">
        <f t="shared" si="10"/>
        <v>0.62563063390982643</v>
      </c>
      <c r="AC27" s="4">
        <f t="shared" si="11"/>
        <v>0.68339491897493443</v>
      </c>
      <c r="AD27" s="4">
        <f t="shared" si="12"/>
        <v>0.65926620980073269</v>
      </c>
    </row>
    <row r="28" spans="1:30" x14ac:dyDescent="0.25">
      <c r="A28" s="2">
        <v>110</v>
      </c>
      <c r="B28" s="4">
        <v>12.510010163590801</v>
      </c>
      <c r="C28" s="4">
        <v>12.754264051866601</v>
      </c>
      <c r="D28" s="4">
        <v>13.314986975266899</v>
      </c>
      <c r="E28" s="4">
        <v>13.767069600929601</v>
      </c>
      <c r="F28" s="4">
        <v>15.046576794527301</v>
      </c>
      <c r="G28" s="4">
        <v>16.633088830362802</v>
      </c>
      <c r="H28" s="4">
        <v>17.571262272982999</v>
      </c>
      <c r="I28" s="4">
        <v>18.686968740306199</v>
      </c>
      <c r="J28" s="4">
        <v>20.031183157332599</v>
      </c>
      <c r="K28" s="4">
        <v>22.025424511728801</v>
      </c>
      <c r="L28" s="4">
        <v>23.446376214912501</v>
      </c>
      <c r="M28" s="4">
        <v>23.588156775457801</v>
      </c>
      <c r="R28" s="2">
        <v>110</v>
      </c>
      <c r="S28" s="4">
        <f t="shared" si="1"/>
        <v>0.45956735426899642</v>
      </c>
      <c r="T28" s="4">
        <f t="shared" si="2"/>
        <v>0.42411570643727892</v>
      </c>
      <c r="U28" s="4">
        <f t="shared" si="3"/>
        <v>0.52898528162788827</v>
      </c>
      <c r="V28" s="4">
        <f t="shared" si="4"/>
        <v>0.46051074876265841</v>
      </c>
      <c r="W28" s="4">
        <f t="shared" si="5"/>
        <v>0.49403868086663133</v>
      </c>
      <c r="X28" s="4">
        <f t="shared" si="6"/>
        <v>0.53300837148111724</v>
      </c>
      <c r="Y28" s="4">
        <f t="shared" si="7"/>
        <v>0.56198763028515719</v>
      </c>
      <c r="Z28" s="4">
        <f t="shared" si="8"/>
        <v>0.56837698412993631</v>
      </c>
      <c r="AA28" s="4">
        <f t="shared" si="9"/>
        <v>0.5982840197066408</v>
      </c>
      <c r="AB28" s="4">
        <f t="shared" si="10"/>
        <v>0.67635076704702324</v>
      </c>
      <c r="AC28" s="4">
        <f t="shared" si="11"/>
        <v>0.70173730096224518</v>
      </c>
      <c r="AD28" s="4">
        <f t="shared" si="12"/>
        <v>0.70622245867858668</v>
      </c>
    </row>
    <row r="29" spans="1:30" x14ac:dyDescent="0.25">
      <c r="A29" s="2">
        <v>115</v>
      </c>
      <c r="B29" s="4">
        <v>12.3011342938672</v>
      </c>
      <c r="C29" s="4">
        <v>12.798580143075201</v>
      </c>
      <c r="D29" s="4">
        <v>13.9867028376603</v>
      </c>
      <c r="E29" s="4">
        <v>13.9025368510723</v>
      </c>
      <c r="F29" s="4">
        <v>16.574628583336299</v>
      </c>
      <c r="G29" s="4">
        <v>17.011342365600399</v>
      </c>
      <c r="H29" s="4">
        <v>18.658144825919901</v>
      </c>
      <c r="I29" s="4">
        <v>19.514552415692599</v>
      </c>
      <c r="J29" s="4">
        <v>21.3267369956402</v>
      </c>
      <c r="K29" s="4">
        <v>23.004381389356201</v>
      </c>
      <c r="L29" s="4">
        <v>23.0031598914886</v>
      </c>
      <c r="M29" s="4">
        <v>24.290193768230701</v>
      </c>
      <c r="R29" s="2">
        <v>115</v>
      </c>
      <c r="S29" s="4">
        <f t="shared" si="1"/>
        <v>0.43821740798851261</v>
      </c>
      <c r="T29" s="4">
        <f t="shared" si="2"/>
        <v>0.42836852932736763</v>
      </c>
      <c r="U29" s="4">
        <f t="shared" si="3"/>
        <v>0.58944051021737165</v>
      </c>
      <c r="V29" s="4">
        <f t="shared" si="4"/>
        <v>0.47013276742775195</v>
      </c>
      <c r="W29" s="4">
        <f t="shared" si="5"/>
        <v>0.59552476420929867</v>
      </c>
      <c r="X29" s="4">
        <f t="shared" si="6"/>
        <v>0.55512141041304297</v>
      </c>
      <c r="Y29" s="4">
        <f t="shared" si="7"/>
        <v>0.62178850749957204</v>
      </c>
      <c r="Z29" s="4">
        <f t="shared" si="8"/>
        <v>0.60977793012119508</v>
      </c>
      <c r="AA29" s="4">
        <f t="shared" si="9"/>
        <v>0.65828529751100573</v>
      </c>
      <c r="AB29" s="4">
        <f t="shared" si="10"/>
        <v>0.72152562094927497</v>
      </c>
      <c r="AC29" s="4">
        <f t="shared" si="11"/>
        <v>0.6826631757404974</v>
      </c>
      <c r="AD29" s="4">
        <f t="shared" si="12"/>
        <v>0.73610900343479779</v>
      </c>
    </row>
    <row r="30" spans="1:30" x14ac:dyDescent="0.25">
      <c r="A30" s="2">
        <v>120</v>
      </c>
      <c r="B30" s="4">
        <v>13.1493022628928</v>
      </c>
      <c r="C30" s="4">
        <v>13.200959290240901</v>
      </c>
      <c r="D30" s="4">
        <v>13.946222288253599</v>
      </c>
      <c r="E30" s="4">
        <v>14.872867915476901</v>
      </c>
      <c r="F30" s="4">
        <v>16.3946400515905</v>
      </c>
      <c r="G30" s="4">
        <v>16.852876448684999</v>
      </c>
      <c r="H30" s="4">
        <v>20.004989517522301</v>
      </c>
      <c r="I30" s="4">
        <v>20.687212978607398</v>
      </c>
      <c r="J30" s="4">
        <v>20.713990019448399</v>
      </c>
      <c r="K30" s="4">
        <v>21.570596820667799</v>
      </c>
      <c r="L30" s="4">
        <v>23.616531846316001</v>
      </c>
      <c r="M30" s="4">
        <v>25.1733933303329</v>
      </c>
      <c r="R30" s="2">
        <v>120</v>
      </c>
      <c r="S30" s="4">
        <f t="shared" si="1"/>
        <v>0.52491167573464259</v>
      </c>
      <c r="T30" s="4">
        <f t="shared" si="2"/>
        <v>0.46698310928898168</v>
      </c>
      <c r="U30" s="4">
        <f t="shared" si="3"/>
        <v>0.58579721250055128</v>
      </c>
      <c r="V30" s="4">
        <f t="shared" si="4"/>
        <v>0.53905380630014477</v>
      </c>
      <c r="W30" s="4">
        <f t="shared" si="5"/>
        <v>0.58357076417654075</v>
      </c>
      <c r="X30" s="4">
        <f t="shared" si="6"/>
        <v>0.54585735161731375</v>
      </c>
      <c r="Y30" s="4">
        <f t="shared" si="7"/>
        <v>0.69589264488936176</v>
      </c>
      <c r="Z30" s="4">
        <f t="shared" si="8"/>
        <v>0.66844179466473741</v>
      </c>
      <c r="AA30" s="4">
        <f t="shared" si="9"/>
        <v>0.62990700827657586</v>
      </c>
      <c r="AB30" s="4">
        <f t="shared" si="10"/>
        <v>0.6553623303099767</v>
      </c>
      <c r="AC30" s="4">
        <f t="shared" si="11"/>
        <v>0.70906006785743403</v>
      </c>
      <c r="AD30" s="4">
        <f t="shared" si="12"/>
        <v>0.77370785294438793</v>
      </c>
    </row>
    <row r="31" spans="1:30" x14ac:dyDescent="0.25">
      <c r="A31" s="2">
        <v>125</v>
      </c>
      <c r="B31" s="4">
        <v>14.5683980208671</v>
      </c>
      <c r="C31" s="4">
        <v>13.8735659888047</v>
      </c>
      <c r="D31" s="4">
        <v>14.0537151712546</v>
      </c>
      <c r="E31" s="4">
        <v>16.2340920393662</v>
      </c>
      <c r="F31" s="4">
        <v>16.8374605685967</v>
      </c>
      <c r="G31" s="4">
        <v>18.1364166130091</v>
      </c>
      <c r="H31" s="4">
        <v>19.153705613288398</v>
      </c>
      <c r="I31" s="4">
        <v>21.6700789123216</v>
      </c>
      <c r="J31" s="4">
        <v>22.6773337090541</v>
      </c>
      <c r="K31" s="4">
        <v>24.646952137192301</v>
      </c>
      <c r="L31" s="4">
        <v>25.3706669228607</v>
      </c>
      <c r="M31" s="4">
        <v>26.371869169003698</v>
      </c>
      <c r="R31" s="2">
        <v>125</v>
      </c>
      <c r="S31" s="4">
        <f t="shared" si="1"/>
        <v>0.66996250539584634</v>
      </c>
      <c r="T31" s="4">
        <f t="shared" si="2"/>
        <v>0.53153025425748968</v>
      </c>
      <c r="U31" s="4">
        <f t="shared" si="3"/>
        <v>0.59547170014836892</v>
      </c>
      <c r="V31" s="4">
        <f t="shared" si="4"/>
        <v>0.63573934404924259</v>
      </c>
      <c r="W31" s="4">
        <f t="shared" si="5"/>
        <v>0.6129808406044881</v>
      </c>
      <c r="X31" s="4">
        <f t="shared" si="6"/>
        <v>0.6208942540657223</v>
      </c>
      <c r="Y31" s="4">
        <f t="shared" si="7"/>
        <v>0.64905453520203593</v>
      </c>
      <c r="Z31" s="4">
        <f t="shared" si="8"/>
        <v>0.71761093688996413</v>
      </c>
      <c r="AA31" s="4">
        <f t="shared" si="9"/>
        <v>0.72083578843392249</v>
      </c>
      <c r="AB31" s="4">
        <f t="shared" si="10"/>
        <v>0.79732353938000955</v>
      </c>
      <c r="AC31" s="4">
        <f t="shared" si="11"/>
        <v>0.78455050071740162</v>
      </c>
      <c r="AD31" s="4">
        <f t="shared" si="12"/>
        <v>0.82472838627867517</v>
      </c>
    </row>
    <row r="32" spans="1:30" x14ac:dyDescent="0.25">
      <c r="A32" s="2">
        <v>130</v>
      </c>
      <c r="B32" s="4">
        <v>13.7568252867555</v>
      </c>
      <c r="C32" s="4">
        <v>14.253132244642501</v>
      </c>
      <c r="D32" s="4">
        <v>14.190902614781599</v>
      </c>
      <c r="E32" s="4">
        <v>16.348072195128999</v>
      </c>
      <c r="F32" s="4">
        <v>17.333383298485899</v>
      </c>
      <c r="G32" s="4">
        <v>18.825964230071602</v>
      </c>
      <c r="H32" s="4">
        <v>19.9240842810365</v>
      </c>
      <c r="I32" s="4">
        <v>21.186355350701099</v>
      </c>
      <c r="J32" s="4">
        <v>22.131805979489599</v>
      </c>
      <c r="K32" s="4">
        <v>24.569820362822401</v>
      </c>
      <c r="L32" s="4">
        <v>24.593251707122299</v>
      </c>
      <c r="M32" s="4">
        <v>27.802949708125102</v>
      </c>
      <c r="R32" s="2">
        <v>130</v>
      </c>
      <c r="S32" s="4">
        <f t="shared" si="1"/>
        <v>0.58700876689595938</v>
      </c>
      <c r="T32" s="4">
        <f t="shared" si="2"/>
        <v>0.56795558007275504</v>
      </c>
      <c r="U32" s="4">
        <f t="shared" si="3"/>
        <v>0.60781873365220818</v>
      </c>
      <c r="V32" s="4">
        <f t="shared" si="4"/>
        <v>0.64383516931361207</v>
      </c>
      <c r="W32" s="4">
        <f t="shared" si="5"/>
        <v>0.64591771870355186</v>
      </c>
      <c r="X32" s="4">
        <f t="shared" si="6"/>
        <v>0.661205822580057</v>
      </c>
      <c r="Y32" s="4">
        <f t="shared" si="7"/>
        <v>0.69144119417831928</v>
      </c>
      <c r="Z32" s="4">
        <f t="shared" si="8"/>
        <v>0.69341203876646107</v>
      </c>
      <c r="AA32" s="4">
        <f t="shared" si="9"/>
        <v>0.6955706393650557</v>
      </c>
      <c r="AB32" s="4">
        <f t="shared" si="10"/>
        <v>0.79376422362462462</v>
      </c>
      <c r="AC32" s="4">
        <f t="shared" si="11"/>
        <v>0.75109389185486208</v>
      </c>
      <c r="AD32" s="4">
        <f t="shared" si="12"/>
        <v>0.88565117670494864</v>
      </c>
    </row>
    <row r="33" spans="1:30" x14ac:dyDescent="0.25">
      <c r="A33" s="2">
        <v>135</v>
      </c>
      <c r="B33" s="4">
        <v>13.4041402096772</v>
      </c>
      <c r="C33" s="4">
        <v>13.732058962341799</v>
      </c>
      <c r="D33" s="4">
        <v>14.618393554797301</v>
      </c>
      <c r="E33" s="4">
        <v>15.9937492877387</v>
      </c>
      <c r="F33" s="4">
        <v>18.022305399986699</v>
      </c>
      <c r="G33" s="4">
        <v>20.049047701820001</v>
      </c>
      <c r="H33" s="4">
        <v>20.142835319999801</v>
      </c>
      <c r="I33" s="4">
        <v>23.253216736399299</v>
      </c>
      <c r="J33" s="4">
        <v>23.1316320916542</v>
      </c>
      <c r="K33" s="4">
        <v>24.175766044494299</v>
      </c>
      <c r="L33" s="4">
        <v>26.276149248002199</v>
      </c>
      <c r="M33" s="4">
        <v>27.132512144999499</v>
      </c>
      <c r="R33" s="2">
        <v>135</v>
      </c>
      <c r="S33" s="4">
        <f t="shared" si="1"/>
        <v>0.55095956954485326</v>
      </c>
      <c r="T33" s="4">
        <f t="shared" si="2"/>
        <v>0.5179504392323544</v>
      </c>
      <c r="U33" s="4">
        <f t="shared" si="3"/>
        <v>0.64629342800659939</v>
      </c>
      <c r="V33" s="4">
        <f t="shared" si="4"/>
        <v>0.61866818891954367</v>
      </c>
      <c r="W33" s="4">
        <f t="shared" si="5"/>
        <v>0.69167271622494486</v>
      </c>
      <c r="X33" s="4">
        <f t="shared" si="6"/>
        <v>0.73270837287553137</v>
      </c>
      <c r="Y33" s="4">
        <f t="shared" si="7"/>
        <v>0.70347699693016408</v>
      </c>
      <c r="Z33" s="4">
        <f t="shared" si="8"/>
        <v>0.79680945844218953</v>
      </c>
      <c r="AA33" s="4">
        <f t="shared" si="9"/>
        <v>0.74187581213225862</v>
      </c>
      <c r="AB33" s="4">
        <f t="shared" si="10"/>
        <v>0.77558022934781157</v>
      </c>
      <c r="AC33" s="4">
        <f t="shared" si="11"/>
        <v>0.82351856742217799</v>
      </c>
      <c r="AD33" s="4">
        <f t="shared" si="12"/>
        <v>0.85710985702682707</v>
      </c>
    </row>
    <row r="34" spans="1:30" x14ac:dyDescent="0.25">
      <c r="A34" s="2">
        <v>140</v>
      </c>
      <c r="B34" s="4">
        <v>15.803341065847899</v>
      </c>
      <c r="C34" s="4">
        <v>14.814533239942399</v>
      </c>
      <c r="D34" s="4">
        <v>14.777020485717999</v>
      </c>
      <c r="E34" s="4">
        <v>16.652077510639899</v>
      </c>
      <c r="F34" s="4">
        <v>19.6782332717682</v>
      </c>
      <c r="G34" s="4">
        <v>19.112214105042799</v>
      </c>
      <c r="H34" s="4">
        <v>22.056146040442801</v>
      </c>
      <c r="I34" s="4">
        <v>23.2939181809007</v>
      </c>
      <c r="J34" s="4">
        <v>24.075081786342999</v>
      </c>
      <c r="K34" s="4">
        <v>25.8927548789353</v>
      </c>
      <c r="L34" s="4">
        <v>25.915754115186299</v>
      </c>
      <c r="M34" s="4">
        <v>26.6866816619332</v>
      </c>
      <c r="R34" s="2">
        <v>140</v>
      </c>
      <c r="S34" s="4">
        <f t="shared" si="1"/>
        <v>0.79619043064487804</v>
      </c>
      <c r="T34" s="4">
        <f t="shared" si="2"/>
        <v>0.62183079646067219</v>
      </c>
      <c r="U34" s="4">
        <f t="shared" si="3"/>
        <v>0.66057004094095739</v>
      </c>
      <c r="V34" s="4">
        <f t="shared" si="4"/>
        <v>0.66542817291449874</v>
      </c>
      <c r="W34" s="4">
        <f t="shared" si="5"/>
        <v>0.80165173345187291</v>
      </c>
      <c r="X34" s="4">
        <f t="shared" si="6"/>
        <v>0.6779402454996496</v>
      </c>
      <c r="Y34" s="4">
        <f t="shared" si="7"/>
        <v>0.80874840749523713</v>
      </c>
      <c r="Z34" s="4">
        <f t="shared" si="8"/>
        <v>0.79884560095645796</v>
      </c>
      <c r="AA34" s="4">
        <f t="shared" si="9"/>
        <v>0.78557001113167169</v>
      </c>
      <c r="AB34" s="4">
        <f t="shared" si="10"/>
        <v>0.85481223794828798</v>
      </c>
      <c r="AC34" s="4">
        <f t="shared" si="11"/>
        <v>0.808008710204974</v>
      </c>
      <c r="AD34" s="4">
        <f t="shared" si="12"/>
        <v>0.83813032628555395</v>
      </c>
    </row>
    <row r="35" spans="1:30" x14ac:dyDescent="0.25">
      <c r="A35" s="2">
        <v>145</v>
      </c>
      <c r="B35" s="4">
        <v>14.2864099059066</v>
      </c>
      <c r="C35" s="4">
        <v>14.243046678475601</v>
      </c>
      <c r="D35" s="4">
        <v>15.619519159873199</v>
      </c>
      <c r="E35" s="4">
        <v>16.105397595849698</v>
      </c>
      <c r="F35" s="4">
        <v>20.468001263255001</v>
      </c>
      <c r="G35" s="4">
        <v>21.277366432263101</v>
      </c>
      <c r="H35" s="4">
        <v>22.376037451602901</v>
      </c>
      <c r="I35" s="4">
        <v>22.0317364039424</v>
      </c>
      <c r="J35" s="4">
        <v>24.7385954395846</v>
      </c>
      <c r="K35" s="4">
        <v>25.629181248997799</v>
      </c>
      <c r="L35" s="4">
        <v>26.4800657547299</v>
      </c>
      <c r="M35" s="4">
        <v>27.616775428169898</v>
      </c>
      <c r="R35" s="2">
        <v>145</v>
      </c>
      <c r="S35" s="4">
        <f t="shared" si="1"/>
        <v>0.64113949623682653</v>
      </c>
      <c r="T35" s="4">
        <f t="shared" si="2"/>
        <v>0.56698771207076459</v>
      </c>
      <c r="U35" s="4">
        <f t="shared" si="3"/>
        <v>0.73639592623553374</v>
      </c>
      <c r="V35" s="4">
        <f t="shared" si="4"/>
        <v>0.62659838683408398</v>
      </c>
      <c r="W35" s="4">
        <f t="shared" si="5"/>
        <v>0.85410444532485974</v>
      </c>
      <c r="X35" s="4">
        <f t="shared" si="6"/>
        <v>0.80451698106220793</v>
      </c>
      <c r="Y35" s="4">
        <f t="shared" si="7"/>
        <v>0.82634900927970756</v>
      </c>
      <c r="Z35" s="4">
        <f t="shared" si="8"/>
        <v>0.73570332165206809</v>
      </c>
      <c r="AA35" s="4">
        <f t="shared" si="9"/>
        <v>0.8162994689573263</v>
      </c>
      <c r="AB35" s="4">
        <f t="shared" si="10"/>
        <v>0.84264939349923496</v>
      </c>
      <c r="AC35" s="4">
        <f t="shared" si="11"/>
        <v>0.83229425725701633</v>
      </c>
      <c r="AD35" s="4">
        <f t="shared" si="12"/>
        <v>0.87772551750519689</v>
      </c>
    </row>
    <row r="36" spans="1:30" x14ac:dyDescent="0.25">
      <c r="A36" s="2">
        <v>150</v>
      </c>
      <c r="B36" s="4">
        <v>14.205603089203301</v>
      </c>
      <c r="C36" s="4">
        <v>15.218868868423201</v>
      </c>
      <c r="D36" s="4">
        <v>17.087233057780299</v>
      </c>
      <c r="E36" s="4">
        <v>17.329223623875301</v>
      </c>
      <c r="F36" s="4">
        <v>20.429332896200702</v>
      </c>
      <c r="G36" s="4">
        <v>21.672150301068498</v>
      </c>
      <c r="H36" s="4">
        <v>22.0750369850828</v>
      </c>
      <c r="I36" s="4">
        <v>24.3164035346493</v>
      </c>
      <c r="J36" s="4">
        <v>24.733430200214901</v>
      </c>
      <c r="K36" s="4">
        <v>26.972537146983601</v>
      </c>
      <c r="L36" s="4">
        <v>28.536285974510399</v>
      </c>
      <c r="M36" s="4">
        <v>28.193292642086401</v>
      </c>
      <c r="R36" s="2">
        <v>150</v>
      </c>
      <c r="S36" s="4">
        <f t="shared" si="1"/>
        <v>0.63287994381463775</v>
      </c>
      <c r="T36" s="4">
        <f t="shared" si="2"/>
        <v>0.66063313144070002</v>
      </c>
      <c r="U36" s="4">
        <f t="shared" si="3"/>
        <v>0.86849192719310664</v>
      </c>
      <c r="V36" s="4">
        <f t="shared" si="4"/>
        <v>0.71352476108384022</v>
      </c>
      <c r="W36" s="4">
        <f t="shared" si="5"/>
        <v>0.85153627247212149</v>
      </c>
      <c r="X36" s="4">
        <f t="shared" si="6"/>
        <v>0.8275963980334371</v>
      </c>
      <c r="Y36" s="4">
        <f t="shared" si="7"/>
        <v>0.80978779768309905</v>
      </c>
      <c r="Z36" s="4">
        <f t="shared" si="8"/>
        <v>0.8499967560195808</v>
      </c>
      <c r="AA36" s="4">
        <f t="shared" si="9"/>
        <v>0.81606025005867189</v>
      </c>
      <c r="AB36" s="4">
        <f t="shared" si="10"/>
        <v>0.90463977102977056</v>
      </c>
      <c r="AC36" s="4">
        <f t="shared" si="11"/>
        <v>0.92078513605091761</v>
      </c>
      <c r="AD36" s="4">
        <f t="shared" si="12"/>
        <v>0.90226853688140729</v>
      </c>
    </row>
    <row r="37" spans="1:30" x14ac:dyDescent="0.25">
      <c r="A37" s="2">
        <v>155</v>
      </c>
      <c r="B37" s="4">
        <v>16.012362987549501</v>
      </c>
      <c r="C37" s="4">
        <v>14.236920404519299</v>
      </c>
      <c r="D37" s="4">
        <v>16.979308092924398</v>
      </c>
      <c r="E37" s="4">
        <v>16.450051959479801</v>
      </c>
      <c r="F37" s="4">
        <v>19.4757239493238</v>
      </c>
      <c r="G37" s="4">
        <v>20.025742423054499</v>
      </c>
      <c r="H37" s="4">
        <v>22.943859047664098</v>
      </c>
      <c r="I37" s="4">
        <v>23.982487711827599</v>
      </c>
      <c r="J37" s="4">
        <v>25.313647654429001</v>
      </c>
      <c r="K37" s="4">
        <v>26.223721926977401</v>
      </c>
      <c r="L37" s="4">
        <v>27.832501269194701</v>
      </c>
      <c r="M37" s="4">
        <v>28.129713111227101</v>
      </c>
      <c r="R37" s="2">
        <v>155</v>
      </c>
      <c r="S37" s="4">
        <f t="shared" si="1"/>
        <v>0.81755530541800492</v>
      </c>
      <c r="T37" s="4">
        <f t="shared" si="2"/>
        <v>0.56639980015430802</v>
      </c>
      <c r="U37" s="4">
        <f t="shared" si="3"/>
        <v>0.85877855166312078</v>
      </c>
      <c r="V37" s="4">
        <f t="shared" si="4"/>
        <v>0.65107862627469759</v>
      </c>
      <c r="W37" s="4">
        <f t="shared" si="5"/>
        <v>0.7882020073851419</v>
      </c>
      <c r="X37" s="4">
        <f t="shared" si="6"/>
        <v>0.73134592549923072</v>
      </c>
      <c r="Y37" s="4">
        <f t="shared" si="7"/>
        <v>0.85759086651073446</v>
      </c>
      <c r="Z37" s="4">
        <f t="shared" si="8"/>
        <v>0.83329218419509021</v>
      </c>
      <c r="AA37" s="4">
        <f t="shared" si="9"/>
        <v>0.84293199218767467</v>
      </c>
      <c r="AB37" s="4">
        <f t="shared" si="10"/>
        <v>0.87008501286151774</v>
      </c>
      <c r="AC37" s="4">
        <f t="shared" si="11"/>
        <v>0.89049726782747352</v>
      </c>
      <c r="AD37" s="4">
        <f t="shared" si="12"/>
        <v>0.89956188108667468</v>
      </c>
    </row>
    <row r="38" spans="1:30" x14ac:dyDescent="0.25">
      <c r="A38" s="2">
        <v>160</v>
      </c>
      <c r="B38" s="4">
        <v>15.675286042542201</v>
      </c>
      <c r="C38" s="4">
        <v>15.7423296359601</v>
      </c>
      <c r="D38" s="4">
        <v>16.987364902092299</v>
      </c>
      <c r="E38" s="4">
        <v>19.751753475512398</v>
      </c>
      <c r="F38" s="4">
        <v>20.808678383513602</v>
      </c>
      <c r="G38" s="4">
        <v>23.259772115102901</v>
      </c>
      <c r="H38" s="4">
        <v>23.114844691135001</v>
      </c>
      <c r="I38" s="4">
        <v>24.772988002101201</v>
      </c>
      <c r="J38" s="4">
        <v>25.6484714875847</v>
      </c>
      <c r="K38" s="4">
        <v>27.051844283387901</v>
      </c>
      <c r="L38" s="4">
        <v>28.8174749010625</v>
      </c>
      <c r="M38" s="4">
        <v>26.890060632391201</v>
      </c>
      <c r="R38" s="2">
        <v>160</v>
      </c>
      <c r="S38" s="4">
        <f t="shared" si="1"/>
        <v>0.78310147081366088</v>
      </c>
      <c r="T38" s="4">
        <f t="shared" si="2"/>
        <v>0.71086738887476542</v>
      </c>
      <c r="U38" s="4">
        <f t="shared" si="3"/>
        <v>0.85950367409541195</v>
      </c>
      <c r="V38" s="4">
        <f t="shared" si="4"/>
        <v>0.88559312022336945</v>
      </c>
      <c r="W38" s="4">
        <f t="shared" si="5"/>
        <v>0.87673063304487941</v>
      </c>
      <c r="X38" s="4">
        <f t="shared" si="6"/>
        <v>0.9204101848520192</v>
      </c>
      <c r="Y38" s="4">
        <f t="shared" si="7"/>
        <v>0.86699859087156961</v>
      </c>
      <c r="Z38" s="4">
        <f t="shared" si="8"/>
        <v>0.87283798578235727</v>
      </c>
      <c r="AA38" s="4">
        <f t="shared" si="9"/>
        <v>0.85843876406752262</v>
      </c>
      <c r="AB38" s="4">
        <f t="shared" si="10"/>
        <v>0.90829947084121998</v>
      </c>
      <c r="AC38" s="4">
        <f t="shared" si="11"/>
        <v>0.93288629864933115</v>
      </c>
      <c r="AD38" s="4">
        <f t="shared" si="12"/>
        <v>0.84678840950002554</v>
      </c>
    </row>
    <row r="39" spans="1:30" x14ac:dyDescent="0.25">
      <c r="A39" s="2">
        <v>165</v>
      </c>
      <c r="B39" s="4">
        <v>16.9575225045865</v>
      </c>
      <c r="C39" s="4">
        <v>15.722721060727199</v>
      </c>
      <c r="D39" s="4">
        <v>17.1548666626916</v>
      </c>
      <c r="E39" s="4">
        <v>18.0039660638624</v>
      </c>
      <c r="F39" s="4">
        <v>21.586451120171301</v>
      </c>
      <c r="G39" s="4">
        <v>21.793142137789498</v>
      </c>
      <c r="H39" s="4">
        <v>23.7040352956395</v>
      </c>
      <c r="I39" s="4">
        <v>25.256328807219699</v>
      </c>
      <c r="J39" s="4">
        <v>26.302911306001199</v>
      </c>
      <c r="K39" s="4">
        <v>29.039030869454201</v>
      </c>
      <c r="L39" s="4">
        <v>26.729376814243</v>
      </c>
      <c r="M39" s="4">
        <v>29.678055854484899</v>
      </c>
      <c r="R39" s="2">
        <v>165</v>
      </c>
      <c r="S39" s="4">
        <f t="shared" si="1"/>
        <v>0.91416342459390765</v>
      </c>
      <c r="T39" s="4">
        <f t="shared" si="2"/>
        <v>0.70898563903360778</v>
      </c>
      <c r="U39" s="4">
        <f t="shared" si="3"/>
        <v>0.87457903228345635</v>
      </c>
      <c r="V39" s="4">
        <f t="shared" si="4"/>
        <v>0.76145062024793808</v>
      </c>
      <c r="W39" s="4">
        <f t="shared" si="5"/>
        <v>0.92838667595663193</v>
      </c>
      <c r="X39" s="4">
        <f t="shared" si="6"/>
        <v>0.83466968868801383</v>
      </c>
      <c r="Y39" s="4">
        <f t="shared" si="7"/>
        <v>0.89941618272696655</v>
      </c>
      <c r="Z39" s="4">
        <f t="shared" si="8"/>
        <v>0.89701773601575752</v>
      </c>
      <c r="AA39" s="4">
        <f t="shared" si="9"/>
        <v>0.88874798332956562</v>
      </c>
      <c r="AB39" s="4">
        <f t="shared" si="10"/>
        <v>1</v>
      </c>
      <c r="AC39" s="4">
        <f t="shared" si="11"/>
        <v>0.84302353349752923</v>
      </c>
      <c r="AD39" s="4">
        <f t="shared" si="12"/>
        <v>0.96547666217471095</v>
      </c>
    </row>
    <row r="40" spans="1:30" x14ac:dyDescent="0.25">
      <c r="A40" s="2">
        <v>170</v>
      </c>
      <c r="B40" s="4">
        <v>12.4474618665415</v>
      </c>
      <c r="C40" s="4">
        <v>16.059332854280498</v>
      </c>
      <c r="D40" s="4">
        <v>16.663852212206201</v>
      </c>
      <c r="E40" s="4">
        <v>18.767340643891401</v>
      </c>
      <c r="F40" s="4">
        <v>19.4321278539351</v>
      </c>
      <c r="G40" s="4">
        <v>22.560749533402401</v>
      </c>
      <c r="H40" s="4">
        <v>23.103608600190199</v>
      </c>
      <c r="I40" s="4">
        <v>21.3149330804839</v>
      </c>
      <c r="J40" s="4">
        <v>25.086052497712998</v>
      </c>
      <c r="K40" s="4">
        <v>27.8217257879882</v>
      </c>
      <c r="L40" s="4">
        <v>27.8617862576289</v>
      </c>
      <c r="M40" s="4">
        <v>26.104836200898699</v>
      </c>
      <c r="R40" s="2">
        <v>170</v>
      </c>
      <c r="S40" s="4">
        <f t="shared" si="1"/>
        <v>0.45317407014428923</v>
      </c>
      <c r="T40" s="4">
        <f t="shared" si="2"/>
        <v>0.74128881157558246</v>
      </c>
      <c r="U40" s="4">
        <f t="shared" si="3"/>
        <v>0.83038714623945931</v>
      </c>
      <c r="V40" s="4">
        <f t="shared" si="4"/>
        <v>0.81567187630620797</v>
      </c>
      <c r="W40" s="4">
        <f t="shared" si="5"/>
        <v>0.78530655776593683</v>
      </c>
      <c r="X40" s="4">
        <f t="shared" si="6"/>
        <v>0.87954470145679087</v>
      </c>
      <c r="Y40" s="4">
        <f t="shared" si="7"/>
        <v>0.86638037495381059</v>
      </c>
      <c r="Z40" s="4">
        <f t="shared" si="8"/>
        <v>0.699844306348263</v>
      </c>
      <c r="AA40" s="4">
        <f t="shared" si="9"/>
        <v>0.83239132624137646</v>
      </c>
      <c r="AB40" s="4">
        <f t="shared" si="10"/>
        <v>0.94382635183791452</v>
      </c>
      <c r="AC40" s="4">
        <f t="shared" si="11"/>
        <v>0.89175756783672455</v>
      </c>
      <c r="AD40" s="4">
        <f t="shared" si="12"/>
        <v>0.81336047713028137</v>
      </c>
    </row>
    <row r="41" spans="1:30" x14ac:dyDescent="0.25">
      <c r="A41" s="2">
        <v>175</v>
      </c>
      <c r="B41" s="4">
        <v>15.6537173678011</v>
      </c>
      <c r="C41" s="4">
        <v>15.6461622387588</v>
      </c>
      <c r="D41" s="4">
        <v>18.548414507229701</v>
      </c>
      <c r="E41" s="4">
        <v>19.7897088380467</v>
      </c>
      <c r="F41" s="4">
        <v>21.094400288440301</v>
      </c>
      <c r="G41" s="4">
        <v>24.307157473192301</v>
      </c>
      <c r="H41" s="4">
        <v>22.8062543934141</v>
      </c>
      <c r="I41" s="4">
        <v>26.244133894081799</v>
      </c>
      <c r="J41" s="4">
        <v>28.705076434663798</v>
      </c>
      <c r="K41" s="4">
        <v>26.713324523741399</v>
      </c>
      <c r="L41" s="4">
        <v>28.031059687685602</v>
      </c>
      <c r="M41" s="4">
        <v>29.6147630672919</v>
      </c>
      <c r="R41" s="2">
        <v>175</v>
      </c>
      <c r="S41" s="4">
        <f t="shared" si="1"/>
        <v>0.78089685977997336</v>
      </c>
      <c r="T41" s="4">
        <f t="shared" si="2"/>
        <v>0.70163862124332377</v>
      </c>
      <c r="U41" s="4">
        <f t="shared" si="3"/>
        <v>1</v>
      </c>
      <c r="V41" s="4">
        <f t="shared" si="4"/>
        <v>0.88828902795280762</v>
      </c>
      <c r="W41" s="4">
        <f t="shared" si="5"/>
        <v>0.89570695130096256</v>
      </c>
      <c r="X41" s="4">
        <f t="shared" si="6"/>
        <v>0.98164126676540187</v>
      </c>
      <c r="Y41" s="4">
        <f t="shared" si="7"/>
        <v>0.85001978257834399</v>
      </c>
      <c r="Z41" s="4">
        <f t="shared" si="8"/>
        <v>0.94643396577883732</v>
      </c>
      <c r="AA41" s="4">
        <f t="shared" si="9"/>
        <v>1</v>
      </c>
      <c r="AB41" s="4">
        <f t="shared" si="10"/>
        <v>0.8926781691939818</v>
      </c>
      <c r="AC41" s="4">
        <f t="shared" si="11"/>
        <v>0.89904236857843445</v>
      </c>
      <c r="AD41" s="4">
        <f t="shared" si="12"/>
        <v>0.96278221339685166</v>
      </c>
    </row>
    <row r="42" spans="1:30" x14ac:dyDescent="0.25">
      <c r="A42" s="2">
        <v>180</v>
      </c>
      <c r="B42" s="4">
        <v>16.128857482770599</v>
      </c>
      <c r="C42" s="4">
        <v>16.6924234732071</v>
      </c>
      <c r="D42" s="4">
        <v>17.185679341375</v>
      </c>
      <c r="E42" s="4">
        <v>21.362474254611602</v>
      </c>
      <c r="F42" s="4">
        <v>20.534061445604301</v>
      </c>
      <c r="G42" s="4">
        <v>24.5421324830277</v>
      </c>
      <c r="H42" s="4">
        <v>20.630352532537199</v>
      </c>
      <c r="I42" s="4">
        <v>27.091564012371901</v>
      </c>
      <c r="J42" s="4">
        <v>26.660440522384899</v>
      </c>
      <c r="K42" s="4">
        <v>26.003810926158899</v>
      </c>
      <c r="L42" s="4">
        <v>30.376963874643199</v>
      </c>
      <c r="M42" s="4">
        <v>29.013184763068502</v>
      </c>
      <c r="R42" s="2">
        <v>180</v>
      </c>
      <c r="S42" s="4">
        <f t="shared" si="1"/>
        <v>0.82946262251611536</v>
      </c>
      <c r="T42" s="4">
        <f t="shared" si="2"/>
        <v>0.80204376992689552</v>
      </c>
      <c r="U42" s="4">
        <f t="shared" si="3"/>
        <v>0.87735221010692166</v>
      </c>
      <c r="V42" s="4">
        <f t="shared" si="4"/>
        <v>1</v>
      </c>
      <c r="W42" s="4">
        <f t="shared" si="5"/>
        <v>0.8584918549798416</v>
      </c>
      <c r="X42" s="4">
        <f t="shared" si="6"/>
        <v>0.99537811535098342</v>
      </c>
      <c r="Y42" s="4">
        <f t="shared" si="7"/>
        <v>0.7303004627113423</v>
      </c>
      <c r="Z42" s="4">
        <f t="shared" si="8"/>
        <v>0.98882775579930093</v>
      </c>
      <c r="AA42" s="4">
        <f t="shared" si="9"/>
        <v>0.90530631475594503</v>
      </c>
      <c r="AB42" s="4">
        <f t="shared" si="10"/>
        <v>0.85993702007397954</v>
      </c>
      <c r="AC42" s="4">
        <f t="shared" si="11"/>
        <v>1</v>
      </c>
      <c r="AD42" s="4">
        <f t="shared" si="12"/>
        <v>0.93717231377813703</v>
      </c>
    </row>
    <row r="43" spans="1:30" x14ac:dyDescent="0.25">
      <c r="A43" s="2">
        <v>185</v>
      </c>
      <c r="B43" s="4">
        <v>17.797299294021901</v>
      </c>
      <c r="C43" s="4">
        <v>18.7552054356714</v>
      </c>
      <c r="D43" s="4">
        <v>18.5292984816457</v>
      </c>
      <c r="E43" s="4">
        <v>18.7541267972992</v>
      </c>
      <c r="F43" s="4">
        <v>22.664715886164299</v>
      </c>
      <c r="G43" s="4">
        <v>22.473217685386601</v>
      </c>
      <c r="H43" s="4">
        <v>25.532148881831201</v>
      </c>
      <c r="I43" s="4">
        <v>27.314891443582798</v>
      </c>
      <c r="J43" s="4">
        <v>25.4769268754394</v>
      </c>
      <c r="K43" s="4">
        <v>27.676566358027401</v>
      </c>
      <c r="L43" s="4">
        <v>29.9532993958078</v>
      </c>
      <c r="M43" s="4">
        <v>30.4890114355014</v>
      </c>
      <c r="R43" s="2">
        <v>185</v>
      </c>
      <c r="S43" s="4">
        <f t="shared" si="1"/>
        <v>1</v>
      </c>
      <c r="T43" s="4">
        <f t="shared" si="2"/>
        <v>1</v>
      </c>
      <c r="U43" s="4">
        <f t="shared" si="3"/>
        <v>0.99827953490291943</v>
      </c>
      <c r="V43" s="4">
        <f t="shared" si="4"/>
        <v>0.8147333182531441</v>
      </c>
      <c r="W43" s="4">
        <f t="shared" si="5"/>
        <v>1</v>
      </c>
      <c r="X43" s="4">
        <f t="shared" si="6"/>
        <v>0.87442751157582665</v>
      </c>
      <c r="Y43" s="4">
        <f t="shared" si="7"/>
        <v>1</v>
      </c>
      <c r="Z43" s="4">
        <f t="shared" si="8"/>
        <v>1</v>
      </c>
      <c r="AA43" s="4">
        <f t="shared" si="9"/>
        <v>0.85049397966348894</v>
      </c>
      <c r="AB43" s="4">
        <f t="shared" si="10"/>
        <v>0.93712783815373046</v>
      </c>
      <c r="AC43" s="4">
        <f t="shared" si="11"/>
        <v>0.98176730211810348</v>
      </c>
      <c r="AD43" s="4">
        <f t="shared" si="12"/>
        <v>1</v>
      </c>
    </row>
    <row r="44" spans="1:30" x14ac:dyDescent="0.25">
      <c r="A44" s="2">
        <v>190</v>
      </c>
      <c r="B44" s="4">
        <v>14.9930424951863</v>
      </c>
      <c r="C44" s="4">
        <v>14.578367113129399</v>
      </c>
      <c r="D44" s="4">
        <v>16.077973224520601</v>
      </c>
      <c r="E44" s="4">
        <v>17.892162867660598</v>
      </c>
      <c r="F44" s="4">
        <v>22.191252322791801</v>
      </c>
      <c r="G44" s="4">
        <v>24.621191910966701</v>
      </c>
      <c r="H44" s="4">
        <v>22.805653036805701</v>
      </c>
      <c r="I44" s="4">
        <v>25.584636140628799</v>
      </c>
      <c r="J44" s="4">
        <v>24.150152274856399</v>
      </c>
      <c r="K44" s="4">
        <v>27.427553315976301</v>
      </c>
      <c r="L44" s="4">
        <v>29.3976631144923</v>
      </c>
      <c r="M44" s="4">
        <v>26.784741773567902</v>
      </c>
      <c r="R44" s="2">
        <v>190</v>
      </c>
      <c r="S44" s="4">
        <f t="shared" si="1"/>
        <v>0.71336692892746889</v>
      </c>
      <c r="T44" s="4">
        <f t="shared" si="2"/>
        <v>0.59916695850514845</v>
      </c>
      <c r="U44" s="4">
        <f t="shared" si="3"/>
        <v>0.77765733872813358</v>
      </c>
      <c r="V44" s="4">
        <f t="shared" si="4"/>
        <v>0.75350942088397643</v>
      </c>
      <c r="W44" s="4">
        <f t="shared" si="5"/>
        <v>0.96855475514374489</v>
      </c>
      <c r="X44" s="4">
        <f t="shared" si="6"/>
        <v>1</v>
      </c>
      <c r="Y44" s="4">
        <f t="shared" si="7"/>
        <v>0.84998669560624773</v>
      </c>
      <c r="Z44" s="4">
        <f t="shared" si="8"/>
        <v>0.9134417358882273</v>
      </c>
      <c r="AA44" s="4">
        <f t="shared" si="9"/>
        <v>0.78904676763766612</v>
      </c>
      <c r="AB44" s="4">
        <f t="shared" si="10"/>
        <v>0.92563690525209219</v>
      </c>
      <c r="AC44" s="4">
        <f t="shared" si="11"/>
        <v>0.9578551051897839</v>
      </c>
      <c r="AD44" s="4">
        <f t="shared" si="12"/>
        <v>0.84230486116810199</v>
      </c>
    </row>
    <row r="75" spans="1:13" x14ac:dyDescent="0.25">
      <c r="A75" s="2"/>
      <c r="B75" s="4"/>
      <c r="C75" s="4"/>
      <c r="D75" s="4"/>
      <c r="E75" s="4"/>
      <c r="F75" s="4"/>
      <c r="G75" s="4"/>
      <c r="H75" s="4"/>
      <c r="I75" s="4"/>
      <c r="J75" s="4"/>
      <c r="K75" s="4"/>
      <c r="L75" s="4"/>
      <c r="M75" s="4"/>
    </row>
    <row r="78" spans="1:13" x14ac:dyDescent="0.25">
      <c r="B78">
        <v>20</v>
      </c>
      <c r="C78">
        <v>30</v>
      </c>
      <c r="D78">
        <v>20</v>
      </c>
      <c r="E78">
        <v>20</v>
      </c>
      <c r="F78">
        <v>20</v>
      </c>
      <c r="G78">
        <v>20</v>
      </c>
      <c r="H78">
        <v>15</v>
      </c>
      <c r="I78">
        <v>15</v>
      </c>
      <c r="J78">
        <v>10</v>
      </c>
      <c r="K78">
        <v>5</v>
      </c>
      <c r="L78">
        <v>5</v>
      </c>
    </row>
    <row r="79" spans="1:13" x14ac:dyDescent="0.25">
      <c r="B79" s="3">
        <v>60</v>
      </c>
      <c r="C79" s="3">
        <v>70</v>
      </c>
      <c r="D79" s="3">
        <v>80</v>
      </c>
      <c r="E79" s="3">
        <v>90</v>
      </c>
      <c r="F79" s="3">
        <v>100</v>
      </c>
      <c r="G79" s="3">
        <v>110</v>
      </c>
      <c r="H79" s="3">
        <v>120</v>
      </c>
      <c r="I79" s="3">
        <v>130</v>
      </c>
      <c r="J79" s="3">
        <v>140</v>
      </c>
      <c r="K79" s="3">
        <v>150</v>
      </c>
      <c r="L79" s="3">
        <v>160</v>
      </c>
      <c r="M79" s="3">
        <v>170</v>
      </c>
    </row>
    <row r="80" spans="1:13" x14ac:dyDescent="0.25">
      <c r="A80" s="2">
        <v>-5</v>
      </c>
      <c r="B80" s="4">
        <v>0.13279102082014674</v>
      </c>
      <c r="C80" s="4">
        <v>1.8425011327273137E-2</v>
      </c>
      <c r="D80" s="4">
        <v>0</v>
      </c>
      <c r="E80" s="4">
        <v>1.3363586540451973E-2</v>
      </c>
      <c r="F80" s="4">
        <v>2.3122432016895827E-2</v>
      </c>
      <c r="G80" s="4">
        <v>1.5412267479922198E-2</v>
      </c>
      <c r="H80" s="4">
        <v>0</v>
      </c>
      <c r="I80" s="4">
        <v>6.8186256335333126E-3</v>
      </c>
      <c r="J80" s="4">
        <v>1.8545758443648461E-2</v>
      </c>
      <c r="K80" s="4">
        <v>2.4099072279366682E-2</v>
      </c>
      <c r="L80" s="4">
        <v>0</v>
      </c>
      <c r="M80" s="4">
        <v>0</v>
      </c>
    </row>
    <row r="81" spans="1:13" x14ac:dyDescent="0.25">
      <c r="A81" s="2">
        <v>0</v>
      </c>
      <c r="B81" s="4">
        <v>0</v>
      </c>
      <c r="C81" s="4">
        <v>0</v>
      </c>
      <c r="D81" s="4">
        <v>6.4181603929443498E-2</v>
      </c>
      <c r="E81" s="4">
        <v>0</v>
      </c>
      <c r="F81" s="4">
        <v>0</v>
      </c>
      <c r="G81" s="4">
        <v>4.0626559512388347E-2</v>
      </c>
      <c r="H81" s="4">
        <v>7.7504946437065812E-3</v>
      </c>
      <c r="I81" s="4">
        <v>4.92604307894518E-3</v>
      </c>
      <c r="J81" s="4">
        <v>0</v>
      </c>
      <c r="K81" s="4">
        <v>0</v>
      </c>
      <c r="L81" s="4">
        <v>2.8582587652252554E-2</v>
      </c>
      <c r="M81" s="4">
        <v>2.9070103145781848E-2</v>
      </c>
    </row>
    <row r="82" spans="1:13" x14ac:dyDescent="0.25">
      <c r="A82" s="2">
        <v>5</v>
      </c>
      <c r="B82" s="4">
        <v>0.20831505696249708</v>
      </c>
      <c r="C82" s="4">
        <v>4.1912802306120787E-2</v>
      </c>
      <c r="D82" s="4">
        <v>4.7928091477384603E-2</v>
      </c>
      <c r="E82" s="4">
        <v>1.6323888860715691E-2</v>
      </c>
      <c r="F82" s="4">
        <v>2.2632805798273065E-2</v>
      </c>
      <c r="G82" s="4">
        <v>0</v>
      </c>
      <c r="H82" s="4">
        <v>2.3486621078660206E-2</v>
      </c>
      <c r="I82" s="4">
        <v>0</v>
      </c>
      <c r="J82" s="4">
        <v>2.6976192701327749E-2</v>
      </c>
      <c r="K82" s="4">
        <v>2.9619809919616446E-2</v>
      </c>
      <c r="L82" s="4">
        <v>2.2050974192032027E-2</v>
      </c>
      <c r="M82" s="4">
        <v>2.8645686101203591E-2</v>
      </c>
    </row>
    <row r="83" spans="1:13" x14ac:dyDescent="0.25">
      <c r="A83" s="2">
        <v>10</v>
      </c>
      <c r="B83" s="4">
        <v>0.19493787406693977</v>
      </c>
      <c r="C83" s="4">
        <v>2.0750899615952754E-2</v>
      </c>
      <c r="D83" s="4">
        <v>0.15262222950586471</v>
      </c>
      <c r="E83" s="4">
        <v>6.5238460359246644E-2</v>
      </c>
      <c r="F83" s="4">
        <v>5.5159405996174693E-2</v>
      </c>
      <c r="G83" s="4">
        <v>3.9856436718275781E-2</v>
      </c>
      <c r="H83" s="4">
        <v>6.8407961963949604E-2</v>
      </c>
      <c r="I83" s="4">
        <v>3.6199386334760927E-2</v>
      </c>
      <c r="J83" s="4">
        <v>6.4283919198370093E-2</v>
      </c>
      <c r="K83" s="4">
        <v>3.7712211118995274E-2</v>
      </c>
      <c r="L83" s="4">
        <v>6.6531807881677812E-2</v>
      </c>
      <c r="M83" s="4">
        <v>7.3559852675789766E-2</v>
      </c>
    </row>
    <row r="84" spans="1:13" x14ac:dyDescent="0.25">
      <c r="A84" s="2">
        <v>15</v>
      </c>
      <c r="B84" s="4">
        <v>0.18154111290008612</v>
      </c>
      <c r="C84" s="4">
        <v>2.0691022172966252E-2</v>
      </c>
      <c r="D84" s="4">
        <v>5.827531717941728E-2</v>
      </c>
      <c r="E84" s="4">
        <v>2.3336786360889074E-2</v>
      </c>
      <c r="F84" s="4">
        <v>4.7705864760574965E-2</v>
      </c>
      <c r="G84" s="4">
        <v>2.2100850838089457E-2</v>
      </c>
      <c r="H84" s="4">
        <v>4.9375087047780812E-2</v>
      </c>
      <c r="I84" s="4">
        <v>6.9494167010259733E-2</v>
      </c>
      <c r="J84" s="4">
        <v>6.4127454853031118E-2</v>
      </c>
      <c r="K84" s="4">
        <v>4.4756396522423678E-2</v>
      </c>
      <c r="L84" s="4">
        <v>6.0566722095194377E-2</v>
      </c>
      <c r="M84" s="4">
        <v>0.10088592754647574</v>
      </c>
    </row>
    <row r="85" spans="1:13" x14ac:dyDescent="0.25">
      <c r="A85" s="2">
        <v>20</v>
      </c>
      <c r="B85" s="4">
        <v>0.17260944367559192</v>
      </c>
      <c r="C85" s="4">
        <v>4.5810965443621794E-2</v>
      </c>
      <c r="D85" s="4">
        <v>0.12055572962032643</v>
      </c>
      <c r="E85" s="4">
        <v>5.5528940231438575E-2</v>
      </c>
      <c r="F85" s="4">
        <v>6.4734631778654864E-2</v>
      </c>
      <c r="G85" s="4">
        <v>4.4588250749500249E-2</v>
      </c>
      <c r="H85" s="4">
        <v>3.7022982055850431E-2</v>
      </c>
      <c r="I85" s="4">
        <v>6.9082519231238829E-2</v>
      </c>
      <c r="J85" s="4">
        <v>8.8155288876678034E-2</v>
      </c>
      <c r="K85" s="4">
        <v>0.10488255742752078</v>
      </c>
      <c r="L85" s="4">
        <v>9.7357699643195711E-2</v>
      </c>
      <c r="M85" s="4">
        <v>7.3552717388761554E-2</v>
      </c>
    </row>
    <row r="86" spans="1:13" x14ac:dyDescent="0.25">
      <c r="A86" s="2">
        <v>25</v>
      </c>
      <c r="B86" s="4">
        <v>0.12875644144721796</v>
      </c>
      <c r="C86" s="4">
        <v>7.0916716132061242E-2</v>
      </c>
      <c r="D86" s="4">
        <v>8.9128630804872072E-2</v>
      </c>
      <c r="E86" s="4">
        <v>9.4931296598227508E-2</v>
      </c>
      <c r="F86" s="4">
        <v>6.5115553479947297E-2</v>
      </c>
      <c r="G86" s="4">
        <v>4.4232476813891523E-2</v>
      </c>
      <c r="H86" s="4">
        <v>7.3854507714699924E-2</v>
      </c>
      <c r="I86" s="4">
        <v>7.4468002167377381E-2</v>
      </c>
      <c r="J86" s="4">
        <v>8.9519577362371497E-2</v>
      </c>
      <c r="K86" s="4">
        <v>6.8717339054082102E-2</v>
      </c>
      <c r="L86" s="4">
        <v>0.10194677347525602</v>
      </c>
      <c r="M86" s="4">
        <v>8.8983777271466349E-2</v>
      </c>
    </row>
    <row r="87" spans="1:13" x14ac:dyDescent="0.25">
      <c r="A87" s="2">
        <v>30</v>
      </c>
      <c r="B87" s="4">
        <v>0.17588368622286515</v>
      </c>
      <c r="C87" s="4">
        <v>3.6690255013713757E-2</v>
      </c>
      <c r="D87" s="4">
        <v>0.12370322546370897</v>
      </c>
      <c r="E87" s="4">
        <v>9.9694650526063647E-2</v>
      </c>
      <c r="F87" s="4">
        <v>8.0537235871288027E-2</v>
      </c>
      <c r="G87" s="4">
        <v>6.2122100524880812E-2</v>
      </c>
      <c r="H87" s="4">
        <v>8.1416185652604445E-2</v>
      </c>
      <c r="I87" s="4">
        <v>8.2519464491384545E-2</v>
      </c>
      <c r="J87" s="4">
        <v>9.296431014258702E-2</v>
      </c>
      <c r="K87" s="4">
        <v>7.4174388618422391E-2</v>
      </c>
      <c r="L87" s="4">
        <v>0.1210866032982988</v>
      </c>
      <c r="M87" s="4">
        <v>0.11763039474460962</v>
      </c>
    </row>
    <row r="88" spans="1:13" x14ac:dyDescent="0.25">
      <c r="A88" s="2">
        <v>35</v>
      </c>
      <c r="B88" s="4">
        <v>0.23156027623944156</v>
      </c>
      <c r="C88" s="4">
        <v>7.9269540580834977E-2</v>
      </c>
      <c r="D88" s="4">
        <v>0.1035470880254124</v>
      </c>
      <c r="E88" s="4">
        <v>0.14580062004259081</v>
      </c>
      <c r="F88" s="4">
        <v>9.5834025470234008E-2</v>
      </c>
      <c r="G88" s="4">
        <v>8.4585796097542576E-2</v>
      </c>
      <c r="H88" s="4">
        <v>0.14035459800586442</v>
      </c>
      <c r="I88" s="4">
        <v>0.10661508949665068</v>
      </c>
      <c r="J88" s="4">
        <v>0.12704991686108544</v>
      </c>
      <c r="K88" s="4">
        <v>0.1457291171276987</v>
      </c>
      <c r="L88" s="4">
        <v>0.12990238338418533</v>
      </c>
      <c r="M88" s="4">
        <v>0.13245344830984251</v>
      </c>
    </row>
    <row r="89" spans="1:13" x14ac:dyDescent="0.25">
      <c r="A89" s="2">
        <v>40</v>
      </c>
      <c r="B89" s="4">
        <v>0.10586070812434091</v>
      </c>
      <c r="C89" s="4">
        <v>0.11759742535427922</v>
      </c>
      <c r="D89" s="4">
        <v>9.6691157644458681E-2</v>
      </c>
      <c r="E89" s="4">
        <v>0.13004989039338305</v>
      </c>
      <c r="F89" s="4">
        <v>7.5643447384305021E-2</v>
      </c>
      <c r="G89" s="4">
        <v>6.3247899939070193E-2</v>
      </c>
      <c r="H89" s="4">
        <v>0.12102702819895308</v>
      </c>
      <c r="I89" s="4">
        <v>0.11803133906106308</v>
      </c>
      <c r="J89" s="4">
        <v>0.13854541572045354</v>
      </c>
      <c r="K89" s="4">
        <v>0.11530977514276279</v>
      </c>
      <c r="L89" s="4">
        <v>0.14226080385305626</v>
      </c>
      <c r="M89" s="4">
        <v>0.16769752757133144</v>
      </c>
    </row>
    <row r="90" spans="1:13" x14ac:dyDescent="0.25">
      <c r="A90" s="2">
        <v>45</v>
      </c>
      <c r="B90" s="4">
        <v>0.17018821098489095</v>
      </c>
      <c r="C90" s="4">
        <v>0.10346789582719855</v>
      </c>
      <c r="D90" s="4">
        <v>0.10394455749506755</v>
      </c>
      <c r="E90" s="4">
        <v>0.15172145001508333</v>
      </c>
      <c r="F90" s="4">
        <v>0.12282176817054534</v>
      </c>
      <c r="G90" s="4">
        <v>9.6674521473829336E-2</v>
      </c>
      <c r="H90" s="4">
        <v>0.1478659206607727</v>
      </c>
      <c r="I90" s="4">
        <v>0.15780195514309636</v>
      </c>
      <c r="J90" s="4">
        <v>0.17365825380636898</v>
      </c>
      <c r="K90" s="4">
        <v>0.15143882359012689</v>
      </c>
      <c r="L90" s="4">
        <v>0.19526048126050438</v>
      </c>
      <c r="M90" s="4">
        <v>0.20562941806833479</v>
      </c>
    </row>
    <row r="91" spans="1:13" x14ac:dyDescent="0.25">
      <c r="A91" s="2">
        <v>50</v>
      </c>
      <c r="B91" s="4">
        <v>0.16477251902427412</v>
      </c>
      <c r="C91" s="4">
        <v>7.1466643670328178E-2</v>
      </c>
      <c r="D91" s="4">
        <v>0.13479133963232684</v>
      </c>
      <c r="E91" s="4">
        <v>0.14806317876416736</v>
      </c>
      <c r="F91" s="4">
        <v>9.3590584726598258E-2</v>
      </c>
      <c r="G91" s="4">
        <v>0.12952451822663719</v>
      </c>
      <c r="H91" s="4">
        <v>0.12672969521297947</v>
      </c>
      <c r="I91" s="4">
        <v>0.13798381331855253</v>
      </c>
      <c r="J91" s="4">
        <v>0.16521897582603409</v>
      </c>
      <c r="K91" s="4">
        <v>0.19393231118057214</v>
      </c>
      <c r="L91" s="4">
        <v>0.22221283020784693</v>
      </c>
      <c r="M91" s="4">
        <v>0.22312244422037042</v>
      </c>
    </row>
    <row r="92" spans="1:13" x14ac:dyDescent="0.25">
      <c r="A92" s="2">
        <v>55</v>
      </c>
      <c r="B92" s="4">
        <v>0.17739644429606335</v>
      </c>
      <c r="C92" s="4">
        <v>0.14022360148091248</v>
      </c>
      <c r="D92" s="4">
        <v>0.19698513080519975</v>
      </c>
      <c r="E92" s="4">
        <v>0.14560600254978076</v>
      </c>
      <c r="F92" s="4">
        <v>0.14073420386207044</v>
      </c>
      <c r="G92" s="4">
        <v>0.15381478590575301</v>
      </c>
      <c r="H92" s="4">
        <v>0.19024513319027875</v>
      </c>
      <c r="I92" s="4">
        <v>0.1854833126296451</v>
      </c>
      <c r="J92" s="4">
        <v>0.21222114187956639</v>
      </c>
      <c r="K92" s="4">
        <v>0.21659490491715019</v>
      </c>
      <c r="L92" s="4">
        <v>0.22451008958047056</v>
      </c>
      <c r="M92" s="4">
        <v>0.27843769236376564</v>
      </c>
    </row>
    <row r="93" spans="1:13" x14ac:dyDescent="0.25">
      <c r="A93" s="2">
        <v>60</v>
      </c>
      <c r="B93" s="4">
        <v>0.25132205649836642</v>
      </c>
      <c r="C93" s="4">
        <v>0.2027644571726597</v>
      </c>
      <c r="D93" s="4">
        <v>0.2029700830622094</v>
      </c>
      <c r="E93" s="4">
        <v>0.19680023460352225</v>
      </c>
      <c r="F93" s="4">
        <v>0.1522299942237193</v>
      </c>
      <c r="G93" s="4">
        <v>0.13669609027517185</v>
      </c>
      <c r="H93" s="4">
        <v>0.19810752118591735</v>
      </c>
      <c r="I93" s="4">
        <v>0.1823014281978215</v>
      </c>
      <c r="J93" s="4">
        <v>0.21227697939300741</v>
      </c>
      <c r="K93" s="4">
        <v>0.22935290349281395</v>
      </c>
      <c r="L93" s="4">
        <v>0.25634100372351792</v>
      </c>
      <c r="M93" s="4">
        <v>0.30744009835825253</v>
      </c>
    </row>
    <row r="94" spans="1:13" x14ac:dyDescent="0.25">
      <c r="A94" s="2">
        <v>65</v>
      </c>
      <c r="B94" s="4">
        <v>0.28577936194633186</v>
      </c>
      <c r="C94" s="4">
        <v>0.14400784022459059</v>
      </c>
      <c r="D94" s="4">
        <v>0.22704124736041345</v>
      </c>
      <c r="E94" s="4">
        <v>0.245585985481962</v>
      </c>
      <c r="F94" s="4">
        <v>0.19242389748061248</v>
      </c>
      <c r="G94" s="4">
        <v>0.19336630870183799</v>
      </c>
      <c r="H94" s="4">
        <v>0.1847858830519149</v>
      </c>
      <c r="I94" s="4">
        <v>0.23997445801381959</v>
      </c>
      <c r="J94" s="4">
        <v>0.27428550241399857</v>
      </c>
      <c r="K94" s="4">
        <v>0.28247201977162212</v>
      </c>
      <c r="L94" s="4">
        <v>0.30243256413447001</v>
      </c>
      <c r="M94" s="4">
        <v>0.31656907458393485</v>
      </c>
    </row>
    <row r="95" spans="1:13" x14ac:dyDescent="0.25">
      <c r="A95" s="2">
        <v>70</v>
      </c>
      <c r="B95" s="4">
        <v>0.33368978436831992</v>
      </c>
      <c r="C95" s="4">
        <v>0.20576754673414824</v>
      </c>
      <c r="D95" s="4">
        <v>0.21748700348538608</v>
      </c>
      <c r="E95" s="4">
        <v>0.24507679098441176</v>
      </c>
      <c r="F95" s="4">
        <v>0.21732871364383774</v>
      </c>
      <c r="G95" s="4">
        <v>0.23299355398572086</v>
      </c>
      <c r="H95" s="4">
        <v>0.24314647502353798</v>
      </c>
      <c r="I95" s="4">
        <v>0.24271448230776463</v>
      </c>
      <c r="J95" s="4">
        <v>0.28180008369874798</v>
      </c>
      <c r="K95" s="4">
        <v>0.3210855208780416</v>
      </c>
      <c r="L95" s="4">
        <v>0.33072392333793549</v>
      </c>
      <c r="M95" s="4">
        <v>0.36720955563500135</v>
      </c>
    </row>
    <row r="96" spans="1:13" x14ac:dyDescent="0.25">
      <c r="A96" s="2">
        <v>75</v>
      </c>
      <c r="B96" s="4">
        <v>0.23982941854958198</v>
      </c>
      <c r="C96" s="4">
        <v>0.18900881998330657</v>
      </c>
      <c r="D96" s="4">
        <v>0.25121006177006905</v>
      </c>
      <c r="E96" s="4">
        <v>0.28814128467764649</v>
      </c>
      <c r="F96" s="4">
        <v>0.24030831217184012</v>
      </c>
      <c r="G96" s="4">
        <v>0.27398997759895943</v>
      </c>
      <c r="H96" s="4">
        <v>0.28001265656917435</v>
      </c>
      <c r="I96" s="4">
        <v>0.29157110803515313</v>
      </c>
      <c r="J96" s="4">
        <v>0.34461513330854887</v>
      </c>
      <c r="K96" s="4">
        <v>0.34059589145453334</v>
      </c>
      <c r="L96" s="4">
        <v>0.36715143100327091</v>
      </c>
      <c r="M96" s="4">
        <v>0.42068078133381553</v>
      </c>
    </row>
    <row r="97" spans="1:13" x14ac:dyDescent="0.25">
      <c r="A97" s="2">
        <v>80</v>
      </c>
      <c r="B97" s="4">
        <v>0.36749298437308858</v>
      </c>
      <c r="C97" s="4">
        <v>0.23254379823357973</v>
      </c>
      <c r="D97" s="4">
        <v>0.32524367812480054</v>
      </c>
      <c r="E97" s="4">
        <v>0.31711405860379577</v>
      </c>
      <c r="F97" s="4">
        <v>0.2867247106694194</v>
      </c>
      <c r="G97" s="4">
        <v>0.29718439201436536</v>
      </c>
      <c r="H97" s="4">
        <v>0.34267203944488528</v>
      </c>
      <c r="I97" s="4">
        <v>0.36579872712395978</v>
      </c>
      <c r="J97" s="4">
        <v>0.37186858340510004</v>
      </c>
      <c r="K97" s="4">
        <v>0.42864659264468596</v>
      </c>
      <c r="L97" s="4">
        <v>0.44953929935174158</v>
      </c>
      <c r="M97" s="4">
        <v>0.47932747104156037</v>
      </c>
    </row>
    <row r="98" spans="1:13" x14ac:dyDescent="0.25">
      <c r="A98" s="2">
        <v>85</v>
      </c>
      <c r="B98" s="4">
        <v>0.39008017816806217</v>
      </c>
      <c r="C98" s="4">
        <v>0.29250411915112645</v>
      </c>
      <c r="D98" s="4">
        <v>0.40304111239960511</v>
      </c>
      <c r="E98" s="4">
        <v>0.27242449579242156</v>
      </c>
      <c r="F98" s="4">
        <v>0.32809296570948937</v>
      </c>
      <c r="G98" s="4">
        <v>0.33244019125031377</v>
      </c>
      <c r="H98" s="4">
        <v>0.36914550804803425</v>
      </c>
      <c r="I98" s="4">
        <v>0.35384264298730689</v>
      </c>
      <c r="J98" s="4">
        <v>0.39468275285108956</v>
      </c>
      <c r="K98" s="4">
        <v>0.4011314251898222</v>
      </c>
      <c r="L98" s="4">
        <v>0.43116326812965688</v>
      </c>
      <c r="M98" s="4">
        <v>0.48754219492890172</v>
      </c>
    </row>
    <row r="99" spans="1:13" x14ac:dyDescent="0.25">
      <c r="A99" s="2">
        <v>90</v>
      </c>
      <c r="B99" s="4">
        <v>0.37763907418291026</v>
      </c>
      <c r="C99" s="4">
        <v>0.28833803410997499</v>
      </c>
      <c r="D99" s="4">
        <v>0.36665214418224656</v>
      </c>
      <c r="E99" s="4">
        <v>0.31352235680882179</v>
      </c>
      <c r="F99" s="4">
        <v>0.29225239598577685</v>
      </c>
      <c r="G99" s="4">
        <v>0.35319207586659962</v>
      </c>
      <c r="H99" s="4">
        <v>0.41568944200575658</v>
      </c>
      <c r="I99" s="4">
        <v>0.40569752018759603</v>
      </c>
      <c r="J99" s="4">
        <v>0.43433224226287492</v>
      </c>
      <c r="K99" s="4">
        <v>0.46960799427114469</v>
      </c>
      <c r="L99" s="4">
        <v>0.50593032744761535</v>
      </c>
      <c r="M99" s="4">
        <v>0.56688860946940767</v>
      </c>
    </row>
    <row r="100" spans="1:13" x14ac:dyDescent="0.25">
      <c r="A100" s="2">
        <v>95</v>
      </c>
      <c r="B100" s="4">
        <v>0.34051767241073372</v>
      </c>
      <c r="C100" s="4">
        <v>0.28289190345717641</v>
      </c>
      <c r="D100" s="4">
        <v>0.44027421798581307</v>
      </c>
      <c r="E100" s="4">
        <v>0.40361343938970146</v>
      </c>
      <c r="F100" s="4">
        <v>0.38655707466237904</v>
      </c>
      <c r="G100" s="4">
        <v>0.36097479697287177</v>
      </c>
      <c r="H100" s="4">
        <v>0.44956344098758066</v>
      </c>
      <c r="I100" s="4">
        <v>0.44247698835724003</v>
      </c>
      <c r="J100" s="4">
        <v>0.49064362807219292</v>
      </c>
      <c r="K100" s="4">
        <v>0.50919286154189136</v>
      </c>
      <c r="L100" s="4">
        <v>0.52770872340123431</v>
      </c>
      <c r="M100" s="4">
        <v>0.55577987432293874</v>
      </c>
    </row>
    <row r="101" spans="1:13" x14ac:dyDescent="0.25">
      <c r="A101" s="2">
        <v>100</v>
      </c>
      <c r="B101" s="4">
        <v>0.57032781608146399</v>
      </c>
      <c r="C101" s="4">
        <v>0.3235370006603997</v>
      </c>
      <c r="D101" s="4">
        <v>0.49928551891316719</v>
      </c>
      <c r="E101" s="4">
        <v>0.40068629498587632</v>
      </c>
      <c r="F101" s="4">
        <v>0.45963264923701624</v>
      </c>
      <c r="G101" s="4">
        <v>0.45395777374580309</v>
      </c>
      <c r="H101" s="4">
        <v>0.49148566987487491</v>
      </c>
      <c r="I101" s="4">
        <v>0.5081310588613156</v>
      </c>
      <c r="J101" s="4">
        <v>0.56385977826075273</v>
      </c>
      <c r="K101" s="4">
        <v>0.56135754248868197</v>
      </c>
      <c r="L101" s="4">
        <v>0.56261716586000954</v>
      </c>
      <c r="M101" s="4">
        <v>0.63868443946420073</v>
      </c>
    </row>
    <row r="102" spans="1:13" x14ac:dyDescent="0.25">
      <c r="A102" s="2">
        <v>105</v>
      </c>
      <c r="B102" s="4">
        <v>0.58656097378967542</v>
      </c>
      <c r="C102" s="4">
        <v>0.4072971017651062</v>
      </c>
      <c r="D102" s="4">
        <v>0.54151315927786781</v>
      </c>
      <c r="E102" s="4">
        <v>0.44506195895309963</v>
      </c>
      <c r="F102" s="4">
        <v>0.5059359354414914</v>
      </c>
      <c r="G102" s="4">
        <v>0.49330057573964697</v>
      </c>
      <c r="H102" s="4">
        <v>0.51959968554244262</v>
      </c>
      <c r="I102" s="4">
        <v>0.55500573134730447</v>
      </c>
      <c r="J102" s="4">
        <v>0.55087054069939312</v>
      </c>
      <c r="K102" s="4">
        <v>0.62563063390982643</v>
      </c>
      <c r="L102" s="4">
        <v>0.68339491897493443</v>
      </c>
      <c r="M102" s="4">
        <v>0.65926620980073269</v>
      </c>
    </row>
    <row r="103" spans="1:13" x14ac:dyDescent="0.25">
      <c r="A103" s="2">
        <v>110</v>
      </c>
      <c r="B103" s="4">
        <v>0.45956735426899642</v>
      </c>
      <c r="C103" s="4">
        <v>0.42411570643727892</v>
      </c>
      <c r="D103" s="4">
        <v>0.52898528162788827</v>
      </c>
      <c r="E103" s="4">
        <v>0.46051074876265841</v>
      </c>
      <c r="F103" s="4">
        <v>0.49403868086663133</v>
      </c>
      <c r="G103" s="4">
        <v>0.53300837148111724</v>
      </c>
      <c r="H103" s="4">
        <v>0.56198763028515719</v>
      </c>
      <c r="I103" s="4">
        <v>0.56837698412993631</v>
      </c>
      <c r="J103" s="4">
        <v>0.5982840197066408</v>
      </c>
      <c r="K103" s="4">
        <v>0.67635076704702324</v>
      </c>
      <c r="L103" s="4">
        <v>0.70173730096224518</v>
      </c>
      <c r="M103" s="4">
        <v>0.70622245867858668</v>
      </c>
    </row>
    <row r="104" spans="1:13" x14ac:dyDescent="0.25">
      <c r="A104" s="2">
        <v>115</v>
      </c>
      <c r="B104" s="4">
        <v>0.43821740798851261</v>
      </c>
      <c r="C104" s="4">
        <v>0.42836852932736763</v>
      </c>
      <c r="D104" s="4">
        <v>0.58944051021737165</v>
      </c>
      <c r="E104" s="4">
        <v>0.47013276742775195</v>
      </c>
      <c r="F104" s="4">
        <v>0.59552476420929867</v>
      </c>
      <c r="G104" s="4">
        <v>0.55512141041304297</v>
      </c>
      <c r="H104" s="4">
        <v>0.62178850749957204</v>
      </c>
      <c r="I104" s="4">
        <v>0.60977793012119508</v>
      </c>
      <c r="J104" s="4">
        <v>0.65828529751100573</v>
      </c>
      <c r="K104" s="4">
        <v>0.72152562094927497</v>
      </c>
      <c r="L104" s="4">
        <v>0.6826631757404974</v>
      </c>
      <c r="M104" s="4">
        <v>0.73610900343479779</v>
      </c>
    </row>
    <row r="105" spans="1:13" x14ac:dyDescent="0.25">
      <c r="A105" s="2">
        <v>120</v>
      </c>
      <c r="B105" s="4">
        <v>0.52491167573464259</v>
      </c>
      <c r="C105" s="4">
        <v>0.46698310928898168</v>
      </c>
      <c r="D105" s="4">
        <v>0.58579721250055128</v>
      </c>
      <c r="E105" s="4">
        <v>0.53905380630014477</v>
      </c>
      <c r="F105" s="4">
        <v>0.58357076417654075</v>
      </c>
      <c r="G105" s="4">
        <v>0.54585735161731375</v>
      </c>
      <c r="H105" s="4">
        <v>0.69589264488936176</v>
      </c>
      <c r="I105" s="4">
        <v>0.66844179466473741</v>
      </c>
      <c r="J105" s="4">
        <v>0.62990700827657586</v>
      </c>
      <c r="K105" s="4">
        <v>0.6553623303099767</v>
      </c>
      <c r="L105" s="4">
        <v>0.70906006785743403</v>
      </c>
      <c r="M105" s="4">
        <v>0.77370785294438793</v>
      </c>
    </row>
    <row r="106" spans="1:13" x14ac:dyDescent="0.25">
      <c r="A106" s="2">
        <v>125</v>
      </c>
      <c r="B106" s="4">
        <v>0.66996250539584634</v>
      </c>
      <c r="C106" s="4">
        <v>0.53153025425748968</v>
      </c>
      <c r="D106" s="4">
        <v>0.59547170014836892</v>
      </c>
      <c r="E106" s="4">
        <v>0.63573934404924259</v>
      </c>
      <c r="F106" s="4">
        <v>0.6129808406044881</v>
      </c>
      <c r="G106" s="4">
        <v>0.6208942540657223</v>
      </c>
      <c r="H106" s="4">
        <v>0.64905453520203593</v>
      </c>
      <c r="I106" s="4">
        <v>0.71761093688996413</v>
      </c>
      <c r="J106" s="4">
        <v>0.72083578843392249</v>
      </c>
      <c r="K106" s="4">
        <v>0.79732353938000955</v>
      </c>
      <c r="L106" s="4">
        <v>0.78455050071740162</v>
      </c>
      <c r="M106" s="4">
        <v>0.82472838627867517</v>
      </c>
    </row>
    <row r="107" spans="1:13" x14ac:dyDescent="0.25">
      <c r="A107" s="2">
        <v>130</v>
      </c>
      <c r="B107" s="4">
        <v>0.58700876689595938</v>
      </c>
      <c r="C107" s="4">
        <v>0.56795558007275504</v>
      </c>
      <c r="D107" s="4">
        <v>0.60781873365220818</v>
      </c>
      <c r="E107" s="4">
        <v>0.64383516931361207</v>
      </c>
      <c r="F107" s="4">
        <v>0.64591771870355186</v>
      </c>
      <c r="G107" s="4">
        <v>0.661205822580057</v>
      </c>
      <c r="H107" s="4">
        <v>0.69144119417831928</v>
      </c>
      <c r="I107" s="4">
        <v>0.69341203876646107</v>
      </c>
      <c r="J107" s="4">
        <v>0.6955706393650557</v>
      </c>
      <c r="K107" s="4">
        <v>0.79376422362462462</v>
      </c>
      <c r="L107" s="4">
        <v>0.75109389185486208</v>
      </c>
      <c r="M107" s="4">
        <v>0.88565117670494864</v>
      </c>
    </row>
    <row r="108" spans="1:13" x14ac:dyDescent="0.25">
      <c r="A108" s="2">
        <v>135</v>
      </c>
      <c r="B108" s="4">
        <v>0.55095956954485326</v>
      </c>
      <c r="C108" s="4">
        <v>0.5179504392323544</v>
      </c>
      <c r="D108" s="4">
        <v>0.64629342800659939</v>
      </c>
      <c r="E108" s="4">
        <v>0.61866818891954367</v>
      </c>
      <c r="F108" s="4">
        <v>0.69167271622494486</v>
      </c>
      <c r="G108" s="4">
        <v>0.73270837287553137</v>
      </c>
      <c r="H108" s="4">
        <v>0.70347699693016408</v>
      </c>
      <c r="I108" s="4">
        <v>0.79680945844218953</v>
      </c>
      <c r="J108" s="4">
        <v>0.74187581213225862</v>
      </c>
      <c r="K108" s="4">
        <v>0.77558022934781157</v>
      </c>
      <c r="L108" s="4">
        <v>0.82351856742217799</v>
      </c>
      <c r="M108" s="4">
        <v>0.85710985702682707</v>
      </c>
    </row>
    <row r="109" spans="1:13" x14ac:dyDescent="0.25">
      <c r="A109" s="2">
        <v>140</v>
      </c>
      <c r="B109" s="4">
        <v>0.79619043064487804</v>
      </c>
      <c r="C109" s="4">
        <v>0.62183079646067219</v>
      </c>
      <c r="D109" s="4">
        <v>0.66057004094095739</v>
      </c>
      <c r="E109" s="4">
        <v>0.66542817291449874</v>
      </c>
      <c r="F109" s="4">
        <v>0.80165173345187291</v>
      </c>
      <c r="G109" s="4">
        <v>0.6779402454996496</v>
      </c>
      <c r="H109" s="4">
        <v>0.80874840749523713</v>
      </c>
      <c r="I109" s="4">
        <v>0.79884560095645796</v>
      </c>
      <c r="J109" s="4">
        <v>0.78557001113167169</v>
      </c>
      <c r="K109" s="4">
        <v>0.85481223794828798</v>
      </c>
      <c r="L109" s="4">
        <v>0.808008710204974</v>
      </c>
      <c r="M109" s="4">
        <v>0.83813032628555395</v>
      </c>
    </row>
    <row r="110" spans="1:13" x14ac:dyDescent="0.25">
      <c r="A110" s="2">
        <v>145</v>
      </c>
      <c r="B110" s="4">
        <v>0.64113949623682653</v>
      </c>
      <c r="C110" s="4">
        <v>0.56698771207076459</v>
      </c>
      <c r="D110" s="4">
        <v>0.73639592623553374</v>
      </c>
      <c r="E110" s="4">
        <v>0.62659838683408398</v>
      </c>
      <c r="F110" s="4">
        <v>0.85410444532485974</v>
      </c>
      <c r="G110" s="4">
        <v>0.80451698106220793</v>
      </c>
      <c r="H110" s="4">
        <v>0.82634900927970756</v>
      </c>
      <c r="I110" s="4">
        <v>0.73570332165206809</v>
      </c>
      <c r="J110" s="4">
        <v>0.8162994689573263</v>
      </c>
      <c r="K110" s="4">
        <v>0.84264939349923496</v>
      </c>
      <c r="L110" s="4">
        <v>0.83229425725701633</v>
      </c>
      <c r="M110" s="4">
        <v>0.87772551750519689</v>
      </c>
    </row>
    <row r="111" spans="1:13" x14ac:dyDescent="0.25">
      <c r="A111" s="2">
        <v>150</v>
      </c>
      <c r="B111" s="4">
        <v>0.63287994381463775</v>
      </c>
      <c r="C111" s="4">
        <v>0.66063313144070002</v>
      </c>
      <c r="D111" s="4">
        <v>0.86849192719310664</v>
      </c>
      <c r="E111" s="4">
        <v>0.71352476108384022</v>
      </c>
      <c r="F111" s="4">
        <v>0.85153627247212149</v>
      </c>
      <c r="G111" s="4">
        <v>0.8275963980334371</v>
      </c>
      <c r="H111" s="4">
        <v>0.80978779768309905</v>
      </c>
      <c r="I111" s="4">
        <v>0.8499967560195808</v>
      </c>
      <c r="J111" s="4">
        <v>0.81606025005867189</v>
      </c>
      <c r="K111" s="4">
        <v>0.90463977102977056</v>
      </c>
      <c r="L111" s="4">
        <v>0.92078513605091761</v>
      </c>
      <c r="M111" s="4">
        <v>0.90226853688140729</v>
      </c>
    </row>
    <row r="112" spans="1:13" x14ac:dyDescent="0.25">
      <c r="A112" s="2">
        <v>155</v>
      </c>
      <c r="B112" s="4">
        <v>0.81755530541800492</v>
      </c>
      <c r="C112" s="4">
        <v>0.56639980015430802</v>
      </c>
      <c r="D112" s="4">
        <v>0.85877855166312078</v>
      </c>
      <c r="E112" s="4">
        <v>0.65107862627469759</v>
      </c>
      <c r="F112" s="4">
        <v>0.7882020073851419</v>
      </c>
      <c r="G112" s="4">
        <v>0.73134592549923072</v>
      </c>
      <c r="H112" s="4">
        <v>0.85759086651073446</v>
      </c>
      <c r="I112" s="4">
        <v>0.83329218419509021</v>
      </c>
      <c r="J112" s="4">
        <v>0.84293199218767467</v>
      </c>
      <c r="K112" s="4">
        <v>0.87008501286151774</v>
      </c>
      <c r="L112" s="4">
        <v>0.89049726782747352</v>
      </c>
      <c r="M112" s="4">
        <v>0.89956188108667468</v>
      </c>
    </row>
    <row r="113" spans="1:13" x14ac:dyDescent="0.25">
      <c r="A113" s="2">
        <v>160</v>
      </c>
      <c r="B113" s="4">
        <v>0.78310147081366088</v>
      </c>
      <c r="C113" s="4">
        <v>0.71086738887476542</v>
      </c>
      <c r="D113" s="4">
        <v>0.85950367409541195</v>
      </c>
      <c r="E113" s="4">
        <v>0.88559312022336945</v>
      </c>
      <c r="F113" s="4">
        <v>0.87673063304487941</v>
      </c>
      <c r="G113" s="4">
        <v>0.9204101848520192</v>
      </c>
      <c r="H113" s="4">
        <v>0.86699859087156961</v>
      </c>
      <c r="I113" s="4">
        <v>0.87283798578235727</v>
      </c>
      <c r="J113" s="4">
        <v>0.85843876406752262</v>
      </c>
      <c r="K113" s="4">
        <v>0.90829947084121998</v>
      </c>
      <c r="L113" s="4">
        <v>0.93288629864933115</v>
      </c>
      <c r="M113" s="4">
        <v>0.84678840950002554</v>
      </c>
    </row>
    <row r="114" spans="1:13" x14ac:dyDescent="0.25">
      <c r="A114" s="2">
        <v>165</v>
      </c>
      <c r="B114" s="4">
        <v>0.91416342459390765</v>
      </c>
      <c r="C114" s="4">
        <v>0.70898563903360778</v>
      </c>
      <c r="D114" s="4">
        <v>0.87457903228345635</v>
      </c>
      <c r="E114" s="4">
        <v>0.76145062024793808</v>
      </c>
      <c r="F114" s="4">
        <v>0.92838667595663193</v>
      </c>
      <c r="G114" s="4">
        <v>0.83466968868801383</v>
      </c>
      <c r="H114" s="4">
        <v>0.89941618272696655</v>
      </c>
      <c r="I114" s="4">
        <v>0.89701773601575752</v>
      </c>
      <c r="J114" s="4">
        <v>0.88874798332956562</v>
      </c>
      <c r="K114" s="4">
        <v>1</v>
      </c>
      <c r="L114" s="4">
        <v>0.84302353349752923</v>
      </c>
      <c r="M114" s="4">
        <v>0.96547666217471095</v>
      </c>
    </row>
    <row r="115" spans="1:13" x14ac:dyDescent="0.25">
      <c r="A115" s="2">
        <v>170</v>
      </c>
      <c r="B115" s="4">
        <v>0.45317407014428923</v>
      </c>
      <c r="C115" s="4">
        <v>0.74128881157558246</v>
      </c>
      <c r="D115" s="4">
        <v>0.83038714623945931</v>
      </c>
      <c r="E115" s="4">
        <v>0.81567187630620797</v>
      </c>
      <c r="F115" s="4">
        <v>0.78530655776593683</v>
      </c>
      <c r="G115" s="4">
        <v>0.87954470145679087</v>
      </c>
      <c r="H115" s="4">
        <v>0.86638037495381059</v>
      </c>
      <c r="I115" s="4">
        <v>0.699844306348263</v>
      </c>
      <c r="J115" s="4">
        <v>0.83239132624137646</v>
      </c>
      <c r="K115" s="4">
        <v>0.94382635183791452</v>
      </c>
      <c r="L115" s="4">
        <v>0.89175756783672455</v>
      </c>
      <c r="M115" s="4">
        <v>0.81336047713028137</v>
      </c>
    </row>
    <row r="116" spans="1:13" x14ac:dyDescent="0.25">
      <c r="A116" s="2">
        <v>175</v>
      </c>
      <c r="B116" s="4">
        <v>0.78089685977997336</v>
      </c>
      <c r="C116" s="4">
        <v>0.70163862124332377</v>
      </c>
      <c r="D116" s="4">
        <v>1</v>
      </c>
      <c r="E116" s="4">
        <v>0.88828902795280762</v>
      </c>
      <c r="F116" s="4">
        <v>0.89570695130096256</v>
      </c>
      <c r="G116" s="4">
        <v>0.98164126676540187</v>
      </c>
      <c r="H116" s="4">
        <v>0.85001978257834399</v>
      </c>
      <c r="I116" s="4">
        <v>0.94643396577883732</v>
      </c>
      <c r="J116" s="4">
        <v>1</v>
      </c>
      <c r="K116" s="4">
        <v>0.8926781691939818</v>
      </c>
      <c r="L116" s="4">
        <v>0.89904236857843445</v>
      </c>
      <c r="M116" s="4">
        <v>0.96278221339685166</v>
      </c>
    </row>
    <row r="117" spans="1:13" x14ac:dyDescent="0.25">
      <c r="A117" s="2">
        <v>180</v>
      </c>
      <c r="B117" s="4">
        <v>0.82946262251611536</v>
      </c>
      <c r="C117" s="4">
        <v>0.80204376992689552</v>
      </c>
      <c r="D117" s="4">
        <v>0.87735221010692166</v>
      </c>
      <c r="E117" s="4">
        <v>1</v>
      </c>
      <c r="F117" s="4">
        <v>0.8584918549798416</v>
      </c>
      <c r="G117" s="4">
        <v>0.99537811535098342</v>
      </c>
      <c r="H117" s="4">
        <v>0.7303004627113423</v>
      </c>
      <c r="I117" s="4">
        <v>0.98882775579930093</v>
      </c>
      <c r="J117" s="4">
        <v>0.90530631475594503</v>
      </c>
      <c r="K117" s="4">
        <v>0.85993702007397954</v>
      </c>
      <c r="L117" s="4">
        <v>1</v>
      </c>
      <c r="M117" s="4">
        <v>0.93717231377813703</v>
      </c>
    </row>
    <row r="118" spans="1:13" x14ac:dyDescent="0.25">
      <c r="A118" s="2">
        <v>185</v>
      </c>
      <c r="B118" s="4">
        <v>1</v>
      </c>
      <c r="C118" s="4">
        <v>1</v>
      </c>
      <c r="D118" s="4">
        <v>0.99827953490291943</v>
      </c>
      <c r="E118" s="4">
        <v>0.8147333182531441</v>
      </c>
      <c r="F118" s="4">
        <v>1</v>
      </c>
      <c r="G118" s="4">
        <v>0.87442751157582665</v>
      </c>
      <c r="H118" s="4">
        <v>1</v>
      </c>
      <c r="I118" s="4">
        <v>1</v>
      </c>
      <c r="J118" s="4">
        <v>0.85049397966348894</v>
      </c>
      <c r="K118" s="4">
        <v>0.93712783815373046</v>
      </c>
      <c r="L118" s="4">
        <v>0.98176730211810348</v>
      </c>
      <c r="M118" s="4">
        <v>1</v>
      </c>
    </row>
    <row r="119" spans="1:13" x14ac:dyDescent="0.25">
      <c r="A119" s="2">
        <v>190</v>
      </c>
      <c r="B119" s="4">
        <v>0.71336692892746889</v>
      </c>
      <c r="C119" s="4">
        <v>0.59916695850514845</v>
      </c>
      <c r="D119" s="4">
        <v>0.77765733872813358</v>
      </c>
      <c r="E119" s="4">
        <v>0.75350942088397643</v>
      </c>
      <c r="F119" s="4">
        <v>0.96855475514374489</v>
      </c>
      <c r="G119" s="4">
        <v>1</v>
      </c>
      <c r="H119" s="4">
        <v>0.84998669560624773</v>
      </c>
      <c r="I119" s="4">
        <v>0.9134417358882273</v>
      </c>
      <c r="J119" s="4">
        <v>0.78904676763766612</v>
      </c>
      <c r="K119" s="4">
        <v>0.92563690525209219</v>
      </c>
      <c r="L119" s="4">
        <v>0.9578551051897839</v>
      </c>
      <c r="M119" s="4">
        <v>0.84230486116810199</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56"/>
  <sheetViews>
    <sheetView zoomScale="85" zoomScaleNormal="85" workbookViewId="0">
      <selection activeCell="A2" sqref="A2:A44"/>
    </sheetView>
  </sheetViews>
  <sheetFormatPr defaultRowHeight="15" x14ac:dyDescent="0.25"/>
  <sheetData>
    <row r="1" spans="1:20" x14ac:dyDescent="0.25">
      <c r="A1" s="3" t="s">
        <v>21</v>
      </c>
      <c r="B1" s="3">
        <v>10</v>
      </c>
      <c r="C1" s="3">
        <v>20</v>
      </c>
      <c r="D1" s="3">
        <v>30</v>
      </c>
      <c r="E1" s="3">
        <v>40</v>
      </c>
      <c r="F1" s="3">
        <v>50</v>
      </c>
      <c r="G1" s="3">
        <v>60</v>
      </c>
      <c r="H1" s="3">
        <v>70</v>
      </c>
      <c r="I1" s="3">
        <v>80</v>
      </c>
      <c r="J1" s="3">
        <v>90</v>
      </c>
      <c r="K1" s="3">
        <v>100</v>
      </c>
      <c r="L1" s="3">
        <v>110</v>
      </c>
      <c r="M1" s="3">
        <v>120</v>
      </c>
      <c r="N1" s="3">
        <v>130</v>
      </c>
      <c r="O1" s="3">
        <v>140</v>
      </c>
      <c r="P1" s="3">
        <v>150</v>
      </c>
      <c r="Q1" s="3">
        <v>160</v>
      </c>
      <c r="R1" s="3">
        <v>170</v>
      </c>
      <c r="S1" s="3">
        <v>175</v>
      </c>
      <c r="T1" s="3">
        <v>180</v>
      </c>
    </row>
    <row r="2" spans="1:20" x14ac:dyDescent="0.25">
      <c r="A2" s="2">
        <v>-25</v>
      </c>
      <c r="B2" s="4">
        <v>90.0457927430963</v>
      </c>
      <c r="C2" s="4">
        <v>64.079831000110104</v>
      </c>
      <c r="D2" s="4">
        <v>31.707892399826299</v>
      </c>
      <c r="E2" s="4">
        <v>15.1334643128639</v>
      </c>
      <c r="F2" s="4">
        <v>9.9030299739426901</v>
      </c>
      <c r="G2" s="4">
        <v>8.0795177965137697</v>
      </c>
      <c r="H2" s="4">
        <v>7.2213767221873697</v>
      </c>
      <c r="I2" s="4">
        <v>6.72535845610353</v>
      </c>
      <c r="J2" s="4">
        <v>6.7273956075274697</v>
      </c>
      <c r="K2" s="4">
        <v>6.1983349838056201</v>
      </c>
      <c r="L2" s="4">
        <v>6.1508329061516198</v>
      </c>
      <c r="M2" s="4">
        <v>6.01864874982068</v>
      </c>
      <c r="N2" s="4">
        <v>5.9980416489125297</v>
      </c>
      <c r="O2" s="4">
        <v>5.7248006393287199</v>
      </c>
      <c r="P2" s="4">
        <v>5.9784956938347698</v>
      </c>
      <c r="Q2" s="4">
        <v>5.7883430595130001</v>
      </c>
      <c r="R2" s="4">
        <v>5.6367430894106301</v>
      </c>
      <c r="S2" s="4">
        <v>5.19217176394248</v>
      </c>
      <c r="T2" s="4">
        <v>5.6628410937374802</v>
      </c>
    </row>
    <row r="3" spans="1:20" x14ac:dyDescent="0.25">
      <c r="A3" s="2">
        <v>-15</v>
      </c>
      <c r="B3" s="4">
        <v>91.623070157209398</v>
      </c>
      <c r="C3" s="4">
        <v>69.6790185612344</v>
      </c>
      <c r="D3" s="4">
        <v>36.899575952459699</v>
      </c>
      <c r="E3" s="4">
        <v>17.3834969015764</v>
      </c>
      <c r="F3" s="4">
        <v>11.124303608328701</v>
      </c>
      <c r="G3" s="4">
        <v>8.6805861008429108</v>
      </c>
      <c r="H3" s="4">
        <v>7.60798429900803</v>
      </c>
      <c r="I3" s="4">
        <v>7.4805430498898504</v>
      </c>
      <c r="J3" s="4">
        <v>7.8620456580270099</v>
      </c>
      <c r="K3" s="4">
        <v>7.3503909716776299</v>
      </c>
      <c r="L3" s="4">
        <v>6.8318579596419999</v>
      </c>
      <c r="M3" s="4">
        <v>7.1470810689910804</v>
      </c>
      <c r="N3" s="4">
        <v>7.3289776070984702</v>
      </c>
      <c r="O3" s="4">
        <v>6.6226249984795</v>
      </c>
      <c r="P3" s="4">
        <v>7.2582676732149096</v>
      </c>
      <c r="Q3" s="4">
        <v>7.0620182999663896</v>
      </c>
      <c r="R3" s="4">
        <v>7.39347190011385</v>
      </c>
      <c r="S3" s="4">
        <v>6.7336126395825397</v>
      </c>
      <c r="T3" s="4">
        <v>7.1324311004802903</v>
      </c>
    </row>
    <row r="4" spans="1:20" x14ac:dyDescent="0.25">
      <c r="A4" s="2">
        <v>-10</v>
      </c>
      <c r="B4" s="4">
        <v>89.638896757730805</v>
      </c>
      <c r="C4" s="4">
        <v>67.895422309068806</v>
      </c>
      <c r="D4" s="4">
        <v>36.963245172748501</v>
      </c>
      <c r="E4" s="4">
        <v>18.038157211591699</v>
      </c>
      <c r="F4" s="4">
        <v>12.094217696445799</v>
      </c>
      <c r="G4" s="4">
        <v>9.3857577878501903</v>
      </c>
      <c r="H4" s="4">
        <v>8.5316426375462697</v>
      </c>
      <c r="I4" s="4">
        <v>8.3592662988301996</v>
      </c>
      <c r="J4" s="4">
        <v>7.7915826465785702</v>
      </c>
      <c r="K4" s="4">
        <v>7.4585722426706198</v>
      </c>
      <c r="L4" s="4">
        <v>7.1811731727842902</v>
      </c>
      <c r="M4" s="4">
        <v>7.3643048870210599</v>
      </c>
      <c r="N4" s="4">
        <v>7.2359503609161697</v>
      </c>
      <c r="O4" s="4">
        <v>7.72379216318798</v>
      </c>
      <c r="P4" s="4">
        <v>7.0846099949903198</v>
      </c>
      <c r="Q4" s="4">
        <v>7.1845080037510201</v>
      </c>
      <c r="R4" s="4">
        <v>7.0928405090414701</v>
      </c>
      <c r="S4" s="4">
        <v>7.2025540868609896</v>
      </c>
      <c r="T4" s="4">
        <v>7.5544325032285302</v>
      </c>
    </row>
    <row r="5" spans="1:20" x14ac:dyDescent="0.25">
      <c r="A5" s="2">
        <v>-5</v>
      </c>
      <c r="B5" s="4">
        <v>92.1996129886913</v>
      </c>
      <c r="C5" s="4">
        <v>71.179348132048105</v>
      </c>
      <c r="D5" s="4">
        <v>34.954703039357597</v>
      </c>
      <c r="E5" s="4">
        <v>16.932134504374801</v>
      </c>
      <c r="F5" s="4">
        <v>11.5415398860063</v>
      </c>
      <c r="G5" s="4">
        <v>9.3130142574881702</v>
      </c>
      <c r="H5" s="4">
        <v>8.5268070635036803</v>
      </c>
      <c r="I5" s="4">
        <v>7.4374506077358404</v>
      </c>
      <c r="J5" s="4">
        <v>7.4717381758200698</v>
      </c>
      <c r="K5" s="4">
        <v>7.9561029804538199</v>
      </c>
      <c r="L5" s="4">
        <v>7.7793733023266496</v>
      </c>
      <c r="M5" s="4">
        <v>7.3571219664248098</v>
      </c>
      <c r="N5" s="4">
        <v>7.46170518312735</v>
      </c>
      <c r="O5" s="4">
        <v>7.5134142517776201</v>
      </c>
      <c r="P5" s="4">
        <v>7.8908733758567902</v>
      </c>
      <c r="Q5" s="4">
        <v>7.1404422375429899</v>
      </c>
      <c r="R5" s="4">
        <v>6.9989426269617496</v>
      </c>
      <c r="S5" s="4">
        <v>7.5363918476315703</v>
      </c>
      <c r="T5" s="4">
        <v>6.6278539027534196</v>
      </c>
    </row>
    <row r="6" spans="1:20" x14ac:dyDescent="0.25">
      <c r="A6" s="2">
        <v>0</v>
      </c>
      <c r="B6" s="4">
        <v>89.208606476070401</v>
      </c>
      <c r="C6" s="4">
        <v>72.752072080639394</v>
      </c>
      <c r="D6" s="4">
        <v>40.381822472356497</v>
      </c>
      <c r="E6" s="4">
        <v>16.1010422915442</v>
      </c>
      <c r="F6" s="4">
        <v>11.902716847861701</v>
      </c>
      <c r="G6" s="4">
        <v>8.0138615757482903</v>
      </c>
      <c r="H6" s="4">
        <v>8.3348111813328405</v>
      </c>
      <c r="I6" s="4">
        <v>8.1505700920075004</v>
      </c>
      <c r="J6" s="4">
        <v>7.2835938389932799</v>
      </c>
      <c r="K6" s="4">
        <v>7.6079540279936797</v>
      </c>
      <c r="L6" s="4">
        <v>8.2106751749075304</v>
      </c>
      <c r="M6" s="4">
        <v>7.4979874151818899</v>
      </c>
      <c r="N6" s="4">
        <v>7.4238734285865497</v>
      </c>
      <c r="O6" s="4">
        <v>7.1129723042855204</v>
      </c>
      <c r="P6" s="4">
        <v>7.3686369873700999</v>
      </c>
      <c r="Q6" s="4">
        <v>7.8046021539688697</v>
      </c>
      <c r="R6" s="4">
        <v>7.6818013501275102</v>
      </c>
      <c r="S6" s="4">
        <v>8.0672748993042198</v>
      </c>
      <c r="T6" s="4">
        <v>7.0917190828995604</v>
      </c>
    </row>
    <row r="7" spans="1:20" x14ac:dyDescent="0.25">
      <c r="A7" s="2">
        <v>5</v>
      </c>
      <c r="B7" s="4">
        <v>92.851581848312904</v>
      </c>
      <c r="C7" s="4">
        <v>69.549865556020094</v>
      </c>
      <c r="D7" s="4">
        <v>35.870819999258401</v>
      </c>
      <c r="E7" s="4">
        <v>16.352231711346601</v>
      </c>
      <c r="F7" s="4">
        <v>10.7243327315944</v>
      </c>
      <c r="G7" s="4">
        <v>10.0518989613195</v>
      </c>
      <c r="H7" s="4">
        <v>8.7715591056667694</v>
      </c>
      <c r="I7" s="4">
        <v>7.9699779019127002</v>
      </c>
      <c r="J7" s="4">
        <v>7.5134159181811402</v>
      </c>
      <c r="K7" s="4">
        <v>7.9487307950805004</v>
      </c>
      <c r="L7" s="4">
        <v>7.5157394943161497</v>
      </c>
      <c r="M7" s="4">
        <v>7.7839919366814101</v>
      </c>
      <c r="N7" s="4">
        <v>7.3254043540575298</v>
      </c>
      <c r="O7" s="4">
        <v>7.6954450661337397</v>
      </c>
      <c r="P7" s="4">
        <v>8.0105099350406501</v>
      </c>
      <c r="Q7" s="4">
        <v>7.6528301764752804</v>
      </c>
      <c r="R7" s="4">
        <v>7.6718317645468499</v>
      </c>
      <c r="S7" s="4">
        <v>8.8522613240069692</v>
      </c>
      <c r="T7" s="4">
        <v>7.8133658720463597</v>
      </c>
    </row>
    <row r="8" spans="1:20" x14ac:dyDescent="0.25">
      <c r="A8" s="2">
        <v>10</v>
      </c>
      <c r="B8" s="4">
        <v>94.044742269240302</v>
      </c>
      <c r="C8" s="4">
        <v>65.907548626275798</v>
      </c>
      <c r="D8" s="4">
        <v>35.040850066805099</v>
      </c>
      <c r="E8" s="4">
        <v>17.761097069279401</v>
      </c>
      <c r="F8" s="4">
        <v>11.720617292162199</v>
      </c>
      <c r="G8" s="4">
        <v>9.9210241256148599</v>
      </c>
      <c r="H8" s="4">
        <v>8.5510437364632708</v>
      </c>
      <c r="I8" s="4">
        <v>9.13323069003577</v>
      </c>
      <c r="J8" s="4">
        <v>8.2020783208901697</v>
      </c>
      <c r="K8" s="4">
        <v>8.4384760683162305</v>
      </c>
      <c r="L8" s="4">
        <v>8.19750187609786</v>
      </c>
      <c r="M8" s="4">
        <v>8.6004385163476904</v>
      </c>
      <c r="N8" s="4">
        <v>8.0490115198449708</v>
      </c>
      <c r="O8" s="4">
        <v>8.5009973815255506</v>
      </c>
      <c r="P8" s="4">
        <v>8.1858754564830392</v>
      </c>
      <c r="Q8" s="4">
        <v>8.6864100309409906</v>
      </c>
      <c r="R8" s="4">
        <v>8.7268686278620908</v>
      </c>
      <c r="S8" s="4">
        <v>10.124112511247301</v>
      </c>
      <c r="T8" s="4">
        <v>8.6331272429939592</v>
      </c>
    </row>
    <row r="9" spans="1:20" x14ac:dyDescent="0.25">
      <c r="A9" s="2">
        <v>15</v>
      </c>
      <c r="B9" s="4">
        <v>92.946943733561099</v>
      </c>
      <c r="C9" s="4">
        <v>63.368980267297701</v>
      </c>
      <c r="D9" s="4">
        <v>32.530467584678298</v>
      </c>
      <c r="E9" s="4">
        <v>16.050304431638398</v>
      </c>
      <c r="F9" s="4">
        <v>11.4734158442658</v>
      </c>
      <c r="G9" s="4">
        <v>9.7899577471123607</v>
      </c>
      <c r="H9" s="4">
        <v>8.5504197899004097</v>
      </c>
      <c r="I9" s="4">
        <v>8.0849455531479002</v>
      </c>
      <c r="J9" s="4">
        <v>7.6121496634530699</v>
      </c>
      <c r="K9" s="4">
        <v>8.3262498729317507</v>
      </c>
      <c r="L9" s="4">
        <v>7.8937845466945804</v>
      </c>
      <c r="M9" s="4">
        <v>8.2545155024687595</v>
      </c>
      <c r="N9" s="4">
        <v>8.7145571083064297</v>
      </c>
      <c r="O9" s="4">
        <v>8.4976189870883001</v>
      </c>
      <c r="P9" s="4">
        <v>8.3385257287537602</v>
      </c>
      <c r="Q9" s="4">
        <v>8.5478021859962094</v>
      </c>
      <c r="R9" s="4">
        <v>9.3687600068418107</v>
      </c>
      <c r="S9" s="4">
        <v>11.001054083967601</v>
      </c>
      <c r="T9" s="4">
        <v>8.1162419778958199</v>
      </c>
    </row>
    <row r="10" spans="1:20" x14ac:dyDescent="0.25">
      <c r="A10" s="2">
        <v>20</v>
      </c>
      <c r="B10" s="4">
        <v>88.089896717483001</v>
      </c>
      <c r="C10" s="4">
        <v>62.845179006989802</v>
      </c>
      <c r="D10" s="4">
        <v>32.060195235824601</v>
      </c>
      <c r="E10" s="4">
        <v>15.9450503511303</v>
      </c>
      <c r="F10" s="4">
        <v>10.633354027478999</v>
      </c>
      <c r="G10" s="4">
        <v>9.7025753175343006</v>
      </c>
      <c r="H10" s="4">
        <v>8.8121795024272593</v>
      </c>
      <c r="I10" s="4">
        <v>8.7769409674244301</v>
      </c>
      <c r="J10" s="4">
        <v>8.0653791481177208</v>
      </c>
      <c r="K10" s="4">
        <v>8.58264796266125</v>
      </c>
      <c r="L10" s="4">
        <v>8.2784416958534095</v>
      </c>
      <c r="M10" s="4">
        <v>8.0300156617784992</v>
      </c>
      <c r="N10" s="4">
        <v>8.7063284803422594</v>
      </c>
      <c r="O10" s="4">
        <v>9.0164304813543303</v>
      </c>
      <c r="P10" s="4">
        <v>9.6414833181847808</v>
      </c>
      <c r="Q10" s="4">
        <v>9.4026965318404105</v>
      </c>
      <c r="R10" s="4">
        <v>8.7267010194788295</v>
      </c>
      <c r="S10" s="4">
        <v>11.9944544351904</v>
      </c>
      <c r="T10" s="4">
        <v>8.8761502118072197</v>
      </c>
    </row>
    <row r="11" spans="1:20" x14ac:dyDescent="0.25">
      <c r="A11" s="2">
        <v>25</v>
      </c>
      <c r="B11" s="4">
        <v>90.605818895171396</v>
      </c>
      <c r="C11" s="4">
        <v>65.872657717304705</v>
      </c>
      <c r="D11" s="4">
        <v>29.652827002278901</v>
      </c>
      <c r="E11" s="4">
        <v>16.669687726075299</v>
      </c>
      <c r="F11" s="4">
        <v>11.180958085987101</v>
      </c>
      <c r="G11" s="4">
        <v>9.2735422014736901</v>
      </c>
      <c r="H11" s="4">
        <v>9.07379132265193</v>
      </c>
      <c r="I11" s="4">
        <v>8.4277556070200905</v>
      </c>
      <c r="J11" s="4">
        <v>8.6201202114993194</v>
      </c>
      <c r="K11" s="4">
        <v>8.5883834100042193</v>
      </c>
      <c r="L11" s="4">
        <v>8.27235602172677</v>
      </c>
      <c r="M11" s="4">
        <v>8.6994296319635698</v>
      </c>
      <c r="N11" s="4">
        <v>8.8139815219650597</v>
      </c>
      <c r="O11" s="4">
        <v>9.0458883404012997</v>
      </c>
      <c r="P11" s="4">
        <v>8.8577687912007796</v>
      </c>
      <c r="Q11" s="4">
        <v>9.5093306452333302</v>
      </c>
      <c r="R11" s="4">
        <v>9.0891776779122608</v>
      </c>
      <c r="S11" s="4">
        <v>13.0359946586794</v>
      </c>
      <c r="T11" s="4">
        <v>9.7610873184281193</v>
      </c>
    </row>
    <row r="12" spans="1:20" x14ac:dyDescent="0.25">
      <c r="A12" s="2">
        <v>30</v>
      </c>
      <c r="B12" s="4">
        <v>88.297668708859007</v>
      </c>
      <c r="C12" s="4">
        <v>67.882929615301194</v>
      </c>
      <c r="D12" s="4">
        <v>26.905047418761601</v>
      </c>
      <c r="E12" s="4">
        <v>16.6105455863785</v>
      </c>
      <c r="F12" s="4">
        <v>12.383878164032501</v>
      </c>
      <c r="G12" s="4">
        <v>9.7346086655700699</v>
      </c>
      <c r="H12" s="4">
        <v>8.7171381038679598</v>
      </c>
      <c r="I12" s="4">
        <v>8.8119126801140606</v>
      </c>
      <c r="J12" s="4">
        <v>8.6871829018265903</v>
      </c>
      <c r="K12" s="4">
        <v>8.8205840092229799</v>
      </c>
      <c r="L12" s="4">
        <v>8.5783661288668807</v>
      </c>
      <c r="M12" s="4">
        <v>8.8368633320106191</v>
      </c>
      <c r="N12" s="4">
        <v>8.9749261241426002</v>
      </c>
      <c r="O12" s="4">
        <v>9.1202673692930407</v>
      </c>
      <c r="P12" s="4">
        <v>8.9760252046940892</v>
      </c>
      <c r="Q12" s="4">
        <v>9.9540737150468797</v>
      </c>
      <c r="R12" s="4">
        <v>9.7620886934883107</v>
      </c>
      <c r="S12" s="4">
        <v>14.5758123091095</v>
      </c>
      <c r="T12" s="4">
        <v>10.1739048569729</v>
      </c>
    </row>
    <row r="13" spans="1:20" x14ac:dyDescent="0.25">
      <c r="A13" s="2">
        <v>35</v>
      </c>
      <c r="B13" s="4">
        <v>88.963285810644606</v>
      </c>
      <c r="C13" s="4">
        <v>68.612476237909505</v>
      </c>
      <c r="D13" s="4">
        <v>32.379810059029197</v>
      </c>
      <c r="E13" s="4">
        <v>18.7440495082216</v>
      </c>
      <c r="F13" s="4">
        <v>13.132441931776199</v>
      </c>
      <c r="G13" s="4">
        <v>10.279317116363099</v>
      </c>
      <c r="H13" s="4">
        <v>9.1608310465454306</v>
      </c>
      <c r="I13" s="4">
        <v>8.5879585646839107</v>
      </c>
      <c r="J13" s="4">
        <v>9.3363033330959198</v>
      </c>
      <c r="K13" s="4">
        <v>9.0509041274088506</v>
      </c>
      <c r="L13" s="4">
        <v>8.9626178045871701</v>
      </c>
      <c r="M13" s="4">
        <v>9.9080705628824397</v>
      </c>
      <c r="N13" s="4">
        <v>9.4565853090994096</v>
      </c>
      <c r="O13" s="4">
        <v>9.8562473389059804</v>
      </c>
      <c r="P13" s="4">
        <v>10.5266443556157</v>
      </c>
      <c r="Q13" s="4">
        <v>10.158921779760499</v>
      </c>
      <c r="R13" s="4">
        <v>10.1102832416883</v>
      </c>
      <c r="S13" s="4">
        <v>15.263373163011</v>
      </c>
      <c r="T13" s="4">
        <v>10.140027413021601</v>
      </c>
    </row>
    <row r="14" spans="1:20" x14ac:dyDescent="0.25">
      <c r="A14" s="2">
        <v>40</v>
      </c>
      <c r="B14" s="4">
        <v>89.225502731540004</v>
      </c>
      <c r="C14" s="4">
        <v>62.7581925721448</v>
      </c>
      <c r="D14" s="4">
        <v>32.325604746881901</v>
      </c>
      <c r="E14" s="4">
        <v>16.924327686687501</v>
      </c>
      <c r="F14" s="4">
        <v>12.107438707804899</v>
      </c>
      <c r="G14" s="4">
        <v>9.0495432204951207</v>
      </c>
      <c r="H14" s="4">
        <v>9.5602227168195792</v>
      </c>
      <c r="I14" s="4">
        <v>8.5117825697236906</v>
      </c>
      <c r="J14" s="4">
        <v>9.1145506939059899</v>
      </c>
      <c r="K14" s="4">
        <v>8.7468994013902197</v>
      </c>
      <c r="L14" s="4">
        <v>8.5976234371769902</v>
      </c>
      <c r="M14" s="4">
        <v>9.5567914614324305</v>
      </c>
      <c r="N14" s="4">
        <v>9.6847902823780299</v>
      </c>
      <c r="O14" s="4">
        <v>10.104459347308101</v>
      </c>
      <c r="P14" s="4">
        <v>9.8674452331683202</v>
      </c>
      <c r="Q14" s="4">
        <v>10.4460884843858</v>
      </c>
      <c r="R14" s="4">
        <v>10.9381690886343</v>
      </c>
      <c r="S14" s="4">
        <v>17.034612795950601</v>
      </c>
      <c r="T14" s="4">
        <v>10.1520147527436</v>
      </c>
    </row>
    <row r="15" spans="1:20" x14ac:dyDescent="0.25">
      <c r="A15" s="2">
        <v>45</v>
      </c>
      <c r="B15" s="4">
        <v>88.179384741023597</v>
      </c>
      <c r="C15" s="4">
        <v>66.501996201023999</v>
      </c>
      <c r="D15" s="4">
        <v>34.312729472572599</v>
      </c>
      <c r="E15" s="4">
        <v>18.940998910322399</v>
      </c>
      <c r="F15" s="4">
        <v>12.5866643301678</v>
      </c>
      <c r="G15" s="4">
        <v>9.6788873383033796</v>
      </c>
      <c r="H15" s="4">
        <v>9.4129874485190808</v>
      </c>
      <c r="I15" s="4">
        <v>8.5923748336124</v>
      </c>
      <c r="J15" s="4">
        <v>9.4196619902398506</v>
      </c>
      <c r="K15" s="4">
        <v>9.4572521423370208</v>
      </c>
      <c r="L15" s="4">
        <v>9.1694009212891991</v>
      </c>
      <c r="M15" s="4">
        <v>10.0445890543057</v>
      </c>
      <c r="N15" s="4">
        <v>10.4797844990923</v>
      </c>
      <c r="O15" s="4">
        <v>10.8626194035723</v>
      </c>
      <c r="P15" s="4">
        <v>10.6503759436076</v>
      </c>
      <c r="Q15" s="4">
        <v>11.6776166352233</v>
      </c>
      <c r="R15" s="4">
        <v>11.8291918064469</v>
      </c>
      <c r="S15" s="4">
        <v>18.728924391415401</v>
      </c>
      <c r="T15" s="4">
        <v>11.767497388766801</v>
      </c>
    </row>
    <row r="16" spans="1:20" x14ac:dyDescent="0.25">
      <c r="A16" s="2">
        <v>50</v>
      </c>
      <c r="B16" s="4">
        <v>89.645541897352103</v>
      </c>
      <c r="C16" s="4">
        <v>65.945397433821299</v>
      </c>
      <c r="D16" s="4">
        <v>30.5790992259885</v>
      </c>
      <c r="E16" s="4">
        <v>18.310553754832199</v>
      </c>
      <c r="F16" s="4">
        <v>11.2101840860189</v>
      </c>
      <c r="G16" s="4">
        <v>9.6259032533053297</v>
      </c>
      <c r="H16" s="4">
        <v>9.0795217844119893</v>
      </c>
      <c r="I16" s="4">
        <v>8.9351123163550401</v>
      </c>
      <c r="J16" s="4">
        <v>9.3681576267703104</v>
      </c>
      <c r="K16" s="4">
        <v>9.01712517438901</v>
      </c>
      <c r="L16" s="4">
        <v>9.7313149776314791</v>
      </c>
      <c r="M16" s="4">
        <v>9.6604375879019599</v>
      </c>
      <c r="N16" s="4">
        <v>10.0836300089522</v>
      </c>
      <c r="O16" s="4">
        <v>10.6803976346357</v>
      </c>
      <c r="P16" s="4">
        <v>11.571226557116001</v>
      </c>
      <c r="Q16" s="4">
        <v>12.3038954747089</v>
      </c>
      <c r="R16" s="4">
        <v>12.240104194427801</v>
      </c>
      <c r="S16" s="4">
        <v>20.012988643148599</v>
      </c>
      <c r="T16" s="4">
        <v>12.521166482417501</v>
      </c>
    </row>
    <row r="17" spans="1:20" x14ac:dyDescent="0.25">
      <c r="A17" s="2">
        <v>55</v>
      </c>
      <c r="B17" s="4">
        <v>94.321867440464203</v>
      </c>
      <c r="C17" s="4">
        <v>67.362171175875901</v>
      </c>
      <c r="D17" s="4">
        <v>31.3731728666965</v>
      </c>
      <c r="E17" s="4">
        <v>17.4711666345545</v>
      </c>
      <c r="F17" s="4">
        <v>11.4028335579331</v>
      </c>
      <c r="G17" s="4">
        <v>9.7494086399620201</v>
      </c>
      <c r="H17" s="4">
        <v>9.7959963925272007</v>
      </c>
      <c r="I17" s="4">
        <v>9.6261452848494908</v>
      </c>
      <c r="J17" s="4">
        <v>9.3335633366878596</v>
      </c>
      <c r="K17" s="4">
        <v>9.72695542084411</v>
      </c>
      <c r="L17" s="4">
        <v>10.1468109956043</v>
      </c>
      <c r="M17" s="4">
        <v>10.8148323826832</v>
      </c>
      <c r="N17" s="4">
        <v>11.0331206371902</v>
      </c>
      <c r="O17" s="4">
        <v>11.6952732984169</v>
      </c>
      <c r="P17" s="4">
        <v>12.0623338897773</v>
      </c>
      <c r="Q17" s="4">
        <v>12.357275791826901</v>
      </c>
      <c r="R17" s="4">
        <v>13.5394631794776</v>
      </c>
      <c r="S17" s="4">
        <v>22.5055930204182</v>
      </c>
      <c r="T17" s="4">
        <v>12.4315546474502</v>
      </c>
    </row>
    <row r="18" spans="1:20" x14ac:dyDescent="0.25">
      <c r="A18" s="2">
        <v>60</v>
      </c>
      <c r="B18" s="4">
        <v>91.171540821147104</v>
      </c>
      <c r="C18" s="4">
        <v>65.227143741568796</v>
      </c>
      <c r="D18" s="4">
        <v>34.498549486983499</v>
      </c>
      <c r="E18" s="4">
        <v>17.6538430235072</v>
      </c>
      <c r="F18" s="4">
        <v>12.518119861315901</v>
      </c>
      <c r="G18" s="4">
        <v>10.4726552627285</v>
      </c>
      <c r="H18" s="4">
        <v>10.4476967658389</v>
      </c>
      <c r="I18" s="4">
        <v>9.6926438733173192</v>
      </c>
      <c r="J18" s="4">
        <v>10.054320807741901</v>
      </c>
      <c r="K18" s="4">
        <v>9.9000447986909101</v>
      </c>
      <c r="L18" s="4">
        <v>9.8539879620602697</v>
      </c>
      <c r="M18" s="4">
        <v>10.9577314961233</v>
      </c>
      <c r="N18" s="4">
        <v>10.9695163994199</v>
      </c>
      <c r="O18" s="4">
        <v>11.6964789478215</v>
      </c>
      <c r="P18" s="4">
        <v>12.338804744059001</v>
      </c>
      <c r="Q18" s="4">
        <v>13.0969155170405</v>
      </c>
      <c r="R18" s="4">
        <v>14.2207316919013</v>
      </c>
      <c r="S18" s="4">
        <v>23.786564930817899</v>
      </c>
      <c r="T18" s="4">
        <v>13.879020718782099</v>
      </c>
    </row>
    <row r="19" spans="1:20" x14ac:dyDescent="0.25">
      <c r="A19" s="2">
        <v>65</v>
      </c>
      <c r="B19" s="4">
        <v>92.129708982054893</v>
      </c>
      <c r="C19" s="4">
        <v>57.385895469140102</v>
      </c>
      <c r="D19" s="4">
        <v>25.828607913205399</v>
      </c>
      <c r="E19" s="4">
        <v>19.7020644833283</v>
      </c>
      <c r="F19" s="4">
        <v>12.5244568838063</v>
      </c>
      <c r="G19" s="4">
        <v>10.8097661645182</v>
      </c>
      <c r="H19" s="4">
        <v>9.8354296521888696</v>
      </c>
      <c r="I19" s="4">
        <v>9.9600977108534501</v>
      </c>
      <c r="J19" s="4">
        <v>10.7411695603456</v>
      </c>
      <c r="K19" s="4">
        <v>10.505234828180299</v>
      </c>
      <c r="L19" s="4">
        <v>10.823357686798801</v>
      </c>
      <c r="M19" s="4">
        <v>10.715610364480501</v>
      </c>
      <c r="N19" s="4">
        <v>12.1223706843406</v>
      </c>
      <c r="O19" s="4">
        <v>13.0353734338617</v>
      </c>
      <c r="P19" s="4">
        <v>13.489916916488999</v>
      </c>
      <c r="Q19" s="4">
        <v>14.167923057817299</v>
      </c>
      <c r="R19" s="4">
        <v>14.4351719715941</v>
      </c>
      <c r="S19" s="4">
        <v>25.0032257023989</v>
      </c>
      <c r="T19" s="4">
        <v>14.636025809855701</v>
      </c>
    </row>
    <row r="20" spans="1:20" x14ac:dyDescent="0.25">
      <c r="A20" s="2">
        <v>70</v>
      </c>
      <c r="B20" s="4">
        <v>90.878911894822096</v>
      </c>
      <c r="C20" s="4">
        <v>59.169828069236601</v>
      </c>
      <c r="D20" s="4">
        <v>29.2526349493832</v>
      </c>
      <c r="E20" s="4">
        <v>17.6702970197667</v>
      </c>
      <c r="F20" s="4">
        <v>11.300505230235901</v>
      </c>
      <c r="G20" s="4">
        <v>11.278494798339899</v>
      </c>
      <c r="H20" s="4">
        <v>10.4789901430507</v>
      </c>
      <c r="I20" s="4">
        <v>9.8539408520710605</v>
      </c>
      <c r="J20" s="4">
        <v>10.734000671906299</v>
      </c>
      <c r="K20" s="4">
        <v>10.8802207142715</v>
      </c>
      <c r="L20" s="4">
        <v>11.501199645405199</v>
      </c>
      <c r="M20" s="4">
        <v>11.776315694363801</v>
      </c>
      <c r="N20" s="4">
        <v>12.1771423645894</v>
      </c>
      <c r="O20" s="4">
        <v>13.197629055458201</v>
      </c>
      <c r="P20" s="4">
        <v>14.3266866946314</v>
      </c>
      <c r="Q20" s="4">
        <v>14.825315838091599</v>
      </c>
      <c r="R20" s="4">
        <v>15.6247203559812</v>
      </c>
      <c r="S20" s="4">
        <v>26.850436393729499</v>
      </c>
      <c r="T20" s="4">
        <v>16.429710985050701</v>
      </c>
    </row>
    <row r="21" spans="1:20" x14ac:dyDescent="0.25">
      <c r="A21" s="2">
        <v>75</v>
      </c>
      <c r="B21" s="4">
        <v>91.201704527036298</v>
      </c>
      <c r="C21" s="4">
        <v>61.878948134386903</v>
      </c>
      <c r="D21" s="4">
        <v>29.206408131915801</v>
      </c>
      <c r="E21" s="4">
        <v>19.0767762031217</v>
      </c>
      <c r="F21" s="4">
        <v>12.7542858600189</v>
      </c>
      <c r="G21" s="4">
        <v>10.360217755137899</v>
      </c>
      <c r="H21" s="4">
        <v>10.304357603106199</v>
      </c>
      <c r="I21" s="4">
        <v>10.228636535252701</v>
      </c>
      <c r="J21" s="4">
        <v>11.3403005287725</v>
      </c>
      <c r="K21" s="4">
        <v>11.226219056904</v>
      </c>
      <c r="L21" s="4">
        <v>12.2024620187743</v>
      </c>
      <c r="M21" s="4">
        <v>12.446359536224</v>
      </c>
      <c r="N21" s="4">
        <v>13.153761253804801</v>
      </c>
      <c r="O21" s="4">
        <v>14.5539381475879</v>
      </c>
      <c r="P21" s="4">
        <v>14.7494841098094</v>
      </c>
      <c r="Q21" s="4">
        <v>15.671764408142799</v>
      </c>
      <c r="R21" s="4">
        <v>16.880763126923299</v>
      </c>
      <c r="S21" s="4">
        <v>28.7386220898034</v>
      </c>
      <c r="T21" s="4">
        <v>18.236013868373998</v>
      </c>
    </row>
    <row r="22" spans="1:20" x14ac:dyDescent="0.25">
      <c r="A22" s="2">
        <v>80</v>
      </c>
      <c r="B22" s="4">
        <v>83.385019932240397</v>
      </c>
      <c r="C22" s="4">
        <v>63.028832758399297</v>
      </c>
      <c r="D22" s="4">
        <v>32.724730133075198</v>
      </c>
      <c r="E22" s="4">
        <v>18.7675114132016</v>
      </c>
      <c r="F22" s="4">
        <v>13.675109586760801</v>
      </c>
      <c r="G22" s="4">
        <v>11.6092063002649</v>
      </c>
      <c r="H22" s="4">
        <v>10.7580092403281</v>
      </c>
      <c r="I22" s="4">
        <v>11.0512213739191</v>
      </c>
      <c r="J22" s="4">
        <v>11.748204748187501</v>
      </c>
      <c r="K22" s="4">
        <v>11.925099715396</v>
      </c>
      <c r="L22" s="4">
        <v>12.5992129708891</v>
      </c>
      <c r="M22" s="4">
        <v>13.5851955064928</v>
      </c>
      <c r="N22" s="4">
        <v>14.637533287266701</v>
      </c>
      <c r="O22" s="4">
        <v>15.1423974799847</v>
      </c>
      <c r="P22" s="4">
        <v>16.657577486193698</v>
      </c>
      <c r="Q22" s="4">
        <v>17.586171893656601</v>
      </c>
      <c r="R22" s="4">
        <v>18.258377903551299</v>
      </c>
      <c r="S22" s="4">
        <v>30.4373048900306</v>
      </c>
      <c r="T22" s="4">
        <v>17.680623716215401</v>
      </c>
    </row>
    <row r="23" spans="1:20" x14ac:dyDescent="0.25">
      <c r="A23" s="2">
        <v>85</v>
      </c>
      <c r="B23" s="4">
        <v>90.728537237565007</v>
      </c>
      <c r="C23" s="4">
        <v>62.5473368969582</v>
      </c>
      <c r="D23" s="4">
        <v>26.785549213665998</v>
      </c>
      <c r="E23" s="4">
        <v>18.085609733114399</v>
      </c>
      <c r="F23" s="4">
        <v>12.762642744480999</v>
      </c>
      <c r="G23" s="4">
        <v>11.8301867039886</v>
      </c>
      <c r="H23" s="4">
        <v>11.3828194239056</v>
      </c>
      <c r="I23" s="4">
        <v>11.9156258576197</v>
      </c>
      <c r="J23" s="4">
        <v>11.1190257375399</v>
      </c>
      <c r="K23" s="4">
        <v>12.5479716800224</v>
      </c>
      <c r="L23" s="4">
        <v>13.2022793671306</v>
      </c>
      <c r="M23" s="4">
        <v>14.066351510899199</v>
      </c>
      <c r="N23" s="4">
        <v>14.3985372977758</v>
      </c>
      <c r="O23" s="4">
        <v>15.6350034023106</v>
      </c>
      <c r="P23" s="4">
        <v>16.061312969715299</v>
      </c>
      <c r="Q23" s="4">
        <v>17.159176846560602</v>
      </c>
      <c r="R23" s="4">
        <v>18.451342332908101</v>
      </c>
      <c r="S23" s="4">
        <v>31.852517437946201</v>
      </c>
      <c r="T23" s="4">
        <v>19.140875926746901</v>
      </c>
    </row>
    <row r="24" spans="1:20" x14ac:dyDescent="0.25">
      <c r="A24" s="2">
        <v>90</v>
      </c>
      <c r="B24" s="4">
        <v>91.753939829732303</v>
      </c>
      <c r="C24" s="4">
        <v>61.697384949401602</v>
      </c>
      <c r="D24" s="4">
        <v>38.175716763523297</v>
      </c>
      <c r="E24" s="4">
        <v>18.716642305089401</v>
      </c>
      <c r="F24" s="4">
        <v>13.304214757017499</v>
      </c>
      <c r="G24" s="4">
        <v>11.708469938003301</v>
      </c>
      <c r="H24" s="4">
        <v>11.3394071752797</v>
      </c>
      <c r="I24" s="4">
        <v>11.5113093454168</v>
      </c>
      <c r="J24" s="4">
        <v>11.697637608127501</v>
      </c>
      <c r="K24" s="4">
        <v>12.0083287568313</v>
      </c>
      <c r="L24" s="4">
        <v>13.557249741990301</v>
      </c>
      <c r="M24" s="4">
        <v>14.9122887633297</v>
      </c>
      <c r="N24" s="4">
        <v>15.435089696099899</v>
      </c>
      <c r="O24" s="4">
        <v>16.491119306406201</v>
      </c>
      <c r="P24" s="4">
        <v>17.545227193401299</v>
      </c>
      <c r="Q24" s="4">
        <v>18.8965032381447</v>
      </c>
      <c r="R24" s="4">
        <v>20.315195070175498</v>
      </c>
      <c r="S24" s="4">
        <v>32.586266617079097</v>
      </c>
      <c r="T24" s="4">
        <v>20.829295081755301</v>
      </c>
    </row>
    <row r="25" spans="1:20" x14ac:dyDescent="0.25">
      <c r="A25" s="2">
        <v>95</v>
      </c>
      <c r="B25" s="4">
        <v>91.932333860753005</v>
      </c>
      <c r="C25" s="4">
        <v>65.088000712466396</v>
      </c>
      <c r="D25" s="4">
        <v>27.895155937098401</v>
      </c>
      <c r="E25" s="4">
        <v>18.454684126697298</v>
      </c>
      <c r="F25" s="4">
        <v>13.9404324401712</v>
      </c>
      <c r="G25" s="4">
        <v>11.345295015750199</v>
      </c>
      <c r="H25" s="4">
        <v>11.2826563467169</v>
      </c>
      <c r="I25" s="4">
        <v>12.3293215496541</v>
      </c>
      <c r="J25" s="4">
        <v>12.9660191862973</v>
      </c>
      <c r="K25" s="4">
        <v>13.428251845776201</v>
      </c>
      <c r="L25" s="4">
        <v>13.690376707545701</v>
      </c>
      <c r="M25" s="4">
        <v>15.527949606556801</v>
      </c>
      <c r="N25" s="4">
        <v>16.170292400236601</v>
      </c>
      <c r="O25" s="4">
        <v>17.707000612526901</v>
      </c>
      <c r="P25" s="4">
        <v>18.403046858928398</v>
      </c>
      <c r="Q25" s="4">
        <v>19.4025574069423</v>
      </c>
      <c r="R25" s="4">
        <v>20.054250117209101</v>
      </c>
      <c r="S25" s="4">
        <v>33.310685777355197</v>
      </c>
      <c r="T25" s="4">
        <v>20.8770376959401</v>
      </c>
    </row>
    <row r="26" spans="1:20" x14ac:dyDescent="0.25">
      <c r="A26" s="2">
        <v>100</v>
      </c>
      <c r="B26" s="4">
        <v>90.023338037625507</v>
      </c>
      <c r="C26" s="4">
        <v>64.399075096740205</v>
      </c>
      <c r="D26" s="4">
        <v>36.295271230772698</v>
      </c>
      <c r="E26" s="4">
        <v>17.901462760951901</v>
      </c>
      <c r="F26" s="4">
        <v>13.570222132231301</v>
      </c>
      <c r="G26" s="4">
        <v>13.5936282433803</v>
      </c>
      <c r="H26" s="4">
        <v>11.7061942840804</v>
      </c>
      <c r="I26" s="4">
        <v>12.9849939839201</v>
      </c>
      <c r="J26" s="4">
        <v>12.9248082702766</v>
      </c>
      <c r="K26" s="4">
        <v>14.5285333697955</v>
      </c>
      <c r="L26" s="4">
        <v>15.280892592293601</v>
      </c>
      <c r="M26" s="4">
        <v>16.289887244937201</v>
      </c>
      <c r="N26" s="4">
        <v>17.482683594952601</v>
      </c>
      <c r="O26" s="4">
        <v>19.287891351423699</v>
      </c>
      <c r="P26" s="4">
        <v>19.533476041778599</v>
      </c>
      <c r="Q26" s="4">
        <v>20.2137081854531</v>
      </c>
      <c r="R26" s="4">
        <v>22.001684056919402</v>
      </c>
      <c r="S26" s="4">
        <v>34.713833944013103</v>
      </c>
      <c r="T26" s="4">
        <v>23.036058942160899</v>
      </c>
    </row>
    <row r="27" spans="1:20" x14ac:dyDescent="0.25">
      <c r="A27" s="2">
        <v>105</v>
      </c>
      <c r="B27" s="4">
        <v>87.752651719982694</v>
      </c>
      <c r="C27" s="4">
        <v>68.439094002648204</v>
      </c>
      <c r="D27" s="4">
        <v>32.677183026328898</v>
      </c>
      <c r="E27" s="4">
        <v>19.703436959833901</v>
      </c>
      <c r="F27" s="4">
        <v>14.456757837114001</v>
      </c>
      <c r="G27" s="4">
        <v>13.752444330789499</v>
      </c>
      <c r="H27" s="4">
        <v>12.5790075603747</v>
      </c>
      <c r="I27" s="4">
        <v>13.454183771573099</v>
      </c>
      <c r="J27" s="4">
        <v>13.5495679366348</v>
      </c>
      <c r="K27" s="4">
        <v>15.225710923427</v>
      </c>
      <c r="L27" s="4">
        <v>15.953869019737001</v>
      </c>
      <c r="M27" s="4">
        <v>16.800860236395401</v>
      </c>
      <c r="N27" s="4">
        <v>18.419684255437001</v>
      </c>
      <c r="O27" s="4">
        <v>19.007426381424601</v>
      </c>
      <c r="P27" s="4">
        <v>20.926299248894001</v>
      </c>
      <c r="Q27" s="4">
        <v>23.020163058988398</v>
      </c>
      <c r="R27" s="4">
        <v>22.485151258326098</v>
      </c>
      <c r="S27" s="4">
        <v>35.019303818091601</v>
      </c>
      <c r="T27" s="4">
        <v>24.7664323143368</v>
      </c>
    </row>
    <row r="28" spans="1:20" x14ac:dyDescent="0.25">
      <c r="A28" s="2">
        <v>110</v>
      </c>
      <c r="B28" s="4">
        <v>91.944534324081602</v>
      </c>
      <c r="C28" s="4">
        <v>67.555665451867398</v>
      </c>
      <c r="D28" s="4">
        <v>30.069841159658299</v>
      </c>
      <c r="E28" s="4">
        <v>19.751068786828299</v>
      </c>
      <c r="F28" s="4">
        <v>13.540651546256299</v>
      </c>
      <c r="G28" s="4">
        <v>12.510010163590801</v>
      </c>
      <c r="H28" s="4">
        <v>12.754264051866601</v>
      </c>
      <c r="I28" s="4">
        <v>13.314986975266899</v>
      </c>
      <c r="J28" s="4">
        <v>13.767069600929601</v>
      </c>
      <c r="K28" s="4">
        <v>15.046576794527301</v>
      </c>
      <c r="L28" s="4">
        <v>16.633088830362802</v>
      </c>
      <c r="M28" s="4">
        <v>17.571262272982999</v>
      </c>
      <c r="N28" s="4">
        <v>18.686968740306199</v>
      </c>
      <c r="O28" s="4">
        <v>20.031183157332599</v>
      </c>
      <c r="P28" s="4">
        <v>22.025424511728801</v>
      </c>
      <c r="Q28" s="4">
        <v>23.446376214912501</v>
      </c>
      <c r="R28" s="4">
        <v>23.588156775457801</v>
      </c>
      <c r="S28" s="4">
        <v>35.234887960379297</v>
      </c>
      <c r="T28" s="4">
        <v>24.483431028047399</v>
      </c>
    </row>
    <row r="29" spans="1:20" x14ac:dyDescent="0.25">
      <c r="A29" s="2">
        <v>115</v>
      </c>
      <c r="B29" s="4">
        <v>91.501315915396603</v>
      </c>
      <c r="C29" s="4">
        <v>61.851406425944901</v>
      </c>
      <c r="D29" s="4">
        <v>29.688435711661199</v>
      </c>
      <c r="E29" s="4">
        <v>19.508572138264501</v>
      </c>
      <c r="F29" s="4">
        <v>13.993149750034799</v>
      </c>
      <c r="G29" s="4">
        <v>12.3011342938672</v>
      </c>
      <c r="H29" s="4">
        <v>12.798580143075201</v>
      </c>
      <c r="I29" s="4">
        <v>13.9867028376603</v>
      </c>
      <c r="J29" s="4">
        <v>13.9025368510723</v>
      </c>
      <c r="K29" s="4">
        <v>16.574628583336299</v>
      </c>
      <c r="L29" s="4">
        <v>17.011342365600399</v>
      </c>
      <c r="M29" s="4">
        <v>18.658144825919901</v>
      </c>
      <c r="N29" s="4">
        <v>19.514552415692599</v>
      </c>
      <c r="O29" s="4">
        <v>21.3267369956402</v>
      </c>
      <c r="P29" s="4">
        <v>23.004381389356201</v>
      </c>
      <c r="Q29" s="4">
        <v>23.0031598914886</v>
      </c>
      <c r="R29" s="4">
        <v>24.290193768230701</v>
      </c>
      <c r="S29" s="4">
        <v>35.418567418925299</v>
      </c>
      <c r="T29" s="4">
        <v>25.016142698641001</v>
      </c>
    </row>
    <row r="30" spans="1:20" x14ac:dyDescent="0.25">
      <c r="A30" s="2">
        <v>120</v>
      </c>
      <c r="B30" s="4">
        <v>91.256420992537002</v>
      </c>
      <c r="C30" s="4">
        <v>72.9338405598766</v>
      </c>
      <c r="D30" s="4">
        <v>29.4298258576198</v>
      </c>
      <c r="E30" s="4">
        <v>18.145471792812501</v>
      </c>
      <c r="F30" s="4">
        <v>14.736066618490799</v>
      </c>
      <c r="G30" s="4">
        <v>13.1493022628928</v>
      </c>
      <c r="H30" s="4">
        <v>13.200959290240901</v>
      </c>
      <c r="I30" s="4">
        <v>13.946222288253599</v>
      </c>
      <c r="J30" s="4">
        <v>14.872867915476901</v>
      </c>
      <c r="K30" s="4">
        <v>16.3946400515905</v>
      </c>
      <c r="L30" s="4">
        <v>16.852876448684999</v>
      </c>
      <c r="M30" s="4">
        <v>20.004989517522301</v>
      </c>
      <c r="N30" s="4">
        <v>20.687212978607398</v>
      </c>
      <c r="O30" s="4">
        <v>20.713990019448399</v>
      </c>
      <c r="P30" s="4">
        <v>21.570596820667799</v>
      </c>
      <c r="Q30" s="4">
        <v>23.616531846316001</v>
      </c>
      <c r="R30" s="4">
        <v>25.1733933303329</v>
      </c>
      <c r="S30" s="4">
        <v>36.217573944955397</v>
      </c>
      <c r="T30" s="4">
        <v>23.4763904798466</v>
      </c>
    </row>
    <row r="31" spans="1:20" x14ac:dyDescent="0.25">
      <c r="A31" s="2">
        <v>125</v>
      </c>
      <c r="B31" s="4">
        <v>92.019510030435498</v>
      </c>
      <c r="C31" s="4">
        <v>66.057432329061896</v>
      </c>
      <c r="D31" s="4">
        <v>32.1060251852318</v>
      </c>
      <c r="E31" s="4">
        <v>19.8954543711389</v>
      </c>
      <c r="F31" s="4">
        <v>15.649002139358601</v>
      </c>
      <c r="G31" s="4">
        <v>14.5683980208671</v>
      </c>
      <c r="H31" s="4">
        <v>13.8735659888047</v>
      </c>
      <c r="I31" s="4">
        <v>14.0537151712546</v>
      </c>
      <c r="J31" s="4">
        <v>16.2340920393662</v>
      </c>
      <c r="K31" s="4">
        <v>16.8374605685967</v>
      </c>
      <c r="L31" s="4">
        <v>18.1364166130091</v>
      </c>
      <c r="M31" s="4">
        <v>19.153705613288398</v>
      </c>
      <c r="N31" s="4">
        <v>21.6700789123216</v>
      </c>
      <c r="O31" s="4">
        <v>22.6773337090541</v>
      </c>
      <c r="P31" s="4">
        <v>24.646952137192301</v>
      </c>
      <c r="Q31" s="4">
        <v>25.3706669228607</v>
      </c>
      <c r="R31" s="4">
        <v>26.371869169003698</v>
      </c>
      <c r="S31" s="4">
        <v>37.212398167514799</v>
      </c>
      <c r="T31" s="4">
        <v>28.097727186697899</v>
      </c>
    </row>
    <row r="32" spans="1:20" x14ac:dyDescent="0.25">
      <c r="A32" s="2">
        <v>130</v>
      </c>
      <c r="B32" s="4">
        <v>92.125020326932002</v>
      </c>
      <c r="C32" s="4">
        <v>60.1332504114812</v>
      </c>
      <c r="D32" s="4">
        <v>28.9602252733245</v>
      </c>
      <c r="E32" s="4">
        <v>19.566907709262399</v>
      </c>
      <c r="F32" s="4">
        <v>15.1557321770812</v>
      </c>
      <c r="G32" s="4">
        <v>13.7568252867555</v>
      </c>
      <c r="H32" s="4">
        <v>14.253132244642501</v>
      </c>
      <c r="I32" s="4">
        <v>14.190902614781599</v>
      </c>
      <c r="J32" s="4">
        <v>16.348072195128999</v>
      </c>
      <c r="K32" s="4">
        <v>17.333383298485899</v>
      </c>
      <c r="L32" s="4">
        <v>18.825964230071602</v>
      </c>
      <c r="M32" s="4">
        <v>19.9240842810365</v>
      </c>
      <c r="N32" s="4">
        <v>21.186355350701099</v>
      </c>
      <c r="O32" s="4">
        <v>22.131805979489599</v>
      </c>
      <c r="P32" s="4">
        <v>24.569820362822401</v>
      </c>
      <c r="Q32" s="4">
        <v>24.593251707122299</v>
      </c>
      <c r="R32" s="4">
        <v>27.802949708125102</v>
      </c>
      <c r="S32" s="4">
        <v>37.081965123550198</v>
      </c>
      <c r="T32" s="4">
        <v>28.507389931359899</v>
      </c>
    </row>
    <row r="33" spans="1:20" x14ac:dyDescent="0.25">
      <c r="A33" s="2">
        <v>135</v>
      </c>
      <c r="B33" s="4">
        <v>85.495693296858903</v>
      </c>
      <c r="C33" s="4">
        <v>64.055576254744693</v>
      </c>
      <c r="D33" s="4">
        <v>30.6621664091562</v>
      </c>
      <c r="E33" s="4">
        <v>20.073947239189199</v>
      </c>
      <c r="F33" s="4">
        <v>14.705634703782099</v>
      </c>
      <c r="G33" s="4">
        <v>13.4041402096772</v>
      </c>
      <c r="H33" s="4">
        <v>13.732058962341799</v>
      </c>
      <c r="I33" s="4">
        <v>14.618393554797301</v>
      </c>
      <c r="J33" s="4">
        <v>15.9937492877387</v>
      </c>
      <c r="K33" s="4">
        <v>18.022305399986699</v>
      </c>
      <c r="L33" s="4">
        <v>20.049047701820001</v>
      </c>
      <c r="M33" s="4">
        <v>20.142835319999801</v>
      </c>
      <c r="N33" s="4">
        <v>23.253216736399299</v>
      </c>
      <c r="O33" s="4">
        <v>23.1316320916542</v>
      </c>
      <c r="P33" s="4">
        <v>24.175766044494299</v>
      </c>
      <c r="Q33" s="4">
        <v>26.276149248002199</v>
      </c>
      <c r="R33" s="4">
        <v>27.132512144999499</v>
      </c>
      <c r="S33" s="4">
        <v>37.476372580051802</v>
      </c>
      <c r="T33" s="4">
        <v>25.774254782565301</v>
      </c>
    </row>
    <row r="34" spans="1:20" x14ac:dyDescent="0.25">
      <c r="A34" s="2">
        <v>140</v>
      </c>
      <c r="B34" s="4">
        <v>89.657763330353106</v>
      </c>
      <c r="C34" s="4">
        <v>67.583955969009907</v>
      </c>
      <c r="D34" s="4">
        <v>30.69409509898</v>
      </c>
      <c r="E34" s="4">
        <v>20.0988006687816</v>
      </c>
      <c r="F34" s="4">
        <v>15.605335195895499</v>
      </c>
      <c r="G34" s="4">
        <v>15.803341065847899</v>
      </c>
      <c r="H34" s="4">
        <v>14.814533239942399</v>
      </c>
      <c r="I34" s="4">
        <v>14.777020485717999</v>
      </c>
      <c r="J34" s="4">
        <v>16.652077510639899</v>
      </c>
      <c r="K34" s="4">
        <v>19.6782332717682</v>
      </c>
      <c r="L34" s="4">
        <v>19.112214105042799</v>
      </c>
      <c r="M34" s="4">
        <v>22.056146040442801</v>
      </c>
      <c r="N34" s="4">
        <v>23.2939181809007</v>
      </c>
      <c r="O34" s="4">
        <v>24.075081786342999</v>
      </c>
      <c r="P34" s="4">
        <v>25.8927548789353</v>
      </c>
      <c r="Q34" s="4">
        <v>25.915754115186299</v>
      </c>
      <c r="R34" s="4">
        <v>26.6866816619332</v>
      </c>
      <c r="S34" s="4">
        <v>37.567277691435002</v>
      </c>
      <c r="T34" s="4">
        <v>28.647270272113399</v>
      </c>
    </row>
    <row r="35" spans="1:20" x14ac:dyDescent="0.25">
      <c r="A35" s="2">
        <v>145</v>
      </c>
      <c r="B35" s="4">
        <v>90.478053575177498</v>
      </c>
      <c r="C35" s="4">
        <v>63.359545674363702</v>
      </c>
      <c r="D35" s="4">
        <v>33.155429682841202</v>
      </c>
      <c r="E35" s="4">
        <v>19.243025447593901</v>
      </c>
      <c r="F35" s="4">
        <v>16.894080353496602</v>
      </c>
      <c r="G35" s="4">
        <v>14.2864099059066</v>
      </c>
      <c r="H35" s="4">
        <v>14.243046678475601</v>
      </c>
      <c r="I35" s="4">
        <v>15.619519159873199</v>
      </c>
      <c r="J35" s="4">
        <v>16.105397595849698</v>
      </c>
      <c r="K35" s="4">
        <v>20.468001263255001</v>
      </c>
      <c r="L35" s="4">
        <v>21.277366432263101</v>
      </c>
      <c r="M35" s="4">
        <v>22.376037451602901</v>
      </c>
      <c r="N35" s="4">
        <v>22.0317364039424</v>
      </c>
      <c r="O35" s="4">
        <v>24.7385954395846</v>
      </c>
      <c r="P35" s="4">
        <v>25.629181248997799</v>
      </c>
      <c r="Q35" s="4">
        <v>26.4800657547299</v>
      </c>
      <c r="R35" s="4">
        <v>27.616775428169898</v>
      </c>
      <c r="S35" s="4">
        <v>37.648436272844997</v>
      </c>
      <c r="T35" s="4">
        <v>29.760450050011201</v>
      </c>
    </row>
    <row r="36" spans="1:20" x14ac:dyDescent="0.25">
      <c r="A36" s="2">
        <v>150</v>
      </c>
      <c r="B36" s="4">
        <v>92.486078024465002</v>
      </c>
      <c r="C36" s="4">
        <v>65.038076347640498</v>
      </c>
      <c r="D36" s="4">
        <v>30.915375799315498</v>
      </c>
      <c r="E36" s="4">
        <v>20.710800917290999</v>
      </c>
      <c r="F36" s="4">
        <v>16.5805370506598</v>
      </c>
      <c r="G36" s="4">
        <v>14.205603089203301</v>
      </c>
      <c r="H36" s="4">
        <v>15.218868868423201</v>
      </c>
      <c r="I36" s="4">
        <v>17.087233057780299</v>
      </c>
      <c r="J36" s="4">
        <v>17.329223623875301</v>
      </c>
      <c r="K36" s="4">
        <v>20.429332896200702</v>
      </c>
      <c r="L36" s="4">
        <v>21.672150301068498</v>
      </c>
      <c r="M36" s="4">
        <v>22.0750369850828</v>
      </c>
      <c r="N36" s="4">
        <v>24.3164035346493</v>
      </c>
      <c r="O36" s="4">
        <v>24.733430200214901</v>
      </c>
      <c r="P36" s="4">
        <v>26.972537146983601</v>
      </c>
      <c r="Q36" s="4">
        <v>28.536285974510399</v>
      </c>
      <c r="R36" s="4">
        <v>28.193292642086401</v>
      </c>
      <c r="S36" s="4">
        <v>37.933871310180201</v>
      </c>
      <c r="T36" s="4">
        <v>29.093281588016801</v>
      </c>
    </row>
    <row r="37" spans="1:20" x14ac:dyDescent="0.25">
      <c r="A37" s="2">
        <v>155</v>
      </c>
      <c r="B37" s="4">
        <v>95.184346372932097</v>
      </c>
      <c r="C37" s="4">
        <v>62.607452457562601</v>
      </c>
      <c r="D37" s="4">
        <v>34.3509406540649</v>
      </c>
      <c r="E37" s="4">
        <v>18.3665269596126</v>
      </c>
      <c r="F37" s="4">
        <v>15.3471476827673</v>
      </c>
      <c r="G37" s="4">
        <v>16.012362987549501</v>
      </c>
      <c r="H37" s="4">
        <v>14.236920404519299</v>
      </c>
      <c r="I37" s="4">
        <v>16.979308092924398</v>
      </c>
      <c r="J37" s="4">
        <v>16.450051959479801</v>
      </c>
      <c r="K37" s="4">
        <v>19.4757239493238</v>
      </c>
      <c r="L37" s="4">
        <v>20.025742423054499</v>
      </c>
      <c r="M37" s="4">
        <v>22.943859047664098</v>
      </c>
      <c r="N37" s="4">
        <v>23.982487711827599</v>
      </c>
      <c r="O37" s="4">
        <v>25.313647654429001</v>
      </c>
      <c r="P37" s="4">
        <v>26.223721926977401</v>
      </c>
      <c r="Q37" s="4">
        <v>27.832501269194701</v>
      </c>
      <c r="R37" s="4">
        <v>28.129713111227101</v>
      </c>
      <c r="S37" s="4">
        <v>37.603369555358398</v>
      </c>
      <c r="T37" s="4">
        <v>29.203557926907799</v>
      </c>
    </row>
    <row r="38" spans="1:20" x14ac:dyDescent="0.25">
      <c r="A38" s="2">
        <v>160</v>
      </c>
      <c r="B38" s="4">
        <v>92.739185513132099</v>
      </c>
      <c r="C38" s="4">
        <v>60.167280519611701</v>
      </c>
      <c r="D38" s="4">
        <v>31.684072617650699</v>
      </c>
      <c r="E38" s="4">
        <v>20.872359478923499</v>
      </c>
      <c r="F38" s="4">
        <v>16.8714003451562</v>
      </c>
      <c r="G38" s="4">
        <v>15.675286042542201</v>
      </c>
      <c r="H38" s="4">
        <v>15.7423296359601</v>
      </c>
      <c r="I38" s="4">
        <v>16.987364902092299</v>
      </c>
      <c r="J38" s="4">
        <v>19.751753475512398</v>
      </c>
      <c r="K38" s="4">
        <v>20.808678383513602</v>
      </c>
      <c r="L38" s="4">
        <v>23.259772115102901</v>
      </c>
      <c r="M38" s="4">
        <v>23.114844691135001</v>
      </c>
      <c r="N38" s="4">
        <v>24.772988002101201</v>
      </c>
      <c r="O38" s="4">
        <v>25.6484714875847</v>
      </c>
      <c r="P38" s="4">
        <v>27.051844283387901</v>
      </c>
      <c r="Q38" s="4">
        <v>28.8174749010625</v>
      </c>
      <c r="R38" s="4">
        <v>26.890060632391201</v>
      </c>
      <c r="S38" s="4">
        <v>37.9664742983908</v>
      </c>
      <c r="T38" s="4">
        <v>30.531977638967799</v>
      </c>
    </row>
    <row r="39" spans="1:20" x14ac:dyDescent="0.25">
      <c r="A39" s="2">
        <v>165</v>
      </c>
      <c r="B39" s="4">
        <v>88.5948720299195</v>
      </c>
      <c r="C39" s="4">
        <v>61.132918361906398</v>
      </c>
      <c r="D39" s="4">
        <v>26.764128323854401</v>
      </c>
      <c r="E39" s="4">
        <v>19.442828466972099</v>
      </c>
      <c r="F39" s="4">
        <v>15.6020290880813</v>
      </c>
      <c r="G39" s="4">
        <v>16.9575225045865</v>
      </c>
      <c r="H39" s="4">
        <v>15.722721060727199</v>
      </c>
      <c r="I39" s="4">
        <v>17.1548666626916</v>
      </c>
      <c r="J39" s="4">
        <v>18.0039660638624</v>
      </c>
      <c r="K39" s="4">
        <v>21.586451120171301</v>
      </c>
      <c r="L39" s="4">
        <v>21.793142137789498</v>
      </c>
      <c r="M39" s="4">
        <v>23.7040352956395</v>
      </c>
      <c r="N39" s="4">
        <v>25.256328807219699</v>
      </c>
      <c r="O39" s="4">
        <v>26.302911306001199</v>
      </c>
      <c r="P39" s="4">
        <v>29.039030869454201</v>
      </c>
      <c r="Q39" s="4">
        <v>26.729376814243</v>
      </c>
      <c r="R39" s="4">
        <v>29.678055854484899</v>
      </c>
      <c r="S39" s="4">
        <v>37.449435435197202</v>
      </c>
      <c r="T39" s="4">
        <v>33.038415770394103</v>
      </c>
    </row>
    <row r="40" spans="1:20" x14ac:dyDescent="0.25">
      <c r="A40" s="2">
        <v>170</v>
      </c>
      <c r="B40" s="4">
        <v>87.049314469250206</v>
      </c>
      <c r="C40" s="4">
        <v>56.223761710353102</v>
      </c>
      <c r="D40" s="4">
        <v>24.648157435346999</v>
      </c>
      <c r="E40" s="4">
        <v>14.5561671413678</v>
      </c>
      <c r="F40" s="4">
        <v>15.308663252953099</v>
      </c>
      <c r="G40" s="4">
        <v>12.4474618665415</v>
      </c>
      <c r="H40" s="4">
        <v>16.059332854280498</v>
      </c>
      <c r="I40" s="4">
        <v>16.663852212206201</v>
      </c>
      <c r="J40" s="4">
        <v>18.767340643891401</v>
      </c>
      <c r="K40" s="4">
        <v>19.4321278539351</v>
      </c>
      <c r="L40" s="4">
        <v>22.560749533402401</v>
      </c>
      <c r="M40" s="4">
        <v>23.103608600190199</v>
      </c>
      <c r="N40" s="4">
        <v>21.3149330804839</v>
      </c>
      <c r="O40" s="4">
        <v>25.086052497712998</v>
      </c>
      <c r="P40" s="4">
        <v>27.8217257879882</v>
      </c>
      <c r="Q40" s="4">
        <v>27.8617862576289</v>
      </c>
      <c r="R40" s="4">
        <v>26.104836200898699</v>
      </c>
      <c r="S40" s="4">
        <v>35.137642805959999</v>
      </c>
      <c r="T40" s="4">
        <v>27.670433534974801</v>
      </c>
    </row>
    <row r="41" spans="1:20" x14ac:dyDescent="0.25">
      <c r="A41" s="2">
        <v>175</v>
      </c>
      <c r="B41" s="4">
        <v>91.420372858403695</v>
      </c>
      <c r="C41" s="4">
        <v>57.463017096096998</v>
      </c>
      <c r="D41" s="4">
        <v>32.4839255110087</v>
      </c>
      <c r="E41" s="4">
        <v>21.259854533442098</v>
      </c>
      <c r="F41" s="4">
        <v>18.1608111927289</v>
      </c>
      <c r="G41" s="4">
        <v>15.6537173678011</v>
      </c>
      <c r="H41" s="4">
        <v>15.6461622387588</v>
      </c>
      <c r="I41" s="4">
        <v>18.548414507229701</v>
      </c>
      <c r="J41" s="4">
        <v>19.7897088380467</v>
      </c>
      <c r="K41" s="4">
        <v>21.094400288440301</v>
      </c>
      <c r="L41" s="4">
        <v>24.307157473192301</v>
      </c>
      <c r="M41" s="4">
        <v>22.8062543934141</v>
      </c>
      <c r="N41" s="4">
        <v>26.244133894081799</v>
      </c>
      <c r="O41" s="4">
        <v>28.705076434663798</v>
      </c>
      <c r="P41" s="4">
        <v>26.713324523741399</v>
      </c>
      <c r="Q41" s="4">
        <v>28.031059687685602</v>
      </c>
      <c r="R41" s="4">
        <v>29.6147630672919</v>
      </c>
      <c r="S41" s="4">
        <v>37.340282025456702</v>
      </c>
      <c r="T41" s="4">
        <v>31.2338492869047</v>
      </c>
    </row>
    <row r="42" spans="1:20" x14ac:dyDescent="0.25">
      <c r="A42" s="2">
        <v>180</v>
      </c>
      <c r="B42" s="4">
        <v>85.741147416488005</v>
      </c>
      <c r="C42" s="4">
        <v>51.713743134010002</v>
      </c>
      <c r="D42" s="4">
        <v>30.023373009962398</v>
      </c>
      <c r="E42" s="4">
        <v>18.1792672460208</v>
      </c>
      <c r="F42" s="4">
        <v>14.156392550357801</v>
      </c>
      <c r="G42" s="4">
        <v>16.128857482770599</v>
      </c>
      <c r="H42" s="4">
        <v>16.6924234732071</v>
      </c>
      <c r="I42" s="4">
        <v>17.185679341375</v>
      </c>
      <c r="J42" s="4">
        <v>21.362474254611602</v>
      </c>
      <c r="K42" s="4">
        <v>20.534061445604301</v>
      </c>
      <c r="L42" s="4">
        <v>24.5421324830277</v>
      </c>
      <c r="M42" s="4">
        <v>20.630352532537199</v>
      </c>
      <c r="N42" s="4">
        <v>27.091564012371901</v>
      </c>
      <c r="O42" s="4">
        <v>26.660440522384899</v>
      </c>
      <c r="P42" s="4">
        <v>26.003810926158899</v>
      </c>
      <c r="Q42" s="4">
        <v>30.376963874643199</v>
      </c>
      <c r="R42" s="4">
        <v>29.013184763068502</v>
      </c>
      <c r="S42" s="4">
        <v>35.994823118591199</v>
      </c>
      <c r="T42" s="4">
        <v>29.4686048674406</v>
      </c>
    </row>
    <row r="43" spans="1:20" x14ac:dyDescent="0.25">
      <c r="A43" s="2">
        <v>185</v>
      </c>
      <c r="B43" s="4">
        <v>93.498404115310606</v>
      </c>
      <c r="C43" s="4">
        <v>61.322782136433197</v>
      </c>
      <c r="D43" s="4">
        <v>27.714911089677202</v>
      </c>
      <c r="E43" s="4">
        <v>20.9319513627741</v>
      </c>
      <c r="F43" s="4">
        <v>14.9263397607256</v>
      </c>
      <c r="G43" s="4">
        <v>17.797299294021901</v>
      </c>
      <c r="H43" s="4">
        <v>18.7552054356714</v>
      </c>
      <c r="I43" s="4">
        <v>18.5292984816457</v>
      </c>
      <c r="J43" s="4">
        <v>18.7541267972992</v>
      </c>
      <c r="K43" s="4">
        <v>22.664715886164299</v>
      </c>
      <c r="L43" s="4">
        <v>22.473217685386601</v>
      </c>
      <c r="M43" s="4">
        <v>25.532148881831201</v>
      </c>
      <c r="N43" s="4">
        <v>27.314891443582798</v>
      </c>
      <c r="O43" s="4">
        <v>25.4769268754394</v>
      </c>
      <c r="P43" s="4">
        <v>27.676566358027401</v>
      </c>
      <c r="Q43" s="4">
        <v>29.9532993958078</v>
      </c>
      <c r="R43" s="4">
        <v>30.4890114355014</v>
      </c>
      <c r="S43" s="4">
        <v>35.964943253450599</v>
      </c>
      <c r="T43" s="4">
        <v>28.350778810014798</v>
      </c>
    </row>
    <row r="44" spans="1:20" x14ac:dyDescent="0.25">
      <c r="A44" s="2">
        <v>190</v>
      </c>
      <c r="B44" s="4">
        <v>79.444204294549195</v>
      </c>
      <c r="C44" s="4">
        <v>54.6300511460786</v>
      </c>
      <c r="D44" s="4">
        <v>24.924080019878399</v>
      </c>
      <c r="E44" s="4">
        <v>16.401706736462799</v>
      </c>
      <c r="F44" s="4">
        <v>13.677673074762399</v>
      </c>
      <c r="G44" s="4">
        <v>14.9930424951863</v>
      </c>
      <c r="H44" s="4">
        <v>14.578367113129399</v>
      </c>
      <c r="I44" s="4">
        <v>16.077973224520601</v>
      </c>
      <c r="J44" s="4">
        <v>17.892162867660598</v>
      </c>
      <c r="K44" s="4">
        <v>22.191252322791801</v>
      </c>
      <c r="L44" s="4">
        <v>24.621191910966701</v>
      </c>
      <c r="M44" s="4">
        <v>22.805653036805701</v>
      </c>
      <c r="N44" s="4">
        <v>25.584636140628799</v>
      </c>
      <c r="O44" s="4">
        <v>24.150152274856399</v>
      </c>
      <c r="P44" s="4">
        <v>27.427553315976301</v>
      </c>
      <c r="Q44" s="4">
        <v>29.3976631144923</v>
      </c>
      <c r="R44" s="4">
        <v>26.784741773567902</v>
      </c>
      <c r="S44" s="4">
        <v>34.782597474552396</v>
      </c>
      <c r="T44" s="4">
        <v>30.881289696245901</v>
      </c>
    </row>
    <row r="45" spans="1:20" x14ac:dyDescent="0.25">
      <c r="A45" s="2">
        <v>195</v>
      </c>
      <c r="B45" s="4"/>
      <c r="C45" s="4">
        <v>38.293644749793003</v>
      </c>
      <c r="D45" s="4">
        <v>26.5293119568022</v>
      </c>
      <c r="E45" s="4">
        <v>14.1345501048914</v>
      </c>
      <c r="F45" s="4">
        <v>13.5235951538902</v>
      </c>
      <c r="G45" s="4">
        <v>15.514149189668199</v>
      </c>
      <c r="H45" s="4">
        <v>15.689341245269601</v>
      </c>
      <c r="I45" s="4">
        <v>18.5123347835553</v>
      </c>
      <c r="J45" s="4">
        <v>18.998847268333499</v>
      </c>
      <c r="K45" s="4">
        <v>18.8188598587138</v>
      </c>
      <c r="L45" s="4">
        <v>19.507846109530501</v>
      </c>
      <c r="M45" s="4">
        <v>24.717697640499701</v>
      </c>
      <c r="N45" s="4">
        <v>25.403074700584501</v>
      </c>
      <c r="O45" s="4">
        <v>28.012312034654499</v>
      </c>
      <c r="P45" s="4">
        <v>27.130236621756801</v>
      </c>
      <c r="Q45" s="4">
        <v>24.301569892523599</v>
      </c>
      <c r="R45" s="4">
        <v>24.815978563254799</v>
      </c>
      <c r="S45" s="4">
        <v>35.168444060580399</v>
      </c>
      <c r="T45" s="4">
        <v>22.165020723774798</v>
      </c>
    </row>
    <row r="46" spans="1:20" x14ac:dyDescent="0.25">
      <c r="A46" s="2">
        <v>200</v>
      </c>
      <c r="B46" s="4"/>
      <c r="C46" s="4">
        <v>51.236398120318</v>
      </c>
      <c r="D46" s="4">
        <v>34.817776370658201</v>
      </c>
      <c r="E46" s="4">
        <v>22.507626673087401</v>
      </c>
      <c r="F46" s="4">
        <v>17.861538269886601</v>
      </c>
      <c r="G46" s="4">
        <v>14.379865071456701</v>
      </c>
      <c r="H46" s="4">
        <v>14.0765797253835</v>
      </c>
      <c r="I46" s="4">
        <v>19.955828907964602</v>
      </c>
      <c r="J46" s="4">
        <v>19.016131249174801</v>
      </c>
      <c r="K46" s="4">
        <v>23.833805753195701</v>
      </c>
      <c r="L46" s="4">
        <v>23.8065919946315</v>
      </c>
      <c r="M46" s="4">
        <v>24.2717321939997</v>
      </c>
      <c r="N46" s="4">
        <v>26.4137299099534</v>
      </c>
      <c r="O46" s="4">
        <v>26.6328899991911</v>
      </c>
      <c r="P46" s="4">
        <v>24.456070218528701</v>
      </c>
      <c r="Q46" s="4">
        <v>27.826124770005698</v>
      </c>
      <c r="R46" s="4">
        <v>35.3053817292421</v>
      </c>
      <c r="S46" s="4">
        <v>34.761980023145803</v>
      </c>
      <c r="T46" s="4">
        <v>29.731735434658901</v>
      </c>
    </row>
    <row r="47" spans="1:20" x14ac:dyDescent="0.25">
      <c r="A47" s="2">
        <v>205</v>
      </c>
      <c r="B47" s="4"/>
      <c r="C47" s="4">
        <v>52.2859052676191</v>
      </c>
      <c r="D47" s="4">
        <v>24.392020976957198</v>
      </c>
      <c r="E47" s="4">
        <v>17.0237102377566</v>
      </c>
      <c r="F47" s="4">
        <v>16.438917197801999</v>
      </c>
      <c r="G47" s="4">
        <v>15.615588388499701</v>
      </c>
      <c r="H47" s="4">
        <v>19.4559163210312</v>
      </c>
      <c r="I47" s="4">
        <v>18.925875345947901</v>
      </c>
      <c r="J47" s="4">
        <v>18.5288930482163</v>
      </c>
      <c r="K47" s="4">
        <v>22.879674374671499</v>
      </c>
      <c r="L47" s="4">
        <v>26.380677317142101</v>
      </c>
      <c r="M47" s="4">
        <v>21.226884579013699</v>
      </c>
      <c r="N47" s="4">
        <v>20.815450326039802</v>
      </c>
      <c r="O47" s="4">
        <v>22.2762470304205</v>
      </c>
      <c r="P47" s="4">
        <v>26.468981243923601</v>
      </c>
      <c r="Q47" s="4">
        <v>29.517209536462399</v>
      </c>
      <c r="R47" s="4">
        <v>28.8443142246064</v>
      </c>
      <c r="S47" s="4">
        <v>32.031303774367501</v>
      </c>
      <c r="T47" s="4">
        <v>24.895140770856699</v>
      </c>
    </row>
    <row r="48" spans="1:20" x14ac:dyDescent="0.25">
      <c r="A48" s="2">
        <v>210</v>
      </c>
      <c r="B48" s="4"/>
      <c r="C48" s="4">
        <v>55.176725042208197</v>
      </c>
      <c r="D48" s="4">
        <v>26.906684309633899</v>
      </c>
      <c r="E48" s="4">
        <v>19.449283880783099</v>
      </c>
      <c r="F48" s="4">
        <v>18.9394416727452</v>
      </c>
      <c r="G48" s="4">
        <v>19.3821696509929</v>
      </c>
      <c r="H48" s="4">
        <v>15.7630966339925</v>
      </c>
      <c r="I48" s="4">
        <v>20.736310077852298</v>
      </c>
      <c r="J48" s="4">
        <v>22.287232623331501</v>
      </c>
      <c r="K48" s="4">
        <v>22.2574685305635</v>
      </c>
      <c r="L48" s="4">
        <v>22.323085486990799</v>
      </c>
      <c r="M48" s="4">
        <v>27.631958760593001</v>
      </c>
      <c r="N48" s="4">
        <v>27.192236803240199</v>
      </c>
      <c r="O48" s="4">
        <v>31.656963919252298</v>
      </c>
      <c r="P48" s="4">
        <v>20.9427356037314</v>
      </c>
      <c r="Q48" s="4">
        <v>25.974010211896001</v>
      </c>
      <c r="R48" s="4">
        <v>33.482649858314801</v>
      </c>
      <c r="S48" s="4">
        <v>33.664080429840801</v>
      </c>
      <c r="T48" s="4">
        <v>24.141350480859799</v>
      </c>
    </row>
    <row r="49" spans="1:20" x14ac:dyDescent="0.25">
      <c r="A49" s="2">
        <v>215</v>
      </c>
      <c r="B49" s="4"/>
      <c r="C49" s="4">
        <v>30.624082838776399</v>
      </c>
      <c r="D49" s="4">
        <v>20.741177680689098</v>
      </c>
      <c r="E49" s="4">
        <v>13.6290230295419</v>
      </c>
      <c r="F49" s="4">
        <v>12.742508613325301</v>
      </c>
      <c r="G49" s="4">
        <v>15.2912271388528</v>
      </c>
      <c r="H49" s="4">
        <v>14.4667007398926</v>
      </c>
      <c r="I49" s="4">
        <v>14.423411419498199</v>
      </c>
      <c r="J49" s="4">
        <v>19.425551393444199</v>
      </c>
      <c r="K49" s="4">
        <v>20.849710784264001</v>
      </c>
      <c r="L49" s="4">
        <v>26.3007307808261</v>
      </c>
      <c r="M49" s="4">
        <v>21.513666006368599</v>
      </c>
      <c r="N49" s="4">
        <v>16.001679678254099</v>
      </c>
      <c r="O49" s="4">
        <v>24.4399600474209</v>
      </c>
      <c r="P49" s="4">
        <v>26.075195859632501</v>
      </c>
      <c r="Q49" s="4">
        <v>22.527989703490501</v>
      </c>
      <c r="R49" s="4">
        <v>23.1352521447842</v>
      </c>
      <c r="S49" s="4">
        <v>30.6437635413875</v>
      </c>
      <c r="T49" s="4">
        <v>32.065884402915501</v>
      </c>
    </row>
    <row r="50" spans="1:20" x14ac:dyDescent="0.25">
      <c r="A50" s="2">
        <v>220</v>
      </c>
      <c r="B50" s="4"/>
      <c r="C50" s="4">
        <v>32.178363243312198</v>
      </c>
      <c r="D50" s="4">
        <v>19.5757521033789</v>
      </c>
      <c r="E50" s="4">
        <v>10.7621788234148</v>
      </c>
      <c r="F50" s="4">
        <v>12.136805766597099</v>
      </c>
      <c r="G50" s="4">
        <v>17.652001514666299</v>
      </c>
      <c r="H50" s="4">
        <v>20.120525566539701</v>
      </c>
      <c r="I50" s="4">
        <v>11.5089043699402</v>
      </c>
      <c r="J50" s="4">
        <v>14.076359339991001</v>
      </c>
      <c r="K50" s="4">
        <v>19.2543543636361</v>
      </c>
      <c r="L50" s="4">
        <v>28.798959285465799</v>
      </c>
      <c r="M50" s="4">
        <v>15.1320999745195</v>
      </c>
      <c r="N50" s="4">
        <v>18.091632782738898</v>
      </c>
      <c r="O50" s="4">
        <v>19.459449146041798</v>
      </c>
      <c r="P50" s="4">
        <v>24.843807884838402</v>
      </c>
      <c r="Q50" s="4">
        <v>41.821111881582603</v>
      </c>
      <c r="R50" s="4">
        <v>35.567430138497002</v>
      </c>
      <c r="S50" s="4">
        <v>31.262699017688401</v>
      </c>
      <c r="T50" s="4">
        <v>0.25507857865901801</v>
      </c>
    </row>
    <row r="51" spans="1:20" x14ac:dyDescent="0.25">
      <c r="A51" s="2">
        <v>225</v>
      </c>
      <c r="B51" s="4"/>
      <c r="C51" s="4">
        <v>50.1872912007385</v>
      </c>
      <c r="D51" s="4">
        <v>20.707496466721501</v>
      </c>
      <c r="E51" s="4">
        <v>19.3788518330011</v>
      </c>
      <c r="F51" s="4">
        <v>16.7699858450429</v>
      </c>
      <c r="G51" s="4">
        <v>13.7396436879419</v>
      </c>
      <c r="H51" s="4">
        <v>18.836559146123701</v>
      </c>
      <c r="I51" s="4">
        <v>14.7757158545427</v>
      </c>
      <c r="J51" s="4">
        <v>18.9500398597926</v>
      </c>
      <c r="K51" s="4">
        <v>22.368448519955901</v>
      </c>
      <c r="L51" s="4">
        <v>16.602235278605601</v>
      </c>
      <c r="M51" s="4">
        <v>25.112615807489899</v>
      </c>
      <c r="N51" s="4">
        <v>22.122503420467101</v>
      </c>
      <c r="O51" s="4">
        <v>24.1321983992128</v>
      </c>
      <c r="P51" s="4">
        <v>28.652957895691099</v>
      </c>
      <c r="Q51" s="4">
        <v>19.168581200581801</v>
      </c>
      <c r="R51" s="4">
        <v>31.376758755230401</v>
      </c>
      <c r="S51" s="4">
        <v>28.085516546022401</v>
      </c>
      <c r="T51" s="4">
        <v>37.134094788817897</v>
      </c>
    </row>
    <row r="52" spans="1:20" x14ac:dyDescent="0.25">
      <c r="A52" s="2">
        <v>230</v>
      </c>
      <c r="B52" s="4"/>
      <c r="C52" s="4">
        <v>42.106712223973702</v>
      </c>
      <c r="D52" s="4">
        <v>25.9739020314653</v>
      </c>
      <c r="E52" s="4">
        <v>17.9720029936564</v>
      </c>
      <c r="F52" s="4">
        <v>15.8644143441447</v>
      </c>
      <c r="G52" s="4">
        <v>12.333426821318699</v>
      </c>
      <c r="H52" s="4">
        <v>20.037509035027899</v>
      </c>
      <c r="I52" s="4">
        <v>11.7537373530081</v>
      </c>
      <c r="J52" s="4">
        <v>17.139723253490398</v>
      </c>
      <c r="K52" s="4">
        <v>20.763083282297</v>
      </c>
      <c r="L52" s="4">
        <v>21.6003047240537</v>
      </c>
      <c r="M52" s="4">
        <v>21.500174337640502</v>
      </c>
      <c r="N52" s="4">
        <v>16.598845041889302</v>
      </c>
      <c r="O52" s="4">
        <v>16.408566115185099</v>
      </c>
      <c r="P52" s="4">
        <v>32.8407771882055</v>
      </c>
      <c r="Q52" s="4">
        <v>40.818607066990502</v>
      </c>
      <c r="R52" s="4">
        <v>36.110736118615399</v>
      </c>
      <c r="S52" s="4">
        <v>18.187102840984402</v>
      </c>
      <c r="T52" s="4">
        <v>21.4770455370289</v>
      </c>
    </row>
    <row r="53" spans="1:20" x14ac:dyDescent="0.25">
      <c r="A53" s="2">
        <v>235</v>
      </c>
      <c r="B53" s="4"/>
      <c r="C53" s="4">
        <v>44.023646750257903</v>
      </c>
      <c r="D53" s="4">
        <v>29.354396083303602</v>
      </c>
      <c r="E53" s="4">
        <v>19.023401406630398</v>
      </c>
      <c r="F53" s="4">
        <v>17.8252531684236</v>
      </c>
      <c r="G53" s="4">
        <v>12.997581724113299</v>
      </c>
      <c r="H53" s="4">
        <v>23.590151197905598</v>
      </c>
      <c r="I53" s="4">
        <v>18.5899529323591</v>
      </c>
      <c r="J53" s="4">
        <v>20.775947865963602</v>
      </c>
      <c r="K53" s="4">
        <v>27.8662414799857</v>
      </c>
      <c r="L53" s="4">
        <v>28.0930189685829</v>
      </c>
      <c r="M53" s="4">
        <v>33.4548545136279</v>
      </c>
      <c r="N53" s="4">
        <v>22.387346570258799</v>
      </c>
      <c r="O53" s="4">
        <v>16.078884927811298</v>
      </c>
      <c r="P53" s="4">
        <v>0.252015595000599</v>
      </c>
      <c r="Q53" s="4">
        <v>22.354012364203001</v>
      </c>
      <c r="R53" s="4">
        <v>40.787444879418601</v>
      </c>
      <c r="S53" s="4">
        <v>26.800582367613998</v>
      </c>
      <c r="T53" s="4">
        <v>0.19487168354850301</v>
      </c>
    </row>
    <row r="54" spans="1:20" x14ac:dyDescent="0.25">
      <c r="A54" s="2">
        <v>240</v>
      </c>
      <c r="B54" s="4"/>
      <c r="C54" s="4">
        <v>42.125181806641699</v>
      </c>
      <c r="D54" s="4">
        <v>29.123317623210799</v>
      </c>
      <c r="E54" s="4">
        <v>19.8951365302865</v>
      </c>
      <c r="F54" s="4">
        <v>9.0103050925448507</v>
      </c>
      <c r="G54" s="4">
        <v>15.819178455268499</v>
      </c>
      <c r="H54" s="4">
        <v>15.0801962586391</v>
      </c>
      <c r="I54" s="4">
        <v>17.250828937918602</v>
      </c>
      <c r="J54" s="4">
        <v>29.9086362423424</v>
      </c>
      <c r="K54" s="4">
        <v>27.929154324372799</v>
      </c>
      <c r="L54" s="4">
        <v>24.244042049362399</v>
      </c>
      <c r="M54" s="4">
        <v>26.153631808009902</v>
      </c>
      <c r="N54" s="4">
        <v>21.290146778061999</v>
      </c>
      <c r="O54" s="4">
        <v>32.906134530117598</v>
      </c>
      <c r="P54" s="4">
        <v>10.2751682126631</v>
      </c>
      <c r="Q54" s="4">
        <v>12.445391030184201</v>
      </c>
      <c r="R54" s="4">
        <v>36.031012883792101</v>
      </c>
      <c r="S54" s="4">
        <v>46.875994629265001</v>
      </c>
      <c r="T54" s="4">
        <v>19.570538787408999</v>
      </c>
    </row>
    <row r="55" spans="1:20" x14ac:dyDescent="0.25">
      <c r="A55" s="2">
        <v>245</v>
      </c>
      <c r="B55" s="4"/>
      <c r="C55" s="4"/>
      <c r="D55" s="4">
        <v>9.9829846116693606</v>
      </c>
      <c r="E55" s="4">
        <v>18.816016209799201</v>
      </c>
      <c r="F55" s="4">
        <v>16.006750539046301</v>
      </c>
      <c r="G55" s="4">
        <v>15.6967179755193</v>
      </c>
      <c r="H55" s="4">
        <v>13.070557830655799</v>
      </c>
      <c r="I55" s="4">
        <v>23.971627767142099</v>
      </c>
      <c r="J55" s="4">
        <v>1.2026243830304799</v>
      </c>
      <c r="K55" s="4">
        <v>8.3419562775070109</v>
      </c>
      <c r="L55" s="4">
        <v>37.720878238765302</v>
      </c>
      <c r="M55" s="4">
        <v>11.195344734926101</v>
      </c>
      <c r="N55" s="4">
        <v>36.830902793086402</v>
      </c>
      <c r="O55" s="4">
        <v>14.67108844593</v>
      </c>
      <c r="P55" s="4">
        <v>20.9321175602078</v>
      </c>
      <c r="Q55" s="4">
        <v>35.182185922706303</v>
      </c>
      <c r="R55" s="4">
        <v>51.020575991415001</v>
      </c>
      <c r="S55" s="4">
        <v>43.317682907666502</v>
      </c>
      <c r="T55" s="4">
        <v>47.718023744900101</v>
      </c>
    </row>
    <row r="56" spans="1:20" x14ac:dyDescent="0.25">
      <c r="A56" s="2">
        <v>250</v>
      </c>
      <c r="B56" s="4"/>
      <c r="C56" s="4">
        <v>47.669231315930801</v>
      </c>
      <c r="D56" s="4">
        <v>20.6903771114895</v>
      </c>
      <c r="E56" s="4">
        <v>9.7337259086499195</v>
      </c>
      <c r="F56" s="4">
        <v>16.688280593224398</v>
      </c>
      <c r="G56" s="4">
        <v>18.044443724800502</v>
      </c>
      <c r="H56" s="4">
        <v>17.959927784477301</v>
      </c>
      <c r="I56" s="4">
        <v>20.273051644948101</v>
      </c>
      <c r="J56" s="4">
        <v>14.8763102553206</v>
      </c>
      <c r="K56" s="4">
        <v>42.365330435133501</v>
      </c>
      <c r="L56" s="4">
        <v>8.8333865676342196</v>
      </c>
      <c r="M56" s="4">
        <v>24.582954551734598</v>
      </c>
      <c r="N56" s="4">
        <v>29.4859290920257</v>
      </c>
      <c r="O56" s="4">
        <v>52.2289937640478</v>
      </c>
      <c r="P56" s="4">
        <v>21.128194273821499</v>
      </c>
      <c r="Q56" s="4">
        <v>51.821100141516098</v>
      </c>
      <c r="R56" s="4">
        <v>0.238763084736027</v>
      </c>
      <c r="S56" s="4">
        <v>19.275074728330999</v>
      </c>
      <c r="T56" s="4">
        <v>17.731050924537001</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U81"/>
  <sheetViews>
    <sheetView workbookViewId="0">
      <selection activeCell="A4" sqref="A4:T59"/>
    </sheetView>
  </sheetViews>
  <sheetFormatPr defaultRowHeight="15" x14ac:dyDescent="0.25"/>
  <cols>
    <col min="1" max="1" width="20.140625" customWidth="1"/>
    <col min="2" max="2" width="16.28515625" customWidth="1"/>
    <col min="3" max="20" width="7" customWidth="1"/>
    <col min="21" max="21" width="7.28515625" customWidth="1"/>
  </cols>
  <sheetData>
    <row r="3" spans="1:21" x14ac:dyDescent="0.25">
      <c r="A3" s="1" t="s">
        <v>23</v>
      </c>
      <c r="B3" s="1" t="s">
        <v>22</v>
      </c>
    </row>
    <row r="4" spans="1:21" x14ac:dyDescent="0.25">
      <c r="A4" s="1" t="s">
        <v>21</v>
      </c>
      <c r="B4">
        <v>10</v>
      </c>
      <c r="C4">
        <v>20</v>
      </c>
      <c r="D4">
        <v>30</v>
      </c>
      <c r="E4">
        <v>40</v>
      </c>
      <c r="F4">
        <v>50</v>
      </c>
      <c r="G4">
        <v>60</v>
      </c>
      <c r="H4">
        <v>70</v>
      </c>
      <c r="I4">
        <v>80</v>
      </c>
      <c r="J4">
        <v>90</v>
      </c>
      <c r="K4">
        <v>100</v>
      </c>
      <c r="L4">
        <v>110</v>
      </c>
      <c r="M4">
        <v>120</v>
      </c>
      <c r="N4">
        <v>130</v>
      </c>
      <c r="O4">
        <v>140</v>
      </c>
      <c r="P4">
        <v>150</v>
      </c>
      <c r="Q4">
        <v>160</v>
      </c>
      <c r="R4">
        <v>170</v>
      </c>
      <c r="S4">
        <v>175</v>
      </c>
      <c r="T4">
        <v>180</v>
      </c>
      <c r="U4" t="s">
        <v>25</v>
      </c>
    </row>
    <row r="5" spans="1:21" x14ac:dyDescent="0.25">
      <c r="A5" s="2">
        <v>-25</v>
      </c>
      <c r="B5" s="4">
        <v>90.0457927430963</v>
      </c>
      <c r="C5" s="4">
        <v>64.079831000110104</v>
      </c>
      <c r="D5" s="4">
        <v>31.707892399826299</v>
      </c>
      <c r="E5" s="4">
        <v>15.1334643128639</v>
      </c>
      <c r="F5" s="4">
        <v>9.9030299739426901</v>
      </c>
      <c r="G5" s="4">
        <v>8.0795177965137697</v>
      </c>
      <c r="H5" s="4">
        <v>7.2213767221873697</v>
      </c>
      <c r="I5" s="4">
        <v>6.72535845610353</v>
      </c>
      <c r="J5" s="4">
        <v>6.7273956075274697</v>
      </c>
      <c r="K5" s="4">
        <v>6.1983349838056201</v>
      </c>
      <c r="L5" s="4">
        <v>6.1508329061516198</v>
      </c>
      <c r="M5" s="4">
        <v>6.01864874982068</v>
      </c>
      <c r="N5" s="4">
        <v>5.9980416489125297</v>
      </c>
      <c r="O5" s="4">
        <v>5.7248006393287199</v>
      </c>
      <c r="P5" s="4">
        <v>5.9784956938347698</v>
      </c>
      <c r="Q5" s="4">
        <v>5.7883430595130001</v>
      </c>
      <c r="R5" s="4">
        <v>5.6367430894106301</v>
      </c>
      <c r="S5" s="4">
        <v>5.19217176394248</v>
      </c>
      <c r="T5" s="4">
        <v>5.6628410937374802</v>
      </c>
      <c r="U5" s="4"/>
    </row>
    <row r="6" spans="1:21" x14ac:dyDescent="0.25">
      <c r="A6" s="2">
        <v>-15</v>
      </c>
      <c r="B6" s="4">
        <v>91.623070157209398</v>
      </c>
      <c r="C6" s="4">
        <v>69.6790185612344</v>
      </c>
      <c r="D6" s="4">
        <v>36.899575952459699</v>
      </c>
      <c r="E6" s="4">
        <v>17.3834969015764</v>
      </c>
      <c r="F6" s="4">
        <v>11.124303608328701</v>
      </c>
      <c r="G6" s="4">
        <v>8.6805861008429108</v>
      </c>
      <c r="H6" s="4">
        <v>7.60798429900803</v>
      </c>
      <c r="I6" s="4">
        <v>7.4805430498898504</v>
      </c>
      <c r="J6" s="4">
        <v>7.8620456580270099</v>
      </c>
      <c r="K6" s="4">
        <v>7.3503909716776299</v>
      </c>
      <c r="L6" s="4">
        <v>6.8318579596419999</v>
      </c>
      <c r="M6" s="4">
        <v>7.1470810689910804</v>
      </c>
      <c r="N6" s="4">
        <v>7.3289776070984702</v>
      </c>
      <c r="O6" s="4">
        <v>6.6226249984795</v>
      </c>
      <c r="P6" s="4">
        <v>7.2582676732149096</v>
      </c>
      <c r="Q6" s="4">
        <v>7.0620182999663896</v>
      </c>
      <c r="R6" s="4">
        <v>7.39347190011385</v>
      </c>
      <c r="S6" s="4">
        <v>6.7336126395825397</v>
      </c>
      <c r="T6" s="4">
        <v>7.1324311004802903</v>
      </c>
      <c r="U6" s="4"/>
    </row>
    <row r="7" spans="1:21" x14ac:dyDescent="0.25">
      <c r="A7" s="2">
        <v>-10</v>
      </c>
      <c r="B7" s="4">
        <v>89.638896757730805</v>
      </c>
      <c r="C7" s="4">
        <v>67.895422309068806</v>
      </c>
      <c r="D7" s="4">
        <v>36.963245172748501</v>
      </c>
      <c r="E7" s="4">
        <v>18.038157211591699</v>
      </c>
      <c r="F7" s="4">
        <v>12.094217696445799</v>
      </c>
      <c r="G7" s="4">
        <v>9.3857577878501903</v>
      </c>
      <c r="H7" s="4">
        <v>8.5316426375462697</v>
      </c>
      <c r="I7" s="4">
        <v>8.3592662988301996</v>
      </c>
      <c r="J7" s="4">
        <v>7.7915826465785702</v>
      </c>
      <c r="K7" s="4">
        <v>7.4585722426706198</v>
      </c>
      <c r="L7" s="4">
        <v>7.1811731727842902</v>
      </c>
      <c r="M7" s="4">
        <v>7.3643048870210599</v>
      </c>
      <c r="N7" s="4">
        <v>7.2359503609161697</v>
      </c>
      <c r="O7" s="4">
        <v>7.72379216318798</v>
      </c>
      <c r="P7" s="4">
        <v>7.0846099949903198</v>
      </c>
      <c r="Q7" s="4">
        <v>7.1845080037510201</v>
      </c>
      <c r="R7" s="4">
        <v>7.0928405090414701</v>
      </c>
      <c r="S7" s="4">
        <v>7.2025540868609896</v>
      </c>
      <c r="T7" s="4">
        <v>7.5544325032285302</v>
      </c>
      <c r="U7" s="4"/>
    </row>
    <row r="8" spans="1:21" x14ac:dyDescent="0.25">
      <c r="A8" s="2">
        <v>-5</v>
      </c>
      <c r="B8" s="4">
        <v>92.1996129886913</v>
      </c>
      <c r="C8" s="4">
        <v>71.179348132048105</v>
      </c>
      <c r="D8" s="4">
        <v>34.954703039357597</v>
      </c>
      <c r="E8" s="4">
        <v>16.932134504374801</v>
      </c>
      <c r="F8" s="4">
        <v>11.5415398860063</v>
      </c>
      <c r="G8" s="4">
        <v>9.3130142574881702</v>
      </c>
      <c r="H8" s="4">
        <v>8.5268070635036803</v>
      </c>
      <c r="I8" s="4">
        <v>7.4374506077358404</v>
      </c>
      <c r="J8" s="4">
        <v>7.4717381758200698</v>
      </c>
      <c r="K8" s="4">
        <v>7.9561029804538199</v>
      </c>
      <c r="L8" s="4">
        <v>7.7793733023266496</v>
      </c>
      <c r="M8" s="4">
        <v>7.3571219664248098</v>
      </c>
      <c r="N8" s="4">
        <v>7.46170518312735</v>
      </c>
      <c r="O8" s="4">
        <v>7.5134142517776201</v>
      </c>
      <c r="P8" s="4">
        <v>7.8908733758567902</v>
      </c>
      <c r="Q8" s="4">
        <v>7.1404422375429899</v>
      </c>
      <c r="R8" s="4">
        <v>6.9989426269617496</v>
      </c>
      <c r="S8" s="4">
        <v>7.5363918476315703</v>
      </c>
      <c r="T8" s="4">
        <v>6.6278539027534196</v>
      </c>
      <c r="U8" s="4"/>
    </row>
    <row r="9" spans="1:21" x14ac:dyDescent="0.25">
      <c r="A9" s="2">
        <v>0</v>
      </c>
      <c r="B9" s="4">
        <v>89.208606476070401</v>
      </c>
      <c r="C9" s="4">
        <v>72.752072080639394</v>
      </c>
      <c r="D9" s="4">
        <v>40.381822472356497</v>
      </c>
      <c r="E9" s="4">
        <v>16.1010422915442</v>
      </c>
      <c r="F9" s="4">
        <v>11.902716847861701</v>
      </c>
      <c r="G9" s="4">
        <v>8.0138615757482903</v>
      </c>
      <c r="H9" s="4">
        <v>8.3348111813328405</v>
      </c>
      <c r="I9" s="4">
        <v>8.1505700920075004</v>
      </c>
      <c r="J9" s="4">
        <v>7.2835938389932799</v>
      </c>
      <c r="K9" s="4">
        <v>7.6079540279936797</v>
      </c>
      <c r="L9" s="4">
        <v>8.2106751749075304</v>
      </c>
      <c r="M9" s="4">
        <v>7.4979874151818899</v>
      </c>
      <c r="N9" s="4">
        <v>7.4238734285865497</v>
      </c>
      <c r="O9" s="4">
        <v>7.1129723042855204</v>
      </c>
      <c r="P9" s="4">
        <v>7.3686369873700999</v>
      </c>
      <c r="Q9" s="4">
        <v>7.8046021539688697</v>
      </c>
      <c r="R9" s="4">
        <v>7.6818013501275102</v>
      </c>
      <c r="S9" s="4">
        <v>8.0672748993042198</v>
      </c>
      <c r="T9" s="4">
        <v>7.0917190828995604</v>
      </c>
      <c r="U9" s="4"/>
    </row>
    <row r="10" spans="1:21" x14ac:dyDescent="0.25">
      <c r="A10" s="2">
        <v>5</v>
      </c>
      <c r="B10" s="4">
        <v>92.851581848312904</v>
      </c>
      <c r="C10" s="4">
        <v>69.549865556020094</v>
      </c>
      <c r="D10" s="4">
        <v>35.870819999258401</v>
      </c>
      <c r="E10" s="4">
        <v>16.352231711346601</v>
      </c>
      <c r="F10" s="4">
        <v>10.7243327315944</v>
      </c>
      <c r="G10" s="4">
        <v>10.0518989613195</v>
      </c>
      <c r="H10" s="4">
        <v>8.7715591056667694</v>
      </c>
      <c r="I10" s="4">
        <v>7.9699779019127002</v>
      </c>
      <c r="J10" s="4">
        <v>7.5134159181811402</v>
      </c>
      <c r="K10" s="4">
        <v>7.9487307950805004</v>
      </c>
      <c r="L10" s="4">
        <v>7.5157394943161497</v>
      </c>
      <c r="M10" s="4">
        <v>7.7839919366814101</v>
      </c>
      <c r="N10" s="4">
        <v>7.3254043540575298</v>
      </c>
      <c r="O10" s="4">
        <v>7.6954450661337397</v>
      </c>
      <c r="P10" s="4">
        <v>8.0105099350406501</v>
      </c>
      <c r="Q10" s="4">
        <v>7.6528301764752804</v>
      </c>
      <c r="R10" s="4">
        <v>7.6718317645468499</v>
      </c>
      <c r="S10" s="4">
        <v>8.8522613240069692</v>
      </c>
      <c r="T10" s="4">
        <v>7.8133658720463597</v>
      </c>
      <c r="U10" s="4"/>
    </row>
    <row r="11" spans="1:21" x14ac:dyDescent="0.25">
      <c r="A11" s="2">
        <v>10</v>
      </c>
      <c r="B11" s="4">
        <v>94.044742269240302</v>
      </c>
      <c r="C11" s="4">
        <v>65.907548626275798</v>
      </c>
      <c r="D11" s="4">
        <v>35.040850066805099</v>
      </c>
      <c r="E11" s="4">
        <v>17.761097069279401</v>
      </c>
      <c r="F11" s="4">
        <v>11.720617292162199</v>
      </c>
      <c r="G11" s="4">
        <v>9.9210241256148599</v>
      </c>
      <c r="H11" s="4">
        <v>8.5510437364632708</v>
      </c>
      <c r="I11" s="4">
        <v>9.13323069003577</v>
      </c>
      <c r="J11" s="4">
        <v>8.2020783208901697</v>
      </c>
      <c r="K11" s="4">
        <v>8.4384760683162305</v>
      </c>
      <c r="L11" s="4">
        <v>8.19750187609786</v>
      </c>
      <c r="M11" s="4">
        <v>8.6004385163476904</v>
      </c>
      <c r="N11" s="4">
        <v>8.0490115198449708</v>
      </c>
      <c r="O11" s="4">
        <v>8.5009973815255506</v>
      </c>
      <c r="P11" s="4">
        <v>8.1858754564830392</v>
      </c>
      <c r="Q11" s="4">
        <v>8.6864100309409906</v>
      </c>
      <c r="R11" s="4">
        <v>8.7268686278620908</v>
      </c>
      <c r="S11" s="4">
        <v>10.124112511247301</v>
      </c>
      <c r="T11" s="4">
        <v>8.6331272429939592</v>
      </c>
      <c r="U11" s="4"/>
    </row>
    <row r="12" spans="1:21" x14ac:dyDescent="0.25">
      <c r="A12" s="2">
        <v>15</v>
      </c>
      <c r="B12" s="4">
        <v>92.946943733561099</v>
      </c>
      <c r="C12" s="4">
        <v>63.368980267297701</v>
      </c>
      <c r="D12" s="4">
        <v>32.530467584678298</v>
      </c>
      <c r="E12" s="4">
        <v>16.050304431638398</v>
      </c>
      <c r="F12" s="4">
        <v>11.4734158442658</v>
      </c>
      <c r="G12" s="4">
        <v>9.7899577471123607</v>
      </c>
      <c r="H12" s="4">
        <v>8.5504197899004097</v>
      </c>
      <c r="I12" s="4">
        <v>8.0849455531479002</v>
      </c>
      <c r="J12" s="4">
        <v>7.6121496634530699</v>
      </c>
      <c r="K12" s="4">
        <v>8.3262498729317507</v>
      </c>
      <c r="L12" s="4">
        <v>7.8937845466945804</v>
      </c>
      <c r="M12" s="4">
        <v>8.2545155024687595</v>
      </c>
      <c r="N12" s="4">
        <v>8.7145571083064297</v>
      </c>
      <c r="O12" s="4">
        <v>8.4976189870883001</v>
      </c>
      <c r="P12" s="4">
        <v>8.3385257287537602</v>
      </c>
      <c r="Q12" s="4">
        <v>8.5478021859962094</v>
      </c>
      <c r="R12" s="4">
        <v>9.3687600068418107</v>
      </c>
      <c r="S12" s="4">
        <v>11.001054083967601</v>
      </c>
      <c r="T12" s="4">
        <v>8.1162419778958199</v>
      </c>
      <c r="U12" s="4"/>
    </row>
    <row r="13" spans="1:21" x14ac:dyDescent="0.25">
      <c r="A13" s="2">
        <v>20</v>
      </c>
      <c r="B13" s="4">
        <v>88.089896717483001</v>
      </c>
      <c r="C13" s="4">
        <v>62.845179006989802</v>
      </c>
      <c r="D13" s="4">
        <v>32.060195235824601</v>
      </c>
      <c r="E13" s="4">
        <v>15.9450503511303</v>
      </c>
      <c r="F13" s="4">
        <v>10.633354027478999</v>
      </c>
      <c r="G13" s="4">
        <v>9.7025753175343006</v>
      </c>
      <c r="H13" s="4">
        <v>8.8121795024272593</v>
      </c>
      <c r="I13" s="4">
        <v>8.7769409674244301</v>
      </c>
      <c r="J13" s="4">
        <v>8.0653791481177208</v>
      </c>
      <c r="K13" s="4">
        <v>8.58264796266125</v>
      </c>
      <c r="L13" s="4">
        <v>8.2784416958534095</v>
      </c>
      <c r="M13" s="4">
        <v>8.0300156617784992</v>
      </c>
      <c r="N13" s="4">
        <v>8.7063284803422594</v>
      </c>
      <c r="O13" s="4">
        <v>9.0164304813543303</v>
      </c>
      <c r="P13" s="4">
        <v>9.6414833181847808</v>
      </c>
      <c r="Q13" s="4">
        <v>9.4026965318404105</v>
      </c>
      <c r="R13" s="4">
        <v>8.7267010194788295</v>
      </c>
      <c r="S13" s="4">
        <v>11.9944544351904</v>
      </c>
      <c r="T13" s="4">
        <v>8.8761502118072197</v>
      </c>
      <c r="U13" s="4"/>
    </row>
    <row r="14" spans="1:21" x14ac:dyDescent="0.25">
      <c r="A14" s="2">
        <v>25</v>
      </c>
      <c r="B14" s="4">
        <v>90.605818895171396</v>
      </c>
      <c r="C14" s="4">
        <v>65.872657717304705</v>
      </c>
      <c r="D14" s="4">
        <v>29.652827002278901</v>
      </c>
      <c r="E14" s="4">
        <v>16.669687726075299</v>
      </c>
      <c r="F14" s="4">
        <v>11.180958085987101</v>
      </c>
      <c r="G14" s="4">
        <v>9.2735422014736901</v>
      </c>
      <c r="H14" s="4">
        <v>9.07379132265193</v>
      </c>
      <c r="I14" s="4">
        <v>8.4277556070200905</v>
      </c>
      <c r="J14" s="4">
        <v>8.6201202114993194</v>
      </c>
      <c r="K14" s="4">
        <v>8.5883834100042193</v>
      </c>
      <c r="L14" s="4">
        <v>8.27235602172677</v>
      </c>
      <c r="M14" s="4">
        <v>8.6994296319635698</v>
      </c>
      <c r="N14" s="4">
        <v>8.8139815219650597</v>
      </c>
      <c r="O14" s="4">
        <v>9.0458883404012997</v>
      </c>
      <c r="P14" s="4">
        <v>8.8577687912007796</v>
      </c>
      <c r="Q14" s="4">
        <v>9.5093306452333302</v>
      </c>
      <c r="R14" s="4">
        <v>9.0891776779122608</v>
      </c>
      <c r="S14" s="4">
        <v>13.0359946586794</v>
      </c>
      <c r="T14" s="4">
        <v>9.7610873184281193</v>
      </c>
      <c r="U14" s="4"/>
    </row>
    <row r="15" spans="1:21" x14ac:dyDescent="0.25">
      <c r="A15" s="2">
        <v>30</v>
      </c>
      <c r="B15" s="4">
        <v>88.297668708859007</v>
      </c>
      <c r="C15" s="4">
        <v>67.882929615301194</v>
      </c>
      <c r="D15" s="4">
        <v>26.905047418761601</v>
      </c>
      <c r="E15" s="4">
        <v>16.6105455863785</v>
      </c>
      <c r="F15" s="4">
        <v>12.383878164032501</v>
      </c>
      <c r="G15" s="4">
        <v>9.7346086655700699</v>
      </c>
      <c r="H15" s="4">
        <v>8.7171381038679598</v>
      </c>
      <c r="I15" s="4">
        <v>8.8119126801140606</v>
      </c>
      <c r="J15" s="4">
        <v>8.6871829018265903</v>
      </c>
      <c r="K15" s="4">
        <v>8.8205840092229799</v>
      </c>
      <c r="L15" s="4">
        <v>8.5783661288668807</v>
      </c>
      <c r="M15" s="4">
        <v>8.8368633320106191</v>
      </c>
      <c r="N15" s="4">
        <v>8.9749261241426002</v>
      </c>
      <c r="O15" s="4">
        <v>9.1202673692930407</v>
      </c>
      <c r="P15" s="4">
        <v>8.9760252046940892</v>
      </c>
      <c r="Q15" s="4">
        <v>9.9540737150468797</v>
      </c>
      <c r="R15" s="4">
        <v>9.7620886934883107</v>
      </c>
      <c r="S15" s="4">
        <v>14.5758123091095</v>
      </c>
      <c r="T15" s="4">
        <v>10.1739048569729</v>
      </c>
      <c r="U15" s="4"/>
    </row>
    <row r="16" spans="1:21" x14ac:dyDescent="0.25">
      <c r="A16" s="2">
        <v>35</v>
      </c>
      <c r="B16" s="4">
        <v>88.963285810644606</v>
      </c>
      <c r="C16" s="4">
        <v>68.612476237909505</v>
      </c>
      <c r="D16" s="4">
        <v>32.379810059029197</v>
      </c>
      <c r="E16" s="4">
        <v>18.7440495082216</v>
      </c>
      <c r="F16" s="4">
        <v>13.132441931776199</v>
      </c>
      <c r="G16" s="4">
        <v>10.279317116363099</v>
      </c>
      <c r="H16" s="4">
        <v>9.1608310465454306</v>
      </c>
      <c r="I16" s="4">
        <v>8.5879585646839107</v>
      </c>
      <c r="J16" s="4">
        <v>9.3363033330959198</v>
      </c>
      <c r="K16" s="4">
        <v>9.0509041274088506</v>
      </c>
      <c r="L16" s="4">
        <v>8.9626178045871701</v>
      </c>
      <c r="M16" s="4">
        <v>9.9080705628824397</v>
      </c>
      <c r="N16" s="4">
        <v>9.4565853090994096</v>
      </c>
      <c r="O16" s="4">
        <v>9.8562473389059804</v>
      </c>
      <c r="P16" s="4">
        <v>10.5266443556157</v>
      </c>
      <c r="Q16" s="4">
        <v>10.158921779760499</v>
      </c>
      <c r="R16" s="4">
        <v>10.1102832416883</v>
      </c>
      <c r="S16" s="4">
        <v>15.263373163011</v>
      </c>
      <c r="T16" s="4">
        <v>10.140027413021601</v>
      </c>
      <c r="U16" s="4"/>
    </row>
    <row r="17" spans="1:21" x14ac:dyDescent="0.25">
      <c r="A17" s="2">
        <v>40</v>
      </c>
      <c r="B17" s="4">
        <v>89.225502731540004</v>
      </c>
      <c r="C17" s="4">
        <v>62.7581925721448</v>
      </c>
      <c r="D17" s="4">
        <v>32.325604746881901</v>
      </c>
      <c r="E17" s="4">
        <v>16.924327686687501</v>
      </c>
      <c r="F17" s="4">
        <v>12.107438707804899</v>
      </c>
      <c r="G17" s="4">
        <v>9.0495432204951207</v>
      </c>
      <c r="H17" s="4">
        <v>9.5602227168195792</v>
      </c>
      <c r="I17" s="4">
        <v>8.5117825697236906</v>
      </c>
      <c r="J17" s="4">
        <v>9.1145506939059899</v>
      </c>
      <c r="K17" s="4">
        <v>8.7468994013902197</v>
      </c>
      <c r="L17" s="4">
        <v>8.5976234371769902</v>
      </c>
      <c r="M17" s="4">
        <v>9.5567914614324305</v>
      </c>
      <c r="N17" s="4">
        <v>9.6847902823780299</v>
      </c>
      <c r="O17" s="4">
        <v>10.104459347308101</v>
      </c>
      <c r="P17" s="4">
        <v>9.8674452331683202</v>
      </c>
      <c r="Q17" s="4">
        <v>10.4460884843858</v>
      </c>
      <c r="R17" s="4">
        <v>10.9381690886343</v>
      </c>
      <c r="S17" s="4">
        <v>17.034612795950601</v>
      </c>
      <c r="T17" s="4">
        <v>10.1520147527436</v>
      </c>
      <c r="U17" s="4"/>
    </row>
    <row r="18" spans="1:21" x14ac:dyDescent="0.25">
      <c r="A18" s="2">
        <v>45</v>
      </c>
      <c r="B18" s="4">
        <v>88.179384741023597</v>
      </c>
      <c r="C18" s="4">
        <v>66.501996201023999</v>
      </c>
      <c r="D18" s="4">
        <v>34.312729472572599</v>
      </c>
      <c r="E18" s="4">
        <v>18.940998910322399</v>
      </c>
      <c r="F18" s="4">
        <v>12.5866643301678</v>
      </c>
      <c r="G18" s="4">
        <v>9.6788873383033796</v>
      </c>
      <c r="H18" s="4">
        <v>9.4129874485190808</v>
      </c>
      <c r="I18" s="4">
        <v>8.5923748336124</v>
      </c>
      <c r="J18" s="4">
        <v>9.4196619902398506</v>
      </c>
      <c r="K18" s="4">
        <v>9.4572521423370208</v>
      </c>
      <c r="L18" s="4">
        <v>9.1694009212891991</v>
      </c>
      <c r="M18" s="4">
        <v>10.0445890543057</v>
      </c>
      <c r="N18" s="4">
        <v>10.4797844990923</v>
      </c>
      <c r="O18" s="4">
        <v>10.8626194035723</v>
      </c>
      <c r="P18" s="4">
        <v>10.6503759436076</v>
      </c>
      <c r="Q18" s="4">
        <v>11.6776166352233</v>
      </c>
      <c r="R18" s="4">
        <v>11.8291918064469</v>
      </c>
      <c r="S18" s="4">
        <v>18.728924391415401</v>
      </c>
      <c r="T18" s="4">
        <v>11.767497388766801</v>
      </c>
      <c r="U18" s="4"/>
    </row>
    <row r="19" spans="1:21" x14ac:dyDescent="0.25">
      <c r="A19" s="2">
        <v>50</v>
      </c>
      <c r="B19" s="4">
        <v>89.645541897352103</v>
      </c>
      <c r="C19" s="4">
        <v>65.945397433821299</v>
      </c>
      <c r="D19" s="4">
        <v>30.5790992259885</v>
      </c>
      <c r="E19" s="4">
        <v>18.310553754832199</v>
      </c>
      <c r="F19" s="4">
        <v>11.2101840860189</v>
      </c>
      <c r="G19" s="4">
        <v>9.6259032533053297</v>
      </c>
      <c r="H19" s="4">
        <v>9.0795217844119893</v>
      </c>
      <c r="I19" s="4">
        <v>8.9351123163550401</v>
      </c>
      <c r="J19" s="4">
        <v>9.3681576267703104</v>
      </c>
      <c r="K19" s="4">
        <v>9.01712517438901</v>
      </c>
      <c r="L19" s="4">
        <v>9.7313149776314791</v>
      </c>
      <c r="M19" s="4">
        <v>9.6604375879019599</v>
      </c>
      <c r="N19" s="4">
        <v>10.0836300089522</v>
      </c>
      <c r="O19" s="4">
        <v>10.6803976346357</v>
      </c>
      <c r="P19" s="4">
        <v>11.571226557116001</v>
      </c>
      <c r="Q19" s="4">
        <v>12.3038954747089</v>
      </c>
      <c r="R19" s="4">
        <v>12.240104194427801</v>
      </c>
      <c r="S19" s="4">
        <v>20.012988643148599</v>
      </c>
      <c r="T19" s="4">
        <v>12.521166482417501</v>
      </c>
      <c r="U19" s="4"/>
    </row>
    <row r="20" spans="1:21" x14ac:dyDescent="0.25">
      <c r="A20" s="2">
        <v>55</v>
      </c>
      <c r="B20" s="4">
        <v>94.321867440464203</v>
      </c>
      <c r="C20" s="4">
        <v>67.362171175875901</v>
      </c>
      <c r="D20" s="4">
        <v>31.3731728666965</v>
      </c>
      <c r="E20" s="4">
        <v>17.4711666345545</v>
      </c>
      <c r="F20" s="4">
        <v>11.4028335579331</v>
      </c>
      <c r="G20" s="4">
        <v>9.7494086399620201</v>
      </c>
      <c r="H20" s="4">
        <v>9.7959963925272007</v>
      </c>
      <c r="I20" s="4">
        <v>9.6261452848494908</v>
      </c>
      <c r="J20" s="4">
        <v>9.3335633366878596</v>
      </c>
      <c r="K20" s="4">
        <v>9.72695542084411</v>
      </c>
      <c r="L20" s="4">
        <v>10.1468109956043</v>
      </c>
      <c r="M20" s="4">
        <v>10.8148323826832</v>
      </c>
      <c r="N20" s="4">
        <v>11.0331206371902</v>
      </c>
      <c r="O20" s="4">
        <v>11.6952732984169</v>
      </c>
      <c r="P20" s="4">
        <v>12.0623338897773</v>
      </c>
      <c r="Q20" s="4">
        <v>12.357275791826901</v>
      </c>
      <c r="R20" s="4">
        <v>13.5394631794776</v>
      </c>
      <c r="S20" s="4">
        <v>22.5055930204182</v>
      </c>
      <c r="T20" s="4">
        <v>12.4315546474502</v>
      </c>
      <c r="U20" s="4"/>
    </row>
    <row r="21" spans="1:21" x14ac:dyDescent="0.25">
      <c r="A21" s="2">
        <v>60</v>
      </c>
      <c r="B21" s="4">
        <v>91.171540821147104</v>
      </c>
      <c r="C21" s="4">
        <v>65.227143741568796</v>
      </c>
      <c r="D21" s="4">
        <v>34.498549486983499</v>
      </c>
      <c r="E21" s="4">
        <v>17.6538430235072</v>
      </c>
      <c r="F21" s="4">
        <v>12.518119861315901</v>
      </c>
      <c r="G21" s="4">
        <v>10.4726552627285</v>
      </c>
      <c r="H21" s="4">
        <v>10.4476967658389</v>
      </c>
      <c r="I21" s="4">
        <v>9.6926438733173192</v>
      </c>
      <c r="J21" s="4">
        <v>10.054320807741901</v>
      </c>
      <c r="K21" s="4">
        <v>9.9000447986909101</v>
      </c>
      <c r="L21" s="4">
        <v>9.8539879620602697</v>
      </c>
      <c r="M21" s="4">
        <v>10.9577314961233</v>
      </c>
      <c r="N21" s="4">
        <v>10.9695163994199</v>
      </c>
      <c r="O21" s="4">
        <v>11.6964789478215</v>
      </c>
      <c r="P21" s="4">
        <v>12.338804744059001</v>
      </c>
      <c r="Q21" s="4">
        <v>13.0969155170405</v>
      </c>
      <c r="R21" s="4">
        <v>14.2207316919013</v>
      </c>
      <c r="S21" s="4">
        <v>23.786564930817899</v>
      </c>
      <c r="T21" s="4">
        <v>13.879020718782099</v>
      </c>
      <c r="U21" s="4"/>
    </row>
    <row r="22" spans="1:21" x14ac:dyDescent="0.25">
      <c r="A22" s="2">
        <v>65</v>
      </c>
      <c r="B22" s="4">
        <v>92.129708982054893</v>
      </c>
      <c r="C22" s="4">
        <v>57.385895469140102</v>
      </c>
      <c r="D22" s="4">
        <v>25.828607913205399</v>
      </c>
      <c r="E22" s="4">
        <v>19.7020644833283</v>
      </c>
      <c r="F22" s="4">
        <v>12.5244568838063</v>
      </c>
      <c r="G22" s="4">
        <v>10.8097661645182</v>
      </c>
      <c r="H22" s="4">
        <v>9.8354296521888696</v>
      </c>
      <c r="I22" s="4">
        <v>9.9600977108534501</v>
      </c>
      <c r="J22" s="4">
        <v>10.7411695603456</v>
      </c>
      <c r="K22" s="4">
        <v>10.505234828180299</v>
      </c>
      <c r="L22" s="4">
        <v>10.823357686798801</v>
      </c>
      <c r="M22" s="4">
        <v>10.715610364480501</v>
      </c>
      <c r="N22" s="4">
        <v>12.1223706843406</v>
      </c>
      <c r="O22" s="4">
        <v>13.0353734338617</v>
      </c>
      <c r="P22" s="4">
        <v>13.489916916488999</v>
      </c>
      <c r="Q22" s="4">
        <v>14.167923057817299</v>
      </c>
      <c r="R22" s="4">
        <v>14.4351719715941</v>
      </c>
      <c r="S22" s="4">
        <v>25.0032257023989</v>
      </c>
      <c r="T22" s="4">
        <v>14.636025809855701</v>
      </c>
      <c r="U22" s="4"/>
    </row>
    <row r="23" spans="1:21" x14ac:dyDescent="0.25">
      <c r="A23" s="2">
        <v>70</v>
      </c>
      <c r="B23" s="4">
        <v>90.878911894822096</v>
      </c>
      <c r="C23" s="4">
        <v>59.169828069236601</v>
      </c>
      <c r="D23" s="4">
        <v>29.2526349493832</v>
      </c>
      <c r="E23" s="4">
        <v>17.6702970197667</v>
      </c>
      <c r="F23" s="4">
        <v>11.300505230235901</v>
      </c>
      <c r="G23" s="4">
        <v>11.278494798339899</v>
      </c>
      <c r="H23" s="4">
        <v>10.4789901430507</v>
      </c>
      <c r="I23" s="4">
        <v>9.8539408520710605</v>
      </c>
      <c r="J23" s="4">
        <v>10.734000671906299</v>
      </c>
      <c r="K23" s="4">
        <v>10.8802207142715</v>
      </c>
      <c r="L23" s="4">
        <v>11.501199645405199</v>
      </c>
      <c r="M23" s="4">
        <v>11.776315694363801</v>
      </c>
      <c r="N23" s="4">
        <v>12.1771423645894</v>
      </c>
      <c r="O23" s="4">
        <v>13.197629055458201</v>
      </c>
      <c r="P23" s="4">
        <v>14.3266866946314</v>
      </c>
      <c r="Q23" s="4">
        <v>14.825315838091599</v>
      </c>
      <c r="R23" s="4">
        <v>15.6247203559812</v>
      </c>
      <c r="S23" s="4">
        <v>26.850436393729499</v>
      </c>
      <c r="T23" s="4">
        <v>16.429710985050701</v>
      </c>
      <c r="U23" s="4"/>
    </row>
    <row r="24" spans="1:21" x14ac:dyDescent="0.25">
      <c r="A24" s="2">
        <v>75</v>
      </c>
      <c r="B24" s="4">
        <v>91.201704527036298</v>
      </c>
      <c r="C24" s="4">
        <v>61.878948134386903</v>
      </c>
      <c r="D24" s="4">
        <v>29.206408131915801</v>
      </c>
      <c r="E24" s="4">
        <v>19.0767762031217</v>
      </c>
      <c r="F24" s="4">
        <v>12.7542858600189</v>
      </c>
      <c r="G24" s="4">
        <v>10.360217755137899</v>
      </c>
      <c r="H24" s="4">
        <v>10.304357603106199</v>
      </c>
      <c r="I24" s="4">
        <v>10.228636535252701</v>
      </c>
      <c r="J24" s="4">
        <v>11.3403005287725</v>
      </c>
      <c r="K24" s="4">
        <v>11.226219056904</v>
      </c>
      <c r="L24" s="4">
        <v>12.2024620187743</v>
      </c>
      <c r="M24" s="4">
        <v>12.446359536224</v>
      </c>
      <c r="N24" s="4">
        <v>13.153761253804801</v>
      </c>
      <c r="O24" s="4">
        <v>14.5539381475879</v>
      </c>
      <c r="P24" s="4">
        <v>14.7494841098094</v>
      </c>
      <c r="Q24" s="4">
        <v>15.671764408142799</v>
      </c>
      <c r="R24" s="4">
        <v>16.880763126923299</v>
      </c>
      <c r="S24" s="4">
        <v>28.7386220898034</v>
      </c>
      <c r="T24" s="4">
        <v>18.236013868373998</v>
      </c>
      <c r="U24" s="4"/>
    </row>
    <row r="25" spans="1:21" x14ac:dyDescent="0.25">
      <c r="A25" s="2">
        <v>80</v>
      </c>
      <c r="B25" s="4">
        <v>83.385019932240397</v>
      </c>
      <c r="C25" s="4">
        <v>63.028832758399297</v>
      </c>
      <c r="D25" s="4">
        <v>32.724730133075198</v>
      </c>
      <c r="E25" s="4">
        <v>18.7675114132016</v>
      </c>
      <c r="F25" s="4">
        <v>13.675109586760801</v>
      </c>
      <c r="G25" s="4">
        <v>11.6092063002649</v>
      </c>
      <c r="H25" s="4">
        <v>10.7580092403281</v>
      </c>
      <c r="I25" s="4">
        <v>11.0512213739191</v>
      </c>
      <c r="J25" s="4">
        <v>11.748204748187501</v>
      </c>
      <c r="K25" s="4">
        <v>11.925099715396</v>
      </c>
      <c r="L25" s="4">
        <v>12.5992129708891</v>
      </c>
      <c r="M25" s="4">
        <v>13.5851955064928</v>
      </c>
      <c r="N25" s="4">
        <v>14.637533287266701</v>
      </c>
      <c r="O25" s="4">
        <v>15.1423974799847</v>
      </c>
      <c r="P25" s="4">
        <v>16.657577486193698</v>
      </c>
      <c r="Q25" s="4">
        <v>17.586171893656601</v>
      </c>
      <c r="R25" s="4">
        <v>18.258377903551299</v>
      </c>
      <c r="S25" s="4">
        <v>30.4373048900306</v>
      </c>
      <c r="T25" s="4">
        <v>17.680623716215401</v>
      </c>
      <c r="U25" s="4"/>
    </row>
    <row r="26" spans="1:21" x14ac:dyDescent="0.25">
      <c r="A26" s="2">
        <v>85</v>
      </c>
      <c r="B26" s="4">
        <v>90.728537237565007</v>
      </c>
      <c r="C26" s="4">
        <v>62.5473368969582</v>
      </c>
      <c r="D26" s="4">
        <v>26.785549213665998</v>
      </c>
      <c r="E26" s="4">
        <v>18.085609733114399</v>
      </c>
      <c r="F26" s="4">
        <v>12.762642744480999</v>
      </c>
      <c r="G26" s="4">
        <v>11.8301867039886</v>
      </c>
      <c r="H26" s="4">
        <v>11.3828194239056</v>
      </c>
      <c r="I26" s="4">
        <v>11.9156258576197</v>
      </c>
      <c r="J26" s="4">
        <v>11.1190257375399</v>
      </c>
      <c r="K26" s="4">
        <v>12.5479716800224</v>
      </c>
      <c r="L26" s="4">
        <v>13.2022793671306</v>
      </c>
      <c r="M26" s="4">
        <v>14.066351510899199</v>
      </c>
      <c r="N26" s="4">
        <v>14.3985372977758</v>
      </c>
      <c r="O26" s="4">
        <v>15.6350034023106</v>
      </c>
      <c r="P26" s="4">
        <v>16.061312969715299</v>
      </c>
      <c r="Q26" s="4">
        <v>17.159176846560602</v>
      </c>
      <c r="R26" s="4">
        <v>18.451342332908101</v>
      </c>
      <c r="S26" s="4">
        <v>31.852517437946201</v>
      </c>
      <c r="T26" s="4">
        <v>19.140875926746901</v>
      </c>
      <c r="U26" s="4"/>
    </row>
    <row r="27" spans="1:21" x14ac:dyDescent="0.25">
      <c r="A27" s="2">
        <v>90</v>
      </c>
      <c r="B27" s="4">
        <v>91.753939829732303</v>
      </c>
      <c r="C27" s="4">
        <v>61.697384949401602</v>
      </c>
      <c r="D27" s="4">
        <v>38.175716763523297</v>
      </c>
      <c r="E27" s="4">
        <v>18.716642305089401</v>
      </c>
      <c r="F27" s="4">
        <v>13.304214757017499</v>
      </c>
      <c r="G27" s="4">
        <v>11.708469938003301</v>
      </c>
      <c r="H27" s="4">
        <v>11.3394071752797</v>
      </c>
      <c r="I27" s="4">
        <v>11.5113093454168</v>
      </c>
      <c r="J27" s="4">
        <v>11.697637608127501</v>
      </c>
      <c r="K27" s="4">
        <v>12.0083287568313</v>
      </c>
      <c r="L27" s="4">
        <v>13.557249741990301</v>
      </c>
      <c r="M27" s="4">
        <v>14.9122887633297</v>
      </c>
      <c r="N27" s="4">
        <v>15.435089696099899</v>
      </c>
      <c r="O27" s="4">
        <v>16.491119306406201</v>
      </c>
      <c r="P27" s="4">
        <v>17.545227193401299</v>
      </c>
      <c r="Q27" s="4">
        <v>18.8965032381447</v>
      </c>
      <c r="R27" s="4">
        <v>20.315195070175498</v>
      </c>
      <c r="S27" s="4">
        <v>32.586266617079097</v>
      </c>
      <c r="T27" s="4">
        <v>20.829295081755301</v>
      </c>
      <c r="U27" s="4"/>
    </row>
    <row r="28" spans="1:21" x14ac:dyDescent="0.25">
      <c r="A28" s="2">
        <v>95</v>
      </c>
      <c r="B28" s="4">
        <v>91.932333860753005</v>
      </c>
      <c r="C28" s="4">
        <v>65.088000712466396</v>
      </c>
      <c r="D28" s="4">
        <v>27.895155937098401</v>
      </c>
      <c r="E28" s="4">
        <v>18.454684126697298</v>
      </c>
      <c r="F28" s="4">
        <v>13.9404324401712</v>
      </c>
      <c r="G28" s="4">
        <v>11.345295015750199</v>
      </c>
      <c r="H28" s="4">
        <v>11.2826563467169</v>
      </c>
      <c r="I28" s="4">
        <v>12.3293215496541</v>
      </c>
      <c r="J28" s="4">
        <v>12.9660191862973</v>
      </c>
      <c r="K28" s="4">
        <v>13.428251845776201</v>
      </c>
      <c r="L28" s="4">
        <v>13.690376707545701</v>
      </c>
      <c r="M28" s="4">
        <v>15.527949606556801</v>
      </c>
      <c r="N28" s="4">
        <v>16.170292400236601</v>
      </c>
      <c r="O28" s="4">
        <v>17.707000612526901</v>
      </c>
      <c r="P28" s="4">
        <v>18.403046858928398</v>
      </c>
      <c r="Q28" s="4">
        <v>19.4025574069423</v>
      </c>
      <c r="R28" s="4">
        <v>20.054250117209101</v>
      </c>
      <c r="S28" s="4">
        <v>33.310685777355197</v>
      </c>
      <c r="T28" s="4">
        <v>20.8770376959401</v>
      </c>
      <c r="U28" s="4"/>
    </row>
    <row r="29" spans="1:21" x14ac:dyDescent="0.25">
      <c r="A29" s="2">
        <v>100</v>
      </c>
      <c r="B29" s="4">
        <v>90.023338037625507</v>
      </c>
      <c r="C29" s="4">
        <v>64.399075096740205</v>
      </c>
      <c r="D29" s="4">
        <v>36.295271230772698</v>
      </c>
      <c r="E29" s="4">
        <v>17.901462760951901</v>
      </c>
      <c r="F29" s="4">
        <v>13.570222132231301</v>
      </c>
      <c r="G29" s="4">
        <v>13.5936282433803</v>
      </c>
      <c r="H29" s="4">
        <v>11.7061942840804</v>
      </c>
      <c r="I29" s="4">
        <v>12.9849939839201</v>
      </c>
      <c r="J29" s="4">
        <v>12.9248082702766</v>
      </c>
      <c r="K29" s="4">
        <v>14.5285333697955</v>
      </c>
      <c r="L29" s="4">
        <v>15.280892592293601</v>
      </c>
      <c r="M29" s="4">
        <v>16.289887244937201</v>
      </c>
      <c r="N29" s="4">
        <v>17.482683594952601</v>
      </c>
      <c r="O29" s="4">
        <v>19.287891351423699</v>
      </c>
      <c r="P29" s="4">
        <v>19.533476041778599</v>
      </c>
      <c r="Q29" s="4">
        <v>20.2137081854531</v>
      </c>
      <c r="R29" s="4">
        <v>22.001684056919402</v>
      </c>
      <c r="S29" s="4">
        <v>34.713833944013103</v>
      </c>
      <c r="T29" s="4">
        <v>23.036058942160899</v>
      </c>
      <c r="U29" s="4"/>
    </row>
    <row r="30" spans="1:21" x14ac:dyDescent="0.25">
      <c r="A30" s="2">
        <v>105</v>
      </c>
      <c r="B30" s="4">
        <v>87.752651719982694</v>
      </c>
      <c r="C30" s="4">
        <v>68.439094002648204</v>
      </c>
      <c r="D30" s="4">
        <v>32.677183026328898</v>
      </c>
      <c r="E30" s="4">
        <v>19.703436959833901</v>
      </c>
      <c r="F30" s="4">
        <v>14.456757837114001</v>
      </c>
      <c r="G30" s="4">
        <v>13.752444330789499</v>
      </c>
      <c r="H30" s="4">
        <v>12.5790075603747</v>
      </c>
      <c r="I30" s="4">
        <v>13.454183771573099</v>
      </c>
      <c r="J30" s="4">
        <v>13.5495679366348</v>
      </c>
      <c r="K30" s="4">
        <v>15.225710923427</v>
      </c>
      <c r="L30" s="4">
        <v>15.953869019737001</v>
      </c>
      <c r="M30" s="4">
        <v>16.800860236395401</v>
      </c>
      <c r="N30" s="4">
        <v>18.419684255437001</v>
      </c>
      <c r="O30" s="4">
        <v>19.007426381424601</v>
      </c>
      <c r="P30" s="4">
        <v>20.926299248894001</v>
      </c>
      <c r="Q30" s="4">
        <v>23.020163058988398</v>
      </c>
      <c r="R30" s="4">
        <v>22.485151258326098</v>
      </c>
      <c r="S30" s="4">
        <v>35.019303818091601</v>
      </c>
      <c r="T30" s="4">
        <v>24.7664323143368</v>
      </c>
      <c r="U30" s="4"/>
    </row>
    <row r="31" spans="1:21" x14ac:dyDescent="0.25">
      <c r="A31" s="2">
        <v>110</v>
      </c>
      <c r="B31" s="4">
        <v>91.944534324081602</v>
      </c>
      <c r="C31" s="4">
        <v>67.555665451867398</v>
      </c>
      <c r="D31" s="4">
        <v>30.069841159658299</v>
      </c>
      <c r="E31" s="4">
        <v>19.751068786828299</v>
      </c>
      <c r="F31" s="4">
        <v>13.540651546256299</v>
      </c>
      <c r="G31" s="4">
        <v>12.510010163590801</v>
      </c>
      <c r="H31" s="4">
        <v>12.754264051866601</v>
      </c>
      <c r="I31" s="4">
        <v>13.314986975266899</v>
      </c>
      <c r="J31" s="4">
        <v>13.767069600929601</v>
      </c>
      <c r="K31" s="4">
        <v>15.046576794527301</v>
      </c>
      <c r="L31" s="4">
        <v>16.633088830362802</v>
      </c>
      <c r="M31" s="4">
        <v>17.571262272982999</v>
      </c>
      <c r="N31" s="4">
        <v>18.686968740306199</v>
      </c>
      <c r="O31" s="4">
        <v>20.031183157332599</v>
      </c>
      <c r="P31" s="4">
        <v>22.025424511728801</v>
      </c>
      <c r="Q31" s="4">
        <v>23.446376214912501</v>
      </c>
      <c r="R31" s="4">
        <v>23.588156775457801</v>
      </c>
      <c r="S31" s="4">
        <v>35.234887960379297</v>
      </c>
      <c r="T31" s="4">
        <v>24.483431028047399</v>
      </c>
      <c r="U31" s="4"/>
    </row>
    <row r="32" spans="1:21" x14ac:dyDescent="0.25">
      <c r="A32" s="2">
        <v>115</v>
      </c>
      <c r="B32" s="4">
        <v>91.501315915396603</v>
      </c>
      <c r="C32" s="4">
        <v>61.851406425944901</v>
      </c>
      <c r="D32" s="4">
        <v>29.688435711661199</v>
      </c>
      <c r="E32" s="4">
        <v>19.508572138264501</v>
      </c>
      <c r="F32" s="4">
        <v>13.993149750034799</v>
      </c>
      <c r="G32" s="4">
        <v>12.3011342938672</v>
      </c>
      <c r="H32" s="4">
        <v>12.798580143075201</v>
      </c>
      <c r="I32" s="4">
        <v>13.9867028376603</v>
      </c>
      <c r="J32" s="4">
        <v>13.9025368510723</v>
      </c>
      <c r="K32" s="4">
        <v>16.574628583336299</v>
      </c>
      <c r="L32" s="4">
        <v>17.011342365600399</v>
      </c>
      <c r="M32" s="4">
        <v>18.658144825919901</v>
      </c>
      <c r="N32" s="4">
        <v>19.514552415692599</v>
      </c>
      <c r="O32" s="4">
        <v>21.3267369956402</v>
      </c>
      <c r="P32" s="4">
        <v>23.004381389356201</v>
      </c>
      <c r="Q32" s="4">
        <v>23.0031598914886</v>
      </c>
      <c r="R32" s="4">
        <v>24.290193768230701</v>
      </c>
      <c r="S32" s="4">
        <v>35.418567418925299</v>
      </c>
      <c r="T32" s="4">
        <v>25.016142698641001</v>
      </c>
      <c r="U32" s="4"/>
    </row>
    <row r="33" spans="1:21" x14ac:dyDescent="0.25">
      <c r="A33" s="2">
        <v>120</v>
      </c>
      <c r="B33" s="4">
        <v>91.256420992537002</v>
      </c>
      <c r="C33" s="4">
        <v>72.9338405598766</v>
      </c>
      <c r="D33" s="4">
        <v>29.4298258576198</v>
      </c>
      <c r="E33" s="4">
        <v>18.145471792812501</v>
      </c>
      <c r="F33" s="4">
        <v>14.736066618490799</v>
      </c>
      <c r="G33" s="4">
        <v>13.1493022628928</v>
      </c>
      <c r="H33" s="4">
        <v>13.200959290240901</v>
      </c>
      <c r="I33" s="4">
        <v>13.946222288253599</v>
      </c>
      <c r="J33" s="4">
        <v>14.872867915476901</v>
      </c>
      <c r="K33" s="4">
        <v>16.3946400515905</v>
      </c>
      <c r="L33" s="4">
        <v>16.852876448684999</v>
      </c>
      <c r="M33" s="4">
        <v>20.004989517522301</v>
      </c>
      <c r="N33" s="4">
        <v>20.687212978607398</v>
      </c>
      <c r="O33" s="4">
        <v>20.713990019448399</v>
      </c>
      <c r="P33" s="4">
        <v>21.570596820667799</v>
      </c>
      <c r="Q33" s="4">
        <v>23.616531846316001</v>
      </c>
      <c r="R33" s="4">
        <v>25.1733933303329</v>
      </c>
      <c r="S33" s="4">
        <v>36.217573944955397</v>
      </c>
      <c r="T33" s="4">
        <v>23.4763904798466</v>
      </c>
      <c r="U33" s="4"/>
    </row>
    <row r="34" spans="1:21" x14ac:dyDescent="0.25">
      <c r="A34" s="2">
        <v>125</v>
      </c>
      <c r="B34" s="4">
        <v>92.019510030435498</v>
      </c>
      <c r="C34" s="4">
        <v>66.057432329061896</v>
      </c>
      <c r="D34" s="4">
        <v>32.1060251852318</v>
      </c>
      <c r="E34" s="4">
        <v>19.8954543711389</v>
      </c>
      <c r="F34" s="4">
        <v>15.649002139358601</v>
      </c>
      <c r="G34" s="4">
        <v>14.5683980208671</v>
      </c>
      <c r="H34" s="4">
        <v>13.8735659888047</v>
      </c>
      <c r="I34" s="4">
        <v>14.0537151712546</v>
      </c>
      <c r="J34" s="4">
        <v>16.2340920393662</v>
      </c>
      <c r="K34" s="4">
        <v>16.8374605685967</v>
      </c>
      <c r="L34" s="4">
        <v>18.1364166130091</v>
      </c>
      <c r="M34" s="4">
        <v>19.153705613288398</v>
      </c>
      <c r="N34" s="4">
        <v>21.6700789123216</v>
      </c>
      <c r="O34" s="4">
        <v>22.6773337090541</v>
      </c>
      <c r="P34" s="4">
        <v>24.646952137192301</v>
      </c>
      <c r="Q34" s="4">
        <v>25.3706669228607</v>
      </c>
      <c r="R34" s="4">
        <v>26.371869169003698</v>
      </c>
      <c r="S34" s="4">
        <v>37.212398167514799</v>
      </c>
      <c r="T34" s="4">
        <v>28.097727186697899</v>
      </c>
      <c r="U34" s="4"/>
    </row>
    <row r="35" spans="1:21" x14ac:dyDescent="0.25">
      <c r="A35" s="2">
        <v>130</v>
      </c>
      <c r="B35" s="4">
        <v>92.125020326932002</v>
      </c>
      <c r="C35" s="4">
        <v>60.1332504114812</v>
      </c>
      <c r="D35" s="4">
        <v>28.9602252733245</v>
      </c>
      <c r="E35" s="4">
        <v>19.566907709262399</v>
      </c>
      <c r="F35" s="4">
        <v>15.1557321770812</v>
      </c>
      <c r="G35" s="4">
        <v>13.7568252867555</v>
      </c>
      <c r="H35" s="4">
        <v>14.253132244642501</v>
      </c>
      <c r="I35" s="4">
        <v>14.190902614781599</v>
      </c>
      <c r="J35" s="4">
        <v>16.348072195128999</v>
      </c>
      <c r="K35" s="4">
        <v>17.333383298485899</v>
      </c>
      <c r="L35" s="4">
        <v>18.825964230071602</v>
      </c>
      <c r="M35" s="4">
        <v>19.9240842810365</v>
      </c>
      <c r="N35" s="4">
        <v>21.186355350701099</v>
      </c>
      <c r="O35" s="4">
        <v>22.131805979489599</v>
      </c>
      <c r="P35" s="4">
        <v>24.569820362822401</v>
      </c>
      <c r="Q35" s="4">
        <v>24.593251707122299</v>
      </c>
      <c r="R35" s="4">
        <v>27.802949708125102</v>
      </c>
      <c r="S35" s="4">
        <v>37.081965123550198</v>
      </c>
      <c r="T35" s="4">
        <v>28.507389931359899</v>
      </c>
      <c r="U35" s="4"/>
    </row>
    <row r="36" spans="1:21" x14ac:dyDescent="0.25">
      <c r="A36" s="2">
        <v>135</v>
      </c>
      <c r="B36" s="4">
        <v>85.495693296858903</v>
      </c>
      <c r="C36" s="4">
        <v>64.055576254744693</v>
      </c>
      <c r="D36" s="4">
        <v>30.6621664091562</v>
      </c>
      <c r="E36" s="4">
        <v>20.073947239189199</v>
      </c>
      <c r="F36" s="4">
        <v>14.705634703782099</v>
      </c>
      <c r="G36" s="4">
        <v>13.4041402096772</v>
      </c>
      <c r="H36" s="4">
        <v>13.732058962341799</v>
      </c>
      <c r="I36" s="4">
        <v>14.618393554797301</v>
      </c>
      <c r="J36" s="4">
        <v>15.9937492877387</v>
      </c>
      <c r="K36" s="4">
        <v>18.022305399986699</v>
      </c>
      <c r="L36" s="4">
        <v>20.049047701820001</v>
      </c>
      <c r="M36" s="4">
        <v>20.142835319999801</v>
      </c>
      <c r="N36" s="4">
        <v>23.253216736399299</v>
      </c>
      <c r="O36" s="4">
        <v>23.1316320916542</v>
      </c>
      <c r="P36" s="4">
        <v>24.175766044494299</v>
      </c>
      <c r="Q36" s="4">
        <v>26.276149248002199</v>
      </c>
      <c r="R36" s="4">
        <v>27.132512144999499</v>
      </c>
      <c r="S36" s="4">
        <v>37.476372580051802</v>
      </c>
      <c r="T36" s="4">
        <v>25.774254782565301</v>
      </c>
      <c r="U36" s="4"/>
    </row>
    <row r="37" spans="1:21" x14ac:dyDescent="0.25">
      <c r="A37" s="2">
        <v>140</v>
      </c>
      <c r="B37" s="4">
        <v>89.657763330353106</v>
      </c>
      <c r="C37" s="4">
        <v>67.583955969009907</v>
      </c>
      <c r="D37" s="4">
        <v>30.69409509898</v>
      </c>
      <c r="E37" s="4">
        <v>20.0988006687816</v>
      </c>
      <c r="F37" s="4">
        <v>15.605335195895499</v>
      </c>
      <c r="G37" s="4">
        <v>15.803341065847899</v>
      </c>
      <c r="H37" s="4">
        <v>14.814533239942399</v>
      </c>
      <c r="I37" s="4">
        <v>14.777020485717999</v>
      </c>
      <c r="J37" s="4">
        <v>16.652077510639899</v>
      </c>
      <c r="K37" s="4">
        <v>19.6782332717682</v>
      </c>
      <c r="L37" s="4">
        <v>19.112214105042799</v>
      </c>
      <c r="M37" s="4">
        <v>22.056146040442801</v>
      </c>
      <c r="N37" s="4">
        <v>23.2939181809007</v>
      </c>
      <c r="O37" s="4">
        <v>24.075081786342999</v>
      </c>
      <c r="P37" s="4">
        <v>25.8927548789353</v>
      </c>
      <c r="Q37" s="4">
        <v>25.915754115186299</v>
      </c>
      <c r="R37" s="4">
        <v>26.6866816619332</v>
      </c>
      <c r="S37" s="4">
        <v>37.567277691435002</v>
      </c>
      <c r="T37" s="4">
        <v>28.647270272113399</v>
      </c>
      <c r="U37" s="4"/>
    </row>
    <row r="38" spans="1:21" x14ac:dyDescent="0.25">
      <c r="A38" s="2">
        <v>145</v>
      </c>
      <c r="B38" s="4">
        <v>90.478053575177498</v>
      </c>
      <c r="C38" s="4">
        <v>63.359545674363702</v>
      </c>
      <c r="D38" s="4">
        <v>33.155429682841202</v>
      </c>
      <c r="E38" s="4">
        <v>19.243025447593901</v>
      </c>
      <c r="F38" s="4">
        <v>16.894080353496602</v>
      </c>
      <c r="G38" s="4">
        <v>14.2864099059066</v>
      </c>
      <c r="H38" s="4">
        <v>14.243046678475601</v>
      </c>
      <c r="I38" s="4">
        <v>15.619519159873199</v>
      </c>
      <c r="J38" s="4">
        <v>16.105397595849698</v>
      </c>
      <c r="K38" s="4">
        <v>20.468001263255001</v>
      </c>
      <c r="L38" s="4">
        <v>21.277366432263101</v>
      </c>
      <c r="M38" s="4">
        <v>22.376037451602901</v>
      </c>
      <c r="N38" s="4">
        <v>22.0317364039424</v>
      </c>
      <c r="O38" s="4">
        <v>24.7385954395846</v>
      </c>
      <c r="P38" s="4">
        <v>25.629181248997799</v>
      </c>
      <c r="Q38" s="4">
        <v>26.4800657547299</v>
      </c>
      <c r="R38" s="4">
        <v>27.616775428169898</v>
      </c>
      <c r="S38" s="4">
        <v>37.648436272844997</v>
      </c>
      <c r="T38" s="4">
        <v>29.760450050011201</v>
      </c>
      <c r="U38" s="4"/>
    </row>
    <row r="39" spans="1:21" x14ac:dyDescent="0.25">
      <c r="A39" s="2">
        <v>150</v>
      </c>
      <c r="B39" s="4">
        <v>92.486078024465002</v>
      </c>
      <c r="C39" s="4">
        <v>65.038076347640498</v>
      </c>
      <c r="D39" s="4">
        <v>30.915375799315498</v>
      </c>
      <c r="E39" s="4">
        <v>20.710800917290999</v>
      </c>
      <c r="F39" s="4">
        <v>16.5805370506598</v>
      </c>
      <c r="G39" s="4">
        <v>14.205603089203301</v>
      </c>
      <c r="H39" s="4">
        <v>15.218868868423201</v>
      </c>
      <c r="I39" s="4">
        <v>17.087233057780299</v>
      </c>
      <c r="J39" s="4">
        <v>17.329223623875301</v>
      </c>
      <c r="K39" s="4">
        <v>20.429332896200702</v>
      </c>
      <c r="L39" s="4">
        <v>21.672150301068498</v>
      </c>
      <c r="M39" s="4">
        <v>22.0750369850828</v>
      </c>
      <c r="N39" s="4">
        <v>24.3164035346493</v>
      </c>
      <c r="O39" s="4">
        <v>24.733430200214901</v>
      </c>
      <c r="P39" s="4">
        <v>26.972537146983601</v>
      </c>
      <c r="Q39" s="4">
        <v>28.536285974510399</v>
      </c>
      <c r="R39" s="4">
        <v>28.193292642086401</v>
      </c>
      <c r="S39" s="4">
        <v>37.933871310180201</v>
      </c>
      <c r="T39" s="4">
        <v>29.093281588016801</v>
      </c>
      <c r="U39" s="4"/>
    </row>
    <row r="40" spans="1:21" x14ac:dyDescent="0.25">
      <c r="A40" s="2">
        <v>155</v>
      </c>
      <c r="B40" s="4">
        <v>95.184346372932097</v>
      </c>
      <c r="C40" s="4">
        <v>62.607452457562601</v>
      </c>
      <c r="D40" s="4">
        <v>34.3509406540649</v>
      </c>
      <c r="E40" s="4">
        <v>18.3665269596126</v>
      </c>
      <c r="F40" s="4">
        <v>15.3471476827673</v>
      </c>
      <c r="G40" s="4">
        <v>16.012362987549501</v>
      </c>
      <c r="H40" s="4">
        <v>14.236920404519299</v>
      </c>
      <c r="I40" s="4">
        <v>16.979308092924398</v>
      </c>
      <c r="J40" s="4">
        <v>16.450051959479801</v>
      </c>
      <c r="K40" s="4">
        <v>19.4757239493238</v>
      </c>
      <c r="L40" s="4">
        <v>20.025742423054499</v>
      </c>
      <c r="M40" s="4">
        <v>22.943859047664098</v>
      </c>
      <c r="N40" s="4">
        <v>23.982487711827599</v>
      </c>
      <c r="O40" s="4">
        <v>25.313647654429001</v>
      </c>
      <c r="P40" s="4">
        <v>26.223721926977401</v>
      </c>
      <c r="Q40" s="4">
        <v>27.832501269194701</v>
      </c>
      <c r="R40" s="4">
        <v>28.129713111227101</v>
      </c>
      <c r="S40" s="4">
        <v>37.603369555358398</v>
      </c>
      <c r="T40" s="4">
        <v>29.203557926907799</v>
      </c>
      <c r="U40" s="4"/>
    </row>
    <row r="41" spans="1:21" x14ac:dyDescent="0.25">
      <c r="A41" s="2">
        <v>160</v>
      </c>
      <c r="B41" s="4">
        <v>92.739185513132099</v>
      </c>
      <c r="C41" s="4">
        <v>60.167280519611701</v>
      </c>
      <c r="D41" s="4">
        <v>31.684072617650699</v>
      </c>
      <c r="E41" s="4">
        <v>20.872359478923499</v>
      </c>
      <c r="F41" s="4">
        <v>16.8714003451562</v>
      </c>
      <c r="G41" s="4">
        <v>15.675286042542201</v>
      </c>
      <c r="H41" s="4">
        <v>15.7423296359601</v>
      </c>
      <c r="I41" s="4">
        <v>16.987364902092299</v>
      </c>
      <c r="J41" s="4">
        <v>19.751753475512398</v>
      </c>
      <c r="K41" s="4">
        <v>20.808678383513602</v>
      </c>
      <c r="L41" s="4">
        <v>23.259772115102901</v>
      </c>
      <c r="M41" s="4">
        <v>23.114844691135001</v>
      </c>
      <c r="N41" s="4">
        <v>24.772988002101201</v>
      </c>
      <c r="O41" s="4">
        <v>25.6484714875847</v>
      </c>
      <c r="P41" s="4">
        <v>27.051844283387901</v>
      </c>
      <c r="Q41" s="4">
        <v>28.8174749010625</v>
      </c>
      <c r="R41" s="4">
        <v>26.890060632391201</v>
      </c>
      <c r="S41" s="4">
        <v>37.9664742983908</v>
      </c>
      <c r="T41" s="4">
        <v>30.531977638967799</v>
      </c>
      <c r="U41" s="4"/>
    </row>
    <row r="42" spans="1:21" x14ac:dyDescent="0.25">
      <c r="A42" s="2">
        <v>165</v>
      </c>
      <c r="B42" s="4">
        <v>88.5948720299195</v>
      </c>
      <c r="C42" s="4">
        <v>61.132918361906398</v>
      </c>
      <c r="D42" s="4">
        <v>26.764128323854401</v>
      </c>
      <c r="E42" s="4">
        <v>19.442828466972099</v>
      </c>
      <c r="F42" s="4">
        <v>15.6020290880813</v>
      </c>
      <c r="G42" s="4">
        <v>16.9575225045865</v>
      </c>
      <c r="H42" s="4">
        <v>15.722721060727199</v>
      </c>
      <c r="I42" s="4">
        <v>17.1548666626916</v>
      </c>
      <c r="J42" s="4">
        <v>18.0039660638624</v>
      </c>
      <c r="K42" s="4">
        <v>21.586451120171301</v>
      </c>
      <c r="L42" s="4">
        <v>21.793142137789498</v>
      </c>
      <c r="M42" s="4">
        <v>23.7040352956395</v>
      </c>
      <c r="N42" s="4">
        <v>25.256328807219699</v>
      </c>
      <c r="O42" s="4">
        <v>26.302911306001199</v>
      </c>
      <c r="P42" s="4">
        <v>29.039030869454201</v>
      </c>
      <c r="Q42" s="4">
        <v>26.729376814243</v>
      </c>
      <c r="R42" s="4">
        <v>29.678055854484899</v>
      </c>
      <c r="S42" s="4">
        <v>37.449435435197202</v>
      </c>
      <c r="T42" s="4">
        <v>33.038415770394103</v>
      </c>
      <c r="U42" s="4"/>
    </row>
    <row r="43" spans="1:21" x14ac:dyDescent="0.25">
      <c r="A43" s="2">
        <v>170</v>
      </c>
      <c r="B43" s="4">
        <v>87.049314469250206</v>
      </c>
      <c r="C43" s="4">
        <v>56.223761710353102</v>
      </c>
      <c r="D43" s="4">
        <v>24.648157435346999</v>
      </c>
      <c r="E43" s="4">
        <v>14.5561671413678</v>
      </c>
      <c r="F43" s="4">
        <v>15.308663252953099</v>
      </c>
      <c r="G43" s="4">
        <v>12.4474618665415</v>
      </c>
      <c r="H43" s="4">
        <v>16.059332854280498</v>
      </c>
      <c r="I43" s="4">
        <v>16.663852212206201</v>
      </c>
      <c r="J43" s="4">
        <v>18.767340643891401</v>
      </c>
      <c r="K43" s="4">
        <v>19.4321278539351</v>
      </c>
      <c r="L43" s="4">
        <v>22.560749533402401</v>
      </c>
      <c r="M43" s="4">
        <v>23.103608600190199</v>
      </c>
      <c r="N43" s="4">
        <v>21.3149330804839</v>
      </c>
      <c r="O43" s="4">
        <v>25.086052497712998</v>
      </c>
      <c r="P43" s="4">
        <v>27.8217257879882</v>
      </c>
      <c r="Q43" s="4">
        <v>27.8617862576289</v>
      </c>
      <c r="R43" s="4">
        <v>26.104836200898699</v>
      </c>
      <c r="S43" s="4">
        <v>35.137642805959999</v>
      </c>
      <c r="T43" s="4">
        <v>27.670433534974801</v>
      </c>
      <c r="U43" s="4"/>
    </row>
    <row r="44" spans="1:21" x14ac:dyDescent="0.25">
      <c r="A44" s="2">
        <v>175</v>
      </c>
      <c r="B44" s="4">
        <v>91.420372858403695</v>
      </c>
      <c r="C44" s="4">
        <v>57.463017096096998</v>
      </c>
      <c r="D44" s="4">
        <v>32.4839255110087</v>
      </c>
      <c r="E44" s="4">
        <v>21.259854533442098</v>
      </c>
      <c r="F44" s="4">
        <v>18.1608111927289</v>
      </c>
      <c r="G44" s="4">
        <v>15.6537173678011</v>
      </c>
      <c r="H44" s="4">
        <v>15.6461622387588</v>
      </c>
      <c r="I44" s="4">
        <v>18.548414507229701</v>
      </c>
      <c r="J44" s="4">
        <v>19.7897088380467</v>
      </c>
      <c r="K44" s="4">
        <v>21.094400288440301</v>
      </c>
      <c r="L44" s="4">
        <v>24.307157473192301</v>
      </c>
      <c r="M44" s="4">
        <v>22.8062543934141</v>
      </c>
      <c r="N44" s="4">
        <v>26.244133894081799</v>
      </c>
      <c r="O44" s="4">
        <v>28.705076434663798</v>
      </c>
      <c r="P44" s="4">
        <v>26.713324523741399</v>
      </c>
      <c r="Q44" s="4">
        <v>28.031059687685602</v>
      </c>
      <c r="R44" s="4">
        <v>29.6147630672919</v>
      </c>
      <c r="S44" s="4">
        <v>37.340282025456702</v>
      </c>
      <c r="T44" s="4">
        <v>31.2338492869047</v>
      </c>
      <c r="U44" s="4"/>
    </row>
    <row r="45" spans="1:21" x14ac:dyDescent="0.25">
      <c r="A45" s="2">
        <v>180</v>
      </c>
      <c r="B45" s="4">
        <v>85.741147416488005</v>
      </c>
      <c r="C45" s="4">
        <v>51.713743134010002</v>
      </c>
      <c r="D45" s="4">
        <v>30.023373009962398</v>
      </c>
      <c r="E45" s="4">
        <v>18.1792672460208</v>
      </c>
      <c r="F45" s="4">
        <v>14.156392550357801</v>
      </c>
      <c r="G45" s="4">
        <v>16.128857482770599</v>
      </c>
      <c r="H45" s="4">
        <v>16.6924234732071</v>
      </c>
      <c r="I45" s="4">
        <v>17.185679341375</v>
      </c>
      <c r="J45" s="4">
        <v>21.362474254611602</v>
      </c>
      <c r="K45" s="4">
        <v>20.534061445604301</v>
      </c>
      <c r="L45" s="4">
        <v>24.5421324830277</v>
      </c>
      <c r="M45" s="4">
        <v>20.630352532537199</v>
      </c>
      <c r="N45" s="4">
        <v>27.091564012371901</v>
      </c>
      <c r="O45" s="4">
        <v>26.660440522384899</v>
      </c>
      <c r="P45" s="4">
        <v>26.003810926158899</v>
      </c>
      <c r="Q45" s="4">
        <v>30.376963874643199</v>
      </c>
      <c r="R45" s="4">
        <v>29.013184763068502</v>
      </c>
      <c r="S45" s="4">
        <v>35.994823118591199</v>
      </c>
      <c r="T45" s="4">
        <v>29.4686048674406</v>
      </c>
      <c r="U45" s="4"/>
    </row>
    <row r="46" spans="1:21" x14ac:dyDescent="0.25">
      <c r="A46" s="2">
        <v>185</v>
      </c>
      <c r="B46" s="4">
        <v>93.498404115310606</v>
      </c>
      <c r="C46" s="4">
        <v>61.322782136433197</v>
      </c>
      <c r="D46" s="4">
        <v>27.714911089677202</v>
      </c>
      <c r="E46" s="4">
        <v>20.9319513627741</v>
      </c>
      <c r="F46" s="4">
        <v>14.9263397607256</v>
      </c>
      <c r="G46" s="4">
        <v>17.797299294021901</v>
      </c>
      <c r="H46" s="4">
        <v>18.7552054356714</v>
      </c>
      <c r="I46" s="4">
        <v>18.5292984816457</v>
      </c>
      <c r="J46" s="4">
        <v>18.7541267972992</v>
      </c>
      <c r="K46" s="4">
        <v>22.664715886164299</v>
      </c>
      <c r="L46" s="4">
        <v>22.473217685386601</v>
      </c>
      <c r="M46" s="4">
        <v>25.532148881831201</v>
      </c>
      <c r="N46" s="4">
        <v>27.314891443582798</v>
      </c>
      <c r="O46" s="4">
        <v>25.4769268754394</v>
      </c>
      <c r="P46" s="4">
        <v>27.676566358027401</v>
      </c>
      <c r="Q46" s="4">
        <v>29.9532993958078</v>
      </c>
      <c r="R46" s="4">
        <v>30.4890114355014</v>
      </c>
      <c r="S46" s="4">
        <v>35.964943253450599</v>
      </c>
      <c r="T46" s="4">
        <v>28.350778810014798</v>
      </c>
      <c r="U46" s="4"/>
    </row>
    <row r="47" spans="1:21" x14ac:dyDescent="0.25">
      <c r="A47" s="2">
        <v>190</v>
      </c>
      <c r="B47" s="4">
        <v>79.444204294549195</v>
      </c>
      <c r="C47" s="4">
        <v>54.6300511460786</v>
      </c>
      <c r="D47" s="4">
        <v>24.924080019878399</v>
      </c>
      <c r="E47" s="4">
        <v>16.401706736462799</v>
      </c>
      <c r="F47" s="4">
        <v>13.677673074762399</v>
      </c>
      <c r="G47" s="4">
        <v>14.9930424951863</v>
      </c>
      <c r="H47" s="4">
        <v>14.578367113129399</v>
      </c>
      <c r="I47" s="4">
        <v>16.077973224520601</v>
      </c>
      <c r="J47" s="4">
        <v>17.892162867660598</v>
      </c>
      <c r="K47" s="4">
        <v>22.191252322791801</v>
      </c>
      <c r="L47" s="4">
        <v>24.621191910966701</v>
      </c>
      <c r="M47" s="4">
        <v>22.805653036805701</v>
      </c>
      <c r="N47" s="4">
        <v>25.584636140628799</v>
      </c>
      <c r="O47" s="4">
        <v>24.150152274856399</v>
      </c>
      <c r="P47" s="4">
        <v>27.427553315976301</v>
      </c>
      <c r="Q47" s="4">
        <v>29.3976631144923</v>
      </c>
      <c r="R47" s="4">
        <v>26.784741773567902</v>
      </c>
      <c r="S47" s="4">
        <v>34.782597474552396</v>
      </c>
      <c r="T47" s="4">
        <v>30.881289696245901</v>
      </c>
      <c r="U47" s="4"/>
    </row>
    <row r="48" spans="1:21" x14ac:dyDescent="0.25">
      <c r="A48" s="2">
        <v>195</v>
      </c>
      <c r="B48" s="4"/>
      <c r="C48" s="4">
        <v>38.293644749793003</v>
      </c>
      <c r="D48" s="4">
        <v>26.5293119568022</v>
      </c>
      <c r="E48" s="4">
        <v>14.1345501048914</v>
      </c>
      <c r="F48" s="4">
        <v>13.5235951538902</v>
      </c>
      <c r="G48" s="4">
        <v>15.514149189668199</v>
      </c>
      <c r="H48" s="4">
        <v>15.689341245269601</v>
      </c>
      <c r="I48" s="4">
        <v>18.5123347835553</v>
      </c>
      <c r="J48" s="4">
        <v>18.998847268333499</v>
      </c>
      <c r="K48" s="4">
        <v>18.8188598587138</v>
      </c>
      <c r="L48" s="4">
        <v>19.507846109530501</v>
      </c>
      <c r="M48" s="4">
        <v>24.717697640499701</v>
      </c>
      <c r="N48" s="4">
        <v>25.403074700584501</v>
      </c>
      <c r="O48" s="4">
        <v>28.012312034654499</v>
      </c>
      <c r="P48" s="4">
        <v>27.130236621756801</v>
      </c>
      <c r="Q48" s="4">
        <v>24.301569892523599</v>
      </c>
      <c r="R48" s="4">
        <v>24.815978563254799</v>
      </c>
      <c r="S48" s="4">
        <v>35.168444060580399</v>
      </c>
      <c r="T48" s="4">
        <v>22.165020723774798</v>
      </c>
      <c r="U48" s="4"/>
    </row>
    <row r="49" spans="1:21" x14ac:dyDescent="0.25">
      <c r="A49" s="2">
        <v>200</v>
      </c>
      <c r="B49" s="4"/>
      <c r="C49" s="4">
        <v>51.236398120318</v>
      </c>
      <c r="D49" s="4">
        <v>34.817776370658201</v>
      </c>
      <c r="E49" s="4">
        <v>22.507626673087401</v>
      </c>
      <c r="F49" s="4">
        <v>17.861538269886601</v>
      </c>
      <c r="G49" s="4">
        <v>14.379865071456701</v>
      </c>
      <c r="H49" s="4">
        <v>14.0765797253835</v>
      </c>
      <c r="I49" s="4">
        <v>19.955828907964602</v>
      </c>
      <c r="J49" s="4">
        <v>19.016131249174801</v>
      </c>
      <c r="K49" s="4">
        <v>23.833805753195701</v>
      </c>
      <c r="L49" s="4">
        <v>23.8065919946315</v>
      </c>
      <c r="M49" s="4">
        <v>24.2717321939997</v>
      </c>
      <c r="N49" s="4">
        <v>26.4137299099534</v>
      </c>
      <c r="O49" s="4">
        <v>26.6328899991911</v>
      </c>
      <c r="P49" s="4">
        <v>24.456070218528701</v>
      </c>
      <c r="Q49" s="4">
        <v>27.826124770005698</v>
      </c>
      <c r="R49" s="4">
        <v>35.3053817292421</v>
      </c>
      <c r="S49" s="4">
        <v>34.761980023145803</v>
      </c>
      <c r="T49" s="4">
        <v>29.731735434658901</v>
      </c>
      <c r="U49" s="4"/>
    </row>
    <row r="50" spans="1:21" x14ac:dyDescent="0.25">
      <c r="A50" s="2">
        <v>205</v>
      </c>
      <c r="B50" s="4"/>
      <c r="C50" s="4">
        <v>52.2859052676191</v>
      </c>
      <c r="D50" s="4">
        <v>24.392020976957198</v>
      </c>
      <c r="E50" s="4">
        <v>17.0237102377566</v>
      </c>
      <c r="F50" s="4">
        <v>16.438917197801999</v>
      </c>
      <c r="G50" s="4">
        <v>15.615588388499701</v>
      </c>
      <c r="H50" s="4">
        <v>19.4559163210312</v>
      </c>
      <c r="I50" s="4">
        <v>18.925875345947901</v>
      </c>
      <c r="J50" s="4">
        <v>18.5288930482163</v>
      </c>
      <c r="K50" s="4">
        <v>22.879674374671499</v>
      </c>
      <c r="L50" s="4">
        <v>26.380677317142101</v>
      </c>
      <c r="M50" s="4">
        <v>21.226884579013699</v>
      </c>
      <c r="N50" s="4">
        <v>20.815450326039802</v>
      </c>
      <c r="O50" s="4">
        <v>22.2762470304205</v>
      </c>
      <c r="P50" s="4">
        <v>26.468981243923601</v>
      </c>
      <c r="Q50" s="4">
        <v>29.517209536462399</v>
      </c>
      <c r="R50" s="4">
        <v>28.8443142246064</v>
      </c>
      <c r="S50" s="4">
        <v>32.031303774367501</v>
      </c>
      <c r="T50" s="4">
        <v>24.895140770856699</v>
      </c>
      <c r="U50" s="4"/>
    </row>
    <row r="51" spans="1:21" x14ac:dyDescent="0.25">
      <c r="A51" s="2">
        <v>210</v>
      </c>
      <c r="B51" s="4"/>
      <c r="C51" s="4">
        <v>55.176725042208197</v>
      </c>
      <c r="D51" s="4">
        <v>26.906684309633899</v>
      </c>
      <c r="E51" s="4">
        <v>19.449283880783099</v>
      </c>
      <c r="F51" s="4">
        <v>18.9394416727452</v>
      </c>
      <c r="G51" s="4">
        <v>19.3821696509929</v>
      </c>
      <c r="H51" s="4">
        <v>15.7630966339925</v>
      </c>
      <c r="I51" s="4">
        <v>20.736310077852298</v>
      </c>
      <c r="J51" s="4">
        <v>22.287232623331501</v>
      </c>
      <c r="K51" s="4">
        <v>22.2574685305635</v>
      </c>
      <c r="L51" s="4">
        <v>22.323085486990799</v>
      </c>
      <c r="M51" s="4">
        <v>27.631958760593001</v>
      </c>
      <c r="N51" s="4">
        <v>27.192236803240199</v>
      </c>
      <c r="O51" s="4">
        <v>31.656963919252298</v>
      </c>
      <c r="P51" s="4">
        <v>20.9427356037314</v>
      </c>
      <c r="Q51" s="4">
        <v>25.974010211896001</v>
      </c>
      <c r="R51" s="4">
        <v>33.482649858314801</v>
      </c>
      <c r="S51" s="4">
        <v>33.664080429840801</v>
      </c>
      <c r="T51" s="4">
        <v>24.141350480859799</v>
      </c>
      <c r="U51" s="4"/>
    </row>
    <row r="52" spans="1:21" x14ac:dyDescent="0.25">
      <c r="A52" s="2">
        <v>215</v>
      </c>
      <c r="B52" s="4"/>
      <c r="C52" s="4">
        <v>30.624082838776399</v>
      </c>
      <c r="D52" s="4">
        <v>20.741177680689098</v>
      </c>
      <c r="E52" s="4">
        <v>13.6290230295419</v>
      </c>
      <c r="F52" s="4">
        <v>12.742508613325301</v>
      </c>
      <c r="G52" s="4">
        <v>15.2912271388528</v>
      </c>
      <c r="H52" s="4">
        <v>14.4667007398926</v>
      </c>
      <c r="I52" s="4">
        <v>14.423411419498199</v>
      </c>
      <c r="J52" s="4">
        <v>19.425551393444199</v>
      </c>
      <c r="K52" s="4">
        <v>20.849710784264001</v>
      </c>
      <c r="L52" s="4">
        <v>26.3007307808261</v>
      </c>
      <c r="M52" s="4">
        <v>21.513666006368599</v>
      </c>
      <c r="N52" s="4">
        <v>16.001679678254099</v>
      </c>
      <c r="O52" s="4">
        <v>24.4399600474209</v>
      </c>
      <c r="P52" s="4">
        <v>26.075195859632501</v>
      </c>
      <c r="Q52" s="4">
        <v>22.527989703490501</v>
      </c>
      <c r="R52" s="4">
        <v>23.1352521447842</v>
      </c>
      <c r="S52" s="4">
        <v>30.6437635413875</v>
      </c>
      <c r="T52" s="4">
        <v>32.065884402915501</v>
      </c>
      <c r="U52" s="4"/>
    </row>
    <row r="53" spans="1:21" x14ac:dyDescent="0.25">
      <c r="A53" s="2">
        <v>220</v>
      </c>
      <c r="B53" s="4"/>
      <c r="C53" s="4">
        <v>32.178363243312198</v>
      </c>
      <c r="D53" s="4">
        <v>19.5757521033789</v>
      </c>
      <c r="E53" s="4">
        <v>10.7621788234148</v>
      </c>
      <c r="F53" s="4">
        <v>12.136805766597099</v>
      </c>
      <c r="G53" s="4">
        <v>17.652001514666299</v>
      </c>
      <c r="H53" s="4">
        <v>20.120525566539701</v>
      </c>
      <c r="I53" s="4">
        <v>11.5089043699402</v>
      </c>
      <c r="J53" s="4">
        <v>14.076359339991001</v>
      </c>
      <c r="K53" s="4">
        <v>19.2543543636361</v>
      </c>
      <c r="L53" s="4">
        <v>28.798959285465799</v>
      </c>
      <c r="M53" s="4">
        <v>15.1320999745195</v>
      </c>
      <c r="N53" s="4">
        <v>18.091632782738898</v>
      </c>
      <c r="O53" s="4">
        <v>19.459449146041798</v>
      </c>
      <c r="P53" s="4">
        <v>24.843807884838402</v>
      </c>
      <c r="Q53" s="4">
        <v>41.821111881582603</v>
      </c>
      <c r="R53" s="4">
        <v>35.567430138497002</v>
      </c>
      <c r="S53" s="4">
        <v>31.262699017688401</v>
      </c>
      <c r="T53" s="4">
        <v>0.25507857865901801</v>
      </c>
      <c r="U53" s="4"/>
    </row>
    <row r="54" spans="1:21" x14ac:dyDescent="0.25">
      <c r="A54" s="2">
        <v>225</v>
      </c>
      <c r="B54" s="4"/>
      <c r="C54" s="4">
        <v>50.1872912007385</v>
      </c>
      <c r="D54" s="4">
        <v>20.707496466721501</v>
      </c>
      <c r="E54" s="4">
        <v>19.3788518330011</v>
      </c>
      <c r="F54" s="4">
        <v>16.7699858450429</v>
      </c>
      <c r="G54" s="4">
        <v>13.7396436879419</v>
      </c>
      <c r="H54" s="4">
        <v>18.836559146123701</v>
      </c>
      <c r="I54" s="4">
        <v>14.7757158545427</v>
      </c>
      <c r="J54" s="4">
        <v>18.9500398597926</v>
      </c>
      <c r="K54" s="4">
        <v>22.368448519955901</v>
      </c>
      <c r="L54" s="4">
        <v>16.602235278605601</v>
      </c>
      <c r="M54" s="4">
        <v>25.112615807489899</v>
      </c>
      <c r="N54" s="4">
        <v>22.122503420467101</v>
      </c>
      <c r="O54" s="4">
        <v>24.1321983992128</v>
      </c>
      <c r="P54" s="4">
        <v>28.652957895691099</v>
      </c>
      <c r="Q54" s="4">
        <v>19.168581200581801</v>
      </c>
      <c r="R54" s="4">
        <v>31.376758755230401</v>
      </c>
      <c r="S54" s="4">
        <v>28.085516546022401</v>
      </c>
      <c r="T54" s="4">
        <v>37.134094788817897</v>
      </c>
      <c r="U54" s="4"/>
    </row>
    <row r="55" spans="1:21" x14ac:dyDescent="0.25">
      <c r="A55" s="2">
        <v>230</v>
      </c>
      <c r="B55" s="4"/>
      <c r="C55" s="4">
        <v>42.106712223973702</v>
      </c>
      <c r="D55" s="4">
        <v>25.9739020314653</v>
      </c>
      <c r="E55" s="4">
        <v>17.9720029936564</v>
      </c>
      <c r="F55" s="4">
        <v>15.8644143441447</v>
      </c>
      <c r="G55" s="4">
        <v>12.333426821318699</v>
      </c>
      <c r="H55" s="4">
        <v>20.037509035027899</v>
      </c>
      <c r="I55" s="4">
        <v>11.7537373530081</v>
      </c>
      <c r="J55" s="4">
        <v>17.139723253490398</v>
      </c>
      <c r="K55" s="4">
        <v>20.763083282297</v>
      </c>
      <c r="L55" s="4">
        <v>21.6003047240537</v>
      </c>
      <c r="M55" s="4">
        <v>21.500174337640502</v>
      </c>
      <c r="N55" s="4">
        <v>16.598845041889302</v>
      </c>
      <c r="O55" s="4">
        <v>16.408566115185099</v>
      </c>
      <c r="P55" s="4">
        <v>32.8407771882055</v>
      </c>
      <c r="Q55" s="4">
        <v>40.818607066990502</v>
      </c>
      <c r="R55" s="4">
        <v>36.110736118615399</v>
      </c>
      <c r="S55" s="4">
        <v>18.187102840984402</v>
      </c>
      <c r="T55" s="4">
        <v>21.4770455370289</v>
      </c>
      <c r="U55" s="4"/>
    </row>
    <row r="56" spans="1:21" x14ac:dyDescent="0.25">
      <c r="A56" s="2">
        <v>235</v>
      </c>
      <c r="B56" s="4"/>
      <c r="C56" s="4">
        <v>44.023646750257903</v>
      </c>
      <c r="D56" s="4">
        <v>29.354396083303602</v>
      </c>
      <c r="E56" s="4">
        <v>19.023401406630398</v>
      </c>
      <c r="F56" s="4">
        <v>17.8252531684236</v>
      </c>
      <c r="G56" s="4">
        <v>12.997581724113299</v>
      </c>
      <c r="H56" s="4">
        <v>23.590151197905598</v>
      </c>
      <c r="I56" s="4">
        <v>18.5899529323591</v>
      </c>
      <c r="J56" s="4">
        <v>20.775947865963602</v>
      </c>
      <c r="K56" s="4">
        <v>27.8662414799857</v>
      </c>
      <c r="L56" s="4">
        <v>28.0930189685829</v>
      </c>
      <c r="M56" s="4">
        <v>33.4548545136279</v>
      </c>
      <c r="N56" s="4">
        <v>22.387346570258799</v>
      </c>
      <c r="O56" s="4">
        <v>16.078884927811298</v>
      </c>
      <c r="P56" s="4">
        <v>0.252015595000599</v>
      </c>
      <c r="Q56" s="4">
        <v>22.354012364203001</v>
      </c>
      <c r="R56" s="4">
        <v>40.787444879418601</v>
      </c>
      <c r="S56" s="4">
        <v>26.800582367613998</v>
      </c>
      <c r="T56" s="4">
        <v>0.19487168354850301</v>
      </c>
      <c r="U56" s="4"/>
    </row>
    <row r="57" spans="1:21" x14ac:dyDescent="0.25">
      <c r="A57" s="2">
        <v>240</v>
      </c>
      <c r="B57" s="4"/>
      <c r="C57" s="4">
        <v>42.125181806641699</v>
      </c>
      <c r="D57" s="4">
        <v>29.123317623210799</v>
      </c>
      <c r="E57" s="4">
        <v>19.8951365302865</v>
      </c>
      <c r="F57" s="4">
        <v>9.0103050925448507</v>
      </c>
      <c r="G57" s="4">
        <v>15.819178455268499</v>
      </c>
      <c r="H57" s="4">
        <v>15.0801962586391</v>
      </c>
      <c r="I57" s="4">
        <v>17.250828937918602</v>
      </c>
      <c r="J57" s="4">
        <v>29.9086362423424</v>
      </c>
      <c r="K57" s="4">
        <v>27.929154324372799</v>
      </c>
      <c r="L57" s="4">
        <v>24.244042049362399</v>
      </c>
      <c r="M57" s="4">
        <v>26.153631808009902</v>
      </c>
      <c r="N57" s="4">
        <v>21.290146778061999</v>
      </c>
      <c r="O57" s="4">
        <v>32.906134530117598</v>
      </c>
      <c r="P57" s="4">
        <v>10.2751682126631</v>
      </c>
      <c r="Q57" s="4">
        <v>12.445391030184201</v>
      </c>
      <c r="R57" s="4">
        <v>36.031012883792101</v>
      </c>
      <c r="S57" s="4">
        <v>46.875994629265001</v>
      </c>
      <c r="T57" s="4">
        <v>19.570538787408999</v>
      </c>
      <c r="U57" s="4"/>
    </row>
    <row r="58" spans="1:21" x14ac:dyDescent="0.25">
      <c r="A58" s="2">
        <v>245</v>
      </c>
      <c r="B58" s="4"/>
      <c r="C58" s="4"/>
      <c r="D58" s="4">
        <v>9.9829846116693606</v>
      </c>
      <c r="E58" s="4">
        <v>18.816016209799201</v>
      </c>
      <c r="F58" s="4">
        <v>16.006750539046301</v>
      </c>
      <c r="G58" s="4">
        <v>15.6967179755193</v>
      </c>
      <c r="H58" s="4">
        <v>13.070557830655799</v>
      </c>
      <c r="I58" s="4">
        <v>23.971627767142099</v>
      </c>
      <c r="J58" s="4">
        <v>1.2026243830304799</v>
      </c>
      <c r="K58" s="4">
        <v>8.3419562775070109</v>
      </c>
      <c r="L58" s="4">
        <v>37.720878238765302</v>
      </c>
      <c r="M58" s="4">
        <v>11.195344734926101</v>
      </c>
      <c r="N58" s="4">
        <v>36.830902793086402</v>
      </c>
      <c r="O58" s="4">
        <v>14.67108844593</v>
      </c>
      <c r="P58" s="4">
        <v>20.9321175602078</v>
      </c>
      <c r="Q58" s="4">
        <v>35.182185922706303</v>
      </c>
      <c r="R58" s="4">
        <v>51.020575991415001</v>
      </c>
      <c r="S58" s="4">
        <v>43.317682907666502</v>
      </c>
      <c r="T58" s="4">
        <v>47.718023744900101</v>
      </c>
      <c r="U58" s="4"/>
    </row>
    <row r="59" spans="1:21" x14ac:dyDescent="0.25">
      <c r="A59" s="2">
        <v>250</v>
      </c>
      <c r="B59" s="4"/>
      <c r="C59" s="4">
        <v>47.669231315930801</v>
      </c>
      <c r="D59" s="4">
        <v>20.6903771114895</v>
      </c>
      <c r="E59" s="4">
        <v>9.7337259086499195</v>
      </c>
      <c r="F59" s="4">
        <v>16.688280593224398</v>
      </c>
      <c r="G59" s="4">
        <v>18.044443724800502</v>
      </c>
      <c r="H59" s="4">
        <v>17.959927784477301</v>
      </c>
      <c r="I59" s="4">
        <v>20.273051644948101</v>
      </c>
      <c r="J59" s="4">
        <v>14.8763102553206</v>
      </c>
      <c r="K59" s="4">
        <v>42.365330435133501</v>
      </c>
      <c r="L59" s="4">
        <v>8.8333865676342196</v>
      </c>
      <c r="M59" s="4">
        <v>24.582954551734598</v>
      </c>
      <c r="N59" s="4">
        <v>29.4859290920257</v>
      </c>
      <c r="O59" s="4">
        <v>52.2289937640478</v>
      </c>
      <c r="P59" s="4">
        <v>21.128194273821499</v>
      </c>
      <c r="Q59" s="4">
        <v>51.821100141516098</v>
      </c>
      <c r="R59" s="4">
        <v>0.238763084736027</v>
      </c>
      <c r="S59" s="4">
        <v>19.275074728330999</v>
      </c>
      <c r="T59" s="4">
        <v>17.731050924537001</v>
      </c>
      <c r="U59" s="4"/>
    </row>
    <row r="60" spans="1:21" x14ac:dyDescent="0.25">
      <c r="A60" s="2" t="s">
        <v>25</v>
      </c>
      <c r="B60" s="4"/>
      <c r="C60" s="4"/>
      <c r="D60" s="4"/>
      <c r="E60" s="4"/>
      <c r="F60" s="4"/>
      <c r="G60" s="4"/>
      <c r="H60" s="4"/>
      <c r="I60" s="4"/>
      <c r="J60" s="4"/>
      <c r="K60" s="4"/>
      <c r="L60" s="4"/>
      <c r="M60" s="4"/>
      <c r="N60" s="4"/>
      <c r="O60" s="4"/>
      <c r="P60" s="4"/>
      <c r="Q60" s="4"/>
      <c r="R60" s="4"/>
      <c r="S60" s="4"/>
      <c r="T60" s="4"/>
      <c r="U60" s="4"/>
    </row>
    <row r="61" spans="1:21" x14ac:dyDescent="0.25">
      <c r="A61" s="2"/>
      <c r="B61" s="4"/>
      <c r="C61" s="4"/>
      <c r="D61" s="4"/>
      <c r="E61" s="4"/>
      <c r="F61" s="4"/>
      <c r="G61" s="4"/>
      <c r="H61" s="4"/>
      <c r="I61" s="4"/>
      <c r="J61" s="4"/>
      <c r="K61" s="4"/>
      <c r="L61" s="4"/>
      <c r="M61" s="4"/>
      <c r="N61" s="4"/>
      <c r="O61" s="4"/>
      <c r="P61" s="4"/>
      <c r="Q61" s="4"/>
      <c r="R61" s="4"/>
      <c r="S61" s="4"/>
      <c r="T61" s="4"/>
    </row>
    <row r="62" spans="1:21" x14ac:dyDescent="0.25">
      <c r="A62" s="2"/>
      <c r="B62" s="4"/>
      <c r="C62" s="4"/>
      <c r="D62" s="4"/>
      <c r="E62" s="4"/>
      <c r="F62" s="4"/>
      <c r="G62" s="4"/>
      <c r="H62" s="4"/>
      <c r="I62" s="4"/>
      <c r="J62" s="4"/>
      <c r="K62" s="4"/>
      <c r="L62" s="4"/>
      <c r="M62" s="4"/>
      <c r="N62" s="4"/>
      <c r="O62" s="4"/>
      <c r="P62" s="4"/>
      <c r="Q62" s="4"/>
      <c r="R62" s="4"/>
      <c r="S62" s="4"/>
      <c r="T62" s="4"/>
    </row>
    <row r="63" spans="1:21" x14ac:dyDescent="0.25">
      <c r="A63" s="2"/>
      <c r="B63" s="4"/>
      <c r="C63" s="4"/>
      <c r="D63" s="4"/>
      <c r="E63" s="4"/>
      <c r="F63" s="4"/>
      <c r="G63" s="4"/>
      <c r="H63" s="4"/>
      <c r="I63" s="4"/>
      <c r="J63" s="4"/>
      <c r="K63" s="4"/>
      <c r="L63" s="4"/>
      <c r="M63" s="4"/>
      <c r="N63" s="4"/>
      <c r="O63" s="4"/>
      <c r="P63" s="4"/>
      <c r="Q63" s="4"/>
      <c r="R63" s="4"/>
      <c r="S63" s="4"/>
      <c r="T63" s="4"/>
    </row>
    <row r="64" spans="1:21" x14ac:dyDescent="0.25">
      <c r="A64" s="2"/>
      <c r="B64" s="4"/>
      <c r="C64" s="4"/>
      <c r="D64" s="4"/>
      <c r="E64" s="4"/>
      <c r="F64" s="4"/>
      <c r="G64" s="4"/>
      <c r="H64" s="4"/>
      <c r="I64" s="4"/>
      <c r="J64" s="4"/>
      <c r="K64" s="4"/>
      <c r="L64" s="4"/>
      <c r="M64" s="4"/>
      <c r="N64" s="4"/>
      <c r="O64" s="4"/>
      <c r="P64" s="4"/>
      <c r="Q64" s="4"/>
      <c r="R64" s="4"/>
      <c r="S64" s="4"/>
      <c r="T64" s="4"/>
    </row>
    <row r="65" spans="1:20" x14ac:dyDescent="0.25">
      <c r="A65" s="2"/>
      <c r="B65" s="4"/>
      <c r="C65" s="4"/>
      <c r="D65" s="4"/>
      <c r="E65" s="4"/>
      <c r="F65" s="4"/>
      <c r="G65" s="4"/>
      <c r="H65" s="4"/>
      <c r="I65" s="4"/>
      <c r="J65" s="4"/>
      <c r="K65" s="4"/>
      <c r="L65" s="4"/>
      <c r="M65" s="4"/>
      <c r="N65" s="4"/>
      <c r="O65" s="4"/>
      <c r="P65" s="4"/>
      <c r="Q65" s="4"/>
      <c r="R65" s="4"/>
      <c r="S65" s="4"/>
      <c r="T65" s="4"/>
    </row>
    <row r="66" spans="1:20" x14ac:dyDescent="0.25">
      <c r="A66" s="2"/>
      <c r="B66" s="4"/>
      <c r="C66" s="4"/>
      <c r="D66" s="4"/>
      <c r="E66" s="4"/>
      <c r="F66" s="4"/>
      <c r="G66" s="4"/>
      <c r="H66" s="4"/>
      <c r="I66" s="4"/>
      <c r="J66" s="4"/>
      <c r="K66" s="4"/>
      <c r="L66" s="4"/>
      <c r="M66" s="4"/>
      <c r="N66" s="4"/>
      <c r="O66" s="4"/>
      <c r="P66" s="4"/>
      <c r="Q66" s="4"/>
      <c r="R66" s="4"/>
      <c r="S66" s="4"/>
      <c r="T66" s="4"/>
    </row>
    <row r="67" spans="1:20" x14ac:dyDescent="0.25">
      <c r="A67" s="2"/>
      <c r="B67" s="4"/>
      <c r="C67" s="4"/>
      <c r="D67" s="4"/>
      <c r="E67" s="4"/>
      <c r="F67" s="4"/>
      <c r="G67" s="4"/>
      <c r="H67" s="4"/>
      <c r="I67" s="4"/>
      <c r="J67" s="4"/>
      <c r="K67" s="4"/>
      <c r="L67" s="4"/>
      <c r="M67" s="4"/>
      <c r="N67" s="4"/>
      <c r="O67" s="4"/>
      <c r="P67" s="4"/>
      <c r="Q67" s="4"/>
      <c r="R67" s="4"/>
      <c r="S67" s="4"/>
      <c r="T67" s="4"/>
    </row>
    <row r="68" spans="1:20" x14ac:dyDescent="0.25">
      <c r="A68" s="2"/>
      <c r="B68" s="4"/>
      <c r="C68" s="4"/>
      <c r="D68" s="4"/>
      <c r="E68" s="4"/>
      <c r="F68" s="4"/>
      <c r="G68" s="4"/>
      <c r="H68" s="4"/>
      <c r="I68" s="4"/>
      <c r="J68" s="4"/>
      <c r="K68" s="4"/>
      <c r="L68" s="4"/>
      <c r="M68" s="4"/>
      <c r="N68" s="4"/>
      <c r="O68" s="4"/>
      <c r="P68" s="4"/>
      <c r="Q68" s="4"/>
      <c r="R68" s="4"/>
      <c r="S68" s="4"/>
      <c r="T68" s="4"/>
    </row>
    <row r="69" spans="1:20" x14ac:dyDescent="0.25">
      <c r="A69" s="2"/>
      <c r="B69" s="4"/>
      <c r="C69" s="4"/>
      <c r="D69" s="4"/>
      <c r="E69" s="4"/>
      <c r="F69" s="4"/>
      <c r="G69" s="4"/>
      <c r="H69" s="4"/>
      <c r="I69" s="4"/>
      <c r="J69" s="4"/>
      <c r="K69" s="4"/>
      <c r="L69" s="4"/>
      <c r="M69" s="4"/>
      <c r="N69" s="4"/>
      <c r="O69" s="4"/>
      <c r="P69" s="4"/>
      <c r="Q69" s="4"/>
      <c r="R69" s="4"/>
      <c r="S69" s="4"/>
      <c r="T69" s="4"/>
    </row>
    <row r="70" spans="1:20" x14ac:dyDescent="0.25">
      <c r="A70" s="2"/>
      <c r="B70" s="4"/>
      <c r="C70" s="4"/>
      <c r="D70" s="4"/>
      <c r="E70" s="4"/>
      <c r="F70" s="4"/>
      <c r="G70" s="4"/>
      <c r="H70" s="4"/>
      <c r="I70" s="4"/>
      <c r="J70" s="4"/>
      <c r="K70" s="4"/>
      <c r="L70" s="4"/>
      <c r="M70" s="4"/>
      <c r="N70" s="4"/>
      <c r="O70" s="4"/>
      <c r="P70" s="4"/>
      <c r="Q70" s="4"/>
      <c r="R70" s="4"/>
      <c r="S70" s="4"/>
      <c r="T70" s="4"/>
    </row>
    <row r="71" spans="1:20" x14ac:dyDescent="0.25">
      <c r="A71" s="2"/>
      <c r="B71" s="4"/>
      <c r="C71" s="4"/>
      <c r="D71" s="4"/>
      <c r="E71" s="4"/>
      <c r="F71" s="4"/>
      <c r="G71" s="4"/>
      <c r="H71" s="4"/>
      <c r="I71" s="4"/>
      <c r="J71" s="4"/>
      <c r="K71" s="4"/>
      <c r="L71" s="4"/>
      <c r="M71" s="4"/>
      <c r="N71" s="4"/>
      <c r="O71" s="4"/>
      <c r="P71" s="4"/>
      <c r="Q71" s="4"/>
      <c r="R71" s="4"/>
      <c r="S71" s="4"/>
      <c r="T71" s="4"/>
    </row>
    <row r="72" spans="1:20" x14ac:dyDescent="0.25">
      <c r="A72" s="2"/>
      <c r="B72" s="4"/>
      <c r="C72" s="4"/>
      <c r="D72" s="4"/>
      <c r="E72" s="4"/>
      <c r="F72" s="4"/>
      <c r="G72" s="4"/>
      <c r="H72" s="4"/>
      <c r="I72" s="4"/>
      <c r="J72" s="4"/>
      <c r="K72" s="4"/>
      <c r="L72" s="4"/>
      <c r="M72" s="4"/>
      <c r="N72" s="4"/>
      <c r="O72" s="4"/>
      <c r="P72" s="4"/>
      <c r="Q72" s="4"/>
      <c r="R72" s="4"/>
      <c r="S72" s="4"/>
      <c r="T72" s="4"/>
    </row>
    <row r="73" spans="1:20" x14ac:dyDescent="0.25">
      <c r="A73" s="2"/>
      <c r="B73" s="4"/>
      <c r="C73" s="4"/>
      <c r="D73" s="4"/>
      <c r="E73" s="4"/>
      <c r="F73" s="4"/>
      <c r="G73" s="4"/>
      <c r="H73" s="4"/>
      <c r="I73" s="4"/>
      <c r="J73" s="4"/>
      <c r="K73" s="4"/>
      <c r="L73" s="4"/>
      <c r="M73" s="4"/>
      <c r="N73" s="4"/>
      <c r="O73" s="4"/>
      <c r="P73" s="4"/>
      <c r="Q73" s="4"/>
      <c r="R73" s="4"/>
      <c r="S73" s="4"/>
      <c r="T73" s="4"/>
    </row>
    <row r="74" spans="1:20" x14ac:dyDescent="0.25">
      <c r="A74" s="2"/>
      <c r="B74" s="4"/>
      <c r="C74" s="4"/>
      <c r="D74" s="4"/>
      <c r="E74" s="4"/>
      <c r="F74" s="4"/>
      <c r="G74" s="4"/>
      <c r="H74" s="4"/>
      <c r="I74" s="4"/>
      <c r="J74" s="4"/>
      <c r="K74" s="4"/>
      <c r="L74" s="4"/>
      <c r="M74" s="4"/>
      <c r="N74" s="4"/>
      <c r="O74" s="4"/>
      <c r="P74" s="4"/>
      <c r="Q74" s="4"/>
      <c r="R74" s="4"/>
      <c r="S74" s="4"/>
      <c r="T74" s="4"/>
    </row>
    <row r="75" spans="1:20" x14ac:dyDescent="0.25">
      <c r="A75" s="2"/>
      <c r="B75" s="4"/>
      <c r="C75" s="4"/>
      <c r="D75" s="4"/>
      <c r="E75" s="4"/>
      <c r="F75" s="4"/>
      <c r="G75" s="4"/>
      <c r="H75" s="4"/>
      <c r="I75" s="4"/>
      <c r="J75" s="4"/>
      <c r="K75" s="4"/>
      <c r="L75" s="4"/>
      <c r="M75" s="4"/>
      <c r="N75" s="4"/>
      <c r="O75" s="4"/>
      <c r="P75" s="4"/>
      <c r="Q75" s="4"/>
      <c r="R75" s="4"/>
      <c r="S75" s="4"/>
      <c r="T75" s="4"/>
    </row>
    <row r="76" spans="1:20" x14ac:dyDescent="0.25">
      <c r="A76" s="2"/>
      <c r="B76" s="4"/>
      <c r="C76" s="4"/>
      <c r="D76" s="4"/>
      <c r="E76" s="4"/>
      <c r="F76" s="4"/>
      <c r="G76" s="4"/>
      <c r="H76" s="4"/>
      <c r="I76" s="4"/>
      <c r="J76" s="4"/>
      <c r="K76" s="4"/>
      <c r="L76" s="4"/>
      <c r="M76" s="4"/>
      <c r="N76" s="4"/>
      <c r="O76" s="4"/>
      <c r="P76" s="4"/>
      <c r="Q76" s="4"/>
      <c r="R76" s="4"/>
      <c r="S76" s="4"/>
      <c r="T76" s="4"/>
    </row>
    <row r="77" spans="1:20" x14ac:dyDescent="0.25">
      <c r="A77" s="2"/>
      <c r="B77" s="4"/>
      <c r="C77" s="4"/>
      <c r="D77" s="4"/>
      <c r="E77" s="4"/>
      <c r="F77" s="4"/>
      <c r="G77" s="4"/>
      <c r="H77" s="4"/>
      <c r="I77" s="4"/>
      <c r="J77" s="4"/>
      <c r="K77" s="4"/>
      <c r="L77" s="4"/>
      <c r="M77" s="4"/>
      <c r="N77" s="4"/>
      <c r="O77" s="4"/>
      <c r="P77" s="4"/>
      <c r="Q77" s="4"/>
      <c r="R77" s="4"/>
      <c r="S77" s="4"/>
      <c r="T77" s="4"/>
    </row>
    <row r="78" spans="1:20" x14ac:dyDescent="0.25">
      <c r="A78" s="2"/>
      <c r="B78" s="4"/>
      <c r="C78" s="4"/>
      <c r="D78" s="4"/>
      <c r="E78" s="4"/>
      <c r="F78" s="4"/>
      <c r="G78" s="4"/>
      <c r="H78" s="4"/>
      <c r="I78" s="4"/>
      <c r="J78" s="4"/>
      <c r="K78" s="4"/>
      <c r="L78" s="4"/>
      <c r="M78" s="4"/>
      <c r="N78" s="4"/>
      <c r="O78" s="4"/>
      <c r="P78" s="4"/>
      <c r="Q78" s="4"/>
      <c r="R78" s="4"/>
      <c r="S78" s="4"/>
      <c r="T78" s="4"/>
    </row>
    <row r="79" spans="1:20" x14ac:dyDescent="0.25">
      <c r="A79" s="2"/>
      <c r="B79" s="4"/>
      <c r="C79" s="4"/>
      <c r="D79" s="4"/>
      <c r="E79" s="4"/>
      <c r="F79" s="4"/>
      <c r="G79" s="4"/>
      <c r="H79" s="4"/>
      <c r="I79" s="4"/>
      <c r="J79" s="4"/>
      <c r="K79" s="4"/>
      <c r="L79" s="4"/>
      <c r="M79" s="4"/>
      <c r="N79" s="4"/>
      <c r="O79" s="4"/>
      <c r="P79" s="4"/>
      <c r="Q79" s="4"/>
      <c r="R79" s="4"/>
      <c r="S79" s="4"/>
      <c r="T79" s="4"/>
    </row>
    <row r="80" spans="1:20" x14ac:dyDescent="0.25">
      <c r="A80" s="2"/>
      <c r="B80" s="4"/>
      <c r="C80" s="4"/>
      <c r="D80" s="4"/>
      <c r="E80" s="4"/>
      <c r="F80" s="4"/>
      <c r="G80" s="4"/>
      <c r="H80" s="4"/>
      <c r="I80" s="4"/>
      <c r="J80" s="4"/>
      <c r="K80" s="4"/>
      <c r="L80" s="4"/>
      <c r="M80" s="4"/>
      <c r="N80" s="4"/>
      <c r="O80" s="4"/>
      <c r="P80" s="4"/>
      <c r="Q80" s="4"/>
      <c r="R80" s="4"/>
      <c r="S80" s="4"/>
      <c r="T80" s="4"/>
    </row>
    <row r="81" spans="1:20" x14ac:dyDescent="0.25">
      <c r="A81" s="2"/>
      <c r="B81" s="4"/>
      <c r="C81" s="4"/>
      <c r="D81" s="4"/>
      <c r="E81" s="4"/>
      <c r="F81" s="4"/>
      <c r="G81" s="4"/>
      <c r="H81" s="4"/>
      <c r="I81" s="4"/>
      <c r="J81" s="4"/>
      <c r="K81" s="4"/>
      <c r="L81" s="4"/>
      <c r="M81" s="4"/>
      <c r="N81" s="4"/>
      <c r="O81" s="4"/>
      <c r="P81" s="4"/>
      <c r="Q81" s="4"/>
      <c r="R81" s="4"/>
      <c r="S81" s="4"/>
      <c r="T81" s="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033"/>
  <sheetViews>
    <sheetView workbookViewId="0">
      <selection sqref="A1:V1033"/>
    </sheetView>
  </sheetViews>
  <sheetFormatPr defaultRowHeight="15" x14ac:dyDescent="0.25"/>
  <sheetData>
    <row r="1" spans="1:22"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24</v>
      </c>
      <c r="U1" t="s">
        <v>19</v>
      </c>
      <c r="V1" t="s">
        <v>20</v>
      </c>
    </row>
    <row r="2" spans="1:22" x14ac:dyDescent="0.25">
      <c r="A2">
        <v>0.99333460181909305</v>
      </c>
      <c r="B2">
        <v>7.7116742287498301</v>
      </c>
      <c r="C2">
        <v>90.0457927430963</v>
      </c>
      <c r="D2">
        <v>0</v>
      </c>
      <c r="E2">
        <v>3.6229519590091601</v>
      </c>
      <c r="F2">
        <v>4.4415164381249896</v>
      </c>
      <c r="G2">
        <v>-44.223345093697098</v>
      </c>
      <c r="H2">
        <v>22.907611918212201</v>
      </c>
      <c r="I2">
        <v>64.271890782220297</v>
      </c>
      <c r="J2">
        <v>3.85587433949039</v>
      </c>
      <c r="K2">
        <v>5754.2467202194302</v>
      </c>
      <c r="L2">
        <v>785.37169552142996</v>
      </c>
      <c r="M2">
        <v>2.2483336780346801E-2</v>
      </c>
      <c r="N2">
        <v>6.1543614084890598E-2</v>
      </c>
      <c r="O2">
        <v>0.605309469805829</v>
      </c>
      <c r="P2">
        <v>2.0124558231155599E-2</v>
      </c>
      <c r="Q2">
        <v>0.23062016450773601</v>
      </c>
      <c r="R2">
        <v>0</v>
      </c>
      <c r="S2">
        <v>-25</v>
      </c>
      <c r="T2">
        <v>10</v>
      </c>
      <c r="U2">
        <v>14684837.630000001</v>
      </c>
      <c r="V2">
        <v>2552</v>
      </c>
    </row>
    <row r="3" spans="1:22" x14ac:dyDescent="0.25">
      <c r="A3">
        <v>0.99321524749152401</v>
      </c>
      <c r="B3">
        <v>7.8446534039330196</v>
      </c>
      <c r="C3">
        <v>64.079831000110104</v>
      </c>
      <c r="D3">
        <v>0</v>
      </c>
      <c r="E3">
        <v>3.6433265741574501</v>
      </c>
      <c r="F3">
        <v>4.4459757323203704</v>
      </c>
      <c r="G3">
        <v>-49.165162826035001</v>
      </c>
      <c r="H3">
        <v>22.0825498424018</v>
      </c>
      <c r="I3">
        <v>57.237018014302897</v>
      </c>
      <c r="J3">
        <v>17.1977014521858</v>
      </c>
      <c r="K3">
        <v>15841.5135910589</v>
      </c>
      <c r="L3">
        <v>767.531928518683</v>
      </c>
      <c r="M3">
        <v>4.6537533347632797E-2</v>
      </c>
      <c r="N3">
        <v>4.7018841873340003E-2</v>
      </c>
      <c r="O3">
        <v>0.66365494269208802</v>
      </c>
      <c r="P3">
        <v>2.9454840039555501E-2</v>
      </c>
      <c r="Q3">
        <v>0.284044571963948</v>
      </c>
      <c r="R3">
        <v>0</v>
      </c>
      <c r="S3">
        <v>-25</v>
      </c>
      <c r="T3">
        <v>20</v>
      </c>
      <c r="U3">
        <v>86462981.180000007</v>
      </c>
      <c r="V3">
        <v>5458</v>
      </c>
    </row>
    <row r="4" spans="1:22" x14ac:dyDescent="0.25">
      <c r="A4">
        <v>0.99319718070359098</v>
      </c>
      <c r="B4">
        <v>7.8647672861507596</v>
      </c>
      <c r="C4">
        <v>31.707892399826299</v>
      </c>
      <c r="D4">
        <v>0</v>
      </c>
      <c r="E4">
        <v>3.7103530380993202</v>
      </c>
      <c r="F4">
        <v>4.4679081112398</v>
      </c>
      <c r="G4">
        <v>-50.364431597263398</v>
      </c>
      <c r="H4">
        <v>21.3240198326715</v>
      </c>
      <c r="I4">
        <v>56.586014381283398</v>
      </c>
      <c r="J4">
        <v>35.078505682115399</v>
      </c>
      <c r="K4">
        <v>26078.501279219901</v>
      </c>
      <c r="L4">
        <v>758.15956157230096</v>
      </c>
      <c r="M4">
        <v>4.3576377719827503E-2</v>
      </c>
      <c r="N4">
        <v>2.6900408380657801E-2</v>
      </c>
      <c r="O4">
        <v>0.76287201531709303</v>
      </c>
      <c r="P4">
        <v>2.9735067941936599E-2</v>
      </c>
      <c r="Q4">
        <v>0.32316207306568401</v>
      </c>
      <c r="R4">
        <v>0</v>
      </c>
      <c r="S4">
        <v>-25</v>
      </c>
      <c r="T4">
        <v>30</v>
      </c>
      <c r="U4">
        <v>403851670.81</v>
      </c>
      <c r="V4">
        <v>15486</v>
      </c>
    </row>
    <row r="5" spans="1:22" x14ac:dyDescent="0.25">
      <c r="A5">
        <v>0.99307306014500796</v>
      </c>
      <c r="B5">
        <v>8.0028428230788204</v>
      </c>
      <c r="C5">
        <v>15.1334643128639</v>
      </c>
      <c r="D5">
        <v>0</v>
      </c>
      <c r="E5">
        <v>3.7401316051931399</v>
      </c>
      <c r="F5">
        <v>4.48086317810289</v>
      </c>
      <c r="G5">
        <v>-51.341092374660199</v>
      </c>
      <c r="H5">
        <v>20.844139391660502</v>
      </c>
      <c r="I5">
        <v>57.546020458560697</v>
      </c>
      <c r="J5">
        <v>45.321979935743002</v>
      </c>
      <c r="K5">
        <v>35906.752289096803</v>
      </c>
      <c r="L5">
        <v>750.71129540679897</v>
      </c>
      <c r="M5">
        <v>4.5165583698802497E-2</v>
      </c>
      <c r="N5">
        <v>2.35660818028798E-2</v>
      </c>
      <c r="O5">
        <v>0.77865354209409599</v>
      </c>
      <c r="P5">
        <v>3.3561998951578201E-2</v>
      </c>
      <c r="Q5">
        <v>0.40971769496899801</v>
      </c>
      <c r="R5">
        <v>0</v>
      </c>
      <c r="S5">
        <v>-25</v>
      </c>
      <c r="T5">
        <v>40</v>
      </c>
      <c r="U5">
        <v>1592284930.26</v>
      </c>
      <c r="V5">
        <v>44345</v>
      </c>
    </row>
    <row r="6" spans="1:22" x14ac:dyDescent="0.25">
      <c r="A6">
        <v>0.99307364461748604</v>
      </c>
      <c r="B6">
        <v>8.0021930826005097</v>
      </c>
      <c r="C6">
        <v>9.9030299739426901</v>
      </c>
      <c r="D6">
        <v>0</v>
      </c>
      <c r="E6">
        <v>3.7410096876441998</v>
      </c>
      <c r="F6">
        <v>4.4774500893972498</v>
      </c>
      <c r="G6">
        <v>-51.562065452949803</v>
      </c>
      <c r="H6">
        <v>20.722693983714699</v>
      </c>
      <c r="I6">
        <v>58.247100237904398</v>
      </c>
      <c r="J6">
        <v>49.085375784528701</v>
      </c>
      <c r="K6">
        <v>45840.9047373168</v>
      </c>
      <c r="L6">
        <v>750.69722598750798</v>
      </c>
      <c r="M6">
        <v>5.1449591478879203E-2</v>
      </c>
      <c r="N6">
        <v>2.5457344261466099E-2</v>
      </c>
      <c r="O6">
        <v>0.75124529045006605</v>
      </c>
      <c r="P6">
        <v>3.52805362297679E-2</v>
      </c>
      <c r="Q6">
        <v>0.47995501899815302</v>
      </c>
      <c r="R6">
        <v>0</v>
      </c>
      <c r="S6">
        <v>-25</v>
      </c>
      <c r="T6">
        <v>50</v>
      </c>
      <c r="U6">
        <v>4827826564.2200003</v>
      </c>
      <c r="V6">
        <v>105317</v>
      </c>
    </row>
    <row r="7" spans="1:22" x14ac:dyDescent="0.25">
      <c r="A7">
        <v>0.99316767557692298</v>
      </c>
      <c r="B7">
        <v>7.89760689914986</v>
      </c>
      <c r="C7">
        <v>8.0795177965137697</v>
      </c>
      <c r="D7">
        <v>0</v>
      </c>
      <c r="E7">
        <v>3.7591521398304701</v>
      </c>
      <c r="F7">
        <v>4.4846899617830296</v>
      </c>
      <c r="G7">
        <v>-51.651875232905702</v>
      </c>
      <c r="H7">
        <v>20.602270440395401</v>
      </c>
      <c r="I7">
        <v>61.464530355306898</v>
      </c>
      <c r="J7">
        <v>53.424650766969698</v>
      </c>
      <c r="K7">
        <v>55526.7308585067</v>
      </c>
      <c r="L7">
        <v>750.77432001107695</v>
      </c>
      <c r="M7">
        <v>6.1390081641885301E-2</v>
      </c>
      <c r="N7">
        <v>2.6620718843680499E-2</v>
      </c>
      <c r="O7">
        <v>0.73344289147184005</v>
      </c>
      <c r="P7">
        <v>4.0963114973238499E-2</v>
      </c>
      <c r="Q7">
        <v>0.54876795453626603</v>
      </c>
      <c r="R7">
        <v>0</v>
      </c>
      <c r="S7">
        <v>-25</v>
      </c>
      <c r="T7">
        <v>60</v>
      </c>
      <c r="U7">
        <v>10317477387.549999</v>
      </c>
      <c r="V7">
        <v>185811</v>
      </c>
    </row>
    <row r="8" spans="1:22" x14ac:dyDescent="0.25">
      <c r="A8">
        <v>0.99330043680326396</v>
      </c>
      <c r="B8">
        <v>7.7497572962582604</v>
      </c>
      <c r="C8">
        <v>7.2213767221873697</v>
      </c>
      <c r="D8">
        <v>0</v>
      </c>
      <c r="E8">
        <v>3.7600178499595298</v>
      </c>
      <c r="F8">
        <v>4.4859410000260098</v>
      </c>
      <c r="G8">
        <v>-51.835406936143002</v>
      </c>
      <c r="H8">
        <v>20.6919623481554</v>
      </c>
      <c r="I8">
        <v>62.965041859242497</v>
      </c>
      <c r="J8">
        <v>55.189914184260601</v>
      </c>
      <c r="K8">
        <v>65301.715539101999</v>
      </c>
      <c r="L8">
        <v>751.90426768278303</v>
      </c>
      <c r="M8">
        <v>6.6427873902105902E-2</v>
      </c>
      <c r="N8">
        <v>3.1958022007487701E-2</v>
      </c>
      <c r="O8">
        <v>0.71329625581844402</v>
      </c>
      <c r="P8">
        <v>3.9686381564630203E-2</v>
      </c>
      <c r="Q8">
        <v>0.58435310927816697</v>
      </c>
      <c r="R8">
        <v>0</v>
      </c>
      <c r="S8">
        <v>-25</v>
      </c>
      <c r="T8">
        <v>70</v>
      </c>
      <c r="U8">
        <v>17458544252.810001</v>
      </c>
      <c r="V8">
        <v>267352</v>
      </c>
    </row>
    <row r="9" spans="1:22" x14ac:dyDescent="0.25">
      <c r="A9">
        <v>0.99344625771856798</v>
      </c>
      <c r="B9">
        <v>7.5871130714321904</v>
      </c>
      <c r="C9">
        <v>6.72535845610353</v>
      </c>
      <c r="D9">
        <v>0</v>
      </c>
      <c r="E9">
        <v>3.7520133103828202</v>
      </c>
      <c r="F9">
        <v>4.4878556110940702</v>
      </c>
      <c r="G9">
        <v>-51.8395396622766</v>
      </c>
      <c r="H9">
        <v>20.670917177976399</v>
      </c>
      <c r="I9">
        <v>62.655638548195199</v>
      </c>
      <c r="J9">
        <v>55.2549247125826</v>
      </c>
      <c r="K9">
        <v>75198.982035196095</v>
      </c>
      <c r="L9">
        <v>753.46198629128105</v>
      </c>
      <c r="M9">
        <v>7.9123000344735198E-2</v>
      </c>
      <c r="N9">
        <v>4.00658643357934E-2</v>
      </c>
      <c r="O9">
        <v>0.70713788065134398</v>
      </c>
      <c r="P9">
        <v>3.7147048274005501E-2</v>
      </c>
      <c r="Q9">
        <v>0.63550850965575201</v>
      </c>
      <c r="R9">
        <v>0</v>
      </c>
      <c r="S9">
        <v>-25</v>
      </c>
      <c r="T9">
        <v>80</v>
      </c>
      <c r="U9">
        <v>28617198210.439999</v>
      </c>
      <c r="V9">
        <v>380553</v>
      </c>
    </row>
    <row r="10" spans="1:22" x14ac:dyDescent="0.25">
      <c r="A10">
        <v>0.99363473406104896</v>
      </c>
      <c r="B10">
        <v>7.3765028381042903</v>
      </c>
      <c r="C10">
        <v>6.7273956075274697</v>
      </c>
      <c r="D10">
        <v>0</v>
      </c>
      <c r="E10">
        <v>3.7539712980147502</v>
      </c>
      <c r="F10">
        <v>4.4870591752853599</v>
      </c>
      <c r="G10">
        <v>-52.139334630944703</v>
      </c>
      <c r="H10">
        <v>20.756128749482698</v>
      </c>
      <c r="I10">
        <v>64.9871222138066</v>
      </c>
      <c r="J10">
        <v>57.5173579247747</v>
      </c>
      <c r="K10">
        <v>85185.363048842803</v>
      </c>
      <c r="L10">
        <v>754.26520013881498</v>
      </c>
      <c r="M10">
        <v>8.2493211780249306E-2</v>
      </c>
      <c r="N10">
        <v>4.5316272127382602E-2</v>
      </c>
      <c r="O10">
        <v>0.70033321943733595</v>
      </c>
      <c r="P10">
        <v>3.6201906497724499E-2</v>
      </c>
      <c r="Q10">
        <v>0.64160596650187696</v>
      </c>
      <c r="R10">
        <v>0</v>
      </c>
      <c r="S10">
        <v>-25</v>
      </c>
      <c r="T10">
        <v>90</v>
      </c>
      <c r="U10">
        <v>39953127864.989998</v>
      </c>
      <c r="V10">
        <v>469014</v>
      </c>
    </row>
    <row r="11" spans="1:22" x14ac:dyDescent="0.25">
      <c r="A11">
        <v>0.99388300434203702</v>
      </c>
      <c r="B11">
        <v>7.0984051996484201</v>
      </c>
      <c r="C11">
        <v>6.1983349838056201</v>
      </c>
      <c r="D11">
        <v>0</v>
      </c>
      <c r="E11">
        <v>3.7507100502114001</v>
      </c>
      <c r="F11">
        <v>4.4893557158427004</v>
      </c>
      <c r="G11">
        <v>-52.0192225526961</v>
      </c>
      <c r="H11">
        <v>20.727453383814701</v>
      </c>
      <c r="I11">
        <v>65.143732363351901</v>
      </c>
      <c r="J11">
        <v>57.8159768555184</v>
      </c>
      <c r="K11">
        <v>95250.973190148798</v>
      </c>
      <c r="L11">
        <v>757.03407979326596</v>
      </c>
      <c r="M11">
        <v>7.5778805613613401E-2</v>
      </c>
      <c r="N11">
        <v>5.0773094499493597E-2</v>
      </c>
      <c r="O11">
        <v>0.65427438368375401</v>
      </c>
      <c r="P11">
        <v>3.3991392561739303E-2</v>
      </c>
      <c r="Q11">
        <v>0.60697510180187797</v>
      </c>
      <c r="R11">
        <v>0</v>
      </c>
      <c r="S11">
        <v>-25</v>
      </c>
      <c r="T11">
        <v>100</v>
      </c>
      <c r="U11">
        <v>59491757584.129997</v>
      </c>
      <c r="V11">
        <v>624579</v>
      </c>
    </row>
    <row r="12" spans="1:22" x14ac:dyDescent="0.25">
      <c r="A12">
        <v>0.99403215787760302</v>
      </c>
      <c r="B12">
        <v>6.9309644348850297</v>
      </c>
      <c r="C12">
        <v>6.1508329061516198</v>
      </c>
      <c r="D12">
        <v>0</v>
      </c>
      <c r="E12">
        <v>3.7657327404263299</v>
      </c>
      <c r="F12">
        <v>4.49404964230287</v>
      </c>
      <c r="G12">
        <v>-52.4722006721762</v>
      </c>
      <c r="H12">
        <v>20.581184202000902</v>
      </c>
      <c r="I12">
        <v>67.769595238651306</v>
      </c>
      <c r="J12">
        <v>60.432957899692497</v>
      </c>
      <c r="K12">
        <v>105050.15010303901</v>
      </c>
      <c r="L12">
        <v>756.35414085488401</v>
      </c>
      <c r="M12">
        <v>7.9513713193808302E-2</v>
      </c>
      <c r="N12">
        <v>5.5111019953863499E-2</v>
      </c>
      <c r="O12">
        <v>0.63320632756717099</v>
      </c>
      <c r="P12">
        <v>3.1460465155896497E-2</v>
      </c>
      <c r="Q12">
        <v>0.62272348462540605</v>
      </c>
      <c r="R12">
        <v>0</v>
      </c>
      <c r="S12">
        <v>-25</v>
      </c>
      <c r="T12">
        <v>110</v>
      </c>
      <c r="U12">
        <v>64066199692.290001</v>
      </c>
      <c r="V12">
        <v>609863</v>
      </c>
    </row>
    <row r="13" spans="1:22" x14ac:dyDescent="0.25">
      <c r="A13">
        <v>0.99415809732607296</v>
      </c>
      <c r="B13">
        <v>6.7893686053925499</v>
      </c>
      <c r="C13">
        <v>6.01864874982068</v>
      </c>
      <c r="D13">
        <v>0</v>
      </c>
      <c r="E13">
        <v>3.7588771958447902</v>
      </c>
      <c r="F13">
        <v>4.4907216891432498</v>
      </c>
      <c r="G13">
        <v>-52.140623162132798</v>
      </c>
      <c r="H13">
        <v>20.797892729167099</v>
      </c>
      <c r="I13">
        <v>67.872823908609007</v>
      </c>
      <c r="J13">
        <v>60.441221283616997</v>
      </c>
      <c r="K13">
        <v>115105.085765643</v>
      </c>
      <c r="L13">
        <v>757.49034858247603</v>
      </c>
      <c r="M13">
        <v>8.1031533560353503E-2</v>
      </c>
      <c r="N13">
        <v>5.9171935138309803E-2</v>
      </c>
      <c r="O13">
        <v>0.60863522862734398</v>
      </c>
      <c r="P13">
        <v>3.01696002227873E-2</v>
      </c>
      <c r="Q13">
        <v>0.62762286385808597</v>
      </c>
      <c r="R13">
        <v>0</v>
      </c>
      <c r="S13">
        <v>-25</v>
      </c>
      <c r="T13">
        <v>120</v>
      </c>
      <c r="U13">
        <v>74527665406.110001</v>
      </c>
      <c r="V13">
        <v>647475</v>
      </c>
    </row>
    <row r="14" spans="1:22" x14ac:dyDescent="0.25">
      <c r="A14">
        <v>0.99431732394001304</v>
      </c>
      <c r="B14">
        <v>6.6100648012071099</v>
      </c>
      <c r="C14">
        <v>5.9980416489125297</v>
      </c>
      <c r="D14">
        <v>0</v>
      </c>
      <c r="E14">
        <v>3.7590770199796899</v>
      </c>
      <c r="F14">
        <v>4.4937661882653597</v>
      </c>
      <c r="G14">
        <v>-52.364530929820504</v>
      </c>
      <c r="H14">
        <v>20.612802087179901</v>
      </c>
      <c r="I14">
        <v>68.119987418620795</v>
      </c>
      <c r="J14">
        <v>60.7530780346315</v>
      </c>
      <c r="K14">
        <v>124933.47643619</v>
      </c>
      <c r="L14">
        <v>758.25865979329296</v>
      </c>
      <c r="M14">
        <v>8.0548567740320903E-2</v>
      </c>
      <c r="N14">
        <v>6.6188613781218306E-2</v>
      </c>
      <c r="O14">
        <v>0.59616398073326105</v>
      </c>
      <c r="P14">
        <v>2.9254839079589898E-2</v>
      </c>
      <c r="Q14">
        <v>0.63228482832358601</v>
      </c>
      <c r="R14">
        <v>0</v>
      </c>
      <c r="S14">
        <v>-25</v>
      </c>
      <c r="T14">
        <v>130</v>
      </c>
      <c r="U14">
        <v>86923840498.720001</v>
      </c>
      <c r="V14">
        <v>695761</v>
      </c>
    </row>
    <row r="15" spans="1:22" x14ac:dyDescent="0.25">
      <c r="A15">
        <v>0.99443714485565404</v>
      </c>
      <c r="B15">
        <v>6.4749270117759101</v>
      </c>
      <c r="C15">
        <v>5.7248006393287199</v>
      </c>
      <c r="D15">
        <v>0</v>
      </c>
      <c r="E15">
        <v>3.75387814878941</v>
      </c>
      <c r="F15">
        <v>4.4925531463910904</v>
      </c>
      <c r="G15">
        <v>-52.345203694191802</v>
      </c>
      <c r="H15">
        <v>20.688546064707001</v>
      </c>
      <c r="I15">
        <v>68.635889170885903</v>
      </c>
      <c r="J15">
        <v>61.130343684117697</v>
      </c>
      <c r="K15">
        <v>134977.588217307</v>
      </c>
      <c r="L15">
        <v>758.68838368571596</v>
      </c>
      <c r="M15">
        <v>8.3521282274244393E-2</v>
      </c>
      <c r="N15">
        <v>6.91036386496722E-2</v>
      </c>
      <c r="O15">
        <v>0.58562002826852999</v>
      </c>
      <c r="P15">
        <v>2.9784616403807401E-2</v>
      </c>
      <c r="Q15">
        <v>0.64012347723030705</v>
      </c>
      <c r="R15">
        <v>0</v>
      </c>
      <c r="S15">
        <v>-25</v>
      </c>
      <c r="T15">
        <v>140</v>
      </c>
      <c r="U15">
        <v>92396478417.570007</v>
      </c>
      <c r="V15">
        <v>684532</v>
      </c>
    </row>
    <row r="16" spans="1:22" x14ac:dyDescent="0.25">
      <c r="A16">
        <v>0.99455562073297599</v>
      </c>
      <c r="B16">
        <v>6.3411299753939101</v>
      </c>
      <c r="C16">
        <v>5.9784956938347698</v>
      </c>
      <c r="D16">
        <v>0</v>
      </c>
      <c r="E16">
        <v>3.75009095282691</v>
      </c>
      <c r="F16">
        <v>4.4935270606050404</v>
      </c>
      <c r="G16">
        <v>-52.1518251310357</v>
      </c>
      <c r="H16">
        <v>20.563850141344702</v>
      </c>
      <c r="I16">
        <v>67.432731877012998</v>
      </c>
      <c r="J16">
        <v>60.107906635080901</v>
      </c>
      <c r="K16">
        <v>144925.868403331</v>
      </c>
      <c r="L16">
        <v>759.58172305995299</v>
      </c>
      <c r="M16">
        <v>8.03886969345253E-2</v>
      </c>
      <c r="N16">
        <v>7.9582977195272506E-2</v>
      </c>
      <c r="O16">
        <v>0.57764137746389799</v>
      </c>
      <c r="P16">
        <v>3.1521124031086402E-2</v>
      </c>
      <c r="Q16">
        <v>0.64838316013201003</v>
      </c>
      <c r="R16">
        <v>0</v>
      </c>
      <c r="S16">
        <v>-25</v>
      </c>
      <c r="T16">
        <v>150</v>
      </c>
      <c r="U16">
        <v>101764191201.32001</v>
      </c>
      <c r="V16">
        <v>702181</v>
      </c>
    </row>
    <row r="17" spans="1:22" x14ac:dyDescent="0.25">
      <c r="A17">
        <v>0.99461480410793601</v>
      </c>
      <c r="B17">
        <v>6.2742273814641898</v>
      </c>
      <c r="C17">
        <v>5.7883430595130001</v>
      </c>
      <c r="D17">
        <v>0</v>
      </c>
      <c r="E17">
        <v>3.7552491568009199</v>
      </c>
      <c r="F17">
        <v>4.4931524428631304</v>
      </c>
      <c r="G17">
        <v>-51.841956013190803</v>
      </c>
      <c r="H17">
        <v>20.6664423860265</v>
      </c>
      <c r="I17">
        <v>68.671546864777696</v>
      </c>
      <c r="J17">
        <v>61.170759947111598</v>
      </c>
      <c r="K17">
        <v>154962.366377703</v>
      </c>
      <c r="L17">
        <v>759.39563486169902</v>
      </c>
      <c r="M17">
        <v>8.3385887459282507E-2</v>
      </c>
      <c r="N17">
        <v>8.5972978955271603E-2</v>
      </c>
      <c r="O17">
        <v>0.57138199050056604</v>
      </c>
      <c r="P17">
        <v>3.0780059973483001E-2</v>
      </c>
      <c r="Q17">
        <v>0.66928240533869798</v>
      </c>
      <c r="R17">
        <v>0</v>
      </c>
      <c r="S17">
        <v>-25</v>
      </c>
      <c r="T17">
        <v>160</v>
      </c>
      <c r="U17">
        <v>100067877862.60001</v>
      </c>
      <c r="V17">
        <v>645756</v>
      </c>
    </row>
    <row r="18" spans="1:22" x14ac:dyDescent="0.25">
      <c r="A18">
        <v>0.99469597888057704</v>
      </c>
      <c r="B18">
        <v>6.1823938275180597</v>
      </c>
      <c r="C18">
        <v>5.6367430894106301</v>
      </c>
      <c r="D18">
        <v>0</v>
      </c>
      <c r="E18">
        <v>3.7581900460131998</v>
      </c>
      <c r="F18">
        <v>4.4950121767957496</v>
      </c>
      <c r="G18">
        <v>-51.746640949455397</v>
      </c>
      <c r="H18">
        <v>20.654427117827101</v>
      </c>
      <c r="I18">
        <v>68.919942510600606</v>
      </c>
      <c r="J18">
        <v>61.421693596754601</v>
      </c>
      <c r="K18">
        <v>165012.851416444</v>
      </c>
      <c r="L18">
        <v>760.04506795154202</v>
      </c>
      <c r="M18">
        <v>8.3242700629565805E-2</v>
      </c>
      <c r="N18">
        <v>8.9536855110199404E-2</v>
      </c>
      <c r="O18">
        <v>0.55970383170737104</v>
      </c>
      <c r="P18">
        <v>2.9261823417193199E-2</v>
      </c>
      <c r="Q18">
        <v>0.66689039443910103</v>
      </c>
      <c r="R18">
        <v>0</v>
      </c>
      <c r="S18">
        <v>-25</v>
      </c>
      <c r="T18">
        <v>170</v>
      </c>
      <c r="U18">
        <v>107320233239.97</v>
      </c>
      <c r="V18">
        <v>650375</v>
      </c>
    </row>
    <row r="19" spans="1:22" x14ac:dyDescent="0.25">
      <c r="A19">
        <v>0.99475481551937095</v>
      </c>
      <c r="B19">
        <v>6.11578000152298</v>
      </c>
      <c r="C19">
        <v>5.19217176394248</v>
      </c>
      <c r="D19">
        <v>0</v>
      </c>
      <c r="E19">
        <v>3.71879411509744</v>
      </c>
      <c r="F19">
        <v>4.48249076767934</v>
      </c>
      <c r="G19">
        <v>-51.461428758710497</v>
      </c>
      <c r="H19">
        <v>20.4831171785601</v>
      </c>
      <c r="I19">
        <v>68.830250460849001</v>
      </c>
      <c r="J19">
        <v>60.586027416648598</v>
      </c>
      <c r="K19">
        <v>297406.045774011</v>
      </c>
      <c r="L19">
        <v>762.8243650851</v>
      </c>
      <c r="M19">
        <v>0.120998634875952</v>
      </c>
      <c r="N19">
        <v>0.133437793416709</v>
      </c>
      <c r="O19">
        <v>0.448602746239117</v>
      </c>
      <c r="P19">
        <v>4.2754577783774401E-2</v>
      </c>
      <c r="Q19">
        <v>0.68166004836855498</v>
      </c>
      <c r="R19">
        <v>0</v>
      </c>
      <c r="S19">
        <v>-25</v>
      </c>
      <c r="T19">
        <v>175</v>
      </c>
      <c r="U19">
        <v>3404837055117.2998</v>
      </c>
      <c r="V19">
        <v>11448446</v>
      </c>
    </row>
    <row r="20" spans="1:22" x14ac:dyDescent="0.25">
      <c r="A20">
        <v>0.99476695824231698</v>
      </c>
      <c r="B20">
        <v>6.1020268242205402</v>
      </c>
      <c r="C20">
        <v>5.6628410937374802</v>
      </c>
      <c r="D20">
        <v>0</v>
      </c>
      <c r="E20">
        <v>3.7619082553823699</v>
      </c>
      <c r="F20">
        <v>4.4978408133969596</v>
      </c>
      <c r="G20">
        <v>-51.585539735209203</v>
      </c>
      <c r="H20">
        <v>20.510290239232699</v>
      </c>
      <c r="I20">
        <v>69.474770213566799</v>
      </c>
      <c r="J20">
        <v>61.973256690382001</v>
      </c>
      <c r="K20">
        <v>172469.28510171801</v>
      </c>
      <c r="L20">
        <v>760.45643220878196</v>
      </c>
      <c r="M20">
        <v>7.8980273513571203E-2</v>
      </c>
      <c r="N20">
        <v>0.100269013058626</v>
      </c>
      <c r="O20">
        <v>0.54988727300990703</v>
      </c>
      <c r="P20">
        <v>2.9500828979214098E-2</v>
      </c>
      <c r="Q20">
        <v>0.65421259199161097</v>
      </c>
      <c r="R20">
        <v>0</v>
      </c>
      <c r="S20">
        <v>-25</v>
      </c>
      <c r="T20">
        <v>180</v>
      </c>
      <c r="U20">
        <v>56622873583.889999</v>
      </c>
      <c r="V20">
        <v>328307</v>
      </c>
    </row>
    <row r="21" spans="1:22" x14ac:dyDescent="0.25">
      <c r="A21">
        <v>0.99243604458063195</v>
      </c>
      <c r="B21">
        <v>8.7084985473974701</v>
      </c>
      <c r="C21">
        <v>91.623070157209398</v>
      </c>
      <c r="D21">
        <v>0</v>
      </c>
      <c r="E21">
        <v>3.7798043871154001</v>
      </c>
      <c r="F21">
        <v>4.4140001748373301</v>
      </c>
      <c r="G21">
        <v>-22.8934865595979</v>
      </c>
      <c r="H21">
        <v>25.789856844517001</v>
      </c>
      <c r="I21">
        <v>60.641840827264502</v>
      </c>
      <c r="J21">
        <v>3.52778166905741</v>
      </c>
      <c r="K21">
        <v>5800.3065482233496</v>
      </c>
      <c r="L21">
        <v>774.45213951102301</v>
      </c>
      <c r="M21">
        <v>3.5363276222430302E-2</v>
      </c>
      <c r="N21">
        <v>6.4194712306427204E-2</v>
      </c>
      <c r="O21">
        <v>0.62788380194048699</v>
      </c>
      <c r="P21">
        <v>4.0429357142588898E-2</v>
      </c>
      <c r="Q21">
        <v>0.292542047423206</v>
      </c>
      <c r="R21">
        <v>0</v>
      </c>
      <c r="S21">
        <v>-15</v>
      </c>
      <c r="T21">
        <v>10</v>
      </c>
      <c r="U21">
        <v>2285320.7799999998</v>
      </c>
      <c r="V21">
        <v>394</v>
      </c>
    </row>
    <row r="22" spans="1:22" x14ac:dyDescent="0.25">
      <c r="A22">
        <v>0.99247487422039704</v>
      </c>
      <c r="B22">
        <v>8.6656273230559506</v>
      </c>
      <c r="C22">
        <v>69.6790185612344</v>
      </c>
      <c r="D22">
        <v>0</v>
      </c>
      <c r="E22">
        <v>3.8325535089846001</v>
      </c>
      <c r="F22">
        <v>4.42530011240334</v>
      </c>
      <c r="G22">
        <v>-22.913904010714901</v>
      </c>
      <c r="H22">
        <v>25.239824076765402</v>
      </c>
      <c r="I22">
        <v>55.608358574781299</v>
      </c>
      <c r="J22">
        <v>14.971970290301799</v>
      </c>
      <c r="K22">
        <v>15790.7385981308</v>
      </c>
      <c r="L22">
        <v>765.04472118195099</v>
      </c>
      <c r="M22">
        <v>5.80654634809636E-2</v>
      </c>
      <c r="N22">
        <v>3.3630838591948403E-2</v>
      </c>
      <c r="O22">
        <v>0.69266346529545098</v>
      </c>
      <c r="P22">
        <v>3.6542450466019498E-2</v>
      </c>
      <c r="Q22">
        <v>0.31596713403996302</v>
      </c>
      <c r="R22">
        <v>0</v>
      </c>
      <c r="S22">
        <v>-15</v>
      </c>
      <c r="T22">
        <v>20</v>
      </c>
      <c r="U22">
        <v>11827263.210000001</v>
      </c>
      <c r="V22">
        <v>749</v>
      </c>
    </row>
    <row r="23" spans="1:22" x14ac:dyDescent="0.25">
      <c r="A23">
        <v>0.99239141068229297</v>
      </c>
      <c r="B23">
        <v>8.7577553779471806</v>
      </c>
      <c r="C23">
        <v>36.899575952459699</v>
      </c>
      <c r="D23">
        <v>0</v>
      </c>
      <c r="E23">
        <v>3.88897076459885</v>
      </c>
      <c r="F23">
        <v>4.4305174019920504</v>
      </c>
      <c r="G23">
        <v>-22.830150036107899</v>
      </c>
      <c r="H23">
        <v>24.217183326819299</v>
      </c>
      <c r="I23">
        <v>56.510040265781903</v>
      </c>
      <c r="J23">
        <v>33.459550034446501</v>
      </c>
      <c r="K23">
        <v>26011.379926436701</v>
      </c>
      <c r="L23">
        <v>758.78585519983596</v>
      </c>
      <c r="M23">
        <v>4.5726768898247498E-2</v>
      </c>
      <c r="N23">
        <v>2.6588246247164101E-2</v>
      </c>
      <c r="O23">
        <v>0.76945073621953197</v>
      </c>
      <c r="P23">
        <v>2.93027774887962E-2</v>
      </c>
      <c r="Q23">
        <v>0.33390070610251099</v>
      </c>
      <c r="R23">
        <v>0</v>
      </c>
      <c r="S23">
        <v>-15</v>
      </c>
      <c r="T23">
        <v>30</v>
      </c>
      <c r="U23">
        <v>56574751.340000004</v>
      </c>
      <c r="V23">
        <v>2175</v>
      </c>
    </row>
    <row r="24" spans="1:22" x14ac:dyDescent="0.25">
      <c r="A24">
        <v>0.99237193957014203</v>
      </c>
      <c r="B24">
        <v>8.7792355671847506</v>
      </c>
      <c r="C24">
        <v>17.3834969015764</v>
      </c>
      <c r="D24">
        <v>0</v>
      </c>
      <c r="E24">
        <v>3.93232710850365</v>
      </c>
      <c r="F24">
        <v>4.4358800103206697</v>
      </c>
      <c r="G24">
        <v>-22.7734287999358</v>
      </c>
      <c r="H24">
        <v>23.232981497269002</v>
      </c>
      <c r="I24">
        <v>58.641251781632498</v>
      </c>
      <c r="J24">
        <v>45.619235270565099</v>
      </c>
      <c r="K24">
        <v>35876.582123460597</v>
      </c>
      <c r="L24">
        <v>753.87444555331695</v>
      </c>
      <c r="M24">
        <v>5.1633000891908802E-2</v>
      </c>
      <c r="N24">
        <v>2.3863984909493801E-2</v>
      </c>
      <c r="O24">
        <v>0.79102350929033705</v>
      </c>
      <c r="P24">
        <v>3.6015492794812601E-2</v>
      </c>
      <c r="Q24">
        <v>0.42762370777091802</v>
      </c>
      <c r="R24">
        <v>0</v>
      </c>
      <c r="S24">
        <v>-15</v>
      </c>
      <c r="T24">
        <v>40</v>
      </c>
      <c r="U24">
        <v>227242271.16999999</v>
      </c>
      <c r="V24">
        <v>6334</v>
      </c>
    </row>
    <row r="25" spans="1:22" x14ac:dyDescent="0.25">
      <c r="A25">
        <v>0.99232811394222198</v>
      </c>
      <c r="B25">
        <v>8.8275662733052904</v>
      </c>
      <c r="C25">
        <v>11.124303608328701</v>
      </c>
      <c r="D25">
        <v>0</v>
      </c>
      <c r="E25">
        <v>3.9297763269673598</v>
      </c>
      <c r="F25">
        <v>4.4243500359885699</v>
      </c>
      <c r="G25">
        <v>-22.692610578311601</v>
      </c>
      <c r="H25">
        <v>23.214756659752702</v>
      </c>
      <c r="I25">
        <v>59.46012592356</v>
      </c>
      <c r="J25">
        <v>49.374537368886799</v>
      </c>
      <c r="K25">
        <v>45785.756756664603</v>
      </c>
      <c r="L25">
        <v>752.68658321135899</v>
      </c>
      <c r="M25">
        <v>5.3208336023361003E-2</v>
      </c>
      <c r="N25">
        <v>2.9359376572793E-2</v>
      </c>
      <c r="O25">
        <v>0.76106861296515704</v>
      </c>
      <c r="P25">
        <v>3.75002488041681E-2</v>
      </c>
      <c r="Q25">
        <v>0.48171942214542801</v>
      </c>
      <c r="R25">
        <v>0</v>
      </c>
      <c r="S25">
        <v>-15</v>
      </c>
      <c r="T25">
        <v>50</v>
      </c>
      <c r="U25">
        <v>671539694.35000002</v>
      </c>
      <c r="V25">
        <v>14667</v>
      </c>
    </row>
    <row r="26" spans="1:22" x14ac:dyDescent="0.25">
      <c r="A26">
        <v>0.99241237755516798</v>
      </c>
      <c r="B26">
        <v>8.73461990731656</v>
      </c>
      <c r="C26">
        <v>8.6805861008429108</v>
      </c>
      <c r="D26">
        <v>0</v>
      </c>
      <c r="E26">
        <v>3.94093617602991</v>
      </c>
      <c r="F26">
        <v>4.4207653372208497</v>
      </c>
      <c r="G26">
        <v>-22.615042102014499</v>
      </c>
      <c r="H26">
        <v>23.196510150128798</v>
      </c>
      <c r="I26">
        <v>62.498177377832398</v>
      </c>
      <c r="J26">
        <v>53.447152576656997</v>
      </c>
      <c r="K26">
        <v>55447.698779720202</v>
      </c>
      <c r="L26">
        <v>752.98896907430003</v>
      </c>
      <c r="M26">
        <v>6.2878068254436495E-2</v>
      </c>
      <c r="N26">
        <v>2.74305223724924E-2</v>
      </c>
      <c r="O26">
        <v>0.74438942888287696</v>
      </c>
      <c r="P26">
        <v>3.8059015174460802E-2</v>
      </c>
      <c r="Q26">
        <v>0.54071701678836603</v>
      </c>
      <c r="R26">
        <v>0</v>
      </c>
      <c r="S26">
        <v>-15</v>
      </c>
      <c r="T26">
        <v>60</v>
      </c>
      <c r="U26">
        <v>1427223766.5899999</v>
      </c>
      <c r="V26">
        <v>25740</v>
      </c>
    </row>
    <row r="27" spans="1:22" x14ac:dyDescent="0.25">
      <c r="A27">
        <v>0.992544432757553</v>
      </c>
      <c r="B27">
        <v>8.5887826387181594</v>
      </c>
      <c r="C27">
        <v>7.60798429900803</v>
      </c>
      <c r="D27">
        <v>0</v>
      </c>
      <c r="E27">
        <v>3.9444283567683001</v>
      </c>
      <c r="F27">
        <v>4.4199419283698296</v>
      </c>
      <c r="G27">
        <v>-22.6021345950439</v>
      </c>
      <c r="H27">
        <v>23.302141904691801</v>
      </c>
      <c r="I27">
        <v>64.503693495650793</v>
      </c>
      <c r="J27">
        <v>55.8204277704398</v>
      </c>
      <c r="K27">
        <v>65265.060773242003</v>
      </c>
      <c r="L27">
        <v>753.79138546436798</v>
      </c>
      <c r="M27">
        <v>7.0727476689073102E-2</v>
      </c>
      <c r="N27">
        <v>3.4071667033593399E-2</v>
      </c>
      <c r="O27">
        <v>0.72711472073640404</v>
      </c>
      <c r="P27">
        <v>3.9004363675906102E-2</v>
      </c>
      <c r="Q27">
        <v>0.56905991979945603</v>
      </c>
      <c r="R27">
        <v>0</v>
      </c>
      <c r="S27">
        <v>-15</v>
      </c>
      <c r="T27">
        <v>70</v>
      </c>
      <c r="U27">
        <v>2402994272.6100001</v>
      </c>
      <c r="V27">
        <v>36819</v>
      </c>
    </row>
    <row r="28" spans="1:22" x14ac:dyDescent="0.25">
      <c r="A28">
        <v>0.99265575423943797</v>
      </c>
      <c r="B28">
        <v>8.4656770754828496</v>
      </c>
      <c r="C28">
        <v>7.4805430498898504</v>
      </c>
      <c r="D28">
        <v>0</v>
      </c>
      <c r="E28">
        <v>3.9337584892003101</v>
      </c>
      <c r="F28">
        <v>4.4161197348898096</v>
      </c>
      <c r="G28">
        <v>-22.581569918601801</v>
      </c>
      <c r="H28">
        <v>23.568010355860501</v>
      </c>
      <c r="I28">
        <v>64.306265970998098</v>
      </c>
      <c r="J28">
        <v>55.949916792606203</v>
      </c>
      <c r="K28">
        <v>75162.331419951399</v>
      </c>
      <c r="L28">
        <v>754.59670730081803</v>
      </c>
      <c r="M28">
        <v>7.9932397517751996E-2</v>
      </c>
      <c r="N28">
        <v>4.1802993543964599E-2</v>
      </c>
      <c r="O28">
        <v>0.72191723788121098</v>
      </c>
      <c r="P28">
        <v>3.9271691006737199E-2</v>
      </c>
      <c r="Q28">
        <v>0.61394827771417804</v>
      </c>
      <c r="R28">
        <v>0</v>
      </c>
      <c r="S28">
        <v>-15</v>
      </c>
      <c r="T28">
        <v>80</v>
      </c>
      <c r="U28">
        <v>3836586045</v>
      </c>
      <c r="V28">
        <v>51044</v>
      </c>
    </row>
    <row r="29" spans="1:22" x14ac:dyDescent="0.25">
      <c r="A29">
        <v>0.99284636229856105</v>
      </c>
      <c r="B29">
        <v>8.2545390167547303</v>
      </c>
      <c r="C29">
        <v>7.8620456580270099</v>
      </c>
      <c r="D29">
        <v>0</v>
      </c>
      <c r="E29">
        <v>3.93870106632101</v>
      </c>
      <c r="F29">
        <v>4.4120895002413398</v>
      </c>
      <c r="G29">
        <v>-22.5440220768701</v>
      </c>
      <c r="H29">
        <v>23.548645709234101</v>
      </c>
      <c r="I29">
        <v>66.691243590635295</v>
      </c>
      <c r="J29">
        <v>58.293889810479797</v>
      </c>
      <c r="K29">
        <v>85171.884156015498</v>
      </c>
      <c r="L29">
        <v>755.69645637222902</v>
      </c>
      <c r="M29">
        <v>8.0364307032407503E-2</v>
      </c>
      <c r="N29">
        <v>4.8170373357613198E-2</v>
      </c>
      <c r="O29">
        <v>0.70880697325157305</v>
      </c>
      <c r="P29">
        <v>3.8311978402331401E-2</v>
      </c>
      <c r="Q29">
        <v>0.61430186909228801</v>
      </c>
      <c r="R29">
        <v>0</v>
      </c>
      <c r="S29">
        <v>-15</v>
      </c>
      <c r="T29">
        <v>90</v>
      </c>
      <c r="U29">
        <v>5357652200.9499998</v>
      </c>
      <c r="V29">
        <v>62904</v>
      </c>
    </row>
    <row r="30" spans="1:22" x14ac:dyDescent="0.25">
      <c r="A30">
        <v>0.99305429441377402</v>
      </c>
      <c r="B30">
        <v>8.0237018866849308</v>
      </c>
      <c r="C30">
        <v>7.3503909716776299</v>
      </c>
      <c r="D30">
        <v>0</v>
      </c>
      <c r="E30">
        <v>3.93606150479508</v>
      </c>
      <c r="F30">
        <v>4.4123285760039002</v>
      </c>
      <c r="G30">
        <v>-22.530660794730899</v>
      </c>
      <c r="H30">
        <v>23.536173616536001</v>
      </c>
      <c r="I30">
        <v>66.911083982957607</v>
      </c>
      <c r="J30">
        <v>58.692002902399899</v>
      </c>
      <c r="K30">
        <v>95198.940210330693</v>
      </c>
      <c r="L30">
        <v>757.67945761216299</v>
      </c>
      <c r="M30">
        <v>7.5153838624966204E-2</v>
      </c>
      <c r="N30">
        <v>5.16576384268079E-2</v>
      </c>
      <c r="O30">
        <v>0.66922112474614603</v>
      </c>
      <c r="P30">
        <v>3.4094207732887502E-2</v>
      </c>
      <c r="Q30">
        <v>0.58256048795981796</v>
      </c>
      <c r="R30">
        <v>0</v>
      </c>
      <c r="S30">
        <v>-15</v>
      </c>
      <c r="T30">
        <v>100</v>
      </c>
      <c r="U30">
        <v>8042977662.6099997</v>
      </c>
      <c r="V30">
        <v>84486</v>
      </c>
    </row>
    <row r="31" spans="1:22" x14ac:dyDescent="0.25">
      <c r="A31">
        <v>0.99319751189608996</v>
      </c>
      <c r="B31">
        <v>7.8643986034212396</v>
      </c>
      <c r="C31">
        <v>6.8318579596419999</v>
      </c>
      <c r="D31">
        <v>0</v>
      </c>
      <c r="E31">
        <v>3.9491181984692001</v>
      </c>
      <c r="F31">
        <v>4.4131349688044699</v>
      </c>
      <c r="G31">
        <v>-22.505555508930001</v>
      </c>
      <c r="H31">
        <v>23.3150344078649</v>
      </c>
      <c r="I31">
        <v>69.085218370142798</v>
      </c>
      <c r="J31">
        <v>60.908723371537697</v>
      </c>
      <c r="K31">
        <v>105034.44216063801</v>
      </c>
      <c r="L31">
        <v>757.685900001665</v>
      </c>
      <c r="M31">
        <v>8.1102171622716296E-2</v>
      </c>
      <c r="N31">
        <v>5.3141805856468299E-2</v>
      </c>
      <c r="O31">
        <v>0.64942290253550705</v>
      </c>
      <c r="P31">
        <v>3.2758463827938199E-2</v>
      </c>
      <c r="Q31">
        <v>0.60380880055725605</v>
      </c>
      <c r="R31">
        <v>0</v>
      </c>
      <c r="S31">
        <v>-15</v>
      </c>
      <c r="T31">
        <v>110</v>
      </c>
      <c r="U31">
        <v>8645279899.7999992</v>
      </c>
      <c r="V31">
        <v>82309</v>
      </c>
    </row>
    <row r="32" spans="1:22" x14ac:dyDescent="0.25">
      <c r="A32">
        <v>0.99332714778826103</v>
      </c>
      <c r="B32">
        <v>7.7199843184192698</v>
      </c>
      <c r="C32">
        <v>7.1470810689910804</v>
      </c>
      <c r="D32">
        <v>0</v>
      </c>
      <c r="E32">
        <v>3.9388559379624999</v>
      </c>
      <c r="F32">
        <v>4.4081177085146601</v>
      </c>
      <c r="G32">
        <v>-22.488157798638401</v>
      </c>
      <c r="H32">
        <v>23.461505151725198</v>
      </c>
      <c r="I32">
        <v>69.308085738090099</v>
      </c>
      <c r="J32">
        <v>61.022758040751697</v>
      </c>
      <c r="K32">
        <v>115111.716232046</v>
      </c>
      <c r="L32">
        <v>758.78409626179098</v>
      </c>
      <c r="M32">
        <v>7.9168129613200702E-2</v>
      </c>
      <c r="N32">
        <v>5.7432784015248803E-2</v>
      </c>
      <c r="O32">
        <v>0.63267362966843499</v>
      </c>
      <c r="P32">
        <v>3.1643405041940999E-2</v>
      </c>
      <c r="Q32">
        <v>0.60333285128209801</v>
      </c>
      <c r="R32">
        <v>0</v>
      </c>
      <c r="S32">
        <v>-15</v>
      </c>
      <c r="T32">
        <v>120</v>
      </c>
      <c r="U32">
        <v>10178408172.67</v>
      </c>
      <c r="V32">
        <v>88422</v>
      </c>
    </row>
    <row r="33" spans="1:22" x14ac:dyDescent="0.25">
      <c r="A33">
        <v>0.99344882820961899</v>
      </c>
      <c r="B33">
        <v>7.5842436675463896</v>
      </c>
      <c r="C33">
        <v>7.3289776070984702</v>
      </c>
      <c r="D33">
        <v>0</v>
      </c>
      <c r="E33">
        <v>3.9389808359365301</v>
      </c>
      <c r="F33">
        <v>4.4069085156078502</v>
      </c>
      <c r="G33">
        <v>-22.4713968150919</v>
      </c>
      <c r="H33">
        <v>23.330526154668899</v>
      </c>
      <c r="I33">
        <v>69.867447777235796</v>
      </c>
      <c r="J33">
        <v>61.617806900269301</v>
      </c>
      <c r="K33">
        <v>124953.344320829</v>
      </c>
      <c r="L33">
        <v>758.96637914192399</v>
      </c>
      <c r="M33">
        <v>8.0958291925118803E-2</v>
      </c>
      <c r="N33">
        <v>6.4817577957515096E-2</v>
      </c>
      <c r="O33">
        <v>0.62094666909374496</v>
      </c>
      <c r="P33">
        <v>3.1201008450262802E-2</v>
      </c>
      <c r="Q33">
        <v>0.60594033271696501</v>
      </c>
      <c r="R33">
        <v>0</v>
      </c>
      <c r="S33">
        <v>-15</v>
      </c>
      <c r="T33">
        <v>130</v>
      </c>
      <c r="U33">
        <v>11585174272.049999</v>
      </c>
      <c r="V33">
        <v>92716</v>
      </c>
    </row>
    <row r="34" spans="1:22" x14ac:dyDescent="0.25">
      <c r="A34">
        <v>0.99355393343871701</v>
      </c>
      <c r="B34">
        <v>7.4668461760716003</v>
      </c>
      <c r="C34">
        <v>6.6226249984795</v>
      </c>
      <c r="D34">
        <v>0</v>
      </c>
      <c r="E34">
        <v>3.9328165943010598</v>
      </c>
      <c r="F34">
        <v>4.4044127892707099</v>
      </c>
      <c r="G34">
        <v>-22.476214224369901</v>
      </c>
      <c r="H34">
        <v>23.345863726639799</v>
      </c>
      <c r="I34">
        <v>70.1276364792528</v>
      </c>
      <c r="J34">
        <v>61.789474908353299</v>
      </c>
      <c r="K34">
        <v>134976.10006137201</v>
      </c>
      <c r="L34">
        <v>759.168102965147</v>
      </c>
      <c r="M34">
        <v>8.2367472817032605E-2</v>
      </c>
      <c r="N34">
        <v>6.6899593791914305E-2</v>
      </c>
      <c r="O34">
        <v>0.606722535088148</v>
      </c>
      <c r="P34">
        <v>3.1406323529772198E-2</v>
      </c>
      <c r="Q34">
        <v>0.61485967370694705</v>
      </c>
      <c r="R34">
        <v>0</v>
      </c>
      <c r="S34">
        <v>-15</v>
      </c>
      <c r="T34">
        <v>140</v>
      </c>
      <c r="U34">
        <v>12448035852.059999</v>
      </c>
      <c r="V34">
        <v>92224</v>
      </c>
    </row>
    <row r="35" spans="1:22" x14ac:dyDescent="0.25">
      <c r="A35">
        <v>0.993659348467273</v>
      </c>
      <c r="B35">
        <v>7.3489653582985497</v>
      </c>
      <c r="C35">
        <v>7.2582676732149096</v>
      </c>
      <c r="D35">
        <v>0</v>
      </c>
      <c r="E35">
        <v>3.9308825625163899</v>
      </c>
      <c r="F35">
        <v>4.4064683168901402</v>
      </c>
      <c r="G35">
        <v>-22.4950895752206</v>
      </c>
      <c r="H35">
        <v>23.1844788285551</v>
      </c>
      <c r="I35">
        <v>69.173018268414495</v>
      </c>
      <c r="J35">
        <v>61.040570517780203</v>
      </c>
      <c r="K35">
        <v>144946.78079778299</v>
      </c>
      <c r="L35">
        <v>759.373229634155</v>
      </c>
      <c r="M35">
        <v>8.0489917565371896E-2</v>
      </c>
      <c r="N35">
        <v>7.2723233194152206E-2</v>
      </c>
      <c r="O35">
        <v>0.59805345417497902</v>
      </c>
      <c r="P35">
        <v>3.2105897633545301E-2</v>
      </c>
      <c r="Q35">
        <v>0.61955698159056205</v>
      </c>
      <c r="R35">
        <v>0</v>
      </c>
      <c r="S35">
        <v>-15</v>
      </c>
      <c r="T35">
        <v>150</v>
      </c>
      <c r="U35">
        <v>13604704845.68</v>
      </c>
      <c r="V35">
        <v>93860</v>
      </c>
    </row>
    <row r="36" spans="1:22" x14ac:dyDescent="0.25">
      <c r="A36">
        <v>0.99371567241254399</v>
      </c>
      <c r="B36">
        <v>7.2859244496896904</v>
      </c>
      <c r="C36">
        <v>7.0620182999663896</v>
      </c>
      <c r="D36">
        <v>0</v>
      </c>
      <c r="E36">
        <v>3.9287500804229301</v>
      </c>
      <c r="F36">
        <v>4.4044853906803203</v>
      </c>
      <c r="G36">
        <v>-22.468177516879098</v>
      </c>
      <c r="H36">
        <v>23.255887592208001</v>
      </c>
      <c r="I36">
        <v>70.257194788284806</v>
      </c>
      <c r="J36">
        <v>61.909360023782398</v>
      </c>
      <c r="K36">
        <v>154943.81919323001</v>
      </c>
      <c r="L36">
        <v>759.77775697318202</v>
      </c>
      <c r="M36">
        <v>8.3023467895514499E-2</v>
      </c>
      <c r="N36">
        <v>7.8932438544541406E-2</v>
      </c>
      <c r="O36">
        <v>0.59058249682965602</v>
      </c>
      <c r="P36">
        <v>3.02952827973005E-2</v>
      </c>
      <c r="Q36">
        <v>0.64155919400908901</v>
      </c>
      <c r="R36">
        <v>0</v>
      </c>
      <c r="S36">
        <v>-15</v>
      </c>
      <c r="T36">
        <v>160</v>
      </c>
      <c r="U36">
        <v>13614758448.690001</v>
      </c>
      <c r="V36">
        <v>87869</v>
      </c>
    </row>
    <row r="37" spans="1:22" x14ac:dyDescent="0.25">
      <c r="A37">
        <v>0.99377115450131603</v>
      </c>
      <c r="B37">
        <v>7.2237873540507804</v>
      </c>
      <c r="C37">
        <v>7.39347190011385</v>
      </c>
      <c r="D37">
        <v>0</v>
      </c>
      <c r="E37">
        <v>3.92859699653429</v>
      </c>
      <c r="F37">
        <v>4.4042639097756604</v>
      </c>
      <c r="G37">
        <v>-22.470989395542698</v>
      </c>
      <c r="H37">
        <v>23.2696160776316</v>
      </c>
      <c r="I37">
        <v>70.605500789306504</v>
      </c>
      <c r="J37">
        <v>62.229053958276701</v>
      </c>
      <c r="K37">
        <v>164991.80802475801</v>
      </c>
      <c r="L37">
        <v>760.15895744437296</v>
      </c>
      <c r="M37">
        <v>8.0098543401833699E-2</v>
      </c>
      <c r="N37">
        <v>8.1781707308156704E-2</v>
      </c>
      <c r="O37">
        <v>0.57820715742233497</v>
      </c>
      <c r="P37">
        <v>3.1229281334632999E-2</v>
      </c>
      <c r="Q37">
        <v>0.63601452645957601</v>
      </c>
      <c r="R37">
        <v>0</v>
      </c>
      <c r="S37">
        <v>-15</v>
      </c>
      <c r="T37">
        <v>170</v>
      </c>
      <c r="U37">
        <v>14834083475.889999</v>
      </c>
      <c r="V37">
        <v>89908</v>
      </c>
    </row>
    <row r="38" spans="1:22" x14ac:dyDescent="0.25">
      <c r="A38">
        <v>0.99352992511546001</v>
      </c>
      <c r="B38">
        <v>7.4936743600252402</v>
      </c>
      <c r="C38">
        <v>6.7336126395825397</v>
      </c>
      <c r="D38">
        <v>0</v>
      </c>
      <c r="E38">
        <v>3.8794786219281798</v>
      </c>
      <c r="F38">
        <v>4.3754740751769896</v>
      </c>
      <c r="G38">
        <v>-22.432233724360898</v>
      </c>
      <c r="H38">
        <v>22.6702284354349</v>
      </c>
      <c r="I38">
        <v>70.645964083167001</v>
      </c>
      <c r="J38">
        <v>61.942658136249499</v>
      </c>
      <c r="K38">
        <v>293588.37590895803</v>
      </c>
      <c r="L38">
        <v>761.30592546026799</v>
      </c>
      <c r="M38">
        <v>0.117670465177794</v>
      </c>
      <c r="N38">
        <v>0.10972067808263999</v>
      </c>
      <c r="O38">
        <v>0.48968179589965799</v>
      </c>
      <c r="P38">
        <v>4.5979178824629E-2</v>
      </c>
      <c r="Q38">
        <v>0.64284786284731099</v>
      </c>
      <c r="R38">
        <v>0</v>
      </c>
      <c r="S38">
        <v>-15</v>
      </c>
      <c r="T38">
        <v>175</v>
      </c>
      <c r="U38">
        <v>448671150892.09998</v>
      </c>
      <c r="V38">
        <v>1528232</v>
      </c>
    </row>
    <row r="39" spans="1:22" x14ac:dyDescent="0.25">
      <c r="A39">
        <v>0.99383822361054996</v>
      </c>
      <c r="B39">
        <v>7.1486224252468498</v>
      </c>
      <c r="C39">
        <v>7.1324311004802903</v>
      </c>
      <c r="D39">
        <v>0</v>
      </c>
      <c r="E39">
        <v>3.9274218450715899</v>
      </c>
      <c r="F39">
        <v>4.4030098084732598</v>
      </c>
      <c r="G39">
        <v>-22.457797906832401</v>
      </c>
      <c r="H39">
        <v>22.946280712638099</v>
      </c>
      <c r="I39">
        <v>70.911950469713105</v>
      </c>
      <c r="J39">
        <v>62.631239283606597</v>
      </c>
      <c r="K39">
        <v>172473.10208911999</v>
      </c>
      <c r="L39">
        <v>760.67606672004399</v>
      </c>
      <c r="M39">
        <v>7.9092560683050803E-2</v>
      </c>
      <c r="N39">
        <v>8.5978632704517999E-2</v>
      </c>
      <c r="O39">
        <v>0.56884066447771997</v>
      </c>
      <c r="P39">
        <v>2.9923681248347302E-2</v>
      </c>
      <c r="Q39">
        <v>0.62270240633895002</v>
      </c>
      <c r="R39">
        <v>0</v>
      </c>
      <c r="S39">
        <v>-15</v>
      </c>
      <c r="T39">
        <v>180</v>
      </c>
      <c r="U39">
        <v>7923069363.7700005</v>
      </c>
      <c r="V39">
        <v>45938</v>
      </c>
    </row>
    <row r="40" spans="1:22" x14ac:dyDescent="0.25">
      <c r="A40">
        <v>0.99274738344540903</v>
      </c>
      <c r="B40">
        <v>8.3642343341921297</v>
      </c>
      <c r="C40">
        <v>89.638896757730805</v>
      </c>
      <c r="D40">
        <v>0</v>
      </c>
      <c r="E40">
        <v>3.8076832187415302</v>
      </c>
      <c r="F40">
        <v>4.3499583977184102</v>
      </c>
      <c r="G40">
        <v>-17.160283603250601</v>
      </c>
      <c r="H40">
        <v>25.894231219864601</v>
      </c>
      <c r="I40">
        <v>62.459613723476103</v>
      </c>
      <c r="J40">
        <v>3.7899769685530198</v>
      </c>
      <c r="K40">
        <v>5765.2742728635603</v>
      </c>
      <c r="L40">
        <v>783.22464553152997</v>
      </c>
      <c r="M40">
        <v>2.4336239840604401E-2</v>
      </c>
      <c r="N40">
        <v>5.1285313422585098E-2</v>
      </c>
      <c r="O40">
        <v>0.63698276977003998</v>
      </c>
      <c r="P40">
        <v>1.6719214040937E-2</v>
      </c>
      <c r="Q40">
        <v>0.28476120719815801</v>
      </c>
      <c r="R40">
        <v>0</v>
      </c>
      <c r="S40">
        <v>-10</v>
      </c>
      <c r="T40">
        <v>10</v>
      </c>
      <c r="U40">
        <v>3845437.94</v>
      </c>
      <c r="V40">
        <v>667</v>
      </c>
    </row>
    <row r="41" spans="1:22" x14ac:dyDescent="0.25">
      <c r="A41">
        <v>0.99275030049935198</v>
      </c>
      <c r="B41">
        <v>8.3610031703016006</v>
      </c>
      <c r="C41">
        <v>67.895422309068806</v>
      </c>
      <c r="D41">
        <v>0</v>
      </c>
      <c r="E41">
        <v>3.8340399745717999</v>
      </c>
      <c r="F41">
        <v>4.3533560805963702</v>
      </c>
      <c r="G41">
        <v>-17.199109975044799</v>
      </c>
      <c r="H41">
        <v>24.806487395634299</v>
      </c>
      <c r="I41">
        <v>57.477994661484303</v>
      </c>
      <c r="J41">
        <v>13.8535987660513</v>
      </c>
      <c r="K41">
        <v>15857.1866527893</v>
      </c>
      <c r="L41">
        <v>773.49879363555203</v>
      </c>
      <c r="M41">
        <v>4.5273890231161303E-2</v>
      </c>
      <c r="N41">
        <v>3.5934493247210798E-2</v>
      </c>
      <c r="O41">
        <v>0.69053664222242495</v>
      </c>
      <c r="P41">
        <v>3.6588335160195898E-2</v>
      </c>
      <c r="Q41">
        <v>0.30595046081793498</v>
      </c>
      <c r="R41">
        <v>0</v>
      </c>
      <c r="S41">
        <v>-10</v>
      </c>
      <c r="T41">
        <v>20</v>
      </c>
      <c r="U41">
        <v>19044481.170000002</v>
      </c>
      <c r="V41">
        <v>1201</v>
      </c>
    </row>
    <row r="42" spans="1:22" x14ac:dyDescent="0.25">
      <c r="A42">
        <v>0.99263940386650196</v>
      </c>
      <c r="B42">
        <v>8.4837677547727992</v>
      </c>
      <c r="C42">
        <v>36.963245172748501</v>
      </c>
      <c r="D42">
        <v>0</v>
      </c>
      <c r="E42">
        <v>3.9155022584496102</v>
      </c>
      <c r="F42">
        <v>4.3895597867629101</v>
      </c>
      <c r="G42">
        <v>-17.1579858237263</v>
      </c>
      <c r="H42">
        <v>23.792716453053401</v>
      </c>
      <c r="I42">
        <v>54.002699043510397</v>
      </c>
      <c r="J42">
        <v>29.689324120261599</v>
      </c>
      <c r="K42">
        <v>26018.715566009902</v>
      </c>
      <c r="L42">
        <v>766.43861976046003</v>
      </c>
      <c r="M42">
        <v>4.6108559977149403E-2</v>
      </c>
      <c r="N42">
        <v>3.4610394924592301E-2</v>
      </c>
      <c r="O42">
        <v>0.76766715068966596</v>
      </c>
      <c r="P42">
        <v>3.15392710704087E-2</v>
      </c>
      <c r="Q42">
        <v>0.37794790227066599</v>
      </c>
      <c r="R42">
        <v>0</v>
      </c>
      <c r="S42">
        <v>-10</v>
      </c>
      <c r="T42">
        <v>30</v>
      </c>
      <c r="U42">
        <v>88489651.640000001</v>
      </c>
      <c r="V42">
        <v>3401</v>
      </c>
    </row>
    <row r="43" spans="1:22" x14ac:dyDescent="0.25">
      <c r="A43">
        <v>0.99255201328564402</v>
      </c>
      <c r="B43">
        <v>8.5804044818906409</v>
      </c>
      <c r="C43">
        <v>18.038157211591699</v>
      </c>
      <c r="D43">
        <v>0</v>
      </c>
      <c r="E43">
        <v>3.9417810510120002</v>
      </c>
      <c r="F43">
        <v>4.4007824196232201</v>
      </c>
      <c r="G43">
        <v>-17.171951286503699</v>
      </c>
      <c r="H43">
        <v>23.155261420460999</v>
      </c>
      <c r="I43">
        <v>54.463403423973702</v>
      </c>
      <c r="J43">
        <v>40.170619942318503</v>
      </c>
      <c r="K43">
        <v>35841.758841148701</v>
      </c>
      <c r="L43">
        <v>761.90728608785605</v>
      </c>
      <c r="M43">
        <v>4.4368056930940397E-2</v>
      </c>
      <c r="N43">
        <v>2.5738419710582799E-2</v>
      </c>
      <c r="O43">
        <v>0.775934450489278</v>
      </c>
      <c r="P43">
        <v>3.4294749206613198E-2</v>
      </c>
      <c r="Q43">
        <v>0.46606111880620499</v>
      </c>
      <c r="R43">
        <v>0</v>
      </c>
      <c r="S43">
        <v>-10</v>
      </c>
      <c r="T43">
        <v>40</v>
      </c>
      <c r="U43">
        <v>319493438.31</v>
      </c>
      <c r="V43">
        <v>8914</v>
      </c>
    </row>
    <row r="44" spans="1:22" x14ac:dyDescent="0.25">
      <c r="A44">
        <v>0.99253325720660701</v>
      </c>
      <c r="B44">
        <v>8.6011328056912397</v>
      </c>
      <c r="C44">
        <v>12.094217696445799</v>
      </c>
      <c r="D44">
        <v>0</v>
      </c>
      <c r="E44">
        <v>3.9503882530214902</v>
      </c>
      <c r="F44">
        <v>4.3997109956869798</v>
      </c>
      <c r="G44">
        <v>-17.199378373124301</v>
      </c>
      <c r="H44">
        <v>23.071826408658701</v>
      </c>
      <c r="I44">
        <v>54.999860707254697</v>
      </c>
      <c r="J44">
        <v>44.496826150375803</v>
      </c>
      <c r="K44">
        <v>45806.928445645099</v>
      </c>
      <c r="L44">
        <v>760.00458198118895</v>
      </c>
      <c r="M44">
        <v>5.8604745154169698E-2</v>
      </c>
      <c r="N44">
        <v>3.1941197448251697E-2</v>
      </c>
      <c r="O44">
        <v>0.75934616133838795</v>
      </c>
      <c r="P44">
        <v>3.5626770457776902E-2</v>
      </c>
      <c r="Q44">
        <v>0.52912861483148099</v>
      </c>
      <c r="R44">
        <v>0</v>
      </c>
      <c r="S44">
        <v>-10</v>
      </c>
      <c r="T44">
        <v>50</v>
      </c>
      <c r="U44">
        <v>915634692.70000005</v>
      </c>
      <c r="V44">
        <v>19989</v>
      </c>
    </row>
    <row r="45" spans="1:22" x14ac:dyDescent="0.25">
      <c r="A45">
        <v>0.99258241776965095</v>
      </c>
      <c r="B45">
        <v>8.5467937418147795</v>
      </c>
      <c r="C45">
        <v>9.3857577878501903</v>
      </c>
      <c r="D45">
        <v>0</v>
      </c>
      <c r="E45">
        <v>3.9643549478559899</v>
      </c>
      <c r="F45">
        <v>4.4027666643084897</v>
      </c>
      <c r="G45">
        <v>-17.2471908122534</v>
      </c>
      <c r="H45">
        <v>23.107256584604801</v>
      </c>
      <c r="I45">
        <v>57.770660033917203</v>
      </c>
      <c r="J45">
        <v>48.837084635709999</v>
      </c>
      <c r="K45">
        <v>55499.075634292101</v>
      </c>
      <c r="L45">
        <v>759.94139674795895</v>
      </c>
      <c r="M45">
        <v>6.9381452524795301E-2</v>
      </c>
      <c r="N45">
        <v>3.2046818198879501E-2</v>
      </c>
      <c r="O45">
        <v>0.74519921292591196</v>
      </c>
      <c r="P45">
        <v>3.8444755715867703E-2</v>
      </c>
      <c r="Q45">
        <v>0.58849238707986795</v>
      </c>
      <c r="R45">
        <v>0</v>
      </c>
      <c r="S45">
        <v>-10</v>
      </c>
      <c r="T45">
        <v>60</v>
      </c>
      <c r="U45">
        <v>1885137102.0699999</v>
      </c>
      <c r="V45">
        <v>33967</v>
      </c>
    </row>
    <row r="46" spans="1:22" x14ac:dyDescent="0.25">
      <c r="A46">
        <v>0.99266148295555701</v>
      </c>
      <c r="B46">
        <v>8.4593378289494794</v>
      </c>
      <c r="C46">
        <v>8.5316426375462697</v>
      </c>
      <c r="D46">
        <v>0</v>
      </c>
      <c r="E46">
        <v>3.9744856348586</v>
      </c>
      <c r="F46">
        <v>4.4028740596882301</v>
      </c>
      <c r="G46">
        <v>-17.243245994902502</v>
      </c>
      <c r="H46">
        <v>23.372919991926501</v>
      </c>
      <c r="I46">
        <v>60.155536011370003</v>
      </c>
      <c r="J46">
        <v>51.419794714236701</v>
      </c>
      <c r="K46">
        <v>65267.7232402105</v>
      </c>
      <c r="L46">
        <v>759.08657834459302</v>
      </c>
      <c r="M46">
        <v>7.4014445390870598E-2</v>
      </c>
      <c r="N46">
        <v>3.9455190132512002E-2</v>
      </c>
      <c r="O46">
        <v>0.72532273764385802</v>
      </c>
      <c r="P46">
        <v>3.6070533197227798E-2</v>
      </c>
      <c r="Q46">
        <v>0.61295831715860605</v>
      </c>
      <c r="R46">
        <v>0</v>
      </c>
      <c r="S46">
        <v>-10</v>
      </c>
      <c r="T46">
        <v>70</v>
      </c>
      <c r="U46">
        <v>3111899776.3699999</v>
      </c>
      <c r="V46">
        <v>47679</v>
      </c>
    </row>
    <row r="47" spans="1:22" x14ac:dyDescent="0.25">
      <c r="A47">
        <v>0.99277125234788399</v>
      </c>
      <c r="B47">
        <v>8.3377921461727293</v>
      </c>
      <c r="C47">
        <v>8.3592662988301996</v>
      </c>
      <c r="D47">
        <v>0</v>
      </c>
      <c r="E47">
        <v>3.9588272107103402</v>
      </c>
      <c r="F47">
        <v>4.3966588606447203</v>
      </c>
      <c r="G47">
        <v>-17.267307091700999</v>
      </c>
      <c r="H47">
        <v>23.694000615321499</v>
      </c>
      <c r="I47">
        <v>60.127739732439998</v>
      </c>
      <c r="J47">
        <v>51.824458546162901</v>
      </c>
      <c r="K47">
        <v>75151.124785584703</v>
      </c>
      <c r="L47">
        <v>760.13205473535595</v>
      </c>
      <c r="M47">
        <v>8.1950386253129504E-2</v>
      </c>
      <c r="N47">
        <v>4.7188087236131902E-2</v>
      </c>
      <c r="O47">
        <v>0.71659028222600396</v>
      </c>
      <c r="P47">
        <v>3.4374076489277497E-2</v>
      </c>
      <c r="Q47">
        <v>0.65077588465719005</v>
      </c>
      <c r="R47">
        <v>0</v>
      </c>
      <c r="S47">
        <v>-10</v>
      </c>
      <c r="T47">
        <v>80</v>
      </c>
      <c r="U47">
        <v>4973501438.3100004</v>
      </c>
      <c r="V47">
        <v>66180</v>
      </c>
    </row>
    <row r="48" spans="1:22" x14ac:dyDescent="0.25">
      <c r="A48">
        <v>0.992883402625649</v>
      </c>
      <c r="B48">
        <v>8.2134573824748607</v>
      </c>
      <c r="C48">
        <v>7.7915826465785702</v>
      </c>
      <c r="D48">
        <v>0</v>
      </c>
      <c r="E48">
        <v>3.9658587405636401</v>
      </c>
      <c r="F48">
        <v>4.39554107555547</v>
      </c>
      <c r="G48">
        <v>-17.281955959991802</v>
      </c>
      <c r="H48">
        <v>23.759555147234401</v>
      </c>
      <c r="I48">
        <v>62.635960771319503</v>
      </c>
      <c r="J48">
        <v>54.172414542973002</v>
      </c>
      <c r="K48">
        <v>85127.0894117196</v>
      </c>
      <c r="L48">
        <v>759.49338226983502</v>
      </c>
      <c r="M48">
        <v>8.7421169622034306E-2</v>
      </c>
      <c r="N48">
        <v>5.2138299975149099E-2</v>
      </c>
      <c r="O48">
        <v>0.71139300429889396</v>
      </c>
      <c r="P48">
        <v>3.4854688332428198E-2</v>
      </c>
      <c r="Q48">
        <v>0.661166345541775</v>
      </c>
      <c r="R48">
        <v>0</v>
      </c>
      <c r="S48">
        <v>-10</v>
      </c>
      <c r="T48">
        <v>90</v>
      </c>
      <c r="U48">
        <v>6672346395.1800003</v>
      </c>
      <c r="V48">
        <v>78381</v>
      </c>
    </row>
    <row r="49" spans="1:22" x14ac:dyDescent="0.25">
      <c r="A49">
        <v>0.99308885159371896</v>
      </c>
      <c r="B49">
        <v>7.9852864658095903</v>
      </c>
      <c r="C49">
        <v>7.4585722426706198</v>
      </c>
      <c r="D49">
        <v>0</v>
      </c>
      <c r="E49">
        <v>3.9676571742157001</v>
      </c>
      <c r="F49">
        <v>4.3986345898282604</v>
      </c>
      <c r="G49">
        <v>-17.300279702571199</v>
      </c>
      <c r="H49">
        <v>23.690888507408498</v>
      </c>
      <c r="I49">
        <v>62.471582131913699</v>
      </c>
      <c r="J49">
        <v>54.327474771827703</v>
      </c>
      <c r="K49">
        <v>95224.758888825105</v>
      </c>
      <c r="L49">
        <v>761.04731773671995</v>
      </c>
      <c r="M49">
        <v>7.8961408689770196E-2</v>
      </c>
      <c r="N49">
        <v>5.80454549514796E-2</v>
      </c>
      <c r="O49">
        <v>0.67303591478296398</v>
      </c>
      <c r="P49">
        <v>3.3672221935768798E-2</v>
      </c>
      <c r="Q49">
        <v>0.62419076261518003</v>
      </c>
      <c r="R49">
        <v>0</v>
      </c>
      <c r="S49">
        <v>-10</v>
      </c>
      <c r="T49">
        <v>100</v>
      </c>
      <c r="U49">
        <v>9961462027.3600006</v>
      </c>
      <c r="V49">
        <v>104610</v>
      </c>
    </row>
    <row r="50" spans="1:22" x14ac:dyDescent="0.25">
      <c r="A50">
        <v>0.99318998934478397</v>
      </c>
      <c r="B50">
        <v>7.8727723567814403</v>
      </c>
      <c r="C50">
        <v>7.1811731727842902</v>
      </c>
      <c r="D50">
        <v>0</v>
      </c>
      <c r="E50">
        <v>3.9879295945222801</v>
      </c>
      <c r="F50">
        <v>4.4029276689066297</v>
      </c>
      <c r="G50">
        <v>-17.325996514603101</v>
      </c>
      <c r="H50">
        <v>23.5136788667443</v>
      </c>
      <c r="I50">
        <v>65.242378218677302</v>
      </c>
      <c r="J50">
        <v>57.1016864764117</v>
      </c>
      <c r="K50">
        <v>105026.69288442501</v>
      </c>
      <c r="L50">
        <v>760.00305631339802</v>
      </c>
      <c r="M50">
        <v>8.6628044537825494E-2</v>
      </c>
      <c r="N50">
        <v>5.9590640521338702E-2</v>
      </c>
      <c r="O50">
        <v>0.65453079929238001</v>
      </c>
      <c r="P50">
        <v>3.1230521633712802E-2</v>
      </c>
      <c r="Q50">
        <v>0.64653131102710704</v>
      </c>
      <c r="R50">
        <v>0</v>
      </c>
      <c r="S50">
        <v>-10</v>
      </c>
      <c r="T50">
        <v>110</v>
      </c>
      <c r="U50">
        <v>10185068569.16</v>
      </c>
      <c r="V50">
        <v>96976</v>
      </c>
    </row>
    <row r="51" spans="1:22" x14ac:dyDescent="0.25">
      <c r="A51">
        <v>0.99327988535757294</v>
      </c>
      <c r="B51">
        <v>7.7726586468149801</v>
      </c>
      <c r="C51">
        <v>7.3643048870210599</v>
      </c>
      <c r="D51">
        <v>0</v>
      </c>
      <c r="E51">
        <v>3.9770973971975101</v>
      </c>
      <c r="F51">
        <v>4.3974805707666702</v>
      </c>
      <c r="G51">
        <v>-17.318933482244301</v>
      </c>
      <c r="H51">
        <v>23.745906187798202</v>
      </c>
      <c r="I51">
        <v>65.386770433535801</v>
      </c>
      <c r="J51">
        <v>57.0944061840055</v>
      </c>
      <c r="K51">
        <v>115112.61669389901</v>
      </c>
      <c r="L51">
        <v>760.57119801928502</v>
      </c>
      <c r="M51">
        <v>8.5672290314041694E-2</v>
      </c>
      <c r="N51">
        <v>6.3884614105694307E-2</v>
      </c>
      <c r="O51">
        <v>0.63373162870675603</v>
      </c>
      <c r="P51">
        <v>3.0170204459041099E-2</v>
      </c>
      <c r="Q51">
        <v>0.64974770573617602</v>
      </c>
      <c r="R51">
        <v>0</v>
      </c>
      <c r="S51">
        <v>-10</v>
      </c>
      <c r="T51">
        <v>120</v>
      </c>
      <c r="U51">
        <v>11877895353.559999</v>
      </c>
      <c r="V51">
        <v>103185</v>
      </c>
    </row>
    <row r="52" spans="1:22" x14ac:dyDescent="0.25">
      <c r="A52">
        <v>0.99340579780060201</v>
      </c>
      <c r="B52">
        <v>7.6322671646050502</v>
      </c>
      <c r="C52">
        <v>7.2359503609161697</v>
      </c>
      <c r="D52">
        <v>0</v>
      </c>
      <c r="E52">
        <v>3.9733338245533498</v>
      </c>
      <c r="F52">
        <v>4.3939861011608299</v>
      </c>
      <c r="G52">
        <v>-17.342580665970999</v>
      </c>
      <c r="H52">
        <v>23.547513594424</v>
      </c>
      <c r="I52">
        <v>65.851365053503699</v>
      </c>
      <c r="J52">
        <v>57.619192344441402</v>
      </c>
      <c r="K52">
        <v>124935.61387236499</v>
      </c>
      <c r="L52">
        <v>760.30682509149801</v>
      </c>
      <c r="M52">
        <v>8.6175787880563098E-2</v>
      </c>
      <c r="N52">
        <v>7.1054366927299994E-2</v>
      </c>
      <c r="O52">
        <v>0.62416313656585998</v>
      </c>
      <c r="P52">
        <v>3.0143169695494399E-2</v>
      </c>
      <c r="Q52">
        <v>0.650187254779237</v>
      </c>
      <c r="R52">
        <v>0</v>
      </c>
      <c r="S52">
        <v>-10</v>
      </c>
      <c r="T52">
        <v>130</v>
      </c>
      <c r="U52">
        <v>13609986032.799999</v>
      </c>
      <c r="V52">
        <v>108936</v>
      </c>
    </row>
    <row r="53" spans="1:22" x14ac:dyDescent="0.25">
      <c r="A53">
        <v>0.99348074752180104</v>
      </c>
      <c r="B53">
        <v>7.5486057730358098</v>
      </c>
      <c r="C53">
        <v>7.72379216318798</v>
      </c>
      <c r="D53">
        <v>0</v>
      </c>
      <c r="E53">
        <v>3.9673665984105599</v>
      </c>
      <c r="F53">
        <v>4.3914611849538199</v>
      </c>
      <c r="G53">
        <v>-17.341955688719001</v>
      </c>
      <c r="H53">
        <v>23.564293911200998</v>
      </c>
      <c r="I53">
        <v>66.218765383532997</v>
      </c>
      <c r="J53">
        <v>57.867973663514398</v>
      </c>
      <c r="K53">
        <v>134987.66065334401</v>
      </c>
      <c r="L53">
        <v>760.35936803628601</v>
      </c>
      <c r="M53">
        <v>8.9640743592208097E-2</v>
      </c>
      <c r="N53">
        <v>7.5203966313445197E-2</v>
      </c>
      <c r="O53">
        <v>0.61564501059588805</v>
      </c>
      <c r="P53">
        <v>3.0526188421636399E-2</v>
      </c>
      <c r="Q53">
        <v>0.66288896260476304</v>
      </c>
      <c r="R53">
        <v>0</v>
      </c>
      <c r="S53">
        <v>-10</v>
      </c>
      <c r="T53">
        <v>140</v>
      </c>
      <c r="U53">
        <v>14287094003.549999</v>
      </c>
      <c r="V53">
        <v>105840</v>
      </c>
    </row>
    <row r="54" spans="1:22" x14ac:dyDescent="0.25">
      <c r="A54">
        <v>0.99359089177109905</v>
      </c>
      <c r="B54">
        <v>7.4255330189643196</v>
      </c>
      <c r="C54">
        <v>7.0846099949903198</v>
      </c>
      <c r="D54">
        <v>0</v>
      </c>
      <c r="E54">
        <v>3.96511996031925</v>
      </c>
      <c r="F54">
        <v>4.3927471518561898</v>
      </c>
      <c r="G54">
        <v>-17.3493820615309</v>
      </c>
      <c r="H54">
        <v>23.408942111477401</v>
      </c>
      <c r="I54">
        <v>65.266543827728199</v>
      </c>
      <c r="J54">
        <v>57.1716655107167</v>
      </c>
      <c r="K54">
        <v>144905.03204307001</v>
      </c>
      <c r="L54">
        <v>761.01051299540302</v>
      </c>
      <c r="M54">
        <v>8.5518837400598305E-2</v>
      </c>
      <c r="N54">
        <v>8.0631115578141302E-2</v>
      </c>
      <c r="O54">
        <v>0.60124207940192098</v>
      </c>
      <c r="P54">
        <v>3.08915106340471E-2</v>
      </c>
      <c r="Q54">
        <v>0.66119871050710999</v>
      </c>
      <c r="R54">
        <v>0</v>
      </c>
      <c r="S54">
        <v>-10</v>
      </c>
      <c r="T54">
        <v>150</v>
      </c>
      <c r="U54">
        <v>16054608120.18</v>
      </c>
      <c r="V54">
        <v>110794</v>
      </c>
    </row>
    <row r="55" spans="1:22" x14ac:dyDescent="0.25">
      <c r="A55">
        <v>0.99360532581546701</v>
      </c>
      <c r="B55">
        <v>7.4093936109637202</v>
      </c>
      <c r="C55">
        <v>7.1845080037510201</v>
      </c>
      <c r="D55">
        <v>0</v>
      </c>
      <c r="E55">
        <v>3.9624255169632301</v>
      </c>
      <c r="F55">
        <v>4.3908189229022501</v>
      </c>
      <c r="G55">
        <v>-17.3534701298322</v>
      </c>
      <c r="H55">
        <v>23.527540086014799</v>
      </c>
      <c r="I55">
        <v>66.556885389623005</v>
      </c>
      <c r="J55">
        <v>58.150765866459302</v>
      </c>
      <c r="K55">
        <v>154937.33955504201</v>
      </c>
      <c r="L55">
        <v>760.60476029025097</v>
      </c>
      <c r="M55">
        <v>8.8106677404963807E-2</v>
      </c>
      <c r="N55">
        <v>8.7063601467216395E-2</v>
      </c>
      <c r="O55">
        <v>0.59637302044947305</v>
      </c>
      <c r="P55">
        <v>2.9970463511593499E-2</v>
      </c>
      <c r="Q55">
        <v>0.68593692918087301</v>
      </c>
      <c r="R55">
        <v>0</v>
      </c>
      <c r="S55">
        <v>-10</v>
      </c>
      <c r="T55">
        <v>160</v>
      </c>
      <c r="U55">
        <v>15784241467.17</v>
      </c>
      <c r="V55">
        <v>101875</v>
      </c>
    </row>
    <row r="56" spans="1:22" x14ac:dyDescent="0.25">
      <c r="A56">
        <v>0.99366516318034903</v>
      </c>
      <c r="B56">
        <v>7.3424590256431301</v>
      </c>
      <c r="C56">
        <v>7.0928405090414701</v>
      </c>
      <c r="D56">
        <v>0</v>
      </c>
      <c r="E56">
        <v>3.9650658659184201</v>
      </c>
      <c r="F56">
        <v>4.3920779630247004</v>
      </c>
      <c r="G56">
        <v>-17.3569717157139</v>
      </c>
      <c r="H56">
        <v>23.555377603826798</v>
      </c>
      <c r="I56">
        <v>66.895161978900504</v>
      </c>
      <c r="J56">
        <v>58.4617176326772</v>
      </c>
      <c r="K56">
        <v>165000.944229371</v>
      </c>
      <c r="L56">
        <v>760.95827098994596</v>
      </c>
      <c r="M56">
        <v>8.8139277305512104E-2</v>
      </c>
      <c r="N56">
        <v>9.0542601567835099E-2</v>
      </c>
      <c r="O56">
        <v>0.58697094775705405</v>
      </c>
      <c r="P56">
        <v>3.05800106920977E-2</v>
      </c>
      <c r="Q56">
        <v>0.67874818895017897</v>
      </c>
      <c r="R56">
        <v>0</v>
      </c>
      <c r="S56">
        <v>-10</v>
      </c>
      <c r="T56">
        <v>170</v>
      </c>
      <c r="U56">
        <v>16976947151.76</v>
      </c>
      <c r="V56">
        <v>102890</v>
      </c>
    </row>
    <row r="57" spans="1:22" x14ac:dyDescent="0.25">
      <c r="A57">
        <v>0.99328598374021304</v>
      </c>
      <c r="B57">
        <v>7.7658635033488901</v>
      </c>
      <c r="C57">
        <v>7.2025540868609896</v>
      </c>
      <c r="D57">
        <v>0</v>
      </c>
      <c r="E57">
        <v>3.91236992020937</v>
      </c>
      <c r="F57">
        <v>4.3609552714857998</v>
      </c>
      <c r="G57">
        <v>-17.376317449840101</v>
      </c>
      <c r="H57">
        <v>23.100255641668902</v>
      </c>
      <c r="I57">
        <v>67.591806702674702</v>
      </c>
      <c r="J57">
        <v>58.569243638421099</v>
      </c>
      <c r="K57">
        <v>296347.07672353002</v>
      </c>
      <c r="L57">
        <v>761.42640985753098</v>
      </c>
      <c r="M57">
        <v>0.12987995154644999</v>
      </c>
      <c r="N57">
        <v>0.117001378300787</v>
      </c>
      <c r="O57">
        <v>0.49099347092200402</v>
      </c>
      <c r="P57">
        <v>4.4409089510870102E-2</v>
      </c>
      <c r="Q57">
        <v>0.68549017780889199</v>
      </c>
      <c r="R57">
        <v>0</v>
      </c>
      <c r="S57">
        <v>-10</v>
      </c>
      <c r="T57">
        <v>175</v>
      </c>
      <c r="U57">
        <v>518993524507.15002</v>
      </c>
      <c r="V57">
        <v>1751303</v>
      </c>
    </row>
    <row r="58" spans="1:22" x14ac:dyDescent="0.25">
      <c r="A58">
        <v>0.99371595697965198</v>
      </c>
      <c r="B58">
        <v>7.28560584646808</v>
      </c>
      <c r="C58">
        <v>7.5544325032285302</v>
      </c>
      <c r="D58">
        <v>0</v>
      </c>
      <c r="E58">
        <v>3.96493270403827</v>
      </c>
      <c r="F58">
        <v>4.3916224387979499</v>
      </c>
      <c r="G58">
        <v>-17.361529578651201</v>
      </c>
      <c r="H58">
        <v>23.248021427489601</v>
      </c>
      <c r="I58">
        <v>67.488461541274404</v>
      </c>
      <c r="J58">
        <v>59.137501154309099</v>
      </c>
      <c r="K58">
        <v>172446.089951039</v>
      </c>
      <c r="L58">
        <v>760.95733725395201</v>
      </c>
      <c r="M58">
        <v>8.3100648802655705E-2</v>
      </c>
      <c r="N58">
        <v>9.4945260191920705E-2</v>
      </c>
      <c r="O58">
        <v>0.57374390213425497</v>
      </c>
      <c r="P58">
        <v>2.9870532023450101E-2</v>
      </c>
      <c r="Q58">
        <v>0.66327028299855295</v>
      </c>
      <c r="R58">
        <v>0</v>
      </c>
      <c r="S58">
        <v>-10</v>
      </c>
      <c r="T58">
        <v>180</v>
      </c>
      <c r="U58">
        <v>8981509702.9200001</v>
      </c>
      <c r="V58">
        <v>52083</v>
      </c>
    </row>
    <row r="59" spans="1:22" x14ac:dyDescent="0.25">
      <c r="A59">
        <v>0.99249994298006705</v>
      </c>
      <c r="B59">
        <v>8.6379394779388008</v>
      </c>
      <c r="C59">
        <v>92.1996129886913</v>
      </c>
      <c r="D59">
        <v>0</v>
      </c>
      <c r="E59">
        <v>3.82441763737903</v>
      </c>
      <c r="F59">
        <v>4.3609149200322097</v>
      </c>
      <c r="G59">
        <v>-12.476846663058501</v>
      </c>
      <c r="H59">
        <v>26.878835918474401</v>
      </c>
      <c r="I59">
        <v>62.971741859339303</v>
      </c>
      <c r="J59">
        <v>3.5352576484109401</v>
      </c>
      <c r="K59">
        <v>5599.9986597938096</v>
      </c>
      <c r="L59">
        <v>779.42507061903302</v>
      </c>
      <c r="M59">
        <v>1.8915173893543E-2</v>
      </c>
      <c r="N59">
        <v>6.4127525165522101E-2</v>
      </c>
      <c r="O59">
        <v>0.60782557195138198</v>
      </c>
      <c r="P59">
        <v>3.1387338758629098E-2</v>
      </c>
      <c r="Q59">
        <v>0.27961776451333298</v>
      </c>
      <c r="R59">
        <v>0</v>
      </c>
      <c r="S59">
        <v>-5</v>
      </c>
      <c r="T59">
        <v>10</v>
      </c>
      <c r="U59">
        <v>3259199.22</v>
      </c>
      <c r="V59">
        <v>582</v>
      </c>
    </row>
    <row r="60" spans="1:22" x14ac:dyDescent="0.25">
      <c r="A60">
        <v>0.99243778534147398</v>
      </c>
      <c r="B60">
        <v>8.7065769944086693</v>
      </c>
      <c r="C60">
        <v>71.179348132048105</v>
      </c>
      <c r="D60">
        <v>0</v>
      </c>
      <c r="E60">
        <v>3.86695983101691</v>
      </c>
      <c r="F60">
        <v>4.3631997661228503</v>
      </c>
      <c r="G60">
        <v>-12.368247482494599</v>
      </c>
      <c r="H60">
        <v>26.452723224283702</v>
      </c>
      <c r="I60">
        <v>56.485862046815903</v>
      </c>
      <c r="J60">
        <v>13.7780428691108</v>
      </c>
      <c r="K60">
        <v>15728.2043790849</v>
      </c>
      <c r="L60">
        <v>769.78351098917801</v>
      </c>
      <c r="M60">
        <v>4.7417137133252497E-2</v>
      </c>
      <c r="N60">
        <v>5.5421512039001801E-2</v>
      </c>
      <c r="O60">
        <v>0.71692813316583404</v>
      </c>
      <c r="P60">
        <v>3.3907700631997897E-2</v>
      </c>
      <c r="Q60">
        <v>0.33770423292615698</v>
      </c>
      <c r="R60">
        <v>0</v>
      </c>
      <c r="S60">
        <v>-5</v>
      </c>
      <c r="T60">
        <v>20</v>
      </c>
      <c r="U60">
        <v>16844906.890000001</v>
      </c>
      <c r="V60">
        <v>1071</v>
      </c>
    </row>
    <row r="61" spans="1:22" x14ac:dyDescent="0.25">
      <c r="A61">
        <v>0.99231637074492896</v>
      </c>
      <c r="B61">
        <v>8.8405126306106592</v>
      </c>
      <c r="C61">
        <v>34.954703039357597</v>
      </c>
      <c r="D61">
        <v>0</v>
      </c>
      <c r="E61">
        <v>3.9377515323199601</v>
      </c>
      <c r="F61">
        <v>4.38861592049828</v>
      </c>
      <c r="G61">
        <v>-12.367032519673099</v>
      </c>
      <c r="H61">
        <v>25.265075491064898</v>
      </c>
      <c r="I61">
        <v>55.266474064089003</v>
      </c>
      <c r="J61">
        <v>30.694778634288699</v>
      </c>
      <c r="K61">
        <v>25922.097696990098</v>
      </c>
      <c r="L61">
        <v>761.85696919252803</v>
      </c>
      <c r="M61">
        <v>4.71108017238741E-2</v>
      </c>
      <c r="N61">
        <v>3.8578185000464997E-2</v>
      </c>
      <c r="O61">
        <v>0.75625498938343705</v>
      </c>
      <c r="P61">
        <v>2.3677647882962401E-2</v>
      </c>
      <c r="Q61">
        <v>0.39528557468078501</v>
      </c>
      <c r="R61">
        <v>0</v>
      </c>
      <c r="S61">
        <v>-5</v>
      </c>
      <c r="T61">
        <v>30</v>
      </c>
      <c r="U61">
        <v>76651642.890000001</v>
      </c>
      <c r="V61">
        <v>2957</v>
      </c>
    </row>
    <row r="62" spans="1:22" x14ac:dyDescent="0.25">
      <c r="A62">
        <v>0.99231344444061997</v>
      </c>
      <c r="B62">
        <v>8.8437384898065599</v>
      </c>
      <c r="C62">
        <v>16.932134504374801</v>
      </c>
      <c r="D62">
        <v>0</v>
      </c>
      <c r="E62">
        <v>3.9631603169443199</v>
      </c>
      <c r="F62">
        <v>4.3840770224472703</v>
      </c>
      <c r="G62">
        <v>-12.347938025721</v>
      </c>
      <c r="H62">
        <v>24.529607997632699</v>
      </c>
      <c r="I62">
        <v>56.376277316375898</v>
      </c>
      <c r="J62">
        <v>41.961826835526203</v>
      </c>
      <c r="K62">
        <v>35866.649732197897</v>
      </c>
      <c r="L62">
        <v>757.43595014030598</v>
      </c>
      <c r="M62">
        <v>4.6184915051062002E-2</v>
      </c>
      <c r="N62">
        <v>2.9281334250376299E-2</v>
      </c>
      <c r="O62">
        <v>0.77649019195005597</v>
      </c>
      <c r="P62">
        <v>3.6366096785562602E-2</v>
      </c>
      <c r="Q62">
        <v>0.445038685273554</v>
      </c>
      <c r="R62">
        <v>0</v>
      </c>
      <c r="S62">
        <v>-5</v>
      </c>
      <c r="T62">
        <v>40</v>
      </c>
      <c r="U62">
        <v>290627462.77999997</v>
      </c>
      <c r="V62">
        <v>8103</v>
      </c>
    </row>
    <row r="63" spans="1:22" x14ac:dyDescent="0.25">
      <c r="A63">
        <v>0.99225568319073398</v>
      </c>
      <c r="B63">
        <v>8.9073911304027202</v>
      </c>
      <c r="C63">
        <v>11.5415398860063</v>
      </c>
      <c r="D63">
        <v>0</v>
      </c>
      <c r="E63">
        <v>3.9739656252940199</v>
      </c>
      <c r="F63">
        <v>4.38499900611688</v>
      </c>
      <c r="G63">
        <v>-12.323062205539699</v>
      </c>
      <c r="H63">
        <v>24.395455488293099</v>
      </c>
      <c r="I63">
        <v>57.300552040441197</v>
      </c>
      <c r="J63">
        <v>46.447325202523203</v>
      </c>
      <c r="K63">
        <v>45793.274193601399</v>
      </c>
      <c r="L63">
        <v>755.89848596067895</v>
      </c>
      <c r="M63">
        <v>5.8185415986485703E-2</v>
      </c>
      <c r="N63">
        <v>3.0779530718784299E-2</v>
      </c>
      <c r="O63">
        <v>0.76269912982057897</v>
      </c>
      <c r="P63">
        <v>3.5582922218260801E-2</v>
      </c>
      <c r="Q63">
        <v>0.51443552579721896</v>
      </c>
      <c r="R63">
        <v>0</v>
      </c>
      <c r="S63">
        <v>-5</v>
      </c>
      <c r="T63">
        <v>50</v>
      </c>
      <c r="U63">
        <v>835910427.13</v>
      </c>
      <c r="V63">
        <v>18254</v>
      </c>
    </row>
    <row r="64" spans="1:22" x14ac:dyDescent="0.25">
      <c r="A64">
        <v>0.99235154780108403</v>
      </c>
      <c r="B64">
        <v>8.8017264394869397</v>
      </c>
      <c r="C64">
        <v>9.3130142574881702</v>
      </c>
      <c r="D64">
        <v>0</v>
      </c>
      <c r="E64">
        <v>3.9951067689861102</v>
      </c>
      <c r="F64">
        <v>4.3876743611880897</v>
      </c>
      <c r="G64">
        <v>-12.331060310437</v>
      </c>
      <c r="H64">
        <v>24.092724510684299</v>
      </c>
      <c r="I64">
        <v>59.853701538773599</v>
      </c>
      <c r="J64">
        <v>50.717212898624602</v>
      </c>
      <c r="K64">
        <v>55459.9405234515</v>
      </c>
      <c r="L64">
        <v>755.25126563109302</v>
      </c>
      <c r="M64">
        <v>7.0679336617199495E-2</v>
      </c>
      <c r="N64">
        <v>3.7473505755226302E-2</v>
      </c>
      <c r="O64">
        <v>0.74975200207895198</v>
      </c>
      <c r="P64">
        <v>3.8138995544990797E-2</v>
      </c>
      <c r="Q64">
        <v>0.57362542718856002</v>
      </c>
      <c r="R64">
        <v>0</v>
      </c>
      <c r="S64">
        <v>-5</v>
      </c>
      <c r="T64">
        <v>60</v>
      </c>
      <c r="U64">
        <v>1763016049.3</v>
      </c>
      <c r="V64">
        <v>31789</v>
      </c>
    </row>
    <row r="65" spans="1:22" x14ac:dyDescent="0.25">
      <c r="A65">
        <v>0.99240441278579605</v>
      </c>
      <c r="B65">
        <v>8.7434091038425699</v>
      </c>
      <c r="C65">
        <v>8.5268070635036803</v>
      </c>
      <c r="D65">
        <v>0</v>
      </c>
      <c r="E65">
        <v>3.9982284395103602</v>
      </c>
      <c r="F65">
        <v>4.3837712922051004</v>
      </c>
      <c r="G65">
        <v>-12.329799415619901</v>
      </c>
      <c r="H65">
        <v>24.289219187167401</v>
      </c>
      <c r="I65">
        <v>62.171799680766398</v>
      </c>
      <c r="J65">
        <v>53.212374356359703</v>
      </c>
      <c r="K65">
        <v>65268.182249625097</v>
      </c>
      <c r="L65">
        <v>755.13911899513096</v>
      </c>
      <c r="M65">
        <v>7.4077770883397495E-2</v>
      </c>
      <c r="N65">
        <v>4.26365723261347E-2</v>
      </c>
      <c r="O65">
        <v>0.72719865342878698</v>
      </c>
      <c r="P65">
        <v>3.7871848241395001E-2</v>
      </c>
      <c r="Q65">
        <v>0.59130843613321704</v>
      </c>
      <c r="R65">
        <v>0</v>
      </c>
      <c r="S65">
        <v>-5</v>
      </c>
      <c r="T65">
        <v>70</v>
      </c>
      <c r="U65">
        <v>2916378187.46</v>
      </c>
      <c r="V65">
        <v>44683</v>
      </c>
    </row>
    <row r="66" spans="1:22" x14ac:dyDescent="0.25">
      <c r="A66">
        <v>0.99250934882002695</v>
      </c>
      <c r="B66">
        <v>8.6275489679740094</v>
      </c>
      <c r="C66">
        <v>7.4374506077358404</v>
      </c>
      <c r="D66">
        <v>0</v>
      </c>
      <c r="E66">
        <v>3.9837843249497298</v>
      </c>
      <c r="F66">
        <v>4.3767677308941497</v>
      </c>
      <c r="G66">
        <v>-12.346590164831699</v>
      </c>
      <c r="H66">
        <v>24.601199173463399</v>
      </c>
      <c r="I66">
        <v>62.054729546270501</v>
      </c>
      <c r="J66">
        <v>53.489628219831502</v>
      </c>
      <c r="K66">
        <v>75116.861133355007</v>
      </c>
      <c r="L66">
        <v>755.85858727278105</v>
      </c>
      <c r="M66">
        <v>8.3052411911386001E-2</v>
      </c>
      <c r="N66">
        <v>5.2541672726482198E-2</v>
      </c>
      <c r="O66">
        <v>0.72303741013502698</v>
      </c>
      <c r="P66">
        <v>3.8680696414922201E-2</v>
      </c>
      <c r="Q66">
        <v>0.63616715441414096</v>
      </c>
      <c r="R66">
        <v>0</v>
      </c>
      <c r="S66">
        <v>-5</v>
      </c>
      <c r="T66">
        <v>80</v>
      </c>
      <c r="U66">
        <v>4607668261.9200001</v>
      </c>
      <c r="V66">
        <v>61340</v>
      </c>
    </row>
    <row r="67" spans="1:22" x14ac:dyDescent="0.25">
      <c r="A67">
        <v>0.99266016832337201</v>
      </c>
      <c r="B67">
        <v>8.4607926019158004</v>
      </c>
      <c r="C67">
        <v>7.4717381758200698</v>
      </c>
      <c r="D67">
        <v>0</v>
      </c>
      <c r="E67">
        <v>4.0006466763109101</v>
      </c>
      <c r="F67">
        <v>4.3803430986073604</v>
      </c>
      <c r="G67">
        <v>-12.3319735362823</v>
      </c>
      <c r="H67">
        <v>24.372867619588</v>
      </c>
      <c r="I67">
        <v>64.67234310776</v>
      </c>
      <c r="J67">
        <v>56.096486541573498</v>
      </c>
      <c r="K67">
        <v>85144.9595363923</v>
      </c>
      <c r="L67">
        <v>755.53802758582299</v>
      </c>
      <c r="M67">
        <v>8.7497894684620506E-2</v>
      </c>
      <c r="N67">
        <v>5.4639947324157397E-2</v>
      </c>
      <c r="O67">
        <v>0.71105601183477896</v>
      </c>
      <c r="P67">
        <v>3.7039309583262001E-2</v>
      </c>
      <c r="Q67">
        <v>0.63828720937235295</v>
      </c>
      <c r="R67">
        <v>0</v>
      </c>
      <c r="S67">
        <v>-5</v>
      </c>
      <c r="T67">
        <v>90</v>
      </c>
      <c r="U67">
        <v>6273736053.5200005</v>
      </c>
      <c r="V67">
        <v>73683</v>
      </c>
    </row>
    <row r="68" spans="1:22" x14ac:dyDescent="0.25">
      <c r="A68">
        <v>0.99284539787039305</v>
      </c>
      <c r="B68">
        <v>8.2556084442618101</v>
      </c>
      <c r="C68">
        <v>7.9561029804538199</v>
      </c>
      <c r="D68">
        <v>0</v>
      </c>
      <c r="E68">
        <v>3.99891146868202</v>
      </c>
      <c r="F68">
        <v>4.3823894658987603</v>
      </c>
      <c r="G68">
        <v>-12.3299401476405</v>
      </c>
      <c r="H68">
        <v>24.304019676664598</v>
      </c>
      <c r="I68">
        <v>64.609052856014301</v>
      </c>
      <c r="J68">
        <v>56.350161441563301</v>
      </c>
      <c r="K68">
        <v>95208.794259321206</v>
      </c>
      <c r="L68">
        <v>757.32139486123594</v>
      </c>
      <c r="M68">
        <v>7.9369503239218805E-2</v>
      </c>
      <c r="N68">
        <v>6.1774076148518299E-2</v>
      </c>
      <c r="O68">
        <v>0.67570206398447596</v>
      </c>
      <c r="P68">
        <v>3.3716757553618901E-2</v>
      </c>
      <c r="Q68">
        <v>0.60644791042270696</v>
      </c>
      <c r="R68">
        <v>0</v>
      </c>
      <c r="S68">
        <v>-5</v>
      </c>
      <c r="T68">
        <v>100</v>
      </c>
      <c r="U68">
        <v>9389396081.0599995</v>
      </c>
      <c r="V68">
        <v>98619</v>
      </c>
    </row>
    <row r="69" spans="1:22" x14ac:dyDescent="0.25">
      <c r="A69">
        <v>0.99296992290536101</v>
      </c>
      <c r="B69">
        <v>8.1174315508277495</v>
      </c>
      <c r="C69">
        <v>7.7793733023266496</v>
      </c>
      <c r="D69">
        <v>0</v>
      </c>
      <c r="E69">
        <v>4.0181070521841802</v>
      </c>
      <c r="F69">
        <v>4.3835707314029699</v>
      </c>
      <c r="G69">
        <v>-12.3256162448897</v>
      </c>
      <c r="H69">
        <v>23.947360164035501</v>
      </c>
      <c r="I69">
        <v>67.211070133298904</v>
      </c>
      <c r="J69">
        <v>59.021321581311199</v>
      </c>
      <c r="K69">
        <v>105055.794464156</v>
      </c>
      <c r="L69">
        <v>756.56621466344495</v>
      </c>
      <c r="M69">
        <v>8.6038495806783605E-2</v>
      </c>
      <c r="N69">
        <v>6.18903008212255E-2</v>
      </c>
      <c r="O69">
        <v>0.65701978033546704</v>
      </c>
      <c r="P69">
        <v>3.3679162418398099E-2</v>
      </c>
      <c r="Q69">
        <v>0.62115864009669297</v>
      </c>
      <c r="R69">
        <v>0</v>
      </c>
      <c r="S69">
        <v>-5</v>
      </c>
      <c r="T69">
        <v>110</v>
      </c>
      <c r="U69">
        <v>9877345795.5200005</v>
      </c>
      <c r="V69">
        <v>94020</v>
      </c>
    </row>
    <row r="70" spans="1:22" x14ac:dyDescent="0.25">
      <c r="A70">
        <v>0.99307504834244298</v>
      </c>
      <c r="B70">
        <v>8.0006325865909602</v>
      </c>
      <c r="C70">
        <v>7.3571219664248098</v>
      </c>
      <c r="D70">
        <v>0</v>
      </c>
      <c r="E70">
        <v>4.00813750571354</v>
      </c>
      <c r="F70">
        <v>4.3809740528759402</v>
      </c>
      <c r="G70">
        <v>-12.336364117133099</v>
      </c>
      <c r="H70">
        <v>24.082368897591198</v>
      </c>
      <c r="I70">
        <v>67.200205635176999</v>
      </c>
      <c r="J70">
        <v>58.947654807356898</v>
      </c>
      <c r="K70">
        <v>115122.42484916199</v>
      </c>
      <c r="L70">
        <v>757.59769883551496</v>
      </c>
      <c r="M70">
        <v>8.5811334130867306E-2</v>
      </c>
      <c r="N70">
        <v>6.5245327220444405E-2</v>
      </c>
      <c r="O70">
        <v>0.63814405248914596</v>
      </c>
      <c r="P70">
        <v>3.24377385911283E-2</v>
      </c>
      <c r="Q70">
        <v>0.62584499101851498</v>
      </c>
      <c r="R70">
        <v>0</v>
      </c>
      <c r="S70">
        <v>-5</v>
      </c>
      <c r="T70">
        <v>120</v>
      </c>
      <c r="U70">
        <v>11627710277.040001</v>
      </c>
      <c r="V70">
        <v>101003</v>
      </c>
    </row>
    <row r="71" spans="1:22" x14ac:dyDescent="0.25">
      <c r="A71">
        <v>0.99320242605053899</v>
      </c>
      <c r="B71">
        <v>7.8589280190735398</v>
      </c>
      <c r="C71">
        <v>7.46170518312735</v>
      </c>
      <c r="D71">
        <v>0</v>
      </c>
      <c r="E71">
        <v>4.0090011804174397</v>
      </c>
      <c r="F71">
        <v>4.3790100270323498</v>
      </c>
      <c r="G71">
        <v>-12.3402418467745</v>
      </c>
      <c r="H71">
        <v>23.764920000891902</v>
      </c>
      <c r="I71">
        <v>67.892498538355795</v>
      </c>
      <c r="J71">
        <v>59.713418684332602</v>
      </c>
      <c r="K71">
        <v>124975.013296688</v>
      </c>
      <c r="L71">
        <v>757.71984487624502</v>
      </c>
      <c r="M71">
        <v>8.4846592085483799E-2</v>
      </c>
      <c r="N71">
        <v>7.2685156878884105E-2</v>
      </c>
      <c r="O71">
        <v>0.62555056969948297</v>
      </c>
      <c r="P71">
        <v>3.2676991036532398E-2</v>
      </c>
      <c r="Q71">
        <v>0.62680047674977701</v>
      </c>
      <c r="R71">
        <v>0</v>
      </c>
      <c r="S71">
        <v>-5</v>
      </c>
      <c r="T71">
        <v>130</v>
      </c>
      <c r="U71">
        <v>13221231631.67</v>
      </c>
      <c r="V71">
        <v>105791</v>
      </c>
    </row>
    <row r="72" spans="1:22" x14ac:dyDescent="0.25">
      <c r="A72">
        <v>0.99328326207821604</v>
      </c>
      <c r="B72">
        <v>7.7688961811296302</v>
      </c>
      <c r="C72">
        <v>7.5134142517776201</v>
      </c>
      <c r="D72">
        <v>0</v>
      </c>
      <c r="E72">
        <v>4.0039666650971997</v>
      </c>
      <c r="F72">
        <v>4.3778635650131896</v>
      </c>
      <c r="G72">
        <v>-12.341067115992701</v>
      </c>
      <c r="H72">
        <v>23.785991136987999</v>
      </c>
      <c r="I72">
        <v>68.221402690536706</v>
      </c>
      <c r="J72">
        <v>59.936380175948997</v>
      </c>
      <c r="K72">
        <v>134986.19889717901</v>
      </c>
      <c r="L72">
        <v>757.80025853940197</v>
      </c>
      <c r="M72">
        <v>8.6774844953841301E-2</v>
      </c>
      <c r="N72">
        <v>7.6703035408993994E-2</v>
      </c>
      <c r="O72">
        <v>0.61514225907410003</v>
      </c>
      <c r="P72">
        <v>3.25172473960985E-2</v>
      </c>
      <c r="Q72">
        <v>0.633682038289898</v>
      </c>
      <c r="R72">
        <v>0</v>
      </c>
      <c r="S72">
        <v>-5</v>
      </c>
      <c r="T72">
        <v>140</v>
      </c>
      <c r="U72">
        <v>13912082616.940001</v>
      </c>
      <c r="V72">
        <v>103063</v>
      </c>
    </row>
    <row r="73" spans="1:22" x14ac:dyDescent="0.25">
      <c r="A73">
        <v>0.99337788579417097</v>
      </c>
      <c r="B73">
        <v>7.6634057431609302</v>
      </c>
      <c r="C73">
        <v>7.8908733758567902</v>
      </c>
      <c r="D73">
        <v>0</v>
      </c>
      <c r="E73">
        <v>3.99991468646326</v>
      </c>
      <c r="F73">
        <v>4.3815295377379799</v>
      </c>
      <c r="G73">
        <v>-12.355927889907701</v>
      </c>
      <c r="H73">
        <v>23.651355842324001</v>
      </c>
      <c r="I73">
        <v>67.230208636451707</v>
      </c>
      <c r="J73">
        <v>59.152404449647101</v>
      </c>
      <c r="K73">
        <v>144910.63449256399</v>
      </c>
      <c r="L73">
        <v>758.51102990599099</v>
      </c>
      <c r="M73">
        <v>8.5026975351581296E-2</v>
      </c>
      <c r="N73">
        <v>8.3754559623403002E-2</v>
      </c>
      <c r="O73">
        <v>0.60435955026374999</v>
      </c>
      <c r="P73">
        <v>3.2450299061762999E-2</v>
      </c>
      <c r="Q73">
        <v>0.64035460656306997</v>
      </c>
      <c r="R73">
        <v>0</v>
      </c>
      <c r="S73">
        <v>-5</v>
      </c>
      <c r="T73">
        <v>150</v>
      </c>
      <c r="U73">
        <v>15572386603.84</v>
      </c>
      <c r="V73">
        <v>107462</v>
      </c>
    </row>
    <row r="74" spans="1:22" x14ac:dyDescent="0.25">
      <c r="A74">
        <v>0.99341330823919205</v>
      </c>
      <c r="B74">
        <v>7.6238868910026198</v>
      </c>
      <c r="C74">
        <v>7.1404422375429899</v>
      </c>
      <c r="D74">
        <v>0</v>
      </c>
      <c r="E74">
        <v>4.0020137448940103</v>
      </c>
      <c r="F74">
        <v>4.37918591032152</v>
      </c>
      <c r="G74">
        <v>-12.3416553509833</v>
      </c>
      <c r="H74">
        <v>23.730823229201501</v>
      </c>
      <c r="I74">
        <v>68.433914873737294</v>
      </c>
      <c r="J74">
        <v>60.205255278029703</v>
      </c>
      <c r="K74">
        <v>154945.68609979801</v>
      </c>
      <c r="L74">
        <v>758.21396732580797</v>
      </c>
      <c r="M74">
        <v>8.8015984601467506E-2</v>
      </c>
      <c r="N74">
        <v>8.8612044525546996E-2</v>
      </c>
      <c r="O74">
        <v>0.59549643181064904</v>
      </c>
      <c r="P74">
        <v>3.1748405291851599E-2</v>
      </c>
      <c r="Q74">
        <v>0.66099736696950895</v>
      </c>
      <c r="R74">
        <v>0</v>
      </c>
      <c r="S74">
        <v>-5</v>
      </c>
      <c r="T74">
        <v>160</v>
      </c>
      <c r="U74">
        <v>15469932245.889999</v>
      </c>
      <c r="V74">
        <v>99841</v>
      </c>
    </row>
    <row r="75" spans="1:22" x14ac:dyDescent="0.25">
      <c r="A75">
        <v>0.99345043977102898</v>
      </c>
      <c r="B75">
        <v>7.5824446620070098</v>
      </c>
      <c r="C75">
        <v>6.9989426269617496</v>
      </c>
      <c r="D75">
        <v>0</v>
      </c>
      <c r="E75">
        <v>4.0034633558050201</v>
      </c>
      <c r="F75">
        <v>4.3792060152752503</v>
      </c>
      <c r="G75">
        <v>-12.3459962814444</v>
      </c>
      <c r="H75">
        <v>23.675183822555098</v>
      </c>
      <c r="I75">
        <v>68.890938667895099</v>
      </c>
      <c r="J75">
        <v>60.619164405127698</v>
      </c>
      <c r="K75">
        <v>164993.92375899901</v>
      </c>
      <c r="L75">
        <v>758.55831005948096</v>
      </c>
      <c r="M75">
        <v>8.6256457230197606E-2</v>
      </c>
      <c r="N75">
        <v>8.9898489574340504E-2</v>
      </c>
      <c r="O75">
        <v>0.58702092160145802</v>
      </c>
      <c r="P75">
        <v>3.2130635471841897E-2</v>
      </c>
      <c r="Q75">
        <v>0.65069812416851702</v>
      </c>
      <c r="R75">
        <v>0</v>
      </c>
      <c r="S75">
        <v>-5</v>
      </c>
      <c r="T75">
        <v>170</v>
      </c>
      <c r="U75">
        <v>16706129762.370001</v>
      </c>
      <c r="V75">
        <v>101253</v>
      </c>
    </row>
    <row r="76" spans="1:22" x14ac:dyDescent="0.25">
      <c r="A76">
        <v>0.99299316275284499</v>
      </c>
      <c r="B76">
        <v>8.0916227719063194</v>
      </c>
      <c r="C76">
        <v>7.5363918476315703</v>
      </c>
      <c r="D76">
        <v>0</v>
      </c>
      <c r="E76">
        <v>3.9590360558298099</v>
      </c>
      <c r="F76">
        <v>4.35295320710991</v>
      </c>
      <c r="G76">
        <v>-12.3822410473133</v>
      </c>
      <c r="H76">
        <v>23.149010819915901</v>
      </c>
      <c r="I76">
        <v>69.4105053898096</v>
      </c>
      <c r="J76">
        <v>60.710802178281099</v>
      </c>
      <c r="K76">
        <v>293424.36116935499</v>
      </c>
      <c r="L76">
        <v>759.57931081959703</v>
      </c>
      <c r="M76">
        <v>0.126904405272904</v>
      </c>
      <c r="N76">
        <v>0.113832567273252</v>
      </c>
      <c r="O76">
        <v>0.50309569857383996</v>
      </c>
      <c r="P76">
        <v>4.9054235080758998E-2</v>
      </c>
      <c r="Q76">
        <v>0.65791314713025895</v>
      </c>
      <c r="R76">
        <v>0</v>
      </c>
      <c r="S76">
        <v>-5</v>
      </c>
      <c r="T76">
        <v>175</v>
      </c>
      <c r="U76">
        <v>493074111025.67999</v>
      </c>
      <c r="V76">
        <v>1680413</v>
      </c>
    </row>
    <row r="77" spans="1:22" x14ac:dyDescent="0.25">
      <c r="A77">
        <v>0.99349008155181595</v>
      </c>
      <c r="B77">
        <v>7.5381819533411099</v>
      </c>
      <c r="C77">
        <v>6.6278539027534196</v>
      </c>
      <c r="D77">
        <v>0</v>
      </c>
      <c r="E77">
        <v>4.0000930352482502</v>
      </c>
      <c r="F77">
        <v>4.3772227544337703</v>
      </c>
      <c r="G77">
        <v>-12.3286585002718</v>
      </c>
      <c r="H77">
        <v>23.429859260086801</v>
      </c>
      <c r="I77">
        <v>69.386028256226496</v>
      </c>
      <c r="J77">
        <v>61.104964356022698</v>
      </c>
      <c r="K77">
        <v>172457.78076838399</v>
      </c>
      <c r="L77">
        <v>758.84619539431503</v>
      </c>
      <c r="M77">
        <v>8.1158367569986595E-2</v>
      </c>
      <c r="N77">
        <v>9.24514355546983E-2</v>
      </c>
      <c r="O77">
        <v>0.58426582634849999</v>
      </c>
      <c r="P77">
        <v>3.18473672544584E-2</v>
      </c>
      <c r="Q77">
        <v>0.63744710009352301</v>
      </c>
      <c r="R77">
        <v>0</v>
      </c>
      <c r="S77">
        <v>-5</v>
      </c>
      <c r="T77">
        <v>180</v>
      </c>
      <c r="U77">
        <v>8782412485.6299992</v>
      </c>
      <c r="V77">
        <v>50925</v>
      </c>
    </row>
    <row r="78" spans="1:22" x14ac:dyDescent="0.25">
      <c r="A78">
        <v>0.99277012314872504</v>
      </c>
      <c r="B78">
        <v>8.3390432409068609</v>
      </c>
      <c r="C78">
        <v>89.208606476070401</v>
      </c>
      <c r="D78">
        <v>0</v>
      </c>
      <c r="E78">
        <v>3.8390311937383199</v>
      </c>
      <c r="F78">
        <v>4.2977449964882499</v>
      </c>
      <c r="G78">
        <v>-6.7198958020833697</v>
      </c>
      <c r="H78">
        <v>23.859958689056899</v>
      </c>
      <c r="I78">
        <v>62.979947906303302</v>
      </c>
      <c r="J78">
        <v>3.77734664829884</v>
      </c>
      <c r="K78">
        <v>5495.0068043478204</v>
      </c>
      <c r="L78">
        <v>777.46013215563005</v>
      </c>
      <c r="M78">
        <v>1.63435292339888E-2</v>
      </c>
      <c r="N78">
        <v>8.0267396749237704E-2</v>
      </c>
      <c r="O78">
        <v>0.58976706651465005</v>
      </c>
      <c r="P78">
        <v>3.2649882425077298E-2</v>
      </c>
      <c r="Q78">
        <v>0.25075176055187998</v>
      </c>
      <c r="R78">
        <v>0</v>
      </c>
      <c r="S78">
        <v>0</v>
      </c>
      <c r="T78">
        <v>10</v>
      </c>
      <c r="U78">
        <v>2527703.13</v>
      </c>
      <c r="V78">
        <v>460</v>
      </c>
    </row>
    <row r="79" spans="1:22" x14ac:dyDescent="0.25">
      <c r="A79">
        <v>0.99259864748546101</v>
      </c>
      <c r="B79">
        <v>8.5288479107178592</v>
      </c>
      <c r="C79">
        <v>72.752072080639394</v>
      </c>
      <c r="D79">
        <v>0</v>
      </c>
      <c r="E79">
        <v>3.8986761600505599</v>
      </c>
      <c r="F79">
        <v>4.3121672739027002</v>
      </c>
      <c r="G79">
        <v>-6.8322626154466004</v>
      </c>
      <c r="H79">
        <v>24.7131790232323</v>
      </c>
      <c r="I79">
        <v>56.688601121456202</v>
      </c>
      <c r="J79">
        <v>15.107671406804499</v>
      </c>
      <c r="K79">
        <v>15764.3358042744</v>
      </c>
      <c r="L79">
        <v>766.14803693387205</v>
      </c>
      <c r="M79">
        <v>4.0979043430401901E-2</v>
      </c>
      <c r="N79">
        <v>4.6501814147127798E-2</v>
      </c>
      <c r="O79">
        <v>0.705252072334284</v>
      </c>
      <c r="P79">
        <v>1.6139297747472799E-2</v>
      </c>
      <c r="Q79">
        <v>0.29302696798726402</v>
      </c>
      <c r="R79">
        <v>0</v>
      </c>
      <c r="S79">
        <v>0</v>
      </c>
      <c r="T79">
        <v>20</v>
      </c>
      <c r="U79">
        <v>14014494.529999999</v>
      </c>
      <c r="V79">
        <v>889</v>
      </c>
    </row>
    <row r="80" spans="1:22" x14ac:dyDescent="0.25">
      <c r="A80">
        <v>0.99243972782883905</v>
      </c>
      <c r="B80">
        <v>8.7044327201891907</v>
      </c>
      <c r="C80">
        <v>40.381822472356497</v>
      </c>
      <c r="D80">
        <v>0</v>
      </c>
      <c r="E80">
        <v>3.9968297287956398</v>
      </c>
      <c r="F80">
        <v>4.3551316095458699</v>
      </c>
      <c r="G80">
        <v>-6.9473321433289197</v>
      </c>
      <c r="H80">
        <v>24.097554402458599</v>
      </c>
      <c r="I80">
        <v>57.488715760991603</v>
      </c>
      <c r="J80">
        <v>33.611098043970003</v>
      </c>
      <c r="K80">
        <v>26098.445556925599</v>
      </c>
      <c r="L80">
        <v>756.33135443603805</v>
      </c>
      <c r="M80">
        <v>4.2643082967341699E-2</v>
      </c>
      <c r="N80">
        <v>3.3608479447270002E-2</v>
      </c>
      <c r="O80">
        <v>0.76904559165979003</v>
      </c>
      <c r="P80">
        <v>2.4592898088020999E-2</v>
      </c>
      <c r="Q80">
        <v>0.33043932121539599</v>
      </c>
      <c r="R80">
        <v>0</v>
      </c>
      <c r="S80">
        <v>0</v>
      </c>
      <c r="T80">
        <v>30</v>
      </c>
      <c r="U80">
        <v>63497518.039999999</v>
      </c>
      <c r="V80">
        <v>2433</v>
      </c>
    </row>
    <row r="81" spans="1:22" x14ac:dyDescent="0.25">
      <c r="A81">
        <v>0.99231676458417395</v>
      </c>
      <c r="B81">
        <v>8.8400784675184294</v>
      </c>
      <c r="C81">
        <v>16.1010422915442</v>
      </c>
      <c r="D81">
        <v>0</v>
      </c>
      <c r="E81">
        <v>4.0162821095410601</v>
      </c>
      <c r="F81">
        <v>4.3595239641383801</v>
      </c>
      <c r="G81">
        <v>-7.0446979836162402</v>
      </c>
      <c r="H81">
        <v>23.755112199794301</v>
      </c>
      <c r="I81">
        <v>58.562596218734299</v>
      </c>
      <c r="J81">
        <v>44.445269506243001</v>
      </c>
      <c r="K81">
        <v>35900.174168526697</v>
      </c>
      <c r="L81">
        <v>752.980004311063</v>
      </c>
      <c r="M81">
        <v>4.37706766802331E-2</v>
      </c>
      <c r="N81">
        <v>2.7598690849342699E-2</v>
      </c>
      <c r="O81">
        <v>0.77723530259198503</v>
      </c>
      <c r="P81">
        <v>3.3180998089290099E-2</v>
      </c>
      <c r="Q81">
        <v>0.40114275706690899</v>
      </c>
      <c r="R81">
        <v>0</v>
      </c>
      <c r="S81">
        <v>0</v>
      </c>
      <c r="T81">
        <v>40</v>
      </c>
      <c r="U81">
        <v>257332448.44</v>
      </c>
      <c r="V81">
        <v>7168</v>
      </c>
    </row>
    <row r="82" spans="1:22" x14ac:dyDescent="0.25">
      <c r="A82">
        <v>0.99220701205116502</v>
      </c>
      <c r="B82">
        <v>8.9609948769783792</v>
      </c>
      <c r="C82">
        <v>11.902716847861701</v>
      </c>
      <c r="D82">
        <v>0</v>
      </c>
      <c r="E82">
        <v>4.0334134323817503</v>
      </c>
      <c r="F82">
        <v>4.3669867608472801</v>
      </c>
      <c r="G82">
        <v>-7.1177521051215198</v>
      </c>
      <c r="H82">
        <v>23.639908950131002</v>
      </c>
      <c r="I82">
        <v>59.623148774997603</v>
      </c>
      <c r="J82">
        <v>48.862207762693899</v>
      </c>
      <c r="K82">
        <v>45844.618799046497</v>
      </c>
      <c r="L82">
        <v>750.21498651504805</v>
      </c>
      <c r="M82">
        <v>5.8593077914042703E-2</v>
      </c>
      <c r="N82">
        <v>3.6132391589937002E-2</v>
      </c>
      <c r="O82">
        <v>0.75566686794615801</v>
      </c>
      <c r="P82">
        <v>3.45020900260904E-2</v>
      </c>
      <c r="Q82">
        <v>0.47502991432607999</v>
      </c>
      <c r="R82">
        <v>0</v>
      </c>
      <c r="S82">
        <v>0</v>
      </c>
      <c r="T82">
        <v>50</v>
      </c>
      <c r="U82">
        <v>750109652.78999996</v>
      </c>
      <c r="V82">
        <v>16362</v>
      </c>
    </row>
    <row r="83" spans="1:22" x14ac:dyDescent="0.25">
      <c r="A83">
        <v>0.99230275002583601</v>
      </c>
      <c r="B83">
        <v>8.8555267620710794</v>
      </c>
      <c r="C83">
        <v>8.0138615757482903</v>
      </c>
      <c r="D83">
        <v>0</v>
      </c>
      <c r="E83">
        <v>4.0524682378214303</v>
      </c>
      <c r="F83">
        <v>4.37523909336457</v>
      </c>
      <c r="G83">
        <v>-7.1617724044084996</v>
      </c>
      <c r="H83">
        <v>23.514380008005102</v>
      </c>
      <c r="I83">
        <v>62.380388841780999</v>
      </c>
      <c r="J83">
        <v>53.256030214826403</v>
      </c>
      <c r="K83">
        <v>55442.393302268698</v>
      </c>
      <c r="L83">
        <v>751.11948390748705</v>
      </c>
      <c r="M83">
        <v>6.4287657166813797E-2</v>
      </c>
      <c r="N83">
        <v>4.1120251997686701E-2</v>
      </c>
      <c r="O83">
        <v>0.73902778757493104</v>
      </c>
      <c r="P83">
        <v>3.7897105999578802E-2</v>
      </c>
      <c r="Q83">
        <v>0.53368149437442702</v>
      </c>
      <c r="R83">
        <v>0</v>
      </c>
      <c r="S83">
        <v>0</v>
      </c>
      <c r="T83">
        <v>60</v>
      </c>
      <c r="U83">
        <v>1588424568.1099999</v>
      </c>
      <c r="V83">
        <v>28650</v>
      </c>
    </row>
    <row r="84" spans="1:22" x14ac:dyDescent="0.25">
      <c r="A84">
        <v>0.99240166185944101</v>
      </c>
      <c r="B84">
        <v>8.7464445961928892</v>
      </c>
      <c r="C84">
        <v>8.3348111813328405</v>
      </c>
      <c r="D84">
        <v>0</v>
      </c>
      <c r="E84">
        <v>4.0638697731178901</v>
      </c>
      <c r="F84">
        <v>4.3788651416650097</v>
      </c>
      <c r="G84">
        <v>-7.2045612661537</v>
      </c>
      <c r="H84">
        <v>23.575184922564901</v>
      </c>
      <c r="I84">
        <v>64.282953150557901</v>
      </c>
      <c r="J84">
        <v>55.520552430372902</v>
      </c>
      <c r="K84">
        <v>65245.248212832703</v>
      </c>
      <c r="L84">
        <v>751.75938017991405</v>
      </c>
      <c r="M84">
        <v>6.8987256746030207E-2</v>
      </c>
      <c r="N84">
        <v>4.1587759921443201E-2</v>
      </c>
      <c r="O84">
        <v>0.72308187484376996</v>
      </c>
      <c r="P84">
        <v>3.8133424633286797E-2</v>
      </c>
      <c r="Q84">
        <v>0.56063686362826104</v>
      </c>
      <c r="R84">
        <v>0</v>
      </c>
      <c r="S84">
        <v>0</v>
      </c>
      <c r="T84">
        <v>70</v>
      </c>
      <c r="U84">
        <v>2662136617.5799999</v>
      </c>
      <c r="V84">
        <v>40802</v>
      </c>
    </row>
    <row r="85" spans="1:22" x14ac:dyDescent="0.25">
      <c r="A85">
        <v>0.992495546063626</v>
      </c>
      <c r="B85">
        <v>8.64279632325389</v>
      </c>
      <c r="C85">
        <v>8.1505700920075004</v>
      </c>
      <c r="D85">
        <v>0</v>
      </c>
      <c r="E85">
        <v>4.0525227161358099</v>
      </c>
      <c r="F85">
        <v>4.3742092399745296</v>
      </c>
      <c r="G85">
        <v>-7.2033306382514901</v>
      </c>
      <c r="H85">
        <v>23.748916784777599</v>
      </c>
      <c r="I85">
        <v>63.973031257024502</v>
      </c>
      <c r="J85">
        <v>55.678409683784999</v>
      </c>
      <c r="K85">
        <v>75146.163137948097</v>
      </c>
      <c r="L85">
        <v>752.88093725673605</v>
      </c>
      <c r="M85">
        <v>7.7127155305608E-2</v>
      </c>
      <c r="N85">
        <v>5.2153231680474199E-2</v>
      </c>
      <c r="O85">
        <v>0.71477383403202999</v>
      </c>
      <c r="P85">
        <v>3.7351575023745101E-2</v>
      </c>
      <c r="Q85">
        <v>0.59841123845550503</v>
      </c>
      <c r="R85">
        <v>0</v>
      </c>
      <c r="S85">
        <v>0</v>
      </c>
      <c r="T85">
        <v>80</v>
      </c>
      <c r="U85">
        <v>4229376353.73</v>
      </c>
      <c r="V85">
        <v>56282</v>
      </c>
    </row>
    <row r="86" spans="1:22" x14ac:dyDescent="0.25">
      <c r="A86">
        <v>0.99263901692915602</v>
      </c>
      <c r="B86">
        <v>8.4841958373814101</v>
      </c>
      <c r="C86">
        <v>7.2835938389932799</v>
      </c>
      <c r="D86">
        <v>0</v>
      </c>
      <c r="E86">
        <v>4.0651834862980802</v>
      </c>
      <c r="F86">
        <v>4.3806901325850802</v>
      </c>
      <c r="G86">
        <v>-7.2531622003869201</v>
      </c>
      <c r="H86">
        <v>23.691767347481399</v>
      </c>
      <c r="I86">
        <v>66.352275333809004</v>
      </c>
      <c r="J86">
        <v>58.014490380557099</v>
      </c>
      <c r="K86">
        <v>85149.934913970705</v>
      </c>
      <c r="L86">
        <v>753.96362236498999</v>
      </c>
      <c r="M86">
        <v>8.2634459831743307E-2</v>
      </c>
      <c r="N86">
        <v>5.64351820553603E-2</v>
      </c>
      <c r="O86">
        <v>0.70448560079350397</v>
      </c>
      <c r="P86">
        <v>3.6170727722543997E-2</v>
      </c>
      <c r="Q86">
        <v>0.609573714313421</v>
      </c>
      <c r="R86">
        <v>0</v>
      </c>
      <c r="S86">
        <v>0</v>
      </c>
      <c r="T86">
        <v>90</v>
      </c>
      <c r="U86">
        <v>5948574453.0900002</v>
      </c>
      <c r="V86">
        <v>69860</v>
      </c>
    </row>
    <row r="87" spans="1:22" x14ac:dyDescent="0.25">
      <c r="A87">
        <v>0.99281929590787399</v>
      </c>
      <c r="B87">
        <v>8.2845478433843294</v>
      </c>
      <c r="C87">
        <v>7.6079540279936797</v>
      </c>
      <c r="D87">
        <v>0</v>
      </c>
      <c r="E87">
        <v>4.06333749955978</v>
      </c>
      <c r="F87">
        <v>4.3822620490104702</v>
      </c>
      <c r="G87">
        <v>-7.2556870792371404</v>
      </c>
      <c r="H87">
        <v>23.5868227467225</v>
      </c>
      <c r="I87">
        <v>66.003562505509294</v>
      </c>
      <c r="J87">
        <v>57.985331922926498</v>
      </c>
      <c r="K87">
        <v>95261.227024760403</v>
      </c>
      <c r="L87">
        <v>755.99557764472297</v>
      </c>
      <c r="M87">
        <v>7.4761189194507499E-2</v>
      </c>
      <c r="N87">
        <v>6.1277709891851599E-2</v>
      </c>
      <c r="O87">
        <v>0.66839215035784905</v>
      </c>
      <c r="P87">
        <v>3.2472497518551198E-2</v>
      </c>
      <c r="Q87">
        <v>0.58130769739590404</v>
      </c>
      <c r="R87">
        <v>0</v>
      </c>
      <c r="S87">
        <v>0</v>
      </c>
      <c r="T87">
        <v>100</v>
      </c>
      <c r="U87">
        <v>8837288769.8600006</v>
      </c>
      <c r="V87">
        <v>92769</v>
      </c>
    </row>
    <row r="88" spans="1:22" x14ac:dyDescent="0.25">
      <c r="A88">
        <v>0.99291061778885703</v>
      </c>
      <c r="B88">
        <v>8.1832621468319804</v>
      </c>
      <c r="C88">
        <v>8.2106751749075304</v>
      </c>
      <c r="D88">
        <v>0</v>
      </c>
      <c r="E88">
        <v>4.0827574659786103</v>
      </c>
      <c r="F88">
        <v>4.3866625866797397</v>
      </c>
      <c r="G88">
        <v>-7.3055259402992796</v>
      </c>
      <c r="H88">
        <v>23.368356672545499</v>
      </c>
      <c r="I88">
        <v>68.424782711196997</v>
      </c>
      <c r="J88">
        <v>60.439973798621899</v>
      </c>
      <c r="K88">
        <v>105044.47589115299</v>
      </c>
      <c r="L88">
        <v>755.14663972573305</v>
      </c>
      <c r="M88">
        <v>8.3066108360217494E-2</v>
      </c>
      <c r="N88">
        <v>6.0417042829004099E-2</v>
      </c>
      <c r="O88">
        <v>0.65467346246943203</v>
      </c>
      <c r="P88">
        <v>3.0344818917401501E-2</v>
      </c>
      <c r="Q88">
        <v>0.60566741756679598</v>
      </c>
      <c r="R88">
        <v>0</v>
      </c>
      <c r="S88">
        <v>0</v>
      </c>
      <c r="T88">
        <v>110</v>
      </c>
      <c r="U88">
        <v>9394022434.4699993</v>
      </c>
      <c r="V88">
        <v>89429</v>
      </c>
    </row>
    <row r="89" spans="1:22" x14ac:dyDescent="0.25">
      <c r="A89">
        <v>0.99300238164655497</v>
      </c>
      <c r="B89">
        <v>8.0813829814461702</v>
      </c>
      <c r="C89">
        <v>7.4979874151818899</v>
      </c>
      <c r="D89">
        <v>0</v>
      </c>
      <c r="E89">
        <v>4.0670427030528202</v>
      </c>
      <c r="F89">
        <v>4.38023771115106</v>
      </c>
      <c r="G89">
        <v>-7.2965340317422802</v>
      </c>
      <c r="H89">
        <v>23.5462717967538</v>
      </c>
      <c r="I89">
        <v>68.427967168241295</v>
      </c>
      <c r="J89">
        <v>60.302331442937103</v>
      </c>
      <c r="K89">
        <v>115110.47184486</v>
      </c>
      <c r="L89">
        <v>756.56752233409202</v>
      </c>
      <c r="M89">
        <v>8.2345082899370897E-2</v>
      </c>
      <c r="N89">
        <v>6.4449838357780301E-2</v>
      </c>
      <c r="O89">
        <v>0.63285994650414801</v>
      </c>
      <c r="P89">
        <v>2.9339091595080299E-2</v>
      </c>
      <c r="Q89">
        <v>0.60591151748467098</v>
      </c>
      <c r="R89">
        <v>0</v>
      </c>
      <c r="S89">
        <v>0</v>
      </c>
      <c r="T89">
        <v>120</v>
      </c>
      <c r="U89">
        <v>11092620619.33</v>
      </c>
      <c r="V89">
        <v>96365</v>
      </c>
    </row>
    <row r="90" spans="1:22" x14ac:dyDescent="0.25">
      <c r="A90">
        <v>0.99312772864195997</v>
      </c>
      <c r="B90">
        <v>7.9420512916982799</v>
      </c>
      <c r="C90">
        <v>7.4238734285865497</v>
      </c>
      <c r="D90">
        <v>0</v>
      </c>
      <c r="E90">
        <v>4.0677669538466503</v>
      </c>
      <c r="F90">
        <v>4.3819186414423399</v>
      </c>
      <c r="G90">
        <v>-7.3134692716554701</v>
      </c>
      <c r="H90">
        <v>23.1774397181442</v>
      </c>
      <c r="I90">
        <v>68.714832341649895</v>
      </c>
      <c r="J90">
        <v>60.705160209923498</v>
      </c>
      <c r="K90">
        <v>124956.31304736801</v>
      </c>
      <c r="L90">
        <v>756.75434240689106</v>
      </c>
      <c r="M90">
        <v>7.9988500446770805E-2</v>
      </c>
      <c r="N90">
        <v>7.3103067993973994E-2</v>
      </c>
      <c r="O90">
        <v>0.62600234106971298</v>
      </c>
      <c r="P90">
        <v>3.0512056912666698E-2</v>
      </c>
      <c r="Q90">
        <v>0.61133461679082202</v>
      </c>
      <c r="R90">
        <v>0</v>
      </c>
      <c r="S90">
        <v>0</v>
      </c>
      <c r="T90">
        <v>130</v>
      </c>
      <c r="U90">
        <v>12667571191.49</v>
      </c>
      <c r="V90">
        <v>101376</v>
      </c>
    </row>
    <row r="91" spans="1:22" x14ac:dyDescent="0.25">
      <c r="A91">
        <v>0.99318157438909604</v>
      </c>
      <c r="B91">
        <v>7.8821386664063899</v>
      </c>
      <c r="C91">
        <v>7.1129723042855204</v>
      </c>
      <c r="D91">
        <v>0</v>
      </c>
      <c r="E91">
        <v>4.06127748198442</v>
      </c>
      <c r="F91">
        <v>4.3784295734492202</v>
      </c>
      <c r="G91">
        <v>-7.3131064149750999</v>
      </c>
      <c r="H91">
        <v>23.2460541055029</v>
      </c>
      <c r="I91">
        <v>69.1073340593571</v>
      </c>
      <c r="J91">
        <v>60.974143248133799</v>
      </c>
      <c r="K91">
        <v>134980.63607708499</v>
      </c>
      <c r="L91">
        <v>756.984370567101</v>
      </c>
      <c r="M91">
        <v>8.4041485393614501E-2</v>
      </c>
      <c r="N91">
        <v>7.5622624427427496E-2</v>
      </c>
      <c r="O91">
        <v>0.61506141702108696</v>
      </c>
      <c r="P91">
        <v>3.11511220914511E-2</v>
      </c>
      <c r="Q91">
        <v>0.61989056216475602</v>
      </c>
      <c r="R91">
        <v>0</v>
      </c>
      <c r="S91">
        <v>0</v>
      </c>
      <c r="T91">
        <v>140</v>
      </c>
      <c r="U91">
        <v>13353499346.469999</v>
      </c>
      <c r="V91">
        <v>98929</v>
      </c>
    </row>
    <row r="92" spans="1:22" x14ac:dyDescent="0.25">
      <c r="A92">
        <v>0.99326937852918296</v>
      </c>
      <c r="B92">
        <v>7.7843648394647804</v>
      </c>
      <c r="C92">
        <v>7.3686369873700999</v>
      </c>
      <c r="D92">
        <v>0</v>
      </c>
      <c r="E92">
        <v>4.0571113330040998</v>
      </c>
      <c r="F92">
        <v>4.3788358011623503</v>
      </c>
      <c r="G92">
        <v>-7.2971781102434097</v>
      </c>
      <c r="H92">
        <v>23.013195174815198</v>
      </c>
      <c r="I92">
        <v>67.902862003009204</v>
      </c>
      <c r="J92">
        <v>60.048962290865802</v>
      </c>
      <c r="K92">
        <v>144951.76183629601</v>
      </c>
      <c r="L92">
        <v>757.32514270854097</v>
      </c>
      <c r="M92">
        <v>8.1157516915274397E-2</v>
      </c>
      <c r="N92">
        <v>7.9737046508944601E-2</v>
      </c>
      <c r="O92">
        <v>0.60072756754343803</v>
      </c>
      <c r="P92">
        <v>3.2599018314395899E-2</v>
      </c>
      <c r="Q92">
        <v>0.62819390984386103</v>
      </c>
      <c r="R92">
        <v>0</v>
      </c>
      <c r="S92">
        <v>0</v>
      </c>
      <c r="T92">
        <v>150</v>
      </c>
      <c r="U92">
        <v>15189060267.540001</v>
      </c>
      <c r="V92">
        <v>104787</v>
      </c>
    </row>
    <row r="93" spans="1:22" x14ac:dyDescent="0.25">
      <c r="A93">
        <v>0.99327855172389701</v>
      </c>
      <c r="B93">
        <v>7.7741445914934104</v>
      </c>
      <c r="C93">
        <v>7.8046021539688697</v>
      </c>
      <c r="D93">
        <v>0</v>
      </c>
      <c r="E93">
        <v>4.0538829841744901</v>
      </c>
      <c r="F93">
        <v>4.3770344486005701</v>
      </c>
      <c r="G93">
        <v>-7.3228282874233699</v>
      </c>
      <c r="H93">
        <v>23.230703365249699</v>
      </c>
      <c r="I93">
        <v>69.159154598282797</v>
      </c>
      <c r="J93">
        <v>61.012069272393497</v>
      </c>
      <c r="K93">
        <v>154960.71836108301</v>
      </c>
      <c r="L93">
        <v>757.67603761856299</v>
      </c>
      <c r="M93">
        <v>8.3259097124418799E-2</v>
      </c>
      <c r="N93">
        <v>8.6178847555041599E-2</v>
      </c>
      <c r="O93">
        <v>0.59537673475200803</v>
      </c>
      <c r="P93">
        <v>2.8578541603251399E-2</v>
      </c>
      <c r="Q93">
        <v>0.64944913269628202</v>
      </c>
      <c r="R93">
        <v>0</v>
      </c>
      <c r="S93">
        <v>0</v>
      </c>
      <c r="T93">
        <v>160</v>
      </c>
      <c r="U93">
        <v>15021272195.049999</v>
      </c>
      <c r="V93">
        <v>96936</v>
      </c>
    </row>
    <row r="94" spans="1:22" x14ac:dyDescent="0.25">
      <c r="A94">
        <v>0.99330857565528596</v>
      </c>
      <c r="B94">
        <v>7.74068638619016</v>
      </c>
      <c r="C94">
        <v>7.6818013501275102</v>
      </c>
      <c r="D94">
        <v>0</v>
      </c>
      <c r="E94">
        <v>4.0557523194896303</v>
      </c>
      <c r="F94">
        <v>4.3776650066776099</v>
      </c>
      <c r="G94">
        <v>-7.322044769343</v>
      </c>
      <c r="H94">
        <v>23.268329866132099</v>
      </c>
      <c r="I94">
        <v>69.618080238052599</v>
      </c>
      <c r="J94">
        <v>61.445694059523397</v>
      </c>
      <c r="K94">
        <v>165005.853355959</v>
      </c>
      <c r="L94">
        <v>757.96131980188295</v>
      </c>
      <c r="M94">
        <v>8.40616120396286E-2</v>
      </c>
      <c r="N94">
        <v>8.6241999663543706E-2</v>
      </c>
      <c r="O94">
        <v>0.58761278824472096</v>
      </c>
      <c r="P94">
        <v>3.05711778405417E-2</v>
      </c>
      <c r="Q94">
        <v>0.64076659290642402</v>
      </c>
      <c r="R94">
        <v>0</v>
      </c>
      <c r="S94">
        <v>0</v>
      </c>
      <c r="T94">
        <v>170</v>
      </c>
      <c r="U94">
        <v>16286902755.5</v>
      </c>
      <c r="V94">
        <v>98705</v>
      </c>
    </row>
    <row r="95" spans="1:22" x14ac:dyDescent="0.25">
      <c r="A95">
        <v>0.992721792537411</v>
      </c>
      <c r="B95">
        <v>8.3925764084011902</v>
      </c>
      <c r="C95">
        <v>8.0672748993042198</v>
      </c>
      <c r="D95">
        <v>0</v>
      </c>
      <c r="E95">
        <v>4.0123220837007301</v>
      </c>
      <c r="F95">
        <v>4.3532060366393601</v>
      </c>
      <c r="G95">
        <v>-7.3873311076480297</v>
      </c>
      <c r="H95">
        <v>22.797265815526401</v>
      </c>
      <c r="I95">
        <v>69.556591044229805</v>
      </c>
      <c r="J95">
        <v>61.0614550596447</v>
      </c>
      <c r="K95">
        <v>293840.61865922599</v>
      </c>
      <c r="L95">
        <v>758.57744067275496</v>
      </c>
      <c r="M95">
        <v>0.12790687961813099</v>
      </c>
      <c r="N95">
        <v>0.109064930123177</v>
      </c>
      <c r="O95">
        <v>0.50975881874222595</v>
      </c>
      <c r="P95">
        <v>4.8000407314968199E-2</v>
      </c>
      <c r="Q95">
        <v>0.65309265944786599</v>
      </c>
      <c r="R95">
        <v>0</v>
      </c>
      <c r="S95">
        <v>0</v>
      </c>
      <c r="T95">
        <v>175</v>
      </c>
      <c r="U95">
        <v>478931705874.53003</v>
      </c>
      <c r="V95">
        <v>1629903</v>
      </c>
    </row>
    <row r="96" spans="1:22" x14ac:dyDescent="0.25">
      <c r="A96">
        <v>0.99333754681056396</v>
      </c>
      <c r="B96">
        <v>7.7083908304235997</v>
      </c>
      <c r="C96">
        <v>7.0917190828995604</v>
      </c>
      <c r="D96">
        <v>0</v>
      </c>
      <c r="E96">
        <v>4.0594548507181303</v>
      </c>
      <c r="F96">
        <v>4.3810841380685899</v>
      </c>
      <c r="G96">
        <v>-7.3414992232343899</v>
      </c>
      <c r="H96">
        <v>23.034475181097601</v>
      </c>
      <c r="I96">
        <v>69.843709009009402</v>
      </c>
      <c r="J96">
        <v>61.727067081550402</v>
      </c>
      <c r="K96">
        <v>172463.45299161301</v>
      </c>
      <c r="L96">
        <v>758.17336141372596</v>
      </c>
      <c r="M96">
        <v>8.0737880024554995E-2</v>
      </c>
      <c r="N96">
        <v>8.8657162374038007E-2</v>
      </c>
      <c r="O96">
        <v>0.58699942552156803</v>
      </c>
      <c r="P96">
        <v>2.93023363831518E-2</v>
      </c>
      <c r="Q96">
        <v>0.63403386281692298</v>
      </c>
      <c r="R96">
        <v>0</v>
      </c>
      <c r="S96">
        <v>0</v>
      </c>
      <c r="T96">
        <v>180</v>
      </c>
      <c r="U96">
        <v>8699229032.3500004</v>
      </c>
      <c r="V96">
        <v>50441</v>
      </c>
    </row>
    <row r="97" spans="1:22" x14ac:dyDescent="0.25">
      <c r="A97">
        <v>0.99254686313324403</v>
      </c>
      <c r="B97">
        <v>8.5860966137680599</v>
      </c>
      <c r="C97">
        <v>92.851581848312904</v>
      </c>
      <c r="D97">
        <v>0</v>
      </c>
      <c r="E97">
        <v>3.95524107770856</v>
      </c>
      <c r="F97">
        <v>4.3626005692626997</v>
      </c>
      <c r="G97">
        <v>-0.84307648501300303</v>
      </c>
      <c r="H97">
        <v>25.864694648254101</v>
      </c>
      <c r="I97">
        <v>61.513945391827697</v>
      </c>
      <c r="J97">
        <v>3.90981736252101</v>
      </c>
      <c r="K97">
        <v>5644.83844752818</v>
      </c>
      <c r="L97">
        <v>776.58915560547405</v>
      </c>
      <c r="M97">
        <v>2.4150730686245299E-2</v>
      </c>
      <c r="N97">
        <v>5.7548681429949303E-2</v>
      </c>
      <c r="O97">
        <v>0.63630777876790001</v>
      </c>
      <c r="P97">
        <v>2.23417297954977E-2</v>
      </c>
      <c r="Q97">
        <v>0.26341611193646097</v>
      </c>
      <c r="R97">
        <v>0</v>
      </c>
      <c r="S97">
        <v>5</v>
      </c>
      <c r="T97">
        <v>10</v>
      </c>
      <c r="U97">
        <v>6508498.7300000004</v>
      </c>
      <c r="V97">
        <v>1153</v>
      </c>
    </row>
    <row r="98" spans="1:22" x14ac:dyDescent="0.25">
      <c r="A98">
        <v>0.99241738025641102</v>
      </c>
      <c r="B98">
        <v>8.72909898356043</v>
      </c>
      <c r="C98">
        <v>69.549865556020094</v>
      </c>
      <c r="D98">
        <v>0</v>
      </c>
      <c r="E98">
        <v>4.0003616727571698</v>
      </c>
      <c r="F98">
        <v>4.3597233098247896</v>
      </c>
      <c r="G98">
        <v>-0.75786854083303201</v>
      </c>
      <c r="H98">
        <v>25.7979787122968</v>
      </c>
      <c r="I98">
        <v>57.9412764884895</v>
      </c>
      <c r="J98">
        <v>14.9297570188864</v>
      </c>
      <c r="K98">
        <v>15721.413830171599</v>
      </c>
      <c r="L98">
        <v>770.61378632975595</v>
      </c>
      <c r="M98">
        <v>4.5392433924283597E-2</v>
      </c>
      <c r="N98">
        <v>5.9436056119524301E-2</v>
      </c>
      <c r="O98">
        <v>0.69069819408238597</v>
      </c>
      <c r="P98">
        <v>2.8821701413564101E-2</v>
      </c>
      <c r="Q98">
        <v>0.347188908091698</v>
      </c>
      <c r="R98">
        <v>0</v>
      </c>
      <c r="S98">
        <v>5</v>
      </c>
      <c r="T98">
        <v>20</v>
      </c>
      <c r="U98">
        <v>34807210.219999999</v>
      </c>
      <c r="V98">
        <v>2214</v>
      </c>
    </row>
    <row r="99" spans="1:22" x14ac:dyDescent="0.25">
      <c r="A99">
        <v>0.99230200698564697</v>
      </c>
      <c r="B99">
        <v>8.8563457507636798</v>
      </c>
      <c r="C99">
        <v>35.870819999258401</v>
      </c>
      <c r="D99">
        <v>0</v>
      </c>
      <c r="E99">
        <v>4.0687049850819399</v>
      </c>
      <c r="F99">
        <v>4.3809933257194897</v>
      </c>
      <c r="G99">
        <v>-0.51880108299297101</v>
      </c>
      <c r="H99">
        <v>24.695985769756302</v>
      </c>
      <c r="I99">
        <v>54.950775314597699</v>
      </c>
      <c r="J99">
        <v>31.6483931111914</v>
      </c>
      <c r="K99">
        <v>26004.5354060756</v>
      </c>
      <c r="L99">
        <v>760.21758770300301</v>
      </c>
      <c r="M99">
        <v>5.3289772230658797E-2</v>
      </c>
      <c r="N99">
        <v>3.5652199435196902E-2</v>
      </c>
      <c r="O99">
        <v>0.77716031828422805</v>
      </c>
      <c r="P99">
        <v>2.7570331768448898E-2</v>
      </c>
      <c r="Q99">
        <v>0.39604460089077298</v>
      </c>
      <c r="R99">
        <v>0</v>
      </c>
      <c r="S99">
        <v>5</v>
      </c>
      <c r="T99">
        <v>30</v>
      </c>
      <c r="U99">
        <v>167781262.44</v>
      </c>
      <c r="V99">
        <v>6452</v>
      </c>
    </row>
    <row r="100" spans="1:22" x14ac:dyDescent="0.25">
      <c r="A100">
        <v>0.99224027112722801</v>
      </c>
      <c r="B100">
        <v>8.9243682684738808</v>
      </c>
      <c r="C100">
        <v>16.352231711346601</v>
      </c>
      <c r="D100">
        <v>0</v>
      </c>
      <c r="E100">
        <v>4.0959868942967796</v>
      </c>
      <c r="F100">
        <v>4.3826709641141699</v>
      </c>
      <c r="G100">
        <v>-0.43981263497141498</v>
      </c>
      <c r="H100">
        <v>24.207689721680101</v>
      </c>
      <c r="I100">
        <v>56.340934297297999</v>
      </c>
      <c r="J100">
        <v>42.5278225847728</v>
      </c>
      <c r="K100">
        <v>35908.124892667904</v>
      </c>
      <c r="L100">
        <v>756.66520725824603</v>
      </c>
      <c r="M100">
        <v>5.54424791547777E-2</v>
      </c>
      <c r="N100">
        <v>3.0322726953094299E-2</v>
      </c>
      <c r="O100">
        <v>0.78715400007372105</v>
      </c>
      <c r="P100">
        <v>3.5296340916892502E-2</v>
      </c>
      <c r="Q100">
        <v>0.464751324087045</v>
      </c>
      <c r="R100">
        <v>0</v>
      </c>
      <c r="S100">
        <v>5</v>
      </c>
      <c r="T100">
        <v>40</v>
      </c>
      <c r="U100">
        <v>644012219.95000005</v>
      </c>
      <c r="V100">
        <v>17935</v>
      </c>
    </row>
    <row r="101" spans="1:22" x14ac:dyDescent="0.25">
      <c r="A101">
        <v>0.99218359295991299</v>
      </c>
      <c r="B101">
        <v>8.98677708559355</v>
      </c>
      <c r="C101">
        <v>10.7243327315944</v>
      </c>
      <c r="D101">
        <v>0</v>
      </c>
      <c r="E101">
        <v>4.1024807618135304</v>
      </c>
      <c r="F101">
        <v>4.3828351604088303</v>
      </c>
      <c r="G101">
        <v>-0.398677832400962</v>
      </c>
      <c r="H101">
        <v>24.014112905254802</v>
      </c>
      <c r="I101">
        <v>56.6692731974764</v>
      </c>
      <c r="J101">
        <v>46.512613326491</v>
      </c>
      <c r="K101">
        <v>45790.946507679</v>
      </c>
      <c r="L101">
        <v>755.15779987137705</v>
      </c>
      <c r="M101">
        <v>6.6353924733825898E-2</v>
      </c>
      <c r="N101">
        <v>3.6499429155828898E-2</v>
      </c>
      <c r="O101">
        <v>0.77286731906037698</v>
      </c>
      <c r="P101">
        <v>3.3574637167401999E-2</v>
      </c>
      <c r="Q101">
        <v>0.54286805237261204</v>
      </c>
      <c r="R101">
        <v>0</v>
      </c>
      <c r="S101">
        <v>5</v>
      </c>
      <c r="T101">
        <v>50</v>
      </c>
      <c r="U101">
        <v>1863462568.1300001</v>
      </c>
      <c r="V101">
        <v>40695</v>
      </c>
    </row>
    <row r="102" spans="1:22" x14ac:dyDescent="0.25">
      <c r="A102">
        <v>0.99223259257968699</v>
      </c>
      <c r="B102">
        <v>8.9328254797862403</v>
      </c>
      <c r="C102">
        <v>10.0518989613195</v>
      </c>
      <c r="D102">
        <v>0</v>
      </c>
      <c r="E102">
        <v>4.1237671476023898</v>
      </c>
      <c r="F102">
        <v>4.3881532233738998</v>
      </c>
      <c r="G102">
        <v>-0.32109280141983498</v>
      </c>
      <c r="H102">
        <v>23.873358142071599</v>
      </c>
      <c r="I102">
        <v>59.694917430438601</v>
      </c>
      <c r="J102">
        <v>50.873159585505597</v>
      </c>
      <c r="K102">
        <v>55426.917682828302</v>
      </c>
      <c r="L102">
        <v>755.03298187856706</v>
      </c>
      <c r="M102">
        <v>7.4126037107487802E-2</v>
      </c>
      <c r="N102">
        <v>3.8104496838349503E-2</v>
      </c>
      <c r="O102">
        <v>0.75782648982507606</v>
      </c>
      <c r="P102">
        <v>3.65613737249375E-2</v>
      </c>
      <c r="Q102">
        <v>0.58276237278653298</v>
      </c>
      <c r="R102">
        <v>0</v>
      </c>
      <c r="S102">
        <v>5</v>
      </c>
      <c r="T102">
        <v>60</v>
      </c>
      <c r="U102">
        <v>3845630402.6700001</v>
      </c>
      <c r="V102">
        <v>69382</v>
      </c>
    </row>
    <row r="103" spans="1:22" x14ac:dyDescent="0.25">
      <c r="A103">
        <v>0.99228949330169802</v>
      </c>
      <c r="B103">
        <v>8.8701374847887102</v>
      </c>
      <c r="C103">
        <v>8.7715591056667694</v>
      </c>
      <c r="D103">
        <v>0</v>
      </c>
      <c r="E103">
        <v>4.1374328883798501</v>
      </c>
      <c r="F103">
        <v>4.38967034321049</v>
      </c>
      <c r="G103">
        <v>-0.286467159597521</v>
      </c>
      <c r="H103">
        <v>23.8524315528649</v>
      </c>
      <c r="I103">
        <v>62.206418039469199</v>
      </c>
      <c r="J103">
        <v>53.687929753261002</v>
      </c>
      <c r="K103">
        <v>65236.598422076597</v>
      </c>
      <c r="L103">
        <v>754.26391705448395</v>
      </c>
      <c r="M103">
        <v>7.8450502756605298E-2</v>
      </c>
      <c r="N103">
        <v>4.3966202378884399E-2</v>
      </c>
      <c r="O103">
        <v>0.73539343755320397</v>
      </c>
      <c r="P103">
        <v>3.6996143572365199E-2</v>
      </c>
      <c r="Q103">
        <v>0.60266755684821904</v>
      </c>
      <c r="R103">
        <v>0</v>
      </c>
      <c r="S103">
        <v>5</v>
      </c>
      <c r="T103">
        <v>70</v>
      </c>
      <c r="U103">
        <v>6303616795.7299995</v>
      </c>
      <c r="V103">
        <v>96627</v>
      </c>
    </row>
    <row r="104" spans="1:22" x14ac:dyDescent="0.25">
      <c r="A104">
        <v>0.99236892416192601</v>
      </c>
      <c r="B104">
        <v>8.7825616980591601</v>
      </c>
      <c r="C104">
        <v>7.9699779019127002</v>
      </c>
      <c r="D104">
        <v>0</v>
      </c>
      <c r="E104">
        <v>4.1249022920829299</v>
      </c>
      <c r="F104">
        <v>4.3853870868752196</v>
      </c>
      <c r="G104">
        <v>-0.31194652130309802</v>
      </c>
      <c r="H104">
        <v>24.1551967465697</v>
      </c>
      <c r="I104">
        <v>62.206866423342298</v>
      </c>
      <c r="J104">
        <v>54.077536313804103</v>
      </c>
      <c r="K104">
        <v>75140.161324176894</v>
      </c>
      <c r="L104">
        <v>755.24309166924002</v>
      </c>
      <c r="M104">
        <v>8.4315098111700501E-2</v>
      </c>
      <c r="N104">
        <v>5.2189242581097403E-2</v>
      </c>
      <c r="O104">
        <v>0.72522148999431402</v>
      </c>
      <c r="P104">
        <v>3.7076374235958602E-2</v>
      </c>
      <c r="Q104">
        <v>0.64339987197480697</v>
      </c>
      <c r="R104">
        <v>0</v>
      </c>
      <c r="S104">
        <v>5</v>
      </c>
      <c r="T104">
        <v>80</v>
      </c>
      <c r="U104">
        <v>9896860928.3299999</v>
      </c>
      <c r="V104">
        <v>131712</v>
      </c>
    </row>
    <row r="105" spans="1:22" x14ac:dyDescent="0.25">
      <c r="A105">
        <v>0.99247280393489601</v>
      </c>
      <c r="B105">
        <v>8.6679135599739201</v>
      </c>
      <c r="C105">
        <v>7.5134159181811402</v>
      </c>
      <c r="D105">
        <v>0</v>
      </c>
      <c r="E105">
        <v>4.1385176080275397</v>
      </c>
      <c r="F105">
        <v>4.3871717384338202</v>
      </c>
      <c r="G105">
        <v>-0.244014840152454</v>
      </c>
      <c r="H105">
        <v>24.054946608299399</v>
      </c>
      <c r="I105">
        <v>64.688012407107806</v>
      </c>
      <c r="J105">
        <v>56.539646876796397</v>
      </c>
      <c r="K105">
        <v>85162.683033474998</v>
      </c>
      <c r="L105">
        <v>755.05293612180901</v>
      </c>
      <c r="M105">
        <v>9.0298934277281195E-2</v>
      </c>
      <c r="N105">
        <v>5.7281716635241099E-2</v>
      </c>
      <c r="O105">
        <v>0.71473128551143095</v>
      </c>
      <c r="P105">
        <v>3.5674985084162003E-2</v>
      </c>
      <c r="Q105">
        <v>0.64566177916120704</v>
      </c>
      <c r="R105">
        <v>0</v>
      </c>
      <c r="S105">
        <v>5</v>
      </c>
      <c r="T105">
        <v>90</v>
      </c>
      <c r="U105">
        <v>13399581711.17</v>
      </c>
      <c r="V105">
        <v>157341</v>
      </c>
    </row>
    <row r="106" spans="1:22" x14ac:dyDescent="0.25">
      <c r="A106">
        <v>0.99264597573864399</v>
      </c>
      <c r="B106">
        <v>8.4764967775111195</v>
      </c>
      <c r="C106">
        <v>7.9487307950805004</v>
      </c>
      <c r="D106">
        <v>0</v>
      </c>
      <c r="E106">
        <v>4.1396739225722499</v>
      </c>
      <c r="F106">
        <v>4.3888845821851703</v>
      </c>
      <c r="G106">
        <v>-0.23666628991613001</v>
      </c>
      <c r="H106">
        <v>23.923622690013001</v>
      </c>
      <c r="I106">
        <v>64.5919387573324</v>
      </c>
      <c r="J106">
        <v>56.764259643122401</v>
      </c>
      <c r="K106">
        <v>95219.163791895902</v>
      </c>
      <c r="L106">
        <v>757.039404912348</v>
      </c>
      <c r="M106">
        <v>8.1554180172244695E-2</v>
      </c>
      <c r="N106">
        <v>6.03129747310421E-2</v>
      </c>
      <c r="O106">
        <v>0.68064063457728097</v>
      </c>
      <c r="P106">
        <v>3.4110316181790001E-2</v>
      </c>
      <c r="Q106">
        <v>0.61746227407401599</v>
      </c>
      <c r="R106">
        <v>0</v>
      </c>
      <c r="S106">
        <v>5</v>
      </c>
      <c r="T106">
        <v>100</v>
      </c>
      <c r="U106">
        <v>19932037118.23</v>
      </c>
      <c r="V106">
        <v>209328</v>
      </c>
    </row>
    <row r="107" spans="1:22" x14ac:dyDescent="0.25">
      <c r="A107">
        <v>0.99272670969211496</v>
      </c>
      <c r="B107">
        <v>8.3871312557045705</v>
      </c>
      <c r="C107">
        <v>7.5157394943161497</v>
      </c>
      <c r="D107">
        <v>0</v>
      </c>
      <c r="E107">
        <v>4.1579834284200103</v>
      </c>
      <c r="F107">
        <v>4.3902711538503398</v>
      </c>
      <c r="G107">
        <v>-0.16319939955364299</v>
      </c>
      <c r="H107">
        <v>23.5550032331866</v>
      </c>
      <c r="I107">
        <v>67.006400686872198</v>
      </c>
      <c r="J107">
        <v>59.314685940761599</v>
      </c>
      <c r="K107">
        <v>105045.782668403</v>
      </c>
      <c r="L107">
        <v>755.79290953290104</v>
      </c>
      <c r="M107">
        <v>9.1624469399851E-2</v>
      </c>
      <c r="N107">
        <v>6.0402809725212399E-2</v>
      </c>
      <c r="O107">
        <v>0.66675844679078</v>
      </c>
      <c r="P107">
        <v>3.1606454685911903E-2</v>
      </c>
      <c r="Q107">
        <v>0.63703339975301099</v>
      </c>
      <c r="R107">
        <v>0</v>
      </c>
      <c r="S107">
        <v>5</v>
      </c>
      <c r="T107">
        <v>110</v>
      </c>
      <c r="U107">
        <v>21046132649.18</v>
      </c>
      <c r="V107">
        <v>200352</v>
      </c>
    </row>
    <row r="108" spans="1:22" x14ac:dyDescent="0.25">
      <c r="A108">
        <v>0.992796026665831</v>
      </c>
      <c r="B108">
        <v>8.3103395335335399</v>
      </c>
      <c r="C108">
        <v>7.7839919366814101</v>
      </c>
      <c r="D108">
        <v>0</v>
      </c>
      <c r="E108">
        <v>4.1470218076934398</v>
      </c>
      <c r="F108">
        <v>4.3857176526188901</v>
      </c>
      <c r="G108">
        <v>-0.17210278635475201</v>
      </c>
      <c r="H108">
        <v>23.7120740021128</v>
      </c>
      <c r="I108">
        <v>67.191659055470893</v>
      </c>
      <c r="J108">
        <v>59.373254766936398</v>
      </c>
      <c r="K108">
        <v>115101.318721759</v>
      </c>
      <c r="L108">
        <v>756.79624772285501</v>
      </c>
      <c r="M108">
        <v>8.8563557674700796E-2</v>
      </c>
      <c r="N108">
        <v>6.3897326889141307E-2</v>
      </c>
      <c r="O108">
        <v>0.65035254522689401</v>
      </c>
      <c r="P108">
        <v>3.14080094320216E-2</v>
      </c>
      <c r="Q108">
        <v>0.63783787601454001</v>
      </c>
      <c r="R108">
        <v>0</v>
      </c>
      <c r="S108">
        <v>5</v>
      </c>
      <c r="T108">
        <v>120</v>
      </c>
      <c r="U108">
        <v>24357625966.580002</v>
      </c>
      <c r="V108">
        <v>211619</v>
      </c>
    </row>
    <row r="109" spans="1:22" x14ac:dyDescent="0.25">
      <c r="A109">
        <v>0.99289990561310604</v>
      </c>
      <c r="B109">
        <v>8.1951483970780394</v>
      </c>
      <c r="C109">
        <v>7.3254043540575298</v>
      </c>
      <c r="D109">
        <v>0</v>
      </c>
      <c r="E109">
        <v>4.1478822451542197</v>
      </c>
      <c r="F109">
        <v>4.3857730477436796</v>
      </c>
      <c r="G109">
        <v>-0.150110884537179</v>
      </c>
      <c r="H109">
        <v>23.340138487575</v>
      </c>
      <c r="I109">
        <v>67.754746182752598</v>
      </c>
      <c r="J109">
        <v>60.027038804280899</v>
      </c>
      <c r="K109">
        <v>124965.65785063199</v>
      </c>
      <c r="L109">
        <v>756.79087817400705</v>
      </c>
      <c r="M109">
        <v>8.87954225682797E-2</v>
      </c>
      <c r="N109">
        <v>7.2532412374518698E-2</v>
      </c>
      <c r="O109">
        <v>0.63765490808185199</v>
      </c>
      <c r="P109">
        <v>3.1470821025494498E-2</v>
      </c>
      <c r="Q109">
        <v>0.636630888129332</v>
      </c>
      <c r="R109">
        <v>0</v>
      </c>
      <c r="S109">
        <v>5</v>
      </c>
      <c r="T109">
        <v>130</v>
      </c>
      <c r="U109">
        <v>27627282671.959999</v>
      </c>
      <c r="V109">
        <v>221079</v>
      </c>
    </row>
    <row r="110" spans="1:22" x14ac:dyDescent="0.25">
      <c r="A110">
        <v>0.99293767062374205</v>
      </c>
      <c r="B110">
        <v>8.1532379904779795</v>
      </c>
      <c r="C110">
        <v>7.6954450661337397</v>
      </c>
      <c r="D110">
        <v>0</v>
      </c>
      <c r="E110">
        <v>4.1423094739585</v>
      </c>
      <c r="F110">
        <v>4.3816152539360296</v>
      </c>
      <c r="G110">
        <v>-0.14915986282671501</v>
      </c>
      <c r="H110">
        <v>23.360345828147999</v>
      </c>
      <c r="I110">
        <v>68.149720347664598</v>
      </c>
      <c r="J110">
        <v>60.300508424137398</v>
      </c>
      <c r="K110">
        <v>134996.872753362</v>
      </c>
      <c r="L110">
        <v>756.85542992923104</v>
      </c>
      <c r="M110">
        <v>9.1551516350468501E-2</v>
      </c>
      <c r="N110">
        <v>7.4185595807609597E-2</v>
      </c>
      <c r="O110">
        <v>0.62705477320819902</v>
      </c>
      <c r="P110">
        <v>3.10072324589E-2</v>
      </c>
      <c r="Q110">
        <v>0.64456708325872103</v>
      </c>
      <c r="R110">
        <v>0</v>
      </c>
      <c r="S110">
        <v>5</v>
      </c>
      <c r="T110">
        <v>140</v>
      </c>
      <c r="U110">
        <v>29065366691.290001</v>
      </c>
      <c r="V110">
        <v>215304</v>
      </c>
    </row>
    <row r="111" spans="1:22" x14ac:dyDescent="0.25">
      <c r="A111">
        <v>0.99300962301058704</v>
      </c>
      <c r="B111">
        <v>8.0733389782076106</v>
      </c>
      <c r="C111">
        <v>8.0105099350406501</v>
      </c>
      <c r="D111">
        <v>0</v>
      </c>
      <c r="E111">
        <v>4.1414182246837097</v>
      </c>
      <c r="F111">
        <v>4.3861650938996304</v>
      </c>
      <c r="G111">
        <v>-0.16605335907326499</v>
      </c>
      <c r="H111">
        <v>23.244436104168699</v>
      </c>
      <c r="I111">
        <v>67.1866671957535</v>
      </c>
      <c r="J111">
        <v>59.586835153465202</v>
      </c>
      <c r="K111">
        <v>144955.92915316901</v>
      </c>
      <c r="L111">
        <v>757.658500874693</v>
      </c>
      <c r="M111">
        <v>9.0306044004070593E-2</v>
      </c>
      <c r="N111">
        <v>7.9603643288119599E-2</v>
      </c>
      <c r="O111">
        <v>0.61481008086080602</v>
      </c>
      <c r="P111">
        <v>3.2638891933171897E-2</v>
      </c>
      <c r="Q111">
        <v>0.65177410900903698</v>
      </c>
      <c r="R111">
        <v>0</v>
      </c>
      <c r="S111">
        <v>5</v>
      </c>
      <c r="T111">
        <v>150</v>
      </c>
      <c r="U111">
        <v>32612184940.880001</v>
      </c>
      <c r="V111">
        <v>224980</v>
      </c>
    </row>
    <row r="112" spans="1:22" x14ac:dyDescent="0.25">
      <c r="A112">
        <v>0.99300817237606298</v>
      </c>
      <c r="B112">
        <v>8.0749504540318693</v>
      </c>
      <c r="C112">
        <v>7.6528301764752804</v>
      </c>
      <c r="D112">
        <v>0</v>
      </c>
      <c r="E112">
        <v>4.1367989480810596</v>
      </c>
      <c r="F112">
        <v>4.3811353365162304</v>
      </c>
      <c r="G112">
        <v>-0.14721873260318299</v>
      </c>
      <c r="H112">
        <v>23.3400196652102</v>
      </c>
      <c r="I112">
        <v>68.347368177348002</v>
      </c>
      <c r="J112">
        <v>60.516097848696297</v>
      </c>
      <c r="K112">
        <v>154955.99451229701</v>
      </c>
      <c r="L112">
        <v>757.39881008221005</v>
      </c>
      <c r="M112">
        <v>9.1343641656540395E-2</v>
      </c>
      <c r="N112">
        <v>8.3542669035820902E-2</v>
      </c>
      <c r="O112">
        <v>0.61060368394810804</v>
      </c>
      <c r="P112">
        <v>3.1156304448188E-2</v>
      </c>
      <c r="Q112">
        <v>0.67017535361055802</v>
      </c>
      <c r="R112">
        <v>0</v>
      </c>
      <c r="S112">
        <v>5</v>
      </c>
      <c r="T112">
        <v>160</v>
      </c>
      <c r="U112">
        <v>32395410124.73</v>
      </c>
      <c r="V112">
        <v>209062</v>
      </c>
    </row>
    <row r="113" spans="1:22" x14ac:dyDescent="0.25">
      <c r="A113">
        <v>0.99302572276789303</v>
      </c>
      <c r="B113">
        <v>8.0554523972978398</v>
      </c>
      <c r="C113">
        <v>7.6718317645468499</v>
      </c>
      <c r="D113">
        <v>0</v>
      </c>
      <c r="E113">
        <v>4.1352271337165503</v>
      </c>
      <c r="F113">
        <v>4.3794437562179898</v>
      </c>
      <c r="G113">
        <v>-0.136924085660592</v>
      </c>
      <c r="H113">
        <v>23.310647463661201</v>
      </c>
      <c r="I113">
        <v>68.776775589274706</v>
      </c>
      <c r="J113">
        <v>60.917992134393899</v>
      </c>
      <c r="K113">
        <v>164993.771834952</v>
      </c>
      <c r="L113">
        <v>757.837013835824</v>
      </c>
      <c r="M113">
        <v>9.0418731966923904E-2</v>
      </c>
      <c r="N113">
        <v>8.5734722106027006E-2</v>
      </c>
      <c r="O113">
        <v>0.59932897662153595</v>
      </c>
      <c r="P113">
        <v>3.2179177311311799E-2</v>
      </c>
      <c r="Q113">
        <v>0.66104636800868999</v>
      </c>
      <c r="R113">
        <v>0</v>
      </c>
      <c r="S113">
        <v>5</v>
      </c>
      <c r="T113">
        <v>170</v>
      </c>
      <c r="U113">
        <v>34756598012.120003</v>
      </c>
      <c r="V113">
        <v>210654</v>
      </c>
    </row>
    <row r="114" spans="1:22" x14ac:dyDescent="0.25">
      <c r="A114">
        <v>0.99227901864415902</v>
      </c>
      <c r="B114">
        <v>8.8816804712675506</v>
      </c>
      <c r="C114">
        <v>8.8522613240069692</v>
      </c>
      <c r="D114">
        <v>0</v>
      </c>
      <c r="E114">
        <v>4.0989411816817896</v>
      </c>
      <c r="F114">
        <v>4.3546745324756504</v>
      </c>
      <c r="G114">
        <v>-0.16729836866356601</v>
      </c>
      <c r="H114">
        <v>22.784237276198901</v>
      </c>
      <c r="I114">
        <v>69.304415922396899</v>
      </c>
      <c r="J114">
        <v>61.127417706712698</v>
      </c>
      <c r="K114">
        <v>292590.01653873298</v>
      </c>
      <c r="L114">
        <v>758.19750318752301</v>
      </c>
      <c r="M114">
        <v>0.13583654876704901</v>
      </c>
      <c r="N114">
        <v>0.105385607826019</v>
      </c>
      <c r="O114">
        <v>0.52223330337681095</v>
      </c>
      <c r="P114">
        <v>5.0392413369894203E-2</v>
      </c>
      <c r="Q114">
        <v>0.66428799563868102</v>
      </c>
      <c r="R114">
        <v>0</v>
      </c>
      <c r="S114">
        <v>5</v>
      </c>
      <c r="T114">
        <v>175</v>
      </c>
      <c r="U114">
        <v>974090683060.75</v>
      </c>
      <c r="V114">
        <v>3329200</v>
      </c>
    </row>
    <row r="115" spans="1:22" x14ac:dyDescent="0.25">
      <c r="A115">
        <v>0.99302761646075</v>
      </c>
      <c r="B115">
        <v>8.05334832419822</v>
      </c>
      <c r="C115">
        <v>7.8133658720463597</v>
      </c>
      <c r="D115">
        <v>0</v>
      </c>
      <c r="E115">
        <v>4.1353892419168998</v>
      </c>
      <c r="F115">
        <v>4.3778951480847397</v>
      </c>
      <c r="G115">
        <v>-0.11614421964621501</v>
      </c>
      <c r="H115">
        <v>23.196065738327</v>
      </c>
      <c r="I115">
        <v>69.240740153605202</v>
      </c>
      <c r="J115">
        <v>61.372958126875702</v>
      </c>
      <c r="K115">
        <v>172444.618774095</v>
      </c>
      <c r="L115">
        <v>757.74845951478403</v>
      </c>
      <c r="M115">
        <v>9.0752184563934205E-2</v>
      </c>
      <c r="N115">
        <v>8.9093093772513399E-2</v>
      </c>
      <c r="O115">
        <v>0.59727384817872897</v>
      </c>
      <c r="P115">
        <v>3.1003414558608101E-2</v>
      </c>
      <c r="Q115">
        <v>0.65406798552087897</v>
      </c>
      <c r="R115">
        <v>0</v>
      </c>
      <c r="S115">
        <v>5</v>
      </c>
      <c r="T115">
        <v>180</v>
      </c>
      <c r="U115">
        <v>18402082603.240002</v>
      </c>
      <c r="V115">
        <v>106713</v>
      </c>
    </row>
    <row r="116" spans="1:22" x14ac:dyDescent="0.25">
      <c r="A116">
        <v>0.99282244172970102</v>
      </c>
      <c r="B116">
        <v>8.2810604957803697</v>
      </c>
      <c r="C116">
        <v>94.044742269240302</v>
      </c>
      <c r="D116">
        <v>0</v>
      </c>
      <c r="E116">
        <v>4.0911708808173302</v>
      </c>
      <c r="F116">
        <v>4.3814318957296896</v>
      </c>
      <c r="G116">
        <v>7.6622117839584698</v>
      </c>
      <c r="H116">
        <v>25.641280462638701</v>
      </c>
      <c r="I116">
        <v>61.639912171624601</v>
      </c>
      <c r="J116">
        <v>3.6487862455609199</v>
      </c>
      <c r="K116">
        <v>5630.5077260981898</v>
      </c>
      <c r="L116">
        <v>778.290453969689</v>
      </c>
      <c r="M116">
        <v>2.1057156190480101E-2</v>
      </c>
      <c r="N116">
        <v>4.9755742122640403E-2</v>
      </c>
      <c r="O116">
        <v>0.64169347425853596</v>
      </c>
      <c r="P116">
        <v>3.0331582445171999E-2</v>
      </c>
      <c r="Q116">
        <v>0.29681809942658699</v>
      </c>
      <c r="R116">
        <v>0</v>
      </c>
      <c r="S116">
        <v>10</v>
      </c>
      <c r="T116">
        <v>10</v>
      </c>
      <c r="U116">
        <v>4358012.9800000004</v>
      </c>
      <c r="V116">
        <v>774</v>
      </c>
    </row>
    <row r="117" spans="1:22" x14ac:dyDescent="0.25">
      <c r="A117">
        <v>0.99271373340878699</v>
      </c>
      <c r="B117">
        <v>8.40150027470753</v>
      </c>
      <c r="C117">
        <v>65.907548626275798</v>
      </c>
      <c r="D117">
        <v>0</v>
      </c>
      <c r="E117">
        <v>4.1277594587020801</v>
      </c>
      <c r="F117">
        <v>4.3938842826705402</v>
      </c>
      <c r="G117">
        <v>7.7036354372796003</v>
      </c>
      <c r="H117">
        <v>24.920916298072999</v>
      </c>
      <c r="I117">
        <v>57.359166251700202</v>
      </c>
      <c r="J117">
        <v>13.245993103581</v>
      </c>
      <c r="K117">
        <v>15584.260589743501</v>
      </c>
      <c r="L117">
        <v>771.55587710335794</v>
      </c>
      <c r="M117">
        <v>3.4145230285540402E-2</v>
      </c>
      <c r="N117">
        <v>6.2997547214644303E-2</v>
      </c>
      <c r="O117">
        <v>0.66780876311262705</v>
      </c>
      <c r="P117">
        <v>2.52902228377976E-2</v>
      </c>
      <c r="Q117">
        <v>0.34135108921523699</v>
      </c>
      <c r="R117">
        <v>0</v>
      </c>
      <c r="S117">
        <v>10</v>
      </c>
      <c r="T117">
        <v>20</v>
      </c>
      <c r="U117">
        <v>24311446.52</v>
      </c>
      <c r="V117">
        <v>1560</v>
      </c>
    </row>
    <row r="118" spans="1:22" x14ac:dyDescent="0.25">
      <c r="A118">
        <v>0.99258990796809199</v>
      </c>
      <c r="B118">
        <v>8.5385119377242304</v>
      </c>
      <c r="C118">
        <v>35.040850066805099</v>
      </c>
      <c r="D118">
        <v>0</v>
      </c>
      <c r="E118">
        <v>4.1701874697246302</v>
      </c>
      <c r="F118">
        <v>4.39551173811072</v>
      </c>
      <c r="G118">
        <v>7.6217459734016</v>
      </c>
      <c r="H118">
        <v>24.277815284465099</v>
      </c>
      <c r="I118">
        <v>53.653364169529901</v>
      </c>
      <c r="J118">
        <v>30.471048230967099</v>
      </c>
      <c r="K118">
        <v>25996.337456445901</v>
      </c>
      <c r="L118">
        <v>762.84128131454202</v>
      </c>
      <c r="M118">
        <v>5.5161092450823297E-2</v>
      </c>
      <c r="N118">
        <v>3.81165455153296E-2</v>
      </c>
      <c r="O118">
        <v>0.77658716089442104</v>
      </c>
      <c r="P118">
        <v>2.47044465588123E-2</v>
      </c>
      <c r="Q118">
        <v>0.38839699351951101</v>
      </c>
      <c r="R118">
        <v>0</v>
      </c>
      <c r="S118">
        <v>10</v>
      </c>
      <c r="T118">
        <v>30</v>
      </c>
      <c r="U118">
        <v>104453283.90000001</v>
      </c>
      <c r="V118">
        <v>4018</v>
      </c>
    </row>
    <row r="119" spans="1:22" x14ac:dyDescent="0.25">
      <c r="A119">
        <v>0.992412403067367</v>
      </c>
      <c r="B119">
        <v>8.7345917531230999</v>
      </c>
      <c r="C119">
        <v>17.761097069279401</v>
      </c>
      <c r="D119">
        <v>0</v>
      </c>
      <c r="E119">
        <v>4.1845445476621297</v>
      </c>
      <c r="F119">
        <v>4.3940589515526502</v>
      </c>
      <c r="G119">
        <v>7.6683572603241696</v>
      </c>
      <c r="H119">
        <v>23.829596248194299</v>
      </c>
      <c r="I119">
        <v>54.140291322731301</v>
      </c>
      <c r="J119">
        <v>39.853030073333002</v>
      </c>
      <c r="K119">
        <v>35908.369515762599</v>
      </c>
      <c r="L119">
        <v>759.70379774760204</v>
      </c>
      <c r="M119">
        <v>5.16858066897211E-2</v>
      </c>
      <c r="N119">
        <v>3.4133353867662697E-2</v>
      </c>
      <c r="O119">
        <v>0.78116855942444396</v>
      </c>
      <c r="P119">
        <v>3.1693812781698298E-2</v>
      </c>
      <c r="Q119">
        <v>0.476398019774604</v>
      </c>
      <c r="R119">
        <v>0</v>
      </c>
      <c r="S119">
        <v>10</v>
      </c>
      <c r="T119">
        <v>40</v>
      </c>
      <c r="U119">
        <v>395243423.25999999</v>
      </c>
      <c r="V119">
        <v>11007</v>
      </c>
    </row>
    <row r="120" spans="1:22" x14ac:dyDescent="0.25">
      <c r="A120">
        <v>0.99231765372438896</v>
      </c>
      <c r="B120">
        <v>8.8390982843199097</v>
      </c>
      <c r="C120">
        <v>11.720617292162199</v>
      </c>
      <c r="D120">
        <v>0</v>
      </c>
      <c r="E120">
        <v>4.1973102640386504</v>
      </c>
      <c r="F120">
        <v>4.3999514781793998</v>
      </c>
      <c r="G120">
        <v>7.6467481335866898</v>
      </c>
      <c r="H120">
        <v>23.614882435533701</v>
      </c>
      <c r="I120">
        <v>54.416712320520297</v>
      </c>
      <c r="J120">
        <v>44.260819527046102</v>
      </c>
      <c r="K120">
        <v>45823.978456631601</v>
      </c>
      <c r="L120">
        <v>758.03184381266999</v>
      </c>
      <c r="M120">
        <v>6.5278802432280597E-2</v>
      </c>
      <c r="N120">
        <v>3.8433242397730202E-2</v>
      </c>
      <c r="O120">
        <v>0.76636317052889802</v>
      </c>
      <c r="P120">
        <v>3.03085988798968E-2</v>
      </c>
      <c r="Q120">
        <v>0.55275805659853405</v>
      </c>
      <c r="R120">
        <v>0</v>
      </c>
      <c r="S120">
        <v>10</v>
      </c>
      <c r="T120">
        <v>50</v>
      </c>
      <c r="U120">
        <v>1142208487.01</v>
      </c>
      <c r="V120">
        <v>24926</v>
      </c>
    </row>
    <row r="121" spans="1:22" x14ac:dyDescent="0.25">
      <c r="A121">
        <v>0.99227983857764901</v>
      </c>
      <c r="B121">
        <v>8.8807769596558099</v>
      </c>
      <c r="C121">
        <v>9.9210241256148599</v>
      </c>
      <c r="D121">
        <v>0</v>
      </c>
      <c r="E121">
        <v>4.2151436963419702</v>
      </c>
      <c r="F121">
        <v>4.4008359927545797</v>
      </c>
      <c r="G121">
        <v>7.6604290455654898</v>
      </c>
      <c r="H121">
        <v>23.468055590220999</v>
      </c>
      <c r="I121">
        <v>57.180215495255197</v>
      </c>
      <c r="J121">
        <v>48.551460155330503</v>
      </c>
      <c r="K121">
        <v>55424.558143443603</v>
      </c>
      <c r="L121">
        <v>756.61875820069099</v>
      </c>
      <c r="M121">
        <v>7.3211323371707895E-2</v>
      </c>
      <c r="N121">
        <v>4.1959034941283599E-2</v>
      </c>
      <c r="O121">
        <v>0.75643608332783496</v>
      </c>
      <c r="P121">
        <v>3.34250778933044E-2</v>
      </c>
      <c r="Q121">
        <v>0.60076911358626695</v>
      </c>
      <c r="R121">
        <v>0</v>
      </c>
      <c r="S121">
        <v>10</v>
      </c>
      <c r="T121">
        <v>60</v>
      </c>
      <c r="U121">
        <v>2295130952.7199998</v>
      </c>
      <c r="V121">
        <v>41410</v>
      </c>
    </row>
    <row r="122" spans="1:22" x14ac:dyDescent="0.25">
      <c r="A122">
        <v>0.99230044301917797</v>
      </c>
      <c r="B122">
        <v>8.8580695531847002</v>
      </c>
      <c r="C122">
        <v>8.5510437364632708</v>
      </c>
      <c r="D122">
        <v>0</v>
      </c>
      <c r="E122">
        <v>4.2235980626680902</v>
      </c>
      <c r="F122">
        <v>4.4030444892105098</v>
      </c>
      <c r="G122">
        <v>7.6417540265388304</v>
      </c>
      <c r="H122">
        <v>23.5505114442769</v>
      </c>
      <c r="I122">
        <v>59.577880661975399</v>
      </c>
      <c r="J122">
        <v>51.248487849423398</v>
      </c>
      <c r="K122">
        <v>65259.433437500003</v>
      </c>
      <c r="L122">
        <v>756.29684402551698</v>
      </c>
      <c r="M122">
        <v>7.8613838166911698E-2</v>
      </c>
      <c r="N122">
        <v>4.8440656768802298E-2</v>
      </c>
      <c r="O122">
        <v>0.735885712185125</v>
      </c>
      <c r="P122">
        <v>3.5292124417381797E-2</v>
      </c>
      <c r="Q122">
        <v>0.620794367922052</v>
      </c>
      <c r="R122">
        <v>0</v>
      </c>
      <c r="S122">
        <v>10</v>
      </c>
      <c r="T122">
        <v>70</v>
      </c>
      <c r="U122">
        <v>3690029404.29</v>
      </c>
      <c r="V122">
        <v>56544</v>
      </c>
    </row>
    <row r="123" spans="1:22" x14ac:dyDescent="0.25">
      <c r="A123">
        <v>0.99235441518966405</v>
      </c>
      <c r="B123">
        <v>8.7985641926663103</v>
      </c>
      <c r="C123">
        <v>9.13323069003577</v>
      </c>
      <c r="D123">
        <v>0</v>
      </c>
      <c r="E123">
        <v>4.2137075856405799</v>
      </c>
      <c r="F123">
        <v>4.3977457925623202</v>
      </c>
      <c r="G123">
        <v>7.6133579323137903</v>
      </c>
      <c r="H123">
        <v>23.812320670153799</v>
      </c>
      <c r="I123">
        <v>59.9245009715601</v>
      </c>
      <c r="J123">
        <v>52.046045981533901</v>
      </c>
      <c r="K123">
        <v>75118.801983896803</v>
      </c>
      <c r="L123">
        <v>756.29850380856897</v>
      </c>
      <c r="M123">
        <v>8.4172348828022797E-2</v>
      </c>
      <c r="N123">
        <v>5.8509016880524803E-2</v>
      </c>
      <c r="O123">
        <v>0.72500638996953803</v>
      </c>
      <c r="P123">
        <v>3.3504978223414701E-2</v>
      </c>
      <c r="Q123">
        <v>0.65174106997571601</v>
      </c>
      <c r="R123">
        <v>0</v>
      </c>
      <c r="S123">
        <v>10</v>
      </c>
      <c r="T123">
        <v>80</v>
      </c>
      <c r="U123">
        <v>5672446094.21</v>
      </c>
      <c r="V123">
        <v>75513</v>
      </c>
    </row>
    <row r="124" spans="1:22" x14ac:dyDescent="0.25">
      <c r="A124">
        <v>0.99238824170370998</v>
      </c>
      <c r="B124">
        <v>8.7612516553759097</v>
      </c>
      <c r="C124">
        <v>8.2020783208901697</v>
      </c>
      <c r="D124">
        <v>0</v>
      </c>
      <c r="E124">
        <v>4.2229008043438103</v>
      </c>
      <c r="F124">
        <v>4.3953402467989102</v>
      </c>
      <c r="G124">
        <v>7.6035105068909798</v>
      </c>
      <c r="H124">
        <v>23.753871338782201</v>
      </c>
      <c r="I124">
        <v>62.697952040370097</v>
      </c>
      <c r="J124">
        <v>54.681127521040601</v>
      </c>
      <c r="K124">
        <v>85157.419191834997</v>
      </c>
      <c r="L124">
        <v>755.43756403482098</v>
      </c>
      <c r="M124">
        <v>8.9390402417067097E-2</v>
      </c>
      <c r="N124">
        <v>6.19944691335894E-2</v>
      </c>
      <c r="O124">
        <v>0.71403110126057101</v>
      </c>
      <c r="P124">
        <v>3.3084212267794601E-2</v>
      </c>
      <c r="Q124">
        <v>0.65668512608928797</v>
      </c>
      <c r="R124">
        <v>0</v>
      </c>
      <c r="S124">
        <v>10</v>
      </c>
      <c r="T124">
        <v>90</v>
      </c>
      <c r="U124">
        <v>7463451690.2299995</v>
      </c>
      <c r="V124">
        <v>87643</v>
      </c>
    </row>
    <row r="125" spans="1:22" x14ac:dyDescent="0.25">
      <c r="A125">
        <v>0.992539062812133</v>
      </c>
      <c r="B125">
        <v>8.5947171878472499</v>
      </c>
      <c r="C125">
        <v>8.4384760683162305</v>
      </c>
      <c r="D125">
        <v>0</v>
      </c>
      <c r="E125">
        <v>4.22533960046243</v>
      </c>
      <c r="F125">
        <v>4.3990712593506904</v>
      </c>
      <c r="G125">
        <v>7.5976297200420699</v>
      </c>
      <c r="H125">
        <v>23.575005375936701</v>
      </c>
      <c r="I125">
        <v>62.156949151404199</v>
      </c>
      <c r="J125">
        <v>54.559974426964402</v>
      </c>
      <c r="K125">
        <v>95273.463356198001</v>
      </c>
      <c r="L125">
        <v>757.22144133238203</v>
      </c>
      <c r="M125">
        <v>8.3020170480017197E-2</v>
      </c>
      <c r="N125">
        <v>6.7096907419468693E-2</v>
      </c>
      <c r="O125">
        <v>0.68603268741975998</v>
      </c>
      <c r="P125">
        <v>3.23333230287274E-2</v>
      </c>
      <c r="Q125">
        <v>0.62949847017920701</v>
      </c>
      <c r="R125">
        <v>0</v>
      </c>
      <c r="S125">
        <v>10</v>
      </c>
      <c r="T125">
        <v>100</v>
      </c>
      <c r="U125">
        <v>11042099129.52</v>
      </c>
      <c r="V125">
        <v>115899</v>
      </c>
    </row>
    <row r="126" spans="1:22" x14ac:dyDescent="0.25">
      <c r="A126">
        <v>0.99254582645645395</v>
      </c>
      <c r="B126">
        <v>8.5872423466015793</v>
      </c>
      <c r="C126">
        <v>8.19750187609786</v>
      </c>
      <c r="D126">
        <v>0</v>
      </c>
      <c r="E126">
        <v>4.2374212700048899</v>
      </c>
      <c r="F126">
        <v>4.3945102867560202</v>
      </c>
      <c r="G126">
        <v>7.5741226712544396</v>
      </c>
      <c r="H126">
        <v>23.315651960329902</v>
      </c>
      <c r="I126">
        <v>64.906418583301999</v>
      </c>
      <c r="J126">
        <v>57.365963673045499</v>
      </c>
      <c r="K126">
        <v>105037.382989736</v>
      </c>
      <c r="L126">
        <v>755.35673840753998</v>
      </c>
      <c r="M126">
        <v>9.3705457141631296E-2</v>
      </c>
      <c r="N126">
        <v>6.4272192708644704E-2</v>
      </c>
      <c r="O126">
        <v>0.67017557484607404</v>
      </c>
      <c r="P126">
        <v>3.0772936749175299E-2</v>
      </c>
      <c r="Q126">
        <v>0.65393065980740805</v>
      </c>
      <c r="R126">
        <v>0</v>
      </c>
      <c r="S126">
        <v>10</v>
      </c>
      <c r="T126">
        <v>110</v>
      </c>
      <c r="U126">
        <v>11359792970.34</v>
      </c>
      <c r="V126">
        <v>108150</v>
      </c>
    </row>
    <row r="127" spans="1:22" x14ac:dyDescent="0.25">
      <c r="A127">
        <v>0.99258644969210896</v>
      </c>
      <c r="B127">
        <v>8.5423357888914495</v>
      </c>
      <c r="C127">
        <v>8.6004385163476904</v>
      </c>
      <c r="D127">
        <v>0</v>
      </c>
      <c r="E127">
        <v>4.2255645906534998</v>
      </c>
      <c r="F127">
        <v>4.3875698781299199</v>
      </c>
      <c r="G127">
        <v>7.5741557116704703</v>
      </c>
      <c r="H127">
        <v>23.484992073520299</v>
      </c>
      <c r="I127">
        <v>65.080965884706799</v>
      </c>
      <c r="J127">
        <v>57.438492396221797</v>
      </c>
      <c r="K127">
        <v>115096.118073911</v>
      </c>
      <c r="L127">
        <v>756.31816372373396</v>
      </c>
      <c r="M127">
        <v>9.1273973348255197E-2</v>
      </c>
      <c r="N127">
        <v>6.8443658812423397E-2</v>
      </c>
      <c r="O127">
        <v>0.65485373016267701</v>
      </c>
      <c r="P127">
        <v>3.0725171402919499E-2</v>
      </c>
      <c r="Q127">
        <v>0.65506330950479497</v>
      </c>
      <c r="R127">
        <v>0</v>
      </c>
      <c r="S127">
        <v>10</v>
      </c>
      <c r="T127">
        <v>120</v>
      </c>
      <c r="U127">
        <v>12980885484.73</v>
      </c>
      <c r="V127">
        <v>112783</v>
      </c>
    </row>
    <row r="128" spans="1:22" x14ac:dyDescent="0.25">
      <c r="A128">
        <v>0.99267812355608698</v>
      </c>
      <c r="B128">
        <v>8.4409214958160703</v>
      </c>
      <c r="C128">
        <v>8.0490115198449708</v>
      </c>
      <c r="D128">
        <v>0</v>
      </c>
      <c r="E128">
        <v>4.2301108632386697</v>
      </c>
      <c r="F128">
        <v>4.3906284367724204</v>
      </c>
      <c r="G128">
        <v>7.56622981450636</v>
      </c>
      <c r="H128">
        <v>23.080917326733601</v>
      </c>
      <c r="I128">
        <v>65.634893439426406</v>
      </c>
      <c r="J128">
        <v>58.1316913693883</v>
      </c>
      <c r="K128">
        <v>124938.500503541</v>
      </c>
      <c r="L128">
        <v>756.18039205126399</v>
      </c>
      <c r="M128">
        <v>9.17852363364728E-2</v>
      </c>
      <c r="N128">
        <v>7.6464965379230795E-2</v>
      </c>
      <c r="O128">
        <v>0.64490648413097995</v>
      </c>
      <c r="P128">
        <v>3.1682940963431903E-2</v>
      </c>
      <c r="Q128">
        <v>0.65480279856791401</v>
      </c>
      <c r="R128">
        <v>0</v>
      </c>
      <c r="S128">
        <v>10</v>
      </c>
      <c r="T128">
        <v>130</v>
      </c>
      <c r="U128">
        <v>14728375131.860001</v>
      </c>
      <c r="V128">
        <v>117885</v>
      </c>
    </row>
    <row r="129" spans="1:22" x14ac:dyDescent="0.25">
      <c r="A129">
        <v>0.992687153650603</v>
      </c>
      <c r="B129">
        <v>8.4309263707491908</v>
      </c>
      <c r="C129">
        <v>8.5009973815255506</v>
      </c>
      <c r="D129">
        <v>0</v>
      </c>
      <c r="E129">
        <v>4.2216461813155801</v>
      </c>
      <c r="F129">
        <v>4.3843301403963704</v>
      </c>
      <c r="G129">
        <v>7.5577073688832401</v>
      </c>
      <c r="H129">
        <v>23.131651664751601</v>
      </c>
      <c r="I129">
        <v>66.111022689286898</v>
      </c>
      <c r="J129">
        <v>58.485148060000398</v>
      </c>
      <c r="K129">
        <v>134972.135266828</v>
      </c>
      <c r="L129">
        <v>756.12282739902605</v>
      </c>
      <c r="M129">
        <v>9.4914835479029097E-2</v>
      </c>
      <c r="N129">
        <v>8.0303469431297306E-2</v>
      </c>
      <c r="O129">
        <v>0.63487099226816801</v>
      </c>
      <c r="P129">
        <v>3.1487680290587003E-2</v>
      </c>
      <c r="Q129">
        <v>0.66770099225102597</v>
      </c>
      <c r="R129">
        <v>0</v>
      </c>
      <c r="S129">
        <v>10</v>
      </c>
      <c r="T129">
        <v>140</v>
      </c>
      <c r="U129">
        <v>15367387432.940001</v>
      </c>
      <c r="V129">
        <v>113856</v>
      </c>
    </row>
    <row r="130" spans="1:22" x14ac:dyDescent="0.25">
      <c r="A130">
        <v>0.99274814912393505</v>
      </c>
      <c r="B130">
        <v>8.3633862170967195</v>
      </c>
      <c r="C130">
        <v>8.1858754564830392</v>
      </c>
      <c r="D130">
        <v>0</v>
      </c>
      <c r="E130">
        <v>4.2201860765240502</v>
      </c>
      <c r="F130">
        <v>4.3884214145559897</v>
      </c>
      <c r="G130">
        <v>7.5637897711064603</v>
      </c>
      <c r="H130">
        <v>23.0154010598776</v>
      </c>
      <c r="I130">
        <v>64.992955905260402</v>
      </c>
      <c r="J130">
        <v>57.616112028487102</v>
      </c>
      <c r="K130">
        <v>144949.21177658901</v>
      </c>
      <c r="L130">
        <v>756.73665511409297</v>
      </c>
      <c r="M130">
        <v>9.1153580501342799E-2</v>
      </c>
      <c r="N130">
        <v>8.3308910115195103E-2</v>
      </c>
      <c r="O130">
        <v>0.62172446319828401</v>
      </c>
      <c r="P130">
        <v>3.28427071972721E-2</v>
      </c>
      <c r="Q130">
        <v>0.668825101858463</v>
      </c>
      <c r="R130">
        <v>0</v>
      </c>
      <c r="S130">
        <v>10</v>
      </c>
      <c r="T130">
        <v>150</v>
      </c>
      <c r="U130">
        <v>17456668421.889999</v>
      </c>
      <c r="V130">
        <v>120433</v>
      </c>
    </row>
    <row r="131" spans="1:22" x14ac:dyDescent="0.25">
      <c r="A131">
        <v>0.99270830535750698</v>
      </c>
      <c r="B131">
        <v>8.4075103021878093</v>
      </c>
      <c r="C131">
        <v>8.6864100309409906</v>
      </c>
      <c r="D131">
        <v>0</v>
      </c>
      <c r="E131">
        <v>4.2157649144924996</v>
      </c>
      <c r="F131">
        <v>4.3809325547631701</v>
      </c>
      <c r="G131">
        <v>7.5535519041169596</v>
      </c>
      <c r="H131">
        <v>23.119326261669901</v>
      </c>
      <c r="I131">
        <v>66.498018505077695</v>
      </c>
      <c r="J131">
        <v>58.857640795413197</v>
      </c>
      <c r="K131">
        <v>154940.239249887</v>
      </c>
      <c r="L131">
        <v>755.89109120371302</v>
      </c>
      <c r="M131">
        <v>9.4780737568648299E-2</v>
      </c>
      <c r="N131">
        <v>8.9136507665280001E-2</v>
      </c>
      <c r="O131">
        <v>0.61700503806496698</v>
      </c>
      <c r="P131">
        <v>3.0807041466047999E-2</v>
      </c>
      <c r="Q131">
        <v>0.69067067657833903</v>
      </c>
      <c r="R131">
        <v>0</v>
      </c>
      <c r="S131">
        <v>10</v>
      </c>
      <c r="T131">
        <v>160</v>
      </c>
      <c r="U131">
        <v>16925206914.940001</v>
      </c>
      <c r="V131">
        <v>109237</v>
      </c>
    </row>
    <row r="132" spans="1:22" x14ac:dyDescent="0.25">
      <c r="A132">
        <v>0.99269796479938399</v>
      </c>
      <c r="B132">
        <v>8.4189585376735199</v>
      </c>
      <c r="C132">
        <v>8.7268686278620908</v>
      </c>
      <c r="D132">
        <v>0</v>
      </c>
      <c r="E132">
        <v>4.2164303905953098</v>
      </c>
      <c r="F132">
        <v>4.3793220635522001</v>
      </c>
      <c r="G132">
        <v>7.5576714311063302</v>
      </c>
      <c r="H132">
        <v>23.081146158089101</v>
      </c>
      <c r="I132">
        <v>67.049569475796901</v>
      </c>
      <c r="J132">
        <v>59.409089869438603</v>
      </c>
      <c r="K132">
        <v>164977.71257549201</v>
      </c>
      <c r="L132">
        <v>756.01219803082802</v>
      </c>
      <c r="M132">
        <v>9.5412304624996294E-2</v>
      </c>
      <c r="N132">
        <v>8.9930099452541795E-2</v>
      </c>
      <c r="O132">
        <v>0.61072647499550203</v>
      </c>
      <c r="P132">
        <v>3.2045215768874001E-2</v>
      </c>
      <c r="Q132">
        <v>0.68137089466532996</v>
      </c>
      <c r="R132">
        <v>0</v>
      </c>
      <c r="S132">
        <v>10</v>
      </c>
      <c r="T132">
        <v>170</v>
      </c>
      <c r="U132">
        <v>18083866986.25</v>
      </c>
      <c r="V132">
        <v>109614</v>
      </c>
    </row>
    <row r="133" spans="1:22" x14ac:dyDescent="0.25">
      <c r="A133">
        <v>0.99179289789137204</v>
      </c>
      <c r="B133">
        <v>9.4159094508747003</v>
      </c>
      <c r="C133">
        <v>10.124112511247301</v>
      </c>
      <c r="D133">
        <v>0</v>
      </c>
      <c r="E133">
        <v>4.18309409714964</v>
      </c>
      <c r="F133">
        <v>4.3541300767131599</v>
      </c>
      <c r="G133">
        <v>7.5487825423133001</v>
      </c>
      <c r="H133">
        <v>22.4548412486612</v>
      </c>
      <c r="I133">
        <v>67.904579903053204</v>
      </c>
      <c r="J133">
        <v>60.099345695483798</v>
      </c>
      <c r="K133">
        <v>292161.39011668199</v>
      </c>
      <c r="L133">
        <v>756.26035607884603</v>
      </c>
      <c r="M133">
        <v>0.14381349400387</v>
      </c>
      <c r="N133">
        <v>0.10694356583259999</v>
      </c>
      <c r="O133">
        <v>0.534182753894198</v>
      </c>
      <c r="P133">
        <v>5.3031069508384397E-2</v>
      </c>
      <c r="Q133">
        <v>0.67649908314627905</v>
      </c>
      <c r="R133">
        <v>0</v>
      </c>
      <c r="S133">
        <v>10</v>
      </c>
      <c r="T133">
        <v>175</v>
      </c>
      <c r="U133">
        <v>477493383614.41998</v>
      </c>
      <c r="V133">
        <v>1634348</v>
      </c>
    </row>
    <row r="134" spans="1:22" x14ac:dyDescent="0.25">
      <c r="A134">
        <v>0.99271703139980105</v>
      </c>
      <c r="B134">
        <v>8.3978485083785799</v>
      </c>
      <c r="C134">
        <v>8.6331272429939592</v>
      </c>
      <c r="D134">
        <v>0</v>
      </c>
      <c r="E134">
        <v>4.2167113612569196</v>
      </c>
      <c r="F134">
        <v>4.37989958107321</v>
      </c>
      <c r="G134">
        <v>7.5379786128649799</v>
      </c>
      <c r="H134">
        <v>22.943349041225801</v>
      </c>
      <c r="I134">
        <v>67.344229371742102</v>
      </c>
      <c r="J134">
        <v>59.704968041026497</v>
      </c>
      <c r="K134">
        <v>172441.67988648199</v>
      </c>
      <c r="L134">
        <v>756.27990705427203</v>
      </c>
      <c r="M134">
        <v>9.3967481309721795E-2</v>
      </c>
      <c r="N134">
        <v>9.4831732252039697E-2</v>
      </c>
      <c r="O134">
        <v>0.60653532545031497</v>
      </c>
      <c r="P134">
        <v>3.1527938633265397E-2</v>
      </c>
      <c r="Q134">
        <v>0.67291983435374803</v>
      </c>
      <c r="R134">
        <v>0</v>
      </c>
      <c r="S134">
        <v>10</v>
      </c>
      <c r="T134">
        <v>180</v>
      </c>
      <c r="U134">
        <v>9403072362.5300007</v>
      </c>
      <c r="V134">
        <v>54529</v>
      </c>
    </row>
    <row r="135" spans="1:22" x14ac:dyDescent="0.25">
      <c r="A135">
        <v>0.99220503210034305</v>
      </c>
      <c r="B135">
        <v>8.9631748749736797</v>
      </c>
      <c r="C135">
        <v>92.946943733561099</v>
      </c>
      <c r="D135">
        <v>0</v>
      </c>
      <c r="E135">
        <v>4.1049649629941003</v>
      </c>
      <c r="F135">
        <v>4.3763721307830696</v>
      </c>
      <c r="G135">
        <v>12.6218098118408</v>
      </c>
      <c r="H135">
        <v>26.220425931479902</v>
      </c>
      <c r="I135">
        <v>61.149565391361001</v>
      </c>
      <c r="J135">
        <v>4.1912691096666697</v>
      </c>
      <c r="K135">
        <v>5826.7960035211199</v>
      </c>
      <c r="L135">
        <v>772.76654946499798</v>
      </c>
      <c r="M135">
        <v>3.4587966444354398E-2</v>
      </c>
      <c r="N135">
        <v>4.9320923123585103E-2</v>
      </c>
      <c r="O135">
        <v>0.63108097846866695</v>
      </c>
      <c r="P135">
        <v>3.1704904453793002E-2</v>
      </c>
      <c r="Q135">
        <v>0.27906781555622201</v>
      </c>
      <c r="R135">
        <v>0</v>
      </c>
      <c r="S135">
        <v>15</v>
      </c>
      <c r="T135">
        <v>10</v>
      </c>
      <c r="U135">
        <v>3309620.13</v>
      </c>
      <c r="V135">
        <v>568</v>
      </c>
    </row>
    <row r="136" spans="1:22" x14ac:dyDescent="0.25">
      <c r="A136">
        <v>0.99209642680318999</v>
      </c>
      <c r="B136">
        <v>9.08267999002652</v>
      </c>
      <c r="C136">
        <v>63.368980267297701</v>
      </c>
      <c r="D136">
        <v>0</v>
      </c>
      <c r="E136">
        <v>4.1254025191166104</v>
      </c>
      <c r="F136">
        <v>4.3664225601339304</v>
      </c>
      <c r="G136">
        <v>12.5327629708228</v>
      </c>
      <c r="H136">
        <v>25.976062610375799</v>
      </c>
      <c r="I136">
        <v>57.921107263885801</v>
      </c>
      <c r="J136">
        <v>15.6138756589297</v>
      </c>
      <c r="K136">
        <v>15671.780342034201</v>
      </c>
      <c r="L136">
        <v>763.38238959414798</v>
      </c>
      <c r="M136">
        <v>4.5259754834053603E-2</v>
      </c>
      <c r="N136">
        <v>5.4041066904276597E-2</v>
      </c>
      <c r="O136">
        <v>0.68885130706445297</v>
      </c>
      <c r="P136">
        <v>2.5802705283479901E-2</v>
      </c>
      <c r="Q136">
        <v>0.35601646375918999</v>
      </c>
      <c r="R136">
        <v>0</v>
      </c>
      <c r="S136">
        <v>15</v>
      </c>
      <c r="T136">
        <v>20</v>
      </c>
      <c r="U136">
        <v>17411347.960000001</v>
      </c>
      <c r="V136">
        <v>1111</v>
      </c>
    </row>
    <row r="137" spans="1:22" x14ac:dyDescent="0.25">
      <c r="A137">
        <v>0.99206886905205605</v>
      </c>
      <c r="B137">
        <v>9.1129806028123994</v>
      </c>
      <c r="C137">
        <v>32.530467584678298</v>
      </c>
      <c r="D137">
        <v>0</v>
      </c>
      <c r="E137">
        <v>4.2041180168898604</v>
      </c>
      <c r="F137">
        <v>4.3883468923933497</v>
      </c>
      <c r="G137">
        <v>12.609245783931099</v>
      </c>
      <c r="H137">
        <v>24.940033473332001</v>
      </c>
      <c r="I137">
        <v>54.5209916752585</v>
      </c>
      <c r="J137">
        <v>33.004076239765197</v>
      </c>
      <c r="K137">
        <v>26066.8899629515</v>
      </c>
      <c r="L137">
        <v>755.99446897405801</v>
      </c>
      <c r="M137">
        <v>5.5600640449786597E-2</v>
      </c>
      <c r="N137">
        <v>3.7022918762546098E-2</v>
      </c>
      <c r="O137">
        <v>0.79442053845100802</v>
      </c>
      <c r="P137">
        <v>2.6446443036005698E-2</v>
      </c>
      <c r="Q137">
        <v>0.40005005615460798</v>
      </c>
      <c r="R137">
        <v>0</v>
      </c>
      <c r="S137">
        <v>15</v>
      </c>
      <c r="T137">
        <v>30</v>
      </c>
      <c r="U137">
        <v>84430656.590000004</v>
      </c>
      <c r="V137">
        <v>3239</v>
      </c>
    </row>
    <row r="138" spans="1:22" x14ac:dyDescent="0.25">
      <c r="A138">
        <v>0.99202656506449205</v>
      </c>
      <c r="B138">
        <v>9.1594771536640298</v>
      </c>
      <c r="C138">
        <v>16.050304431638398</v>
      </c>
      <c r="D138">
        <v>0</v>
      </c>
      <c r="E138">
        <v>4.22175696099539</v>
      </c>
      <c r="F138">
        <v>4.3787700980083404</v>
      </c>
      <c r="G138">
        <v>12.6152484126519</v>
      </c>
      <c r="H138">
        <v>24.395198197713398</v>
      </c>
      <c r="I138">
        <v>55.9195088483809</v>
      </c>
      <c r="J138">
        <v>43.040582449488603</v>
      </c>
      <c r="K138">
        <v>35925.3206678719</v>
      </c>
      <c r="L138">
        <v>753.61842970587202</v>
      </c>
      <c r="M138">
        <v>5.6175388072886197E-2</v>
      </c>
      <c r="N138">
        <v>3.1958950118438897E-2</v>
      </c>
      <c r="O138">
        <v>0.792871260287489</v>
      </c>
      <c r="P138">
        <v>3.1258636012419801E-2</v>
      </c>
      <c r="Q138">
        <v>0.48008256452555198</v>
      </c>
      <c r="R138">
        <v>0</v>
      </c>
      <c r="S138">
        <v>15</v>
      </c>
      <c r="T138">
        <v>40</v>
      </c>
      <c r="U138">
        <v>337805790.24000001</v>
      </c>
      <c r="V138">
        <v>9403</v>
      </c>
    </row>
    <row r="139" spans="1:22" x14ac:dyDescent="0.25">
      <c r="A139">
        <v>0.99193322849218701</v>
      </c>
      <c r="B139">
        <v>9.2619867897559303</v>
      </c>
      <c r="C139">
        <v>11.4734158442658</v>
      </c>
      <c r="D139">
        <v>0</v>
      </c>
      <c r="E139">
        <v>4.2359321309738602</v>
      </c>
      <c r="F139">
        <v>4.38442783319549</v>
      </c>
      <c r="G139">
        <v>12.620601609530601</v>
      </c>
      <c r="H139">
        <v>24.049856090945799</v>
      </c>
      <c r="I139">
        <v>56.828108347897803</v>
      </c>
      <c r="J139">
        <v>47.144528503224699</v>
      </c>
      <c r="K139">
        <v>45789.594826869798</v>
      </c>
      <c r="L139">
        <v>752.47601757657503</v>
      </c>
      <c r="M139">
        <v>6.9197696106780907E-2</v>
      </c>
      <c r="N139">
        <v>4.3095717724330899E-2</v>
      </c>
      <c r="O139">
        <v>0.77443855690859897</v>
      </c>
      <c r="P139">
        <v>3.1828571943354103E-2</v>
      </c>
      <c r="Q139">
        <v>0.55123452311773802</v>
      </c>
      <c r="R139">
        <v>0</v>
      </c>
      <c r="S139">
        <v>15</v>
      </c>
      <c r="T139">
        <v>50</v>
      </c>
      <c r="U139">
        <v>991802623.95000005</v>
      </c>
      <c r="V139">
        <v>21660</v>
      </c>
    </row>
    <row r="140" spans="1:22" x14ac:dyDescent="0.25">
      <c r="A140">
        <v>0.99192420571016604</v>
      </c>
      <c r="B140">
        <v>9.2718907026342396</v>
      </c>
      <c r="C140">
        <v>9.7899577471123607</v>
      </c>
      <c r="D140">
        <v>0</v>
      </c>
      <c r="E140">
        <v>4.2562652595303101</v>
      </c>
      <c r="F140">
        <v>4.3875015381010201</v>
      </c>
      <c r="G140">
        <v>12.6484253263871</v>
      </c>
      <c r="H140">
        <v>23.789808496156098</v>
      </c>
      <c r="I140">
        <v>59.918370575904497</v>
      </c>
      <c r="J140">
        <v>51.507977274475202</v>
      </c>
      <c r="K140">
        <v>55426.217920394702</v>
      </c>
      <c r="L140">
        <v>751.254481464273</v>
      </c>
      <c r="M140">
        <v>7.5260004544240394E-2</v>
      </c>
      <c r="N140">
        <v>4.6094731259305799E-2</v>
      </c>
      <c r="O140">
        <v>0.76165744425231297</v>
      </c>
      <c r="P140">
        <v>3.5256649751886401E-2</v>
      </c>
      <c r="Q140">
        <v>0.588322036733812</v>
      </c>
      <c r="R140">
        <v>0</v>
      </c>
      <c r="S140">
        <v>15</v>
      </c>
      <c r="T140">
        <v>60</v>
      </c>
      <c r="U140">
        <v>2044229769.3399999</v>
      </c>
      <c r="V140">
        <v>36882</v>
      </c>
    </row>
    <row r="141" spans="1:22" x14ac:dyDescent="0.25">
      <c r="A141">
        <v>0.99194657415768805</v>
      </c>
      <c r="B141">
        <v>9.2473360199214394</v>
      </c>
      <c r="C141">
        <v>8.5504197899004097</v>
      </c>
      <c r="D141">
        <v>0</v>
      </c>
      <c r="E141">
        <v>4.2678780599145796</v>
      </c>
      <c r="F141">
        <v>4.3864712367059697</v>
      </c>
      <c r="G141">
        <v>12.6424992113116</v>
      </c>
      <c r="H141">
        <v>23.658493886745401</v>
      </c>
      <c r="I141">
        <v>62.577887429700901</v>
      </c>
      <c r="J141">
        <v>54.487114219806898</v>
      </c>
      <c r="K141">
        <v>65248.127403838604</v>
      </c>
      <c r="L141">
        <v>750.92853446630102</v>
      </c>
      <c r="M141">
        <v>8.0745203961513107E-2</v>
      </c>
      <c r="N141">
        <v>5.32493152109655E-2</v>
      </c>
      <c r="O141">
        <v>0.74023831002728402</v>
      </c>
      <c r="P141">
        <v>3.8706752036375101E-2</v>
      </c>
      <c r="Q141">
        <v>0.60079382291857097</v>
      </c>
      <c r="R141">
        <v>0</v>
      </c>
      <c r="S141">
        <v>15</v>
      </c>
      <c r="T141">
        <v>70</v>
      </c>
      <c r="U141">
        <v>3351926800.9899998</v>
      </c>
      <c r="V141">
        <v>51372</v>
      </c>
    </row>
    <row r="142" spans="1:22" x14ac:dyDescent="0.25">
      <c r="A142">
        <v>0.99200092547947305</v>
      </c>
      <c r="B142">
        <v>9.1876471523277896</v>
      </c>
      <c r="C142">
        <v>8.0849455531479002</v>
      </c>
      <c r="D142">
        <v>0</v>
      </c>
      <c r="E142">
        <v>4.26716479967188</v>
      </c>
      <c r="F142">
        <v>4.3880005620688198</v>
      </c>
      <c r="G142">
        <v>12.622548005889501</v>
      </c>
      <c r="H142">
        <v>23.641619164856699</v>
      </c>
      <c r="I142">
        <v>62.736508257361002</v>
      </c>
      <c r="J142">
        <v>55.1220380313096</v>
      </c>
      <c r="K142">
        <v>75131.624526276195</v>
      </c>
      <c r="L142">
        <v>751.47550925580902</v>
      </c>
      <c r="M142">
        <v>8.4390859807310703E-2</v>
      </c>
      <c r="N142">
        <v>6.6359568355662799E-2</v>
      </c>
      <c r="O142">
        <v>0.72514241603847895</v>
      </c>
      <c r="P142">
        <v>3.7808380249189998E-2</v>
      </c>
      <c r="Q142">
        <v>0.63528745026518796</v>
      </c>
      <c r="R142">
        <v>0</v>
      </c>
      <c r="S142">
        <v>15</v>
      </c>
      <c r="T142">
        <v>80</v>
      </c>
      <c r="U142">
        <v>5003766193.4499998</v>
      </c>
      <c r="V142">
        <v>66600</v>
      </c>
    </row>
    <row r="143" spans="1:22" x14ac:dyDescent="0.25">
      <c r="A143">
        <v>0.99206418630750903</v>
      </c>
      <c r="B143">
        <v>9.1181285072646698</v>
      </c>
      <c r="C143">
        <v>7.6121496634530699</v>
      </c>
      <c r="D143">
        <v>0</v>
      </c>
      <c r="E143">
        <v>4.27431979714967</v>
      </c>
      <c r="F143">
        <v>4.3830732595047097</v>
      </c>
      <c r="G143">
        <v>12.6361003923361</v>
      </c>
      <c r="H143">
        <v>23.661469850188499</v>
      </c>
      <c r="I143">
        <v>65.477954661412696</v>
      </c>
      <c r="J143">
        <v>57.736236659323602</v>
      </c>
      <c r="K143">
        <v>85154.753943322998</v>
      </c>
      <c r="L143">
        <v>750.92401826175103</v>
      </c>
      <c r="M143">
        <v>8.9319323546975304E-2</v>
      </c>
      <c r="N143">
        <v>6.9920481503441601E-2</v>
      </c>
      <c r="O143">
        <v>0.71187781070855605</v>
      </c>
      <c r="P143">
        <v>3.6980112835924603E-2</v>
      </c>
      <c r="Q143">
        <v>0.62990336566308602</v>
      </c>
      <c r="R143">
        <v>0</v>
      </c>
      <c r="S143">
        <v>15</v>
      </c>
      <c r="T143">
        <v>90</v>
      </c>
      <c r="U143">
        <v>6758051582.4499998</v>
      </c>
      <c r="V143">
        <v>79362</v>
      </c>
    </row>
    <row r="144" spans="1:22" x14ac:dyDescent="0.25">
      <c r="A144">
        <v>0.99221490093962095</v>
      </c>
      <c r="B144">
        <v>8.9523084481765292</v>
      </c>
      <c r="C144">
        <v>8.3262498729317507</v>
      </c>
      <c r="D144">
        <v>0</v>
      </c>
      <c r="E144">
        <v>4.27937084118133</v>
      </c>
      <c r="F144">
        <v>4.3873518678588104</v>
      </c>
      <c r="G144">
        <v>12.640175306457699</v>
      </c>
      <c r="H144">
        <v>23.429590681493401</v>
      </c>
      <c r="I144">
        <v>65.419213190665303</v>
      </c>
      <c r="J144">
        <v>58.058248734908702</v>
      </c>
      <c r="K144">
        <v>95249.286704279599</v>
      </c>
      <c r="L144">
        <v>753.05025707885704</v>
      </c>
      <c r="M144">
        <v>8.34924605630991E-2</v>
      </c>
      <c r="N144">
        <v>7.1702180887865299E-2</v>
      </c>
      <c r="O144">
        <v>0.68186001949499497</v>
      </c>
      <c r="P144">
        <v>3.4646187797188997E-2</v>
      </c>
      <c r="Q144">
        <v>0.60520334083488803</v>
      </c>
      <c r="R144">
        <v>0</v>
      </c>
      <c r="S144">
        <v>15</v>
      </c>
      <c r="T144">
        <v>100</v>
      </c>
      <c r="U144">
        <v>9977458031.5599995</v>
      </c>
      <c r="V144">
        <v>104751</v>
      </c>
    </row>
    <row r="145" spans="1:22" x14ac:dyDescent="0.25">
      <c r="A145">
        <v>0.99225911461185401</v>
      </c>
      <c r="B145">
        <v>8.9036108582098201</v>
      </c>
      <c r="C145">
        <v>7.8937845466945804</v>
      </c>
      <c r="D145">
        <v>0</v>
      </c>
      <c r="E145">
        <v>4.2920447088928002</v>
      </c>
      <c r="F145">
        <v>4.3828130438072499</v>
      </c>
      <c r="G145">
        <v>12.644787016986299</v>
      </c>
      <c r="H145">
        <v>23.122316220165001</v>
      </c>
      <c r="I145">
        <v>67.793164016536295</v>
      </c>
      <c r="J145">
        <v>60.538738510221499</v>
      </c>
      <c r="K145">
        <v>105054.368182315</v>
      </c>
      <c r="L145">
        <v>751.78255327018996</v>
      </c>
      <c r="M145">
        <v>9.0439465232449001E-2</v>
      </c>
      <c r="N145">
        <v>7.0814766488853501E-2</v>
      </c>
      <c r="O145">
        <v>0.66258832334356099</v>
      </c>
      <c r="P145">
        <v>3.2878498480689099E-2</v>
      </c>
      <c r="Q145">
        <v>0.62234630288330295</v>
      </c>
      <c r="R145">
        <v>0</v>
      </c>
      <c r="S145">
        <v>15</v>
      </c>
      <c r="T145">
        <v>110</v>
      </c>
      <c r="U145">
        <v>10557543784.85</v>
      </c>
      <c r="V145">
        <v>100496</v>
      </c>
    </row>
    <row r="146" spans="1:22" x14ac:dyDescent="0.25">
      <c r="A146">
        <v>0.99228537139786999</v>
      </c>
      <c r="B146">
        <v>8.8746799488576507</v>
      </c>
      <c r="C146">
        <v>8.2545155024687595</v>
      </c>
      <c r="D146">
        <v>0</v>
      </c>
      <c r="E146">
        <v>4.2810958974279698</v>
      </c>
      <c r="F146">
        <v>4.3767623629785604</v>
      </c>
      <c r="G146">
        <v>12.6449517583748</v>
      </c>
      <c r="H146">
        <v>23.285975755485801</v>
      </c>
      <c r="I146">
        <v>67.950186972234107</v>
      </c>
      <c r="J146">
        <v>60.592908943056401</v>
      </c>
      <c r="K146">
        <v>115105.345653993</v>
      </c>
      <c r="L146">
        <v>752.75577650981802</v>
      </c>
      <c r="M146">
        <v>9.1195591063276196E-2</v>
      </c>
      <c r="N146">
        <v>7.4288703473976397E-2</v>
      </c>
      <c r="O146">
        <v>0.65048887888710505</v>
      </c>
      <c r="P146">
        <v>3.05854708742236E-2</v>
      </c>
      <c r="Q146">
        <v>0.62403026350491098</v>
      </c>
      <c r="R146">
        <v>0</v>
      </c>
      <c r="S146">
        <v>15</v>
      </c>
      <c r="T146">
        <v>120</v>
      </c>
      <c r="U146">
        <v>11964740259.35</v>
      </c>
      <c r="V146">
        <v>103946</v>
      </c>
    </row>
    <row r="147" spans="1:22" x14ac:dyDescent="0.25">
      <c r="A147">
        <v>0.99236062426408</v>
      </c>
      <c r="B147">
        <v>8.7917162845306205</v>
      </c>
      <c r="C147">
        <v>8.7145571083064297</v>
      </c>
      <c r="D147">
        <v>0</v>
      </c>
      <c r="E147">
        <v>4.2816536015323399</v>
      </c>
      <c r="F147">
        <v>4.3764893355956103</v>
      </c>
      <c r="G147">
        <v>12.6410558766707</v>
      </c>
      <c r="H147">
        <v>22.8790750679917</v>
      </c>
      <c r="I147">
        <v>68.581342473666794</v>
      </c>
      <c r="J147">
        <v>61.298938885710299</v>
      </c>
      <c r="K147">
        <v>124976.530700081</v>
      </c>
      <c r="L147">
        <v>752.59432292085899</v>
      </c>
      <c r="M147">
        <v>8.7852742636652298E-2</v>
      </c>
      <c r="N147">
        <v>8.0034315513845003E-2</v>
      </c>
      <c r="O147">
        <v>0.64324711860168204</v>
      </c>
      <c r="P147">
        <v>3.2702583894019803E-2</v>
      </c>
      <c r="Q147">
        <v>0.62330272046145296</v>
      </c>
      <c r="R147">
        <v>0</v>
      </c>
      <c r="S147">
        <v>15</v>
      </c>
      <c r="T147">
        <v>130</v>
      </c>
      <c r="U147">
        <v>13549455552.379999</v>
      </c>
      <c r="V147">
        <v>108416</v>
      </c>
    </row>
    <row r="148" spans="1:22" x14ac:dyDescent="0.25">
      <c r="A148">
        <v>0.992396224845143</v>
      </c>
      <c r="B148">
        <v>8.7524437631186291</v>
      </c>
      <c r="C148">
        <v>8.4976189870883001</v>
      </c>
      <c r="D148">
        <v>0</v>
      </c>
      <c r="E148">
        <v>4.2760119201442697</v>
      </c>
      <c r="F148">
        <v>4.3720556146112397</v>
      </c>
      <c r="G148">
        <v>12.6349485511021</v>
      </c>
      <c r="H148">
        <v>22.893777773792198</v>
      </c>
      <c r="I148">
        <v>68.893410704113506</v>
      </c>
      <c r="J148">
        <v>61.577977999279597</v>
      </c>
      <c r="K148">
        <v>134985.51280203499</v>
      </c>
      <c r="L148">
        <v>753.36818857973799</v>
      </c>
      <c r="M148">
        <v>9.30765844680988E-2</v>
      </c>
      <c r="N148">
        <v>8.6916866549792707E-2</v>
      </c>
      <c r="O148">
        <v>0.63084615242238196</v>
      </c>
      <c r="P148">
        <v>3.1918443749006702E-2</v>
      </c>
      <c r="Q148">
        <v>0.63394407490526705</v>
      </c>
      <c r="R148">
        <v>0</v>
      </c>
      <c r="S148">
        <v>15</v>
      </c>
      <c r="T148">
        <v>140</v>
      </c>
      <c r="U148">
        <v>14137167741.27</v>
      </c>
      <c r="V148">
        <v>104731</v>
      </c>
    </row>
    <row r="149" spans="1:22" x14ac:dyDescent="0.25">
      <c r="A149">
        <v>0.99243047563647502</v>
      </c>
      <c r="B149">
        <v>8.7146456226011306</v>
      </c>
      <c r="C149">
        <v>8.3385257287537602</v>
      </c>
      <c r="D149">
        <v>0</v>
      </c>
      <c r="E149">
        <v>4.2759508100780002</v>
      </c>
      <c r="F149">
        <v>4.3774637873648796</v>
      </c>
      <c r="G149">
        <v>12.628254497833099</v>
      </c>
      <c r="H149">
        <v>22.781199659911501</v>
      </c>
      <c r="I149">
        <v>67.971353065101994</v>
      </c>
      <c r="J149">
        <v>60.842934281205203</v>
      </c>
      <c r="K149">
        <v>144957.83911741999</v>
      </c>
      <c r="L149">
        <v>753.703761291771</v>
      </c>
      <c r="M149">
        <v>8.8819959140625807E-2</v>
      </c>
      <c r="N149">
        <v>8.8573854290397505E-2</v>
      </c>
      <c r="O149">
        <v>0.61558609780804097</v>
      </c>
      <c r="P149">
        <v>3.3589992260251701E-2</v>
      </c>
      <c r="Q149">
        <v>0.639807140426079</v>
      </c>
      <c r="R149">
        <v>0</v>
      </c>
      <c r="S149">
        <v>15</v>
      </c>
      <c r="T149">
        <v>150</v>
      </c>
      <c r="U149">
        <v>15787068342.6</v>
      </c>
      <c r="V149">
        <v>108908</v>
      </c>
    </row>
    <row r="150" spans="1:22" x14ac:dyDescent="0.25">
      <c r="A150">
        <v>0.99238747188586895</v>
      </c>
      <c r="B150">
        <v>8.7621009631008899</v>
      </c>
      <c r="C150">
        <v>8.5478021859962094</v>
      </c>
      <c r="D150">
        <v>0</v>
      </c>
      <c r="E150">
        <v>4.27473544490908</v>
      </c>
      <c r="F150">
        <v>4.3729623629872796</v>
      </c>
      <c r="G150">
        <v>12.632173413820199</v>
      </c>
      <c r="H150">
        <v>22.835954128913698</v>
      </c>
      <c r="I150">
        <v>69.075120891572794</v>
      </c>
      <c r="J150">
        <v>61.8136418288736</v>
      </c>
      <c r="K150">
        <v>154956.18177260799</v>
      </c>
      <c r="L150">
        <v>753.15250792719598</v>
      </c>
      <c r="M150">
        <v>9.2296949067138395E-2</v>
      </c>
      <c r="N150">
        <v>9.1264789428056797E-2</v>
      </c>
      <c r="O150">
        <v>0.613527353030487</v>
      </c>
      <c r="P150">
        <v>3.1992282746390002E-2</v>
      </c>
      <c r="Q150">
        <v>0.66084820675440703</v>
      </c>
      <c r="R150">
        <v>0</v>
      </c>
      <c r="S150">
        <v>15</v>
      </c>
      <c r="T150">
        <v>160</v>
      </c>
      <c r="U150">
        <v>15535751828.34</v>
      </c>
      <c r="V150">
        <v>100259</v>
      </c>
    </row>
    <row r="151" spans="1:22" x14ac:dyDescent="0.25">
      <c r="A151">
        <v>0.992383768077301</v>
      </c>
      <c r="B151">
        <v>8.7661871183789195</v>
      </c>
      <c r="C151">
        <v>9.3687600068418107</v>
      </c>
      <c r="D151">
        <v>0</v>
      </c>
      <c r="E151">
        <v>4.2734684006918702</v>
      </c>
      <c r="F151">
        <v>4.3700625946071003</v>
      </c>
      <c r="G151">
        <v>12.6308882433714</v>
      </c>
      <c r="H151">
        <v>22.8339458804545</v>
      </c>
      <c r="I151">
        <v>69.601756562733698</v>
      </c>
      <c r="J151">
        <v>62.297880326793702</v>
      </c>
      <c r="K151">
        <v>164999.75375984999</v>
      </c>
      <c r="L151">
        <v>753.63185081028405</v>
      </c>
      <c r="M151">
        <v>9.1900589498807694E-2</v>
      </c>
      <c r="N151">
        <v>9.41963995178038E-2</v>
      </c>
      <c r="O151">
        <v>0.60512549927370196</v>
      </c>
      <c r="P151">
        <v>3.1662614364139301E-2</v>
      </c>
      <c r="Q151">
        <v>0.65120993066788502</v>
      </c>
      <c r="R151">
        <v>0</v>
      </c>
      <c r="S151">
        <v>15</v>
      </c>
      <c r="T151">
        <v>170</v>
      </c>
      <c r="U151">
        <v>16519940346.190001</v>
      </c>
      <c r="V151">
        <v>100121</v>
      </c>
    </row>
    <row r="152" spans="1:22" x14ac:dyDescent="0.25">
      <c r="A152">
        <v>0.99131792690203802</v>
      </c>
      <c r="B152">
        <v>9.9351106313177695</v>
      </c>
      <c r="C152">
        <v>11.001054083967601</v>
      </c>
      <c r="D152">
        <v>0</v>
      </c>
      <c r="E152">
        <v>4.2426168299747697</v>
      </c>
      <c r="F152">
        <v>4.3434958259259204</v>
      </c>
      <c r="G152">
        <v>12.612868482349899</v>
      </c>
      <c r="H152">
        <v>22.069940714706199</v>
      </c>
      <c r="I152">
        <v>70.068594784595604</v>
      </c>
      <c r="J152">
        <v>62.748102187847103</v>
      </c>
      <c r="K152">
        <v>290801.57078115799</v>
      </c>
      <c r="L152">
        <v>754.57608154399099</v>
      </c>
      <c r="M152">
        <v>0.139087111462628</v>
      </c>
      <c r="N152">
        <v>0.108878363376285</v>
      </c>
      <c r="O152">
        <v>0.53367958300388696</v>
      </c>
      <c r="P152">
        <v>5.6639244889133002E-2</v>
      </c>
      <c r="Q152">
        <v>0.64532008987231004</v>
      </c>
      <c r="R152">
        <v>0</v>
      </c>
      <c r="S152">
        <v>15</v>
      </c>
      <c r="T152">
        <v>175</v>
      </c>
      <c r="U152">
        <v>435030425841.48999</v>
      </c>
      <c r="V152">
        <v>1495970</v>
      </c>
    </row>
    <row r="153" spans="1:22" x14ac:dyDescent="0.25">
      <c r="A153">
        <v>0.99237506126872599</v>
      </c>
      <c r="B153">
        <v>8.7757920761306902</v>
      </c>
      <c r="C153">
        <v>8.1162419778958199</v>
      </c>
      <c r="D153">
        <v>0</v>
      </c>
      <c r="E153">
        <v>4.2713358398819201</v>
      </c>
      <c r="F153">
        <v>4.3675602734021197</v>
      </c>
      <c r="G153">
        <v>12.6306514505008</v>
      </c>
      <c r="H153">
        <v>22.7390395398245</v>
      </c>
      <c r="I153">
        <v>69.918590040354104</v>
      </c>
      <c r="J153">
        <v>62.582165812996799</v>
      </c>
      <c r="K153">
        <v>172450.93558365101</v>
      </c>
      <c r="L153">
        <v>753.83419306559097</v>
      </c>
      <c r="M153">
        <v>8.9619811583460898E-2</v>
      </c>
      <c r="N153">
        <v>9.68619466493785E-2</v>
      </c>
      <c r="O153">
        <v>0.60687128571253701</v>
      </c>
      <c r="P153">
        <v>3.2793257504097902E-2</v>
      </c>
      <c r="Q153">
        <v>0.63860228697996402</v>
      </c>
      <c r="R153">
        <v>0</v>
      </c>
      <c r="S153">
        <v>15</v>
      </c>
      <c r="T153">
        <v>180</v>
      </c>
      <c r="U153">
        <v>8729638810.1800003</v>
      </c>
      <c r="V153">
        <v>50621</v>
      </c>
    </row>
    <row r="154" spans="1:22" x14ac:dyDescent="0.25">
      <c r="A154">
        <v>0.99263263794895296</v>
      </c>
      <c r="B154">
        <v>8.4912528664942197</v>
      </c>
      <c r="C154">
        <v>88.089896717483001</v>
      </c>
      <c r="D154">
        <v>0</v>
      </c>
      <c r="E154">
        <v>4.1252390677641202</v>
      </c>
      <c r="F154">
        <v>4.3227832210301802</v>
      </c>
      <c r="G154">
        <v>18.313633588559501</v>
      </c>
      <c r="H154">
        <v>24.8943730860512</v>
      </c>
      <c r="I154">
        <v>62.325024481842902</v>
      </c>
      <c r="J154">
        <v>4.2917660296446201</v>
      </c>
      <c r="K154">
        <v>5570.3789033457197</v>
      </c>
      <c r="L154">
        <v>771.737844323491</v>
      </c>
      <c r="M154">
        <v>1.19887962210895E-2</v>
      </c>
      <c r="N154">
        <v>6.7935521995768994E-2</v>
      </c>
      <c r="O154">
        <v>0.61749363088349796</v>
      </c>
      <c r="P154">
        <v>3.2329279823639603E-2</v>
      </c>
      <c r="Q154">
        <v>0.263936004299961</v>
      </c>
      <c r="R154">
        <v>0</v>
      </c>
      <c r="S154">
        <v>20</v>
      </c>
      <c r="T154">
        <v>10</v>
      </c>
      <c r="U154">
        <v>2996863.85</v>
      </c>
      <c r="V154">
        <v>538</v>
      </c>
    </row>
    <row r="155" spans="1:22" x14ac:dyDescent="0.25">
      <c r="A155">
        <v>0.99270282179348102</v>
      </c>
      <c r="B155">
        <v>8.4135814272510601</v>
      </c>
      <c r="C155">
        <v>62.845179006989802</v>
      </c>
      <c r="D155">
        <v>0</v>
      </c>
      <c r="E155">
        <v>4.1714682687030198</v>
      </c>
      <c r="F155">
        <v>4.3325752989466402</v>
      </c>
      <c r="G155">
        <v>18.142261808457398</v>
      </c>
      <c r="H155">
        <v>24.382319418606201</v>
      </c>
      <c r="I155">
        <v>59.341789594631599</v>
      </c>
      <c r="J155">
        <v>16.006924205889</v>
      </c>
      <c r="K155">
        <v>15703.869070598699</v>
      </c>
      <c r="L155">
        <v>765.71431888648999</v>
      </c>
      <c r="M155">
        <v>4.0104460769576002E-2</v>
      </c>
      <c r="N155">
        <v>5.5794861580502099E-2</v>
      </c>
      <c r="O155">
        <v>0.745613674234475</v>
      </c>
      <c r="P155">
        <v>3.24013523601583E-2</v>
      </c>
      <c r="Q155">
        <v>0.260904454999693</v>
      </c>
      <c r="R155">
        <v>0</v>
      </c>
      <c r="S155">
        <v>20</v>
      </c>
      <c r="T155">
        <v>20</v>
      </c>
      <c r="U155">
        <v>17572629.489999998</v>
      </c>
      <c r="V155">
        <v>1119</v>
      </c>
    </row>
    <row r="156" spans="1:22" x14ac:dyDescent="0.25">
      <c r="A156">
        <v>0.99230995215548501</v>
      </c>
      <c r="B156">
        <v>8.8475881302222206</v>
      </c>
      <c r="C156">
        <v>32.060195235824601</v>
      </c>
      <c r="D156">
        <v>0</v>
      </c>
      <c r="E156">
        <v>4.2497261522452803</v>
      </c>
      <c r="F156">
        <v>4.3533498624829097</v>
      </c>
      <c r="G156">
        <v>17.9338506234619</v>
      </c>
      <c r="H156">
        <v>23.962408800129001</v>
      </c>
      <c r="I156">
        <v>56.0486387757703</v>
      </c>
      <c r="J156">
        <v>34.618943706972502</v>
      </c>
      <c r="K156">
        <v>26093.790826237699</v>
      </c>
      <c r="L156">
        <v>753.11845641915897</v>
      </c>
      <c r="M156">
        <v>4.5082139085054401E-2</v>
      </c>
      <c r="N156">
        <v>4.0527915651834702E-2</v>
      </c>
      <c r="O156">
        <v>0.79374800067387696</v>
      </c>
      <c r="P156">
        <v>3.1360683439731502E-2</v>
      </c>
      <c r="Q156">
        <v>0.33634715213203698</v>
      </c>
      <c r="R156">
        <v>0</v>
      </c>
      <c r="S156">
        <v>20</v>
      </c>
      <c r="T156">
        <v>30</v>
      </c>
      <c r="U156">
        <v>82743410.709999993</v>
      </c>
      <c r="V156">
        <v>3171</v>
      </c>
    </row>
    <row r="157" spans="1:22" x14ac:dyDescent="0.25">
      <c r="A157">
        <v>0.99217907806416406</v>
      </c>
      <c r="B157">
        <v>8.9917467899763608</v>
      </c>
      <c r="C157">
        <v>15.9450503511303</v>
      </c>
      <c r="D157">
        <v>0</v>
      </c>
      <c r="E157">
        <v>4.2689465035864496</v>
      </c>
      <c r="F157">
        <v>4.3542982385620999</v>
      </c>
      <c r="G157">
        <v>17.900325592153902</v>
      </c>
      <c r="H157">
        <v>23.721394553054701</v>
      </c>
      <c r="I157">
        <v>57.9499101510836</v>
      </c>
      <c r="J157">
        <v>44.666611943551899</v>
      </c>
      <c r="K157">
        <v>35942.750968363704</v>
      </c>
      <c r="L157">
        <v>751.12953793829195</v>
      </c>
      <c r="M157">
        <v>4.94932946715868E-2</v>
      </c>
      <c r="N157">
        <v>3.7373900402255501E-2</v>
      </c>
      <c r="O157">
        <v>0.78153217348382298</v>
      </c>
      <c r="P157">
        <v>3.2429766681100203E-2</v>
      </c>
      <c r="Q157">
        <v>0.426495171552841</v>
      </c>
      <c r="R157">
        <v>0</v>
      </c>
      <c r="S157">
        <v>20</v>
      </c>
      <c r="T157">
        <v>40</v>
      </c>
      <c r="U157">
        <v>316979120.79000002</v>
      </c>
      <c r="V157">
        <v>8819</v>
      </c>
    </row>
    <row r="158" spans="1:22" x14ac:dyDescent="0.25">
      <c r="A158">
        <v>0.99202165260418496</v>
      </c>
      <c r="B158">
        <v>9.1648750531717909</v>
      </c>
      <c r="C158">
        <v>10.633354027478999</v>
      </c>
      <c r="D158">
        <v>0</v>
      </c>
      <c r="E158">
        <v>4.2825144900884604</v>
      </c>
      <c r="F158">
        <v>4.3621998200302396</v>
      </c>
      <c r="G158">
        <v>17.8424394914164</v>
      </c>
      <c r="H158">
        <v>23.421873440401001</v>
      </c>
      <c r="I158">
        <v>58.297373711889001</v>
      </c>
      <c r="J158">
        <v>48.539649633275303</v>
      </c>
      <c r="K158">
        <v>45875.978362971699</v>
      </c>
      <c r="L158">
        <v>749.302267646004</v>
      </c>
      <c r="M158">
        <v>6.1408826623647099E-2</v>
      </c>
      <c r="N158">
        <v>4.82587088947826E-2</v>
      </c>
      <c r="O158">
        <v>0.75727053077792905</v>
      </c>
      <c r="P158">
        <v>3.0680197415641999E-2</v>
      </c>
      <c r="Q158">
        <v>0.50305646277674898</v>
      </c>
      <c r="R158">
        <v>0</v>
      </c>
      <c r="S158">
        <v>20</v>
      </c>
      <c r="T158">
        <v>50</v>
      </c>
      <c r="U158">
        <v>928713305.98000002</v>
      </c>
      <c r="V158">
        <v>20244</v>
      </c>
    </row>
    <row r="159" spans="1:22" x14ac:dyDescent="0.25">
      <c r="A159">
        <v>0.99200118325793896</v>
      </c>
      <c r="B159">
        <v>9.1873639731267502</v>
      </c>
      <c r="C159">
        <v>9.7025753175343006</v>
      </c>
      <c r="D159">
        <v>0</v>
      </c>
      <c r="E159">
        <v>4.2990556342641604</v>
      </c>
      <c r="F159">
        <v>4.36472846019202</v>
      </c>
      <c r="G159">
        <v>17.786176305230398</v>
      </c>
      <c r="H159">
        <v>23.256296706196</v>
      </c>
      <c r="I159">
        <v>61.443481290404499</v>
      </c>
      <c r="J159">
        <v>52.996947952792901</v>
      </c>
      <c r="K159">
        <v>55447.417022800102</v>
      </c>
      <c r="L159">
        <v>749.66872215790102</v>
      </c>
      <c r="M159">
        <v>6.6390995881850601E-2</v>
      </c>
      <c r="N159">
        <v>5.0607733517969301E-2</v>
      </c>
      <c r="O159">
        <v>0.74289218244364197</v>
      </c>
      <c r="P159">
        <v>3.7597308455527202E-2</v>
      </c>
      <c r="Q159">
        <v>0.53881842795648704</v>
      </c>
      <c r="R159">
        <v>0</v>
      </c>
      <c r="S159">
        <v>20</v>
      </c>
      <c r="T159">
        <v>60</v>
      </c>
      <c r="U159">
        <v>1935780223.0999999</v>
      </c>
      <c r="V159">
        <v>34912</v>
      </c>
    </row>
    <row r="160" spans="1:22" x14ac:dyDescent="0.25">
      <c r="A160">
        <v>0.99199429204127698</v>
      </c>
      <c r="B160">
        <v>9.1949339516845008</v>
      </c>
      <c r="C160">
        <v>8.8121795024272593</v>
      </c>
      <c r="D160">
        <v>0</v>
      </c>
      <c r="E160">
        <v>4.3061945611691597</v>
      </c>
      <c r="F160">
        <v>4.3664555910057601</v>
      </c>
      <c r="G160">
        <v>17.737557932890802</v>
      </c>
      <c r="H160">
        <v>23.172083325834102</v>
      </c>
      <c r="I160">
        <v>63.369178064175401</v>
      </c>
      <c r="J160">
        <v>55.332220175404203</v>
      </c>
      <c r="K160">
        <v>65217.907364325103</v>
      </c>
      <c r="L160">
        <v>750.00221439380095</v>
      </c>
      <c r="M160">
        <v>7.2481980506958102E-2</v>
      </c>
      <c r="N160">
        <v>5.6883702436073602E-2</v>
      </c>
      <c r="O160">
        <v>0.72818214428407602</v>
      </c>
      <c r="P160">
        <v>3.8429938293521503E-2</v>
      </c>
      <c r="Q160">
        <v>0.56640574336956595</v>
      </c>
      <c r="R160">
        <v>0</v>
      </c>
      <c r="S160">
        <v>20</v>
      </c>
      <c r="T160">
        <v>70</v>
      </c>
      <c r="U160">
        <v>3176177306.5500002</v>
      </c>
      <c r="V160">
        <v>48701</v>
      </c>
    </row>
    <row r="161" spans="1:22" x14ac:dyDescent="0.25">
      <c r="A161">
        <v>0.99205854710038999</v>
      </c>
      <c r="B161">
        <v>9.1243275296424091</v>
      </c>
      <c r="C161">
        <v>8.7769409674244301</v>
      </c>
      <c r="D161">
        <v>0</v>
      </c>
      <c r="E161">
        <v>4.3050634639059098</v>
      </c>
      <c r="F161">
        <v>4.36693774639458</v>
      </c>
      <c r="G161">
        <v>17.728647544928599</v>
      </c>
      <c r="H161">
        <v>23.022341647592899</v>
      </c>
      <c r="I161">
        <v>63.291873569309899</v>
      </c>
      <c r="J161">
        <v>55.838859590091097</v>
      </c>
      <c r="K161">
        <v>75160.686426345899</v>
      </c>
      <c r="L161">
        <v>750.45011765869003</v>
      </c>
      <c r="M161">
        <v>7.6412083589457405E-2</v>
      </c>
      <c r="N161">
        <v>6.8552821049632506E-2</v>
      </c>
      <c r="O161">
        <v>0.71202506173369295</v>
      </c>
      <c r="P161">
        <v>3.6218138100683299E-2</v>
      </c>
      <c r="Q161">
        <v>0.59880350846681196</v>
      </c>
      <c r="R161">
        <v>0</v>
      </c>
      <c r="S161">
        <v>20</v>
      </c>
      <c r="T161">
        <v>80</v>
      </c>
      <c r="U161">
        <v>4824714783.0799999</v>
      </c>
      <c r="V161">
        <v>64192</v>
      </c>
    </row>
    <row r="162" spans="1:22" x14ac:dyDescent="0.25">
      <c r="A162">
        <v>0.99207109230243995</v>
      </c>
      <c r="B162">
        <v>9.1105364125222295</v>
      </c>
      <c r="C162">
        <v>8.0653791481177208</v>
      </c>
      <c r="D162">
        <v>0</v>
      </c>
      <c r="E162">
        <v>4.3088716829707199</v>
      </c>
      <c r="F162">
        <v>4.3624426936209302</v>
      </c>
      <c r="G162">
        <v>17.679254500260601</v>
      </c>
      <c r="H162">
        <v>23.130318581833901</v>
      </c>
      <c r="I162">
        <v>66.027755772702307</v>
      </c>
      <c r="J162">
        <v>58.410837326285503</v>
      </c>
      <c r="K162">
        <v>85173.766236300697</v>
      </c>
      <c r="L162">
        <v>751.08280575128299</v>
      </c>
      <c r="M162">
        <v>8.0813483872099995E-2</v>
      </c>
      <c r="N162">
        <v>7.5337961227619502E-2</v>
      </c>
      <c r="O162">
        <v>0.69595458445716396</v>
      </c>
      <c r="P162">
        <v>3.6401284511770597E-2</v>
      </c>
      <c r="Q162">
        <v>0.60425192662180605</v>
      </c>
      <c r="R162">
        <v>0</v>
      </c>
      <c r="S162">
        <v>20</v>
      </c>
      <c r="T162">
        <v>90</v>
      </c>
      <c r="U162">
        <v>6629329747.4700003</v>
      </c>
      <c r="V162">
        <v>77833</v>
      </c>
    </row>
    <row r="163" spans="1:22" x14ac:dyDescent="0.25">
      <c r="A163">
        <v>0.99220325340434001</v>
      </c>
      <c r="B163">
        <v>8.9651332432761901</v>
      </c>
      <c r="C163">
        <v>8.58264796266125</v>
      </c>
      <c r="D163">
        <v>0</v>
      </c>
      <c r="E163">
        <v>4.3102464997242498</v>
      </c>
      <c r="F163">
        <v>4.3644614372986998</v>
      </c>
      <c r="G163">
        <v>17.672986575920401</v>
      </c>
      <c r="H163">
        <v>22.890092931528901</v>
      </c>
      <c r="I163">
        <v>65.679680606927903</v>
      </c>
      <c r="J163">
        <v>58.431561512775701</v>
      </c>
      <c r="K163">
        <v>95292.987595428305</v>
      </c>
      <c r="L163">
        <v>753.01231983922503</v>
      </c>
      <c r="M163">
        <v>7.6455297342835002E-2</v>
      </c>
      <c r="N163">
        <v>7.5301168697936197E-2</v>
      </c>
      <c r="O163">
        <v>0.66533867272327396</v>
      </c>
      <c r="P163">
        <v>3.2901058313339698E-2</v>
      </c>
      <c r="Q163">
        <v>0.58016785753258904</v>
      </c>
      <c r="R163">
        <v>0</v>
      </c>
      <c r="S163">
        <v>20</v>
      </c>
      <c r="T163">
        <v>100</v>
      </c>
      <c r="U163">
        <v>9863491267.0400009</v>
      </c>
      <c r="V163">
        <v>103507</v>
      </c>
    </row>
    <row r="164" spans="1:22" x14ac:dyDescent="0.25">
      <c r="A164">
        <v>0.99219434708118603</v>
      </c>
      <c r="B164">
        <v>8.9749386444800106</v>
      </c>
      <c r="C164">
        <v>8.2784416958534095</v>
      </c>
      <c r="D164">
        <v>0</v>
      </c>
      <c r="E164">
        <v>4.3192571939717199</v>
      </c>
      <c r="F164">
        <v>4.3590642816771803</v>
      </c>
      <c r="G164">
        <v>17.619157392802698</v>
      </c>
      <c r="H164">
        <v>22.7146647551588</v>
      </c>
      <c r="I164">
        <v>68.101348543881102</v>
      </c>
      <c r="J164">
        <v>60.866322732805202</v>
      </c>
      <c r="K164">
        <v>105045.463590774</v>
      </c>
      <c r="L164">
        <v>751.88861814376503</v>
      </c>
      <c r="M164">
        <v>8.5806492861017603E-2</v>
      </c>
      <c r="N164">
        <v>7.5546366169353202E-2</v>
      </c>
      <c r="O164">
        <v>0.65229338940884496</v>
      </c>
      <c r="P164">
        <v>3.2403642246771898E-2</v>
      </c>
      <c r="Q164">
        <v>0.60351552658879204</v>
      </c>
      <c r="R164">
        <v>0</v>
      </c>
      <c r="S164">
        <v>20</v>
      </c>
      <c r="T164">
        <v>110</v>
      </c>
      <c r="U164">
        <v>10394038531.379999</v>
      </c>
      <c r="V164">
        <v>98948</v>
      </c>
    </row>
    <row r="165" spans="1:22" x14ac:dyDescent="0.25">
      <c r="A165">
        <v>0.99222118524222203</v>
      </c>
      <c r="B165">
        <v>8.9453882798602198</v>
      </c>
      <c r="C165">
        <v>8.0300156617784992</v>
      </c>
      <c r="D165">
        <v>0</v>
      </c>
      <c r="E165">
        <v>4.3102356084288997</v>
      </c>
      <c r="F165">
        <v>4.3552535116650501</v>
      </c>
      <c r="G165">
        <v>17.605322322689599</v>
      </c>
      <c r="H165">
        <v>22.9089121968934</v>
      </c>
      <c r="I165">
        <v>68.353621863752394</v>
      </c>
      <c r="J165">
        <v>60.990276275565698</v>
      </c>
      <c r="K165">
        <v>115102.454579257</v>
      </c>
      <c r="L165">
        <v>753.20157785189804</v>
      </c>
      <c r="M165">
        <v>8.4558891409946602E-2</v>
      </c>
      <c r="N165">
        <v>7.48296353420351E-2</v>
      </c>
      <c r="O165">
        <v>0.63562058232577201</v>
      </c>
      <c r="P165">
        <v>2.9342966407736398E-2</v>
      </c>
      <c r="Q165">
        <v>0.60125778308153599</v>
      </c>
      <c r="R165">
        <v>0</v>
      </c>
      <c r="S165">
        <v>20</v>
      </c>
      <c r="T165">
        <v>120</v>
      </c>
      <c r="U165">
        <v>11920815913.41</v>
      </c>
      <c r="V165">
        <v>103567</v>
      </c>
    </row>
    <row r="166" spans="1:22" x14ac:dyDescent="0.25">
      <c r="A166">
        <v>0.99228595555406096</v>
      </c>
      <c r="B166">
        <v>8.8740362034947697</v>
      </c>
      <c r="C166">
        <v>8.7063284803422594</v>
      </c>
      <c r="D166">
        <v>0</v>
      </c>
      <c r="E166">
        <v>4.3126504648686197</v>
      </c>
      <c r="F166">
        <v>4.35482593513259</v>
      </c>
      <c r="G166">
        <v>17.601395362713301</v>
      </c>
      <c r="H166">
        <v>22.445037158024402</v>
      </c>
      <c r="I166">
        <v>68.7708050439918</v>
      </c>
      <c r="J166">
        <v>61.615599982265003</v>
      </c>
      <c r="K166">
        <v>124954.963861015</v>
      </c>
      <c r="L166">
        <v>753.17148747636702</v>
      </c>
      <c r="M166">
        <v>8.3119199875718794E-2</v>
      </c>
      <c r="N166">
        <v>8.4383806599185193E-2</v>
      </c>
      <c r="O166">
        <v>0.63121764406633196</v>
      </c>
      <c r="P166">
        <v>3.1521034032091097E-2</v>
      </c>
      <c r="Q166">
        <v>0.60508732137100296</v>
      </c>
      <c r="R166">
        <v>0</v>
      </c>
      <c r="S166">
        <v>20</v>
      </c>
      <c r="T166">
        <v>130</v>
      </c>
      <c r="U166">
        <v>13600972951.379999</v>
      </c>
      <c r="V166">
        <v>108847</v>
      </c>
    </row>
    <row r="167" spans="1:22" x14ac:dyDescent="0.25">
      <c r="A167">
        <v>0.99227182194964303</v>
      </c>
      <c r="B167">
        <v>8.8896103926827905</v>
      </c>
      <c r="C167">
        <v>9.0164304813543303</v>
      </c>
      <c r="D167">
        <v>0</v>
      </c>
      <c r="E167">
        <v>4.3063238461252098</v>
      </c>
      <c r="F167">
        <v>4.3504195351646997</v>
      </c>
      <c r="G167">
        <v>17.582425352048698</v>
      </c>
      <c r="H167">
        <v>22.551769243622701</v>
      </c>
      <c r="I167">
        <v>69.192733274635202</v>
      </c>
      <c r="J167">
        <v>61.8658762674565</v>
      </c>
      <c r="K167">
        <v>134972.149620012</v>
      </c>
      <c r="L167">
        <v>753.40333997423897</v>
      </c>
      <c r="M167">
        <v>8.7218735396051197E-2</v>
      </c>
      <c r="N167">
        <v>8.8957866370448405E-2</v>
      </c>
      <c r="O167">
        <v>0.61759626387016398</v>
      </c>
      <c r="P167">
        <v>2.9986650911193301E-2</v>
      </c>
      <c r="Q167">
        <v>0.613874320374174</v>
      </c>
      <c r="R167">
        <v>0</v>
      </c>
      <c r="S167">
        <v>20</v>
      </c>
      <c r="T167">
        <v>140</v>
      </c>
      <c r="U167">
        <v>14144136475.129999</v>
      </c>
      <c r="V167">
        <v>104793</v>
      </c>
    </row>
    <row r="168" spans="1:22" x14ac:dyDescent="0.25">
      <c r="A168">
        <v>0.99230804216948698</v>
      </c>
      <c r="B168">
        <v>8.8496934964372507</v>
      </c>
      <c r="C168">
        <v>9.6414833181847808</v>
      </c>
      <c r="D168">
        <v>0</v>
      </c>
      <c r="E168">
        <v>4.3009530304919901</v>
      </c>
      <c r="F168">
        <v>4.3515807987817103</v>
      </c>
      <c r="G168">
        <v>17.606134290677499</v>
      </c>
      <c r="H168">
        <v>22.4307309542552</v>
      </c>
      <c r="I168">
        <v>67.9845760432882</v>
      </c>
      <c r="J168">
        <v>60.917936007526102</v>
      </c>
      <c r="K168">
        <v>144961.378994845</v>
      </c>
      <c r="L168">
        <v>754.22222492011804</v>
      </c>
      <c r="M168">
        <v>8.41966705816731E-2</v>
      </c>
      <c r="N168">
        <v>8.9239960664126705E-2</v>
      </c>
      <c r="O168">
        <v>0.60710995470904106</v>
      </c>
      <c r="P168">
        <v>3.1945465144560301E-2</v>
      </c>
      <c r="Q168">
        <v>0.62008456725358596</v>
      </c>
      <c r="R168">
        <v>0</v>
      </c>
      <c r="S168">
        <v>20</v>
      </c>
      <c r="T168">
        <v>150</v>
      </c>
      <c r="U168">
        <v>15888491944.73</v>
      </c>
      <c r="V168">
        <v>109605</v>
      </c>
    </row>
    <row r="169" spans="1:22" x14ac:dyDescent="0.25">
      <c r="A169">
        <v>0.99226421223456696</v>
      </c>
      <c r="B169">
        <v>8.8979947266537796</v>
      </c>
      <c r="C169">
        <v>9.4026965318404105</v>
      </c>
      <c r="D169">
        <v>0</v>
      </c>
      <c r="E169">
        <v>4.2994659548249299</v>
      </c>
      <c r="F169">
        <v>4.3476338022075298</v>
      </c>
      <c r="G169">
        <v>17.577008871907999</v>
      </c>
      <c r="H169">
        <v>22.473105428288601</v>
      </c>
      <c r="I169">
        <v>69.253901546947503</v>
      </c>
      <c r="J169">
        <v>62.0271904851691</v>
      </c>
      <c r="K169">
        <v>154934.256405038</v>
      </c>
      <c r="L169">
        <v>753.768291094544</v>
      </c>
      <c r="M169">
        <v>8.7259884425152603E-2</v>
      </c>
      <c r="N169">
        <v>9.2381682658758596E-2</v>
      </c>
      <c r="O169">
        <v>0.60295233665965897</v>
      </c>
      <c r="P169">
        <v>3.0246700528745101E-2</v>
      </c>
      <c r="Q169">
        <v>0.64116123406196301</v>
      </c>
      <c r="R169">
        <v>0</v>
      </c>
      <c r="S169">
        <v>20</v>
      </c>
      <c r="T169">
        <v>160</v>
      </c>
      <c r="U169">
        <v>15485833861.940001</v>
      </c>
      <c r="V169">
        <v>99951</v>
      </c>
    </row>
    <row r="170" spans="1:22" x14ac:dyDescent="0.25">
      <c r="A170">
        <v>0.992218958467048</v>
      </c>
      <c r="B170">
        <v>8.9478404223762507</v>
      </c>
      <c r="C170">
        <v>8.7267010194788295</v>
      </c>
      <c r="D170">
        <v>0</v>
      </c>
      <c r="E170">
        <v>4.29747067787694</v>
      </c>
      <c r="F170">
        <v>4.3449523112908297</v>
      </c>
      <c r="G170">
        <v>17.566682745571701</v>
      </c>
      <c r="H170">
        <v>22.554412593569701</v>
      </c>
      <c r="I170">
        <v>69.828664226948604</v>
      </c>
      <c r="J170">
        <v>62.480693081190303</v>
      </c>
      <c r="K170">
        <v>165001.7082969</v>
      </c>
      <c r="L170">
        <v>754.299715294262</v>
      </c>
      <c r="M170">
        <v>8.8625081044562196E-2</v>
      </c>
      <c r="N170">
        <v>9.3865799511827094E-2</v>
      </c>
      <c r="O170">
        <v>0.59596812327199999</v>
      </c>
      <c r="P170">
        <v>3.1030210461427399E-2</v>
      </c>
      <c r="Q170">
        <v>0.62986325961373102</v>
      </c>
      <c r="R170">
        <v>0</v>
      </c>
      <c r="S170">
        <v>20</v>
      </c>
      <c r="T170">
        <v>170</v>
      </c>
      <c r="U170">
        <v>16651312394.49</v>
      </c>
      <c r="V170">
        <v>100916</v>
      </c>
    </row>
    <row r="171" spans="1:22" x14ac:dyDescent="0.25">
      <c r="A171">
        <v>0.99091685667807805</v>
      </c>
      <c r="B171">
        <v>10.3714034454946</v>
      </c>
      <c r="C171">
        <v>11.9944544351904</v>
      </c>
      <c r="D171">
        <v>0</v>
      </c>
      <c r="E171">
        <v>4.2636234753849198</v>
      </c>
      <c r="F171">
        <v>4.3188062934006801</v>
      </c>
      <c r="G171">
        <v>17.518793756639301</v>
      </c>
      <c r="H171">
        <v>21.775579681300499</v>
      </c>
      <c r="I171">
        <v>69.919898736397897</v>
      </c>
      <c r="J171">
        <v>62.721903319144701</v>
      </c>
      <c r="K171">
        <v>290081.69226669299</v>
      </c>
      <c r="L171">
        <v>755.06299323093299</v>
      </c>
      <c r="M171">
        <v>0.13729600748384799</v>
      </c>
      <c r="N171">
        <v>0.107510510417409</v>
      </c>
      <c r="O171">
        <v>0.52926364802890702</v>
      </c>
      <c r="P171">
        <v>5.4352949542885297E-2</v>
      </c>
      <c r="Q171">
        <v>0.63210113875427298</v>
      </c>
      <c r="R171">
        <v>0</v>
      </c>
      <c r="S171">
        <v>20</v>
      </c>
      <c r="T171">
        <v>175</v>
      </c>
      <c r="U171">
        <v>439505672770.19</v>
      </c>
      <c r="V171">
        <v>1515110</v>
      </c>
    </row>
    <row r="172" spans="1:22" x14ac:dyDescent="0.25">
      <c r="A172">
        <v>0.992180570539277</v>
      </c>
      <c r="B172">
        <v>8.9901039977061199</v>
      </c>
      <c r="C172">
        <v>8.8761502118072197</v>
      </c>
      <c r="D172">
        <v>0</v>
      </c>
      <c r="E172">
        <v>4.2903410389485197</v>
      </c>
      <c r="F172">
        <v>4.3391310295188203</v>
      </c>
      <c r="G172">
        <v>17.57841324943</v>
      </c>
      <c r="H172">
        <v>22.519418836107501</v>
      </c>
      <c r="I172">
        <v>69.914984210668806</v>
      </c>
      <c r="J172">
        <v>62.580324532724397</v>
      </c>
      <c r="K172">
        <v>172431.117621285</v>
      </c>
      <c r="L172">
        <v>754.46418879094699</v>
      </c>
      <c r="M172">
        <v>8.8515297459419495E-2</v>
      </c>
      <c r="N172">
        <v>9.6397551650784605E-2</v>
      </c>
      <c r="O172">
        <v>0.597053373035762</v>
      </c>
      <c r="P172">
        <v>3.2392522733183902E-2</v>
      </c>
      <c r="Q172">
        <v>0.62607004591850302</v>
      </c>
      <c r="R172">
        <v>0</v>
      </c>
      <c r="S172">
        <v>20</v>
      </c>
      <c r="T172">
        <v>180</v>
      </c>
      <c r="U172">
        <v>8878478246.3199997</v>
      </c>
      <c r="V172">
        <v>51490</v>
      </c>
    </row>
    <row r="173" spans="1:22" x14ac:dyDescent="0.25">
      <c r="A173">
        <v>0.992575331104389</v>
      </c>
      <c r="B173">
        <v>8.5546287322331001</v>
      </c>
      <c r="C173">
        <v>90.605818895171396</v>
      </c>
      <c r="D173">
        <v>0</v>
      </c>
      <c r="E173">
        <v>4.1867009907551003</v>
      </c>
      <c r="F173">
        <v>4.3494555069921299</v>
      </c>
      <c r="G173">
        <v>22.110851838022299</v>
      </c>
      <c r="H173">
        <v>25.7703430249292</v>
      </c>
      <c r="I173">
        <v>60.631742307855198</v>
      </c>
      <c r="J173">
        <v>4.0244094400485304</v>
      </c>
      <c r="K173">
        <v>5732.2926478149102</v>
      </c>
      <c r="L173">
        <v>775.77128851624195</v>
      </c>
      <c r="M173">
        <v>2.02120795968238E-2</v>
      </c>
      <c r="N173">
        <v>6.2436937797007097E-2</v>
      </c>
      <c r="O173">
        <v>0.60844248090276298</v>
      </c>
      <c r="P173">
        <v>2.2175519627709299E-2</v>
      </c>
      <c r="Q173">
        <v>0.297863290489782</v>
      </c>
      <c r="R173">
        <v>0</v>
      </c>
      <c r="S173">
        <v>25</v>
      </c>
      <c r="T173">
        <v>10</v>
      </c>
      <c r="U173">
        <v>4459723.68</v>
      </c>
      <c r="V173">
        <v>778</v>
      </c>
    </row>
    <row r="174" spans="1:22" x14ac:dyDescent="0.25">
      <c r="A174">
        <v>0.99249370369238699</v>
      </c>
      <c r="B174">
        <v>8.6448313409430497</v>
      </c>
      <c r="C174">
        <v>65.872657717304705</v>
      </c>
      <c r="D174">
        <v>0</v>
      </c>
      <c r="E174">
        <v>4.2280843749426102</v>
      </c>
      <c r="F174">
        <v>4.34976176713222</v>
      </c>
      <c r="G174">
        <v>22.183812783441201</v>
      </c>
      <c r="H174">
        <v>25.0797952625242</v>
      </c>
      <c r="I174">
        <v>57.471652016666702</v>
      </c>
      <c r="J174">
        <v>15.004763581678599</v>
      </c>
      <c r="K174">
        <v>15733.177666428001</v>
      </c>
      <c r="L174">
        <v>770.95194475159701</v>
      </c>
      <c r="M174">
        <v>3.9139497085278002E-2</v>
      </c>
      <c r="N174">
        <v>4.5490411474109801E-2</v>
      </c>
      <c r="O174">
        <v>0.71455558136171404</v>
      </c>
      <c r="P174">
        <v>2.5581352888068599E-2</v>
      </c>
      <c r="Q174">
        <v>0.357515706223486</v>
      </c>
      <c r="R174">
        <v>0</v>
      </c>
      <c r="S174">
        <v>25</v>
      </c>
      <c r="T174">
        <v>20</v>
      </c>
      <c r="U174">
        <v>21979249.199999999</v>
      </c>
      <c r="V174">
        <v>1397</v>
      </c>
    </row>
    <row r="175" spans="1:22" x14ac:dyDescent="0.25">
      <c r="A175">
        <v>0.99226181712627204</v>
      </c>
      <c r="B175">
        <v>8.9006334948656196</v>
      </c>
      <c r="C175">
        <v>29.652827002278901</v>
      </c>
      <c r="D175">
        <v>0</v>
      </c>
      <c r="E175">
        <v>4.2824390905242202</v>
      </c>
      <c r="F175">
        <v>4.3610787546773198</v>
      </c>
      <c r="G175">
        <v>22.2657969587124</v>
      </c>
      <c r="H175">
        <v>24.392944540875199</v>
      </c>
      <c r="I175">
        <v>53.748794377558497</v>
      </c>
      <c r="J175">
        <v>32.414370638481799</v>
      </c>
      <c r="K175">
        <v>26126.879383794199</v>
      </c>
      <c r="L175">
        <v>760.25935430857896</v>
      </c>
      <c r="M175">
        <v>5.9045089909126498E-2</v>
      </c>
      <c r="N175">
        <v>3.6047453220956399E-2</v>
      </c>
      <c r="O175">
        <v>0.79753695683334902</v>
      </c>
      <c r="P175">
        <v>2.0702397658513599E-2</v>
      </c>
      <c r="Q175">
        <v>0.42496862446167599</v>
      </c>
      <c r="R175">
        <v>0</v>
      </c>
      <c r="S175">
        <v>25</v>
      </c>
      <c r="T175">
        <v>30</v>
      </c>
      <c r="U175">
        <v>107694996.81999999</v>
      </c>
      <c r="V175">
        <v>4122</v>
      </c>
    </row>
    <row r="176" spans="1:22" x14ac:dyDescent="0.25">
      <c r="A176">
        <v>0.99216032875633597</v>
      </c>
      <c r="B176">
        <v>9.0123821505424306</v>
      </c>
      <c r="C176">
        <v>16.669687726075299</v>
      </c>
      <c r="D176">
        <v>0</v>
      </c>
      <c r="E176">
        <v>4.2989568558273596</v>
      </c>
      <c r="F176">
        <v>4.3565089004279303</v>
      </c>
      <c r="G176">
        <v>22.269102207069</v>
      </c>
      <c r="H176">
        <v>24.062277349145699</v>
      </c>
      <c r="I176">
        <v>54.664023848331702</v>
      </c>
      <c r="J176">
        <v>41.887443816348501</v>
      </c>
      <c r="K176">
        <v>35910.229487933</v>
      </c>
      <c r="L176">
        <v>758.18756933339398</v>
      </c>
      <c r="M176">
        <v>5.7295879944617302E-2</v>
      </c>
      <c r="N176">
        <v>3.2918041888444501E-2</v>
      </c>
      <c r="O176">
        <v>0.79154106658179901</v>
      </c>
      <c r="P176">
        <v>3.29991665218691E-2</v>
      </c>
      <c r="Q176">
        <v>0.49584958241006299</v>
      </c>
      <c r="R176">
        <v>0</v>
      </c>
      <c r="S176">
        <v>25</v>
      </c>
      <c r="T176">
        <v>40</v>
      </c>
      <c r="U176">
        <v>403235966.92000002</v>
      </c>
      <c r="V176">
        <v>11229</v>
      </c>
    </row>
    <row r="177" spans="1:22" x14ac:dyDescent="0.25">
      <c r="A177">
        <v>0.99200710025847105</v>
      </c>
      <c r="B177">
        <v>9.1808637061555594</v>
      </c>
      <c r="C177">
        <v>11.180958085987101</v>
      </c>
      <c r="D177">
        <v>0</v>
      </c>
      <c r="E177">
        <v>4.30905579755993</v>
      </c>
      <c r="F177">
        <v>4.36249748651848</v>
      </c>
      <c r="G177">
        <v>22.2734265052434</v>
      </c>
      <c r="H177">
        <v>23.636157913223801</v>
      </c>
      <c r="I177">
        <v>54.449110431933001</v>
      </c>
      <c r="J177">
        <v>45.138303452772099</v>
      </c>
      <c r="K177">
        <v>45789.169485672501</v>
      </c>
      <c r="L177">
        <v>757.19976316666498</v>
      </c>
      <c r="M177">
        <v>7.1711845248506295E-2</v>
      </c>
      <c r="N177">
        <v>4.0546755106900999E-2</v>
      </c>
      <c r="O177">
        <v>0.77974377341767998</v>
      </c>
      <c r="P177">
        <v>2.8348155142992899E-2</v>
      </c>
      <c r="Q177">
        <v>0.57719121382747396</v>
      </c>
      <c r="R177">
        <v>0</v>
      </c>
      <c r="S177">
        <v>25</v>
      </c>
      <c r="T177">
        <v>50</v>
      </c>
      <c r="U177">
        <v>1192075238.3900001</v>
      </c>
      <c r="V177">
        <v>26034</v>
      </c>
    </row>
    <row r="178" spans="1:22" x14ac:dyDescent="0.25">
      <c r="A178">
        <v>0.99191278417495998</v>
      </c>
      <c r="B178">
        <v>9.2844262007929093</v>
      </c>
      <c r="C178">
        <v>9.2735422014736901</v>
      </c>
      <c r="D178">
        <v>0</v>
      </c>
      <c r="E178">
        <v>4.3172707471569796</v>
      </c>
      <c r="F178">
        <v>4.3561185778886902</v>
      </c>
      <c r="G178">
        <v>22.301883267434601</v>
      </c>
      <c r="H178">
        <v>23.5248264864391</v>
      </c>
      <c r="I178">
        <v>57.902482300027501</v>
      </c>
      <c r="J178">
        <v>49.644597175344003</v>
      </c>
      <c r="K178">
        <v>55409.107937201101</v>
      </c>
      <c r="L178">
        <v>755.530906503599</v>
      </c>
      <c r="M178">
        <v>7.7345500376785198E-2</v>
      </c>
      <c r="N178">
        <v>4.3691327915099699E-2</v>
      </c>
      <c r="O178">
        <v>0.766790108317289</v>
      </c>
      <c r="P178">
        <v>3.3573617031874302E-2</v>
      </c>
      <c r="Q178">
        <v>0.60990667194241699</v>
      </c>
      <c r="R178">
        <v>0</v>
      </c>
      <c r="S178">
        <v>25</v>
      </c>
      <c r="T178">
        <v>60</v>
      </c>
      <c r="U178">
        <v>2410517831.6999998</v>
      </c>
      <c r="V178">
        <v>43504</v>
      </c>
    </row>
    <row r="179" spans="1:22" x14ac:dyDescent="0.25">
      <c r="A179">
        <v>0.99188825620303001</v>
      </c>
      <c r="B179">
        <v>9.3113410645656902</v>
      </c>
      <c r="C179">
        <v>9.07379132265193</v>
      </c>
      <c r="D179">
        <v>0</v>
      </c>
      <c r="E179">
        <v>4.3374134928818604</v>
      </c>
      <c r="F179">
        <v>4.3615372231708198</v>
      </c>
      <c r="G179">
        <v>22.319703360214099</v>
      </c>
      <c r="H179">
        <v>23.4983457934025</v>
      </c>
      <c r="I179">
        <v>60.657521079887204</v>
      </c>
      <c r="J179">
        <v>52.785318701172599</v>
      </c>
      <c r="K179">
        <v>65220.0451906077</v>
      </c>
      <c r="L179">
        <v>754.10859426473405</v>
      </c>
      <c r="M179">
        <v>8.0907353309881302E-2</v>
      </c>
      <c r="N179">
        <v>5.2071450807832501E-2</v>
      </c>
      <c r="O179">
        <v>0.737483752251338</v>
      </c>
      <c r="P179">
        <v>3.5804373389482197E-2</v>
      </c>
      <c r="Q179">
        <v>0.61387600138290899</v>
      </c>
      <c r="R179">
        <v>0</v>
      </c>
      <c r="S179">
        <v>25</v>
      </c>
      <c r="T179">
        <v>70</v>
      </c>
      <c r="U179">
        <v>3777545017.4400001</v>
      </c>
      <c r="V179">
        <v>57920</v>
      </c>
    </row>
    <row r="180" spans="1:22" x14ac:dyDescent="0.25">
      <c r="A180">
        <v>0.99188749437067802</v>
      </c>
      <c r="B180">
        <v>9.3121769159277594</v>
      </c>
      <c r="C180">
        <v>8.4277556070200905</v>
      </c>
      <c r="D180">
        <v>0</v>
      </c>
      <c r="E180">
        <v>4.3301959166856197</v>
      </c>
      <c r="F180">
        <v>4.3540054411812799</v>
      </c>
      <c r="G180">
        <v>22.327613487631901</v>
      </c>
      <c r="H180">
        <v>23.432139610432898</v>
      </c>
      <c r="I180">
        <v>61.354057063368998</v>
      </c>
      <c r="J180">
        <v>53.8987883994768</v>
      </c>
      <c r="K180">
        <v>75139.713534111201</v>
      </c>
      <c r="L180">
        <v>753.65876939044199</v>
      </c>
      <c r="M180">
        <v>8.5510178888472899E-2</v>
      </c>
      <c r="N180">
        <v>6.0013606643019198E-2</v>
      </c>
      <c r="O180">
        <v>0.72472128747871101</v>
      </c>
      <c r="P180">
        <v>3.4412815031618901E-2</v>
      </c>
      <c r="Q180">
        <v>0.63456220649879103</v>
      </c>
      <c r="R180">
        <v>0</v>
      </c>
      <c r="S180">
        <v>25</v>
      </c>
      <c r="T180">
        <v>80</v>
      </c>
      <c r="U180">
        <v>5614890233.5500002</v>
      </c>
      <c r="V180">
        <v>74726</v>
      </c>
    </row>
    <row r="181" spans="1:22" x14ac:dyDescent="0.25">
      <c r="A181">
        <v>0.99189184770232097</v>
      </c>
      <c r="B181">
        <v>9.3074005230130101</v>
      </c>
      <c r="C181">
        <v>8.6201202114993194</v>
      </c>
      <c r="D181">
        <v>0</v>
      </c>
      <c r="E181">
        <v>4.3369541421569799</v>
      </c>
      <c r="F181">
        <v>4.3479281413507298</v>
      </c>
      <c r="G181">
        <v>22.36025707552</v>
      </c>
      <c r="H181">
        <v>23.368609325108299</v>
      </c>
      <c r="I181">
        <v>63.937959849922201</v>
      </c>
      <c r="J181">
        <v>56.426777341003898</v>
      </c>
      <c r="K181">
        <v>85156.783081958507</v>
      </c>
      <c r="L181">
        <v>752.87741199474794</v>
      </c>
      <c r="M181">
        <v>9.2950444171723295E-2</v>
      </c>
      <c r="N181">
        <v>6.4257323136381203E-2</v>
      </c>
      <c r="O181">
        <v>0.71193507743392803</v>
      </c>
      <c r="P181">
        <v>3.4643121603693101E-2</v>
      </c>
      <c r="Q181">
        <v>0.64177401765758402</v>
      </c>
      <c r="R181">
        <v>0</v>
      </c>
      <c r="S181">
        <v>25</v>
      </c>
      <c r="T181">
        <v>90</v>
      </c>
      <c r="U181">
        <v>7453943536.7299995</v>
      </c>
      <c r="V181">
        <v>87532</v>
      </c>
    </row>
    <row r="182" spans="1:22" x14ac:dyDescent="0.25">
      <c r="A182">
        <v>0.992028449585028</v>
      </c>
      <c r="B182">
        <v>9.1574063306579596</v>
      </c>
      <c r="C182">
        <v>8.5883834100042193</v>
      </c>
      <c r="D182">
        <v>0</v>
      </c>
      <c r="E182">
        <v>4.3422362501949898</v>
      </c>
      <c r="F182">
        <v>4.35182370381313</v>
      </c>
      <c r="G182">
        <v>22.355315540330501</v>
      </c>
      <c r="H182">
        <v>23.018702643424501</v>
      </c>
      <c r="I182">
        <v>63.8911350549104</v>
      </c>
      <c r="J182">
        <v>56.832254753262397</v>
      </c>
      <c r="K182">
        <v>95277.829627444793</v>
      </c>
      <c r="L182">
        <v>754.98265257927005</v>
      </c>
      <c r="M182">
        <v>8.3493406536597994E-2</v>
      </c>
      <c r="N182">
        <v>6.8441630918894006E-2</v>
      </c>
      <c r="O182">
        <v>0.67789194501568995</v>
      </c>
      <c r="P182">
        <v>3.2569131314145197E-2</v>
      </c>
      <c r="Q182">
        <v>0.60910387036135905</v>
      </c>
      <c r="R182">
        <v>0</v>
      </c>
      <c r="S182">
        <v>25</v>
      </c>
      <c r="T182">
        <v>100</v>
      </c>
      <c r="U182">
        <v>10950852626.059999</v>
      </c>
      <c r="V182">
        <v>114936</v>
      </c>
    </row>
    <row r="183" spans="1:22" x14ac:dyDescent="0.25">
      <c r="A183">
        <v>0.99198011298256705</v>
      </c>
      <c r="B183">
        <v>9.2105077810059193</v>
      </c>
      <c r="C183">
        <v>8.27235602172677</v>
      </c>
      <c r="D183">
        <v>0</v>
      </c>
      <c r="E183">
        <v>4.3451625447083799</v>
      </c>
      <c r="F183">
        <v>4.3400997354319397</v>
      </c>
      <c r="G183">
        <v>22.3817576750242</v>
      </c>
      <c r="H183">
        <v>22.82859967565</v>
      </c>
      <c r="I183">
        <v>66.589646955107</v>
      </c>
      <c r="J183">
        <v>59.480294700067802</v>
      </c>
      <c r="K183">
        <v>105049.409517119</v>
      </c>
      <c r="L183">
        <v>753.12048029416098</v>
      </c>
      <c r="M183">
        <v>9.3066878042923906E-2</v>
      </c>
      <c r="N183">
        <v>6.7987381826646806E-2</v>
      </c>
      <c r="O183">
        <v>0.66211276488466297</v>
      </c>
      <c r="P183">
        <v>3.3295058036300701E-2</v>
      </c>
      <c r="Q183">
        <v>0.62887447000332297</v>
      </c>
      <c r="R183">
        <v>0</v>
      </c>
      <c r="S183">
        <v>25</v>
      </c>
      <c r="T183">
        <v>110</v>
      </c>
      <c r="U183">
        <v>11395129647.959999</v>
      </c>
      <c r="V183">
        <v>108474</v>
      </c>
    </row>
    <row r="184" spans="1:22" x14ac:dyDescent="0.25">
      <c r="A184">
        <v>0.99199676837590001</v>
      </c>
      <c r="B184">
        <v>9.1922137729313391</v>
      </c>
      <c r="C184">
        <v>8.6994296319635698</v>
      </c>
      <c r="D184">
        <v>0</v>
      </c>
      <c r="E184">
        <v>4.3382084399141903</v>
      </c>
      <c r="F184">
        <v>4.3360193573181602</v>
      </c>
      <c r="G184">
        <v>22.3934148141763</v>
      </c>
      <c r="H184">
        <v>22.968388747544701</v>
      </c>
      <c r="I184">
        <v>66.816782754875206</v>
      </c>
      <c r="J184">
        <v>59.700611535518803</v>
      </c>
      <c r="K184">
        <v>115105.161942527</v>
      </c>
      <c r="L184">
        <v>754.07749185861906</v>
      </c>
      <c r="M184">
        <v>9.3465064274136297E-2</v>
      </c>
      <c r="N184">
        <v>7.0216262589626197E-2</v>
      </c>
      <c r="O184">
        <v>0.65114776846070599</v>
      </c>
      <c r="P184">
        <v>3.1662709652267799E-2</v>
      </c>
      <c r="Q184">
        <v>0.62768970068975405</v>
      </c>
      <c r="R184">
        <v>0</v>
      </c>
      <c r="S184">
        <v>25</v>
      </c>
      <c r="T184">
        <v>120</v>
      </c>
      <c r="U184">
        <v>12909964753.15</v>
      </c>
      <c r="V184">
        <v>112158</v>
      </c>
    </row>
    <row r="185" spans="1:22" x14ac:dyDescent="0.25">
      <c r="A185">
        <v>0.99203363654873</v>
      </c>
      <c r="B185">
        <v>9.1517063636430294</v>
      </c>
      <c r="C185">
        <v>8.8139815219650597</v>
      </c>
      <c r="D185">
        <v>0</v>
      </c>
      <c r="E185">
        <v>4.3383157956619698</v>
      </c>
      <c r="F185">
        <v>4.3328054653333297</v>
      </c>
      <c r="G185">
        <v>22.405179825129402</v>
      </c>
      <c r="H185">
        <v>22.577561547722802</v>
      </c>
      <c r="I185">
        <v>67.498194914049094</v>
      </c>
      <c r="J185">
        <v>60.492917825294903</v>
      </c>
      <c r="K185">
        <v>124969.218019408</v>
      </c>
      <c r="L185">
        <v>753.83943940619099</v>
      </c>
      <c r="M185">
        <v>9.1261351837593499E-2</v>
      </c>
      <c r="N185">
        <v>7.6741486428326594E-2</v>
      </c>
      <c r="O185">
        <v>0.64023216297591301</v>
      </c>
      <c r="P185">
        <v>3.2328752441398899E-2</v>
      </c>
      <c r="Q185">
        <v>0.62534703491605004</v>
      </c>
      <c r="R185">
        <v>0</v>
      </c>
      <c r="S185">
        <v>25</v>
      </c>
      <c r="T185">
        <v>130</v>
      </c>
      <c r="U185">
        <v>14538793855.16</v>
      </c>
      <c r="V185">
        <v>116339</v>
      </c>
    </row>
    <row r="186" spans="1:22" x14ac:dyDescent="0.25">
      <c r="A186">
        <v>0.99200578381817806</v>
      </c>
      <c r="B186">
        <v>9.1823099510191408</v>
      </c>
      <c r="C186">
        <v>9.0458883404012997</v>
      </c>
      <c r="D186">
        <v>0</v>
      </c>
      <c r="E186">
        <v>4.3339674683807896</v>
      </c>
      <c r="F186">
        <v>4.3292967730004301</v>
      </c>
      <c r="G186">
        <v>22.415717327970899</v>
      </c>
      <c r="H186">
        <v>22.625799003956399</v>
      </c>
      <c r="I186">
        <v>67.958168679561496</v>
      </c>
      <c r="J186">
        <v>60.845630945348397</v>
      </c>
      <c r="K186">
        <v>134982.246557965</v>
      </c>
      <c r="L186">
        <v>754.08458913596098</v>
      </c>
      <c r="M186">
        <v>9.4937449977716901E-2</v>
      </c>
      <c r="N186">
        <v>7.9001474778251604E-2</v>
      </c>
      <c r="O186">
        <v>0.63189405565650203</v>
      </c>
      <c r="P186">
        <v>3.24453695580691E-2</v>
      </c>
      <c r="Q186">
        <v>0.63567494424744198</v>
      </c>
      <c r="R186">
        <v>0</v>
      </c>
      <c r="S186">
        <v>25</v>
      </c>
      <c r="T186">
        <v>140</v>
      </c>
      <c r="U186">
        <v>15087505626.77</v>
      </c>
      <c r="V186">
        <v>111774</v>
      </c>
    </row>
    <row r="187" spans="1:22" x14ac:dyDescent="0.25">
      <c r="A187">
        <v>0.99201042228334202</v>
      </c>
      <c r="B187">
        <v>9.1772140267970794</v>
      </c>
      <c r="C187">
        <v>8.8577687912007796</v>
      </c>
      <c r="D187">
        <v>0</v>
      </c>
      <c r="E187">
        <v>4.3298629530242101</v>
      </c>
      <c r="F187">
        <v>4.3313176652542698</v>
      </c>
      <c r="G187">
        <v>22.3910735003588</v>
      </c>
      <c r="H187">
        <v>22.486279049104901</v>
      </c>
      <c r="I187">
        <v>66.944658536859095</v>
      </c>
      <c r="J187">
        <v>60.046240160515303</v>
      </c>
      <c r="K187">
        <v>144956.24509689701</v>
      </c>
      <c r="L187">
        <v>754.39961137409603</v>
      </c>
      <c r="M187">
        <v>9.1628724897703198E-2</v>
      </c>
      <c r="N187">
        <v>8.3988458240143796E-2</v>
      </c>
      <c r="O187">
        <v>0.61628667659803504</v>
      </c>
      <c r="P187">
        <v>3.3667218115775499E-2</v>
      </c>
      <c r="Q187">
        <v>0.63659853011179701</v>
      </c>
      <c r="R187">
        <v>0</v>
      </c>
      <c r="S187">
        <v>25</v>
      </c>
      <c r="T187">
        <v>150</v>
      </c>
      <c r="U187">
        <v>16971912044.68</v>
      </c>
      <c r="V187">
        <v>117083</v>
      </c>
    </row>
    <row r="188" spans="1:22" x14ac:dyDescent="0.25">
      <c r="A188">
        <v>0.99194096886560501</v>
      </c>
      <c r="B188">
        <v>9.2534897309275408</v>
      </c>
      <c r="C188">
        <v>9.5093306452333302</v>
      </c>
      <c r="D188">
        <v>0</v>
      </c>
      <c r="E188">
        <v>4.3321659137372901</v>
      </c>
      <c r="F188">
        <v>4.3283778342162504</v>
      </c>
      <c r="G188">
        <v>22.408183904739602</v>
      </c>
      <c r="H188">
        <v>22.537640713333499</v>
      </c>
      <c r="I188">
        <v>68.232978665881106</v>
      </c>
      <c r="J188">
        <v>61.214436177104297</v>
      </c>
      <c r="K188">
        <v>154952.43700957601</v>
      </c>
      <c r="L188">
        <v>754.16286187694004</v>
      </c>
      <c r="M188">
        <v>9.4776210491620896E-2</v>
      </c>
      <c r="N188">
        <v>8.5908857043683104E-2</v>
      </c>
      <c r="O188">
        <v>0.61348573722481203</v>
      </c>
      <c r="P188">
        <v>3.1489436903330802E-2</v>
      </c>
      <c r="Q188">
        <v>0.65999771673781904</v>
      </c>
      <c r="R188">
        <v>0</v>
      </c>
      <c r="S188">
        <v>25</v>
      </c>
      <c r="T188">
        <v>160</v>
      </c>
      <c r="U188">
        <v>16391023739.309999</v>
      </c>
      <c r="V188">
        <v>105781</v>
      </c>
    </row>
    <row r="189" spans="1:22" x14ac:dyDescent="0.25">
      <c r="A189">
        <v>0.991863321518622</v>
      </c>
      <c r="B189">
        <v>9.3386947159513394</v>
      </c>
      <c r="C189">
        <v>9.0891776779122608</v>
      </c>
      <c r="D189">
        <v>0</v>
      </c>
      <c r="E189">
        <v>4.32617088399636</v>
      </c>
      <c r="F189">
        <v>4.3222816082639497</v>
      </c>
      <c r="G189">
        <v>22.411044340093301</v>
      </c>
      <c r="H189">
        <v>22.541523211922001</v>
      </c>
      <c r="I189">
        <v>68.753481388613395</v>
      </c>
      <c r="J189">
        <v>61.650514453537603</v>
      </c>
      <c r="K189">
        <v>165002.60894561399</v>
      </c>
      <c r="L189">
        <v>754.36141175495004</v>
      </c>
      <c r="M189">
        <v>9.4290327256990894E-2</v>
      </c>
      <c r="N189">
        <v>8.8422722518347305E-2</v>
      </c>
      <c r="O189">
        <v>0.60582082370915902</v>
      </c>
      <c r="P189">
        <v>3.3673229917684601E-2</v>
      </c>
      <c r="Q189">
        <v>0.64900160345566105</v>
      </c>
      <c r="R189">
        <v>0</v>
      </c>
      <c r="S189">
        <v>25</v>
      </c>
      <c r="T189">
        <v>170</v>
      </c>
      <c r="U189">
        <v>17426915546.400002</v>
      </c>
      <c r="V189">
        <v>105616</v>
      </c>
    </row>
    <row r="190" spans="1:22" x14ac:dyDescent="0.25">
      <c r="A190">
        <v>0.99024162164945895</v>
      </c>
      <c r="B190">
        <v>11.101564346007301</v>
      </c>
      <c r="C190">
        <v>13.0359946586794</v>
      </c>
      <c r="D190">
        <v>0</v>
      </c>
      <c r="E190">
        <v>4.2894896287682496</v>
      </c>
      <c r="F190">
        <v>4.2912188518444401</v>
      </c>
      <c r="G190">
        <v>22.4332404204429</v>
      </c>
      <c r="H190">
        <v>21.757028799696698</v>
      </c>
      <c r="I190">
        <v>69.362206140157696</v>
      </c>
      <c r="J190">
        <v>62.291105038060998</v>
      </c>
      <c r="K190">
        <v>291406.60083312</v>
      </c>
      <c r="L190">
        <v>755.45237478220099</v>
      </c>
      <c r="M190">
        <v>0.142808612528075</v>
      </c>
      <c r="N190">
        <v>0.101366332366844</v>
      </c>
      <c r="O190">
        <v>0.53033546246915397</v>
      </c>
      <c r="P190">
        <v>5.4770064455646902E-2</v>
      </c>
      <c r="Q190">
        <v>0.64404133615383996</v>
      </c>
      <c r="R190">
        <v>0</v>
      </c>
      <c r="S190">
        <v>25</v>
      </c>
      <c r="T190">
        <v>175</v>
      </c>
      <c r="U190">
        <v>459565402503.28003</v>
      </c>
      <c r="V190">
        <v>1577059</v>
      </c>
    </row>
    <row r="191" spans="1:22" x14ac:dyDescent="0.25">
      <c r="A191">
        <v>0.99183426409641096</v>
      </c>
      <c r="B191">
        <v>9.3705615186472908</v>
      </c>
      <c r="C191">
        <v>9.7610873184281193</v>
      </c>
      <c r="D191">
        <v>0</v>
      </c>
      <c r="E191">
        <v>4.3179342744604003</v>
      </c>
      <c r="F191">
        <v>4.3169306127594602</v>
      </c>
      <c r="G191">
        <v>22.413719404857801</v>
      </c>
      <c r="H191">
        <v>22.474834246433801</v>
      </c>
      <c r="I191">
        <v>68.9846783294971</v>
      </c>
      <c r="J191">
        <v>61.8488031543666</v>
      </c>
      <c r="K191">
        <v>172445.67198532901</v>
      </c>
      <c r="L191">
        <v>755.41832845053204</v>
      </c>
      <c r="M191">
        <v>9.2876121644020995E-2</v>
      </c>
      <c r="N191">
        <v>9.0378492332037694E-2</v>
      </c>
      <c r="O191">
        <v>0.60311575278548102</v>
      </c>
      <c r="P191">
        <v>3.3663359896166999E-2</v>
      </c>
      <c r="Q191">
        <v>0.63923422233348004</v>
      </c>
      <c r="R191">
        <v>0</v>
      </c>
      <c r="S191">
        <v>25</v>
      </c>
      <c r="T191">
        <v>180</v>
      </c>
      <c r="U191">
        <v>9239294213.6299992</v>
      </c>
      <c r="V191">
        <v>53578</v>
      </c>
    </row>
    <row r="192" spans="1:22" x14ac:dyDescent="0.25">
      <c r="A192">
        <v>0.99231314500949097</v>
      </c>
      <c r="B192">
        <v>8.8440685666842107</v>
      </c>
      <c r="C192">
        <v>88.297668708859007</v>
      </c>
      <c r="D192">
        <v>0</v>
      </c>
      <c r="E192">
        <v>4.1954589156668201</v>
      </c>
      <c r="F192">
        <v>4.3057970653234801</v>
      </c>
      <c r="G192">
        <v>27.271268715191301</v>
      </c>
      <c r="H192">
        <v>24.8381774726538</v>
      </c>
      <c r="I192">
        <v>62.090297936265898</v>
      </c>
      <c r="J192">
        <v>4.1192650481192796</v>
      </c>
      <c r="K192">
        <v>5748.2235204081599</v>
      </c>
      <c r="L192">
        <v>771.40682371068999</v>
      </c>
      <c r="M192">
        <v>2.9546939913346702E-2</v>
      </c>
      <c r="N192">
        <v>7.0416623807373596E-2</v>
      </c>
      <c r="O192">
        <v>0.64830337422526296</v>
      </c>
      <c r="P192">
        <v>2.25460014423918E-2</v>
      </c>
      <c r="Q192">
        <v>0.241833020265595</v>
      </c>
      <c r="R192">
        <v>0</v>
      </c>
      <c r="S192">
        <v>30</v>
      </c>
      <c r="T192">
        <v>10</v>
      </c>
      <c r="U192">
        <v>3379955.43</v>
      </c>
      <c r="V192">
        <v>588</v>
      </c>
    </row>
    <row r="193" spans="1:22" x14ac:dyDescent="0.25">
      <c r="A193">
        <v>0.99231583479994701</v>
      </c>
      <c r="B193">
        <v>8.8411034461140297</v>
      </c>
      <c r="C193">
        <v>67.882929615301194</v>
      </c>
      <c r="D193">
        <v>0</v>
      </c>
      <c r="E193">
        <v>4.2519546141907796</v>
      </c>
      <c r="F193">
        <v>4.3198709494220902</v>
      </c>
      <c r="G193">
        <v>27.283792291006101</v>
      </c>
      <c r="H193">
        <v>24.7733308336155</v>
      </c>
      <c r="I193">
        <v>58.6166915172141</v>
      </c>
      <c r="J193">
        <v>15.922607328742901</v>
      </c>
      <c r="K193">
        <v>15830.108430656899</v>
      </c>
      <c r="L193">
        <v>764.31398254298097</v>
      </c>
      <c r="M193">
        <v>3.6256219786810998E-2</v>
      </c>
      <c r="N193">
        <v>5.3880210867044198E-2</v>
      </c>
      <c r="O193">
        <v>0.70693210872985501</v>
      </c>
      <c r="P193">
        <v>1.67733449064012E-2</v>
      </c>
      <c r="Q193">
        <v>0.31244398508541998</v>
      </c>
      <c r="R193">
        <v>0</v>
      </c>
      <c r="S193">
        <v>30</v>
      </c>
      <c r="T193">
        <v>20</v>
      </c>
      <c r="U193">
        <v>17349798.84</v>
      </c>
      <c r="V193">
        <v>1096</v>
      </c>
    </row>
    <row r="194" spans="1:22" x14ac:dyDescent="0.25">
      <c r="A194">
        <v>0.99215608330276905</v>
      </c>
      <c r="B194">
        <v>9.0170540722632495</v>
      </c>
      <c r="C194">
        <v>26.905047418761601</v>
      </c>
      <c r="D194">
        <v>0</v>
      </c>
      <c r="E194">
        <v>4.3410211717293201</v>
      </c>
      <c r="F194">
        <v>4.35264392780382</v>
      </c>
      <c r="G194">
        <v>27.3636352189489</v>
      </c>
      <c r="H194">
        <v>23.499619087024399</v>
      </c>
      <c r="I194">
        <v>54.7393519172917</v>
      </c>
      <c r="J194">
        <v>34.925541174933898</v>
      </c>
      <c r="K194">
        <v>26171.858913366999</v>
      </c>
      <c r="L194">
        <v>753.01048535431403</v>
      </c>
      <c r="M194">
        <v>5.1230006579011597E-2</v>
      </c>
      <c r="N194">
        <v>3.4602363479407497E-2</v>
      </c>
      <c r="O194">
        <v>0.79034937019418605</v>
      </c>
      <c r="P194">
        <v>2.4116743067896899E-2</v>
      </c>
      <c r="Q194">
        <v>0.37156713445603001</v>
      </c>
      <c r="R194">
        <v>0</v>
      </c>
      <c r="S194">
        <v>30</v>
      </c>
      <c r="T194">
        <v>30</v>
      </c>
      <c r="U194">
        <v>87911274.090000004</v>
      </c>
      <c r="V194">
        <v>3359</v>
      </c>
    </row>
    <row r="195" spans="1:22" x14ac:dyDescent="0.25">
      <c r="A195">
        <v>0.99200154735619295</v>
      </c>
      <c r="B195">
        <v>9.1869639963180898</v>
      </c>
      <c r="C195">
        <v>16.6105455863785</v>
      </c>
      <c r="D195">
        <v>0</v>
      </c>
      <c r="E195">
        <v>4.3655467186144001</v>
      </c>
      <c r="F195">
        <v>4.3547932157084999</v>
      </c>
      <c r="G195">
        <v>27.4102258374085</v>
      </c>
      <c r="H195">
        <v>23.292607870012301</v>
      </c>
      <c r="I195">
        <v>57.529819177425502</v>
      </c>
      <c r="J195">
        <v>45.290041239157802</v>
      </c>
      <c r="K195">
        <v>35985.365090733299</v>
      </c>
      <c r="L195">
        <v>750.50092770557103</v>
      </c>
      <c r="M195">
        <v>5.1024547216169197E-2</v>
      </c>
      <c r="N195">
        <v>3.4917588883025603E-2</v>
      </c>
      <c r="O195">
        <v>0.78166720886539198</v>
      </c>
      <c r="P195">
        <v>2.4893125727270701E-2</v>
      </c>
      <c r="Q195">
        <v>0.453656877134829</v>
      </c>
      <c r="R195">
        <v>0</v>
      </c>
      <c r="S195">
        <v>30</v>
      </c>
      <c r="T195">
        <v>40</v>
      </c>
      <c r="U195">
        <v>335131705.08999997</v>
      </c>
      <c r="V195">
        <v>9313</v>
      </c>
    </row>
    <row r="196" spans="1:22" x14ac:dyDescent="0.25">
      <c r="A196">
        <v>0.99181981515477602</v>
      </c>
      <c r="B196">
        <v>9.3864036156332897</v>
      </c>
      <c r="C196">
        <v>12.383878164032501</v>
      </c>
      <c r="D196">
        <v>0</v>
      </c>
      <c r="E196">
        <v>4.3736589059086004</v>
      </c>
      <c r="F196">
        <v>4.35706231981675</v>
      </c>
      <c r="G196">
        <v>27.400358870962702</v>
      </c>
      <c r="H196">
        <v>23.025153029456</v>
      </c>
      <c r="I196">
        <v>57.985189327284097</v>
      </c>
      <c r="J196">
        <v>48.914084367836502</v>
      </c>
      <c r="K196">
        <v>45836.446958095701</v>
      </c>
      <c r="L196">
        <v>749.59025070015605</v>
      </c>
      <c r="M196">
        <v>6.3650632197950904E-2</v>
      </c>
      <c r="N196">
        <v>4.5815115282986402E-2</v>
      </c>
      <c r="O196">
        <v>0.76699391788859705</v>
      </c>
      <c r="P196">
        <v>2.8311432552791001E-2</v>
      </c>
      <c r="Q196">
        <v>0.52728348734769204</v>
      </c>
      <c r="R196">
        <v>0</v>
      </c>
      <c r="S196">
        <v>30</v>
      </c>
      <c r="T196">
        <v>50</v>
      </c>
      <c r="U196">
        <v>1012893804.88</v>
      </c>
      <c r="V196">
        <v>22098</v>
      </c>
    </row>
    <row r="197" spans="1:22" x14ac:dyDescent="0.25">
      <c r="A197">
        <v>0.99176076570565797</v>
      </c>
      <c r="B197">
        <v>9.4511201836724101</v>
      </c>
      <c r="C197">
        <v>9.7346086655700699</v>
      </c>
      <c r="D197">
        <v>0</v>
      </c>
      <c r="E197">
        <v>4.3903814965998498</v>
      </c>
      <c r="F197">
        <v>4.3581314132338598</v>
      </c>
      <c r="G197">
        <v>27.422213720775702</v>
      </c>
      <c r="H197">
        <v>22.918451872979698</v>
      </c>
      <c r="I197">
        <v>61.363419865728702</v>
      </c>
      <c r="J197">
        <v>53.408453266394098</v>
      </c>
      <c r="K197">
        <v>55415.9056620103</v>
      </c>
      <c r="L197">
        <v>749.33783300440803</v>
      </c>
      <c r="M197">
        <v>7.0635344763549296E-2</v>
      </c>
      <c r="N197">
        <v>4.9322363576427102E-2</v>
      </c>
      <c r="O197">
        <v>0.74855946158055697</v>
      </c>
      <c r="P197">
        <v>3.6511456850308002E-2</v>
      </c>
      <c r="Q197">
        <v>0.561715638814969</v>
      </c>
      <c r="R197">
        <v>0</v>
      </c>
      <c r="S197">
        <v>30</v>
      </c>
      <c r="T197">
        <v>60</v>
      </c>
      <c r="U197">
        <v>2106524821.9300001</v>
      </c>
      <c r="V197">
        <v>38013</v>
      </c>
    </row>
    <row r="198" spans="1:22" x14ac:dyDescent="0.25">
      <c r="A198">
        <v>0.99168434124419602</v>
      </c>
      <c r="B198">
        <v>9.53481638249845</v>
      </c>
      <c r="C198">
        <v>8.7171381038679598</v>
      </c>
      <c r="D198">
        <v>0</v>
      </c>
      <c r="E198">
        <v>4.4042354334705598</v>
      </c>
      <c r="F198">
        <v>4.3574345416827303</v>
      </c>
      <c r="G198">
        <v>27.445223583220201</v>
      </c>
      <c r="H198">
        <v>22.883698783500702</v>
      </c>
      <c r="I198">
        <v>63.345581870615703</v>
      </c>
      <c r="J198">
        <v>55.818190957134199</v>
      </c>
      <c r="K198">
        <v>65247.1841819369</v>
      </c>
      <c r="L198">
        <v>748.99619583542801</v>
      </c>
      <c r="M198">
        <v>7.4640252094354598E-2</v>
      </c>
      <c r="N198">
        <v>5.4199450708970302E-2</v>
      </c>
      <c r="O198">
        <v>0.72855671025173996</v>
      </c>
      <c r="P198">
        <v>3.7254788984949203E-2</v>
      </c>
      <c r="Q198">
        <v>0.58146582637928301</v>
      </c>
      <c r="R198">
        <v>0</v>
      </c>
      <c r="S198">
        <v>30</v>
      </c>
      <c r="T198">
        <v>70</v>
      </c>
      <c r="U198">
        <v>3396898902.8800001</v>
      </c>
      <c r="V198">
        <v>52062</v>
      </c>
    </row>
    <row r="199" spans="1:22" x14ac:dyDescent="0.25">
      <c r="A199">
        <v>0.99174232784364102</v>
      </c>
      <c r="B199">
        <v>9.47131889017224</v>
      </c>
      <c r="C199">
        <v>8.8119126801140606</v>
      </c>
      <c r="D199">
        <v>0</v>
      </c>
      <c r="E199">
        <v>4.3977049026399904</v>
      </c>
      <c r="F199">
        <v>4.3540618461557798</v>
      </c>
      <c r="G199">
        <v>27.471274022794599</v>
      </c>
      <c r="H199">
        <v>22.5779389818222</v>
      </c>
      <c r="I199">
        <v>63.553372900374796</v>
      </c>
      <c r="J199">
        <v>56.644187672793798</v>
      </c>
      <c r="K199">
        <v>75168.004962351493</v>
      </c>
      <c r="L199">
        <v>749.86857372635905</v>
      </c>
      <c r="M199">
        <v>7.68666500820087E-2</v>
      </c>
      <c r="N199">
        <v>6.6899174442112797E-2</v>
      </c>
      <c r="O199">
        <v>0.70635396267946104</v>
      </c>
      <c r="P199">
        <v>3.40576757575307E-2</v>
      </c>
      <c r="Q199">
        <v>0.60523137693012896</v>
      </c>
      <c r="R199">
        <v>0</v>
      </c>
      <c r="S199">
        <v>30</v>
      </c>
      <c r="T199">
        <v>80</v>
      </c>
      <c r="U199">
        <v>5081281967.4499998</v>
      </c>
      <c r="V199">
        <v>67599</v>
      </c>
    </row>
    <row r="200" spans="1:22" x14ac:dyDescent="0.25">
      <c r="A200">
        <v>0.99176857679632302</v>
      </c>
      <c r="B200">
        <v>9.4425618759850192</v>
      </c>
      <c r="C200">
        <v>8.6871829018265903</v>
      </c>
      <c r="D200">
        <v>0</v>
      </c>
      <c r="E200">
        <v>4.4057427252853802</v>
      </c>
      <c r="F200">
        <v>4.3501770672355304</v>
      </c>
      <c r="G200">
        <v>27.491378125699999</v>
      </c>
      <c r="H200">
        <v>22.595985090770601</v>
      </c>
      <c r="I200">
        <v>65.953358485856597</v>
      </c>
      <c r="J200">
        <v>59.015724400333397</v>
      </c>
      <c r="K200">
        <v>85191.3539437047</v>
      </c>
      <c r="L200">
        <v>750.38673998237903</v>
      </c>
      <c r="M200">
        <v>8.3490797065004105E-2</v>
      </c>
      <c r="N200">
        <v>7.1806631647816796E-2</v>
      </c>
      <c r="O200">
        <v>0.69024506321980705</v>
      </c>
      <c r="P200">
        <v>3.4474222137122298E-2</v>
      </c>
      <c r="Q200">
        <v>0.60956921331745195</v>
      </c>
      <c r="R200">
        <v>0</v>
      </c>
      <c r="S200">
        <v>30</v>
      </c>
      <c r="T200">
        <v>90</v>
      </c>
      <c r="U200">
        <v>7012611491.2299995</v>
      </c>
      <c r="V200">
        <v>82316</v>
      </c>
    </row>
    <row r="201" spans="1:22" x14ac:dyDescent="0.25">
      <c r="A201">
        <v>0.99184636198114295</v>
      </c>
      <c r="B201">
        <v>9.3572952128012297</v>
      </c>
      <c r="C201">
        <v>8.8205840092229799</v>
      </c>
      <c r="D201">
        <v>0</v>
      </c>
      <c r="E201">
        <v>4.4041724074203499</v>
      </c>
      <c r="F201">
        <v>4.3475760240392498</v>
      </c>
      <c r="G201">
        <v>27.498634775935301</v>
      </c>
      <c r="H201">
        <v>22.2969769205903</v>
      </c>
      <c r="I201">
        <v>65.839784891100706</v>
      </c>
      <c r="J201">
        <v>59.279375877200899</v>
      </c>
      <c r="K201">
        <v>95297.602913426701</v>
      </c>
      <c r="L201">
        <v>752.50267036069704</v>
      </c>
      <c r="M201">
        <v>7.7890127398096407E-2</v>
      </c>
      <c r="N201">
        <v>7.2841922799598294E-2</v>
      </c>
      <c r="O201">
        <v>0.66170654043765298</v>
      </c>
      <c r="P201">
        <v>3.2429031829391101E-2</v>
      </c>
      <c r="Q201">
        <v>0.584408743684943</v>
      </c>
      <c r="R201">
        <v>0</v>
      </c>
      <c r="S201">
        <v>30</v>
      </c>
      <c r="T201">
        <v>100</v>
      </c>
      <c r="U201">
        <v>10270222665.98</v>
      </c>
      <c r="V201">
        <v>107770</v>
      </c>
    </row>
    <row r="202" spans="1:22" x14ac:dyDescent="0.25">
      <c r="A202">
        <v>0.99178898381151304</v>
      </c>
      <c r="B202">
        <v>9.4201992053521</v>
      </c>
      <c r="C202">
        <v>8.5783661288668807</v>
      </c>
      <c r="D202">
        <v>0</v>
      </c>
      <c r="E202">
        <v>4.4111709245852504</v>
      </c>
      <c r="F202">
        <v>4.33940480792924</v>
      </c>
      <c r="G202">
        <v>27.506403793553599</v>
      </c>
      <c r="H202">
        <v>22.251569299406</v>
      </c>
      <c r="I202">
        <v>68.284073016822404</v>
      </c>
      <c r="J202">
        <v>61.713658991722298</v>
      </c>
      <c r="K202">
        <v>105043.18273192699</v>
      </c>
      <c r="L202">
        <v>751.17086777567101</v>
      </c>
      <c r="M202">
        <v>8.7302270113993705E-2</v>
      </c>
      <c r="N202">
        <v>7.2717196919347304E-2</v>
      </c>
      <c r="O202">
        <v>0.64634075743127395</v>
      </c>
      <c r="P202">
        <v>3.2262400371369002E-2</v>
      </c>
      <c r="Q202">
        <v>0.60508217560816302</v>
      </c>
      <c r="R202">
        <v>0</v>
      </c>
      <c r="S202">
        <v>30</v>
      </c>
      <c r="T202">
        <v>110</v>
      </c>
      <c r="U202">
        <v>10872179499.120001</v>
      </c>
      <c r="V202">
        <v>103502</v>
      </c>
    </row>
    <row r="203" spans="1:22" x14ac:dyDescent="0.25">
      <c r="A203">
        <v>0.99177966786549798</v>
      </c>
      <c r="B203">
        <v>9.4304085497413705</v>
      </c>
      <c r="C203">
        <v>8.8368633320106191</v>
      </c>
      <c r="D203">
        <v>0</v>
      </c>
      <c r="E203">
        <v>4.4028702847587597</v>
      </c>
      <c r="F203">
        <v>4.3379430221311299</v>
      </c>
      <c r="G203">
        <v>27.511099902048802</v>
      </c>
      <c r="H203">
        <v>22.320994229346201</v>
      </c>
      <c r="I203">
        <v>68.444139493822902</v>
      </c>
      <c r="J203">
        <v>61.766725828190602</v>
      </c>
      <c r="K203">
        <v>115105.75541247601</v>
      </c>
      <c r="L203">
        <v>752.47919085782405</v>
      </c>
      <c r="M203">
        <v>8.6073179354963197E-2</v>
      </c>
      <c r="N203">
        <v>7.4208803171573398E-2</v>
      </c>
      <c r="O203">
        <v>0.63177480832039601</v>
      </c>
      <c r="P203">
        <v>2.9539048317876401E-2</v>
      </c>
      <c r="Q203">
        <v>0.60557784914721702</v>
      </c>
      <c r="R203">
        <v>0</v>
      </c>
      <c r="S203">
        <v>30</v>
      </c>
      <c r="T203">
        <v>120</v>
      </c>
      <c r="U203">
        <v>12454442735.629999</v>
      </c>
      <c r="V203">
        <v>108200</v>
      </c>
    </row>
    <row r="204" spans="1:22" x14ac:dyDescent="0.25">
      <c r="A204">
        <v>0.99178675158018703</v>
      </c>
      <c r="B204">
        <v>9.4226456035577009</v>
      </c>
      <c r="C204">
        <v>8.9749261241426002</v>
      </c>
      <c r="D204">
        <v>0</v>
      </c>
      <c r="E204">
        <v>4.3999965449624998</v>
      </c>
      <c r="F204">
        <v>4.3340153148555398</v>
      </c>
      <c r="G204">
        <v>27.514980372333099</v>
      </c>
      <c r="H204">
        <v>22.037712140382599</v>
      </c>
      <c r="I204">
        <v>68.7931217622519</v>
      </c>
      <c r="J204">
        <v>62.264777903173403</v>
      </c>
      <c r="K204">
        <v>124983.252279109</v>
      </c>
      <c r="L204">
        <v>753.03525946251102</v>
      </c>
      <c r="M204">
        <v>8.5776563841329298E-2</v>
      </c>
      <c r="N204">
        <v>8.1995838019112394E-2</v>
      </c>
      <c r="O204">
        <v>0.62162333938577796</v>
      </c>
      <c r="P204">
        <v>3.01542994072404E-2</v>
      </c>
      <c r="Q204">
        <v>0.60856214555300303</v>
      </c>
      <c r="R204">
        <v>0</v>
      </c>
      <c r="S204">
        <v>30</v>
      </c>
      <c r="T204">
        <v>130</v>
      </c>
      <c r="U204">
        <v>14224593908.389999</v>
      </c>
      <c r="V204">
        <v>113812</v>
      </c>
    </row>
    <row r="205" spans="1:22" x14ac:dyDescent="0.25">
      <c r="A205">
        <v>0.99172887372641805</v>
      </c>
      <c r="B205">
        <v>9.4860552898914001</v>
      </c>
      <c r="C205">
        <v>9.1202673692930407</v>
      </c>
      <c r="D205">
        <v>0</v>
      </c>
      <c r="E205">
        <v>4.3956698405711903</v>
      </c>
      <c r="F205">
        <v>4.3276842866572904</v>
      </c>
      <c r="G205">
        <v>27.511273896162699</v>
      </c>
      <c r="H205">
        <v>21.9855705939828</v>
      </c>
      <c r="I205">
        <v>69.251314231268097</v>
      </c>
      <c r="J205">
        <v>62.681631452548601</v>
      </c>
      <c r="K205">
        <v>134971.29862227201</v>
      </c>
      <c r="L205">
        <v>752.78491431592795</v>
      </c>
      <c r="M205">
        <v>8.9864921513038001E-2</v>
      </c>
      <c r="N205">
        <v>8.4517052661509801E-2</v>
      </c>
      <c r="O205">
        <v>0.61354674482128102</v>
      </c>
      <c r="P205">
        <v>2.9659899627677799E-2</v>
      </c>
      <c r="Q205">
        <v>0.61954278562559495</v>
      </c>
      <c r="R205">
        <v>0</v>
      </c>
      <c r="S205">
        <v>30</v>
      </c>
      <c r="T205">
        <v>140</v>
      </c>
      <c r="U205">
        <v>14733197015.01</v>
      </c>
      <c r="V205">
        <v>109158</v>
      </c>
    </row>
    <row r="206" spans="1:22" x14ac:dyDescent="0.25">
      <c r="A206">
        <v>0.99169396429093404</v>
      </c>
      <c r="B206">
        <v>9.5242816131105599</v>
      </c>
      <c r="C206">
        <v>8.9760252046940892</v>
      </c>
      <c r="D206">
        <v>0</v>
      </c>
      <c r="E206">
        <v>4.3915482395214704</v>
      </c>
      <c r="F206">
        <v>4.3301471520979904</v>
      </c>
      <c r="G206">
        <v>27.520329714404099</v>
      </c>
      <c r="H206">
        <v>21.8234638360444</v>
      </c>
      <c r="I206">
        <v>68.127328971696102</v>
      </c>
      <c r="J206">
        <v>61.800500661939097</v>
      </c>
      <c r="K206">
        <v>144971.83079935701</v>
      </c>
      <c r="L206">
        <v>753.41946536540104</v>
      </c>
      <c r="M206">
        <v>8.6778026379241396E-2</v>
      </c>
      <c r="N206">
        <v>8.7725076373553298E-2</v>
      </c>
      <c r="O206">
        <v>0.60085467979935103</v>
      </c>
      <c r="P206">
        <v>3.1482058992848401E-2</v>
      </c>
      <c r="Q206">
        <v>0.62492194577467297</v>
      </c>
      <c r="R206">
        <v>0</v>
      </c>
      <c r="S206">
        <v>30</v>
      </c>
      <c r="T206">
        <v>150</v>
      </c>
      <c r="U206">
        <v>16512871415.370001</v>
      </c>
      <c r="V206">
        <v>113904</v>
      </c>
    </row>
    <row r="207" spans="1:22" x14ac:dyDescent="0.25">
      <c r="A207">
        <v>0.99159581640484795</v>
      </c>
      <c r="B207">
        <v>9.6316756526886103</v>
      </c>
      <c r="C207">
        <v>9.9540737150468797</v>
      </c>
      <c r="D207">
        <v>0</v>
      </c>
      <c r="E207">
        <v>4.39482738478267</v>
      </c>
      <c r="F207">
        <v>4.3280951229900397</v>
      </c>
      <c r="G207">
        <v>27.523890279599499</v>
      </c>
      <c r="H207">
        <v>21.8853272071654</v>
      </c>
      <c r="I207">
        <v>69.291295530959999</v>
      </c>
      <c r="J207">
        <v>62.858727983109603</v>
      </c>
      <c r="K207">
        <v>154946.40810140799</v>
      </c>
      <c r="L207">
        <v>753.20203090560005</v>
      </c>
      <c r="M207">
        <v>9.16632204631007E-2</v>
      </c>
      <c r="N207">
        <v>8.9759668997825601E-2</v>
      </c>
      <c r="O207">
        <v>0.59524922362645505</v>
      </c>
      <c r="P207">
        <v>2.9438665941191301E-2</v>
      </c>
      <c r="Q207">
        <v>0.64358672971685404</v>
      </c>
      <c r="R207">
        <v>0</v>
      </c>
      <c r="S207">
        <v>30</v>
      </c>
      <c r="T207">
        <v>160</v>
      </c>
      <c r="U207">
        <v>15963973480.280001</v>
      </c>
      <c r="V207">
        <v>103029</v>
      </c>
    </row>
    <row r="208" spans="1:22" x14ac:dyDescent="0.25">
      <c r="A208">
        <v>0.99150061734741002</v>
      </c>
      <c r="B208">
        <v>9.7357314136182094</v>
      </c>
      <c r="C208">
        <v>9.7620886934883107</v>
      </c>
      <c r="D208">
        <v>0</v>
      </c>
      <c r="E208">
        <v>4.3892948256193396</v>
      </c>
      <c r="F208">
        <v>4.3232580599196897</v>
      </c>
      <c r="G208">
        <v>27.5221458617469</v>
      </c>
      <c r="H208">
        <v>21.985051774784001</v>
      </c>
      <c r="I208">
        <v>69.845891309088202</v>
      </c>
      <c r="J208">
        <v>63.285893627467999</v>
      </c>
      <c r="K208">
        <v>165000.489948245</v>
      </c>
      <c r="L208">
        <v>753.75277294971602</v>
      </c>
      <c r="M208">
        <v>9.1645762486540105E-2</v>
      </c>
      <c r="N208">
        <v>9.1541251654826197E-2</v>
      </c>
      <c r="O208">
        <v>0.58677895909445799</v>
      </c>
      <c r="P208">
        <v>3.09460722824801E-2</v>
      </c>
      <c r="Q208">
        <v>0.63030617045647797</v>
      </c>
      <c r="R208">
        <v>0</v>
      </c>
      <c r="S208">
        <v>30</v>
      </c>
      <c r="T208">
        <v>170</v>
      </c>
      <c r="U208">
        <v>17024750552.860001</v>
      </c>
      <c r="V208">
        <v>103180</v>
      </c>
    </row>
    <row r="209" spans="1:22" x14ac:dyDescent="0.25">
      <c r="A209">
        <v>0.98949057673138496</v>
      </c>
      <c r="B209">
        <v>11.907293843012001</v>
      </c>
      <c r="C209">
        <v>14.5758123091095</v>
      </c>
      <c r="D209">
        <v>0</v>
      </c>
      <c r="E209">
        <v>4.3515615197363999</v>
      </c>
      <c r="F209">
        <v>4.2911029829061</v>
      </c>
      <c r="G209">
        <v>27.517956315707998</v>
      </c>
      <c r="H209">
        <v>21.090442776567699</v>
      </c>
      <c r="I209">
        <v>69.573999629291805</v>
      </c>
      <c r="J209">
        <v>63.297344715295701</v>
      </c>
      <c r="K209">
        <v>290006.63054278999</v>
      </c>
      <c r="L209">
        <v>754.61709249895705</v>
      </c>
      <c r="M209">
        <v>0.14385368936818499</v>
      </c>
      <c r="N209">
        <v>0.103464094927957</v>
      </c>
      <c r="O209">
        <v>0.52004699539050503</v>
      </c>
      <c r="P209">
        <v>5.4886091032897398E-2</v>
      </c>
      <c r="Q209">
        <v>0.63480896374060403</v>
      </c>
      <c r="R209">
        <v>0</v>
      </c>
      <c r="S209">
        <v>30</v>
      </c>
      <c r="T209">
        <v>175</v>
      </c>
      <c r="U209">
        <v>441664147951.98999</v>
      </c>
      <c r="V209">
        <v>1522945</v>
      </c>
    </row>
    <row r="210" spans="1:22" x14ac:dyDescent="0.25">
      <c r="A210">
        <v>0.99141730427596597</v>
      </c>
      <c r="B210">
        <v>9.8267052628662395</v>
      </c>
      <c r="C210">
        <v>10.1739048569729</v>
      </c>
      <c r="D210">
        <v>0</v>
      </c>
      <c r="E210">
        <v>4.3838584106021301</v>
      </c>
      <c r="F210">
        <v>4.31790482053208</v>
      </c>
      <c r="G210">
        <v>27.5254615779976</v>
      </c>
      <c r="H210">
        <v>21.918674456222099</v>
      </c>
      <c r="I210">
        <v>69.837667919835894</v>
      </c>
      <c r="J210">
        <v>63.296154411975898</v>
      </c>
      <c r="K210">
        <v>172435.806005833</v>
      </c>
      <c r="L210">
        <v>754.12224271335901</v>
      </c>
      <c r="M210">
        <v>9.1971506682532206E-2</v>
      </c>
      <c r="N210">
        <v>9.2990653552303001E-2</v>
      </c>
      <c r="O210">
        <v>0.58654887569019298</v>
      </c>
      <c r="P210">
        <v>3.1730053008562603E-2</v>
      </c>
      <c r="Q210">
        <v>0.62691059593026299</v>
      </c>
      <c r="R210">
        <v>0</v>
      </c>
      <c r="S210">
        <v>30</v>
      </c>
      <c r="T210">
        <v>180</v>
      </c>
      <c r="U210">
        <v>8986664465.7999992</v>
      </c>
      <c r="V210">
        <v>52116</v>
      </c>
    </row>
    <row r="211" spans="1:22" x14ac:dyDescent="0.25">
      <c r="A211">
        <v>0.99278878622157896</v>
      </c>
      <c r="B211">
        <v>8.3183635049721296</v>
      </c>
      <c r="C211">
        <v>88.963285810644606</v>
      </c>
      <c r="D211">
        <v>0</v>
      </c>
      <c r="E211">
        <v>4.3286036366695004</v>
      </c>
      <c r="F211">
        <v>4.3628655798963498</v>
      </c>
      <c r="G211">
        <v>32.6563095040934</v>
      </c>
      <c r="H211">
        <v>25.2102977078018</v>
      </c>
      <c r="I211">
        <v>60.3517692530597</v>
      </c>
      <c r="J211">
        <v>4.4316984234649199</v>
      </c>
      <c r="K211">
        <v>5692.9176346604199</v>
      </c>
      <c r="L211">
        <v>775.93039233312004</v>
      </c>
      <c r="M211">
        <v>3.4707214971157099E-2</v>
      </c>
      <c r="N211">
        <v>8.3165903624127097E-2</v>
      </c>
      <c r="O211">
        <v>0.625701622118641</v>
      </c>
      <c r="P211">
        <v>2.02714837968502E-2</v>
      </c>
      <c r="Q211">
        <v>0.264444465680503</v>
      </c>
      <c r="R211">
        <v>0</v>
      </c>
      <c r="S211">
        <v>35</v>
      </c>
      <c r="T211">
        <v>10</v>
      </c>
      <c r="U211">
        <v>4861751.66</v>
      </c>
      <c r="V211">
        <v>854</v>
      </c>
    </row>
    <row r="212" spans="1:22" x14ac:dyDescent="0.25">
      <c r="A212">
        <v>0.99257353843785601</v>
      </c>
      <c r="B212">
        <v>8.5566106000846105</v>
      </c>
      <c r="C212">
        <v>68.612476237909505</v>
      </c>
      <c r="D212">
        <v>0</v>
      </c>
      <c r="E212">
        <v>4.34382243113442</v>
      </c>
      <c r="F212">
        <v>4.3538570231818001</v>
      </c>
      <c r="G212">
        <v>32.654933100590299</v>
      </c>
      <c r="H212">
        <v>25.102734180106999</v>
      </c>
      <c r="I212">
        <v>58.422108318870897</v>
      </c>
      <c r="J212">
        <v>14.7227286836677</v>
      </c>
      <c r="K212">
        <v>15809.3614415584</v>
      </c>
      <c r="L212">
        <v>768.81243991954602</v>
      </c>
      <c r="M212">
        <v>3.7470428368936701E-2</v>
      </c>
      <c r="N212">
        <v>5.23441638205236E-2</v>
      </c>
      <c r="O212">
        <v>0.70703140666127295</v>
      </c>
      <c r="P212">
        <v>2.2675404295287201E-2</v>
      </c>
      <c r="Q212">
        <v>0.30560705610729799</v>
      </c>
      <c r="R212">
        <v>0</v>
      </c>
      <c r="S212">
        <v>35</v>
      </c>
      <c r="T212">
        <v>20</v>
      </c>
      <c r="U212">
        <v>24346416.620000001</v>
      </c>
      <c r="V212">
        <v>1540</v>
      </c>
    </row>
    <row r="213" spans="1:22" x14ac:dyDescent="0.25">
      <c r="A213">
        <v>0.99232157254916098</v>
      </c>
      <c r="B213">
        <v>8.8347780786911407</v>
      </c>
      <c r="C213">
        <v>32.379810059029197</v>
      </c>
      <c r="D213">
        <v>0</v>
      </c>
      <c r="E213">
        <v>4.40854537119142</v>
      </c>
      <c r="F213">
        <v>4.3723636939850703</v>
      </c>
      <c r="G213">
        <v>32.654400384234002</v>
      </c>
      <c r="H213">
        <v>24.0349845081289</v>
      </c>
      <c r="I213">
        <v>52.639922771884599</v>
      </c>
      <c r="J213">
        <v>31.059549846367901</v>
      </c>
      <c r="K213">
        <v>26069.621496583601</v>
      </c>
      <c r="L213">
        <v>758.08031019703697</v>
      </c>
      <c r="M213">
        <v>4.8859211166166101E-2</v>
      </c>
      <c r="N213">
        <v>3.8729797503688997E-2</v>
      </c>
      <c r="O213">
        <v>0.78225034221918699</v>
      </c>
      <c r="P213">
        <v>2.6518783671059601E-2</v>
      </c>
      <c r="Q213">
        <v>0.39350981198527002</v>
      </c>
      <c r="R213">
        <v>0</v>
      </c>
      <c r="S213">
        <v>35</v>
      </c>
      <c r="T213">
        <v>30</v>
      </c>
      <c r="U213">
        <v>118277872.73</v>
      </c>
      <c r="V213">
        <v>4537</v>
      </c>
    </row>
    <row r="214" spans="1:22" x14ac:dyDescent="0.25">
      <c r="A214">
        <v>0.99220956116491099</v>
      </c>
      <c r="B214">
        <v>8.9581881394026492</v>
      </c>
      <c r="C214">
        <v>18.7440495082216</v>
      </c>
      <c r="D214">
        <v>0</v>
      </c>
      <c r="E214">
        <v>4.4129447063460603</v>
      </c>
      <c r="F214">
        <v>4.3626361515182497</v>
      </c>
      <c r="G214">
        <v>32.657741034525898</v>
      </c>
      <c r="H214">
        <v>23.6153796694751</v>
      </c>
      <c r="I214">
        <v>54.583206028765098</v>
      </c>
      <c r="J214">
        <v>41.590282090381002</v>
      </c>
      <c r="K214">
        <v>35873.771690460097</v>
      </c>
      <c r="L214">
        <v>757.85321551465199</v>
      </c>
      <c r="M214">
        <v>5.5074836332110202E-2</v>
      </c>
      <c r="N214">
        <v>4.0407092337003098E-2</v>
      </c>
      <c r="O214">
        <v>0.785983998225669</v>
      </c>
      <c r="P214">
        <v>2.4192093391341301E-2</v>
      </c>
      <c r="Q214">
        <v>0.47380961381232001</v>
      </c>
      <c r="R214">
        <v>0</v>
      </c>
      <c r="S214">
        <v>35</v>
      </c>
      <c r="T214">
        <v>40</v>
      </c>
      <c r="U214">
        <v>427184873.29000002</v>
      </c>
      <c r="V214">
        <v>11908</v>
      </c>
    </row>
    <row r="215" spans="1:22" x14ac:dyDescent="0.25">
      <c r="A215">
        <v>0.99193894378294201</v>
      </c>
      <c r="B215">
        <v>9.2557128525885695</v>
      </c>
      <c r="C215">
        <v>13.132441931776199</v>
      </c>
      <c r="D215">
        <v>0</v>
      </c>
      <c r="E215">
        <v>4.41708051193977</v>
      </c>
      <c r="F215">
        <v>4.3610905649306302</v>
      </c>
      <c r="G215">
        <v>32.677807637280701</v>
      </c>
      <c r="H215">
        <v>23.427071675207198</v>
      </c>
      <c r="I215">
        <v>54.493501964165802</v>
      </c>
      <c r="J215">
        <v>45.2482139509493</v>
      </c>
      <c r="K215">
        <v>45829.9261356262</v>
      </c>
      <c r="L215">
        <v>755.52497652712896</v>
      </c>
      <c r="M215">
        <v>6.85188225317057E-2</v>
      </c>
      <c r="N215">
        <v>4.7728696088080703E-2</v>
      </c>
      <c r="O215">
        <v>0.766115468957141</v>
      </c>
      <c r="P215">
        <v>2.92142816574542E-2</v>
      </c>
      <c r="Q215">
        <v>0.55584999878406904</v>
      </c>
      <c r="R215">
        <v>0</v>
      </c>
      <c r="S215">
        <v>35</v>
      </c>
      <c r="T215">
        <v>50</v>
      </c>
      <c r="U215">
        <v>1271230491.1500001</v>
      </c>
      <c r="V215">
        <v>27738</v>
      </c>
    </row>
    <row r="216" spans="1:22" x14ac:dyDescent="0.25">
      <c r="A216">
        <v>0.99180254112866795</v>
      </c>
      <c r="B216">
        <v>9.4053398580057905</v>
      </c>
      <c r="C216">
        <v>10.279317116363099</v>
      </c>
      <c r="D216">
        <v>0</v>
      </c>
      <c r="E216">
        <v>4.4340952593609302</v>
      </c>
      <c r="F216">
        <v>4.3613353630485001</v>
      </c>
      <c r="G216">
        <v>32.661520845112399</v>
      </c>
      <c r="H216">
        <v>23.175419196994302</v>
      </c>
      <c r="I216">
        <v>58.005427264813498</v>
      </c>
      <c r="J216">
        <v>49.976537955651203</v>
      </c>
      <c r="K216">
        <v>55408.869818225401</v>
      </c>
      <c r="L216">
        <v>753.56724756161498</v>
      </c>
      <c r="M216">
        <v>7.3483658679611305E-2</v>
      </c>
      <c r="N216">
        <v>5.06646953245087E-2</v>
      </c>
      <c r="O216">
        <v>0.75925951746067499</v>
      </c>
      <c r="P216">
        <v>3.3926695651953998E-2</v>
      </c>
      <c r="Q216">
        <v>0.59512723234202702</v>
      </c>
      <c r="R216">
        <v>0</v>
      </c>
      <c r="S216">
        <v>35</v>
      </c>
      <c r="T216">
        <v>60</v>
      </c>
      <c r="U216">
        <v>2539166868.29</v>
      </c>
      <c r="V216">
        <v>45826</v>
      </c>
    </row>
    <row r="217" spans="1:22" x14ac:dyDescent="0.25">
      <c r="A217">
        <v>0.99170476492930104</v>
      </c>
      <c r="B217">
        <v>9.5124563433679903</v>
      </c>
      <c r="C217">
        <v>9.1608310465454306</v>
      </c>
      <c r="D217">
        <v>0</v>
      </c>
      <c r="E217">
        <v>4.4363573141850701</v>
      </c>
      <c r="F217">
        <v>4.3538040296874003</v>
      </c>
      <c r="G217">
        <v>32.639116786586101</v>
      </c>
      <c r="H217">
        <v>23.146862439433601</v>
      </c>
      <c r="I217">
        <v>60.604253193711401</v>
      </c>
      <c r="J217">
        <v>52.818842041150397</v>
      </c>
      <c r="K217">
        <v>65255.253782365602</v>
      </c>
      <c r="L217">
        <v>752.679920786362</v>
      </c>
      <c r="M217">
        <v>7.7324427853185898E-2</v>
      </c>
      <c r="N217">
        <v>5.5695532905129699E-2</v>
      </c>
      <c r="O217">
        <v>0.73705491271921497</v>
      </c>
      <c r="P217">
        <v>3.4011656625976897E-2</v>
      </c>
      <c r="Q217">
        <v>0.61524678862017201</v>
      </c>
      <c r="R217">
        <v>0</v>
      </c>
      <c r="S217">
        <v>35</v>
      </c>
      <c r="T217">
        <v>70</v>
      </c>
      <c r="U217">
        <v>3992055405.3899999</v>
      </c>
      <c r="V217">
        <v>61176</v>
      </c>
    </row>
    <row r="218" spans="1:22" x14ac:dyDescent="0.25">
      <c r="A218">
        <v>0.99170077555870595</v>
      </c>
      <c r="B218">
        <v>9.5168243412463696</v>
      </c>
      <c r="C218">
        <v>8.5879585646839107</v>
      </c>
      <c r="D218">
        <v>0</v>
      </c>
      <c r="E218">
        <v>4.4324330189165098</v>
      </c>
      <c r="F218">
        <v>4.3498301718239603</v>
      </c>
      <c r="G218">
        <v>32.591200540321303</v>
      </c>
      <c r="H218">
        <v>22.9236306439375</v>
      </c>
      <c r="I218">
        <v>61.106013493909799</v>
      </c>
      <c r="J218">
        <v>53.940208575930299</v>
      </c>
      <c r="K218">
        <v>75142.637388439296</v>
      </c>
      <c r="L218">
        <v>752.08176851990697</v>
      </c>
      <c r="M218">
        <v>7.9794791935082099E-2</v>
      </c>
      <c r="N218">
        <v>6.9269454696814406E-2</v>
      </c>
      <c r="O218">
        <v>0.71250306069987202</v>
      </c>
      <c r="P218">
        <v>3.3175862850736502E-2</v>
      </c>
      <c r="Q218">
        <v>0.63179441962651495</v>
      </c>
      <c r="R218">
        <v>0</v>
      </c>
      <c r="S218">
        <v>35</v>
      </c>
      <c r="T218">
        <v>80</v>
      </c>
      <c r="U218">
        <v>5849854320.6899996</v>
      </c>
      <c r="V218">
        <v>77850</v>
      </c>
    </row>
    <row r="219" spans="1:22" x14ac:dyDescent="0.25">
      <c r="A219">
        <v>0.99164810927897995</v>
      </c>
      <c r="B219">
        <v>9.5744710106540101</v>
      </c>
      <c r="C219">
        <v>9.3363033330959198</v>
      </c>
      <c r="D219">
        <v>0</v>
      </c>
      <c r="E219">
        <v>4.4351584180197801</v>
      </c>
      <c r="F219">
        <v>4.3394634599803599</v>
      </c>
      <c r="G219">
        <v>32.578531528497201</v>
      </c>
      <c r="H219">
        <v>22.883448675911701</v>
      </c>
      <c r="I219">
        <v>63.937245182855797</v>
      </c>
      <c r="J219">
        <v>56.745185978656799</v>
      </c>
      <c r="K219">
        <v>85172.697579977801</v>
      </c>
      <c r="L219">
        <v>751.51781657455501</v>
      </c>
      <c r="M219">
        <v>8.4432812422286299E-2</v>
      </c>
      <c r="N219">
        <v>7.2982989775586898E-2</v>
      </c>
      <c r="O219">
        <v>0.70372717871690105</v>
      </c>
      <c r="P219">
        <v>3.2148280441172503E-2</v>
      </c>
      <c r="Q219">
        <v>0.64003953252719004</v>
      </c>
      <c r="R219">
        <v>0</v>
      </c>
      <c r="S219">
        <v>35</v>
      </c>
      <c r="T219">
        <v>90</v>
      </c>
      <c r="U219">
        <v>7760851030.79</v>
      </c>
      <c r="V219">
        <v>91119</v>
      </c>
    </row>
    <row r="220" spans="1:22" x14ac:dyDescent="0.25">
      <c r="A220">
        <v>0.99172581599845999</v>
      </c>
      <c r="B220">
        <v>9.4894041365377593</v>
      </c>
      <c r="C220">
        <v>9.0509041274088506</v>
      </c>
      <c r="D220">
        <v>0</v>
      </c>
      <c r="E220">
        <v>4.4323771036701203</v>
      </c>
      <c r="F220">
        <v>4.3364592101874297</v>
      </c>
      <c r="G220">
        <v>32.563688729726998</v>
      </c>
      <c r="H220">
        <v>22.5614982848703</v>
      </c>
      <c r="I220">
        <v>63.725966381998198</v>
      </c>
      <c r="J220">
        <v>56.947665670263397</v>
      </c>
      <c r="K220">
        <v>95296.379015009996</v>
      </c>
      <c r="L220">
        <v>753.93810031374505</v>
      </c>
      <c r="M220">
        <v>8.0149928655758804E-2</v>
      </c>
      <c r="N220">
        <v>7.7649227931289894E-2</v>
      </c>
      <c r="O220">
        <v>0.66786581416721302</v>
      </c>
      <c r="P220">
        <v>3.0788812366674301E-2</v>
      </c>
      <c r="Q220">
        <v>0.60611479042144401</v>
      </c>
      <c r="R220">
        <v>0</v>
      </c>
      <c r="S220">
        <v>35</v>
      </c>
      <c r="T220">
        <v>100</v>
      </c>
      <c r="U220">
        <v>11383438362.48</v>
      </c>
      <c r="V220">
        <v>119453</v>
      </c>
    </row>
    <row r="221" spans="1:22" x14ac:dyDescent="0.25">
      <c r="A221">
        <v>0.99158415998859295</v>
      </c>
      <c r="B221">
        <v>9.6444224112269694</v>
      </c>
      <c r="C221">
        <v>8.9626178045871701</v>
      </c>
      <c r="D221">
        <v>0</v>
      </c>
      <c r="E221">
        <v>4.43140725292856</v>
      </c>
      <c r="F221">
        <v>4.3197574154415204</v>
      </c>
      <c r="G221">
        <v>32.555768518677297</v>
      </c>
      <c r="H221">
        <v>22.433570617053299</v>
      </c>
      <c r="I221">
        <v>66.477201786766599</v>
      </c>
      <c r="J221">
        <v>59.672083754526398</v>
      </c>
      <c r="K221">
        <v>105040.482894909</v>
      </c>
      <c r="L221">
        <v>751.92196950655102</v>
      </c>
      <c r="M221">
        <v>9.0077562194287294E-2</v>
      </c>
      <c r="N221">
        <v>7.6028012306736906E-2</v>
      </c>
      <c r="O221">
        <v>0.65341742456463003</v>
      </c>
      <c r="P221">
        <v>3.1220922206485601E-2</v>
      </c>
      <c r="Q221">
        <v>0.62980538137512498</v>
      </c>
      <c r="R221">
        <v>0</v>
      </c>
      <c r="S221">
        <v>35</v>
      </c>
      <c r="T221">
        <v>110</v>
      </c>
      <c r="U221">
        <v>11681447062.26</v>
      </c>
      <c r="V221">
        <v>111209</v>
      </c>
    </row>
    <row r="222" spans="1:22" x14ac:dyDescent="0.25">
      <c r="A222">
        <v>0.99153917885229403</v>
      </c>
      <c r="B222">
        <v>9.6935956373745302</v>
      </c>
      <c r="C222">
        <v>9.9080705628824397</v>
      </c>
      <c r="D222">
        <v>0</v>
      </c>
      <c r="E222">
        <v>4.4277736836448396</v>
      </c>
      <c r="F222">
        <v>4.3176852263127801</v>
      </c>
      <c r="G222">
        <v>32.5552527992552</v>
      </c>
      <c r="H222">
        <v>22.481552098100501</v>
      </c>
      <c r="I222">
        <v>66.773592901914895</v>
      </c>
      <c r="J222">
        <v>59.977578805287102</v>
      </c>
      <c r="K222">
        <v>115107.132469289</v>
      </c>
      <c r="L222">
        <v>752.73547742394805</v>
      </c>
      <c r="M222">
        <v>8.9226084959095994E-2</v>
      </c>
      <c r="N222">
        <v>7.7758347718492105E-2</v>
      </c>
      <c r="O222">
        <v>0.64020322807559504</v>
      </c>
      <c r="P222">
        <v>2.9095852340334499E-2</v>
      </c>
      <c r="Q222">
        <v>0.62994672723837797</v>
      </c>
      <c r="R222">
        <v>0</v>
      </c>
      <c r="S222">
        <v>35</v>
      </c>
      <c r="T222">
        <v>120</v>
      </c>
      <c r="U222">
        <v>13193579523.629999</v>
      </c>
      <c r="V222">
        <v>114620</v>
      </c>
    </row>
    <row r="223" spans="1:22" x14ac:dyDescent="0.25">
      <c r="A223">
        <v>0.991503196691912</v>
      </c>
      <c r="B223">
        <v>9.7329135518190704</v>
      </c>
      <c r="C223">
        <v>9.4565853090994096</v>
      </c>
      <c r="D223">
        <v>0</v>
      </c>
      <c r="E223">
        <v>4.4237857336018003</v>
      </c>
      <c r="F223">
        <v>4.3121143880680703</v>
      </c>
      <c r="G223">
        <v>32.545048797788098</v>
      </c>
      <c r="H223">
        <v>22.054884439284201</v>
      </c>
      <c r="I223">
        <v>67.211307882187796</v>
      </c>
      <c r="J223">
        <v>60.623886399090601</v>
      </c>
      <c r="K223">
        <v>124952.679295111</v>
      </c>
      <c r="L223">
        <v>753.01923450776303</v>
      </c>
      <c r="M223">
        <v>8.77994956814665E-2</v>
      </c>
      <c r="N223">
        <v>8.4980724205448194E-2</v>
      </c>
      <c r="O223">
        <v>0.62801552846567199</v>
      </c>
      <c r="P223">
        <v>3.0349934372493802E-2</v>
      </c>
      <c r="Q223">
        <v>0.63055232613360701</v>
      </c>
      <c r="R223">
        <v>0</v>
      </c>
      <c r="S223">
        <v>35</v>
      </c>
      <c r="T223">
        <v>130</v>
      </c>
      <c r="U223">
        <v>14883238583.52</v>
      </c>
      <c r="V223">
        <v>119111</v>
      </c>
    </row>
    <row r="224" spans="1:22" x14ac:dyDescent="0.25">
      <c r="A224">
        <v>0.99140846851811704</v>
      </c>
      <c r="B224">
        <v>9.8363485524071805</v>
      </c>
      <c r="C224">
        <v>9.8562473389059804</v>
      </c>
      <c r="D224">
        <v>0</v>
      </c>
      <c r="E224">
        <v>4.4152208947545803</v>
      </c>
      <c r="F224">
        <v>4.3038950410492403</v>
      </c>
      <c r="G224">
        <v>32.5394913442275</v>
      </c>
      <c r="H224">
        <v>22.1201245644273</v>
      </c>
      <c r="I224">
        <v>67.825288376434301</v>
      </c>
      <c r="J224">
        <v>61.110373895684098</v>
      </c>
      <c r="K224">
        <v>134972.206474768</v>
      </c>
      <c r="L224">
        <v>753.06206542904795</v>
      </c>
      <c r="M224">
        <v>9.2121898410818304E-2</v>
      </c>
      <c r="N224">
        <v>8.5861399581110998E-2</v>
      </c>
      <c r="O224">
        <v>0.62262142916838004</v>
      </c>
      <c r="P224">
        <v>3.0678487590147401E-2</v>
      </c>
      <c r="Q224">
        <v>0.64036281718367105</v>
      </c>
      <c r="R224">
        <v>0</v>
      </c>
      <c r="S224">
        <v>35</v>
      </c>
      <c r="T224">
        <v>140</v>
      </c>
      <c r="U224">
        <v>15497238803.02</v>
      </c>
      <c r="V224">
        <v>114818</v>
      </c>
    </row>
    <row r="225" spans="1:22" x14ac:dyDescent="0.25">
      <c r="A225">
        <v>0.99136073857638296</v>
      </c>
      <c r="B225">
        <v>9.8884243612288394</v>
      </c>
      <c r="C225">
        <v>10.5266443556157</v>
      </c>
      <c r="D225">
        <v>0</v>
      </c>
      <c r="E225">
        <v>4.4069176788806601</v>
      </c>
      <c r="F225">
        <v>4.30332672385489</v>
      </c>
      <c r="G225">
        <v>32.527891228359898</v>
      </c>
      <c r="H225">
        <v>21.920139775796301</v>
      </c>
      <c r="I225">
        <v>66.690697014359699</v>
      </c>
      <c r="J225">
        <v>60.165694975748501</v>
      </c>
      <c r="K225">
        <v>144968.84512226301</v>
      </c>
      <c r="L225">
        <v>753.88949882957797</v>
      </c>
      <c r="M225">
        <v>8.7632294312539702E-2</v>
      </c>
      <c r="N225">
        <v>8.8457884650953195E-2</v>
      </c>
      <c r="O225">
        <v>0.60945908751976297</v>
      </c>
      <c r="P225">
        <v>3.1706113645369703E-2</v>
      </c>
      <c r="Q225">
        <v>0.64066015334763704</v>
      </c>
      <c r="R225">
        <v>0</v>
      </c>
      <c r="S225">
        <v>35</v>
      </c>
      <c r="T225">
        <v>150</v>
      </c>
      <c r="U225">
        <v>17329140839.380001</v>
      </c>
      <c r="V225">
        <v>119537</v>
      </c>
    </row>
    <row r="226" spans="1:22" x14ac:dyDescent="0.25">
      <c r="A226">
        <v>0.99119905160084198</v>
      </c>
      <c r="B226">
        <v>10.064628300915</v>
      </c>
      <c r="C226">
        <v>10.158921779760499</v>
      </c>
      <c r="D226">
        <v>0</v>
      </c>
      <c r="E226">
        <v>4.4141634747061902</v>
      </c>
      <c r="F226">
        <v>4.3026413219464104</v>
      </c>
      <c r="G226">
        <v>32.518191694116602</v>
      </c>
      <c r="H226">
        <v>22.017775065773801</v>
      </c>
      <c r="I226">
        <v>68.031182700967904</v>
      </c>
      <c r="J226">
        <v>61.4520582943561</v>
      </c>
      <c r="K226">
        <v>154955.100762747</v>
      </c>
      <c r="L226">
        <v>752.79843819850703</v>
      </c>
      <c r="M226">
        <v>9.4024216316116599E-2</v>
      </c>
      <c r="N226">
        <v>9.1834196526856496E-2</v>
      </c>
      <c r="O226">
        <v>0.60756339271542803</v>
      </c>
      <c r="P226">
        <v>3.0717801697301102E-2</v>
      </c>
      <c r="Q226">
        <v>0.664133795621348</v>
      </c>
      <c r="R226">
        <v>0</v>
      </c>
      <c r="S226">
        <v>35</v>
      </c>
      <c r="T226">
        <v>160</v>
      </c>
      <c r="U226">
        <v>16601734540.620001</v>
      </c>
      <c r="V226">
        <v>107139</v>
      </c>
    </row>
    <row r="227" spans="1:22" x14ac:dyDescent="0.25">
      <c r="A227">
        <v>0.99104584679613605</v>
      </c>
      <c r="B227">
        <v>10.2312970299757</v>
      </c>
      <c r="C227">
        <v>10.1102832416883</v>
      </c>
      <c r="D227">
        <v>0</v>
      </c>
      <c r="E227">
        <v>4.4090436684613099</v>
      </c>
      <c r="F227">
        <v>4.2963961135424196</v>
      </c>
      <c r="G227">
        <v>32.5207973573823</v>
      </c>
      <c r="H227">
        <v>22.056417016733999</v>
      </c>
      <c r="I227">
        <v>68.656801699300104</v>
      </c>
      <c r="J227">
        <v>61.950702545574103</v>
      </c>
      <c r="K227">
        <v>164978.343066006</v>
      </c>
      <c r="L227">
        <v>753.08839297095199</v>
      </c>
      <c r="M227">
        <v>9.2902242839171895E-2</v>
      </c>
      <c r="N227">
        <v>9.3632694114745604E-2</v>
      </c>
      <c r="O227">
        <v>0.59484179001604898</v>
      </c>
      <c r="P227">
        <v>3.1296864095206399E-2</v>
      </c>
      <c r="Q227">
        <v>0.65120387965093995</v>
      </c>
      <c r="R227">
        <v>0</v>
      </c>
      <c r="S227">
        <v>35</v>
      </c>
      <c r="T227">
        <v>170</v>
      </c>
      <c r="U227">
        <v>17588506132.610001</v>
      </c>
      <c r="V227">
        <v>106611</v>
      </c>
    </row>
    <row r="228" spans="1:22" x14ac:dyDescent="0.25">
      <c r="A228">
        <v>0.98857305977272503</v>
      </c>
      <c r="B228">
        <v>12.882530368216401</v>
      </c>
      <c r="C228">
        <v>15.263373163011</v>
      </c>
      <c r="D228">
        <v>0</v>
      </c>
      <c r="E228">
        <v>4.36875554049168</v>
      </c>
      <c r="F228">
        <v>4.25851933787047</v>
      </c>
      <c r="G228">
        <v>32.505705200035301</v>
      </c>
      <c r="H228">
        <v>21.0790851777484</v>
      </c>
      <c r="I228">
        <v>69.262608049193403</v>
      </c>
      <c r="J228">
        <v>62.827473943873997</v>
      </c>
      <c r="K228">
        <v>289691.228247775</v>
      </c>
      <c r="L228">
        <v>754.25232840466697</v>
      </c>
      <c r="M228">
        <v>0.14455975328780299</v>
      </c>
      <c r="N228">
        <v>0.107479660296738</v>
      </c>
      <c r="O228">
        <v>0.52337511046926299</v>
      </c>
      <c r="P228">
        <v>5.46186490184941E-2</v>
      </c>
      <c r="Q228">
        <v>0.64539234757365505</v>
      </c>
      <c r="R228">
        <v>0</v>
      </c>
      <c r="S228">
        <v>35</v>
      </c>
      <c r="T228">
        <v>175</v>
      </c>
      <c r="U228">
        <v>446204446280.57001</v>
      </c>
      <c r="V228">
        <v>1540276</v>
      </c>
    </row>
    <row r="229" spans="1:22" x14ac:dyDescent="0.25">
      <c r="A229">
        <v>0.990935704646557</v>
      </c>
      <c r="B229">
        <v>10.3509436821296</v>
      </c>
      <c r="C229">
        <v>10.140027413021601</v>
      </c>
      <c r="D229">
        <v>0</v>
      </c>
      <c r="E229">
        <v>4.3991609746707603</v>
      </c>
      <c r="F229">
        <v>4.2872103960617203</v>
      </c>
      <c r="G229">
        <v>32.5241065106501</v>
      </c>
      <c r="H229">
        <v>21.9989631901732</v>
      </c>
      <c r="I229">
        <v>68.833337487183499</v>
      </c>
      <c r="J229">
        <v>62.121794927856698</v>
      </c>
      <c r="K229">
        <v>172420.62534743</v>
      </c>
      <c r="L229">
        <v>753.56213909638495</v>
      </c>
      <c r="M229">
        <v>9.4869737933139298E-2</v>
      </c>
      <c r="N229">
        <v>9.5767576323398496E-2</v>
      </c>
      <c r="O229">
        <v>0.593984431047336</v>
      </c>
      <c r="P229">
        <v>3.1599934643407199E-2</v>
      </c>
      <c r="Q229">
        <v>0.64676214274825705</v>
      </c>
      <c r="R229">
        <v>0</v>
      </c>
      <c r="S229">
        <v>35</v>
      </c>
      <c r="T229">
        <v>180</v>
      </c>
      <c r="U229">
        <v>9262953255.5400009</v>
      </c>
      <c r="V229">
        <v>53723</v>
      </c>
    </row>
    <row r="230" spans="1:22" x14ac:dyDescent="0.25">
      <c r="A230">
        <v>0.99247475861837298</v>
      </c>
      <c r="B230">
        <v>8.6657549849062008</v>
      </c>
      <c r="C230">
        <v>89.225502731540004</v>
      </c>
      <c r="D230">
        <v>0</v>
      </c>
      <c r="E230">
        <v>4.3325033972323199</v>
      </c>
      <c r="F230">
        <v>4.3349234625417497</v>
      </c>
      <c r="G230">
        <v>37.588482066988398</v>
      </c>
      <c r="H230">
        <v>23.930710980704202</v>
      </c>
      <c r="I230">
        <v>60.773531963680597</v>
      </c>
      <c r="J230">
        <v>4.26915372272454</v>
      </c>
      <c r="K230">
        <v>5968.75212962962</v>
      </c>
      <c r="L230">
        <v>773.93032150892805</v>
      </c>
      <c r="M230">
        <v>2.7370476951390801E-2</v>
      </c>
      <c r="N230">
        <v>0.104102236788549</v>
      </c>
      <c r="O230">
        <v>0.59953393384866405</v>
      </c>
      <c r="P230">
        <v>1.91899692373711E-2</v>
      </c>
      <c r="Q230">
        <v>0.30831796639421</v>
      </c>
      <c r="R230">
        <v>0</v>
      </c>
      <c r="S230">
        <v>40</v>
      </c>
      <c r="T230">
        <v>10</v>
      </c>
      <c r="U230">
        <v>3867751.38</v>
      </c>
      <c r="V230">
        <v>648</v>
      </c>
    </row>
    <row r="231" spans="1:22" x14ac:dyDescent="0.25">
      <c r="A231">
        <v>0.99253895824125904</v>
      </c>
      <c r="B231">
        <v>8.5948327499466597</v>
      </c>
      <c r="C231">
        <v>62.7581925721448</v>
      </c>
      <c r="D231">
        <v>0</v>
      </c>
      <c r="E231">
        <v>4.3610277921364604</v>
      </c>
      <c r="F231">
        <v>4.3231976332043098</v>
      </c>
      <c r="G231">
        <v>37.593697551316303</v>
      </c>
      <c r="H231">
        <v>23.6810937743221</v>
      </c>
      <c r="I231">
        <v>57.577768983654202</v>
      </c>
      <c r="J231">
        <v>15.7725726157067</v>
      </c>
      <c r="K231">
        <v>15779.147425515601</v>
      </c>
      <c r="L231">
        <v>766.78579987569594</v>
      </c>
      <c r="M231">
        <v>4.3516825876815303E-2</v>
      </c>
      <c r="N231">
        <v>4.5663295308139201E-2</v>
      </c>
      <c r="O231">
        <v>0.70955998702251</v>
      </c>
      <c r="P231">
        <v>3.24308881149298E-2</v>
      </c>
      <c r="Q231">
        <v>0.31607195300067398</v>
      </c>
      <c r="R231">
        <v>0</v>
      </c>
      <c r="S231">
        <v>40</v>
      </c>
      <c r="T231">
        <v>20</v>
      </c>
      <c r="U231">
        <v>20654903.98</v>
      </c>
      <c r="V231">
        <v>1309</v>
      </c>
    </row>
    <row r="232" spans="1:22" x14ac:dyDescent="0.25">
      <c r="A232">
        <v>0.99214632970121597</v>
      </c>
      <c r="B232">
        <v>9.0277866185374602</v>
      </c>
      <c r="C232">
        <v>32.325604746881901</v>
      </c>
      <c r="D232">
        <v>0</v>
      </c>
      <c r="E232">
        <v>4.4313948475997602</v>
      </c>
      <c r="F232">
        <v>4.3387459293939203</v>
      </c>
      <c r="G232">
        <v>37.5540099788223</v>
      </c>
      <c r="H232">
        <v>23.593906598305299</v>
      </c>
      <c r="I232">
        <v>54.480128704112602</v>
      </c>
      <c r="J232">
        <v>34.551365345787502</v>
      </c>
      <c r="K232">
        <v>26060.425676757499</v>
      </c>
      <c r="L232">
        <v>753.68911970209194</v>
      </c>
      <c r="M232">
        <v>5.0286966666349499E-2</v>
      </c>
      <c r="N232">
        <v>3.8323354617793202E-2</v>
      </c>
      <c r="O232">
        <v>0.79345803814382398</v>
      </c>
      <c r="P232">
        <v>2.7043964156809701E-2</v>
      </c>
      <c r="Q232">
        <v>0.37601390613815699</v>
      </c>
      <c r="R232">
        <v>0</v>
      </c>
      <c r="S232">
        <v>40</v>
      </c>
      <c r="T232">
        <v>30</v>
      </c>
      <c r="U232">
        <v>104163521.43000001</v>
      </c>
      <c r="V232">
        <v>3997</v>
      </c>
    </row>
    <row r="233" spans="1:22" x14ac:dyDescent="0.25">
      <c r="A233">
        <v>0.992023836930083</v>
      </c>
      <c r="B233">
        <v>9.1624749129947602</v>
      </c>
      <c r="C233">
        <v>16.924327686687501</v>
      </c>
      <c r="D233">
        <v>0</v>
      </c>
      <c r="E233">
        <v>4.4357843612118897</v>
      </c>
      <c r="F233">
        <v>4.32733541153251</v>
      </c>
      <c r="G233">
        <v>37.557888999297901</v>
      </c>
      <c r="H233">
        <v>23.0817842883894</v>
      </c>
      <c r="I233">
        <v>56.058661275675</v>
      </c>
      <c r="J233">
        <v>44.067885345219601</v>
      </c>
      <c r="K233">
        <v>35928.9871968562</v>
      </c>
      <c r="L233">
        <v>753.339612924476</v>
      </c>
      <c r="M233">
        <v>5.7006314528524699E-2</v>
      </c>
      <c r="N233">
        <v>3.71515983135337E-2</v>
      </c>
      <c r="O233">
        <v>0.785148903533882</v>
      </c>
      <c r="P233">
        <v>2.35043145178227E-2</v>
      </c>
      <c r="Q233">
        <v>0.46621057527882798</v>
      </c>
      <c r="R233">
        <v>0</v>
      </c>
      <c r="S233">
        <v>40</v>
      </c>
      <c r="T233">
        <v>40</v>
      </c>
      <c r="U233">
        <v>384009015.16000003</v>
      </c>
      <c r="V233">
        <v>10688</v>
      </c>
    </row>
    <row r="234" spans="1:22" x14ac:dyDescent="0.25">
      <c r="A234">
        <v>0.991699125628272</v>
      </c>
      <c r="B234">
        <v>9.5186308084741196</v>
      </c>
      <c r="C234">
        <v>12.107438707804899</v>
      </c>
      <c r="D234">
        <v>0</v>
      </c>
      <c r="E234">
        <v>4.4451833436930901</v>
      </c>
      <c r="F234">
        <v>4.33091686655691</v>
      </c>
      <c r="G234">
        <v>37.550960592612697</v>
      </c>
      <c r="H234">
        <v>22.9388162985212</v>
      </c>
      <c r="I234">
        <v>56.574061149293001</v>
      </c>
      <c r="J234">
        <v>47.922295921535103</v>
      </c>
      <c r="K234">
        <v>45879.104107371197</v>
      </c>
      <c r="L234">
        <v>751.54061100134697</v>
      </c>
      <c r="M234">
        <v>6.8550231969940506E-2</v>
      </c>
      <c r="N234">
        <v>5.1254998491538098E-2</v>
      </c>
      <c r="O234">
        <v>0.75972363506902696</v>
      </c>
      <c r="P234">
        <v>2.8781764977165301E-2</v>
      </c>
      <c r="Q234">
        <v>0.54326991066179098</v>
      </c>
      <c r="R234">
        <v>0</v>
      </c>
      <c r="S234">
        <v>40</v>
      </c>
      <c r="T234">
        <v>50</v>
      </c>
      <c r="U234">
        <v>1147711668.3499999</v>
      </c>
      <c r="V234">
        <v>25016</v>
      </c>
    </row>
    <row r="235" spans="1:22" x14ac:dyDescent="0.25">
      <c r="A235">
        <v>0.99151784049310898</v>
      </c>
      <c r="B235">
        <v>9.7169140796576308</v>
      </c>
      <c r="C235">
        <v>9.0495432204951207</v>
      </c>
      <c r="D235">
        <v>0</v>
      </c>
      <c r="E235">
        <v>4.46121629130608</v>
      </c>
      <c r="F235">
        <v>4.3270880944273804</v>
      </c>
      <c r="G235">
        <v>37.5750707595382</v>
      </c>
      <c r="H235">
        <v>22.7319480911551</v>
      </c>
      <c r="I235">
        <v>60.116179320675101</v>
      </c>
      <c r="J235">
        <v>52.538035844937397</v>
      </c>
      <c r="K235">
        <v>55435.080624350099</v>
      </c>
      <c r="L235">
        <v>749.21684330884204</v>
      </c>
      <c r="M235">
        <v>7.3699258406062104E-2</v>
      </c>
      <c r="N235">
        <v>5.3315276872641197E-2</v>
      </c>
      <c r="O235">
        <v>0.741541709960436</v>
      </c>
      <c r="P235">
        <v>3.3469589496314102E-2</v>
      </c>
      <c r="Q235">
        <v>0.58402260770464998</v>
      </c>
      <c r="R235">
        <v>0</v>
      </c>
      <c r="S235">
        <v>40</v>
      </c>
      <c r="T235">
        <v>60</v>
      </c>
      <c r="U235">
        <v>2345790871.6999998</v>
      </c>
      <c r="V235">
        <v>42316</v>
      </c>
    </row>
    <row r="236" spans="1:22" x14ac:dyDescent="0.25">
      <c r="A236">
        <v>0.99144681069245899</v>
      </c>
      <c r="B236">
        <v>9.7944952981817597</v>
      </c>
      <c r="C236">
        <v>9.5602227168195792</v>
      </c>
      <c r="D236">
        <v>0</v>
      </c>
      <c r="E236">
        <v>4.47545580457846</v>
      </c>
      <c r="F236">
        <v>4.3271470694652097</v>
      </c>
      <c r="G236">
        <v>37.567220303558202</v>
      </c>
      <c r="H236">
        <v>22.494087984682299</v>
      </c>
      <c r="I236">
        <v>62.345693150417802</v>
      </c>
      <c r="J236">
        <v>55.253219979320598</v>
      </c>
      <c r="K236">
        <v>65271.991206430597</v>
      </c>
      <c r="L236">
        <v>749.63853823016302</v>
      </c>
      <c r="M236">
        <v>7.6998325680036797E-2</v>
      </c>
      <c r="N236">
        <v>5.91391361592839E-2</v>
      </c>
      <c r="O236">
        <v>0.72206460646958404</v>
      </c>
      <c r="P236">
        <v>3.4470627311843499E-2</v>
      </c>
      <c r="Q236">
        <v>0.59860866796518797</v>
      </c>
      <c r="R236">
        <v>0</v>
      </c>
      <c r="S236">
        <v>40</v>
      </c>
      <c r="T236">
        <v>70</v>
      </c>
      <c r="U236">
        <v>3792106873.1199999</v>
      </c>
      <c r="V236">
        <v>58097</v>
      </c>
    </row>
    <row r="237" spans="1:22" x14ac:dyDescent="0.25">
      <c r="A237">
        <v>0.99143025646268701</v>
      </c>
      <c r="B237">
        <v>9.8125676204802907</v>
      </c>
      <c r="C237">
        <v>8.5117825697236906</v>
      </c>
      <c r="D237">
        <v>0</v>
      </c>
      <c r="E237">
        <v>4.4741666801059603</v>
      </c>
      <c r="F237">
        <v>4.3253255231210899</v>
      </c>
      <c r="G237">
        <v>37.565081468815102</v>
      </c>
      <c r="H237">
        <v>22.045826474280599</v>
      </c>
      <c r="I237">
        <v>62.568627828336801</v>
      </c>
      <c r="J237">
        <v>56.146306845635401</v>
      </c>
      <c r="K237">
        <v>75175.350800605403</v>
      </c>
      <c r="L237">
        <v>749.54896066371896</v>
      </c>
      <c r="M237">
        <v>7.8570139970504105E-2</v>
      </c>
      <c r="N237">
        <v>7.2008854588162599E-2</v>
      </c>
      <c r="O237">
        <v>0.69718698771341203</v>
      </c>
      <c r="P237">
        <v>3.3128931137419701E-2</v>
      </c>
      <c r="Q237">
        <v>0.6193543737867</v>
      </c>
      <c r="R237">
        <v>0</v>
      </c>
      <c r="S237">
        <v>40</v>
      </c>
      <c r="T237">
        <v>80</v>
      </c>
      <c r="U237">
        <v>5612290989.3699999</v>
      </c>
      <c r="V237">
        <v>74656</v>
      </c>
    </row>
    <row r="238" spans="1:22" x14ac:dyDescent="0.25">
      <c r="A238">
        <v>0.99133732732655899</v>
      </c>
      <c r="B238">
        <v>9.9139571531870399</v>
      </c>
      <c r="C238">
        <v>9.1145506939059899</v>
      </c>
      <c r="D238">
        <v>0</v>
      </c>
      <c r="E238">
        <v>4.4770205857112702</v>
      </c>
      <c r="F238">
        <v>4.3148739981595998</v>
      </c>
      <c r="G238">
        <v>37.561407891623297</v>
      </c>
      <c r="H238">
        <v>22.061158755510299</v>
      </c>
      <c r="I238">
        <v>65.198649030080006</v>
      </c>
      <c r="J238">
        <v>58.702511508989502</v>
      </c>
      <c r="K238">
        <v>85181.260911952806</v>
      </c>
      <c r="L238">
        <v>749.58166393813099</v>
      </c>
      <c r="M238">
        <v>8.3431852330470596E-2</v>
      </c>
      <c r="N238">
        <v>7.4992521623557407E-2</v>
      </c>
      <c r="O238">
        <v>0.68874457073622797</v>
      </c>
      <c r="P238">
        <v>3.2292554408435002E-2</v>
      </c>
      <c r="Q238">
        <v>0.626927725623044</v>
      </c>
      <c r="R238">
        <v>0</v>
      </c>
      <c r="S238">
        <v>40</v>
      </c>
      <c r="T238">
        <v>90</v>
      </c>
      <c r="U238">
        <v>7549018885.8000002</v>
      </c>
      <c r="V238">
        <v>88623</v>
      </c>
    </row>
    <row r="239" spans="1:22" x14ac:dyDescent="0.25">
      <c r="A239">
        <v>0.99136022037174298</v>
      </c>
      <c r="B239">
        <v>9.8889895976830395</v>
      </c>
      <c r="C239">
        <v>8.7468994013902197</v>
      </c>
      <c r="D239">
        <v>0</v>
      </c>
      <c r="E239">
        <v>4.47487786173369</v>
      </c>
      <c r="F239">
        <v>4.3116486560261196</v>
      </c>
      <c r="G239">
        <v>37.566240631371898</v>
      </c>
      <c r="H239">
        <v>21.6832853680733</v>
      </c>
      <c r="I239">
        <v>65.115112812378598</v>
      </c>
      <c r="J239">
        <v>59.037275358626999</v>
      </c>
      <c r="K239">
        <v>95315.013628019107</v>
      </c>
      <c r="L239">
        <v>752.097031716988</v>
      </c>
      <c r="M239">
        <v>8.1042984091095005E-2</v>
      </c>
      <c r="N239">
        <v>7.5631992663586306E-2</v>
      </c>
      <c r="O239">
        <v>0.65892306570176995</v>
      </c>
      <c r="P239">
        <v>3.1782687747624001E-2</v>
      </c>
      <c r="Q239">
        <v>0.59536245634301699</v>
      </c>
      <c r="R239">
        <v>0</v>
      </c>
      <c r="S239">
        <v>40</v>
      </c>
      <c r="T239">
        <v>100</v>
      </c>
      <c r="U239">
        <v>11100672432.16</v>
      </c>
      <c r="V239">
        <v>116463</v>
      </c>
    </row>
    <row r="240" spans="1:22" x14ac:dyDescent="0.25">
      <c r="A240">
        <v>0.991194298929852</v>
      </c>
      <c r="B240">
        <v>10.069802905866601</v>
      </c>
      <c r="C240">
        <v>8.5976234371769902</v>
      </c>
      <c r="D240">
        <v>0</v>
      </c>
      <c r="E240">
        <v>4.4780620076793598</v>
      </c>
      <c r="F240">
        <v>4.2995408066459104</v>
      </c>
      <c r="G240">
        <v>37.5565127758533</v>
      </c>
      <c r="H240">
        <v>21.639764396773099</v>
      </c>
      <c r="I240">
        <v>67.491573375299296</v>
      </c>
      <c r="J240">
        <v>61.428724294401398</v>
      </c>
      <c r="K240">
        <v>105061.376537452</v>
      </c>
      <c r="L240">
        <v>750.44535434362103</v>
      </c>
      <c r="M240">
        <v>8.8664672132028097E-2</v>
      </c>
      <c r="N240">
        <v>7.5247103439180396E-2</v>
      </c>
      <c r="O240">
        <v>0.642077839778598</v>
      </c>
      <c r="P240">
        <v>2.9933635790416201E-2</v>
      </c>
      <c r="Q240">
        <v>0.62116674478603995</v>
      </c>
      <c r="R240">
        <v>0</v>
      </c>
      <c r="S240">
        <v>40</v>
      </c>
      <c r="T240">
        <v>110</v>
      </c>
      <c r="U240">
        <v>11613484562.450001</v>
      </c>
      <c r="V240">
        <v>110540</v>
      </c>
    </row>
    <row r="241" spans="1:22" x14ac:dyDescent="0.25">
      <c r="A241">
        <v>0.99109136238155604</v>
      </c>
      <c r="B241">
        <v>10.1818110371192</v>
      </c>
      <c r="C241">
        <v>9.5567914614324305</v>
      </c>
      <c r="D241">
        <v>0</v>
      </c>
      <c r="E241">
        <v>4.4675617471554503</v>
      </c>
      <c r="F241">
        <v>4.29296993967953</v>
      </c>
      <c r="G241">
        <v>37.564761270245398</v>
      </c>
      <c r="H241">
        <v>21.665466223502001</v>
      </c>
      <c r="I241">
        <v>67.886224368193496</v>
      </c>
      <c r="J241">
        <v>61.751460135325097</v>
      </c>
      <c r="K241">
        <v>115103.265033487</v>
      </c>
      <c r="L241">
        <v>751.75545601237604</v>
      </c>
      <c r="M241">
        <v>8.8424451942018895E-2</v>
      </c>
      <c r="N241">
        <v>7.4016714734530406E-2</v>
      </c>
      <c r="O241">
        <v>0.62885090812528999</v>
      </c>
      <c r="P241">
        <v>2.89488355471289E-2</v>
      </c>
      <c r="Q241">
        <v>0.62200105264824102</v>
      </c>
      <c r="R241">
        <v>0</v>
      </c>
      <c r="S241">
        <v>40</v>
      </c>
      <c r="T241">
        <v>120</v>
      </c>
      <c r="U241">
        <v>13130059648.9</v>
      </c>
      <c r="V241">
        <v>114072</v>
      </c>
    </row>
    <row r="242" spans="1:22" x14ac:dyDescent="0.25">
      <c r="A242">
        <v>0.99100523947583996</v>
      </c>
      <c r="B242">
        <v>10.2754255042442</v>
      </c>
      <c r="C242">
        <v>9.6847902823780299</v>
      </c>
      <c r="D242">
        <v>0</v>
      </c>
      <c r="E242">
        <v>4.4582538903727</v>
      </c>
      <c r="F242">
        <v>4.2832412249193501</v>
      </c>
      <c r="G242">
        <v>37.564454346602801</v>
      </c>
      <c r="H242">
        <v>21.277804172994301</v>
      </c>
      <c r="I242">
        <v>68.199559089238207</v>
      </c>
      <c r="J242">
        <v>62.216686411464003</v>
      </c>
      <c r="K242">
        <v>124950.51080659599</v>
      </c>
      <c r="L242">
        <v>752.16970931480898</v>
      </c>
      <c r="M242">
        <v>8.6782249101342301E-2</v>
      </c>
      <c r="N242">
        <v>8.4430419509763197E-2</v>
      </c>
      <c r="O242">
        <v>0.61568518650659798</v>
      </c>
      <c r="P242">
        <v>2.89354561138651E-2</v>
      </c>
      <c r="Q242">
        <v>0.62039112844050004</v>
      </c>
      <c r="R242">
        <v>0</v>
      </c>
      <c r="S242">
        <v>40</v>
      </c>
      <c r="T242">
        <v>130</v>
      </c>
      <c r="U242">
        <v>15040292985.790001</v>
      </c>
      <c r="V242">
        <v>120370</v>
      </c>
    </row>
    <row r="243" spans="1:22" x14ac:dyDescent="0.25">
      <c r="A243">
        <v>0.99085911179151898</v>
      </c>
      <c r="B243">
        <v>10.4340597776577</v>
      </c>
      <c r="C243">
        <v>10.104459347308101</v>
      </c>
      <c r="D243">
        <v>0</v>
      </c>
      <c r="E243">
        <v>4.4542168409478302</v>
      </c>
      <c r="F243">
        <v>4.2796582654746302</v>
      </c>
      <c r="G243">
        <v>37.557693324731801</v>
      </c>
      <c r="H243">
        <v>21.335913590643401</v>
      </c>
      <c r="I243">
        <v>68.685690825604098</v>
      </c>
      <c r="J243">
        <v>62.607422156048997</v>
      </c>
      <c r="K243">
        <v>134961.65605393299</v>
      </c>
      <c r="L243">
        <v>752.25815015559999</v>
      </c>
      <c r="M243">
        <v>9.1694535344100395E-2</v>
      </c>
      <c r="N243">
        <v>8.6100284890862203E-2</v>
      </c>
      <c r="O243">
        <v>0.61126088790759603</v>
      </c>
      <c r="P243">
        <v>2.9259385690567099E-2</v>
      </c>
      <c r="Q243">
        <v>0.630485532316995</v>
      </c>
      <c r="R243">
        <v>0</v>
      </c>
      <c r="S243">
        <v>40</v>
      </c>
      <c r="T243">
        <v>140</v>
      </c>
      <c r="U243">
        <v>15469709901.870001</v>
      </c>
      <c r="V243">
        <v>114623</v>
      </c>
    </row>
    <row r="244" spans="1:22" x14ac:dyDescent="0.25">
      <c r="A244">
        <v>0.99075007847878005</v>
      </c>
      <c r="B244">
        <v>10.552257364629099</v>
      </c>
      <c r="C244">
        <v>9.8674452331683202</v>
      </c>
      <c r="D244">
        <v>0</v>
      </c>
      <c r="E244">
        <v>4.4483793034911701</v>
      </c>
      <c r="F244">
        <v>4.2796059871220402</v>
      </c>
      <c r="G244">
        <v>37.5486252914692</v>
      </c>
      <c r="H244">
        <v>21.099901122086901</v>
      </c>
      <c r="I244">
        <v>67.673082947911297</v>
      </c>
      <c r="J244">
        <v>61.822291588251801</v>
      </c>
      <c r="K244">
        <v>144985.908902778</v>
      </c>
      <c r="L244">
        <v>753.27594847799196</v>
      </c>
      <c r="M244">
        <v>8.9183386979885898E-2</v>
      </c>
      <c r="N244">
        <v>8.8476696812425898E-2</v>
      </c>
      <c r="O244">
        <v>0.59541323694829396</v>
      </c>
      <c r="P244">
        <v>2.9856730967583001E-2</v>
      </c>
      <c r="Q244">
        <v>0.63582877686398898</v>
      </c>
      <c r="R244">
        <v>0</v>
      </c>
      <c r="S244">
        <v>40</v>
      </c>
      <c r="T244">
        <v>150</v>
      </c>
      <c r="U244">
        <v>17212437133.119999</v>
      </c>
      <c r="V244">
        <v>118718</v>
      </c>
    </row>
    <row r="245" spans="1:22" x14ac:dyDescent="0.25">
      <c r="A245">
        <v>0.99056269387356999</v>
      </c>
      <c r="B245">
        <v>10.755057716445799</v>
      </c>
      <c r="C245">
        <v>10.4460884843858</v>
      </c>
      <c r="D245">
        <v>0</v>
      </c>
      <c r="E245">
        <v>4.4575081768823797</v>
      </c>
      <c r="F245">
        <v>4.2805922849243601</v>
      </c>
      <c r="G245">
        <v>37.558820566237401</v>
      </c>
      <c r="H245">
        <v>21.199378994717598</v>
      </c>
      <c r="I245">
        <v>68.770664253860701</v>
      </c>
      <c r="J245">
        <v>62.901985922450599</v>
      </c>
      <c r="K245">
        <v>154962.56918317301</v>
      </c>
      <c r="L245">
        <v>752.51536203423802</v>
      </c>
      <c r="M245">
        <v>9.2182501314366394E-2</v>
      </c>
      <c r="N245">
        <v>8.9502288127744398E-2</v>
      </c>
      <c r="O245">
        <v>0.597151025999346</v>
      </c>
      <c r="P245">
        <v>2.8813343043040299E-2</v>
      </c>
      <c r="Q245">
        <v>0.65801754413715996</v>
      </c>
      <c r="R245">
        <v>0</v>
      </c>
      <c r="S245">
        <v>40</v>
      </c>
      <c r="T245">
        <v>160</v>
      </c>
      <c r="U245">
        <v>16647318882.209999</v>
      </c>
      <c r="V245">
        <v>107428</v>
      </c>
    </row>
    <row r="246" spans="1:22" x14ac:dyDescent="0.25">
      <c r="A246">
        <v>0.99034650946875402</v>
      </c>
      <c r="B246">
        <v>10.988503490834599</v>
      </c>
      <c r="C246">
        <v>10.9381690886343</v>
      </c>
      <c r="D246">
        <v>0</v>
      </c>
      <c r="E246">
        <v>4.4491610050555304</v>
      </c>
      <c r="F246">
        <v>4.2714195528206904</v>
      </c>
      <c r="G246">
        <v>37.553616915947401</v>
      </c>
      <c r="H246">
        <v>21.185491905583099</v>
      </c>
      <c r="I246">
        <v>69.273955940344095</v>
      </c>
      <c r="J246">
        <v>63.3244638086016</v>
      </c>
      <c r="K246">
        <v>164995.41844173701</v>
      </c>
      <c r="L246">
        <v>752.99528131563795</v>
      </c>
      <c r="M246">
        <v>9.32454679219126E-2</v>
      </c>
      <c r="N246">
        <v>9.1243000938782695E-2</v>
      </c>
      <c r="O246">
        <v>0.58310799388394197</v>
      </c>
      <c r="P246">
        <v>3.0731334747109901E-2</v>
      </c>
      <c r="Q246">
        <v>0.64766438196070997</v>
      </c>
      <c r="R246">
        <v>0</v>
      </c>
      <c r="S246">
        <v>40</v>
      </c>
      <c r="T246">
        <v>170</v>
      </c>
      <c r="U246">
        <v>17665729461.720001</v>
      </c>
      <c r="V246">
        <v>107068</v>
      </c>
    </row>
    <row r="247" spans="1:22" x14ac:dyDescent="0.25">
      <c r="A247">
        <v>0.98730791417018704</v>
      </c>
      <c r="B247">
        <v>14.211036738653499</v>
      </c>
      <c r="C247">
        <v>17.034612795950601</v>
      </c>
      <c r="D247">
        <v>0</v>
      </c>
      <c r="E247">
        <v>4.4044297043797798</v>
      </c>
      <c r="F247">
        <v>4.23272231959898</v>
      </c>
      <c r="G247">
        <v>37.543144119835503</v>
      </c>
      <c r="H247">
        <v>20.362539192981799</v>
      </c>
      <c r="I247">
        <v>69.545977897512699</v>
      </c>
      <c r="J247">
        <v>63.758294327618302</v>
      </c>
      <c r="K247">
        <v>289675.17839522997</v>
      </c>
      <c r="L247">
        <v>754.52738356499401</v>
      </c>
      <c r="M247">
        <v>0.145363779160738</v>
      </c>
      <c r="N247">
        <v>0.102566266937776</v>
      </c>
      <c r="O247">
        <v>0.51227306030073305</v>
      </c>
      <c r="P247">
        <v>5.5241116675483898E-2</v>
      </c>
      <c r="Q247">
        <v>0.64050828271063698</v>
      </c>
      <c r="R247">
        <v>0</v>
      </c>
      <c r="S247">
        <v>40</v>
      </c>
      <c r="T247">
        <v>175</v>
      </c>
      <c r="U247">
        <v>448254089030.38</v>
      </c>
      <c r="V247">
        <v>1547437</v>
      </c>
    </row>
    <row r="248" spans="1:22" x14ac:dyDescent="0.25">
      <c r="A248">
        <v>0.99019225250137499</v>
      </c>
      <c r="B248">
        <v>11.1547348453057</v>
      </c>
      <c r="C248">
        <v>10.1520147527436</v>
      </c>
      <c r="D248">
        <v>0</v>
      </c>
      <c r="E248">
        <v>4.4411026073428097</v>
      </c>
      <c r="F248">
        <v>4.2632666971731403</v>
      </c>
      <c r="G248">
        <v>37.5555059753246</v>
      </c>
      <c r="H248">
        <v>21.201766779556099</v>
      </c>
      <c r="I248">
        <v>69.522094554154805</v>
      </c>
      <c r="J248">
        <v>63.561120993981802</v>
      </c>
      <c r="K248">
        <v>172411.65439188399</v>
      </c>
      <c r="L248">
        <v>753.54158665921602</v>
      </c>
      <c r="M248">
        <v>9.2159825469014606E-2</v>
      </c>
      <c r="N248">
        <v>9.3543019783380296E-2</v>
      </c>
      <c r="O248">
        <v>0.57917566250613095</v>
      </c>
      <c r="P248">
        <v>3.1890503610851002E-2</v>
      </c>
      <c r="Q248">
        <v>0.63726260262313905</v>
      </c>
      <c r="R248">
        <v>0</v>
      </c>
      <c r="S248">
        <v>40</v>
      </c>
      <c r="T248">
        <v>180</v>
      </c>
      <c r="U248">
        <v>9305056987.5300007</v>
      </c>
      <c r="V248">
        <v>53970</v>
      </c>
    </row>
    <row r="249" spans="1:22" x14ac:dyDescent="0.25">
      <c r="A249">
        <v>0.99273890478303795</v>
      </c>
      <c r="B249">
        <v>8.3736253906038005</v>
      </c>
      <c r="C249">
        <v>88.179384741023597</v>
      </c>
      <c r="D249">
        <v>0</v>
      </c>
      <c r="E249">
        <v>4.3666244171741102</v>
      </c>
      <c r="F249">
        <v>4.2914251967443597</v>
      </c>
      <c r="G249">
        <v>42.743060788475397</v>
      </c>
      <c r="H249">
        <v>23.3305011006894</v>
      </c>
      <c r="I249">
        <v>62.3363581338347</v>
      </c>
      <c r="J249">
        <v>4.26286645655399</v>
      </c>
      <c r="K249">
        <v>5766.2318541996801</v>
      </c>
      <c r="L249">
        <v>775.16827341643602</v>
      </c>
      <c r="M249">
        <v>2.2958627671137301E-2</v>
      </c>
      <c r="N249">
        <v>6.9093497875479901E-2</v>
      </c>
      <c r="O249">
        <v>0.58140749122926505</v>
      </c>
      <c r="P249">
        <v>2.91955324462277E-2</v>
      </c>
      <c r="Q249">
        <v>0.287544197908567</v>
      </c>
      <c r="R249">
        <v>0</v>
      </c>
      <c r="S249">
        <v>45</v>
      </c>
      <c r="T249">
        <v>10</v>
      </c>
      <c r="U249">
        <v>3638492.3</v>
      </c>
      <c r="V249">
        <v>631</v>
      </c>
    </row>
    <row r="250" spans="1:22" x14ac:dyDescent="0.25">
      <c r="A250">
        <v>0.99268260138548003</v>
      </c>
      <c r="B250">
        <v>8.4359652535656302</v>
      </c>
      <c r="C250">
        <v>66.501996201023999</v>
      </c>
      <c r="D250">
        <v>0</v>
      </c>
      <c r="E250">
        <v>4.4163887220642897</v>
      </c>
      <c r="F250">
        <v>4.3132263390819201</v>
      </c>
      <c r="G250">
        <v>42.683323379681902</v>
      </c>
      <c r="H250">
        <v>22.668006013065099</v>
      </c>
      <c r="I250">
        <v>59.1258100051216</v>
      </c>
      <c r="J250">
        <v>16.017561943241201</v>
      </c>
      <c r="K250">
        <v>15812.169803278601</v>
      </c>
      <c r="L250">
        <v>764.10979440624999</v>
      </c>
      <c r="M250">
        <v>4.63943709976498E-2</v>
      </c>
      <c r="N250">
        <v>5.1792711938110601E-2</v>
      </c>
      <c r="O250">
        <v>0.70545127682199704</v>
      </c>
      <c r="P250">
        <v>2.79891881119439E-2</v>
      </c>
      <c r="Q250">
        <v>0.29327609840437902</v>
      </c>
      <c r="R250">
        <v>0</v>
      </c>
      <c r="S250">
        <v>45</v>
      </c>
      <c r="T250">
        <v>20</v>
      </c>
      <c r="U250">
        <v>19290847.16</v>
      </c>
      <c r="V250">
        <v>1220</v>
      </c>
    </row>
    <row r="251" spans="1:22" x14ac:dyDescent="0.25">
      <c r="A251">
        <v>0.99239311020582999</v>
      </c>
      <c r="B251">
        <v>8.7558802734114494</v>
      </c>
      <c r="C251">
        <v>34.312729472572599</v>
      </c>
      <c r="D251">
        <v>0</v>
      </c>
      <c r="E251">
        <v>4.4786598679934597</v>
      </c>
      <c r="F251">
        <v>4.3254753769042598</v>
      </c>
      <c r="G251">
        <v>42.699114659919701</v>
      </c>
      <c r="H251">
        <v>22.570153016916599</v>
      </c>
      <c r="I251">
        <v>54.600991818123298</v>
      </c>
      <c r="J251">
        <v>34.582536875112403</v>
      </c>
      <c r="K251">
        <v>26109.750206611501</v>
      </c>
      <c r="L251">
        <v>753.86712082506699</v>
      </c>
      <c r="M251">
        <v>4.3174728012177997E-2</v>
      </c>
      <c r="N251">
        <v>3.95393237806866E-2</v>
      </c>
      <c r="O251">
        <v>0.77331701188524804</v>
      </c>
      <c r="P251">
        <v>2.2182044541306799E-2</v>
      </c>
      <c r="Q251">
        <v>0.35946204443859298</v>
      </c>
      <c r="R251">
        <v>0</v>
      </c>
      <c r="S251">
        <v>45</v>
      </c>
      <c r="T251">
        <v>30</v>
      </c>
      <c r="U251">
        <v>101096952.8</v>
      </c>
      <c r="V251">
        <v>3872</v>
      </c>
    </row>
    <row r="252" spans="1:22" x14ac:dyDescent="0.25">
      <c r="A252">
        <v>0.99211260985600402</v>
      </c>
      <c r="B252">
        <v>9.0648818999262204</v>
      </c>
      <c r="C252">
        <v>18.940998910322399</v>
      </c>
      <c r="D252">
        <v>0</v>
      </c>
      <c r="E252">
        <v>4.4832783497572102</v>
      </c>
      <c r="F252">
        <v>4.31339707508796</v>
      </c>
      <c r="G252">
        <v>42.661737463294202</v>
      </c>
      <c r="H252">
        <v>22.423521004271201</v>
      </c>
      <c r="I252">
        <v>56.5042477022604</v>
      </c>
      <c r="J252">
        <v>44.598777935678001</v>
      </c>
      <c r="K252">
        <v>35975.111043835299</v>
      </c>
      <c r="L252">
        <v>752.14659017593101</v>
      </c>
      <c r="M252">
        <v>4.92036719143292E-2</v>
      </c>
      <c r="N252">
        <v>4.0125032405314398E-2</v>
      </c>
      <c r="O252">
        <v>0.76221910996206999</v>
      </c>
      <c r="P252">
        <v>2.9185429866712902E-2</v>
      </c>
      <c r="Q252">
        <v>0.42890842906076698</v>
      </c>
      <c r="R252">
        <v>0</v>
      </c>
      <c r="S252">
        <v>45</v>
      </c>
      <c r="T252">
        <v>40</v>
      </c>
      <c r="U252">
        <v>376695387.74000001</v>
      </c>
      <c r="V252">
        <v>10471</v>
      </c>
    </row>
    <row r="253" spans="1:22" x14ac:dyDescent="0.25">
      <c r="A253">
        <v>0.99180882208698995</v>
      </c>
      <c r="B253">
        <v>9.3984549258049306</v>
      </c>
      <c r="C253">
        <v>12.5866643301678</v>
      </c>
      <c r="D253">
        <v>0</v>
      </c>
      <c r="E253">
        <v>4.4978948714338696</v>
      </c>
      <c r="F253">
        <v>4.3249686670724099</v>
      </c>
      <c r="G253">
        <v>42.644150375314197</v>
      </c>
      <c r="H253">
        <v>22.361173238941699</v>
      </c>
      <c r="I253">
        <v>56.579018226319398</v>
      </c>
      <c r="J253">
        <v>48.004595949611499</v>
      </c>
      <c r="K253">
        <v>45920.367416656103</v>
      </c>
      <c r="L253">
        <v>751.88026714383398</v>
      </c>
      <c r="M253">
        <v>6.21273642179433E-2</v>
      </c>
      <c r="N253">
        <v>5.4837897111982302E-2</v>
      </c>
      <c r="O253">
        <v>0.74629337507239601</v>
      </c>
      <c r="P253">
        <v>2.6076962032422699E-2</v>
      </c>
      <c r="Q253">
        <v>0.52034121856688398</v>
      </c>
      <c r="R253">
        <v>0</v>
      </c>
      <c r="S253">
        <v>45</v>
      </c>
      <c r="T253">
        <v>50</v>
      </c>
      <c r="U253">
        <v>1092307779.74</v>
      </c>
      <c r="V253">
        <v>23787</v>
      </c>
    </row>
    <row r="254" spans="1:22" x14ac:dyDescent="0.25">
      <c r="A254">
        <v>0.99158629665031295</v>
      </c>
      <c r="B254">
        <v>9.6420860093399501</v>
      </c>
      <c r="C254">
        <v>9.6788873383033796</v>
      </c>
      <c r="D254">
        <v>0</v>
      </c>
      <c r="E254">
        <v>4.5073869738421299</v>
      </c>
      <c r="F254">
        <v>4.31889672856994</v>
      </c>
      <c r="G254">
        <v>42.614258397744997</v>
      </c>
      <c r="H254">
        <v>22.175408109026399</v>
      </c>
      <c r="I254">
        <v>59.8635501443393</v>
      </c>
      <c r="J254">
        <v>52.5219134925688</v>
      </c>
      <c r="K254">
        <v>55498.186725992702</v>
      </c>
      <c r="L254">
        <v>749.85774347560198</v>
      </c>
      <c r="M254">
        <v>6.8027701204777302E-2</v>
      </c>
      <c r="N254">
        <v>6.0234107520886801E-2</v>
      </c>
      <c r="O254">
        <v>0.72220704504404998</v>
      </c>
      <c r="P254">
        <v>3.3373124082221803E-2</v>
      </c>
      <c r="Q254">
        <v>0.56454896440289104</v>
      </c>
      <c r="R254">
        <v>0</v>
      </c>
      <c r="S254">
        <v>45</v>
      </c>
      <c r="T254">
        <v>60</v>
      </c>
      <c r="U254">
        <v>2238907848.9000001</v>
      </c>
      <c r="V254">
        <v>40342</v>
      </c>
    </row>
    <row r="255" spans="1:22" x14ac:dyDescent="0.25">
      <c r="A255">
        <v>0.99141891872974397</v>
      </c>
      <c r="B255">
        <v>9.8249431561985592</v>
      </c>
      <c r="C255">
        <v>9.4129874485190808</v>
      </c>
      <c r="D255">
        <v>0</v>
      </c>
      <c r="E255">
        <v>4.51553231816448</v>
      </c>
      <c r="F255">
        <v>4.3161090670449704</v>
      </c>
      <c r="G255">
        <v>42.576084941022103</v>
      </c>
      <c r="H255">
        <v>22.151692648180799</v>
      </c>
      <c r="I255">
        <v>61.960107068552503</v>
      </c>
      <c r="J255">
        <v>55.076209160305098</v>
      </c>
      <c r="K255">
        <v>65277.887689465198</v>
      </c>
      <c r="L255">
        <v>749.98549962163304</v>
      </c>
      <c r="M255">
        <v>7.1069343557828596E-2</v>
      </c>
      <c r="N255">
        <v>6.3029076551211399E-2</v>
      </c>
      <c r="O255">
        <v>0.70865764495926897</v>
      </c>
      <c r="P255">
        <v>3.4984073679666897E-2</v>
      </c>
      <c r="Q255">
        <v>0.594067747809506</v>
      </c>
      <c r="R255">
        <v>0</v>
      </c>
      <c r="S255">
        <v>45</v>
      </c>
      <c r="T255">
        <v>70</v>
      </c>
      <c r="U255">
        <v>3674492298.04</v>
      </c>
      <c r="V255">
        <v>56290</v>
      </c>
    </row>
    <row r="256" spans="1:22" x14ac:dyDescent="0.25">
      <c r="A256">
        <v>0.99135241062843105</v>
      </c>
      <c r="B256">
        <v>9.8975077531065203</v>
      </c>
      <c r="C256">
        <v>8.5923748336124</v>
      </c>
      <c r="D256">
        <v>0</v>
      </c>
      <c r="E256">
        <v>4.5153587906361796</v>
      </c>
      <c r="F256">
        <v>4.3166587516057904</v>
      </c>
      <c r="G256">
        <v>42.5658795396103</v>
      </c>
      <c r="H256">
        <v>21.7337491668025</v>
      </c>
      <c r="I256">
        <v>61.605809032836</v>
      </c>
      <c r="J256">
        <v>55.412231335789798</v>
      </c>
      <c r="K256">
        <v>75173.212537796295</v>
      </c>
      <c r="L256">
        <v>750.57542377002198</v>
      </c>
      <c r="M256">
        <v>7.5782450279047398E-2</v>
      </c>
      <c r="N256">
        <v>7.1393381867747699E-2</v>
      </c>
      <c r="O256">
        <v>0.69550897733851103</v>
      </c>
      <c r="P256">
        <v>3.3172359935667702E-2</v>
      </c>
      <c r="Q256">
        <v>0.62953258493449205</v>
      </c>
      <c r="R256">
        <v>0</v>
      </c>
      <c r="S256">
        <v>45</v>
      </c>
      <c r="T256">
        <v>80</v>
      </c>
      <c r="U256">
        <v>5529140128.5799999</v>
      </c>
      <c r="V256">
        <v>73552</v>
      </c>
    </row>
    <row r="257" spans="1:22" x14ac:dyDescent="0.25">
      <c r="A257">
        <v>0.99123797124984403</v>
      </c>
      <c r="B257">
        <v>10.022243162194099</v>
      </c>
      <c r="C257">
        <v>9.4196619902398506</v>
      </c>
      <c r="D257">
        <v>0</v>
      </c>
      <c r="E257">
        <v>4.51755795983863</v>
      </c>
      <c r="F257">
        <v>4.3075113603484203</v>
      </c>
      <c r="G257">
        <v>42.549122950424497</v>
      </c>
      <c r="H257">
        <v>21.7760905071937</v>
      </c>
      <c r="I257">
        <v>64.409881959054204</v>
      </c>
      <c r="J257">
        <v>58.139311395461199</v>
      </c>
      <c r="K257">
        <v>85182.380919946198</v>
      </c>
      <c r="L257">
        <v>751.39635787691896</v>
      </c>
      <c r="M257">
        <v>8.1797190575791698E-2</v>
      </c>
      <c r="N257">
        <v>7.6540127887656795E-2</v>
      </c>
      <c r="O257">
        <v>0.68122425360569705</v>
      </c>
      <c r="P257">
        <v>3.05376859813885E-2</v>
      </c>
      <c r="Q257">
        <v>0.63583873637039101</v>
      </c>
      <c r="R257">
        <v>0</v>
      </c>
      <c r="S257">
        <v>45</v>
      </c>
      <c r="T257">
        <v>90</v>
      </c>
      <c r="U257">
        <v>7354817133.3900003</v>
      </c>
      <c r="V257">
        <v>86342</v>
      </c>
    </row>
    <row r="258" spans="1:22" x14ac:dyDescent="0.25">
      <c r="A258">
        <v>0.99117812371597502</v>
      </c>
      <c r="B258">
        <v>10.0874120824431</v>
      </c>
      <c r="C258">
        <v>9.4572521423370208</v>
      </c>
      <c r="D258">
        <v>0</v>
      </c>
      <c r="E258">
        <v>4.51328024889012</v>
      </c>
      <c r="F258">
        <v>4.3049480634341499</v>
      </c>
      <c r="G258">
        <v>42.5256946179924</v>
      </c>
      <c r="H258">
        <v>21.493436827492101</v>
      </c>
      <c r="I258">
        <v>64.069031211513405</v>
      </c>
      <c r="J258">
        <v>58.173999594233699</v>
      </c>
      <c r="K258">
        <v>95335.485457033094</v>
      </c>
      <c r="L258">
        <v>753.96008186969095</v>
      </c>
      <c r="M258">
        <v>7.8918521727000299E-2</v>
      </c>
      <c r="N258">
        <v>7.8488759496755697E-2</v>
      </c>
      <c r="O258">
        <v>0.65647890237376905</v>
      </c>
      <c r="P258">
        <v>2.9771731207514199E-2</v>
      </c>
      <c r="Q258">
        <v>0.60766895957282496</v>
      </c>
      <c r="R258">
        <v>0</v>
      </c>
      <c r="S258">
        <v>45</v>
      </c>
      <c r="T258">
        <v>100</v>
      </c>
      <c r="U258">
        <v>10904377491.09</v>
      </c>
      <c r="V258">
        <v>114379</v>
      </c>
    </row>
    <row r="259" spans="1:22" x14ac:dyDescent="0.25">
      <c r="A259">
        <v>0.99094169679038802</v>
      </c>
      <c r="B259">
        <v>10.344438219823999</v>
      </c>
      <c r="C259">
        <v>9.1694009212891991</v>
      </c>
      <c r="D259">
        <v>0</v>
      </c>
      <c r="E259">
        <v>4.5184695584389098</v>
      </c>
      <c r="F259">
        <v>4.29291779717824</v>
      </c>
      <c r="G259">
        <v>42.502858490794097</v>
      </c>
      <c r="H259">
        <v>21.5092761090336</v>
      </c>
      <c r="I259">
        <v>66.6376759017014</v>
      </c>
      <c r="J259">
        <v>60.767746032986402</v>
      </c>
      <c r="K259">
        <v>105048.95376789699</v>
      </c>
      <c r="L259">
        <v>751.77096016116298</v>
      </c>
      <c r="M259">
        <v>8.8664050935457497E-2</v>
      </c>
      <c r="N259">
        <v>7.6392146396510902E-2</v>
      </c>
      <c r="O259">
        <v>0.64054084240257403</v>
      </c>
      <c r="P259">
        <v>2.9631416412447601E-2</v>
      </c>
      <c r="Q259">
        <v>0.63197657184673905</v>
      </c>
      <c r="R259">
        <v>0</v>
      </c>
      <c r="S259">
        <v>45</v>
      </c>
      <c r="T259">
        <v>110</v>
      </c>
      <c r="U259">
        <v>11232569479.540001</v>
      </c>
      <c r="V259">
        <v>106927</v>
      </c>
    </row>
    <row r="260" spans="1:22" x14ac:dyDescent="0.25">
      <c r="A260">
        <v>0.99078288315374397</v>
      </c>
      <c r="B260">
        <v>10.516710496296101</v>
      </c>
      <c r="C260">
        <v>10.0445890543057</v>
      </c>
      <c r="D260">
        <v>0</v>
      </c>
      <c r="E260">
        <v>4.5083992560272002</v>
      </c>
      <c r="F260">
        <v>4.2878503319904997</v>
      </c>
      <c r="G260">
        <v>42.497322266602502</v>
      </c>
      <c r="H260">
        <v>21.602321966640499</v>
      </c>
      <c r="I260">
        <v>66.875870271496098</v>
      </c>
      <c r="J260">
        <v>60.916257798180098</v>
      </c>
      <c r="K260">
        <v>115091.740090388</v>
      </c>
      <c r="L260">
        <v>753.11913758224</v>
      </c>
      <c r="M260">
        <v>8.82051244393212E-2</v>
      </c>
      <c r="N260">
        <v>7.7879467716407802E-2</v>
      </c>
      <c r="O260">
        <v>0.62540412020119596</v>
      </c>
      <c r="P260">
        <v>2.79219859957755E-2</v>
      </c>
      <c r="Q260">
        <v>0.63605088231947804</v>
      </c>
      <c r="R260">
        <v>0</v>
      </c>
      <c r="S260">
        <v>45</v>
      </c>
      <c r="T260">
        <v>120</v>
      </c>
      <c r="U260">
        <v>12643863474.59</v>
      </c>
      <c r="V260">
        <v>109859</v>
      </c>
    </row>
    <row r="261" spans="1:22" x14ac:dyDescent="0.25">
      <c r="A261">
        <v>0.99061446836298095</v>
      </c>
      <c r="B261">
        <v>10.6990660275357</v>
      </c>
      <c r="C261">
        <v>10.4797844990923</v>
      </c>
      <c r="D261">
        <v>0</v>
      </c>
      <c r="E261">
        <v>4.50009916964492</v>
      </c>
      <c r="F261">
        <v>4.2781639629455599</v>
      </c>
      <c r="G261">
        <v>42.489637116571203</v>
      </c>
      <c r="H261">
        <v>21.254069277023</v>
      </c>
      <c r="I261">
        <v>67.082000427102699</v>
      </c>
      <c r="J261">
        <v>61.262766036272197</v>
      </c>
      <c r="K261">
        <v>124942.493407531</v>
      </c>
      <c r="L261">
        <v>753.30103386348298</v>
      </c>
      <c r="M261">
        <v>8.9032526964767295E-2</v>
      </c>
      <c r="N261">
        <v>8.5826207031253099E-2</v>
      </c>
      <c r="O261">
        <v>0.61942530249668903</v>
      </c>
      <c r="P261">
        <v>2.9620039965821701E-2</v>
      </c>
      <c r="Q261">
        <v>0.63999358831157904</v>
      </c>
      <c r="R261">
        <v>0</v>
      </c>
      <c r="S261">
        <v>45</v>
      </c>
      <c r="T261">
        <v>130</v>
      </c>
      <c r="U261">
        <v>14436730285.76</v>
      </c>
      <c r="V261">
        <v>115547</v>
      </c>
    </row>
    <row r="262" spans="1:22" x14ac:dyDescent="0.25">
      <c r="A262">
        <v>0.99043412686858601</v>
      </c>
      <c r="B262">
        <v>10.8939577716346</v>
      </c>
      <c r="C262">
        <v>10.8626194035723</v>
      </c>
      <c r="D262">
        <v>0</v>
      </c>
      <c r="E262">
        <v>4.4952322564200102</v>
      </c>
      <c r="F262">
        <v>4.2728619657074702</v>
      </c>
      <c r="G262">
        <v>42.483534642518897</v>
      </c>
      <c r="H262">
        <v>21.3061402548499</v>
      </c>
      <c r="I262">
        <v>67.721083358199095</v>
      </c>
      <c r="J262">
        <v>61.813666704325499</v>
      </c>
      <c r="K262">
        <v>134957.76683271499</v>
      </c>
      <c r="L262">
        <v>753.44719228963197</v>
      </c>
      <c r="M262">
        <v>9.3366849660816306E-2</v>
      </c>
      <c r="N262">
        <v>8.7348305448002997E-2</v>
      </c>
      <c r="O262">
        <v>0.60926893851653796</v>
      </c>
      <c r="P262">
        <v>2.7745198863739599E-2</v>
      </c>
      <c r="Q262">
        <v>0.64948419692258796</v>
      </c>
      <c r="R262">
        <v>0</v>
      </c>
      <c r="S262">
        <v>45</v>
      </c>
      <c r="T262">
        <v>140</v>
      </c>
      <c r="U262">
        <v>14849133169.07</v>
      </c>
      <c r="V262">
        <v>110028</v>
      </c>
    </row>
    <row r="263" spans="1:22" x14ac:dyDescent="0.25">
      <c r="A263">
        <v>0.99024190419972902</v>
      </c>
      <c r="B263">
        <v>11.101259955855999</v>
      </c>
      <c r="C263">
        <v>10.6503759436076</v>
      </c>
      <c r="D263">
        <v>0</v>
      </c>
      <c r="E263">
        <v>4.49070527538231</v>
      </c>
      <c r="F263">
        <v>4.2724545121264299</v>
      </c>
      <c r="G263">
        <v>42.479391408252503</v>
      </c>
      <c r="H263">
        <v>21.0857023925041</v>
      </c>
      <c r="I263">
        <v>66.412789484675301</v>
      </c>
      <c r="J263">
        <v>60.806427293507902</v>
      </c>
      <c r="K263">
        <v>144985.627433913</v>
      </c>
      <c r="L263">
        <v>753.95819704255996</v>
      </c>
      <c r="M263">
        <v>9.2018588386417799E-2</v>
      </c>
      <c r="N263">
        <v>8.90190405535944E-2</v>
      </c>
      <c r="O263">
        <v>0.59436367421914205</v>
      </c>
      <c r="P263">
        <v>3.0944312794343599E-2</v>
      </c>
      <c r="Q263">
        <v>0.65279411955140798</v>
      </c>
      <c r="R263">
        <v>0</v>
      </c>
      <c r="S263">
        <v>45</v>
      </c>
      <c r="T263">
        <v>150</v>
      </c>
      <c r="U263">
        <v>16448474446.75</v>
      </c>
      <c r="V263">
        <v>113449</v>
      </c>
    </row>
    <row r="264" spans="1:22" x14ac:dyDescent="0.25">
      <c r="A264">
        <v>0.98999974287564396</v>
      </c>
      <c r="B264">
        <v>11.3617890839186</v>
      </c>
      <c r="C264">
        <v>11.6776166352233</v>
      </c>
      <c r="D264">
        <v>0</v>
      </c>
      <c r="E264">
        <v>4.4950843956737598</v>
      </c>
      <c r="F264">
        <v>4.2702549604322</v>
      </c>
      <c r="G264">
        <v>42.479920760710399</v>
      </c>
      <c r="H264">
        <v>21.185362746711402</v>
      </c>
      <c r="I264">
        <v>67.833170389417901</v>
      </c>
      <c r="J264">
        <v>62.126179169769202</v>
      </c>
      <c r="K264">
        <v>154946.388251464</v>
      </c>
      <c r="L264">
        <v>752.78759785600096</v>
      </c>
      <c r="M264">
        <v>9.5581902719427195E-2</v>
      </c>
      <c r="N264">
        <v>9.1324980623432001E-2</v>
      </c>
      <c r="O264">
        <v>0.59533397528603604</v>
      </c>
      <c r="P264">
        <v>3.0330178818897099E-2</v>
      </c>
      <c r="Q264">
        <v>0.67385859618256005</v>
      </c>
      <c r="R264">
        <v>0</v>
      </c>
      <c r="S264">
        <v>45</v>
      </c>
      <c r="T264">
        <v>160</v>
      </c>
      <c r="U264">
        <v>15815997634.379999</v>
      </c>
      <c r="V264">
        <v>102074</v>
      </c>
    </row>
    <row r="265" spans="1:22" x14ac:dyDescent="0.25">
      <c r="A265">
        <v>0.98974197691864296</v>
      </c>
      <c r="B265">
        <v>11.638337309286999</v>
      </c>
      <c r="C265">
        <v>11.8291918064469</v>
      </c>
      <c r="D265">
        <v>0</v>
      </c>
      <c r="E265">
        <v>4.4877282021365099</v>
      </c>
      <c r="F265">
        <v>4.2632150059110403</v>
      </c>
      <c r="G265">
        <v>42.463757453071601</v>
      </c>
      <c r="H265">
        <v>21.244074002041501</v>
      </c>
      <c r="I265">
        <v>68.307192546768903</v>
      </c>
      <c r="J265">
        <v>62.493481484870202</v>
      </c>
      <c r="K265">
        <v>164999.26548507699</v>
      </c>
      <c r="L265">
        <v>753.38750525089495</v>
      </c>
      <c r="M265">
        <v>9.5830088158091201E-2</v>
      </c>
      <c r="N265">
        <v>9.2920121716725604E-2</v>
      </c>
      <c r="O265">
        <v>0.58464439761729203</v>
      </c>
      <c r="P265">
        <v>2.9708029413001099E-2</v>
      </c>
      <c r="Q265">
        <v>0.66492855308299803</v>
      </c>
      <c r="R265">
        <v>0</v>
      </c>
      <c r="S265">
        <v>45</v>
      </c>
      <c r="T265">
        <v>170</v>
      </c>
      <c r="U265">
        <v>16718385576.01</v>
      </c>
      <c r="V265">
        <v>101324</v>
      </c>
    </row>
    <row r="266" spans="1:22" x14ac:dyDescent="0.25">
      <c r="A266">
        <v>0.98612241908020504</v>
      </c>
      <c r="B266">
        <v>15.4390235990327</v>
      </c>
      <c r="C266">
        <v>18.728924391415401</v>
      </c>
      <c r="D266">
        <v>0</v>
      </c>
      <c r="E266">
        <v>4.44345382436377</v>
      </c>
      <c r="F266">
        <v>4.2233872449904899</v>
      </c>
      <c r="G266">
        <v>42.441282759344197</v>
      </c>
      <c r="H266">
        <v>20.354381808490899</v>
      </c>
      <c r="I266">
        <v>68.403850067307602</v>
      </c>
      <c r="J266">
        <v>62.858905219537199</v>
      </c>
      <c r="K266">
        <v>289326.87164537498</v>
      </c>
      <c r="L266">
        <v>754.39320715942699</v>
      </c>
      <c r="M266">
        <v>0.152406298528909</v>
      </c>
      <c r="N266">
        <v>0.101644469826048</v>
      </c>
      <c r="O266">
        <v>0.51742016816052505</v>
      </c>
      <c r="P266">
        <v>5.70409808396048E-2</v>
      </c>
      <c r="Q266">
        <v>0.65894567466418497</v>
      </c>
      <c r="R266">
        <v>0</v>
      </c>
      <c r="S266">
        <v>45</v>
      </c>
      <c r="T266">
        <v>175</v>
      </c>
      <c r="U266">
        <v>416699265637.91998</v>
      </c>
      <c r="V266">
        <v>1440237</v>
      </c>
    </row>
    <row r="267" spans="1:22" x14ac:dyDescent="0.25">
      <c r="A267">
        <v>0.98953315242100004</v>
      </c>
      <c r="B267">
        <v>11.861797760189001</v>
      </c>
      <c r="C267">
        <v>11.767497388766801</v>
      </c>
      <c r="D267">
        <v>0</v>
      </c>
      <c r="E267">
        <v>4.4858120044944201</v>
      </c>
      <c r="F267">
        <v>4.2587846175247002</v>
      </c>
      <c r="G267">
        <v>42.469507630789202</v>
      </c>
      <c r="H267">
        <v>21.193698909558599</v>
      </c>
      <c r="I267">
        <v>68.411191052664094</v>
      </c>
      <c r="J267">
        <v>62.676248568529402</v>
      </c>
      <c r="K267">
        <v>172416.21286254001</v>
      </c>
      <c r="L267">
        <v>753.65229140200699</v>
      </c>
      <c r="M267">
        <v>9.3636218879137006E-2</v>
      </c>
      <c r="N267">
        <v>9.3102548421413397E-2</v>
      </c>
      <c r="O267">
        <v>0.58364918537849497</v>
      </c>
      <c r="P267">
        <v>3.2524358420481701E-2</v>
      </c>
      <c r="Q267">
        <v>0.65457891582243899</v>
      </c>
      <c r="R267">
        <v>0</v>
      </c>
      <c r="S267">
        <v>45</v>
      </c>
      <c r="T267">
        <v>180</v>
      </c>
      <c r="U267">
        <v>8807709817.8700008</v>
      </c>
      <c r="V267">
        <v>51084</v>
      </c>
    </row>
    <row r="268" spans="1:22" x14ac:dyDescent="0.25">
      <c r="A268">
        <v>0.99270504808070104</v>
      </c>
      <c r="B268">
        <v>8.4111166389931498</v>
      </c>
      <c r="C268">
        <v>89.645541897352103</v>
      </c>
      <c r="D268">
        <v>0</v>
      </c>
      <c r="E268">
        <v>4.4760100838824002</v>
      </c>
      <c r="F268">
        <v>4.3474840359380904</v>
      </c>
      <c r="G268">
        <v>47.158133008586098</v>
      </c>
      <c r="H268">
        <v>23.891635695955699</v>
      </c>
      <c r="I268">
        <v>61.559812629713399</v>
      </c>
      <c r="J268">
        <v>4.6574603534016497</v>
      </c>
      <c r="K268">
        <v>5840.3731818181795</v>
      </c>
      <c r="L268">
        <v>775.521473576164</v>
      </c>
      <c r="M268">
        <v>2.2631846568221699E-2</v>
      </c>
      <c r="N268">
        <v>5.6499863790120203E-2</v>
      </c>
      <c r="O268">
        <v>0.65193538226604797</v>
      </c>
      <c r="P268">
        <v>1.7983359694789799E-2</v>
      </c>
      <c r="Q268">
        <v>0.27105492732946002</v>
      </c>
      <c r="R268">
        <v>0</v>
      </c>
      <c r="S268">
        <v>50</v>
      </c>
      <c r="T268">
        <v>10</v>
      </c>
      <c r="U268">
        <v>4240110.93</v>
      </c>
      <c r="V268">
        <v>726</v>
      </c>
    </row>
    <row r="269" spans="1:22" x14ac:dyDescent="0.25">
      <c r="A269">
        <v>0.992766941194689</v>
      </c>
      <c r="B269">
        <v>8.3425685985275404</v>
      </c>
      <c r="C269">
        <v>65.945397433821299</v>
      </c>
      <c r="D269">
        <v>0</v>
      </c>
      <c r="E269">
        <v>4.5131110384006003</v>
      </c>
      <c r="F269">
        <v>4.3609549573666504</v>
      </c>
      <c r="G269">
        <v>47.224165461614298</v>
      </c>
      <c r="H269">
        <v>23.294174377993102</v>
      </c>
      <c r="I269">
        <v>57.068925120016502</v>
      </c>
      <c r="J269">
        <v>16.1484076239548</v>
      </c>
      <c r="K269">
        <v>15744.8011324786</v>
      </c>
      <c r="L269">
        <v>769.53191175566997</v>
      </c>
      <c r="M269">
        <v>4.0171090635665797E-2</v>
      </c>
      <c r="N269">
        <v>4.6524822703890398E-2</v>
      </c>
      <c r="O269">
        <v>0.70116562950185402</v>
      </c>
      <c r="P269">
        <v>2.4820171285779801E-2</v>
      </c>
      <c r="Q269">
        <v>0.32257840489842199</v>
      </c>
      <c r="R269">
        <v>0</v>
      </c>
      <c r="S269">
        <v>50</v>
      </c>
      <c r="T269">
        <v>20</v>
      </c>
      <c r="U269">
        <v>22105700.789999999</v>
      </c>
      <c r="V269">
        <v>1404</v>
      </c>
    </row>
    <row r="270" spans="1:22" x14ac:dyDescent="0.25">
      <c r="A270">
        <v>0.99229946321221796</v>
      </c>
      <c r="B270">
        <v>8.8591494802986208</v>
      </c>
      <c r="C270">
        <v>30.5790992259885</v>
      </c>
      <c r="D270">
        <v>0</v>
      </c>
      <c r="E270">
        <v>4.5493519023029796</v>
      </c>
      <c r="F270">
        <v>4.3521246061405101</v>
      </c>
      <c r="G270">
        <v>47.231148692235401</v>
      </c>
      <c r="H270">
        <v>23.112408847736901</v>
      </c>
      <c r="I270">
        <v>52.917305395070599</v>
      </c>
      <c r="J270">
        <v>33.445217777034202</v>
      </c>
      <c r="K270">
        <v>26120.014971853099</v>
      </c>
      <c r="L270">
        <v>757.76237415493301</v>
      </c>
      <c r="M270">
        <v>4.4092632140720601E-2</v>
      </c>
      <c r="N270">
        <v>3.7132167015712002E-2</v>
      </c>
      <c r="O270">
        <v>0.78911678498062698</v>
      </c>
      <c r="P270">
        <v>3.07379981316248E-2</v>
      </c>
      <c r="Q270">
        <v>0.40580741603339798</v>
      </c>
      <c r="R270">
        <v>0</v>
      </c>
      <c r="S270">
        <v>50</v>
      </c>
      <c r="T270">
        <v>30</v>
      </c>
      <c r="U270">
        <v>115998986.48999999</v>
      </c>
      <c r="V270">
        <v>4441</v>
      </c>
    </row>
    <row r="271" spans="1:22" x14ac:dyDescent="0.25">
      <c r="A271">
        <v>0.99203650158104795</v>
      </c>
      <c r="B271">
        <v>9.1485578321162198</v>
      </c>
      <c r="C271">
        <v>18.310553754832199</v>
      </c>
      <c r="D271">
        <v>0</v>
      </c>
      <c r="E271">
        <v>4.54127620331644</v>
      </c>
      <c r="F271">
        <v>4.3323577148186603</v>
      </c>
      <c r="G271">
        <v>47.283044194295201</v>
      </c>
      <c r="H271">
        <v>22.847234990165401</v>
      </c>
      <c r="I271">
        <v>54.508212090895803</v>
      </c>
      <c r="J271">
        <v>42.823713481963601</v>
      </c>
      <c r="K271">
        <v>35873.024944458302</v>
      </c>
      <c r="L271">
        <v>756.84063671851095</v>
      </c>
      <c r="M271">
        <v>6.00408251569663E-2</v>
      </c>
      <c r="N271">
        <v>3.6638288711901799E-2</v>
      </c>
      <c r="O271">
        <v>0.78524138461364701</v>
      </c>
      <c r="P271">
        <v>2.7813177111114699E-2</v>
      </c>
      <c r="Q271">
        <v>0.48234000477401301</v>
      </c>
      <c r="R271">
        <v>0</v>
      </c>
      <c r="S271">
        <v>50</v>
      </c>
      <c r="T271">
        <v>40</v>
      </c>
      <c r="U271">
        <v>429507727.66000003</v>
      </c>
      <c r="V271">
        <v>11973</v>
      </c>
    </row>
    <row r="272" spans="1:22" x14ac:dyDescent="0.25">
      <c r="A272">
        <v>0.99165588479622202</v>
      </c>
      <c r="B272">
        <v>9.5659623200110708</v>
      </c>
      <c r="C272">
        <v>11.2101840860189</v>
      </c>
      <c r="D272">
        <v>0</v>
      </c>
      <c r="E272">
        <v>4.5417816658951198</v>
      </c>
      <c r="F272">
        <v>4.3277380905829803</v>
      </c>
      <c r="G272">
        <v>47.296257115623902</v>
      </c>
      <c r="H272">
        <v>22.7042008259391</v>
      </c>
      <c r="I272">
        <v>54.861327779990802</v>
      </c>
      <c r="J272">
        <v>46.510031174868899</v>
      </c>
      <c r="K272">
        <v>45864.487320088403</v>
      </c>
      <c r="L272">
        <v>754.89225447110596</v>
      </c>
      <c r="M272">
        <v>7.0935157099724505E-2</v>
      </c>
      <c r="N272">
        <v>4.7029745446277402E-2</v>
      </c>
      <c r="O272">
        <v>0.77352143587842603</v>
      </c>
      <c r="P272">
        <v>3.0597572489979401E-2</v>
      </c>
      <c r="Q272">
        <v>0.56846150635457304</v>
      </c>
      <c r="R272">
        <v>0</v>
      </c>
      <c r="S272">
        <v>50</v>
      </c>
      <c r="T272">
        <v>50</v>
      </c>
      <c r="U272">
        <v>1265080153.75</v>
      </c>
      <c r="V272">
        <v>27583</v>
      </c>
    </row>
    <row r="273" spans="1:22" x14ac:dyDescent="0.25">
      <c r="A273">
        <v>0.99142517226379501</v>
      </c>
      <c r="B273">
        <v>9.8181173955640393</v>
      </c>
      <c r="C273">
        <v>9.6259032533053297</v>
      </c>
      <c r="D273">
        <v>0</v>
      </c>
      <c r="E273">
        <v>4.5476323464466502</v>
      </c>
      <c r="F273">
        <v>4.3191184666253397</v>
      </c>
      <c r="G273">
        <v>47.307994586171603</v>
      </c>
      <c r="H273">
        <v>22.520346688374801</v>
      </c>
      <c r="I273">
        <v>58.583126971209197</v>
      </c>
      <c r="J273">
        <v>51.203211703781797</v>
      </c>
      <c r="K273">
        <v>55453.327526254601</v>
      </c>
      <c r="L273">
        <v>753.05315467045205</v>
      </c>
      <c r="M273">
        <v>7.5433308170936395E-2</v>
      </c>
      <c r="N273">
        <v>5.2050638797736998E-2</v>
      </c>
      <c r="O273">
        <v>0.74963750048355005</v>
      </c>
      <c r="P273">
        <v>3.4631858852387301E-2</v>
      </c>
      <c r="Q273">
        <v>0.60176253137978597</v>
      </c>
      <c r="R273">
        <v>0</v>
      </c>
      <c r="S273">
        <v>50</v>
      </c>
      <c r="T273">
        <v>60</v>
      </c>
      <c r="U273">
        <v>2576805223.4899998</v>
      </c>
      <c r="V273">
        <v>46468</v>
      </c>
    </row>
    <row r="274" spans="1:22" x14ac:dyDescent="0.25">
      <c r="A274">
        <v>0.99120878823623904</v>
      </c>
      <c r="B274">
        <v>10.0540264114158</v>
      </c>
      <c r="C274">
        <v>9.0795217844119893</v>
      </c>
      <c r="D274">
        <v>0</v>
      </c>
      <c r="E274">
        <v>4.5564772471192097</v>
      </c>
      <c r="F274">
        <v>4.3113547616814296</v>
      </c>
      <c r="G274">
        <v>47.324220800134</v>
      </c>
      <c r="H274">
        <v>22.430265428323398</v>
      </c>
      <c r="I274">
        <v>60.957482863560998</v>
      </c>
      <c r="J274">
        <v>54.008563172727897</v>
      </c>
      <c r="K274">
        <v>65247.531896145701</v>
      </c>
      <c r="L274">
        <v>752.13678624047895</v>
      </c>
      <c r="M274">
        <v>8.0977231246728301E-2</v>
      </c>
      <c r="N274">
        <v>5.4520318588521098E-2</v>
      </c>
      <c r="O274">
        <v>0.73509068004518296</v>
      </c>
      <c r="P274">
        <v>3.4095902022874401E-2</v>
      </c>
      <c r="Q274">
        <v>0.62025254403672003</v>
      </c>
      <c r="R274">
        <v>0</v>
      </c>
      <c r="S274">
        <v>50</v>
      </c>
      <c r="T274">
        <v>70</v>
      </c>
      <c r="U274">
        <v>4045999452.8800001</v>
      </c>
      <c r="V274">
        <v>62010</v>
      </c>
    </row>
    <row r="275" spans="1:22" x14ac:dyDescent="0.25">
      <c r="A275">
        <v>0.99112115130737199</v>
      </c>
      <c r="B275">
        <v>10.149410031682301</v>
      </c>
      <c r="C275">
        <v>8.9351123163550401</v>
      </c>
      <c r="D275">
        <v>0</v>
      </c>
      <c r="E275">
        <v>4.5623493318925004</v>
      </c>
      <c r="F275">
        <v>4.3138616411864001</v>
      </c>
      <c r="G275">
        <v>47.3411903140127</v>
      </c>
      <c r="H275">
        <v>21.950193846273901</v>
      </c>
      <c r="I275">
        <v>61.192852126652802</v>
      </c>
      <c r="J275">
        <v>55.028572110924401</v>
      </c>
      <c r="K275">
        <v>75169.940055990606</v>
      </c>
      <c r="L275">
        <v>752.52966753055296</v>
      </c>
      <c r="M275">
        <v>8.25101366822482E-2</v>
      </c>
      <c r="N275">
        <v>6.6276196504926804E-2</v>
      </c>
      <c r="O275">
        <v>0.71170632996321503</v>
      </c>
      <c r="P275">
        <v>3.3308115642100199E-2</v>
      </c>
      <c r="Q275">
        <v>0.64366987735470105</v>
      </c>
      <c r="R275">
        <v>0</v>
      </c>
      <c r="S275">
        <v>50</v>
      </c>
      <c r="T275">
        <v>80</v>
      </c>
      <c r="U275">
        <v>5893774320.0299997</v>
      </c>
      <c r="V275">
        <v>78406</v>
      </c>
    </row>
    <row r="276" spans="1:22" x14ac:dyDescent="0.25">
      <c r="A276">
        <v>0.99090160068240796</v>
      </c>
      <c r="B276">
        <v>10.387960931936201</v>
      </c>
      <c r="C276">
        <v>9.3681576267703104</v>
      </c>
      <c r="D276">
        <v>0</v>
      </c>
      <c r="E276">
        <v>4.56341824285425</v>
      </c>
      <c r="F276">
        <v>4.2993980130617002</v>
      </c>
      <c r="G276">
        <v>47.344908008629801</v>
      </c>
      <c r="H276">
        <v>21.840699056692301</v>
      </c>
      <c r="I276">
        <v>64.025810250301106</v>
      </c>
      <c r="J276">
        <v>57.889281195790602</v>
      </c>
      <c r="K276">
        <v>85177.192239656797</v>
      </c>
      <c r="L276">
        <v>751.64163922191301</v>
      </c>
      <c r="M276">
        <v>8.7875997833365499E-2</v>
      </c>
      <c r="N276">
        <v>7.0895330282120306E-2</v>
      </c>
      <c r="O276">
        <v>0.70037275185764003</v>
      </c>
      <c r="P276">
        <v>3.2230223131358197E-2</v>
      </c>
      <c r="Q276">
        <v>0.64690657098475601</v>
      </c>
      <c r="R276">
        <v>0</v>
      </c>
      <c r="S276">
        <v>50</v>
      </c>
      <c r="T276">
        <v>90</v>
      </c>
      <c r="U276">
        <v>7784258421.5900002</v>
      </c>
      <c r="V276">
        <v>91389</v>
      </c>
    </row>
    <row r="277" spans="1:22" x14ac:dyDescent="0.25">
      <c r="A277">
        <v>0.99077106735724696</v>
      </c>
      <c r="B277">
        <v>10.529515485262401</v>
      </c>
      <c r="C277">
        <v>9.01712517438901</v>
      </c>
      <c r="D277">
        <v>0</v>
      </c>
      <c r="E277">
        <v>4.5553045250321302</v>
      </c>
      <c r="F277">
        <v>4.2917565215625197</v>
      </c>
      <c r="G277">
        <v>47.356860541575998</v>
      </c>
      <c r="H277">
        <v>21.533499890920002</v>
      </c>
      <c r="I277">
        <v>64.073162434086797</v>
      </c>
      <c r="J277">
        <v>58.273408252061699</v>
      </c>
      <c r="K277">
        <v>95301.997759404694</v>
      </c>
      <c r="L277">
        <v>753.55713882149996</v>
      </c>
      <c r="M277">
        <v>8.5536303553364904E-2</v>
      </c>
      <c r="N277">
        <v>7.3729364562572897E-2</v>
      </c>
      <c r="O277">
        <v>0.66905114624759598</v>
      </c>
      <c r="P277">
        <v>3.1952634374184101E-2</v>
      </c>
      <c r="Q277">
        <v>0.61502325502702204</v>
      </c>
      <c r="R277">
        <v>0</v>
      </c>
      <c r="S277">
        <v>50</v>
      </c>
      <c r="T277">
        <v>100</v>
      </c>
      <c r="U277">
        <v>11232865267.91</v>
      </c>
      <c r="V277">
        <v>117866</v>
      </c>
    </row>
    <row r="278" spans="1:22" x14ac:dyDescent="0.25">
      <c r="A278">
        <v>0.99043754067600198</v>
      </c>
      <c r="B278">
        <v>10.890272155889001</v>
      </c>
      <c r="C278">
        <v>9.7313149776314791</v>
      </c>
      <c r="D278">
        <v>0</v>
      </c>
      <c r="E278">
        <v>4.5514297195301001</v>
      </c>
      <c r="F278">
        <v>4.2712596312372799</v>
      </c>
      <c r="G278">
        <v>47.3686953038155</v>
      </c>
      <c r="H278">
        <v>21.4903720674683</v>
      </c>
      <c r="I278">
        <v>66.607492061032602</v>
      </c>
      <c r="J278">
        <v>60.834441517955099</v>
      </c>
      <c r="K278">
        <v>105046.239712479</v>
      </c>
      <c r="L278">
        <v>751.33156013866005</v>
      </c>
      <c r="M278">
        <v>9.4664724610027604E-2</v>
      </c>
      <c r="N278">
        <v>7.2939927919112801E-2</v>
      </c>
      <c r="O278">
        <v>0.65323455904126104</v>
      </c>
      <c r="P278">
        <v>3.2167597392648899E-2</v>
      </c>
      <c r="Q278">
        <v>0.63808786207828705</v>
      </c>
      <c r="R278">
        <v>0</v>
      </c>
      <c r="S278">
        <v>50</v>
      </c>
      <c r="T278">
        <v>110</v>
      </c>
      <c r="U278">
        <v>11501302693.639999</v>
      </c>
      <c r="V278">
        <v>109488</v>
      </c>
    </row>
    <row r="279" spans="1:22" x14ac:dyDescent="0.25">
      <c r="A279">
        <v>0.99023004311395602</v>
      </c>
      <c r="B279">
        <v>11.114037029184701</v>
      </c>
      <c r="C279">
        <v>9.6604375879019599</v>
      </c>
      <c r="D279">
        <v>0</v>
      </c>
      <c r="E279">
        <v>4.5416919084188203</v>
      </c>
      <c r="F279">
        <v>4.2662081942971097</v>
      </c>
      <c r="G279">
        <v>47.372036554218703</v>
      </c>
      <c r="H279">
        <v>21.5054263507973</v>
      </c>
      <c r="I279">
        <v>66.913682933345399</v>
      </c>
      <c r="J279">
        <v>61.100075202067501</v>
      </c>
      <c r="K279">
        <v>115083.05853386001</v>
      </c>
      <c r="L279">
        <v>752.80747008130402</v>
      </c>
      <c r="M279">
        <v>9.3107914859343402E-2</v>
      </c>
      <c r="N279">
        <v>7.3584464578346595E-2</v>
      </c>
      <c r="O279">
        <v>0.63531521338765196</v>
      </c>
      <c r="P279">
        <v>3.0084310516021499E-2</v>
      </c>
      <c r="Q279">
        <v>0.63554295764499302</v>
      </c>
      <c r="R279">
        <v>0</v>
      </c>
      <c r="S279">
        <v>50</v>
      </c>
      <c r="T279">
        <v>120</v>
      </c>
      <c r="U279">
        <v>12905184017.870001</v>
      </c>
      <c r="V279">
        <v>112138</v>
      </c>
    </row>
    <row r="280" spans="1:22" x14ac:dyDescent="0.25">
      <c r="A280">
        <v>0.98999055971091199</v>
      </c>
      <c r="B280">
        <v>11.371654998801001</v>
      </c>
      <c r="C280">
        <v>10.0836300089522</v>
      </c>
      <c r="D280">
        <v>0</v>
      </c>
      <c r="E280">
        <v>4.53049492821195</v>
      </c>
      <c r="F280">
        <v>4.2519935509541202</v>
      </c>
      <c r="G280">
        <v>47.375325467127197</v>
      </c>
      <c r="H280">
        <v>21.196132519038901</v>
      </c>
      <c r="I280">
        <v>67.419775448349796</v>
      </c>
      <c r="J280">
        <v>61.719802578189103</v>
      </c>
      <c r="K280">
        <v>124958.234479216</v>
      </c>
      <c r="L280">
        <v>752.66958685091504</v>
      </c>
      <c r="M280">
        <v>9.4061442528387704E-2</v>
      </c>
      <c r="N280">
        <v>8.0964328267114902E-2</v>
      </c>
      <c r="O280">
        <v>0.62720461644352099</v>
      </c>
      <c r="P280">
        <v>3.05521850035489E-2</v>
      </c>
      <c r="Q280">
        <v>0.63595099461587401</v>
      </c>
      <c r="R280">
        <v>0</v>
      </c>
      <c r="S280">
        <v>50</v>
      </c>
      <c r="T280">
        <v>130</v>
      </c>
      <c r="U280">
        <v>14586124794.290001</v>
      </c>
      <c r="V280">
        <v>116728</v>
      </c>
    </row>
    <row r="281" spans="1:22" x14ac:dyDescent="0.25">
      <c r="A281">
        <v>0.98976376583286896</v>
      </c>
      <c r="B281">
        <v>11.6149913722343</v>
      </c>
      <c r="C281">
        <v>10.6803976346357</v>
      </c>
      <c r="D281">
        <v>0</v>
      </c>
      <c r="E281">
        <v>4.5258471621367704</v>
      </c>
      <c r="F281">
        <v>4.2479758057871404</v>
      </c>
      <c r="G281">
        <v>47.380375524606499</v>
      </c>
      <c r="H281">
        <v>21.205169428669699</v>
      </c>
      <c r="I281">
        <v>67.945179114118702</v>
      </c>
      <c r="J281">
        <v>62.191726491961397</v>
      </c>
      <c r="K281">
        <v>134954.895567973</v>
      </c>
      <c r="L281">
        <v>752.666147720911</v>
      </c>
      <c r="M281">
        <v>9.7978965053662104E-2</v>
      </c>
      <c r="N281">
        <v>8.3997545522520603E-2</v>
      </c>
      <c r="O281">
        <v>0.62299619944760698</v>
      </c>
      <c r="P281">
        <v>3.0744216349005201E-2</v>
      </c>
      <c r="Q281">
        <v>0.64680465260962805</v>
      </c>
      <c r="R281">
        <v>0</v>
      </c>
      <c r="S281">
        <v>50</v>
      </c>
      <c r="T281">
        <v>140</v>
      </c>
      <c r="U281">
        <v>15058402202.370001</v>
      </c>
      <c r="V281">
        <v>111581</v>
      </c>
    </row>
    <row r="282" spans="1:22" x14ac:dyDescent="0.25">
      <c r="A282">
        <v>0.98952589298043703</v>
      </c>
      <c r="B282">
        <v>11.8695566702094</v>
      </c>
      <c r="C282">
        <v>11.571226557116001</v>
      </c>
      <c r="D282">
        <v>0</v>
      </c>
      <c r="E282">
        <v>4.5246525071463504</v>
      </c>
      <c r="F282">
        <v>4.2491108082700402</v>
      </c>
      <c r="G282">
        <v>47.368943350156698</v>
      </c>
      <c r="H282">
        <v>20.978307440752499</v>
      </c>
      <c r="I282">
        <v>66.956411241750004</v>
      </c>
      <c r="J282">
        <v>61.479340460875598</v>
      </c>
      <c r="K282">
        <v>144987.45218859499</v>
      </c>
      <c r="L282">
        <v>753.23896736670497</v>
      </c>
      <c r="M282">
        <v>9.3470296083081897E-2</v>
      </c>
      <c r="N282">
        <v>8.5238476776387295E-2</v>
      </c>
      <c r="O282">
        <v>0.60425158149028901</v>
      </c>
      <c r="P282">
        <v>3.2702866111229099E-2</v>
      </c>
      <c r="Q282">
        <v>0.64606014953022595</v>
      </c>
      <c r="R282">
        <v>0</v>
      </c>
      <c r="S282">
        <v>50</v>
      </c>
      <c r="T282">
        <v>150</v>
      </c>
      <c r="U282">
        <v>16508706268.549999</v>
      </c>
      <c r="V282">
        <v>113863</v>
      </c>
    </row>
    <row r="283" spans="1:22" x14ac:dyDescent="0.25">
      <c r="A283">
        <v>0.98922140627257404</v>
      </c>
      <c r="B283">
        <v>12.194429586579</v>
      </c>
      <c r="C283">
        <v>12.3038954747089</v>
      </c>
      <c r="D283">
        <v>0</v>
      </c>
      <c r="E283">
        <v>4.5294791126333704</v>
      </c>
      <c r="F283">
        <v>4.24659700555297</v>
      </c>
      <c r="G283">
        <v>47.379461971376102</v>
      </c>
      <c r="H283">
        <v>21.0996357028347</v>
      </c>
      <c r="I283">
        <v>68.222811500471096</v>
      </c>
      <c r="J283">
        <v>62.6928894341697</v>
      </c>
      <c r="K283">
        <v>154963.38246017901</v>
      </c>
      <c r="L283">
        <v>752.77737137095903</v>
      </c>
      <c r="M283">
        <v>9.8702618506546103E-2</v>
      </c>
      <c r="N283">
        <v>8.6480156640148201E-2</v>
      </c>
      <c r="O283">
        <v>0.60315362651404802</v>
      </c>
      <c r="P283">
        <v>3.0728029701484499E-2</v>
      </c>
      <c r="Q283">
        <v>0.66502078572856305</v>
      </c>
      <c r="R283">
        <v>0</v>
      </c>
      <c r="S283">
        <v>50</v>
      </c>
      <c r="T283">
        <v>160</v>
      </c>
      <c r="U283">
        <v>15965102477.959999</v>
      </c>
      <c r="V283">
        <v>103025</v>
      </c>
    </row>
    <row r="284" spans="1:22" x14ac:dyDescent="0.25">
      <c r="A284">
        <v>0.98890251052548395</v>
      </c>
      <c r="B284">
        <v>12.533499035747001</v>
      </c>
      <c r="C284">
        <v>12.240104194427801</v>
      </c>
      <c r="D284">
        <v>0</v>
      </c>
      <c r="E284">
        <v>4.5205666469505301</v>
      </c>
      <c r="F284">
        <v>4.2375563047028599</v>
      </c>
      <c r="G284">
        <v>47.372624874795399</v>
      </c>
      <c r="H284">
        <v>21.087649111448101</v>
      </c>
      <c r="I284">
        <v>68.753675461083205</v>
      </c>
      <c r="J284">
        <v>63.153816483829601</v>
      </c>
      <c r="K284">
        <v>164984.93973524601</v>
      </c>
      <c r="L284">
        <v>752.74605710591095</v>
      </c>
      <c r="M284">
        <v>9.8828510299010006E-2</v>
      </c>
      <c r="N284">
        <v>8.9295329775720203E-2</v>
      </c>
      <c r="O284">
        <v>0.59254285919659799</v>
      </c>
      <c r="P284">
        <v>3.1818360479295801E-2</v>
      </c>
      <c r="Q284">
        <v>0.65699728318984896</v>
      </c>
      <c r="R284">
        <v>0</v>
      </c>
      <c r="S284">
        <v>50</v>
      </c>
      <c r="T284">
        <v>170</v>
      </c>
      <c r="U284">
        <v>16731947663.25</v>
      </c>
      <c r="V284">
        <v>101415</v>
      </c>
    </row>
    <row r="285" spans="1:22" x14ac:dyDescent="0.25">
      <c r="A285">
        <v>0.98473934010868003</v>
      </c>
      <c r="B285">
        <v>16.851300920891401</v>
      </c>
      <c r="C285">
        <v>20.012988643148599</v>
      </c>
      <c r="D285">
        <v>0</v>
      </c>
      <c r="E285">
        <v>4.4754027010136603</v>
      </c>
      <c r="F285">
        <v>4.1962145518867704</v>
      </c>
      <c r="G285">
        <v>47.389704005004504</v>
      </c>
      <c r="H285">
        <v>20.272625834605002</v>
      </c>
      <c r="I285">
        <v>69.180785867819594</v>
      </c>
      <c r="J285">
        <v>63.794680095486697</v>
      </c>
      <c r="K285">
        <v>289052.73973550502</v>
      </c>
      <c r="L285">
        <v>754.060110151858</v>
      </c>
      <c r="M285">
        <v>0.151222866945633</v>
      </c>
      <c r="N285">
        <v>9.6685241405200906E-2</v>
      </c>
      <c r="O285">
        <v>0.52075113083937397</v>
      </c>
      <c r="P285">
        <v>5.8812301388616602E-2</v>
      </c>
      <c r="Q285">
        <v>0.64355639334136905</v>
      </c>
      <c r="R285">
        <v>0</v>
      </c>
      <c r="S285">
        <v>50</v>
      </c>
      <c r="T285">
        <v>175</v>
      </c>
      <c r="U285">
        <v>410397368929.21002</v>
      </c>
      <c r="V285">
        <v>1419801</v>
      </c>
    </row>
    <row r="286" spans="1:22" x14ac:dyDescent="0.25">
      <c r="A286">
        <v>0.98866694878740902</v>
      </c>
      <c r="B286">
        <v>12.783191460812001</v>
      </c>
      <c r="C286">
        <v>12.521166482417501</v>
      </c>
      <c r="D286">
        <v>0</v>
      </c>
      <c r="E286">
        <v>4.5166175505150399</v>
      </c>
      <c r="F286">
        <v>4.2324231184871799</v>
      </c>
      <c r="G286">
        <v>47.3638782125456</v>
      </c>
      <c r="H286">
        <v>20.986164682272101</v>
      </c>
      <c r="I286">
        <v>68.949661899037693</v>
      </c>
      <c r="J286">
        <v>63.378520240795702</v>
      </c>
      <c r="K286">
        <v>172411.42142704999</v>
      </c>
      <c r="L286">
        <v>753.37443195965</v>
      </c>
      <c r="M286">
        <v>9.3848785743793905E-2</v>
      </c>
      <c r="N286">
        <v>8.69357571011901E-2</v>
      </c>
      <c r="O286">
        <v>0.58974218358897501</v>
      </c>
      <c r="P286">
        <v>3.3786759435203297E-2</v>
      </c>
      <c r="Q286">
        <v>0.64314399253559995</v>
      </c>
      <c r="R286">
        <v>0</v>
      </c>
      <c r="S286">
        <v>50</v>
      </c>
      <c r="T286">
        <v>180</v>
      </c>
      <c r="U286">
        <v>8744707294.7800007</v>
      </c>
      <c r="V286">
        <v>50720</v>
      </c>
    </row>
    <row r="287" spans="1:22" x14ac:dyDescent="0.25">
      <c r="A287">
        <v>0.99271565534474804</v>
      </c>
      <c r="B287">
        <v>8.3993721890062805</v>
      </c>
      <c r="C287">
        <v>94.321867440464203</v>
      </c>
      <c r="D287">
        <v>0</v>
      </c>
      <c r="E287">
        <v>4.5178169361775202</v>
      </c>
      <c r="F287">
        <v>4.3259890624635302</v>
      </c>
      <c r="G287">
        <v>52.241170644567397</v>
      </c>
      <c r="H287">
        <v>22.9353769912478</v>
      </c>
      <c r="I287">
        <v>60.227700886530798</v>
      </c>
      <c r="J287">
        <v>4.5077178449163799</v>
      </c>
      <c r="K287">
        <v>5660.4805670102996</v>
      </c>
      <c r="L287">
        <v>770.26836344802996</v>
      </c>
      <c r="M287">
        <v>2.9283860210659499E-2</v>
      </c>
      <c r="N287">
        <v>5.8932487939858898E-2</v>
      </c>
      <c r="O287">
        <v>0.59648929847974796</v>
      </c>
      <c r="P287">
        <v>2.4176007010248302E-2</v>
      </c>
      <c r="Q287">
        <v>0.34775562099448798</v>
      </c>
      <c r="R287">
        <v>0</v>
      </c>
      <c r="S287">
        <v>55</v>
      </c>
      <c r="T287">
        <v>10</v>
      </c>
      <c r="U287">
        <v>3294399.69</v>
      </c>
      <c r="V287">
        <v>582</v>
      </c>
    </row>
    <row r="288" spans="1:22" x14ac:dyDescent="0.25">
      <c r="A288">
        <v>0.99259224870827401</v>
      </c>
      <c r="B288">
        <v>8.5359236741691902</v>
      </c>
      <c r="C288">
        <v>67.362171175875901</v>
      </c>
      <c r="D288">
        <v>0</v>
      </c>
      <c r="E288">
        <v>4.5213497572860302</v>
      </c>
      <c r="F288">
        <v>4.3136266237710599</v>
      </c>
      <c r="G288">
        <v>52.228985473275102</v>
      </c>
      <c r="H288">
        <v>23.132380438262199</v>
      </c>
      <c r="I288">
        <v>58.487783428171298</v>
      </c>
      <c r="J288">
        <v>16.653017069705601</v>
      </c>
      <c r="K288">
        <v>15716.4296056782</v>
      </c>
      <c r="L288">
        <v>763.87982866776701</v>
      </c>
      <c r="M288">
        <v>3.2994932345091099E-2</v>
      </c>
      <c r="N288">
        <v>5.9590417143862102E-2</v>
      </c>
      <c r="O288">
        <v>0.68868725147926502</v>
      </c>
      <c r="P288">
        <v>2.45718494970819E-2</v>
      </c>
      <c r="Q288">
        <v>0.29182129602831902</v>
      </c>
      <c r="R288">
        <v>0</v>
      </c>
      <c r="S288">
        <v>55</v>
      </c>
      <c r="T288">
        <v>20</v>
      </c>
      <c r="U288">
        <v>19928432.739999998</v>
      </c>
      <c r="V288">
        <v>1268</v>
      </c>
    </row>
    <row r="289" spans="1:22" x14ac:dyDescent="0.25">
      <c r="A289">
        <v>0.99231444729671303</v>
      </c>
      <c r="B289">
        <v>8.8426329868513793</v>
      </c>
      <c r="C289">
        <v>31.3731728666965</v>
      </c>
      <c r="D289">
        <v>0</v>
      </c>
      <c r="E289">
        <v>4.5746215178247303</v>
      </c>
      <c r="F289">
        <v>4.3166449205563397</v>
      </c>
      <c r="G289">
        <v>52.341199053065303</v>
      </c>
      <c r="H289">
        <v>22.6313147878435</v>
      </c>
      <c r="I289">
        <v>54.863065750289202</v>
      </c>
      <c r="J289">
        <v>35.339899932490901</v>
      </c>
      <c r="K289">
        <v>26098.980058673402</v>
      </c>
      <c r="L289">
        <v>755.56883693522502</v>
      </c>
      <c r="M289">
        <v>4.1072953482000303E-2</v>
      </c>
      <c r="N289">
        <v>3.6939644137315202E-2</v>
      </c>
      <c r="O289">
        <v>0.77520388299426102</v>
      </c>
      <c r="P289">
        <v>2.4795395908672101E-2</v>
      </c>
      <c r="Q289">
        <v>0.36762967653788198</v>
      </c>
      <c r="R289">
        <v>0</v>
      </c>
      <c r="S289">
        <v>55</v>
      </c>
      <c r="T289">
        <v>30</v>
      </c>
      <c r="U289">
        <v>102308001.83</v>
      </c>
      <c r="V289">
        <v>3920</v>
      </c>
    </row>
    <row r="290" spans="1:22" x14ac:dyDescent="0.25">
      <c r="A290">
        <v>0.99196770198484596</v>
      </c>
      <c r="B290">
        <v>9.22413761853071</v>
      </c>
      <c r="C290">
        <v>17.4711666345545</v>
      </c>
      <c r="D290">
        <v>0</v>
      </c>
      <c r="E290">
        <v>4.5922892884947499</v>
      </c>
      <c r="F290">
        <v>4.31667758268628</v>
      </c>
      <c r="G290">
        <v>52.357337506418901</v>
      </c>
      <c r="H290">
        <v>22.411251706337801</v>
      </c>
      <c r="I290">
        <v>56.470181010443497</v>
      </c>
      <c r="J290">
        <v>45.232216550710802</v>
      </c>
      <c r="K290">
        <v>35920.742206037299</v>
      </c>
      <c r="L290">
        <v>752.64078666671696</v>
      </c>
      <c r="M290">
        <v>5.0235132730979098E-2</v>
      </c>
      <c r="N290">
        <v>4.0001725283779703E-2</v>
      </c>
      <c r="O290">
        <v>0.76214634335562903</v>
      </c>
      <c r="P290">
        <v>2.78308185589888E-2</v>
      </c>
      <c r="Q290">
        <v>0.44423547691502602</v>
      </c>
      <c r="R290">
        <v>0</v>
      </c>
      <c r="S290">
        <v>55</v>
      </c>
      <c r="T290">
        <v>40</v>
      </c>
      <c r="U290">
        <v>374832944.92000002</v>
      </c>
      <c r="V290">
        <v>10435</v>
      </c>
    </row>
    <row r="291" spans="1:22" x14ac:dyDescent="0.25">
      <c r="A291">
        <v>0.99159364743677203</v>
      </c>
      <c r="B291">
        <v>9.6340476310618293</v>
      </c>
      <c r="C291">
        <v>11.4028335579331</v>
      </c>
      <c r="D291">
        <v>0</v>
      </c>
      <c r="E291">
        <v>4.5983026033903398</v>
      </c>
      <c r="F291">
        <v>4.3170512852537097</v>
      </c>
      <c r="G291">
        <v>52.379554382503798</v>
      </c>
      <c r="H291">
        <v>22.2962525627769</v>
      </c>
      <c r="I291">
        <v>56.5751552259036</v>
      </c>
      <c r="J291">
        <v>48.542470867662203</v>
      </c>
      <c r="K291">
        <v>45924.128856071999</v>
      </c>
      <c r="L291">
        <v>751.94881823223704</v>
      </c>
      <c r="M291">
        <v>5.98655271118642E-2</v>
      </c>
      <c r="N291">
        <v>5.2193032924141403E-2</v>
      </c>
      <c r="O291">
        <v>0.74450865832671498</v>
      </c>
      <c r="P291">
        <v>3.0793771129006099E-2</v>
      </c>
      <c r="Q291">
        <v>0.52858598895219699</v>
      </c>
      <c r="R291">
        <v>0</v>
      </c>
      <c r="S291">
        <v>55</v>
      </c>
      <c r="T291">
        <v>50</v>
      </c>
      <c r="U291">
        <v>1127299591.03</v>
      </c>
      <c r="V291">
        <v>24547</v>
      </c>
    </row>
    <row r="292" spans="1:22" x14ac:dyDescent="0.25">
      <c r="A292">
        <v>0.991254272892654</v>
      </c>
      <c r="B292">
        <v>10.004484545486701</v>
      </c>
      <c r="C292">
        <v>9.7494086399620201</v>
      </c>
      <c r="D292">
        <v>0</v>
      </c>
      <c r="E292">
        <v>4.60437598395258</v>
      </c>
      <c r="F292">
        <v>4.3085957792511502</v>
      </c>
      <c r="G292">
        <v>52.392765218769902</v>
      </c>
      <c r="H292">
        <v>22.129876984907199</v>
      </c>
      <c r="I292">
        <v>60.1412860710155</v>
      </c>
      <c r="J292">
        <v>53.151411645272603</v>
      </c>
      <c r="K292">
        <v>55471.954141569797</v>
      </c>
      <c r="L292">
        <v>749.86821974820498</v>
      </c>
      <c r="M292">
        <v>6.8378360145022798E-2</v>
      </c>
      <c r="N292">
        <v>5.8474583186422902E-2</v>
      </c>
      <c r="O292">
        <v>0.72309432462371404</v>
      </c>
      <c r="P292">
        <v>3.3915297884465401E-2</v>
      </c>
      <c r="Q292">
        <v>0.57167588870349395</v>
      </c>
      <c r="R292">
        <v>0</v>
      </c>
      <c r="S292">
        <v>55</v>
      </c>
      <c r="T292">
        <v>60</v>
      </c>
      <c r="U292">
        <v>2339252306.1500001</v>
      </c>
      <c r="V292">
        <v>42170</v>
      </c>
    </row>
    <row r="293" spans="1:22" x14ac:dyDescent="0.25">
      <c r="A293">
        <v>0.99097056215133394</v>
      </c>
      <c r="B293">
        <v>10.313094037020299</v>
      </c>
      <c r="C293">
        <v>9.7959963925272007</v>
      </c>
      <c r="D293">
        <v>0</v>
      </c>
      <c r="E293">
        <v>4.6106875484954202</v>
      </c>
      <c r="F293">
        <v>4.3049260094864001</v>
      </c>
      <c r="G293">
        <v>52.396366369783699</v>
      </c>
      <c r="H293">
        <v>22.173215499715901</v>
      </c>
      <c r="I293">
        <v>62.086563633624898</v>
      </c>
      <c r="J293">
        <v>55.597392261301401</v>
      </c>
      <c r="K293">
        <v>65260.724444883803</v>
      </c>
      <c r="L293">
        <v>749.99346017272501</v>
      </c>
      <c r="M293">
        <v>7.3546180499473798E-2</v>
      </c>
      <c r="N293">
        <v>6.13978952905282E-2</v>
      </c>
      <c r="O293">
        <v>0.71266018835442801</v>
      </c>
      <c r="P293">
        <v>3.3805451890729303E-2</v>
      </c>
      <c r="Q293">
        <v>0.60183755433064501</v>
      </c>
      <c r="R293">
        <v>0</v>
      </c>
      <c r="S293">
        <v>55</v>
      </c>
      <c r="T293">
        <v>70</v>
      </c>
      <c r="U293">
        <v>3795498472.9899998</v>
      </c>
      <c r="V293">
        <v>58159</v>
      </c>
    </row>
    <row r="294" spans="1:22" x14ac:dyDescent="0.25">
      <c r="A294">
        <v>0.99078782613126304</v>
      </c>
      <c r="B294">
        <v>10.5113532052143</v>
      </c>
      <c r="C294">
        <v>9.6261452848494908</v>
      </c>
      <c r="D294">
        <v>0</v>
      </c>
      <c r="E294">
        <v>4.6069350700672898</v>
      </c>
      <c r="F294">
        <v>4.29957428540839</v>
      </c>
      <c r="G294">
        <v>52.408925206136402</v>
      </c>
      <c r="H294">
        <v>21.581803335768502</v>
      </c>
      <c r="I294">
        <v>62.034533615987499</v>
      </c>
      <c r="J294">
        <v>56.243545684219399</v>
      </c>
      <c r="K294">
        <v>75175.307431840003</v>
      </c>
      <c r="L294">
        <v>751.23199126355701</v>
      </c>
      <c r="M294">
        <v>7.6398067080776594E-2</v>
      </c>
      <c r="N294">
        <v>6.8561274236200107E-2</v>
      </c>
      <c r="O294">
        <v>0.69846411758008398</v>
      </c>
      <c r="P294">
        <v>3.1943767180292702E-2</v>
      </c>
      <c r="Q294">
        <v>0.63722085301271902</v>
      </c>
      <c r="R294">
        <v>0</v>
      </c>
      <c r="S294">
        <v>55</v>
      </c>
      <c r="T294">
        <v>80</v>
      </c>
      <c r="U294">
        <v>5624917203.2799997</v>
      </c>
      <c r="V294">
        <v>74824</v>
      </c>
    </row>
    <row r="295" spans="1:22" x14ac:dyDescent="0.25">
      <c r="A295">
        <v>0.99051034901037904</v>
      </c>
      <c r="B295">
        <v>10.8116335213128</v>
      </c>
      <c r="C295">
        <v>9.3335633366878596</v>
      </c>
      <c r="D295">
        <v>0</v>
      </c>
      <c r="E295">
        <v>4.60810336905634</v>
      </c>
      <c r="F295">
        <v>4.28639080082724</v>
      </c>
      <c r="G295">
        <v>52.421414430513003</v>
      </c>
      <c r="H295">
        <v>21.588496632129701</v>
      </c>
      <c r="I295">
        <v>64.616312307840104</v>
      </c>
      <c r="J295">
        <v>58.856395056077297</v>
      </c>
      <c r="K295">
        <v>85189.034184819204</v>
      </c>
      <c r="L295">
        <v>751.18633843985594</v>
      </c>
      <c r="M295">
        <v>8.4207105662127593E-2</v>
      </c>
      <c r="N295">
        <v>7.3988867210606393E-2</v>
      </c>
      <c r="O295">
        <v>0.68144008718845295</v>
      </c>
      <c r="P295">
        <v>3.0513874104051202E-2</v>
      </c>
      <c r="Q295">
        <v>0.63958978408788603</v>
      </c>
      <c r="R295">
        <v>0</v>
      </c>
      <c r="S295">
        <v>55</v>
      </c>
      <c r="T295">
        <v>90</v>
      </c>
      <c r="U295">
        <v>7457873997.71</v>
      </c>
      <c r="V295">
        <v>87545</v>
      </c>
    </row>
    <row r="296" spans="1:22" x14ac:dyDescent="0.25">
      <c r="A296">
        <v>0.99028597955343001</v>
      </c>
      <c r="B296">
        <v>11.053766072971801</v>
      </c>
      <c r="C296">
        <v>9.72695542084411</v>
      </c>
      <c r="D296">
        <v>0</v>
      </c>
      <c r="E296">
        <v>4.5993371635608904</v>
      </c>
      <c r="F296">
        <v>4.2777101115385001</v>
      </c>
      <c r="G296">
        <v>52.430740954190597</v>
      </c>
      <c r="H296">
        <v>21.318856929307501</v>
      </c>
      <c r="I296">
        <v>64.473896989876707</v>
      </c>
      <c r="J296">
        <v>59.059121647155301</v>
      </c>
      <c r="K296">
        <v>95300.1875498093</v>
      </c>
      <c r="L296">
        <v>753.51530218484402</v>
      </c>
      <c r="M296">
        <v>8.2530786387359306E-2</v>
      </c>
      <c r="N296">
        <v>7.6195704084813104E-2</v>
      </c>
      <c r="O296">
        <v>0.65714202157908996</v>
      </c>
      <c r="P296">
        <v>3.0351979857862602E-2</v>
      </c>
      <c r="Q296">
        <v>0.61120486973244004</v>
      </c>
      <c r="R296">
        <v>0</v>
      </c>
      <c r="S296">
        <v>55</v>
      </c>
      <c r="T296">
        <v>100</v>
      </c>
      <c r="U296">
        <v>11049294344.9</v>
      </c>
      <c r="V296">
        <v>115942</v>
      </c>
    </row>
    <row r="297" spans="1:22" x14ac:dyDescent="0.25">
      <c r="A297">
        <v>0.98990946462340901</v>
      </c>
      <c r="B297">
        <v>11.4587356613395</v>
      </c>
      <c r="C297">
        <v>10.1468109956043</v>
      </c>
      <c r="D297">
        <v>0</v>
      </c>
      <c r="E297">
        <v>4.5997007335182296</v>
      </c>
      <c r="F297">
        <v>4.2615444249929304</v>
      </c>
      <c r="G297">
        <v>52.431703359851198</v>
      </c>
      <c r="H297">
        <v>21.319319348267602</v>
      </c>
      <c r="I297">
        <v>66.946636218075895</v>
      </c>
      <c r="J297">
        <v>61.5194215149576</v>
      </c>
      <c r="K297">
        <v>105034.550485136</v>
      </c>
      <c r="L297">
        <v>751.53669455872102</v>
      </c>
      <c r="M297">
        <v>9.0514219624930406E-2</v>
      </c>
      <c r="N297">
        <v>7.4311072780385207E-2</v>
      </c>
      <c r="O297">
        <v>0.63902287434735705</v>
      </c>
      <c r="P297">
        <v>2.8831581870355599E-2</v>
      </c>
      <c r="Q297">
        <v>0.62913565838651697</v>
      </c>
      <c r="R297">
        <v>0</v>
      </c>
      <c r="S297">
        <v>55</v>
      </c>
      <c r="T297">
        <v>110</v>
      </c>
      <c r="U297">
        <v>11310225430.790001</v>
      </c>
      <c r="V297">
        <v>107681</v>
      </c>
    </row>
    <row r="298" spans="1:22" x14ac:dyDescent="0.25">
      <c r="A298">
        <v>0.98961802850830005</v>
      </c>
      <c r="B298">
        <v>11.771035494789199</v>
      </c>
      <c r="C298">
        <v>10.8148323826832</v>
      </c>
      <c r="D298">
        <v>0</v>
      </c>
      <c r="E298">
        <v>4.5846986720004201</v>
      </c>
      <c r="F298">
        <v>4.2533147227037897</v>
      </c>
      <c r="G298">
        <v>52.441885208740402</v>
      </c>
      <c r="H298">
        <v>21.367827591186298</v>
      </c>
      <c r="I298">
        <v>67.315816129419005</v>
      </c>
      <c r="J298">
        <v>61.770910312657499</v>
      </c>
      <c r="K298">
        <v>115098.664220504</v>
      </c>
      <c r="L298">
        <v>752.92729589627595</v>
      </c>
      <c r="M298">
        <v>9.0598193182971701E-2</v>
      </c>
      <c r="N298">
        <v>7.6597234487624594E-2</v>
      </c>
      <c r="O298">
        <v>0.62269972375345695</v>
      </c>
      <c r="P298">
        <v>2.8066257879120801E-2</v>
      </c>
      <c r="Q298">
        <v>0.631802418875547</v>
      </c>
      <c r="R298">
        <v>0</v>
      </c>
      <c r="S298">
        <v>55</v>
      </c>
      <c r="T298">
        <v>120</v>
      </c>
      <c r="U298">
        <v>12713338055.139999</v>
      </c>
      <c r="V298">
        <v>110456</v>
      </c>
    </row>
    <row r="299" spans="1:22" x14ac:dyDescent="0.25">
      <c r="A299">
        <v>0.98932692124252197</v>
      </c>
      <c r="B299">
        <v>12.081974608396999</v>
      </c>
      <c r="C299">
        <v>11.0331206371902</v>
      </c>
      <c r="D299">
        <v>0</v>
      </c>
      <c r="E299">
        <v>4.5765984601522502</v>
      </c>
      <c r="F299">
        <v>4.2428549434525804</v>
      </c>
      <c r="G299">
        <v>52.449860418542201</v>
      </c>
      <c r="H299">
        <v>21.105298134266398</v>
      </c>
      <c r="I299">
        <v>67.540483686350498</v>
      </c>
      <c r="J299">
        <v>62.128476849443899</v>
      </c>
      <c r="K299">
        <v>124936.62325541599</v>
      </c>
      <c r="L299">
        <v>752.91025511452699</v>
      </c>
      <c r="M299">
        <v>9.0304450263917604E-2</v>
      </c>
      <c r="N299">
        <v>8.2445048967098797E-2</v>
      </c>
      <c r="O299">
        <v>0.62071346794110405</v>
      </c>
      <c r="P299">
        <v>2.8992764691341998E-2</v>
      </c>
      <c r="Q299">
        <v>0.63588825772552304</v>
      </c>
      <c r="R299">
        <v>0</v>
      </c>
      <c r="S299">
        <v>55</v>
      </c>
      <c r="T299">
        <v>130</v>
      </c>
      <c r="U299">
        <v>14340350553.879999</v>
      </c>
      <c r="V299">
        <v>114781</v>
      </c>
    </row>
    <row r="300" spans="1:22" x14ac:dyDescent="0.25">
      <c r="A300">
        <v>0.98903440935129305</v>
      </c>
      <c r="B300">
        <v>12.393401961494099</v>
      </c>
      <c r="C300">
        <v>11.6952732984169</v>
      </c>
      <c r="D300">
        <v>0</v>
      </c>
      <c r="E300">
        <v>4.5691749741668799</v>
      </c>
      <c r="F300">
        <v>4.2364317270785303</v>
      </c>
      <c r="G300">
        <v>52.439858063632798</v>
      </c>
      <c r="H300">
        <v>21.104346257028698</v>
      </c>
      <c r="I300">
        <v>68.089856631931596</v>
      </c>
      <c r="J300">
        <v>62.600377637301499</v>
      </c>
      <c r="K300">
        <v>134959.85718362301</v>
      </c>
      <c r="L300">
        <v>753.16408851420795</v>
      </c>
      <c r="M300">
        <v>9.4075499007386598E-2</v>
      </c>
      <c r="N300">
        <v>8.4734072384439807E-2</v>
      </c>
      <c r="O300">
        <v>0.61054979073953897</v>
      </c>
      <c r="P300">
        <v>2.8961259299887101E-2</v>
      </c>
      <c r="Q300">
        <v>0.641317749092842</v>
      </c>
      <c r="R300">
        <v>0</v>
      </c>
      <c r="S300">
        <v>55</v>
      </c>
      <c r="T300">
        <v>140</v>
      </c>
      <c r="U300">
        <v>14731948090.450001</v>
      </c>
      <c r="V300">
        <v>109158</v>
      </c>
    </row>
    <row r="301" spans="1:22" x14ac:dyDescent="0.25">
      <c r="A301">
        <v>0.988712947256285</v>
      </c>
      <c r="B301">
        <v>12.7344850719112</v>
      </c>
      <c r="C301">
        <v>12.0623338897773</v>
      </c>
      <c r="D301">
        <v>0</v>
      </c>
      <c r="E301">
        <v>4.5633789168916197</v>
      </c>
      <c r="F301">
        <v>4.2340918080653802</v>
      </c>
      <c r="G301">
        <v>52.450380001366199</v>
      </c>
      <c r="H301">
        <v>20.878452383576398</v>
      </c>
      <c r="I301">
        <v>66.985842803562804</v>
      </c>
      <c r="J301">
        <v>61.765161015876302</v>
      </c>
      <c r="K301">
        <v>144994.304164298</v>
      </c>
      <c r="L301">
        <v>753.57232856245105</v>
      </c>
      <c r="M301">
        <v>9.4386750270324796E-2</v>
      </c>
      <c r="N301">
        <v>8.5030130477837099E-2</v>
      </c>
      <c r="O301">
        <v>0.59812406872636503</v>
      </c>
      <c r="P301">
        <v>3.19414219270613E-2</v>
      </c>
      <c r="Q301">
        <v>0.64355192884926504</v>
      </c>
      <c r="R301">
        <v>0</v>
      </c>
      <c r="S301">
        <v>55</v>
      </c>
      <c r="T301">
        <v>150</v>
      </c>
      <c r="U301">
        <v>16278655522.83</v>
      </c>
      <c r="V301">
        <v>112271</v>
      </c>
    </row>
    <row r="302" spans="1:22" x14ac:dyDescent="0.25">
      <c r="A302">
        <v>0.98835974673341698</v>
      </c>
      <c r="B302">
        <v>13.1078400129829</v>
      </c>
      <c r="C302">
        <v>12.357275791826901</v>
      </c>
      <c r="D302">
        <v>0</v>
      </c>
      <c r="E302">
        <v>4.5691307706834303</v>
      </c>
      <c r="F302">
        <v>4.2324452339989502</v>
      </c>
      <c r="G302">
        <v>52.443109365121401</v>
      </c>
      <c r="H302">
        <v>21.003250911100199</v>
      </c>
      <c r="I302">
        <v>68.329616655901305</v>
      </c>
      <c r="J302">
        <v>63.029099030941502</v>
      </c>
      <c r="K302">
        <v>154960.42101940801</v>
      </c>
      <c r="L302">
        <v>752.45372107964101</v>
      </c>
      <c r="M302">
        <v>9.9436136677391596E-2</v>
      </c>
      <c r="N302">
        <v>8.7250636500116802E-2</v>
      </c>
      <c r="O302">
        <v>0.59655418860125198</v>
      </c>
      <c r="P302">
        <v>3.0459857647440199E-2</v>
      </c>
      <c r="Q302">
        <v>0.66453679011769495</v>
      </c>
      <c r="R302">
        <v>0</v>
      </c>
      <c r="S302">
        <v>55</v>
      </c>
      <c r="T302">
        <v>160</v>
      </c>
      <c r="U302">
        <v>15632717193.280001</v>
      </c>
      <c r="V302">
        <v>100882</v>
      </c>
    </row>
    <row r="303" spans="1:22" x14ac:dyDescent="0.25">
      <c r="A303">
        <v>0.98798578336521703</v>
      </c>
      <c r="B303">
        <v>13.5015462325711</v>
      </c>
      <c r="C303">
        <v>13.5394631794776</v>
      </c>
      <c r="D303">
        <v>0</v>
      </c>
      <c r="E303">
        <v>4.5596020962775503</v>
      </c>
      <c r="F303">
        <v>4.2234745819859096</v>
      </c>
      <c r="G303">
        <v>52.448351226115697</v>
      </c>
      <c r="H303">
        <v>21.019846737019598</v>
      </c>
      <c r="I303">
        <v>68.828351698492995</v>
      </c>
      <c r="J303">
        <v>63.450714641052102</v>
      </c>
      <c r="K303">
        <v>164985.88016579399</v>
      </c>
      <c r="L303">
        <v>753.01219892621305</v>
      </c>
      <c r="M303">
        <v>9.7465764098544197E-2</v>
      </c>
      <c r="N303">
        <v>9.0121524111099E-2</v>
      </c>
      <c r="O303">
        <v>0.58408645300881901</v>
      </c>
      <c r="P303">
        <v>3.1638722160192E-2</v>
      </c>
      <c r="Q303">
        <v>0.65249834080620805</v>
      </c>
      <c r="R303">
        <v>0</v>
      </c>
      <c r="S303">
        <v>55</v>
      </c>
      <c r="T303">
        <v>170</v>
      </c>
      <c r="U303">
        <v>16449422224.290001</v>
      </c>
      <c r="V303">
        <v>99702</v>
      </c>
    </row>
    <row r="304" spans="1:22" x14ac:dyDescent="0.25">
      <c r="A304">
        <v>0.98328035511431799</v>
      </c>
      <c r="B304">
        <v>18.317626258170399</v>
      </c>
      <c r="C304">
        <v>22.5055930204182</v>
      </c>
      <c r="D304">
        <v>0</v>
      </c>
      <c r="E304">
        <v>4.5150361240218899</v>
      </c>
      <c r="F304">
        <v>4.1844438242444397</v>
      </c>
      <c r="G304">
        <v>52.4460785227256</v>
      </c>
      <c r="H304">
        <v>20.230831710901199</v>
      </c>
      <c r="I304">
        <v>68.823862794786805</v>
      </c>
      <c r="J304">
        <v>63.646638147342998</v>
      </c>
      <c r="K304">
        <v>288306.27693872497</v>
      </c>
      <c r="L304">
        <v>754.27435376024005</v>
      </c>
      <c r="M304">
        <v>0.153623184090624</v>
      </c>
      <c r="N304">
        <v>9.5404653127293099E-2</v>
      </c>
      <c r="O304">
        <v>0.51820439470707802</v>
      </c>
      <c r="P304">
        <v>5.8780750378752099E-2</v>
      </c>
      <c r="Q304">
        <v>0.64587884057730505</v>
      </c>
      <c r="R304">
        <v>0</v>
      </c>
      <c r="S304">
        <v>55</v>
      </c>
      <c r="T304">
        <v>175</v>
      </c>
      <c r="U304">
        <v>399655927218</v>
      </c>
      <c r="V304">
        <v>1386220</v>
      </c>
    </row>
    <row r="305" spans="1:22" x14ac:dyDescent="0.25">
      <c r="A305">
        <v>0.98771438926148203</v>
      </c>
      <c r="B305">
        <v>13.7862434796827</v>
      </c>
      <c r="C305">
        <v>12.4315546474502</v>
      </c>
      <c r="D305">
        <v>0</v>
      </c>
      <c r="E305">
        <v>4.5585054594488303</v>
      </c>
      <c r="F305">
        <v>4.2200564873755502</v>
      </c>
      <c r="G305">
        <v>52.438973298282903</v>
      </c>
      <c r="H305">
        <v>20.894255568553501</v>
      </c>
      <c r="I305">
        <v>68.914148200000398</v>
      </c>
      <c r="J305">
        <v>63.597967851459501</v>
      </c>
      <c r="K305">
        <v>172432.53279992699</v>
      </c>
      <c r="L305">
        <v>753.58129108343303</v>
      </c>
      <c r="M305">
        <v>9.6126835288011803E-2</v>
      </c>
      <c r="N305">
        <v>8.7645858576552493E-2</v>
      </c>
      <c r="O305">
        <v>0.57810972364934499</v>
      </c>
      <c r="P305">
        <v>3.2857851010033703E-2</v>
      </c>
      <c r="Q305">
        <v>0.63993741436137697</v>
      </c>
      <c r="R305">
        <v>0</v>
      </c>
      <c r="S305">
        <v>55</v>
      </c>
      <c r="T305">
        <v>180</v>
      </c>
      <c r="U305">
        <v>8597830950.4699993</v>
      </c>
      <c r="V305">
        <v>49862</v>
      </c>
    </row>
    <row r="306" spans="1:22" x14ac:dyDescent="0.25">
      <c r="A306">
        <v>0.99277036021644005</v>
      </c>
      <c r="B306">
        <v>8.3387805833398705</v>
      </c>
      <c r="C306">
        <v>91.171540821147104</v>
      </c>
      <c r="D306">
        <v>0</v>
      </c>
      <c r="E306">
        <v>4.5388319793367797</v>
      </c>
      <c r="F306">
        <v>4.3133881141510297</v>
      </c>
      <c r="G306">
        <v>57.882083284969099</v>
      </c>
      <c r="H306">
        <v>23.843172958666901</v>
      </c>
      <c r="I306">
        <v>62.277563035894303</v>
      </c>
      <c r="J306">
        <v>4.28857920269032</v>
      </c>
      <c r="K306">
        <v>5695.3750057142797</v>
      </c>
      <c r="L306">
        <v>773.42363517192302</v>
      </c>
      <c r="M306">
        <v>2.3774952208690601E-2</v>
      </c>
      <c r="N306">
        <v>7.6487517802740906E-2</v>
      </c>
      <c r="O306">
        <v>0.59941913610412501</v>
      </c>
      <c r="P306">
        <v>2.1609835026179899E-2</v>
      </c>
      <c r="Q306">
        <v>0.25098899445252698</v>
      </c>
      <c r="R306">
        <v>0</v>
      </c>
      <c r="S306">
        <v>60</v>
      </c>
      <c r="T306">
        <v>10</v>
      </c>
      <c r="U306">
        <v>4983453.13</v>
      </c>
      <c r="V306">
        <v>875</v>
      </c>
    </row>
    <row r="307" spans="1:22" x14ac:dyDescent="0.25">
      <c r="A307">
        <v>0.99265345399350902</v>
      </c>
      <c r="B307">
        <v>8.4682223538754098</v>
      </c>
      <c r="C307">
        <v>65.227143741568796</v>
      </c>
      <c r="D307">
        <v>0</v>
      </c>
      <c r="E307">
        <v>4.5784363468764298</v>
      </c>
      <c r="F307">
        <v>4.3301357169084396</v>
      </c>
      <c r="G307">
        <v>57.800936188799398</v>
      </c>
      <c r="H307">
        <v>23.547000920831099</v>
      </c>
      <c r="I307">
        <v>57.330797608078697</v>
      </c>
      <c r="J307">
        <v>15.3601749989478</v>
      </c>
      <c r="K307">
        <v>15698.742134484801</v>
      </c>
      <c r="L307">
        <v>769.12003547830898</v>
      </c>
      <c r="M307">
        <v>3.7483809219244102E-2</v>
      </c>
      <c r="N307">
        <v>4.9004676304042198E-2</v>
      </c>
      <c r="O307">
        <v>0.68803607451388105</v>
      </c>
      <c r="P307">
        <v>3.0112678332205E-2</v>
      </c>
      <c r="Q307">
        <v>0.30747389200131198</v>
      </c>
      <c r="R307">
        <v>0</v>
      </c>
      <c r="S307">
        <v>60</v>
      </c>
      <c r="T307">
        <v>20</v>
      </c>
      <c r="U307">
        <v>25447661</v>
      </c>
      <c r="V307">
        <v>1621</v>
      </c>
    </row>
    <row r="308" spans="1:22" x14ac:dyDescent="0.25">
      <c r="A308">
        <v>0.99235191874208195</v>
      </c>
      <c r="B308">
        <v>8.8013173596818994</v>
      </c>
      <c r="C308">
        <v>34.498549486983499</v>
      </c>
      <c r="D308">
        <v>0</v>
      </c>
      <c r="E308">
        <v>4.62612704438639</v>
      </c>
      <c r="F308">
        <v>4.3338129113645403</v>
      </c>
      <c r="G308">
        <v>57.754659686178201</v>
      </c>
      <c r="H308">
        <v>23.2515524553049</v>
      </c>
      <c r="I308">
        <v>53.511343505258203</v>
      </c>
      <c r="J308">
        <v>32.938386083519902</v>
      </c>
      <c r="K308">
        <v>26132.9860312032</v>
      </c>
      <c r="L308">
        <v>758.36365799599605</v>
      </c>
      <c r="M308">
        <v>4.23811047877738E-2</v>
      </c>
      <c r="N308">
        <v>3.9990834641423598E-2</v>
      </c>
      <c r="O308">
        <v>0.76816085987119098</v>
      </c>
      <c r="P308">
        <v>2.5930131704038201E-2</v>
      </c>
      <c r="Q308">
        <v>0.37058916705513401</v>
      </c>
      <c r="R308">
        <v>0</v>
      </c>
      <c r="S308">
        <v>60</v>
      </c>
      <c r="T308">
        <v>30</v>
      </c>
      <c r="U308">
        <v>122276241.64</v>
      </c>
      <c r="V308">
        <v>4679</v>
      </c>
    </row>
    <row r="309" spans="1:22" x14ac:dyDescent="0.25">
      <c r="A309">
        <v>0.99193670322592498</v>
      </c>
      <c r="B309">
        <v>9.2581724623227206</v>
      </c>
      <c r="C309">
        <v>17.6538430235072</v>
      </c>
      <c r="D309">
        <v>0</v>
      </c>
      <c r="E309">
        <v>4.6259054275117002</v>
      </c>
      <c r="F309">
        <v>4.3129666143382597</v>
      </c>
      <c r="G309">
        <v>57.712011620745997</v>
      </c>
      <c r="H309">
        <v>22.8166557549389</v>
      </c>
      <c r="I309">
        <v>54.254374011676397</v>
      </c>
      <c r="J309">
        <v>42.620235892791101</v>
      </c>
      <c r="K309">
        <v>35914.2224653425</v>
      </c>
      <c r="L309">
        <v>755.64677188814505</v>
      </c>
      <c r="M309">
        <v>5.8443251815625798E-2</v>
      </c>
      <c r="N309">
        <v>4.2271426258265798E-2</v>
      </c>
      <c r="O309">
        <v>0.77053267003398895</v>
      </c>
      <c r="P309">
        <v>2.8574592333172E-2</v>
      </c>
      <c r="Q309">
        <v>0.47099003222001901</v>
      </c>
      <c r="R309">
        <v>0</v>
      </c>
      <c r="S309">
        <v>60</v>
      </c>
      <c r="T309">
        <v>40</v>
      </c>
      <c r="U309">
        <v>443001934.11000001</v>
      </c>
      <c r="V309">
        <v>12335</v>
      </c>
    </row>
    <row r="310" spans="1:22" x14ac:dyDescent="0.25">
      <c r="A310">
        <v>0.99148933781008497</v>
      </c>
      <c r="B310">
        <v>9.7480530457032799</v>
      </c>
      <c r="C310">
        <v>12.518119861315901</v>
      </c>
      <c r="D310">
        <v>0</v>
      </c>
      <c r="E310">
        <v>4.6261648439533403</v>
      </c>
      <c r="F310">
        <v>4.3107479905748196</v>
      </c>
      <c r="G310">
        <v>57.695088662913399</v>
      </c>
      <c r="H310">
        <v>22.714197360711101</v>
      </c>
      <c r="I310">
        <v>54.5800064025319</v>
      </c>
      <c r="J310">
        <v>46.069052342321399</v>
      </c>
      <c r="K310">
        <v>45927.6950508749</v>
      </c>
      <c r="L310">
        <v>754.80611149532297</v>
      </c>
      <c r="M310">
        <v>6.5975935228628005E-2</v>
      </c>
      <c r="N310">
        <v>5.6138296233388299E-2</v>
      </c>
      <c r="O310">
        <v>0.75397488465207696</v>
      </c>
      <c r="P310">
        <v>2.8218138795725801E-2</v>
      </c>
      <c r="Q310">
        <v>0.54760016612892004</v>
      </c>
      <c r="R310">
        <v>0</v>
      </c>
      <c r="S310">
        <v>60</v>
      </c>
      <c r="T310">
        <v>50</v>
      </c>
      <c r="U310">
        <v>1304484322.53</v>
      </c>
      <c r="V310">
        <v>28403</v>
      </c>
    </row>
    <row r="311" spans="1:22" x14ac:dyDescent="0.25">
      <c r="A311">
        <v>0.99112755414655096</v>
      </c>
      <c r="B311">
        <v>10.142444352641199</v>
      </c>
      <c r="C311">
        <v>10.4726552627285</v>
      </c>
      <c r="D311">
        <v>0</v>
      </c>
      <c r="E311">
        <v>4.6256168915163798</v>
      </c>
      <c r="F311">
        <v>4.2957974364515197</v>
      </c>
      <c r="G311">
        <v>57.669037302236603</v>
      </c>
      <c r="H311">
        <v>22.525482453289001</v>
      </c>
      <c r="I311">
        <v>58.2156670682335</v>
      </c>
      <c r="J311">
        <v>50.804370958088697</v>
      </c>
      <c r="K311">
        <v>55434.877187001301</v>
      </c>
      <c r="L311">
        <v>752.89035440072405</v>
      </c>
      <c r="M311">
        <v>7.3461766793550307E-2</v>
      </c>
      <c r="N311">
        <v>6.1967238900861997E-2</v>
      </c>
      <c r="O311">
        <v>0.734744495876547</v>
      </c>
      <c r="P311">
        <v>3.1716198735633902E-2</v>
      </c>
      <c r="Q311">
        <v>0.59372053255332202</v>
      </c>
      <c r="R311">
        <v>0</v>
      </c>
      <c r="S311">
        <v>60</v>
      </c>
      <c r="T311">
        <v>60</v>
      </c>
      <c r="U311">
        <v>2570736994.6700001</v>
      </c>
      <c r="V311">
        <v>46374</v>
      </c>
    </row>
    <row r="312" spans="1:22" x14ac:dyDescent="0.25">
      <c r="A312">
        <v>0.99075834979607602</v>
      </c>
      <c r="B312">
        <v>10.543295855774399</v>
      </c>
      <c r="C312">
        <v>10.4476967658389</v>
      </c>
      <c r="D312">
        <v>0</v>
      </c>
      <c r="E312">
        <v>4.6298760742996699</v>
      </c>
      <c r="F312">
        <v>4.2862141012408603</v>
      </c>
      <c r="G312">
        <v>57.6569296965829</v>
      </c>
      <c r="H312">
        <v>22.461134756690601</v>
      </c>
      <c r="I312">
        <v>60.768856294760099</v>
      </c>
      <c r="J312">
        <v>53.773138467459098</v>
      </c>
      <c r="K312">
        <v>65246.994242146102</v>
      </c>
      <c r="L312">
        <v>752.21051023230996</v>
      </c>
      <c r="M312">
        <v>7.5473087968668306E-2</v>
      </c>
      <c r="N312">
        <v>6.4687717687894594E-2</v>
      </c>
      <c r="O312">
        <v>0.71984965859125105</v>
      </c>
      <c r="P312">
        <v>3.53023221362605E-2</v>
      </c>
      <c r="Q312">
        <v>0.61209426178780701</v>
      </c>
      <c r="R312">
        <v>0</v>
      </c>
      <c r="S312">
        <v>60</v>
      </c>
      <c r="T312">
        <v>70</v>
      </c>
      <c r="U312">
        <v>4052034083.4200001</v>
      </c>
      <c r="V312">
        <v>62103</v>
      </c>
    </row>
    <row r="313" spans="1:22" x14ac:dyDescent="0.25">
      <c r="A313">
        <v>0.99047642491112198</v>
      </c>
      <c r="B313">
        <v>10.8482820848643</v>
      </c>
      <c r="C313">
        <v>9.6926438733173192</v>
      </c>
      <c r="D313">
        <v>0</v>
      </c>
      <c r="E313">
        <v>4.6204403927861399</v>
      </c>
      <c r="F313">
        <v>4.2800173720084196</v>
      </c>
      <c r="G313">
        <v>57.642170124765002</v>
      </c>
      <c r="H313">
        <v>21.990686767463401</v>
      </c>
      <c r="I313">
        <v>60.67905347528</v>
      </c>
      <c r="J313">
        <v>54.409094759603398</v>
      </c>
      <c r="K313">
        <v>75183.616586210803</v>
      </c>
      <c r="L313">
        <v>752.99798860811995</v>
      </c>
      <c r="M313">
        <v>8.01597236504039E-2</v>
      </c>
      <c r="N313">
        <v>7.3364008523160107E-2</v>
      </c>
      <c r="O313">
        <v>0.70388257257398001</v>
      </c>
      <c r="P313">
        <v>3.0981363121895901E-2</v>
      </c>
      <c r="Q313">
        <v>0.64077646314376402</v>
      </c>
      <c r="R313">
        <v>0</v>
      </c>
      <c r="S313">
        <v>60</v>
      </c>
      <c r="T313">
        <v>80</v>
      </c>
      <c r="U313">
        <v>5946347419.4200001</v>
      </c>
      <c r="V313">
        <v>79091</v>
      </c>
    </row>
    <row r="314" spans="1:22" x14ac:dyDescent="0.25">
      <c r="A314">
        <v>0.99009375423715096</v>
      </c>
      <c r="B314">
        <v>11.260730239829201</v>
      </c>
      <c r="C314">
        <v>10.054320807741901</v>
      </c>
      <c r="D314">
        <v>0</v>
      </c>
      <c r="E314">
        <v>4.6135016118451704</v>
      </c>
      <c r="F314">
        <v>4.2585531175991402</v>
      </c>
      <c r="G314">
        <v>57.623196659609803</v>
      </c>
      <c r="H314">
        <v>21.915996266854901</v>
      </c>
      <c r="I314">
        <v>63.4333745441632</v>
      </c>
      <c r="J314">
        <v>57.176424827794598</v>
      </c>
      <c r="K314">
        <v>85152.007665712998</v>
      </c>
      <c r="L314">
        <v>752.29580575824798</v>
      </c>
      <c r="M314">
        <v>8.8488606334518397E-2</v>
      </c>
      <c r="N314">
        <v>7.6240229037672205E-2</v>
      </c>
      <c r="O314">
        <v>0.69584435152156598</v>
      </c>
      <c r="P314">
        <v>3.1000393550235199E-2</v>
      </c>
      <c r="Q314">
        <v>0.65326174824348204</v>
      </c>
      <c r="R314">
        <v>0</v>
      </c>
      <c r="S314">
        <v>60</v>
      </c>
      <c r="T314">
        <v>90</v>
      </c>
      <c r="U314">
        <v>7738614456.6599998</v>
      </c>
      <c r="V314">
        <v>90880</v>
      </c>
    </row>
    <row r="315" spans="1:22" x14ac:dyDescent="0.25">
      <c r="A315">
        <v>0.98976937236921003</v>
      </c>
      <c r="B315">
        <v>11.6089832815944</v>
      </c>
      <c r="C315">
        <v>9.9000447986909101</v>
      </c>
      <c r="D315">
        <v>0</v>
      </c>
      <c r="E315">
        <v>4.60362173629815</v>
      </c>
      <c r="F315">
        <v>4.2465997821064603</v>
      </c>
      <c r="G315">
        <v>57.6117420647956</v>
      </c>
      <c r="H315">
        <v>21.572076438485599</v>
      </c>
      <c r="I315">
        <v>63.5434911973989</v>
      </c>
      <c r="J315">
        <v>57.692529498559999</v>
      </c>
      <c r="K315">
        <v>95316.575895905393</v>
      </c>
      <c r="L315">
        <v>754.082309251634</v>
      </c>
      <c r="M315">
        <v>8.4705529457122203E-2</v>
      </c>
      <c r="N315">
        <v>7.9159504174154904E-2</v>
      </c>
      <c r="O315">
        <v>0.66443737061401198</v>
      </c>
      <c r="P315">
        <v>3.1319609755775399E-2</v>
      </c>
      <c r="Q315">
        <v>0.61406478118576602</v>
      </c>
      <c r="R315">
        <v>0</v>
      </c>
      <c r="S315">
        <v>60</v>
      </c>
      <c r="T315">
        <v>100</v>
      </c>
      <c r="U315">
        <v>11178537387.92</v>
      </c>
      <c r="V315">
        <v>117278</v>
      </c>
    </row>
    <row r="316" spans="1:22" x14ac:dyDescent="0.25">
      <c r="A316">
        <v>0.98929397948020303</v>
      </c>
      <c r="B316">
        <v>12.117097207049699</v>
      </c>
      <c r="C316">
        <v>9.8539879620602697</v>
      </c>
      <c r="D316">
        <v>0</v>
      </c>
      <c r="E316">
        <v>4.5979171856570602</v>
      </c>
      <c r="F316">
        <v>4.2263815950400403</v>
      </c>
      <c r="G316">
        <v>57.591589647139102</v>
      </c>
      <c r="H316">
        <v>21.607178637894201</v>
      </c>
      <c r="I316">
        <v>66.137741537944507</v>
      </c>
      <c r="J316">
        <v>60.258258132288702</v>
      </c>
      <c r="K316">
        <v>105021.427580217</v>
      </c>
      <c r="L316">
        <v>751.98892910283905</v>
      </c>
      <c r="M316">
        <v>9.16508351674475E-2</v>
      </c>
      <c r="N316">
        <v>7.8260871256512501E-2</v>
      </c>
      <c r="O316">
        <v>0.65224812058827297</v>
      </c>
      <c r="P316">
        <v>3.0387378220559601E-2</v>
      </c>
      <c r="Q316">
        <v>0.64571206405965398</v>
      </c>
      <c r="R316">
        <v>0</v>
      </c>
      <c r="S316">
        <v>60</v>
      </c>
      <c r="T316">
        <v>110</v>
      </c>
      <c r="U316">
        <v>11318159250.32</v>
      </c>
      <c r="V316">
        <v>107770</v>
      </c>
    </row>
    <row r="317" spans="1:22" x14ac:dyDescent="0.25">
      <c r="A317">
        <v>0.98893147363280098</v>
      </c>
      <c r="B317">
        <v>12.5027533182295</v>
      </c>
      <c r="C317">
        <v>10.9577314961233</v>
      </c>
      <c r="D317">
        <v>0</v>
      </c>
      <c r="E317">
        <v>4.5884888480598196</v>
      </c>
      <c r="F317">
        <v>4.21828283479896</v>
      </c>
      <c r="G317">
        <v>57.592795451185502</v>
      </c>
      <c r="H317">
        <v>21.649894642682501</v>
      </c>
      <c r="I317">
        <v>66.556481442126596</v>
      </c>
      <c r="J317">
        <v>60.637861077763503</v>
      </c>
      <c r="K317">
        <v>115089.226714156</v>
      </c>
      <c r="L317">
        <v>752.93006300624995</v>
      </c>
      <c r="M317">
        <v>9.5972038516397698E-2</v>
      </c>
      <c r="N317">
        <v>7.8328329681540895E-2</v>
      </c>
      <c r="O317">
        <v>0.63796004047106003</v>
      </c>
      <c r="P317">
        <v>2.93773650632147E-2</v>
      </c>
      <c r="Q317">
        <v>0.64279817766588698</v>
      </c>
      <c r="R317">
        <v>0</v>
      </c>
      <c r="S317">
        <v>60</v>
      </c>
      <c r="T317">
        <v>120</v>
      </c>
      <c r="U317">
        <v>12609981303.389999</v>
      </c>
      <c r="V317">
        <v>109567</v>
      </c>
    </row>
    <row r="318" spans="1:22" x14ac:dyDescent="0.25">
      <c r="A318">
        <v>0.98857413600001498</v>
      </c>
      <c r="B318">
        <v>12.881392257982901</v>
      </c>
      <c r="C318">
        <v>10.9695163994199</v>
      </c>
      <c r="D318">
        <v>0</v>
      </c>
      <c r="E318">
        <v>4.5740605051873899</v>
      </c>
      <c r="F318">
        <v>4.20308064119099</v>
      </c>
      <c r="G318">
        <v>57.581298970220601</v>
      </c>
      <c r="H318">
        <v>21.357409624878901</v>
      </c>
      <c r="I318">
        <v>66.903361164315498</v>
      </c>
      <c r="J318">
        <v>61.129401985469002</v>
      </c>
      <c r="K318">
        <v>124927.385682762</v>
      </c>
      <c r="L318">
        <v>753.14401051282596</v>
      </c>
      <c r="M318">
        <v>9.4677959789763205E-2</v>
      </c>
      <c r="N318">
        <v>8.43400027168828E-2</v>
      </c>
      <c r="O318">
        <v>0.62494738072407696</v>
      </c>
      <c r="P318">
        <v>2.98924162988656E-2</v>
      </c>
      <c r="Q318">
        <v>0.64206749252172202</v>
      </c>
      <c r="R318">
        <v>0</v>
      </c>
      <c r="S318">
        <v>60</v>
      </c>
      <c r="T318">
        <v>130</v>
      </c>
      <c r="U318">
        <v>14068822466.049999</v>
      </c>
      <c r="V318">
        <v>112616</v>
      </c>
    </row>
    <row r="319" spans="1:22" x14ac:dyDescent="0.25">
      <c r="A319">
        <v>0.98824384341265203</v>
      </c>
      <c r="B319">
        <v>13.2300375854989</v>
      </c>
      <c r="C319">
        <v>11.6964789478215</v>
      </c>
      <c r="D319">
        <v>0</v>
      </c>
      <c r="E319">
        <v>4.5706954240200801</v>
      </c>
      <c r="F319">
        <v>4.1985533422815502</v>
      </c>
      <c r="G319">
        <v>57.578166805995401</v>
      </c>
      <c r="H319">
        <v>21.364462213936498</v>
      </c>
      <c r="I319">
        <v>67.520695550332704</v>
      </c>
      <c r="J319">
        <v>61.717465777426</v>
      </c>
      <c r="K319">
        <v>134947.895834756</v>
      </c>
      <c r="L319">
        <v>752.95183868997697</v>
      </c>
      <c r="M319">
        <v>9.7115847097822394E-2</v>
      </c>
      <c r="N319">
        <v>8.7095440556862705E-2</v>
      </c>
      <c r="O319">
        <v>0.62263912683428801</v>
      </c>
      <c r="P319">
        <v>3.1319051783468298E-2</v>
      </c>
      <c r="Q319">
        <v>0.65019527452844905</v>
      </c>
      <c r="R319">
        <v>0</v>
      </c>
      <c r="S319">
        <v>60</v>
      </c>
      <c r="T319">
        <v>140</v>
      </c>
      <c r="U319">
        <v>14384636008.610001</v>
      </c>
      <c r="V319">
        <v>106594</v>
      </c>
    </row>
    <row r="320" spans="1:22" x14ac:dyDescent="0.25">
      <c r="A320">
        <v>0.98788390260014503</v>
      </c>
      <c r="B320">
        <v>13.608521847997499</v>
      </c>
      <c r="C320">
        <v>12.338804744059001</v>
      </c>
      <c r="D320">
        <v>0</v>
      </c>
      <c r="E320">
        <v>4.5618320983317302</v>
      </c>
      <c r="F320">
        <v>4.1954620104421201</v>
      </c>
      <c r="G320">
        <v>57.577885536661199</v>
      </c>
      <c r="H320">
        <v>21.106092922408099</v>
      </c>
      <c r="I320">
        <v>66.498605549449806</v>
      </c>
      <c r="J320">
        <v>60.925698179200801</v>
      </c>
      <c r="K320">
        <v>145000.65656216099</v>
      </c>
      <c r="L320">
        <v>753.59793486334797</v>
      </c>
      <c r="M320">
        <v>9.39792906914554E-2</v>
      </c>
      <c r="N320">
        <v>8.7667908679137194E-2</v>
      </c>
      <c r="O320">
        <v>0.607691865148976</v>
      </c>
      <c r="P320">
        <v>3.2712712012735602E-2</v>
      </c>
      <c r="Q320">
        <v>0.64517575355902501</v>
      </c>
      <c r="R320">
        <v>0</v>
      </c>
      <c r="S320">
        <v>60</v>
      </c>
      <c r="T320">
        <v>150</v>
      </c>
      <c r="U320">
        <v>15919187081.99</v>
      </c>
      <c r="V320">
        <v>109787</v>
      </c>
    </row>
    <row r="321" spans="1:22" x14ac:dyDescent="0.25">
      <c r="A321">
        <v>0.98747927519482004</v>
      </c>
      <c r="B321">
        <v>14.032187655673001</v>
      </c>
      <c r="C321">
        <v>13.0969155170405</v>
      </c>
      <c r="D321">
        <v>0</v>
      </c>
      <c r="E321">
        <v>4.5717399981206102</v>
      </c>
      <c r="F321">
        <v>4.1970096111241304</v>
      </c>
      <c r="G321">
        <v>57.573871845007801</v>
      </c>
      <c r="H321">
        <v>21.216405472215602</v>
      </c>
      <c r="I321">
        <v>67.715856857415801</v>
      </c>
      <c r="J321">
        <v>62.1022181677126</v>
      </c>
      <c r="K321">
        <v>154950.64690396699</v>
      </c>
      <c r="L321">
        <v>752.91368878490596</v>
      </c>
      <c r="M321">
        <v>0.10044316608096999</v>
      </c>
      <c r="N321">
        <v>9.0995724486486101E-2</v>
      </c>
      <c r="O321">
        <v>0.60445588437546105</v>
      </c>
      <c r="P321">
        <v>3.0345949598799899E-2</v>
      </c>
      <c r="Q321">
        <v>0.66842377939460595</v>
      </c>
      <c r="R321">
        <v>0</v>
      </c>
      <c r="S321">
        <v>60</v>
      </c>
      <c r="T321">
        <v>160</v>
      </c>
      <c r="U321">
        <v>15375287840.34</v>
      </c>
      <c r="V321">
        <v>99227</v>
      </c>
    </row>
    <row r="322" spans="1:22" x14ac:dyDescent="0.25">
      <c r="A322">
        <v>0.98700822045940495</v>
      </c>
      <c r="B322">
        <v>14.5230066777172</v>
      </c>
      <c r="C322">
        <v>14.2207316919013</v>
      </c>
      <c r="D322">
        <v>0</v>
      </c>
      <c r="E322">
        <v>4.5606809997842701</v>
      </c>
      <c r="F322">
        <v>4.1840995094772797</v>
      </c>
      <c r="G322">
        <v>57.565209168956898</v>
      </c>
      <c r="H322">
        <v>21.225309541575999</v>
      </c>
      <c r="I322">
        <v>68.308856985205097</v>
      </c>
      <c r="J322">
        <v>62.649927439927403</v>
      </c>
      <c r="K322">
        <v>164996.204754818</v>
      </c>
      <c r="L322">
        <v>752.91118507393696</v>
      </c>
      <c r="M322">
        <v>9.8266169894874203E-2</v>
      </c>
      <c r="N322">
        <v>9.2010863035239004E-2</v>
      </c>
      <c r="O322">
        <v>0.59439078949579305</v>
      </c>
      <c r="P322">
        <v>3.4102888259070797E-2</v>
      </c>
      <c r="Q322">
        <v>0.65560797015429595</v>
      </c>
      <c r="R322">
        <v>0</v>
      </c>
      <c r="S322">
        <v>60</v>
      </c>
      <c r="T322">
        <v>170</v>
      </c>
      <c r="U322">
        <v>16043240973.129999</v>
      </c>
      <c r="V322">
        <v>97234</v>
      </c>
    </row>
    <row r="323" spans="1:22" x14ac:dyDescent="0.25">
      <c r="A323">
        <v>0.98172392520866403</v>
      </c>
      <c r="B323">
        <v>19.8557255203491</v>
      </c>
      <c r="C323">
        <v>23.786564930817899</v>
      </c>
      <c r="D323">
        <v>0</v>
      </c>
      <c r="E323">
        <v>4.5131520897382904</v>
      </c>
      <c r="F323">
        <v>4.1404818815200901</v>
      </c>
      <c r="G323">
        <v>57.553291435406898</v>
      </c>
      <c r="H323">
        <v>20.504929485418401</v>
      </c>
      <c r="I323">
        <v>68.834090693793499</v>
      </c>
      <c r="J323">
        <v>63.307253965216901</v>
      </c>
      <c r="K323">
        <v>287623.43721309397</v>
      </c>
      <c r="L323">
        <v>754.00227244983205</v>
      </c>
      <c r="M323">
        <v>0.15283582380469399</v>
      </c>
      <c r="N323">
        <v>9.8328264085712894E-2</v>
      </c>
      <c r="O323">
        <v>0.52102427421179298</v>
      </c>
      <c r="P323">
        <v>6.00416353356732E-2</v>
      </c>
      <c r="Q323">
        <v>0.64414079993415196</v>
      </c>
      <c r="R323">
        <v>0</v>
      </c>
      <c r="S323">
        <v>60</v>
      </c>
      <c r="T323">
        <v>175</v>
      </c>
      <c r="U323">
        <v>379267167271.67999</v>
      </c>
      <c r="V323">
        <v>1318624</v>
      </c>
    </row>
    <row r="324" spans="1:22" x14ac:dyDescent="0.25">
      <c r="A324">
        <v>0.98670130001214895</v>
      </c>
      <c r="B324">
        <v>14.841421227754401</v>
      </c>
      <c r="C324">
        <v>13.879020718782099</v>
      </c>
      <c r="D324">
        <v>0</v>
      </c>
      <c r="E324">
        <v>4.5612377530298396</v>
      </c>
      <c r="F324">
        <v>4.18279857972533</v>
      </c>
      <c r="G324">
        <v>57.5602021875495</v>
      </c>
      <c r="H324">
        <v>21.139680001611701</v>
      </c>
      <c r="I324">
        <v>68.470358540092505</v>
      </c>
      <c r="J324">
        <v>62.844260075626003</v>
      </c>
      <c r="K324">
        <v>172435.15739621501</v>
      </c>
      <c r="L324">
        <v>753.36567901389401</v>
      </c>
      <c r="M324">
        <v>9.5944068243024205E-2</v>
      </c>
      <c r="N324">
        <v>8.9540649297548194E-2</v>
      </c>
      <c r="O324">
        <v>0.58797314845081405</v>
      </c>
      <c r="P324">
        <v>3.4754062647919602E-2</v>
      </c>
      <c r="Q324">
        <v>0.64440116240449496</v>
      </c>
      <c r="R324">
        <v>0</v>
      </c>
      <c r="S324">
        <v>60</v>
      </c>
      <c r="T324">
        <v>180</v>
      </c>
      <c r="U324">
        <v>8365519225.9200001</v>
      </c>
      <c r="V324">
        <v>48514</v>
      </c>
    </row>
    <row r="325" spans="1:22" x14ac:dyDescent="0.25">
      <c r="A325">
        <v>0.99261653271928796</v>
      </c>
      <c r="B325">
        <v>8.5090677699279205</v>
      </c>
      <c r="C325">
        <v>92.129708982054893</v>
      </c>
      <c r="D325">
        <v>0</v>
      </c>
      <c r="E325">
        <v>4.54323759241651</v>
      </c>
      <c r="F325">
        <v>4.2804633390760998</v>
      </c>
      <c r="G325">
        <v>62.639739544524602</v>
      </c>
      <c r="H325">
        <v>22.900434146799299</v>
      </c>
      <c r="I325">
        <v>59.4762598925834</v>
      </c>
      <c r="J325">
        <v>4.4354490492498497</v>
      </c>
      <c r="K325">
        <v>5676.1643624160997</v>
      </c>
      <c r="L325">
        <v>771.69356650284999</v>
      </c>
      <c r="M325">
        <v>4.2860726833813201E-2</v>
      </c>
      <c r="N325">
        <v>6.6148362263112007E-2</v>
      </c>
      <c r="O325">
        <v>0.67173116679167799</v>
      </c>
      <c r="P325">
        <v>3.31252793605342E-2</v>
      </c>
      <c r="Q325">
        <v>0.31827590079410001</v>
      </c>
      <c r="R325">
        <v>0</v>
      </c>
      <c r="S325">
        <v>65</v>
      </c>
      <c r="T325">
        <v>10</v>
      </c>
      <c r="U325">
        <v>3382993.96</v>
      </c>
      <c r="V325">
        <v>596</v>
      </c>
    </row>
    <row r="326" spans="1:22" x14ac:dyDescent="0.25">
      <c r="A326">
        <v>0.99252864229000004</v>
      </c>
      <c r="B326">
        <v>8.6062323308968107</v>
      </c>
      <c r="C326">
        <v>57.385895469140102</v>
      </c>
      <c r="D326">
        <v>0</v>
      </c>
      <c r="E326">
        <v>4.5822282633978304</v>
      </c>
      <c r="F326">
        <v>4.2806347612259001</v>
      </c>
      <c r="G326">
        <v>62.650893262764001</v>
      </c>
      <c r="H326">
        <v>22.183617928301299</v>
      </c>
      <c r="I326">
        <v>57.2950656896694</v>
      </c>
      <c r="J326">
        <v>18.248637451583399</v>
      </c>
      <c r="K326">
        <v>15952.0394006568</v>
      </c>
      <c r="L326">
        <v>762.38268299382105</v>
      </c>
      <c r="M326">
        <v>3.9472008787976097E-2</v>
      </c>
      <c r="N326">
        <v>6.7452373693359699E-2</v>
      </c>
      <c r="O326">
        <v>0.71444895408694697</v>
      </c>
      <c r="P326">
        <v>2.1095746064916099E-2</v>
      </c>
      <c r="Q326">
        <v>0.30049814000160602</v>
      </c>
      <c r="R326">
        <v>0</v>
      </c>
      <c r="S326">
        <v>65</v>
      </c>
      <c r="T326">
        <v>20</v>
      </c>
      <c r="U326">
        <v>19429583.989999998</v>
      </c>
      <c r="V326">
        <v>1218</v>
      </c>
    </row>
    <row r="327" spans="1:22" x14ac:dyDescent="0.25">
      <c r="A327">
        <v>0.99213889444779002</v>
      </c>
      <c r="B327">
        <v>9.03596735029436</v>
      </c>
      <c r="C327">
        <v>25.828607913205399</v>
      </c>
      <c r="D327">
        <v>0</v>
      </c>
      <c r="E327">
        <v>4.6392479517670999</v>
      </c>
      <c r="F327">
        <v>4.2789404186582001</v>
      </c>
      <c r="G327">
        <v>62.605429030602799</v>
      </c>
      <c r="H327">
        <v>22.270113246167799</v>
      </c>
      <c r="I327">
        <v>54.471101812710799</v>
      </c>
      <c r="J327">
        <v>36.793490048288398</v>
      </c>
      <c r="K327">
        <v>26295.832315283998</v>
      </c>
      <c r="L327">
        <v>752.12694797286099</v>
      </c>
      <c r="M327">
        <v>4.3740903240142202E-2</v>
      </c>
      <c r="N327">
        <v>3.3630056459787602E-2</v>
      </c>
      <c r="O327">
        <v>0.79931132316821096</v>
      </c>
      <c r="P327">
        <v>2.99806216179276E-2</v>
      </c>
      <c r="Q327">
        <v>0.39535922775409699</v>
      </c>
      <c r="R327">
        <v>0</v>
      </c>
      <c r="S327">
        <v>65</v>
      </c>
      <c r="T327">
        <v>30</v>
      </c>
      <c r="U327">
        <v>98583075.349999994</v>
      </c>
      <c r="V327">
        <v>3749</v>
      </c>
    </row>
    <row r="328" spans="1:22" x14ac:dyDescent="0.25">
      <c r="A328">
        <v>0.99173060550014303</v>
      </c>
      <c r="B328">
        <v>9.4841585879103008</v>
      </c>
      <c r="C328">
        <v>19.7020644833283</v>
      </c>
      <c r="D328">
        <v>0</v>
      </c>
      <c r="E328">
        <v>4.6480662233845402</v>
      </c>
      <c r="F328">
        <v>4.2678567199741302</v>
      </c>
      <c r="G328">
        <v>62.586796048330001</v>
      </c>
      <c r="H328">
        <v>22.0270200018292</v>
      </c>
      <c r="I328">
        <v>56.0789213800971</v>
      </c>
      <c r="J328">
        <v>45.579576707268899</v>
      </c>
      <c r="K328">
        <v>35960.225987020502</v>
      </c>
      <c r="L328">
        <v>751.029809298896</v>
      </c>
      <c r="M328">
        <v>5.78958765306338E-2</v>
      </c>
      <c r="N328">
        <v>4.19441719825802E-2</v>
      </c>
      <c r="O328">
        <v>0.78372537493272698</v>
      </c>
      <c r="P328">
        <v>2.7025454008650002E-2</v>
      </c>
      <c r="Q328">
        <v>0.451069441298796</v>
      </c>
      <c r="R328">
        <v>0</v>
      </c>
      <c r="S328">
        <v>65</v>
      </c>
      <c r="T328">
        <v>40</v>
      </c>
      <c r="U328">
        <v>371253373.08999997</v>
      </c>
      <c r="V328">
        <v>10324</v>
      </c>
    </row>
    <row r="329" spans="1:22" x14ac:dyDescent="0.25">
      <c r="A329">
        <v>0.99115314161557699</v>
      </c>
      <c r="B329">
        <v>10.1146026818935</v>
      </c>
      <c r="C329">
        <v>12.5244568838063</v>
      </c>
      <c r="D329">
        <v>0</v>
      </c>
      <c r="E329">
        <v>4.6447855494398302</v>
      </c>
      <c r="F329">
        <v>4.2636147957244397</v>
      </c>
      <c r="G329">
        <v>62.575862496151402</v>
      </c>
      <c r="H329">
        <v>22.117999801961499</v>
      </c>
      <c r="I329">
        <v>56.698285294733303</v>
      </c>
      <c r="J329">
        <v>49.000032708585401</v>
      </c>
      <c r="K329">
        <v>45902.776003808198</v>
      </c>
      <c r="L329">
        <v>749.97651548152101</v>
      </c>
      <c r="M329">
        <v>6.6132408667374395E-2</v>
      </c>
      <c r="N329">
        <v>5.74315883871786E-2</v>
      </c>
      <c r="O329">
        <v>0.75803964768660703</v>
      </c>
      <c r="P329">
        <v>2.9101683211296601E-2</v>
      </c>
      <c r="Q329">
        <v>0.54859159976967298</v>
      </c>
      <c r="R329">
        <v>0</v>
      </c>
      <c r="S329">
        <v>65</v>
      </c>
      <c r="T329">
        <v>50</v>
      </c>
      <c r="U329">
        <v>1108919262.7</v>
      </c>
      <c r="V329">
        <v>24158</v>
      </c>
    </row>
    <row r="330" spans="1:22" x14ac:dyDescent="0.25">
      <c r="A330">
        <v>0.99064815812935703</v>
      </c>
      <c r="B330">
        <v>10.6626148287435</v>
      </c>
      <c r="C330">
        <v>10.8097661645182</v>
      </c>
      <c r="D330">
        <v>0</v>
      </c>
      <c r="E330">
        <v>4.6547747479784798</v>
      </c>
      <c r="F330">
        <v>4.2547158924589104</v>
      </c>
      <c r="G330">
        <v>62.595185864407298</v>
      </c>
      <c r="H330">
        <v>22.0280801928667</v>
      </c>
      <c r="I330">
        <v>60.531384645508197</v>
      </c>
      <c r="J330">
        <v>53.734095222667499</v>
      </c>
      <c r="K330">
        <v>55448.6471115272</v>
      </c>
      <c r="L330">
        <v>747.275082812954</v>
      </c>
      <c r="M330">
        <v>7.10303632749235E-2</v>
      </c>
      <c r="N330">
        <v>6.6350976365277106E-2</v>
      </c>
      <c r="O330">
        <v>0.73611640878611195</v>
      </c>
      <c r="P330">
        <v>3.5364668515643002E-2</v>
      </c>
      <c r="Q330">
        <v>0.577512949687224</v>
      </c>
      <c r="R330">
        <v>0</v>
      </c>
      <c r="S330">
        <v>65</v>
      </c>
      <c r="T330">
        <v>60</v>
      </c>
      <c r="U330">
        <v>2250216997.0799999</v>
      </c>
      <c r="V330">
        <v>40582</v>
      </c>
    </row>
    <row r="331" spans="1:22" x14ac:dyDescent="0.25">
      <c r="A331">
        <v>0.99017421166490005</v>
      </c>
      <c r="B331">
        <v>11.174157525569001</v>
      </c>
      <c r="C331">
        <v>9.8354296521888696</v>
      </c>
      <c r="D331">
        <v>0</v>
      </c>
      <c r="E331">
        <v>4.6616895535752603</v>
      </c>
      <c r="F331">
        <v>4.2494477525351604</v>
      </c>
      <c r="G331">
        <v>62.596134269631499</v>
      </c>
      <c r="H331">
        <v>21.948067403327801</v>
      </c>
      <c r="I331">
        <v>62.494735863971201</v>
      </c>
      <c r="J331">
        <v>56.1899589653462</v>
      </c>
      <c r="K331">
        <v>65252.260814031397</v>
      </c>
      <c r="L331">
        <v>747.170223268428</v>
      </c>
      <c r="M331">
        <v>7.5452929947421504E-2</v>
      </c>
      <c r="N331">
        <v>6.5968923256224707E-2</v>
      </c>
      <c r="O331">
        <v>0.72255772739193103</v>
      </c>
      <c r="P331">
        <v>3.6002599252331201E-2</v>
      </c>
      <c r="Q331">
        <v>0.59938573741532297</v>
      </c>
      <c r="R331">
        <v>0</v>
      </c>
      <c r="S331">
        <v>65</v>
      </c>
      <c r="T331">
        <v>70</v>
      </c>
      <c r="U331">
        <v>3603164589.8899999</v>
      </c>
      <c r="V331">
        <v>55219</v>
      </c>
    </row>
    <row r="332" spans="1:22" x14ac:dyDescent="0.25">
      <c r="A332">
        <v>0.98981081507010105</v>
      </c>
      <c r="B332">
        <v>11.564560736946101</v>
      </c>
      <c r="C332">
        <v>9.9600977108534501</v>
      </c>
      <c r="D332">
        <v>0</v>
      </c>
      <c r="E332">
        <v>4.65961026620033</v>
      </c>
      <c r="F332">
        <v>4.2431289701748698</v>
      </c>
      <c r="G332">
        <v>62.590622196298902</v>
      </c>
      <c r="H332">
        <v>21.272962608329699</v>
      </c>
      <c r="I332">
        <v>62.448906526779403</v>
      </c>
      <c r="J332">
        <v>56.9583562514226</v>
      </c>
      <c r="K332">
        <v>75187.857935310196</v>
      </c>
      <c r="L332">
        <v>748.44999822368698</v>
      </c>
      <c r="M332">
        <v>8.06838036251524E-2</v>
      </c>
      <c r="N332">
        <v>7.0541661443637396E-2</v>
      </c>
      <c r="O332">
        <v>0.70631860392104695</v>
      </c>
      <c r="P332">
        <v>3.4673189403064901E-2</v>
      </c>
      <c r="Q332">
        <v>0.63685800130020898</v>
      </c>
      <c r="R332">
        <v>0</v>
      </c>
      <c r="S332">
        <v>65</v>
      </c>
      <c r="T332">
        <v>80</v>
      </c>
      <c r="U332">
        <v>5281420704.9499998</v>
      </c>
      <c r="V332">
        <v>70243</v>
      </c>
    </row>
    <row r="333" spans="1:22" x14ac:dyDescent="0.25">
      <c r="A333">
        <v>0.98935609237968403</v>
      </c>
      <c r="B333">
        <v>12.050861519107601</v>
      </c>
      <c r="C333">
        <v>10.7411695603456</v>
      </c>
      <c r="D333">
        <v>0</v>
      </c>
      <c r="E333">
        <v>4.6580034726688604</v>
      </c>
      <c r="F333">
        <v>4.2272615074889996</v>
      </c>
      <c r="G333">
        <v>62.602069623405697</v>
      </c>
      <c r="H333">
        <v>21.370401147957399</v>
      </c>
      <c r="I333">
        <v>65.083155943837099</v>
      </c>
      <c r="J333">
        <v>59.591395005705998</v>
      </c>
      <c r="K333">
        <v>85190.033528645901</v>
      </c>
      <c r="L333">
        <v>748.58044766317698</v>
      </c>
      <c r="M333">
        <v>8.8983164961900799E-2</v>
      </c>
      <c r="N333">
        <v>7.3946813591608304E-2</v>
      </c>
      <c r="O333">
        <v>0.69756557215636905</v>
      </c>
      <c r="P333">
        <v>3.2942725616525802E-2</v>
      </c>
      <c r="Q333">
        <v>0.64179046975457099</v>
      </c>
      <c r="R333">
        <v>0</v>
      </c>
      <c r="S333">
        <v>65</v>
      </c>
      <c r="T333">
        <v>90</v>
      </c>
      <c r="U333">
        <v>7002024425.8199997</v>
      </c>
      <c r="V333">
        <v>82193</v>
      </c>
    </row>
    <row r="334" spans="1:22" x14ac:dyDescent="0.25">
      <c r="A334">
        <v>0.988961286223344</v>
      </c>
      <c r="B334">
        <v>12.4710954870507</v>
      </c>
      <c r="C334">
        <v>10.505234828180299</v>
      </c>
      <c r="D334">
        <v>0</v>
      </c>
      <c r="E334">
        <v>4.6468579091656501</v>
      </c>
      <c r="F334">
        <v>4.2160332819766602</v>
      </c>
      <c r="G334">
        <v>62.605580824035499</v>
      </c>
      <c r="H334">
        <v>21.082665135272801</v>
      </c>
      <c r="I334">
        <v>65.237520100827098</v>
      </c>
      <c r="J334">
        <v>60.029450058713302</v>
      </c>
      <c r="K334">
        <v>95316.242042989499</v>
      </c>
      <c r="L334">
        <v>750.60043059685802</v>
      </c>
      <c r="M334">
        <v>8.3318627513574203E-2</v>
      </c>
      <c r="N334">
        <v>7.6899414053760801E-2</v>
      </c>
      <c r="O334">
        <v>0.66623391103331298</v>
      </c>
      <c r="P334">
        <v>3.2578568310269201E-2</v>
      </c>
      <c r="Q334">
        <v>0.607258941774108</v>
      </c>
      <c r="R334">
        <v>0</v>
      </c>
      <c r="S334">
        <v>65</v>
      </c>
      <c r="T334">
        <v>100</v>
      </c>
      <c r="U334">
        <v>10168050752.42</v>
      </c>
      <c r="V334">
        <v>106677</v>
      </c>
    </row>
    <row r="335" spans="1:22" x14ac:dyDescent="0.25">
      <c r="A335">
        <v>0.98843835565476501</v>
      </c>
      <c r="B335">
        <v>13.0248723964808</v>
      </c>
      <c r="C335">
        <v>10.823357686798801</v>
      </c>
      <c r="D335">
        <v>0</v>
      </c>
      <c r="E335">
        <v>4.64759058981255</v>
      </c>
      <c r="F335">
        <v>4.2006832719768399</v>
      </c>
      <c r="G335">
        <v>62.602546516641503</v>
      </c>
      <c r="H335">
        <v>21.146214326770199</v>
      </c>
      <c r="I335">
        <v>67.6570379189221</v>
      </c>
      <c r="J335">
        <v>62.393165908559098</v>
      </c>
      <c r="K335">
        <v>105038.75258103501</v>
      </c>
      <c r="L335">
        <v>748.85989202598103</v>
      </c>
      <c r="M335">
        <v>9.3068349901550898E-2</v>
      </c>
      <c r="N335">
        <v>7.57283390859501E-2</v>
      </c>
      <c r="O335">
        <v>0.65006415814981999</v>
      </c>
      <c r="P335">
        <v>3.0365752532062699E-2</v>
      </c>
      <c r="Q335">
        <v>0.62428972148446404</v>
      </c>
      <c r="R335">
        <v>0</v>
      </c>
      <c r="S335">
        <v>65</v>
      </c>
      <c r="T335">
        <v>110</v>
      </c>
      <c r="U335">
        <v>10418268674.75</v>
      </c>
      <c r="V335">
        <v>99185</v>
      </c>
    </row>
    <row r="336" spans="1:22" x14ac:dyDescent="0.25">
      <c r="A336">
        <v>0.98801279614770499</v>
      </c>
      <c r="B336">
        <v>13.473162237328101</v>
      </c>
      <c r="C336">
        <v>10.715610364480501</v>
      </c>
      <c r="D336">
        <v>0</v>
      </c>
      <c r="E336">
        <v>4.6327474771220398</v>
      </c>
      <c r="F336">
        <v>4.1906873002510903</v>
      </c>
      <c r="G336">
        <v>62.615028125028203</v>
      </c>
      <c r="H336">
        <v>21.231018043939802</v>
      </c>
      <c r="I336">
        <v>68.008273462447093</v>
      </c>
      <c r="J336">
        <v>62.6761764871327</v>
      </c>
      <c r="K336">
        <v>115069.646901806</v>
      </c>
      <c r="L336">
        <v>750.07702866887405</v>
      </c>
      <c r="M336">
        <v>9.3024972666358202E-2</v>
      </c>
      <c r="N336">
        <v>7.7359289601176495E-2</v>
      </c>
      <c r="O336">
        <v>0.63486989248592396</v>
      </c>
      <c r="P336">
        <v>3.0311003274639502E-2</v>
      </c>
      <c r="Q336">
        <v>0.623956388407926</v>
      </c>
      <c r="R336">
        <v>0</v>
      </c>
      <c r="S336">
        <v>65</v>
      </c>
      <c r="T336">
        <v>120</v>
      </c>
      <c r="U336">
        <v>11606154725.809999</v>
      </c>
      <c r="V336">
        <v>100862</v>
      </c>
    </row>
    <row r="337" spans="1:22" x14ac:dyDescent="0.25">
      <c r="A337">
        <v>0.98760748065260895</v>
      </c>
      <c r="B337">
        <v>13.8981564927133</v>
      </c>
      <c r="C337">
        <v>12.1223706843406</v>
      </c>
      <c r="D337">
        <v>0</v>
      </c>
      <c r="E337">
        <v>4.6225678657510096</v>
      </c>
      <c r="F337">
        <v>4.18025200146558</v>
      </c>
      <c r="G337">
        <v>62.603537079073497</v>
      </c>
      <c r="H337">
        <v>21.0166869974299</v>
      </c>
      <c r="I337">
        <v>68.386470281079298</v>
      </c>
      <c r="J337">
        <v>63.1255553884913</v>
      </c>
      <c r="K337">
        <v>124949.60492364199</v>
      </c>
      <c r="L337">
        <v>750.33059463731695</v>
      </c>
      <c r="M337">
        <v>9.4823632009945397E-2</v>
      </c>
      <c r="N337">
        <v>8.1549557138528905E-2</v>
      </c>
      <c r="O337">
        <v>0.62478176739439595</v>
      </c>
      <c r="P337">
        <v>3.0931067356762001E-2</v>
      </c>
      <c r="Q337">
        <v>0.62662470316133001</v>
      </c>
      <c r="R337">
        <v>0</v>
      </c>
      <c r="S337">
        <v>65</v>
      </c>
      <c r="T337">
        <v>130</v>
      </c>
      <c r="U337">
        <v>13041989862.719999</v>
      </c>
      <c r="V337">
        <v>104378</v>
      </c>
    </row>
    <row r="338" spans="1:22" x14ac:dyDescent="0.25">
      <c r="A338">
        <v>0.98720950819589504</v>
      </c>
      <c r="B338">
        <v>14.3135885771365</v>
      </c>
      <c r="C338">
        <v>13.0353734338617</v>
      </c>
      <c r="D338">
        <v>0</v>
      </c>
      <c r="E338">
        <v>4.6153810092290497</v>
      </c>
      <c r="F338">
        <v>4.1726908703164698</v>
      </c>
      <c r="G338">
        <v>62.597881499060499</v>
      </c>
      <c r="H338">
        <v>21.017107810888401</v>
      </c>
      <c r="I338">
        <v>68.891392080317004</v>
      </c>
      <c r="J338">
        <v>63.578358104966703</v>
      </c>
      <c r="K338">
        <v>134937.14419000599</v>
      </c>
      <c r="L338">
        <v>750.50075047803398</v>
      </c>
      <c r="M338">
        <v>9.8328264190157194E-2</v>
      </c>
      <c r="N338">
        <v>8.3618555210885404E-2</v>
      </c>
      <c r="O338">
        <v>0.620005994511313</v>
      </c>
      <c r="P338">
        <v>3.2078319908984097E-2</v>
      </c>
      <c r="Q338">
        <v>0.63310301562114302</v>
      </c>
      <c r="R338">
        <v>0</v>
      </c>
      <c r="S338">
        <v>65</v>
      </c>
      <c r="T338">
        <v>140</v>
      </c>
      <c r="U338">
        <v>13470505230.200001</v>
      </c>
      <c r="V338">
        <v>99828</v>
      </c>
    </row>
    <row r="339" spans="1:22" x14ac:dyDescent="0.25">
      <c r="A339">
        <v>0.98678154823093001</v>
      </c>
      <c r="B339">
        <v>14.758272879368</v>
      </c>
      <c r="C339">
        <v>13.489916916488999</v>
      </c>
      <c r="D339">
        <v>0</v>
      </c>
      <c r="E339">
        <v>4.6103631103670697</v>
      </c>
      <c r="F339">
        <v>4.1717674055736902</v>
      </c>
      <c r="G339">
        <v>62.603041336747999</v>
      </c>
      <c r="H339">
        <v>20.795655999105499</v>
      </c>
      <c r="I339">
        <v>67.717246746070501</v>
      </c>
      <c r="J339">
        <v>62.648289668072501</v>
      </c>
      <c r="K339">
        <v>144993.58386508099</v>
      </c>
      <c r="L339">
        <v>750.99483651882099</v>
      </c>
      <c r="M339">
        <v>9.6087380091040994E-2</v>
      </c>
      <c r="N339">
        <v>8.4523990290525097E-2</v>
      </c>
      <c r="O339">
        <v>0.60969002983641296</v>
      </c>
      <c r="P339">
        <v>3.3080514801454797E-2</v>
      </c>
      <c r="Q339">
        <v>0.63590104937418501</v>
      </c>
      <c r="R339">
        <v>0</v>
      </c>
      <c r="S339">
        <v>65</v>
      </c>
      <c r="T339">
        <v>150</v>
      </c>
      <c r="U339">
        <v>14667115963.040001</v>
      </c>
      <c r="V339">
        <v>101157</v>
      </c>
    </row>
    <row r="340" spans="1:22" x14ac:dyDescent="0.25">
      <c r="A340">
        <v>0.98632688598461504</v>
      </c>
      <c r="B340">
        <v>15.2283846150951</v>
      </c>
      <c r="C340">
        <v>14.167923057817299</v>
      </c>
      <c r="D340">
        <v>0</v>
      </c>
      <c r="E340">
        <v>4.6186291838661102</v>
      </c>
      <c r="F340">
        <v>4.1730020084019701</v>
      </c>
      <c r="G340">
        <v>62.601575840351501</v>
      </c>
      <c r="H340">
        <v>20.911642909059999</v>
      </c>
      <c r="I340">
        <v>68.957213226959496</v>
      </c>
      <c r="J340">
        <v>63.866368899974397</v>
      </c>
      <c r="K340">
        <v>154959.135759653</v>
      </c>
      <c r="L340">
        <v>750.35217596457699</v>
      </c>
      <c r="M340">
        <v>0.101015343408165</v>
      </c>
      <c r="N340">
        <v>8.8128330326487495E-2</v>
      </c>
      <c r="O340">
        <v>0.60114290014530003</v>
      </c>
      <c r="P340">
        <v>3.0956323715133901E-2</v>
      </c>
      <c r="Q340">
        <v>0.65611821231259504</v>
      </c>
      <c r="R340">
        <v>0</v>
      </c>
      <c r="S340">
        <v>65</v>
      </c>
      <c r="T340">
        <v>160</v>
      </c>
      <c r="U340">
        <v>14218895338.17</v>
      </c>
      <c r="V340">
        <v>91759</v>
      </c>
    </row>
    <row r="341" spans="1:22" x14ac:dyDescent="0.25">
      <c r="A341">
        <v>0.98583836768536304</v>
      </c>
      <c r="B341">
        <v>15.730853243104301</v>
      </c>
      <c r="C341">
        <v>14.4351719715941</v>
      </c>
      <c r="D341">
        <v>0</v>
      </c>
      <c r="E341">
        <v>4.6082982220129596</v>
      </c>
      <c r="F341">
        <v>4.1612056239860502</v>
      </c>
      <c r="G341">
        <v>62.605625054593602</v>
      </c>
      <c r="H341">
        <v>20.947227226961001</v>
      </c>
      <c r="I341">
        <v>69.458796804859006</v>
      </c>
      <c r="J341">
        <v>64.316060914796594</v>
      </c>
      <c r="K341">
        <v>165031.24456526799</v>
      </c>
      <c r="L341">
        <v>750.59091788054297</v>
      </c>
      <c r="M341">
        <v>0.100972594358632</v>
      </c>
      <c r="N341">
        <v>8.6640705603375695E-2</v>
      </c>
      <c r="O341">
        <v>0.59414301229827704</v>
      </c>
      <c r="P341">
        <v>3.38218397301321E-2</v>
      </c>
      <c r="Q341">
        <v>0.641874310762792</v>
      </c>
      <c r="R341">
        <v>0</v>
      </c>
      <c r="S341">
        <v>65</v>
      </c>
      <c r="T341">
        <v>170</v>
      </c>
      <c r="U341">
        <v>14818320480.76</v>
      </c>
      <c r="V341">
        <v>89791</v>
      </c>
    </row>
    <row r="342" spans="1:22" x14ac:dyDescent="0.25">
      <c r="A342">
        <v>0.98009858652802595</v>
      </c>
      <c r="B342">
        <v>21.4335456073382</v>
      </c>
      <c r="C342">
        <v>25.0032257023989</v>
      </c>
      <c r="D342">
        <v>0</v>
      </c>
      <c r="E342">
        <v>4.5661879201505702</v>
      </c>
      <c r="F342">
        <v>4.1260866876942499</v>
      </c>
      <c r="G342">
        <v>62.601535410148998</v>
      </c>
      <c r="H342">
        <v>20.486829078712599</v>
      </c>
      <c r="I342">
        <v>69.773142686497394</v>
      </c>
      <c r="J342">
        <v>64.673591801802104</v>
      </c>
      <c r="K342">
        <v>287091.22681109997</v>
      </c>
      <c r="L342">
        <v>752.31453071360795</v>
      </c>
      <c r="M342">
        <v>0.15287753929214401</v>
      </c>
      <c r="N342">
        <v>9.2523681761245993E-2</v>
      </c>
      <c r="O342">
        <v>0.52468673712703895</v>
      </c>
      <c r="P342">
        <v>6.3476762921548704E-2</v>
      </c>
      <c r="Q342">
        <v>0.62825406775766002</v>
      </c>
      <c r="R342">
        <v>0</v>
      </c>
      <c r="S342">
        <v>65</v>
      </c>
      <c r="T342">
        <v>175</v>
      </c>
      <c r="U342">
        <v>350225458499.13</v>
      </c>
      <c r="V342">
        <v>1219910</v>
      </c>
    </row>
    <row r="343" spans="1:22" x14ac:dyDescent="0.25">
      <c r="A343">
        <v>0.98545702607726104</v>
      </c>
      <c r="B343">
        <v>16.121185608680399</v>
      </c>
      <c r="C343">
        <v>14.636025809855701</v>
      </c>
      <c r="D343">
        <v>0</v>
      </c>
      <c r="E343">
        <v>4.6019230465456999</v>
      </c>
      <c r="F343">
        <v>4.1549403166292</v>
      </c>
      <c r="G343">
        <v>62.604488630603903</v>
      </c>
      <c r="H343">
        <v>20.865713484160601</v>
      </c>
      <c r="I343">
        <v>69.713859810011101</v>
      </c>
      <c r="J343">
        <v>64.562723333727703</v>
      </c>
      <c r="K343">
        <v>172454.42198399201</v>
      </c>
      <c r="L343">
        <v>751.76134358620197</v>
      </c>
      <c r="M343">
        <v>9.94456702953503E-2</v>
      </c>
      <c r="N343">
        <v>8.55348665491346E-2</v>
      </c>
      <c r="O343">
        <v>0.58673591835899597</v>
      </c>
      <c r="P343">
        <v>3.29809313717144E-2</v>
      </c>
      <c r="Q343">
        <v>0.62498517372869999</v>
      </c>
      <c r="R343">
        <v>0</v>
      </c>
      <c r="S343">
        <v>65</v>
      </c>
      <c r="T343">
        <v>180</v>
      </c>
      <c r="U343">
        <v>7756999900.8400002</v>
      </c>
      <c r="V343">
        <v>44980</v>
      </c>
    </row>
    <row r="344" spans="1:22" x14ac:dyDescent="0.25">
      <c r="A344">
        <v>0.99293691423770603</v>
      </c>
      <c r="B344">
        <v>8.1540775757111401</v>
      </c>
      <c r="C344">
        <v>90.878911894822096</v>
      </c>
      <c r="D344">
        <v>0</v>
      </c>
      <c r="E344">
        <v>4.5546580039908999</v>
      </c>
      <c r="F344">
        <v>4.2104698865492098</v>
      </c>
      <c r="G344">
        <v>67.643617555300693</v>
      </c>
      <c r="H344">
        <v>21.720739244674899</v>
      </c>
      <c r="I344">
        <v>60.234462965813599</v>
      </c>
      <c r="J344">
        <v>4.5940173751123803</v>
      </c>
      <c r="K344">
        <v>5691.0494680850998</v>
      </c>
      <c r="L344">
        <v>773.44482164493695</v>
      </c>
      <c r="M344">
        <v>3.3992608587598297E-2</v>
      </c>
      <c r="N344">
        <v>5.2887573647047201E-2</v>
      </c>
      <c r="O344">
        <v>0.662937375315518</v>
      </c>
      <c r="P344">
        <v>3.6043362105338997E-2</v>
      </c>
      <c r="Q344">
        <v>0.26829309455350703</v>
      </c>
      <c r="R344">
        <v>0</v>
      </c>
      <c r="S344">
        <v>70</v>
      </c>
      <c r="T344">
        <v>10</v>
      </c>
      <c r="U344">
        <v>3209751.9</v>
      </c>
      <c r="V344">
        <v>564</v>
      </c>
    </row>
    <row r="345" spans="1:22" x14ac:dyDescent="0.25">
      <c r="A345">
        <v>0.99283274296860302</v>
      </c>
      <c r="B345">
        <v>8.2696400533664498</v>
      </c>
      <c r="C345">
        <v>59.169828069236601</v>
      </c>
      <c r="D345">
        <v>0</v>
      </c>
      <c r="E345">
        <v>4.6470371999919404</v>
      </c>
      <c r="F345">
        <v>4.2670083770620399</v>
      </c>
      <c r="G345">
        <v>67.589865301541593</v>
      </c>
      <c r="H345">
        <v>21.886400062511299</v>
      </c>
      <c r="I345">
        <v>56.492648476546002</v>
      </c>
      <c r="J345">
        <v>18.075421110135199</v>
      </c>
      <c r="K345">
        <v>15980.1758890701</v>
      </c>
      <c r="L345">
        <v>764.89743039719804</v>
      </c>
      <c r="M345">
        <v>3.90758938923573E-2</v>
      </c>
      <c r="N345">
        <v>5.2807848233804001E-2</v>
      </c>
      <c r="O345">
        <v>0.70852835022910698</v>
      </c>
      <c r="P345">
        <v>2.0062171096488099E-2</v>
      </c>
      <c r="Q345">
        <v>0.29279286670257798</v>
      </c>
      <c r="R345">
        <v>0</v>
      </c>
      <c r="S345">
        <v>70</v>
      </c>
      <c r="T345">
        <v>20</v>
      </c>
      <c r="U345">
        <v>19591695.640000001</v>
      </c>
      <c r="V345">
        <v>1226</v>
      </c>
    </row>
    <row r="346" spans="1:22" x14ac:dyDescent="0.25">
      <c r="A346">
        <v>0.992341019286342</v>
      </c>
      <c r="B346">
        <v>8.8133367565212399</v>
      </c>
      <c r="C346">
        <v>29.2526349493832</v>
      </c>
      <c r="D346">
        <v>0</v>
      </c>
      <c r="E346">
        <v>4.6936092485068803</v>
      </c>
      <c r="F346">
        <v>4.2699549952597504</v>
      </c>
      <c r="G346">
        <v>67.5332883371604</v>
      </c>
      <c r="H346">
        <v>21.781350222855199</v>
      </c>
      <c r="I346">
        <v>54.130344718530097</v>
      </c>
      <c r="J346">
        <v>35.726920384011599</v>
      </c>
      <c r="K346">
        <v>26102.097829092902</v>
      </c>
      <c r="L346">
        <v>753.90199072506402</v>
      </c>
      <c r="M346">
        <v>4.3235757365662597E-2</v>
      </c>
      <c r="N346">
        <v>3.9169647446500797E-2</v>
      </c>
      <c r="O346">
        <v>0.77998927845517296</v>
      </c>
      <c r="P346">
        <v>2.5655359903765398E-2</v>
      </c>
      <c r="Q346">
        <v>0.38710735535104801</v>
      </c>
      <c r="R346">
        <v>0</v>
      </c>
      <c r="S346">
        <v>70</v>
      </c>
      <c r="T346">
        <v>30</v>
      </c>
      <c r="U346">
        <v>94385185.75</v>
      </c>
      <c r="V346">
        <v>3616</v>
      </c>
    </row>
    <row r="347" spans="1:22" x14ac:dyDescent="0.25">
      <c r="A347">
        <v>0.99180885783241302</v>
      </c>
      <c r="B347">
        <v>9.3984157417463106</v>
      </c>
      <c r="C347">
        <v>17.6702970197667</v>
      </c>
      <c r="D347">
        <v>0</v>
      </c>
      <c r="E347">
        <v>4.6975760925094203</v>
      </c>
      <c r="F347">
        <v>4.2621506243216301</v>
      </c>
      <c r="G347">
        <v>67.542541547123804</v>
      </c>
      <c r="H347">
        <v>21.6159110352935</v>
      </c>
      <c r="I347">
        <v>55.877885769410902</v>
      </c>
      <c r="J347">
        <v>45.323780375868303</v>
      </c>
      <c r="K347">
        <v>36028.544063629</v>
      </c>
      <c r="L347">
        <v>750.99521666265002</v>
      </c>
      <c r="M347">
        <v>5.3508321582860001E-2</v>
      </c>
      <c r="N347">
        <v>4.7978824841906603E-2</v>
      </c>
      <c r="O347">
        <v>0.75712950688506897</v>
      </c>
      <c r="P347">
        <v>2.8152507915603298E-2</v>
      </c>
      <c r="Q347">
        <v>0.44094592854714898</v>
      </c>
      <c r="R347">
        <v>0</v>
      </c>
      <c r="S347">
        <v>70</v>
      </c>
      <c r="T347">
        <v>40</v>
      </c>
      <c r="U347">
        <v>358988413.05000001</v>
      </c>
      <c r="V347">
        <v>9964</v>
      </c>
    </row>
    <row r="348" spans="1:22" x14ac:dyDescent="0.25">
      <c r="A348">
        <v>0.99116695275442501</v>
      </c>
      <c r="B348">
        <v>10.099571525194699</v>
      </c>
      <c r="C348">
        <v>11.300505230235901</v>
      </c>
      <c r="D348">
        <v>0</v>
      </c>
      <c r="E348">
        <v>4.6910433404002196</v>
      </c>
      <c r="F348">
        <v>4.25298602231718</v>
      </c>
      <c r="G348">
        <v>67.529406945071798</v>
      </c>
      <c r="H348">
        <v>21.783227387662102</v>
      </c>
      <c r="I348">
        <v>56.5370300234853</v>
      </c>
      <c r="J348">
        <v>49.054986160563899</v>
      </c>
      <c r="K348">
        <v>45986.246671191402</v>
      </c>
      <c r="L348">
        <v>750.58391411046398</v>
      </c>
      <c r="M348">
        <v>5.9643324191444302E-2</v>
      </c>
      <c r="N348">
        <v>6.3184779597723201E-2</v>
      </c>
      <c r="O348">
        <v>0.72778372785084799</v>
      </c>
      <c r="P348">
        <v>2.8916003754765399E-2</v>
      </c>
      <c r="Q348">
        <v>0.52455294626900395</v>
      </c>
      <c r="R348">
        <v>0</v>
      </c>
      <c r="S348">
        <v>70</v>
      </c>
      <c r="T348">
        <v>50</v>
      </c>
      <c r="U348">
        <v>1050187915.23</v>
      </c>
      <c r="V348">
        <v>22837</v>
      </c>
    </row>
    <row r="349" spans="1:22" x14ac:dyDescent="0.25">
      <c r="A349">
        <v>0.99056792766900004</v>
      </c>
      <c r="B349">
        <v>10.7493990739643</v>
      </c>
      <c r="C349">
        <v>11.278494798339899</v>
      </c>
      <c r="D349">
        <v>0</v>
      </c>
      <c r="E349">
        <v>4.6881624637651402</v>
      </c>
      <c r="F349">
        <v>4.2388986535854896</v>
      </c>
      <c r="G349">
        <v>67.515975108153796</v>
      </c>
      <c r="H349">
        <v>21.697427707567901</v>
      </c>
      <c r="I349">
        <v>60.344267072810503</v>
      </c>
      <c r="J349">
        <v>53.657106423040297</v>
      </c>
      <c r="K349">
        <v>55454.481162140903</v>
      </c>
      <c r="L349">
        <v>748.58836922417697</v>
      </c>
      <c r="M349">
        <v>6.51412937898595E-2</v>
      </c>
      <c r="N349">
        <v>7.1776942890821704E-2</v>
      </c>
      <c r="O349">
        <v>0.72338933174188003</v>
      </c>
      <c r="P349">
        <v>3.3989371863603998E-2</v>
      </c>
      <c r="Q349">
        <v>0.56640249048233304</v>
      </c>
      <c r="R349">
        <v>0</v>
      </c>
      <c r="S349">
        <v>70</v>
      </c>
      <c r="T349">
        <v>60</v>
      </c>
      <c r="U349">
        <v>2123906628.51</v>
      </c>
      <c r="V349">
        <v>38300</v>
      </c>
    </row>
    <row r="350" spans="1:22" x14ac:dyDescent="0.25">
      <c r="A350">
        <v>0.98995785514317902</v>
      </c>
      <c r="B350">
        <v>11.4067829109967</v>
      </c>
      <c r="C350">
        <v>10.4789901430507</v>
      </c>
      <c r="D350">
        <v>0</v>
      </c>
      <c r="E350">
        <v>4.6947651976994402</v>
      </c>
      <c r="F350">
        <v>4.2321090697317896</v>
      </c>
      <c r="G350">
        <v>67.494547346262806</v>
      </c>
      <c r="H350">
        <v>21.695240284748301</v>
      </c>
      <c r="I350">
        <v>62.5087998410471</v>
      </c>
      <c r="J350">
        <v>56.360071129780799</v>
      </c>
      <c r="K350">
        <v>65284.844090675098</v>
      </c>
      <c r="L350">
        <v>748.43062700459495</v>
      </c>
      <c r="M350">
        <v>7.1173049823319803E-2</v>
      </c>
      <c r="N350">
        <v>7.0893374693972194E-2</v>
      </c>
      <c r="O350">
        <v>0.70855610614047304</v>
      </c>
      <c r="P350">
        <v>3.7048005936778199E-2</v>
      </c>
      <c r="Q350">
        <v>0.58725209685204505</v>
      </c>
      <c r="R350">
        <v>0</v>
      </c>
      <c r="S350">
        <v>70</v>
      </c>
      <c r="T350">
        <v>70</v>
      </c>
      <c r="U350">
        <v>3424255357.4000001</v>
      </c>
      <c r="V350">
        <v>52451</v>
      </c>
    </row>
    <row r="351" spans="1:22" x14ac:dyDescent="0.25">
      <c r="A351">
        <v>0.98945810092922204</v>
      </c>
      <c r="B351">
        <v>11.941982782858</v>
      </c>
      <c r="C351">
        <v>9.8539408520710605</v>
      </c>
      <c r="D351">
        <v>0</v>
      </c>
      <c r="E351">
        <v>4.6834677713228503</v>
      </c>
      <c r="F351">
        <v>4.2234988041592203</v>
      </c>
      <c r="G351">
        <v>67.472957070037197</v>
      </c>
      <c r="H351">
        <v>21.282126256287601</v>
      </c>
      <c r="I351">
        <v>62.132671362939803</v>
      </c>
      <c r="J351">
        <v>56.6368964388327</v>
      </c>
      <c r="K351">
        <v>75211.966260126399</v>
      </c>
      <c r="L351">
        <v>750.01354089714903</v>
      </c>
      <c r="M351">
        <v>7.6288909965826698E-2</v>
      </c>
      <c r="N351">
        <v>7.5382179349896605E-2</v>
      </c>
      <c r="O351">
        <v>0.69556558754042297</v>
      </c>
      <c r="P351">
        <v>3.30776274035815E-2</v>
      </c>
      <c r="Q351">
        <v>0.63317182586272502</v>
      </c>
      <c r="R351">
        <v>0</v>
      </c>
      <c r="S351">
        <v>70</v>
      </c>
      <c r="T351">
        <v>80</v>
      </c>
      <c r="U351">
        <v>5069136102</v>
      </c>
      <c r="V351">
        <v>67398</v>
      </c>
    </row>
    <row r="352" spans="1:22" x14ac:dyDescent="0.25">
      <c r="A352">
        <v>0.98893118089496002</v>
      </c>
      <c r="B352">
        <v>12.5030641229406</v>
      </c>
      <c r="C352">
        <v>10.734000671906299</v>
      </c>
      <c r="D352">
        <v>0</v>
      </c>
      <c r="E352">
        <v>4.6779946142798003</v>
      </c>
      <c r="F352">
        <v>4.2063599443152802</v>
      </c>
      <c r="G352">
        <v>67.464353740928303</v>
      </c>
      <c r="H352">
        <v>21.3610326976948</v>
      </c>
      <c r="I352">
        <v>64.875159654368403</v>
      </c>
      <c r="J352">
        <v>59.385097018404402</v>
      </c>
      <c r="K352">
        <v>85195.568339902704</v>
      </c>
      <c r="L352">
        <v>750.65677528327603</v>
      </c>
      <c r="M352">
        <v>8.4990222068038704E-2</v>
      </c>
      <c r="N352">
        <v>7.6745514493767E-2</v>
      </c>
      <c r="O352">
        <v>0.68929435495715397</v>
      </c>
      <c r="P352">
        <v>3.2929160026698802E-2</v>
      </c>
      <c r="Q352">
        <v>0.64050850400001602</v>
      </c>
      <c r="R352">
        <v>0</v>
      </c>
      <c r="S352">
        <v>70</v>
      </c>
      <c r="T352">
        <v>90</v>
      </c>
      <c r="U352">
        <v>6830128713.8100004</v>
      </c>
      <c r="V352">
        <v>80170</v>
      </c>
    </row>
    <row r="353" spans="1:22" x14ac:dyDescent="0.25">
      <c r="A353">
        <v>0.98840837439858498</v>
      </c>
      <c r="B353">
        <v>13.0565246114211</v>
      </c>
      <c r="C353">
        <v>10.8802207142715</v>
      </c>
      <c r="D353">
        <v>0</v>
      </c>
      <c r="E353">
        <v>4.6660083028080397</v>
      </c>
      <c r="F353">
        <v>4.19373809464137</v>
      </c>
      <c r="G353">
        <v>67.444103550589901</v>
      </c>
      <c r="H353">
        <v>21.194843216343099</v>
      </c>
      <c r="I353">
        <v>64.914020964931794</v>
      </c>
      <c r="J353">
        <v>59.680266850325502</v>
      </c>
      <c r="K353">
        <v>95327.627970784597</v>
      </c>
      <c r="L353">
        <v>752.60502053798405</v>
      </c>
      <c r="M353">
        <v>8.3274912587137095E-2</v>
      </c>
      <c r="N353">
        <v>8.1941841978025898E-2</v>
      </c>
      <c r="O353">
        <v>0.65771820563127203</v>
      </c>
      <c r="P353">
        <v>3.2094632252557799E-2</v>
      </c>
      <c r="Q353">
        <v>0.60722680280535402</v>
      </c>
      <c r="R353">
        <v>0</v>
      </c>
      <c r="S353">
        <v>70</v>
      </c>
      <c r="T353">
        <v>100</v>
      </c>
      <c r="U353">
        <v>9919316328.5</v>
      </c>
      <c r="V353">
        <v>104055</v>
      </c>
    </row>
    <row r="354" spans="1:22" x14ac:dyDescent="0.25">
      <c r="A354">
        <v>0.98783166401915201</v>
      </c>
      <c r="B354">
        <v>13.6633257282642</v>
      </c>
      <c r="C354">
        <v>11.501199645405199</v>
      </c>
      <c r="D354">
        <v>0</v>
      </c>
      <c r="E354">
        <v>4.6672816756444204</v>
      </c>
      <c r="F354">
        <v>4.1806006845464703</v>
      </c>
      <c r="G354">
        <v>67.441945972532906</v>
      </c>
      <c r="H354">
        <v>21.300069797644401</v>
      </c>
      <c r="I354">
        <v>67.229212478342902</v>
      </c>
      <c r="J354">
        <v>61.988157294774702</v>
      </c>
      <c r="K354">
        <v>105019.882239511</v>
      </c>
      <c r="L354">
        <v>751.16978426851301</v>
      </c>
      <c r="M354">
        <v>9.2746552932076495E-2</v>
      </c>
      <c r="N354">
        <v>7.7991067095511998E-2</v>
      </c>
      <c r="O354">
        <v>0.64543254151411</v>
      </c>
      <c r="P354">
        <v>3.0544646675483698E-2</v>
      </c>
      <c r="Q354">
        <v>0.63422972758884499</v>
      </c>
      <c r="R354">
        <v>0</v>
      </c>
      <c r="S354">
        <v>70</v>
      </c>
      <c r="T354">
        <v>110</v>
      </c>
      <c r="U354">
        <v>9968277182.4099998</v>
      </c>
      <c r="V354">
        <v>94918</v>
      </c>
    </row>
    <row r="355" spans="1:22" x14ac:dyDescent="0.25">
      <c r="A355">
        <v>0.98732398922052</v>
      </c>
      <c r="B355">
        <v>14.1942737566076</v>
      </c>
      <c r="C355">
        <v>11.776315694363801</v>
      </c>
      <c r="D355">
        <v>0</v>
      </c>
      <c r="E355">
        <v>4.6528152234072104</v>
      </c>
      <c r="F355">
        <v>4.1701148598535402</v>
      </c>
      <c r="G355">
        <v>67.443431144947596</v>
      </c>
      <c r="H355">
        <v>21.445034335597398</v>
      </c>
      <c r="I355">
        <v>67.713166632264802</v>
      </c>
      <c r="J355">
        <v>62.391979784225498</v>
      </c>
      <c r="K355">
        <v>115076.14407501501</v>
      </c>
      <c r="L355">
        <v>751.93819205623402</v>
      </c>
      <c r="M355">
        <v>9.3053395919578993E-2</v>
      </c>
      <c r="N355">
        <v>7.8192816302097096E-2</v>
      </c>
      <c r="O355">
        <v>0.62762489893307005</v>
      </c>
      <c r="P355">
        <v>3.1235845626341501E-2</v>
      </c>
      <c r="Q355">
        <v>0.62866413954243705</v>
      </c>
      <c r="R355">
        <v>0</v>
      </c>
      <c r="S355">
        <v>70</v>
      </c>
      <c r="T355">
        <v>120</v>
      </c>
      <c r="U355">
        <v>11176885569.43</v>
      </c>
      <c r="V355">
        <v>97126</v>
      </c>
    </row>
    <row r="356" spans="1:22" x14ac:dyDescent="0.25">
      <c r="A356">
        <v>0.986856121682673</v>
      </c>
      <c r="B356">
        <v>14.6809376756724</v>
      </c>
      <c r="C356">
        <v>12.1771423645894</v>
      </c>
      <c r="D356">
        <v>0</v>
      </c>
      <c r="E356">
        <v>4.6423346392565596</v>
      </c>
      <c r="F356">
        <v>4.1602605406069104</v>
      </c>
      <c r="G356">
        <v>67.420616076533804</v>
      </c>
      <c r="H356">
        <v>21.256156862470199</v>
      </c>
      <c r="I356">
        <v>67.895304830529099</v>
      </c>
      <c r="J356">
        <v>62.696373173925103</v>
      </c>
      <c r="K356">
        <v>124923.656686139</v>
      </c>
      <c r="L356">
        <v>752.42206465861796</v>
      </c>
      <c r="M356">
        <v>9.3592832784846203E-2</v>
      </c>
      <c r="N356">
        <v>8.53189714238511E-2</v>
      </c>
      <c r="O356">
        <v>0.62145269182172402</v>
      </c>
      <c r="P356">
        <v>3.0535181080808799E-2</v>
      </c>
      <c r="Q356">
        <v>0.63174098558694003</v>
      </c>
      <c r="R356">
        <v>0</v>
      </c>
      <c r="S356">
        <v>70</v>
      </c>
      <c r="T356">
        <v>130</v>
      </c>
      <c r="U356">
        <v>12531341849.5</v>
      </c>
      <c r="V356">
        <v>100312</v>
      </c>
    </row>
    <row r="357" spans="1:22" x14ac:dyDescent="0.25">
      <c r="A357">
        <v>0.986372073407079</v>
      </c>
      <c r="B357">
        <v>15.181768311047801</v>
      </c>
      <c r="C357">
        <v>13.197629055458201</v>
      </c>
      <c r="D357">
        <v>0</v>
      </c>
      <c r="E357">
        <v>4.6351412441687998</v>
      </c>
      <c r="F357">
        <v>4.15127298961335</v>
      </c>
      <c r="G357">
        <v>67.423478554445097</v>
      </c>
      <c r="H357">
        <v>21.3482115862253</v>
      </c>
      <c r="I357">
        <v>68.5606952134479</v>
      </c>
      <c r="J357">
        <v>63.2226172621545</v>
      </c>
      <c r="K357">
        <v>134946.552922462</v>
      </c>
      <c r="L357">
        <v>752.09536611633803</v>
      </c>
      <c r="M357">
        <v>9.7457429933030804E-2</v>
      </c>
      <c r="N357">
        <v>8.6311249803946194E-2</v>
      </c>
      <c r="O357">
        <v>0.61356746140530904</v>
      </c>
      <c r="P357">
        <v>3.1476821875883999E-2</v>
      </c>
      <c r="Q357">
        <v>0.63795904661408098</v>
      </c>
      <c r="R357">
        <v>0</v>
      </c>
      <c r="S357">
        <v>70</v>
      </c>
      <c r="T357">
        <v>140</v>
      </c>
      <c r="U357">
        <v>12873766202.25</v>
      </c>
      <c r="V357">
        <v>95399</v>
      </c>
    </row>
    <row r="358" spans="1:22" x14ac:dyDescent="0.25">
      <c r="A358">
        <v>0.98590092280646902</v>
      </c>
      <c r="B358">
        <v>15.6666645449026</v>
      </c>
      <c r="C358">
        <v>14.3266866946314</v>
      </c>
      <c r="D358">
        <v>0</v>
      </c>
      <c r="E358">
        <v>4.63001828205278</v>
      </c>
      <c r="F358">
        <v>4.15071545902771</v>
      </c>
      <c r="G358">
        <v>67.4115752528689</v>
      </c>
      <c r="H358">
        <v>21.1320281094489</v>
      </c>
      <c r="I358">
        <v>67.415557457596904</v>
      </c>
      <c r="J358">
        <v>62.337233776043199</v>
      </c>
      <c r="K358">
        <v>144980.42192155801</v>
      </c>
      <c r="L358">
        <v>753.10393577778802</v>
      </c>
      <c r="M358">
        <v>9.50383624285836E-2</v>
      </c>
      <c r="N358">
        <v>8.6207307702609495E-2</v>
      </c>
      <c r="O358">
        <v>0.60489709404258996</v>
      </c>
      <c r="P358">
        <v>3.2542836998043598E-2</v>
      </c>
      <c r="Q358">
        <v>0.64322481050608205</v>
      </c>
      <c r="R358">
        <v>0</v>
      </c>
      <c r="S358">
        <v>70</v>
      </c>
      <c r="T358">
        <v>150</v>
      </c>
      <c r="U358">
        <v>14142985138.870001</v>
      </c>
      <c r="V358">
        <v>97551</v>
      </c>
    </row>
    <row r="359" spans="1:22" x14ac:dyDescent="0.25">
      <c r="A359">
        <v>0.98538183222051501</v>
      </c>
      <c r="B359">
        <v>16.1979563877087</v>
      </c>
      <c r="C359">
        <v>14.825315838091599</v>
      </c>
      <c r="D359">
        <v>0</v>
      </c>
      <c r="E359">
        <v>4.6364305458040898</v>
      </c>
      <c r="F359">
        <v>4.1498915503116702</v>
      </c>
      <c r="G359">
        <v>67.428626234286597</v>
      </c>
      <c r="H359">
        <v>21.2516431846229</v>
      </c>
      <c r="I359">
        <v>68.662545126104803</v>
      </c>
      <c r="J359">
        <v>63.546302439418</v>
      </c>
      <c r="K359">
        <v>154952.03977539</v>
      </c>
      <c r="L359">
        <v>752.03633681340204</v>
      </c>
      <c r="M359">
        <v>9.9261268344995393E-2</v>
      </c>
      <c r="N359">
        <v>8.69182848472764E-2</v>
      </c>
      <c r="O359">
        <v>0.59710317061950402</v>
      </c>
      <c r="P359">
        <v>3.0340243925998999E-2</v>
      </c>
      <c r="Q359">
        <v>0.66094689621967895</v>
      </c>
      <c r="R359">
        <v>0</v>
      </c>
      <c r="S359">
        <v>70</v>
      </c>
      <c r="T359">
        <v>160</v>
      </c>
      <c r="U359">
        <v>13645696430.780001</v>
      </c>
      <c r="V359">
        <v>88064</v>
      </c>
    </row>
    <row r="360" spans="1:22" x14ac:dyDescent="0.25">
      <c r="A360">
        <v>0.98482593077542202</v>
      </c>
      <c r="B360">
        <v>16.763520724427099</v>
      </c>
      <c r="C360">
        <v>15.6247203559812</v>
      </c>
      <c r="D360">
        <v>0</v>
      </c>
      <c r="E360">
        <v>4.6261442200001301</v>
      </c>
      <c r="F360">
        <v>4.1389612378811496</v>
      </c>
      <c r="G360">
        <v>67.432130314659005</v>
      </c>
      <c r="H360">
        <v>21.2946926322732</v>
      </c>
      <c r="I360">
        <v>69.183609702572099</v>
      </c>
      <c r="J360">
        <v>64.031543807759505</v>
      </c>
      <c r="K360">
        <v>165010.14454718801</v>
      </c>
      <c r="L360">
        <v>752.55883864031102</v>
      </c>
      <c r="M360">
        <v>9.9250366750129604E-2</v>
      </c>
      <c r="N360">
        <v>8.8105763020895594E-2</v>
      </c>
      <c r="O360">
        <v>0.58688574349343003</v>
      </c>
      <c r="P360">
        <v>3.38152684406351E-2</v>
      </c>
      <c r="Q360">
        <v>0.64587710965160405</v>
      </c>
      <c r="R360">
        <v>0</v>
      </c>
      <c r="S360">
        <v>70</v>
      </c>
      <c r="T360">
        <v>170</v>
      </c>
      <c r="U360">
        <v>14359677808.93</v>
      </c>
      <c r="V360">
        <v>87023</v>
      </c>
    </row>
    <row r="361" spans="1:22" x14ac:dyDescent="0.25">
      <c r="A361">
        <v>0.97854044554459096</v>
      </c>
      <c r="B361">
        <v>22.919349657449001</v>
      </c>
      <c r="C361">
        <v>26.850436393729499</v>
      </c>
      <c r="D361">
        <v>0</v>
      </c>
      <c r="E361">
        <v>4.58606456718522</v>
      </c>
      <c r="F361">
        <v>4.1046046136050602</v>
      </c>
      <c r="G361">
        <v>67.3968727683515</v>
      </c>
      <c r="H361">
        <v>20.932998464007401</v>
      </c>
      <c r="I361">
        <v>69.198178742485695</v>
      </c>
      <c r="J361">
        <v>64.167259723385797</v>
      </c>
      <c r="K361">
        <v>286572.51003714697</v>
      </c>
      <c r="L361">
        <v>753.42575997163499</v>
      </c>
      <c r="M361">
        <v>0.15712743767201801</v>
      </c>
      <c r="N361">
        <v>9.1428706490706002E-2</v>
      </c>
      <c r="O361">
        <v>0.52252160342012699</v>
      </c>
      <c r="P361">
        <v>6.3882497015821299E-2</v>
      </c>
      <c r="Q361">
        <v>0.63745534988808294</v>
      </c>
      <c r="R361">
        <v>0</v>
      </c>
      <c r="S361">
        <v>70</v>
      </c>
      <c r="T361">
        <v>175</v>
      </c>
      <c r="U361">
        <v>331646926995.87</v>
      </c>
      <c r="V361">
        <v>1157288</v>
      </c>
    </row>
    <row r="362" spans="1:22" x14ac:dyDescent="0.25">
      <c r="A362">
        <v>0.98439561129483</v>
      </c>
      <c r="B362">
        <v>17.198915325513099</v>
      </c>
      <c r="C362">
        <v>16.429710985050701</v>
      </c>
      <c r="D362">
        <v>0</v>
      </c>
      <c r="E362">
        <v>4.61982488678529</v>
      </c>
      <c r="F362">
        <v>4.1330802560732103</v>
      </c>
      <c r="G362">
        <v>67.417228756680302</v>
      </c>
      <c r="H362">
        <v>21.206051143781199</v>
      </c>
      <c r="I362">
        <v>69.2951077010121</v>
      </c>
      <c r="J362">
        <v>64.163598929380797</v>
      </c>
      <c r="K362">
        <v>172444.564927069</v>
      </c>
      <c r="L362">
        <v>753.39651496689999</v>
      </c>
      <c r="M362">
        <v>9.7783465208822695E-2</v>
      </c>
      <c r="N362">
        <v>8.9366671582842103E-2</v>
      </c>
      <c r="O362">
        <v>0.58521836069824096</v>
      </c>
      <c r="P362">
        <v>3.3138590644701801E-2</v>
      </c>
      <c r="Q362">
        <v>0.634755337064417</v>
      </c>
      <c r="R362">
        <v>0</v>
      </c>
      <c r="S362">
        <v>70</v>
      </c>
      <c r="T362">
        <v>180</v>
      </c>
      <c r="U362">
        <v>7436326973.3500004</v>
      </c>
      <c r="V362">
        <v>43123</v>
      </c>
    </row>
    <row r="363" spans="1:22" x14ac:dyDescent="0.25">
      <c r="A363">
        <v>0.99268985055412096</v>
      </c>
      <c r="B363">
        <v>8.4279410598669706</v>
      </c>
      <c r="C363">
        <v>91.201704527036298</v>
      </c>
      <c r="D363">
        <v>0</v>
      </c>
      <c r="E363">
        <v>4.6285861327786799</v>
      </c>
      <c r="F363">
        <v>4.25265636572726</v>
      </c>
      <c r="G363">
        <v>72.174393219535304</v>
      </c>
      <c r="H363">
        <v>23.593984025865801</v>
      </c>
      <c r="I363">
        <v>58.1664377699339</v>
      </c>
      <c r="J363">
        <v>4.57582508760522</v>
      </c>
      <c r="K363">
        <v>5597.6562158647503</v>
      </c>
      <c r="L363">
        <v>772.91627488059203</v>
      </c>
      <c r="M363">
        <v>4.0004552063092502E-2</v>
      </c>
      <c r="N363">
        <v>5.9821328759129502E-2</v>
      </c>
      <c r="O363">
        <v>0.67374171508801295</v>
      </c>
      <c r="P363">
        <v>2.8524754356657401E-2</v>
      </c>
      <c r="Q363">
        <v>0.33499841888822401</v>
      </c>
      <c r="R363">
        <v>0</v>
      </c>
      <c r="S363">
        <v>75</v>
      </c>
      <c r="T363">
        <v>10</v>
      </c>
      <c r="U363">
        <v>4304597.63</v>
      </c>
      <c r="V363">
        <v>769</v>
      </c>
    </row>
    <row r="364" spans="1:22" x14ac:dyDescent="0.25">
      <c r="A364">
        <v>0.99262221982960896</v>
      </c>
      <c r="B364">
        <v>8.5027772993865796</v>
      </c>
      <c r="C364">
        <v>61.878948134386903</v>
      </c>
      <c r="D364">
        <v>0</v>
      </c>
      <c r="E364">
        <v>4.6696119735502499</v>
      </c>
      <c r="F364">
        <v>4.2611718550764399</v>
      </c>
      <c r="G364">
        <v>72.225412846447298</v>
      </c>
      <c r="H364">
        <v>23.2452469025521</v>
      </c>
      <c r="I364">
        <v>55.052414822023202</v>
      </c>
      <c r="J364">
        <v>17.1032235176516</v>
      </c>
      <c r="K364">
        <v>15806.0766377005</v>
      </c>
      <c r="L364">
        <v>767.80026793112097</v>
      </c>
      <c r="M364">
        <v>4.0586159523663297E-2</v>
      </c>
      <c r="N364">
        <v>4.5392349811953399E-2</v>
      </c>
      <c r="O364">
        <v>0.72335251030182701</v>
      </c>
      <c r="P364">
        <v>2.7272547249134801E-2</v>
      </c>
      <c r="Q364">
        <v>0.32992720365134498</v>
      </c>
      <c r="R364">
        <v>0</v>
      </c>
      <c r="S364">
        <v>75</v>
      </c>
      <c r="T364">
        <v>20</v>
      </c>
      <c r="U364">
        <v>23645890.649999999</v>
      </c>
      <c r="V364">
        <v>1496</v>
      </c>
    </row>
    <row r="365" spans="1:22" x14ac:dyDescent="0.25">
      <c r="A365">
        <v>0.99211053273057503</v>
      </c>
      <c r="B365">
        <v>9.0671664970903905</v>
      </c>
      <c r="C365">
        <v>29.206408131915801</v>
      </c>
      <c r="D365">
        <v>0</v>
      </c>
      <c r="E365">
        <v>4.70981259437389</v>
      </c>
      <c r="F365">
        <v>4.2574905066121902</v>
      </c>
      <c r="G365">
        <v>72.256113855893901</v>
      </c>
      <c r="H365">
        <v>22.8442187422242</v>
      </c>
      <c r="I365">
        <v>52.516536813618004</v>
      </c>
      <c r="J365">
        <v>34.076781779529703</v>
      </c>
      <c r="K365">
        <v>26158.342320148</v>
      </c>
      <c r="L365">
        <v>756.70070092246999</v>
      </c>
      <c r="M365">
        <v>5.3773529814397501E-2</v>
      </c>
      <c r="N365">
        <v>3.3882572553015397E-2</v>
      </c>
      <c r="O365">
        <v>0.79765066144220598</v>
      </c>
      <c r="P365">
        <v>2.7905518568377599E-2</v>
      </c>
      <c r="Q365">
        <v>0.42865490445585802</v>
      </c>
      <c r="R365">
        <v>0</v>
      </c>
      <c r="S365">
        <v>75</v>
      </c>
      <c r="T365">
        <v>30</v>
      </c>
      <c r="U365">
        <v>113082513.84999999</v>
      </c>
      <c r="V365">
        <v>4323</v>
      </c>
    </row>
    <row r="366" spans="1:22" x14ac:dyDescent="0.25">
      <c r="A366">
        <v>0.99157732446637104</v>
      </c>
      <c r="B366">
        <v>9.6518965621903892</v>
      </c>
      <c r="C366">
        <v>19.0767762031217</v>
      </c>
      <c r="D366">
        <v>0</v>
      </c>
      <c r="E366">
        <v>4.7180928722790103</v>
      </c>
      <c r="F366">
        <v>4.2520901767322501</v>
      </c>
      <c r="G366">
        <v>72.288506089387198</v>
      </c>
      <c r="H366">
        <v>22.483669889328201</v>
      </c>
      <c r="I366">
        <v>54.067656574742003</v>
      </c>
      <c r="J366">
        <v>43.130936322976503</v>
      </c>
      <c r="K366">
        <v>35934.532184916898</v>
      </c>
      <c r="L366">
        <v>754.69147369808502</v>
      </c>
      <c r="M366">
        <v>6.0544329777998999E-2</v>
      </c>
      <c r="N366">
        <v>4.1895403242939701E-2</v>
      </c>
      <c r="O366">
        <v>0.77738351946190498</v>
      </c>
      <c r="P366">
        <v>2.6084996769129998E-2</v>
      </c>
      <c r="Q366">
        <v>0.48367372101353101</v>
      </c>
      <c r="R366">
        <v>0</v>
      </c>
      <c r="S366">
        <v>75</v>
      </c>
      <c r="T366">
        <v>40</v>
      </c>
      <c r="U366">
        <v>421691735.19</v>
      </c>
      <c r="V366">
        <v>11735</v>
      </c>
    </row>
    <row r="367" spans="1:22" x14ac:dyDescent="0.25">
      <c r="A367">
        <v>0.99088295933621995</v>
      </c>
      <c r="B367">
        <v>10.408188767383299</v>
      </c>
      <c r="C367">
        <v>12.7542858600189</v>
      </c>
      <c r="D367">
        <v>0</v>
      </c>
      <c r="E367">
        <v>4.7036323145116201</v>
      </c>
      <c r="F367">
        <v>4.2340047518095698</v>
      </c>
      <c r="G367">
        <v>72.301694114900698</v>
      </c>
      <c r="H367">
        <v>22.588553067110599</v>
      </c>
      <c r="I367">
        <v>54.962146388798601</v>
      </c>
      <c r="J367">
        <v>47.042380637587897</v>
      </c>
      <c r="K367">
        <v>45889.731277245701</v>
      </c>
      <c r="L367">
        <v>753.729973815932</v>
      </c>
      <c r="M367">
        <v>6.57065185230193E-2</v>
      </c>
      <c r="N367">
        <v>5.4466703070229001E-2</v>
      </c>
      <c r="O367">
        <v>0.74870859381138899</v>
      </c>
      <c r="P367">
        <v>3.08840800899042E-2</v>
      </c>
      <c r="Q367">
        <v>0.55792466236154503</v>
      </c>
      <c r="R367">
        <v>0</v>
      </c>
      <c r="S367">
        <v>75</v>
      </c>
      <c r="T367">
        <v>50</v>
      </c>
      <c r="U367">
        <v>1231634497.75</v>
      </c>
      <c r="V367">
        <v>26839</v>
      </c>
    </row>
    <row r="368" spans="1:22" x14ac:dyDescent="0.25">
      <c r="A368">
        <v>0.99015122316519399</v>
      </c>
      <c r="B368">
        <v>11.198901197225799</v>
      </c>
      <c r="C368">
        <v>10.360217755137899</v>
      </c>
      <c r="D368">
        <v>0</v>
      </c>
      <c r="E368">
        <v>4.70291478532444</v>
      </c>
      <c r="F368">
        <v>4.2175676831944502</v>
      </c>
      <c r="G368">
        <v>72.308393391817205</v>
      </c>
      <c r="H368">
        <v>22.534376663720501</v>
      </c>
      <c r="I368">
        <v>58.998640833799001</v>
      </c>
      <c r="J368">
        <v>52.000321259047404</v>
      </c>
      <c r="K368">
        <v>55416.368814850597</v>
      </c>
      <c r="L368">
        <v>750.85835298798497</v>
      </c>
      <c r="M368">
        <v>7.37918215719605E-2</v>
      </c>
      <c r="N368">
        <v>6.3831023643951601E-2</v>
      </c>
      <c r="O368">
        <v>0.73940156165599402</v>
      </c>
      <c r="P368">
        <v>3.33745282563188E-2</v>
      </c>
      <c r="Q368">
        <v>0.592693592412318</v>
      </c>
      <c r="R368">
        <v>0</v>
      </c>
      <c r="S368">
        <v>75</v>
      </c>
      <c r="T368">
        <v>60</v>
      </c>
      <c r="U368">
        <v>2407619559.5300002</v>
      </c>
      <c r="V368">
        <v>43446</v>
      </c>
    </row>
    <row r="369" spans="1:22" x14ac:dyDescent="0.25">
      <c r="A369">
        <v>0.98945825399361997</v>
      </c>
      <c r="B369">
        <v>11.9418193169098</v>
      </c>
      <c r="C369">
        <v>10.304357603106199</v>
      </c>
      <c r="D369">
        <v>0</v>
      </c>
      <c r="E369">
        <v>4.70741334213933</v>
      </c>
      <c r="F369">
        <v>4.2088715353431203</v>
      </c>
      <c r="G369">
        <v>72.322619384812</v>
      </c>
      <c r="H369">
        <v>22.353066691509799</v>
      </c>
      <c r="I369">
        <v>61.311646194460202</v>
      </c>
      <c r="J369">
        <v>54.850517295344403</v>
      </c>
      <c r="K369">
        <v>65234.941012572497</v>
      </c>
      <c r="L369">
        <v>750.76740373334201</v>
      </c>
      <c r="M369">
        <v>7.6822744254622904E-2</v>
      </c>
      <c r="N369">
        <v>6.4642092596316397E-2</v>
      </c>
      <c r="O369">
        <v>0.71978676311109302</v>
      </c>
      <c r="P369">
        <v>3.5375651953306497E-2</v>
      </c>
      <c r="Q369">
        <v>0.61503854286801196</v>
      </c>
      <c r="R369">
        <v>0</v>
      </c>
      <c r="S369">
        <v>75</v>
      </c>
      <c r="T369">
        <v>70</v>
      </c>
      <c r="U369">
        <v>3855189309.02</v>
      </c>
      <c r="V369">
        <v>59097</v>
      </c>
    </row>
    <row r="370" spans="1:22" x14ac:dyDescent="0.25">
      <c r="A370">
        <v>0.98885507560625197</v>
      </c>
      <c r="B370">
        <v>12.583832070118399</v>
      </c>
      <c r="C370">
        <v>10.228636535252701</v>
      </c>
      <c r="D370">
        <v>0</v>
      </c>
      <c r="E370">
        <v>4.6966205638138101</v>
      </c>
      <c r="F370">
        <v>4.1951468874561701</v>
      </c>
      <c r="G370">
        <v>72.332021862855797</v>
      </c>
      <c r="H370">
        <v>21.9413643191047</v>
      </c>
      <c r="I370">
        <v>61.644917815782897</v>
      </c>
      <c r="J370">
        <v>55.8611638870414</v>
      </c>
      <c r="K370">
        <v>75198.330061413406</v>
      </c>
      <c r="L370">
        <v>751.40247143520196</v>
      </c>
      <c r="M370">
        <v>8.0870069655147397E-2</v>
      </c>
      <c r="N370">
        <v>7.1015786422874497E-2</v>
      </c>
      <c r="O370">
        <v>0.70445807260085502</v>
      </c>
      <c r="P370">
        <v>3.3407015212148602E-2</v>
      </c>
      <c r="Q370">
        <v>0.643687823798892</v>
      </c>
      <c r="R370">
        <v>0</v>
      </c>
      <c r="S370">
        <v>75</v>
      </c>
      <c r="T370">
        <v>80</v>
      </c>
      <c r="U370">
        <v>5571293877.5900002</v>
      </c>
      <c r="V370">
        <v>74088</v>
      </c>
    </row>
    <row r="371" spans="1:22" x14ac:dyDescent="0.25">
      <c r="A371">
        <v>0.98822927823689299</v>
      </c>
      <c r="B371">
        <v>13.245382591525599</v>
      </c>
      <c r="C371">
        <v>11.3403005287725</v>
      </c>
      <c r="D371">
        <v>0</v>
      </c>
      <c r="E371">
        <v>4.69018031312212</v>
      </c>
      <c r="F371">
        <v>4.1757971052822001</v>
      </c>
      <c r="G371">
        <v>72.363468711059198</v>
      </c>
      <c r="H371">
        <v>21.941138050759701</v>
      </c>
      <c r="I371">
        <v>64.257629198579096</v>
      </c>
      <c r="J371">
        <v>58.564677596561097</v>
      </c>
      <c r="K371">
        <v>85167.944016349007</v>
      </c>
      <c r="L371">
        <v>751.34294859128204</v>
      </c>
      <c r="M371">
        <v>8.8106222732576206E-2</v>
      </c>
      <c r="N371">
        <v>7.3125537059302706E-2</v>
      </c>
      <c r="O371">
        <v>0.69461038508120698</v>
      </c>
      <c r="P371">
        <v>3.3527800832258703E-2</v>
      </c>
      <c r="Q371">
        <v>0.65132593588504994</v>
      </c>
      <c r="R371">
        <v>0</v>
      </c>
      <c r="S371">
        <v>75</v>
      </c>
      <c r="T371">
        <v>90</v>
      </c>
      <c r="U371">
        <v>7386871288.3699999</v>
      </c>
      <c r="V371">
        <v>86733</v>
      </c>
    </row>
    <row r="372" spans="1:22" x14ac:dyDescent="0.25">
      <c r="A372">
        <v>0.98763250901186606</v>
      </c>
      <c r="B372">
        <v>13.871968498286201</v>
      </c>
      <c r="C372">
        <v>11.226219056904</v>
      </c>
      <c r="D372">
        <v>0</v>
      </c>
      <c r="E372">
        <v>4.6755097836113197</v>
      </c>
      <c r="F372">
        <v>4.1596699534785797</v>
      </c>
      <c r="G372">
        <v>72.355686671764403</v>
      </c>
      <c r="H372">
        <v>21.811936563537099</v>
      </c>
      <c r="I372">
        <v>64.455451816365596</v>
      </c>
      <c r="J372">
        <v>59.034445458277602</v>
      </c>
      <c r="K372">
        <v>95277.2228638058</v>
      </c>
      <c r="L372">
        <v>752.86350802459401</v>
      </c>
      <c r="M372">
        <v>8.4036602984256095E-2</v>
      </c>
      <c r="N372">
        <v>7.6161334051114402E-2</v>
      </c>
      <c r="O372">
        <v>0.66486716668568602</v>
      </c>
      <c r="P372">
        <v>3.40059499051606E-2</v>
      </c>
      <c r="Q372">
        <v>0.61384471196540003</v>
      </c>
      <c r="R372">
        <v>0</v>
      </c>
      <c r="S372">
        <v>75</v>
      </c>
      <c r="T372">
        <v>100</v>
      </c>
      <c r="U372">
        <v>10499835791.26</v>
      </c>
      <c r="V372">
        <v>110203</v>
      </c>
    </row>
    <row r="373" spans="1:22" x14ac:dyDescent="0.25">
      <c r="A373">
        <v>0.98697484518029699</v>
      </c>
      <c r="B373">
        <v>14.557684662465601</v>
      </c>
      <c r="C373">
        <v>12.2024620187743</v>
      </c>
      <c r="D373">
        <v>0</v>
      </c>
      <c r="E373">
        <v>4.6757731256568897</v>
      </c>
      <c r="F373">
        <v>4.14516488226581</v>
      </c>
      <c r="G373">
        <v>72.361211742418106</v>
      </c>
      <c r="H373">
        <v>21.806676676601601</v>
      </c>
      <c r="I373">
        <v>66.815323701087493</v>
      </c>
      <c r="J373">
        <v>61.406281393956398</v>
      </c>
      <c r="K373">
        <v>105009.80212964999</v>
      </c>
      <c r="L373">
        <v>751.32262881429301</v>
      </c>
      <c r="M373">
        <v>9.4655096624932294E-2</v>
      </c>
      <c r="N373">
        <v>7.3801739176782802E-2</v>
      </c>
      <c r="O373">
        <v>0.65020039828113896</v>
      </c>
      <c r="P373">
        <v>3.0965558653865199E-2</v>
      </c>
      <c r="Q373">
        <v>0.64155633387323097</v>
      </c>
      <c r="R373">
        <v>0</v>
      </c>
      <c r="S373">
        <v>75</v>
      </c>
      <c r="T373">
        <v>110</v>
      </c>
      <c r="U373">
        <v>10615125867.879999</v>
      </c>
      <c r="V373">
        <v>101087</v>
      </c>
    </row>
    <row r="374" spans="1:22" x14ac:dyDescent="0.25">
      <c r="A374">
        <v>0.98641154273344001</v>
      </c>
      <c r="B374">
        <v>15.1410316913797</v>
      </c>
      <c r="C374">
        <v>12.446359536224</v>
      </c>
      <c r="D374">
        <v>0</v>
      </c>
      <c r="E374">
        <v>4.6598634063753597</v>
      </c>
      <c r="F374">
        <v>4.1320120437113204</v>
      </c>
      <c r="G374">
        <v>72.363930953019107</v>
      </c>
      <c r="H374">
        <v>21.899074866921399</v>
      </c>
      <c r="I374">
        <v>67.315247037329399</v>
      </c>
      <c r="J374">
        <v>61.8634761816759</v>
      </c>
      <c r="K374">
        <v>115058.305019458</v>
      </c>
      <c r="L374">
        <v>752.68917230976695</v>
      </c>
      <c r="M374">
        <v>9.7358675001141301E-2</v>
      </c>
      <c r="N374">
        <v>7.3599850574666406E-2</v>
      </c>
      <c r="O374">
        <v>0.62984042636136806</v>
      </c>
      <c r="P374">
        <v>3.1002125404189999E-2</v>
      </c>
      <c r="Q374">
        <v>0.63480599410995797</v>
      </c>
      <c r="R374">
        <v>0</v>
      </c>
      <c r="S374">
        <v>75</v>
      </c>
      <c r="T374">
        <v>120</v>
      </c>
      <c r="U374">
        <v>11885292791.9</v>
      </c>
      <c r="V374">
        <v>103298</v>
      </c>
    </row>
    <row r="375" spans="1:22" x14ac:dyDescent="0.25">
      <c r="A375">
        <v>0.98588599903487195</v>
      </c>
      <c r="B375">
        <v>15.6819821083294</v>
      </c>
      <c r="C375">
        <v>13.153761253804801</v>
      </c>
      <c r="D375">
        <v>0</v>
      </c>
      <c r="E375">
        <v>4.64930978506613</v>
      </c>
      <c r="F375">
        <v>4.1225103986607596</v>
      </c>
      <c r="G375">
        <v>72.382876891185504</v>
      </c>
      <c r="H375">
        <v>21.749173257633299</v>
      </c>
      <c r="I375">
        <v>67.552044738416797</v>
      </c>
      <c r="J375">
        <v>62.171704531252402</v>
      </c>
      <c r="K375">
        <v>124932.187829609</v>
      </c>
      <c r="L375">
        <v>753.11424988662395</v>
      </c>
      <c r="M375">
        <v>9.6143002148992907E-2</v>
      </c>
      <c r="N375">
        <v>8.14771016207161E-2</v>
      </c>
      <c r="O375">
        <v>0.62270568514958002</v>
      </c>
      <c r="P375">
        <v>3.1297801591361502E-2</v>
      </c>
      <c r="Q375">
        <v>0.63728446422049101</v>
      </c>
      <c r="R375">
        <v>0</v>
      </c>
      <c r="S375">
        <v>75</v>
      </c>
      <c r="T375">
        <v>130</v>
      </c>
      <c r="U375">
        <v>13262301331.24</v>
      </c>
      <c r="V375">
        <v>106156</v>
      </c>
    </row>
    <row r="376" spans="1:22" x14ac:dyDescent="0.25">
      <c r="A376">
        <v>0.98535768524826906</v>
      </c>
      <c r="B376">
        <v>16.222596089933798</v>
      </c>
      <c r="C376">
        <v>14.5539381475879</v>
      </c>
      <c r="D376">
        <v>0</v>
      </c>
      <c r="E376">
        <v>4.6444923432783902</v>
      </c>
      <c r="F376">
        <v>4.1149072186037996</v>
      </c>
      <c r="G376">
        <v>72.380513002660905</v>
      </c>
      <c r="H376">
        <v>21.8129992803885</v>
      </c>
      <c r="I376">
        <v>68.109809034395795</v>
      </c>
      <c r="J376">
        <v>62.6987245460477</v>
      </c>
      <c r="K376">
        <v>134946.67513008701</v>
      </c>
      <c r="L376">
        <v>752.83191397455096</v>
      </c>
      <c r="M376">
        <v>9.8982469796522199E-2</v>
      </c>
      <c r="N376">
        <v>8.2581228871881199E-2</v>
      </c>
      <c r="O376">
        <v>0.61867939522283699</v>
      </c>
      <c r="P376">
        <v>3.3195361159910799E-2</v>
      </c>
      <c r="Q376">
        <v>0.64403378818101797</v>
      </c>
      <c r="R376">
        <v>0</v>
      </c>
      <c r="S376">
        <v>75</v>
      </c>
      <c r="T376">
        <v>140</v>
      </c>
      <c r="U376">
        <v>13677520257.809999</v>
      </c>
      <c r="V376">
        <v>101355</v>
      </c>
    </row>
    <row r="377" spans="1:22" x14ac:dyDescent="0.25">
      <c r="A377">
        <v>0.98483016130555101</v>
      </c>
      <c r="B377">
        <v>16.759229902154601</v>
      </c>
      <c r="C377">
        <v>14.7494841098094</v>
      </c>
      <c r="D377">
        <v>0</v>
      </c>
      <c r="E377">
        <v>4.6375852494454604</v>
      </c>
      <c r="F377">
        <v>4.1132867182782</v>
      </c>
      <c r="G377">
        <v>72.382677872408607</v>
      </c>
      <c r="H377">
        <v>21.5921765679226</v>
      </c>
      <c r="I377">
        <v>67.0782332883566</v>
      </c>
      <c r="J377">
        <v>61.925490254193697</v>
      </c>
      <c r="K377">
        <v>144963.203423192</v>
      </c>
      <c r="L377">
        <v>753.42940506234095</v>
      </c>
      <c r="M377">
        <v>9.6570630852307202E-2</v>
      </c>
      <c r="N377">
        <v>8.1836808965294897E-2</v>
      </c>
      <c r="O377">
        <v>0.602703592744253</v>
      </c>
      <c r="P377">
        <v>3.3680473735119697E-2</v>
      </c>
      <c r="Q377">
        <v>0.64427424354787</v>
      </c>
      <c r="R377">
        <v>0</v>
      </c>
      <c r="S377">
        <v>75</v>
      </c>
      <c r="T377">
        <v>150</v>
      </c>
      <c r="U377">
        <v>14938458112.76</v>
      </c>
      <c r="V377">
        <v>103050</v>
      </c>
    </row>
    <row r="378" spans="1:22" x14ac:dyDescent="0.25">
      <c r="A378">
        <v>0.98426013769182796</v>
      </c>
      <c r="B378">
        <v>17.335553983035201</v>
      </c>
      <c r="C378">
        <v>15.671764408142799</v>
      </c>
      <c r="D378">
        <v>0</v>
      </c>
      <c r="E378">
        <v>4.6441775365219202</v>
      </c>
      <c r="F378">
        <v>4.1116654175893599</v>
      </c>
      <c r="G378">
        <v>72.388702289093999</v>
      </c>
      <c r="H378">
        <v>21.6834443917508</v>
      </c>
      <c r="I378">
        <v>68.293774949893105</v>
      </c>
      <c r="J378">
        <v>63.117828166551298</v>
      </c>
      <c r="K378">
        <v>154955.236611884</v>
      </c>
      <c r="L378">
        <v>752.85354069943503</v>
      </c>
      <c r="M378">
        <v>0.10254748678247801</v>
      </c>
      <c r="N378">
        <v>8.3438372529206897E-2</v>
      </c>
      <c r="O378">
        <v>0.59994392380456396</v>
      </c>
      <c r="P378">
        <v>3.2020707658921198E-2</v>
      </c>
      <c r="Q378">
        <v>0.65987361922076704</v>
      </c>
      <c r="R378">
        <v>0</v>
      </c>
      <c r="S378">
        <v>75</v>
      </c>
      <c r="T378">
        <v>160</v>
      </c>
      <c r="U378">
        <v>14321892699.09</v>
      </c>
      <c r="V378">
        <v>92426</v>
      </c>
    </row>
    <row r="379" spans="1:22" x14ac:dyDescent="0.25">
      <c r="A379">
        <v>0.98363709154392598</v>
      </c>
      <c r="B379">
        <v>17.9613011093487</v>
      </c>
      <c r="C379">
        <v>16.880763126923299</v>
      </c>
      <c r="D379">
        <v>0</v>
      </c>
      <c r="E379">
        <v>4.63376330162881</v>
      </c>
      <c r="F379">
        <v>4.1015282835963802</v>
      </c>
      <c r="G379">
        <v>72.387725293573894</v>
      </c>
      <c r="H379">
        <v>21.7355536083512</v>
      </c>
      <c r="I379">
        <v>68.814138846477803</v>
      </c>
      <c r="J379">
        <v>63.549435717407398</v>
      </c>
      <c r="K379">
        <v>165018.66254593199</v>
      </c>
      <c r="L379">
        <v>753.31277309467202</v>
      </c>
      <c r="M379">
        <v>0.10005922263557999</v>
      </c>
      <c r="N379">
        <v>8.5977669556053599E-2</v>
      </c>
      <c r="O379">
        <v>0.58904354635026102</v>
      </c>
      <c r="P379">
        <v>3.4448046008353203E-2</v>
      </c>
      <c r="Q379">
        <v>0.64908916090207103</v>
      </c>
      <c r="R379">
        <v>0</v>
      </c>
      <c r="S379">
        <v>75</v>
      </c>
      <c r="T379">
        <v>170</v>
      </c>
      <c r="U379">
        <v>15080230476.76</v>
      </c>
      <c r="V379">
        <v>91385</v>
      </c>
    </row>
    <row r="380" spans="1:22" x14ac:dyDescent="0.25">
      <c r="A380">
        <v>0.97689435952153203</v>
      </c>
      <c r="B380">
        <v>24.4610011725158</v>
      </c>
      <c r="C380">
        <v>28.7386220898034</v>
      </c>
      <c r="D380">
        <v>0</v>
      </c>
      <c r="E380">
        <v>4.5969713209407397</v>
      </c>
      <c r="F380">
        <v>4.0685165178450102</v>
      </c>
      <c r="G380">
        <v>72.389346387800302</v>
      </c>
      <c r="H380">
        <v>21.4160148654924</v>
      </c>
      <c r="I380">
        <v>69.1189068611735</v>
      </c>
      <c r="J380">
        <v>63.982346189651103</v>
      </c>
      <c r="K380">
        <v>285256.48486139497</v>
      </c>
      <c r="L380">
        <v>753.99912174494898</v>
      </c>
      <c r="M380">
        <v>0.157465671510155</v>
      </c>
      <c r="N380">
        <v>8.8332935890017103E-2</v>
      </c>
      <c r="O380">
        <v>0.52123785723643401</v>
      </c>
      <c r="P380">
        <v>6.4256694217557503E-2</v>
      </c>
      <c r="Q380">
        <v>0.63654530496308404</v>
      </c>
      <c r="R380">
        <v>0</v>
      </c>
      <c r="S380">
        <v>75</v>
      </c>
      <c r="T380">
        <v>175</v>
      </c>
      <c r="U380">
        <v>340486704434.32001</v>
      </c>
      <c r="V380">
        <v>1193616</v>
      </c>
    </row>
    <row r="381" spans="1:22" x14ac:dyDescent="0.25">
      <c r="A381">
        <v>0.98318770368624797</v>
      </c>
      <c r="B381">
        <v>18.409938498613801</v>
      </c>
      <c r="C381">
        <v>18.236013868373998</v>
      </c>
      <c r="D381">
        <v>0</v>
      </c>
      <c r="E381">
        <v>4.6332225912009903</v>
      </c>
      <c r="F381">
        <v>4.0998170909263099</v>
      </c>
      <c r="G381">
        <v>72.3880420834994</v>
      </c>
      <c r="H381">
        <v>21.662070809990102</v>
      </c>
      <c r="I381">
        <v>68.934242382410602</v>
      </c>
      <c r="J381">
        <v>63.730618640860399</v>
      </c>
      <c r="K381">
        <v>172460.75412423199</v>
      </c>
      <c r="L381">
        <v>753.78128382340299</v>
      </c>
      <c r="M381">
        <v>0.10066205812993299</v>
      </c>
      <c r="N381">
        <v>8.4281109879720595E-2</v>
      </c>
      <c r="O381">
        <v>0.58600707418620601</v>
      </c>
      <c r="P381">
        <v>3.5739283019368302E-2</v>
      </c>
      <c r="Q381">
        <v>0.63930136298887297</v>
      </c>
      <c r="R381">
        <v>0</v>
      </c>
      <c r="S381">
        <v>75</v>
      </c>
      <c r="T381">
        <v>180</v>
      </c>
      <c r="U381">
        <v>7887837511.3800001</v>
      </c>
      <c r="V381">
        <v>45737</v>
      </c>
    </row>
    <row r="382" spans="1:22" x14ac:dyDescent="0.25">
      <c r="A382">
        <v>0.99287883020776002</v>
      </c>
      <c r="B382">
        <v>8.2185295889208607</v>
      </c>
      <c r="C382">
        <v>83.385019932240397</v>
      </c>
      <c r="D382">
        <v>0</v>
      </c>
      <c r="E382">
        <v>4.64161804766053</v>
      </c>
      <c r="F382">
        <v>4.1963075867010602</v>
      </c>
      <c r="G382">
        <v>77.436285259912196</v>
      </c>
      <c r="H382">
        <v>22.297126304868002</v>
      </c>
      <c r="I382">
        <v>60.465095050845797</v>
      </c>
      <c r="J382">
        <v>4.4197323831790198</v>
      </c>
      <c r="K382">
        <v>5748.5494170403499</v>
      </c>
      <c r="L382">
        <v>772.34040071709103</v>
      </c>
      <c r="M382">
        <v>3.54467248767633E-2</v>
      </c>
      <c r="N382">
        <v>6.0937317478487997E-2</v>
      </c>
      <c r="O382">
        <v>0.62394173211529502</v>
      </c>
      <c r="P382">
        <v>2.9402636899968301E-2</v>
      </c>
      <c r="Q382">
        <v>0.31905860979717698</v>
      </c>
      <c r="R382">
        <v>0</v>
      </c>
      <c r="S382">
        <v>80</v>
      </c>
      <c r="T382">
        <v>10</v>
      </c>
      <c r="U382">
        <v>3845779.56</v>
      </c>
      <c r="V382">
        <v>669</v>
      </c>
    </row>
    <row r="383" spans="1:22" x14ac:dyDescent="0.25">
      <c r="A383">
        <v>0.99284987448717099</v>
      </c>
      <c r="B383">
        <v>8.25064435214491</v>
      </c>
      <c r="C383">
        <v>63.028832758399297</v>
      </c>
      <c r="D383">
        <v>0</v>
      </c>
      <c r="E383">
        <v>4.6748907819052699</v>
      </c>
      <c r="F383">
        <v>4.2020778237935303</v>
      </c>
      <c r="G383">
        <v>77.446514420563801</v>
      </c>
      <c r="H383">
        <v>22.278860768895399</v>
      </c>
      <c r="I383">
        <v>55.812004546642399</v>
      </c>
      <c r="J383">
        <v>16.629976021755301</v>
      </c>
      <c r="K383">
        <v>15835.227224489699</v>
      </c>
      <c r="L383">
        <v>766.60941322798601</v>
      </c>
      <c r="M383">
        <v>4.1942037058216503E-2</v>
      </c>
      <c r="N383">
        <v>4.5434631539295403E-2</v>
      </c>
      <c r="O383">
        <v>0.70045768643573803</v>
      </c>
      <c r="P383">
        <v>2.8815799193930298E-2</v>
      </c>
      <c r="Q383">
        <v>0.32075791680105098</v>
      </c>
      <c r="R383">
        <v>0</v>
      </c>
      <c r="S383">
        <v>80</v>
      </c>
      <c r="T383">
        <v>20</v>
      </c>
      <c r="U383">
        <v>23277784.02</v>
      </c>
      <c r="V383">
        <v>1470</v>
      </c>
    </row>
    <row r="384" spans="1:22" x14ac:dyDescent="0.25">
      <c r="A384">
        <v>0.99222363862055596</v>
      </c>
      <c r="B384">
        <v>8.9426865300533098</v>
      </c>
      <c r="C384">
        <v>32.724730133075198</v>
      </c>
      <c r="D384">
        <v>0</v>
      </c>
      <c r="E384">
        <v>4.7502350534136797</v>
      </c>
      <c r="F384">
        <v>4.2302480254012096</v>
      </c>
      <c r="G384">
        <v>77.417357774770196</v>
      </c>
      <c r="H384">
        <v>21.899658225726299</v>
      </c>
      <c r="I384">
        <v>53.412098781240203</v>
      </c>
      <c r="J384">
        <v>35.011144369518298</v>
      </c>
      <c r="K384">
        <v>26051.5992074159</v>
      </c>
      <c r="L384">
        <v>755.423080908001</v>
      </c>
      <c r="M384">
        <v>4.4259990173073901E-2</v>
      </c>
      <c r="N384">
        <v>3.8928124970113998E-2</v>
      </c>
      <c r="O384">
        <v>0.77072393518861104</v>
      </c>
      <c r="P384">
        <v>2.7495890133827298E-2</v>
      </c>
      <c r="Q384">
        <v>0.39057896654392699</v>
      </c>
      <c r="R384">
        <v>0</v>
      </c>
      <c r="S384">
        <v>80</v>
      </c>
      <c r="T384">
        <v>30</v>
      </c>
      <c r="U384">
        <v>112412650.58</v>
      </c>
      <c r="V384">
        <v>4315</v>
      </c>
    </row>
    <row r="385" spans="1:22" x14ac:dyDescent="0.25">
      <c r="A385">
        <v>0.99157708170290904</v>
      </c>
      <c r="B385">
        <v>9.6521619961200091</v>
      </c>
      <c r="C385">
        <v>18.7675114132016</v>
      </c>
      <c r="D385">
        <v>0</v>
      </c>
      <c r="E385">
        <v>4.7604423953598198</v>
      </c>
      <c r="F385">
        <v>4.2260683071814604</v>
      </c>
      <c r="G385">
        <v>77.425992053759103</v>
      </c>
      <c r="H385">
        <v>21.731118903779599</v>
      </c>
      <c r="I385">
        <v>54.711975779338303</v>
      </c>
      <c r="J385">
        <v>43.906590094938601</v>
      </c>
      <c r="K385">
        <v>35926.390716024798</v>
      </c>
      <c r="L385">
        <v>754.17219941972201</v>
      </c>
      <c r="M385">
        <v>5.12843422816152E-2</v>
      </c>
      <c r="N385">
        <v>4.1477829574204303E-2</v>
      </c>
      <c r="O385">
        <v>0.75034859637041396</v>
      </c>
      <c r="P385">
        <v>2.5099048838930899E-2</v>
      </c>
      <c r="Q385">
        <v>0.45478827879004902</v>
      </c>
      <c r="R385">
        <v>0</v>
      </c>
      <c r="S385">
        <v>80</v>
      </c>
      <c r="T385">
        <v>40</v>
      </c>
      <c r="U385">
        <v>398387746.64999998</v>
      </c>
      <c r="V385">
        <v>11089</v>
      </c>
    </row>
    <row r="386" spans="1:22" x14ac:dyDescent="0.25">
      <c r="A386">
        <v>0.99063726710355404</v>
      </c>
      <c r="B386">
        <v>10.6744000454733</v>
      </c>
      <c r="C386">
        <v>13.675109586760801</v>
      </c>
      <c r="D386">
        <v>0</v>
      </c>
      <c r="E386">
        <v>4.7465267400717703</v>
      </c>
      <c r="F386">
        <v>4.2121181914068702</v>
      </c>
      <c r="G386">
        <v>77.4341307564723</v>
      </c>
      <c r="H386">
        <v>21.909964841715301</v>
      </c>
      <c r="I386">
        <v>55.425785431792399</v>
      </c>
      <c r="J386">
        <v>47.9386503412004</v>
      </c>
      <c r="K386">
        <v>45957.454303188199</v>
      </c>
      <c r="L386">
        <v>752.72374389639799</v>
      </c>
      <c r="M386">
        <v>6.1440001003367398E-2</v>
      </c>
      <c r="N386">
        <v>5.6117784181239E-2</v>
      </c>
      <c r="O386">
        <v>0.72521968878345999</v>
      </c>
      <c r="P386">
        <v>2.8503750553134099E-2</v>
      </c>
      <c r="Q386">
        <v>0.53195209076782202</v>
      </c>
      <c r="R386">
        <v>0</v>
      </c>
      <c r="S386">
        <v>80</v>
      </c>
      <c r="T386">
        <v>50</v>
      </c>
      <c r="U386">
        <v>1145949123.05</v>
      </c>
      <c r="V386">
        <v>24935</v>
      </c>
    </row>
    <row r="387" spans="1:22" x14ac:dyDescent="0.25">
      <c r="A387">
        <v>0.98975360693900705</v>
      </c>
      <c r="B387">
        <v>11.625876918058299</v>
      </c>
      <c r="C387">
        <v>11.6092063002649</v>
      </c>
      <c r="D387">
        <v>0</v>
      </c>
      <c r="E387">
        <v>4.7525803288314901</v>
      </c>
      <c r="F387">
        <v>4.20429381070924</v>
      </c>
      <c r="G387">
        <v>77.425676964070107</v>
      </c>
      <c r="H387">
        <v>21.842406057861002</v>
      </c>
      <c r="I387">
        <v>59.147108217771702</v>
      </c>
      <c r="J387">
        <v>52.747944273402801</v>
      </c>
      <c r="K387">
        <v>55475.500239935798</v>
      </c>
      <c r="L387">
        <v>750.59706251453895</v>
      </c>
      <c r="M387">
        <v>6.8537827504853793E-2</v>
      </c>
      <c r="N387">
        <v>6.2200566741330197E-2</v>
      </c>
      <c r="O387">
        <v>0.71727939200343305</v>
      </c>
      <c r="P387">
        <v>3.2987594837293098E-2</v>
      </c>
      <c r="Q387">
        <v>0.57832054325696503</v>
      </c>
      <c r="R387">
        <v>0</v>
      </c>
      <c r="S387">
        <v>80</v>
      </c>
      <c r="T387">
        <v>60</v>
      </c>
      <c r="U387">
        <v>2282040177.8699999</v>
      </c>
      <c r="V387">
        <v>41136</v>
      </c>
    </row>
    <row r="388" spans="1:22" x14ac:dyDescent="0.25">
      <c r="A388">
        <v>0.98890655831101304</v>
      </c>
      <c r="B388">
        <v>12.5292027140733</v>
      </c>
      <c r="C388">
        <v>10.7580092403281</v>
      </c>
      <c r="D388">
        <v>0</v>
      </c>
      <c r="E388">
        <v>4.7504104074723204</v>
      </c>
      <c r="F388">
        <v>4.1918861448146796</v>
      </c>
      <c r="G388">
        <v>77.429919946470207</v>
      </c>
      <c r="H388">
        <v>21.9718074570639</v>
      </c>
      <c r="I388">
        <v>61.050223480199598</v>
      </c>
      <c r="J388">
        <v>55.141890178414897</v>
      </c>
      <c r="K388">
        <v>65259.141562906501</v>
      </c>
      <c r="L388">
        <v>751.21520006763603</v>
      </c>
      <c r="M388">
        <v>7.1537454597778105E-2</v>
      </c>
      <c r="N388">
        <v>6.3854310011881604E-2</v>
      </c>
      <c r="O388">
        <v>0.70046227174696996</v>
      </c>
      <c r="P388">
        <v>3.4401992023924001E-2</v>
      </c>
      <c r="Q388">
        <v>0.60915731310329102</v>
      </c>
      <c r="R388">
        <v>0</v>
      </c>
      <c r="S388">
        <v>80</v>
      </c>
      <c r="T388">
        <v>70</v>
      </c>
      <c r="U388">
        <v>3661494655.6700001</v>
      </c>
      <c r="V388">
        <v>56107</v>
      </c>
    </row>
    <row r="389" spans="1:22" x14ac:dyDescent="0.25">
      <c r="A389">
        <v>0.988186656884538</v>
      </c>
      <c r="B389">
        <v>13.2902716335973</v>
      </c>
      <c r="C389">
        <v>11.0512213739191</v>
      </c>
      <c r="D389">
        <v>0</v>
      </c>
      <c r="E389">
        <v>4.7356964638740902</v>
      </c>
      <c r="F389">
        <v>4.1789895125460097</v>
      </c>
      <c r="G389">
        <v>77.449657023005798</v>
      </c>
      <c r="H389">
        <v>21.674223807724299</v>
      </c>
      <c r="I389">
        <v>60.737804060472001</v>
      </c>
      <c r="J389">
        <v>55.584413343810603</v>
      </c>
      <c r="K389">
        <v>75198.024855009193</v>
      </c>
      <c r="L389">
        <v>752.44962505269905</v>
      </c>
      <c r="M389">
        <v>7.9509123261954501E-2</v>
      </c>
      <c r="N389">
        <v>6.8416264435441201E-2</v>
      </c>
      <c r="O389">
        <v>0.68805886721583898</v>
      </c>
      <c r="P389">
        <v>3.1977231085384097E-2</v>
      </c>
      <c r="Q389">
        <v>0.64667775424357699</v>
      </c>
      <c r="R389">
        <v>0</v>
      </c>
      <c r="S389">
        <v>80</v>
      </c>
      <c r="T389">
        <v>80</v>
      </c>
      <c r="U389">
        <v>5427567839.96</v>
      </c>
      <c r="V389">
        <v>72177</v>
      </c>
    </row>
    <row r="390" spans="1:22" x14ac:dyDescent="0.25">
      <c r="A390">
        <v>0.98748964600182498</v>
      </c>
      <c r="B390">
        <v>14.0213527091994</v>
      </c>
      <c r="C390">
        <v>11.748204748187501</v>
      </c>
      <c r="D390">
        <v>0</v>
      </c>
      <c r="E390">
        <v>4.7296683465402198</v>
      </c>
      <c r="F390">
        <v>4.1609664897640899</v>
      </c>
      <c r="G390">
        <v>77.449574162726293</v>
      </c>
      <c r="H390">
        <v>21.805417160657601</v>
      </c>
      <c r="I390">
        <v>63.608797204285402</v>
      </c>
      <c r="J390">
        <v>58.433233150014097</v>
      </c>
      <c r="K390">
        <v>85167.6497266886</v>
      </c>
      <c r="L390">
        <v>752.39821367301704</v>
      </c>
      <c r="M390">
        <v>8.7179076760931798E-2</v>
      </c>
      <c r="N390">
        <v>6.9598276555587493E-2</v>
      </c>
      <c r="O390">
        <v>0.67900112634084897</v>
      </c>
      <c r="P390">
        <v>3.1133251033958399E-2</v>
      </c>
      <c r="Q390">
        <v>0.65668391761323197</v>
      </c>
      <c r="R390">
        <v>0</v>
      </c>
      <c r="S390">
        <v>80</v>
      </c>
      <c r="T390">
        <v>90</v>
      </c>
      <c r="U390">
        <v>7092336030.9899998</v>
      </c>
      <c r="V390">
        <v>83275</v>
      </c>
    </row>
    <row r="391" spans="1:22" x14ac:dyDescent="0.25">
      <c r="A391">
        <v>0.98679908579945896</v>
      </c>
      <c r="B391">
        <v>14.740091605873801</v>
      </c>
      <c r="C391">
        <v>11.925099715396</v>
      </c>
      <c r="D391">
        <v>0</v>
      </c>
      <c r="E391">
        <v>4.71862320784488</v>
      </c>
      <c r="F391">
        <v>4.1484015582306801</v>
      </c>
      <c r="G391">
        <v>77.446056286051302</v>
      </c>
      <c r="H391">
        <v>21.666648396159701</v>
      </c>
      <c r="I391">
        <v>63.300127644348997</v>
      </c>
      <c r="J391">
        <v>58.510913130343901</v>
      </c>
      <c r="K391">
        <v>95318.8076537585</v>
      </c>
      <c r="L391">
        <v>754.28342171438703</v>
      </c>
      <c r="M391">
        <v>8.5221069437847699E-2</v>
      </c>
      <c r="N391">
        <v>7.3371474009532603E-2</v>
      </c>
      <c r="O391">
        <v>0.65029510309430505</v>
      </c>
      <c r="P391">
        <v>3.1433350012049097E-2</v>
      </c>
      <c r="Q391">
        <v>0.63186176872955402</v>
      </c>
      <c r="R391">
        <v>0</v>
      </c>
      <c r="S391">
        <v>80</v>
      </c>
      <c r="T391">
        <v>100</v>
      </c>
      <c r="U391">
        <v>10335704270.32</v>
      </c>
      <c r="V391">
        <v>108433</v>
      </c>
    </row>
    <row r="392" spans="1:22" x14ac:dyDescent="0.25">
      <c r="A392">
        <v>0.98609770502989802</v>
      </c>
      <c r="B392">
        <v>15.4644511460864</v>
      </c>
      <c r="C392">
        <v>12.5992129708891</v>
      </c>
      <c r="D392">
        <v>0</v>
      </c>
      <c r="E392">
        <v>4.7171908755597496</v>
      </c>
      <c r="F392">
        <v>4.1335605582302604</v>
      </c>
      <c r="G392">
        <v>77.451728857947501</v>
      </c>
      <c r="H392">
        <v>21.824375091174101</v>
      </c>
      <c r="I392">
        <v>65.969894928577204</v>
      </c>
      <c r="J392">
        <v>61.0797088793569</v>
      </c>
      <c r="K392">
        <v>104999.32086624501</v>
      </c>
      <c r="L392">
        <v>752.79971638268898</v>
      </c>
      <c r="M392">
        <v>9.55742937953174E-2</v>
      </c>
      <c r="N392">
        <v>6.9667713637660195E-2</v>
      </c>
      <c r="O392">
        <v>0.63999439335033204</v>
      </c>
      <c r="P392">
        <v>2.8708088360077301E-2</v>
      </c>
      <c r="Q392">
        <v>0.65703069489756805</v>
      </c>
      <c r="R392">
        <v>0</v>
      </c>
      <c r="S392">
        <v>80</v>
      </c>
      <c r="T392">
        <v>110</v>
      </c>
      <c r="U392">
        <v>10326053211.27</v>
      </c>
      <c r="V392">
        <v>98344</v>
      </c>
    </row>
    <row r="393" spans="1:22" x14ac:dyDescent="0.25">
      <c r="A393">
        <v>0.98546769404514201</v>
      </c>
      <c r="B393">
        <v>16.110288697868601</v>
      </c>
      <c r="C393">
        <v>13.5851955064928</v>
      </c>
      <c r="D393">
        <v>0</v>
      </c>
      <c r="E393">
        <v>4.7034209058926102</v>
      </c>
      <c r="F393">
        <v>4.1221511698675899</v>
      </c>
      <c r="G393">
        <v>77.451165295401097</v>
      </c>
      <c r="H393">
        <v>21.980047673254202</v>
      </c>
      <c r="I393">
        <v>66.386346335604003</v>
      </c>
      <c r="J393">
        <v>61.451487537503901</v>
      </c>
      <c r="K393">
        <v>115055.03275111799</v>
      </c>
      <c r="L393">
        <v>753.838376687611</v>
      </c>
      <c r="M393">
        <v>0.10023088330107401</v>
      </c>
      <c r="N393">
        <v>7.0614393262263805E-2</v>
      </c>
      <c r="O393">
        <v>0.62270007274924299</v>
      </c>
      <c r="P393">
        <v>2.9270702239471699E-2</v>
      </c>
      <c r="Q393">
        <v>0.65738682626662104</v>
      </c>
      <c r="R393">
        <v>0</v>
      </c>
      <c r="S393">
        <v>80</v>
      </c>
      <c r="T393">
        <v>120</v>
      </c>
      <c r="U393">
        <v>11575686845.09</v>
      </c>
      <c r="V393">
        <v>100610</v>
      </c>
    </row>
    <row r="394" spans="1:22" x14ac:dyDescent="0.25">
      <c r="A394">
        <v>0.98489720860875296</v>
      </c>
      <c r="B394">
        <v>16.6911999864667</v>
      </c>
      <c r="C394">
        <v>14.637533287266701</v>
      </c>
      <c r="D394">
        <v>0</v>
      </c>
      <c r="E394">
        <v>4.6971577104638298</v>
      </c>
      <c r="F394">
        <v>4.1156268657006603</v>
      </c>
      <c r="G394">
        <v>77.455204634414798</v>
      </c>
      <c r="H394">
        <v>21.8492610648983</v>
      </c>
      <c r="I394">
        <v>66.5806248361</v>
      </c>
      <c r="J394">
        <v>61.761055023864103</v>
      </c>
      <c r="K394">
        <v>124912.312207797</v>
      </c>
      <c r="L394">
        <v>754.02032261843203</v>
      </c>
      <c r="M394">
        <v>9.8967116337142405E-2</v>
      </c>
      <c r="N394">
        <v>7.6736467079263002E-2</v>
      </c>
      <c r="O394">
        <v>0.617284933886868</v>
      </c>
      <c r="P394">
        <v>2.9745667800915501E-2</v>
      </c>
      <c r="Q394">
        <v>0.65932045531862005</v>
      </c>
      <c r="R394">
        <v>0</v>
      </c>
      <c r="S394">
        <v>80</v>
      </c>
      <c r="T394">
        <v>130</v>
      </c>
      <c r="U394">
        <v>12816003232.52</v>
      </c>
      <c r="V394">
        <v>102600</v>
      </c>
    </row>
    <row r="395" spans="1:22" x14ac:dyDescent="0.25">
      <c r="A395">
        <v>0.98431842052575302</v>
      </c>
      <c r="B395">
        <v>17.276795277948501</v>
      </c>
      <c r="C395">
        <v>15.1423974799847</v>
      </c>
      <c r="D395">
        <v>0</v>
      </c>
      <c r="E395">
        <v>4.6910680391323103</v>
      </c>
      <c r="F395">
        <v>4.1080191543737801</v>
      </c>
      <c r="G395">
        <v>77.451021616687399</v>
      </c>
      <c r="H395">
        <v>21.9513284772395</v>
      </c>
      <c r="I395">
        <v>67.2467065606684</v>
      </c>
      <c r="J395">
        <v>62.304191002571201</v>
      </c>
      <c r="K395">
        <v>134935.29414679299</v>
      </c>
      <c r="L395">
        <v>753.51143682347504</v>
      </c>
      <c r="M395">
        <v>0.102738602690332</v>
      </c>
      <c r="N395">
        <v>7.7169745612098495E-2</v>
      </c>
      <c r="O395">
        <v>0.610224238961532</v>
      </c>
      <c r="P395">
        <v>3.11231210555203E-2</v>
      </c>
      <c r="Q395">
        <v>0.66594667476491298</v>
      </c>
      <c r="R395">
        <v>0</v>
      </c>
      <c r="S395">
        <v>80</v>
      </c>
      <c r="T395">
        <v>140</v>
      </c>
      <c r="U395">
        <v>13115440720.48</v>
      </c>
      <c r="V395">
        <v>97198</v>
      </c>
    </row>
    <row r="396" spans="1:22" x14ac:dyDescent="0.25">
      <c r="A396">
        <v>0.98370408892299699</v>
      </c>
      <c r="B396">
        <v>17.894222256582601</v>
      </c>
      <c r="C396">
        <v>16.657577486193698</v>
      </c>
      <c r="D396">
        <v>0</v>
      </c>
      <c r="E396">
        <v>4.6827414351668599</v>
      </c>
      <c r="F396">
        <v>4.10489222441743</v>
      </c>
      <c r="G396">
        <v>77.4594600008692</v>
      </c>
      <c r="H396">
        <v>21.812414331393601</v>
      </c>
      <c r="I396">
        <v>66.060739105145998</v>
      </c>
      <c r="J396">
        <v>61.403437414638397</v>
      </c>
      <c r="K396">
        <v>144972.28674646199</v>
      </c>
      <c r="L396">
        <v>754.58409035676596</v>
      </c>
      <c r="M396">
        <v>9.9899477313513702E-2</v>
      </c>
      <c r="N396">
        <v>7.6833027915827107E-2</v>
      </c>
      <c r="O396">
        <v>0.59943385403549698</v>
      </c>
      <c r="P396">
        <v>3.2538473564976703E-2</v>
      </c>
      <c r="Q396">
        <v>0.66633807050481397</v>
      </c>
      <c r="R396">
        <v>0</v>
      </c>
      <c r="S396">
        <v>80</v>
      </c>
      <c r="T396">
        <v>150</v>
      </c>
      <c r="U396">
        <v>14497953536.08</v>
      </c>
      <c r="V396">
        <v>100005</v>
      </c>
    </row>
    <row r="397" spans="1:22" x14ac:dyDescent="0.25">
      <c r="A397">
        <v>0.98308822806714802</v>
      </c>
      <c r="B397">
        <v>18.5089434832385</v>
      </c>
      <c r="C397">
        <v>17.586171893656601</v>
      </c>
      <c r="D397">
        <v>0</v>
      </c>
      <c r="E397">
        <v>4.6869190913401004</v>
      </c>
      <c r="F397">
        <v>4.1011571106418998</v>
      </c>
      <c r="G397">
        <v>77.460591847974996</v>
      </c>
      <c r="H397">
        <v>21.8843997313516</v>
      </c>
      <c r="I397">
        <v>67.434076076871307</v>
      </c>
      <c r="J397">
        <v>62.717876743650798</v>
      </c>
      <c r="K397">
        <v>154955.22280135399</v>
      </c>
      <c r="L397">
        <v>753.44273546547902</v>
      </c>
      <c r="M397">
        <v>0.104907854807114</v>
      </c>
      <c r="N397">
        <v>7.8712214204124997E-2</v>
      </c>
      <c r="O397">
        <v>0.59115082847577605</v>
      </c>
      <c r="P397">
        <v>3.0157760439464502E-2</v>
      </c>
      <c r="Q397">
        <v>0.68627390496622698</v>
      </c>
      <c r="R397">
        <v>0</v>
      </c>
      <c r="S397">
        <v>80</v>
      </c>
      <c r="T397">
        <v>160</v>
      </c>
      <c r="U397">
        <v>13820301366.43</v>
      </c>
      <c r="V397">
        <v>89189</v>
      </c>
    </row>
    <row r="398" spans="1:22" x14ac:dyDescent="0.25">
      <c r="A398">
        <v>0.98240034520988095</v>
      </c>
      <c r="B398">
        <v>19.1905637767588</v>
      </c>
      <c r="C398">
        <v>18.258377903551299</v>
      </c>
      <c r="D398">
        <v>0</v>
      </c>
      <c r="E398">
        <v>4.6806144526534101</v>
      </c>
      <c r="F398">
        <v>4.0940922176395702</v>
      </c>
      <c r="G398">
        <v>77.447700920479306</v>
      </c>
      <c r="H398">
        <v>21.978410864807302</v>
      </c>
      <c r="I398">
        <v>67.979225489336898</v>
      </c>
      <c r="J398">
        <v>63.216108879431999</v>
      </c>
      <c r="K398">
        <v>164996.19574534</v>
      </c>
      <c r="L398">
        <v>753.69218708466803</v>
      </c>
      <c r="M398">
        <v>0.107010029225763</v>
      </c>
      <c r="N398">
        <v>8.0902766873040599E-2</v>
      </c>
      <c r="O398">
        <v>0.57919391235596296</v>
      </c>
      <c r="P398">
        <v>3.3092041190098898E-2</v>
      </c>
      <c r="Q398">
        <v>0.67454934934977095</v>
      </c>
      <c r="R398">
        <v>0</v>
      </c>
      <c r="S398">
        <v>80</v>
      </c>
      <c r="T398">
        <v>170</v>
      </c>
      <c r="U398">
        <v>14466536450.559999</v>
      </c>
      <c r="V398">
        <v>87678</v>
      </c>
    </row>
    <row r="399" spans="1:22" x14ac:dyDescent="0.25">
      <c r="A399">
        <v>0.97517214054325596</v>
      </c>
      <c r="B399">
        <v>26.043657269215199</v>
      </c>
      <c r="C399">
        <v>30.4373048900306</v>
      </c>
      <c r="D399">
        <v>0</v>
      </c>
      <c r="E399">
        <v>4.6456013596066397</v>
      </c>
      <c r="F399">
        <v>4.0641856115392301</v>
      </c>
      <c r="G399">
        <v>77.449143195347503</v>
      </c>
      <c r="H399">
        <v>21.7447922521769</v>
      </c>
      <c r="I399">
        <v>68.098909292951106</v>
      </c>
      <c r="J399">
        <v>63.443155434998602</v>
      </c>
      <c r="K399">
        <v>285674.88746722299</v>
      </c>
      <c r="L399">
        <v>754.20298051496002</v>
      </c>
      <c r="M399">
        <v>0.16605765028664499</v>
      </c>
      <c r="N399">
        <v>8.2234269204526103E-2</v>
      </c>
      <c r="O399">
        <v>0.51854716591860905</v>
      </c>
      <c r="P399">
        <v>6.4562282891004394E-2</v>
      </c>
      <c r="Q399">
        <v>0.66652750971667496</v>
      </c>
      <c r="R399">
        <v>0</v>
      </c>
      <c r="S399">
        <v>80</v>
      </c>
      <c r="T399">
        <v>175</v>
      </c>
      <c r="U399">
        <v>320480373056.67999</v>
      </c>
      <c r="V399">
        <v>1121836</v>
      </c>
    </row>
    <row r="400" spans="1:22" x14ac:dyDescent="0.25">
      <c r="A400">
        <v>0.98188557390910303</v>
      </c>
      <c r="B400">
        <v>19.697225277039301</v>
      </c>
      <c r="C400">
        <v>17.680623716215401</v>
      </c>
      <c r="D400">
        <v>0</v>
      </c>
      <c r="E400">
        <v>4.6800792442240002</v>
      </c>
      <c r="F400">
        <v>4.0933273554472001</v>
      </c>
      <c r="G400">
        <v>77.457632933254899</v>
      </c>
      <c r="H400">
        <v>21.906658663836801</v>
      </c>
      <c r="I400">
        <v>67.972767990899101</v>
      </c>
      <c r="J400">
        <v>63.255898241417697</v>
      </c>
      <c r="K400">
        <v>172468.45913571</v>
      </c>
      <c r="L400">
        <v>754.92749022395901</v>
      </c>
      <c r="M400">
        <v>0.103397366077832</v>
      </c>
      <c r="N400">
        <v>8.3238590906015306E-2</v>
      </c>
      <c r="O400">
        <v>0.57105297198710403</v>
      </c>
      <c r="P400">
        <v>3.59988226888679E-2</v>
      </c>
      <c r="Q400">
        <v>0.667835407565885</v>
      </c>
      <c r="R400">
        <v>0</v>
      </c>
      <c r="S400">
        <v>80</v>
      </c>
      <c r="T400">
        <v>180</v>
      </c>
      <c r="U400">
        <v>7433218120.29</v>
      </c>
      <c r="V400">
        <v>43099</v>
      </c>
    </row>
    <row r="401" spans="1:22" x14ac:dyDescent="0.25">
      <c r="A401">
        <v>0.99267106581956199</v>
      </c>
      <c r="B401">
        <v>8.4487327841142594</v>
      </c>
      <c r="C401">
        <v>90.728537237565007</v>
      </c>
      <c r="D401">
        <v>0</v>
      </c>
      <c r="E401">
        <v>4.6719628535009399</v>
      </c>
      <c r="F401">
        <v>4.1872150302223998</v>
      </c>
      <c r="G401">
        <v>82.647215069339794</v>
      </c>
      <c r="H401">
        <v>23.353357455901701</v>
      </c>
      <c r="I401">
        <v>60.053348645626599</v>
      </c>
      <c r="J401">
        <v>4.3200006949406697</v>
      </c>
      <c r="K401">
        <v>5688.8814809160303</v>
      </c>
      <c r="L401">
        <v>770.371545627248</v>
      </c>
      <c r="M401">
        <v>3.8900390290435398E-2</v>
      </c>
      <c r="N401">
        <v>9.0239714061555107E-2</v>
      </c>
      <c r="O401">
        <v>0.66462432920278003</v>
      </c>
      <c r="P401">
        <v>2.4384135700596499E-2</v>
      </c>
      <c r="Q401">
        <v>0.32185742293397102</v>
      </c>
      <c r="R401">
        <v>0</v>
      </c>
      <c r="S401">
        <v>85</v>
      </c>
      <c r="T401">
        <v>10</v>
      </c>
      <c r="U401">
        <v>3726217.37</v>
      </c>
      <c r="V401">
        <v>655</v>
      </c>
    </row>
    <row r="402" spans="1:22" x14ac:dyDescent="0.25">
      <c r="A402">
        <v>0.99252628220331995</v>
      </c>
      <c r="B402">
        <v>8.6088401475413008</v>
      </c>
      <c r="C402">
        <v>62.5473368969582</v>
      </c>
      <c r="D402">
        <v>0</v>
      </c>
      <c r="E402">
        <v>4.69909520823321</v>
      </c>
      <c r="F402">
        <v>4.1862828190560197</v>
      </c>
      <c r="G402">
        <v>82.552792082773607</v>
      </c>
      <c r="H402">
        <v>23.3830353211067</v>
      </c>
      <c r="I402">
        <v>55.741527468698401</v>
      </c>
      <c r="J402">
        <v>17.125508410806901</v>
      </c>
      <c r="K402">
        <v>15792.4544651162</v>
      </c>
      <c r="L402">
        <v>765.21566550161697</v>
      </c>
      <c r="M402">
        <v>3.8952491932670003E-2</v>
      </c>
      <c r="N402">
        <v>4.8525639792306202E-2</v>
      </c>
      <c r="O402">
        <v>0.71529893671661204</v>
      </c>
      <c r="P402">
        <v>2.90322537173212E-2</v>
      </c>
      <c r="Q402">
        <v>0.31010219478645201</v>
      </c>
      <c r="R402">
        <v>0</v>
      </c>
      <c r="S402">
        <v>85</v>
      </c>
      <c r="T402">
        <v>20</v>
      </c>
      <c r="U402">
        <v>23767643.969999999</v>
      </c>
      <c r="V402">
        <v>1505</v>
      </c>
    </row>
    <row r="403" spans="1:22" x14ac:dyDescent="0.25">
      <c r="A403">
        <v>0.99206590749189005</v>
      </c>
      <c r="B403">
        <v>9.1162363802921291</v>
      </c>
      <c r="C403">
        <v>26.785549213665998</v>
      </c>
      <c r="D403">
        <v>0</v>
      </c>
      <c r="E403">
        <v>4.7540110459087703</v>
      </c>
      <c r="F403">
        <v>4.1979919440383497</v>
      </c>
      <c r="G403">
        <v>82.565434961426703</v>
      </c>
      <c r="H403">
        <v>22.832008304064999</v>
      </c>
      <c r="I403">
        <v>52.239088989438201</v>
      </c>
      <c r="J403">
        <v>34.657963807982597</v>
      </c>
      <c r="K403">
        <v>26088.195607721598</v>
      </c>
      <c r="L403">
        <v>757.29470266962596</v>
      </c>
      <c r="M403">
        <v>5.3172728822752598E-2</v>
      </c>
      <c r="N403">
        <v>4.4307085515152902E-2</v>
      </c>
      <c r="O403">
        <v>0.79012533465259205</v>
      </c>
      <c r="P403">
        <v>2.6960530081708799E-2</v>
      </c>
      <c r="Q403">
        <v>0.43379509772816299</v>
      </c>
      <c r="R403">
        <v>0</v>
      </c>
      <c r="S403">
        <v>85</v>
      </c>
      <c r="T403">
        <v>30</v>
      </c>
      <c r="U403">
        <v>109466068.77</v>
      </c>
      <c r="V403">
        <v>4196</v>
      </c>
    </row>
    <row r="404" spans="1:22" x14ac:dyDescent="0.25">
      <c r="A404">
        <v>0.99123972030239205</v>
      </c>
      <c r="B404">
        <v>10.020337940360101</v>
      </c>
      <c r="C404">
        <v>18.085609733114399</v>
      </c>
      <c r="D404">
        <v>0</v>
      </c>
      <c r="E404">
        <v>4.7722962948330503</v>
      </c>
      <c r="F404">
        <v>4.2011633729070903</v>
      </c>
      <c r="G404">
        <v>82.593321641672205</v>
      </c>
      <c r="H404">
        <v>22.8096999963456</v>
      </c>
      <c r="I404">
        <v>54.097253055483002</v>
      </c>
      <c r="J404">
        <v>43.305295554256197</v>
      </c>
      <c r="K404">
        <v>35916.097461956502</v>
      </c>
      <c r="L404">
        <v>753.33735790558796</v>
      </c>
      <c r="M404">
        <v>6.1566115309946302E-2</v>
      </c>
      <c r="N404">
        <v>4.1780979023776303E-2</v>
      </c>
      <c r="O404">
        <v>0.77500880394639404</v>
      </c>
      <c r="P404">
        <v>2.5538025374412899E-2</v>
      </c>
      <c r="Q404">
        <v>0.498669849695624</v>
      </c>
      <c r="R404">
        <v>0</v>
      </c>
      <c r="S404">
        <v>85</v>
      </c>
      <c r="T404">
        <v>40</v>
      </c>
      <c r="U404">
        <v>396513715.98000002</v>
      </c>
      <c r="V404">
        <v>11040</v>
      </c>
    </row>
    <row r="405" spans="1:22" x14ac:dyDescent="0.25">
      <c r="A405">
        <v>0.99026310518217198</v>
      </c>
      <c r="B405">
        <v>11.078417506091</v>
      </c>
      <c r="C405">
        <v>12.762642744480999</v>
      </c>
      <c r="D405">
        <v>0</v>
      </c>
      <c r="E405">
        <v>4.7575840793543804</v>
      </c>
      <c r="F405">
        <v>4.1853038696264404</v>
      </c>
      <c r="G405">
        <v>82.567105469967402</v>
      </c>
      <c r="H405">
        <v>22.845440408258298</v>
      </c>
      <c r="I405">
        <v>54.910950943404998</v>
      </c>
      <c r="J405">
        <v>47.231938717041203</v>
      </c>
      <c r="K405">
        <v>45926.275746457599</v>
      </c>
      <c r="L405">
        <v>751.85166440350201</v>
      </c>
      <c r="M405">
        <v>6.5440750051589697E-2</v>
      </c>
      <c r="N405">
        <v>5.7653876480559599E-2</v>
      </c>
      <c r="O405">
        <v>0.73687326050114699</v>
      </c>
      <c r="P405">
        <v>3.0010997064381598E-2</v>
      </c>
      <c r="Q405">
        <v>0.56590309034574704</v>
      </c>
      <c r="R405">
        <v>0</v>
      </c>
      <c r="S405">
        <v>85</v>
      </c>
      <c r="T405">
        <v>50</v>
      </c>
      <c r="U405">
        <v>1160373283.01</v>
      </c>
      <c r="V405">
        <v>25266</v>
      </c>
    </row>
    <row r="406" spans="1:22" x14ac:dyDescent="0.25">
      <c r="A406">
        <v>0.98930308570179704</v>
      </c>
      <c r="B406">
        <v>12.1073894147831</v>
      </c>
      <c r="C406">
        <v>11.8301867039886</v>
      </c>
      <c r="D406">
        <v>0</v>
      </c>
      <c r="E406">
        <v>4.7543292005197904</v>
      </c>
      <c r="F406">
        <v>4.1674593880115101</v>
      </c>
      <c r="G406">
        <v>82.544323560849506</v>
      </c>
      <c r="H406">
        <v>22.77542896784</v>
      </c>
      <c r="I406">
        <v>59.123838390047901</v>
      </c>
      <c r="J406">
        <v>52.245613832335899</v>
      </c>
      <c r="K406">
        <v>55446.747398886197</v>
      </c>
      <c r="L406">
        <v>750.34171639319402</v>
      </c>
      <c r="M406">
        <v>7.2663598312632194E-2</v>
      </c>
      <c r="N406">
        <v>6.5731178694468304E-2</v>
      </c>
      <c r="O406">
        <v>0.72922018532320299</v>
      </c>
      <c r="P406">
        <v>3.21076543795542E-2</v>
      </c>
      <c r="Q406">
        <v>0.60216368740906101</v>
      </c>
      <c r="R406">
        <v>0</v>
      </c>
      <c r="S406">
        <v>85</v>
      </c>
      <c r="T406">
        <v>60</v>
      </c>
      <c r="U406">
        <v>2270211625.5</v>
      </c>
      <c r="V406">
        <v>40944</v>
      </c>
    </row>
    <row r="407" spans="1:22" x14ac:dyDescent="0.25">
      <c r="A407">
        <v>0.98833188813846995</v>
      </c>
      <c r="B407">
        <v>13.137225891070001</v>
      </c>
      <c r="C407">
        <v>11.3828194239056</v>
      </c>
      <c r="D407">
        <v>0</v>
      </c>
      <c r="E407">
        <v>4.7487669830529899</v>
      </c>
      <c r="F407">
        <v>4.15213231904632</v>
      </c>
      <c r="G407">
        <v>82.553774154156798</v>
      </c>
      <c r="H407">
        <v>22.7576714844731</v>
      </c>
      <c r="I407">
        <v>61.206033436848898</v>
      </c>
      <c r="J407">
        <v>54.767704809459197</v>
      </c>
      <c r="K407">
        <v>65235.502818209599</v>
      </c>
      <c r="L407">
        <v>750.37405056748901</v>
      </c>
      <c r="M407">
        <v>7.8007615790093507E-2</v>
      </c>
      <c r="N407">
        <v>6.4382535882197695E-2</v>
      </c>
      <c r="O407">
        <v>0.71122255341622698</v>
      </c>
      <c r="P407">
        <v>3.4578851071728998E-2</v>
      </c>
      <c r="Q407">
        <v>0.63496392948982305</v>
      </c>
      <c r="R407">
        <v>0</v>
      </c>
      <c r="S407">
        <v>85</v>
      </c>
      <c r="T407">
        <v>70</v>
      </c>
      <c r="U407">
        <v>3616851982.75</v>
      </c>
      <c r="V407">
        <v>55443</v>
      </c>
    </row>
    <row r="408" spans="1:22" x14ac:dyDescent="0.25">
      <c r="A408">
        <v>0.98751742806384302</v>
      </c>
      <c r="B408">
        <v>13.992321108464999</v>
      </c>
      <c r="C408">
        <v>11.9156258576197</v>
      </c>
      <c r="D408">
        <v>0</v>
      </c>
      <c r="E408">
        <v>4.7267867519278797</v>
      </c>
      <c r="F408">
        <v>4.1269704041903603</v>
      </c>
      <c r="G408">
        <v>82.538227156792701</v>
      </c>
      <c r="H408">
        <v>22.304068546815099</v>
      </c>
      <c r="I408">
        <v>61.704255742222799</v>
      </c>
      <c r="J408">
        <v>56.003143911067099</v>
      </c>
      <c r="K408">
        <v>75160.090350772894</v>
      </c>
      <c r="L408">
        <v>751.65172055107303</v>
      </c>
      <c r="M408">
        <v>8.3757966150674101E-2</v>
      </c>
      <c r="N408">
        <v>7.0387726594604294E-2</v>
      </c>
      <c r="O408">
        <v>0.69293539383431402</v>
      </c>
      <c r="P408">
        <v>3.28600217202559E-2</v>
      </c>
      <c r="Q408">
        <v>0.65925820440689897</v>
      </c>
      <c r="R408">
        <v>0</v>
      </c>
      <c r="S408">
        <v>85</v>
      </c>
      <c r="T408">
        <v>80</v>
      </c>
      <c r="U408">
        <v>5187474275.9200001</v>
      </c>
      <c r="V408">
        <v>69019</v>
      </c>
    </row>
    <row r="409" spans="1:22" x14ac:dyDescent="0.25">
      <c r="A409">
        <v>0.98671864815472698</v>
      </c>
      <c r="B409">
        <v>14.823452433734801</v>
      </c>
      <c r="C409">
        <v>11.1190257375399</v>
      </c>
      <c r="D409">
        <v>0</v>
      </c>
      <c r="E409">
        <v>4.7223194283148002</v>
      </c>
      <c r="F409">
        <v>4.1077636030709002</v>
      </c>
      <c r="G409">
        <v>82.516653503609405</v>
      </c>
      <c r="H409">
        <v>22.405218972823</v>
      </c>
      <c r="I409">
        <v>64.5783329435816</v>
      </c>
      <c r="J409">
        <v>58.939522699697498</v>
      </c>
      <c r="K409">
        <v>85161.275865183605</v>
      </c>
      <c r="L409">
        <v>751.31635933066798</v>
      </c>
      <c r="M409">
        <v>9.0514513107766703E-2</v>
      </c>
      <c r="N409">
        <v>7.1347678950728202E-2</v>
      </c>
      <c r="O409">
        <v>0.68496549485889802</v>
      </c>
      <c r="P409">
        <v>3.1752655146292698E-2</v>
      </c>
      <c r="Q409">
        <v>0.66715111553205197</v>
      </c>
      <c r="R409">
        <v>0</v>
      </c>
      <c r="S409">
        <v>85</v>
      </c>
      <c r="T409">
        <v>90</v>
      </c>
      <c r="U409">
        <v>6844922708.9399996</v>
      </c>
      <c r="V409">
        <v>80376</v>
      </c>
    </row>
    <row r="410" spans="1:22" x14ac:dyDescent="0.25">
      <c r="A410">
        <v>0.98595745005589697</v>
      </c>
      <c r="B410">
        <v>15.6086225859869</v>
      </c>
      <c r="C410">
        <v>12.5479716800224</v>
      </c>
      <c r="D410">
        <v>0</v>
      </c>
      <c r="E410">
        <v>4.70756116074738</v>
      </c>
      <c r="F410">
        <v>4.0925440417410801</v>
      </c>
      <c r="G410">
        <v>82.511598940861404</v>
      </c>
      <c r="H410">
        <v>22.295419176639601</v>
      </c>
      <c r="I410">
        <v>64.545305359610396</v>
      </c>
      <c r="J410">
        <v>59.2128965921152</v>
      </c>
      <c r="K410">
        <v>95272.964578098996</v>
      </c>
      <c r="L410">
        <v>753.46694922148697</v>
      </c>
      <c r="M410">
        <v>8.6345607660603105E-2</v>
      </c>
      <c r="N410">
        <v>7.4176418969514504E-2</v>
      </c>
      <c r="O410">
        <v>0.654138371832652</v>
      </c>
      <c r="P410">
        <v>3.34610821936824E-2</v>
      </c>
      <c r="Q410">
        <v>0.63550016270191401</v>
      </c>
      <c r="R410">
        <v>0</v>
      </c>
      <c r="S410">
        <v>85</v>
      </c>
      <c r="T410">
        <v>100</v>
      </c>
      <c r="U410">
        <v>9753093383.8600006</v>
      </c>
      <c r="V410">
        <v>102370</v>
      </c>
    </row>
    <row r="411" spans="1:22" x14ac:dyDescent="0.25">
      <c r="A411">
        <v>0.98517361023533501</v>
      </c>
      <c r="B411">
        <v>16.410209080251999</v>
      </c>
      <c r="C411">
        <v>13.2022793671306</v>
      </c>
      <c r="D411">
        <v>0</v>
      </c>
      <c r="E411">
        <v>4.7077729049840897</v>
      </c>
      <c r="F411">
        <v>4.0803587853469701</v>
      </c>
      <c r="G411">
        <v>82.5058634250138</v>
      </c>
      <c r="H411">
        <v>22.408308459413899</v>
      </c>
      <c r="I411">
        <v>66.765076229021801</v>
      </c>
      <c r="J411">
        <v>61.448556774198998</v>
      </c>
      <c r="K411">
        <v>104992.989087845</v>
      </c>
      <c r="L411">
        <v>752.01151280795796</v>
      </c>
      <c r="M411">
        <v>9.81104504980536E-2</v>
      </c>
      <c r="N411">
        <v>7.1249979969171096E-2</v>
      </c>
      <c r="O411">
        <v>0.64174373987885203</v>
      </c>
      <c r="P411">
        <v>2.9208601163447801E-2</v>
      </c>
      <c r="Q411">
        <v>0.664371811144714</v>
      </c>
      <c r="R411">
        <v>0</v>
      </c>
      <c r="S411">
        <v>85</v>
      </c>
      <c r="T411">
        <v>110</v>
      </c>
      <c r="U411">
        <v>9782721758.2600002</v>
      </c>
      <c r="V411">
        <v>93175</v>
      </c>
    </row>
    <row r="412" spans="1:22" x14ac:dyDescent="0.25">
      <c r="A412">
        <v>0.98449497076608805</v>
      </c>
      <c r="B412">
        <v>17.098569806580901</v>
      </c>
      <c r="C412">
        <v>14.066351510899199</v>
      </c>
      <c r="D412">
        <v>0</v>
      </c>
      <c r="E412">
        <v>4.6968807340330496</v>
      </c>
      <c r="F412">
        <v>4.0717014449422901</v>
      </c>
      <c r="G412">
        <v>82.496587357322795</v>
      </c>
      <c r="H412">
        <v>22.586365011406301</v>
      </c>
      <c r="I412">
        <v>67.169398942298102</v>
      </c>
      <c r="J412">
        <v>61.845599751764297</v>
      </c>
      <c r="K412">
        <v>115062.221170323</v>
      </c>
      <c r="L412">
        <v>753.37410843594398</v>
      </c>
      <c r="M412">
        <v>0.10112271911294</v>
      </c>
      <c r="N412">
        <v>7.2771255340068494E-2</v>
      </c>
      <c r="O412">
        <v>0.62439180362675095</v>
      </c>
      <c r="P412">
        <v>3.0997701260549699E-2</v>
      </c>
      <c r="Q412">
        <v>0.66596252842661796</v>
      </c>
      <c r="R412">
        <v>0</v>
      </c>
      <c r="S412">
        <v>85</v>
      </c>
      <c r="T412">
        <v>120</v>
      </c>
      <c r="U412">
        <v>11043902112.370001</v>
      </c>
      <c r="V412">
        <v>95982</v>
      </c>
    </row>
    <row r="413" spans="1:22" x14ac:dyDescent="0.25">
      <c r="A413">
        <v>0.98387212152172898</v>
      </c>
      <c r="B413">
        <v>17.725764082757699</v>
      </c>
      <c r="C413">
        <v>14.3985372977758</v>
      </c>
      <c r="D413">
        <v>0</v>
      </c>
      <c r="E413">
        <v>4.6879951917877802</v>
      </c>
      <c r="F413">
        <v>4.0626063179008503</v>
      </c>
      <c r="G413">
        <v>82.498466608135601</v>
      </c>
      <c r="H413">
        <v>22.4279410078396</v>
      </c>
      <c r="I413">
        <v>67.445861887594006</v>
      </c>
      <c r="J413">
        <v>62.220720306762502</v>
      </c>
      <c r="K413">
        <v>124940.649588178</v>
      </c>
      <c r="L413">
        <v>753.72580511149101</v>
      </c>
      <c r="M413">
        <v>0.101166622745069</v>
      </c>
      <c r="N413">
        <v>7.76039149120204E-2</v>
      </c>
      <c r="O413">
        <v>0.62007717587145705</v>
      </c>
      <c r="P413">
        <v>3.1485283086951699E-2</v>
      </c>
      <c r="Q413">
        <v>0.67035263930521805</v>
      </c>
      <c r="R413">
        <v>0</v>
      </c>
      <c r="S413">
        <v>85</v>
      </c>
      <c r="T413">
        <v>130</v>
      </c>
      <c r="U413">
        <v>12044403560.950001</v>
      </c>
      <c r="V413">
        <v>96401</v>
      </c>
    </row>
    <row r="414" spans="1:22" x14ac:dyDescent="0.25">
      <c r="A414">
        <v>0.98325059934806702</v>
      </c>
      <c r="B414">
        <v>18.347283522609899</v>
      </c>
      <c r="C414">
        <v>15.6350034023106</v>
      </c>
      <c r="D414">
        <v>0</v>
      </c>
      <c r="E414">
        <v>4.6822644755006202</v>
      </c>
      <c r="F414">
        <v>4.0552983558003302</v>
      </c>
      <c r="G414">
        <v>82.495993210696597</v>
      </c>
      <c r="H414">
        <v>22.548697319277601</v>
      </c>
      <c r="I414">
        <v>67.951477249558195</v>
      </c>
      <c r="J414">
        <v>62.686649181390102</v>
      </c>
      <c r="K414">
        <v>134954.50425051001</v>
      </c>
      <c r="L414">
        <v>753.66654393882902</v>
      </c>
      <c r="M414">
        <v>0.103831042196863</v>
      </c>
      <c r="N414">
        <v>7.7872718818815301E-2</v>
      </c>
      <c r="O414">
        <v>0.61078337943123495</v>
      </c>
      <c r="P414">
        <v>3.09393237519393E-2</v>
      </c>
      <c r="Q414">
        <v>0.67470397922022396</v>
      </c>
      <c r="R414">
        <v>0</v>
      </c>
      <c r="S414">
        <v>85</v>
      </c>
      <c r="T414">
        <v>140</v>
      </c>
      <c r="U414">
        <v>12436867293.709999</v>
      </c>
      <c r="V414">
        <v>92156</v>
      </c>
    </row>
    <row r="415" spans="1:22" x14ac:dyDescent="0.25">
      <c r="A415">
        <v>0.98260674413456195</v>
      </c>
      <c r="B415">
        <v>18.986594785026298</v>
      </c>
      <c r="C415">
        <v>16.061312969715299</v>
      </c>
      <c r="D415">
        <v>0</v>
      </c>
      <c r="E415">
        <v>4.6785817749771699</v>
      </c>
      <c r="F415">
        <v>4.0544942538848803</v>
      </c>
      <c r="G415">
        <v>82.496979147747993</v>
      </c>
      <c r="H415">
        <v>22.395156236640599</v>
      </c>
      <c r="I415">
        <v>66.980801590796801</v>
      </c>
      <c r="J415">
        <v>62.0011913141823</v>
      </c>
      <c r="K415">
        <v>144953.78532093501</v>
      </c>
      <c r="L415">
        <v>754.20595221106305</v>
      </c>
      <c r="M415">
        <v>0.10006554625570301</v>
      </c>
      <c r="N415">
        <v>7.9218538410558398E-2</v>
      </c>
      <c r="O415">
        <v>0.598175093914871</v>
      </c>
      <c r="P415">
        <v>3.3553231381299703E-2</v>
      </c>
      <c r="Q415">
        <v>0.67663082864113899</v>
      </c>
      <c r="R415">
        <v>0</v>
      </c>
      <c r="S415">
        <v>85</v>
      </c>
      <c r="T415">
        <v>150</v>
      </c>
      <c r="U415">
        <v>13554338557.790001</v>
      </c>
      <c r="V415">
        <v>93508</v>
      </c>
    </row>
    <row r="416" spans="1:22" x14ac:dyDescent="0.25">
      <c r="A416">
        <v>0.98194944745096602</v>
      </c>
      <c r="B416">
        <v>19.634516647776302</v>
      </c>
      <c r="C416">
        <v>17.159176846560602</v>
      </c>
      <c r="D416">
        <v>0</v>
      </c>
      <c r="E416">
        <v>4.6850263255086997</v>
      </c>
      <c r="F416">
        <v>4.0535629986061101</v>
      </c>
      <c r="G416">
        <v>82.483112840504305</v>
      </c>
      <c r="H416">
        <v>22.417588441807901</v>
      </c>
      <c r="I416">
        <v>68.152570211461907</v>
      </c>
      <c r="J416">
        <v>63.143878683581001</v>
      </c>
      <c r="K416">
        <v>154939.639970141</v>
      </c>
      <c r="L416">
        <v>753.33812610277903</v>
      </c>
      <c r="M416">
        <v>0.10730674818719101</v>
      </c>
      <c r="N416">
        <v>8.2006772795184202E-2</v>
      </c>
      <c r="O416">
        <v>0.59394590682613402</v>
      </c>
      <c r="P416">
        <v>3.0866758552648001E-2</v>
      </c>
      <c r="Q416">
        <v>0.69385955737953797</v>
      </c>
      <c r="R416">
        <v>0</v>
      </c>
      <c r="S416">
        <v>85</v>
      </c>
      <c r="T416">
        <v>160</v>
      </c>
      <c r="U416">
        <v>13180250353.34</v>
      </c>
      <c r="V416">
        <v>85067</v>
      </c>
    </row>
    <row r="417" spans="1:22" x14ac:dyDescent="0.25">
      <c r="A417">
        <v>0.98120827802856803</v>
      </c>
      <c r="B417">
        <v>20.359414895543399</v>
      </c>
      <c r="C417">
        <v>18.451342332908101</v>
      </c>
      <c r="D417">
        <v>0</v>
      </c>
      <c r="E417">
        <v>4.6751851964343896</v>
      </c>
      <c r="F417">
        <v>4.0448667236235103</v>
      </c>
      <c r="G417">
        <v>82.498162362560507</v>
      </c>
      <c r="H417">
        <v>22.490864861612</v>
      </c>
      <c r="I417">
        <v>68.666892873619204</v>
      </c>
      <c r="J417">
        <v>63.546990519661698</v>
      </c>
      <c r="K417">
        <v>165007.788139646</v>
      </c>
      <c r="L417">
        <v>754.087062524575</v>
      </c>
      <c r="M417">
        <v>0.10763149784642401</v>
      </c>
      <c r="N417">
        <v>8.2040104931688604E-2</v>
      </c>
      <c r="O417">
        <v>0.58287667510149099</v>
      </c>
      <c r="P417">
        <v>3.37800309375825E-2</v>
      </c>
      <c r="Q417">
        <v>0.68308756412503702</v>
      </c>
      <c r="R417">
        <v>0</v>
      </c>
      <c r="S417">
        <v>85</v>
      </c>
      <c r="T417">
        <v>170</v>
      </c>
      <c r="U417">
        <v>13701916711.540001</v>
      </c>
      <c r="V417">
        <v>83038</v>
      </c>
    </row>
    <row r="418" spans="1:22" x14ac:dyDescent="0.25">
      <c r="A418">
        <v>0.97351832115205095</v>
      </c>
      <c r="B418">
        <v>27.534790887737199</v>
      </c>
      <c r="C418">
        <v>31.852517437946201</v>
      </c>
      <c r="D418">
        <v>0</v>
      </c>
      <c r="E418">
        <v>4.6449018123464603</v>
      </c>
      <c r="F418">
        <v>4.0166164339095198</v>
      </c>
      <c r="G418">
        <v>82.487697947304397</v>
      </c>
      <c r="H418">
        <v>22.365190329393201</v>
      </c>
      <c r="I418">
        <v>68.805745498241805</v>
      </c>
      <c r="J418">
        <v>63.863324669838498</v>
      </c>
      <c r="K418">
        <v>285079.56866900902</v>
      </c>
      <c r="L418">
        <v>754.42778478037201</v>
      </c>
      <c r="M418">
        <v>0.16711378009156599</v>
      </c>
      <c r="N418">
        <v>8.0541889713283604E-2</v>
      </c>
      <c r="O418">
        <v>0.51576624710382402</v>
      </c>
      <c r="P418">
        <v>6.5276861595823701E-2</v>
      </c>
      <c r="Q418">
        <v>0.67227360812169601</v>
      </c>
      <c r="R418">
        <v>0</v>
      </c>
      <c r="S418">
        <v>85</v>
      </c>
      <c r="T418">
        <v>175</v>
      </c>
      <c r="U418">
        <v>299695598154.66998</v>
      </c>
      <c r="V418">
        <v>1051270</v>
      </c>
    </row>
    <row r="419" spans="1:22" x14ac:dyDescent="0.25">
      <c r="A419">
        <v>0.980651794227556</v>
      </c>
      <c r="B419">
        <v>20.8997370498085</v>
      </c>
      <c r="C419">
        <v>19.140875926746901</v>
      </c>
      <c r="D419">
        <v>0</v>
      </c>
      <c r="E419">
        <v>4.67717996362832</v>
      </c>
      <c r="F419">
        <v>4.0433213917280399</v>
      </c>
      <c r="G419">
        <v>82.4939507993126</v>
      </c>
      <c r="H419">
        <v>22.3958174990677</v>
      </c>
      <c r="I419">
        <v>68.792300268554001</v>
      </c>
      <c r="J419">
        <v>63.7641530143175</v>
      </c>
      <c r="K419">
        <v>172466.60978819401</v>
      </c>
      <c r="L419">
        <v>753.96852026411204</v>
      </c>
      <c r="M419">
        <v>0.104732909852778</v>
      </c>
      <c r="N419">
        <v>8.3545109468930998E-2</v>
      </c>
      <c r="O419">
        <v>0.57551007724636305</v>
      </c>
      <c r="P419">
        <v>3.6468895009726603E-2</v>
      </c>
      <c r="Q419">
        <v>0.67166775644552501</v>
      </c>
      <c r="R419">
        <v>0</v>
      </c>
      <c r="S419">
        <v>85</v>
      </c>
      <c r="T419">
        <v>180</v>
      </c>
      <c r="U419">
        <v>7067854135.7299995</v>
      </c>
      <c r="V419">
        <v>40981</v>
      </c>
    </row>
    <row r="420" spans="1:22" x14ac:dyDescent="0.25">
      <c r="A420">
        <v>0.99302728076005098</v>
      </c>
      <c r="B420">
        <v>8.0537213228622804</v>
      </c>
      <c r="C420">
        <v>91.753939829732303</v>
      </c>
      <c r="D420">
        <v>0</v>
      </c>
      <c r="E420">
        <v>4.68908116597005</v>
      </c>
      <c r="F420">
        <v>4.1400900088883903</v>
      </c>
      <c r="G420">
        <v>87.456607011324493</v>
      </c>
      <c r="H420">
        <v>23.355419084663101</v>
      </c>
      <c r="I420">
        <v>58.676596814506901</v>
      </c>
      <c r="J420">
        <v>4.8508388467415298</v>
      </c>
      <c r="K420">
        <v>5658.5374228395003</v>
      </c>
      <c r="L420">
        <v>776.64775293314597</v>
      </c>
      <c r="M420">
        <v>5.4616584017008599E-2</v>
      </c>
      <c r="N420">
        <v>5.6062018163447802E-2</v>
      </c>
      <c r="O420">
        <v>0.64116998452777596</v>
      </c>
      <c r="P420">
        <v>2.3593102550643001E-2</v>
      </c>
      <c r="Q420">
        <v>0.31893914806569201</v>
      </c>
      <c r="R420">
        <v>0</v>
      </c>
      <c r="S420">
        <v>90</v>
      </c>
      <c r="T420">
        <v>10</v>
      </c>
      <c r="U420">
        <v>3666732.25</v>
      </c>
      <c r="V420">
        <v>648</v>
      </c>
    </row>
    <row r="421" spans="1:22" x14ac:dyDescent="0.25">
      <c r="A421">
        <v>0.99274314203535996</v>
      </c>
      <c r="B421">
        <v>8.3689322752518702</v>
      </c>
      <c r="C421">
        <v>61.697384949401602</v>
      </c>
      <c r="D421">
        <v>0</v>
      </c>
      <c r="E421">
        <v>4.7347682233718604</v>
      </c>
      <c r="F421">
        <v>4.1586080487979702</v>
      </c>
      <c r="G421">
        <v>87.452226128772807</v>
      </c>
      <c r="H421">
        <v>23.346282393775301</v>
      </c>
      <c r="I421">
        <v>54.550417620348199</v>
      </c>
      <c r="J421">
        <v>17.413942922852399</v>
      </c>
      <c r="K421">
        <v>15847.5316198125</v>
      </c>
      <c r="L421">
        <v>767.46358173902399</v>
      </c>
      <c r="M421">
        <v>4.2990954789650003E-2</v>
      </c>
      <c r="N421">
        <v>5.0822683873693798E-2</v>
      </c>
      <c r="O421">
        <v>0.69185635286398295</v>
      </c>
      <c r="P421">
        <v>2.4739601675407102E-2</v>
      </c>
      <c r="Q421">
        <v>0.36930549918063998</v>
      </c>
      <c r="R421">
        <v>0</v>
      </c>
      <c r="S421">
        <v>90</v>
      </c>
      <c r="T421">
        <v>20</v>
      </c>
      <c r="U421">
        <v>23676212.239999998</v>
      </c>
      <c r="V421">
        <v>1494</v>
      </c>
    </row>
    <row r="422" spans="1:22" x14ac:dyDescent="0.25">
      <c r="A422">
        <v>0.99199085215791305</v>
      </c>
      <c r="B422">
        <v>9.1987124356698597</v>
      </c>
      <c r="C422">
        <v>38.175716763523297</v>
      </c>
      <c r="D422">
        <v>0</v>
      </c>
      <c r="E422">
        <v>4.7905196046529701</v>
      </c>
      <c r="F422">
        <v>4.1757361707083298</v>
      </c>
      <c r="G422">
        <v>87.518495249613395</v>
      </c>
      <c r="H422">
        <v>22.406259990920098</v>
      </c>
      <c r="I422">
        <v>51.831388892409102</v>
      </c>
      <c r="J422">
        <v>34.324491496854897</v>
      </c>
      <c r="K422">
        <v>26112.400631988301</v>
      </c>
      <c r="L422">
        <v>755.11454557228399</v>
      </c>
      <c r="M422">
        <v>5.53982834996593E-2</v>
      </c>
      <c r="N422">
        <v>3.2899329746047999E-2</v>
      </c>
      <c r="O422">
        <v>0.78017955224312796</v>
      </c>
      <c r="P422">
        <v>2.2641791246872101E-2</v>
      </c>
      <c r="Q422">
        <v>0.43967785737229098</v>
      </c>
      <c r="R422">
        <v>0</v>
      </c>
      <c r="S422">
        <v>90</v>
      </c>
      <c r="T422">
        <v>30</v>
      </c>
      <c r="U422">
        <v>107426416.2</v>
      </c>
      <c r="V422">
        <v>4114</v>
      </c>
    </row>
    <row r="423" spans="1:22" x14ac:dyDescent="0.25">
      <c r="A423">
        <v>0.99108909294826897</v>
      </c>
      <c r="B423">
        <v>10.1842790294167</v>
      </c>
      <c r="C423">
        <v>18.716642305089401</v>
      </c>
      <c r="D423">
        <v>0</v>
      </c>
      <c r="E423">
        <v>4.79440557725838</v>
      </c>
      <c r="F423">
        <v>4.1627945358416403</v>
      </c>
      <c r="G423">
        <v>87.5236611170087</v>
      </c>
      <c r="H423">
        <v>22.382212600058399</v>
      </c>
      <c r="I423">
        <v>54.250854109270499</v>
      </c>
      <c r="J423">
        <v>43.547157463908597</v>
      </c>
      <c r="K423">
        <v>35909.306718027699</v>
      </c>
      <c r="L423">
        <v>753.31429300072205</v>
      </c>
      <c r="M423">
        <v>6.1050404628558798E-2</v>
      </c>
      <c r="N423">
        <v>3.7788099740724002E-2</v>
      </c>
      <c r="O423">
        <v>0.74821363880096803</v>
      </c>
      <c r="P423">
        <v>2.6790900943571901E-2</v>
      </c>
      <c r="Q423">
        <v>0.48968706469277001</v>
      </c>
      <c r="R423">
        <v>0</v>
      </c>
      <c r="S423">
        <v>90</v>
      </c>
      <c r="T423">
        <v>40</v>
      </c>
      <c r="U423">
        <v>396187381.01999998</v>
      </c>
      <c r="V423">
        <v>11033</v>
      </c>
    </row>
    <row r="424" spans="1:22" x14ac:dyDescent="0.25">
      <c r="A424">
        <v>0.98985568081396802</v>
      </c>
      <c r="B424">
        <v>11.5164459536057</v>
      </c>
      <c r="C424">
        <v>13.304214757017499</v>
      </c>
      <c r="D424">
        <v>0</v>
      </c>
      <c r="E424">
        <v>4.7862955107545302</v>
      </c>
      <c r="F424">
        <v>4.1531301502104903</v>
      </c>
      <c r="G424">
        <v>87.533073217545706</v>
      </c>
      <c r="H424">
        <v>22.489517154302899</v>
      </c>
      <c r="I424">
        <v>55.210578002006798</v>
      </c>
      <c r="J424">
        <v>47.833750240207301</v>
      </c>
      <c r="K424">
        <v>45881.787020853597</v>
      </c>
      <c r="L424">
        <v>752.53626468183495</v>
      </c>
      <c r="M424">
        <v>6.4023261117289398E-2</v>
      </c>
      <c r="N424">
        <v>5.4387925913837197E-2</v>
      </c>
      <c r="O424">
        <v>0.72921928042413198</v>
      </c>
      <c r="P424">
        <v>2.84126580741056E-2</v>
      </c>
      <c r="Q424">
        <v>0.56088752052034396</v>
      </c>
      <c r="R424">
        <v>0</v>
      </c>
      <c r="S424">
        <v>90</v>
      </c>
      <c r="T424">
        <v>50</v>
      </c>
      <c r="U424">
        <v>1130894286.49</v>
      </c>
      <c r="V424">
        <v>24648</v>
      </c>
    </row>
    <row r="425" spans="1:22" x14ac:dyDescent="0.25">
      <c r="A425">
        <v>0.98871555112024201</v>
      </c>
      <c r="B425">
        <v>12.731727173522801</v>
      </c>
      <c r="C425">
        <v>11.708469938003301</v>
      </c>
      <c r="D425">
        <v>0</v>
      </c>
      <c r="E425">
        <v>4.7888923525910903</v>
      </c>
      <c r="F425">
        <v>4.1418236875231198</v>
      </c>
      <c r="G425">
        <v>87.537107364040594</v>
      </c>
      <c r="H425">
        <v>22.4387246375471</v>
      </c>
      <c r="I425">
        <v>59.1083793625086</v>
      </c>
      <c r="J425">
        <v>52.664076302493299</v>
      </c>
      <c r="K425">
        <v>55434.499129488002</v>
      </c>
      <c r="L425">
        <v>751.33349113520205</v>
      </c>
      <c r="M425">
        <v>6.93809774444797E-2</v>
      </c>
      <c r="N425">
        <v>6.3588275437599998E-2</v>
      </c>
      <c r="O425">
        <v>0.71097188614031104</v>
      </c>
      <c r="P425">
        <v>3.0268451434709999E-2</v>
      </c>
      <c r="Q425">
        <v>0.598782563142361</v>
      </c>
      <c r="R425">
        <v>0</v>
      </c>
      <c r="S425">
        <v>90</v>
      </c>
      <c r="T425">
        <v>60</v>
      </c>
      <c r="U425">
        <v>2240274413.3200002</v>
      </c>
      <c r="V425">
        <v>40413</v>
      </c>
    </row>
    <row r="426" spans="1:22" x14ac:dyDescent="0.25">
      <c r="A426">
        <v>0.98764336825277399</v>
      </c>
      <c r="B426">
        <v>13.8606038467984</v>
      </c>
      <c r="C426">
        <v>11.3394071752797</v>
      </c>
      <c r="D426">
        <v>0</v>
      </c>
      <c r="E426">
        <v>4.7808964120520399</v>
      </c>
      <c r="F426">
        <v>4.1255765731161302</v>
      </c>
      <c r="G426">
        <v>87.545221299897904</v>
      </c>
      <c r="H426">
        <v>22.549826996893099</v>
      </c>
      <c r="I426">
        <v>60.952383415053298</v>
      </c>
      <c r="J426">
        <v>55.0444829363366</v>
      </c>
      <c r="K426">
        <v>65220.183169074298</v>
      </c>
      <c r="L426">
        <v>751.52349931131198</v>
      </c>
      <c r="M426">
        <v>7.8302050354563696E-2</v>
      </c>
      <c r="N426">
        <v>5.9899482404341099E-2</v>
      </c>
      <c r="O426">
        <v>0.70388450366778299</v>
      </c>
      <c r="P426">
        <v>3.3708491231253697E-2</v>
      </c>
      <c r="Q426">
        <v>0.63031727029700801</v>
      </c>
      <c r="R426">
        <v>0</v>
      </c>
      <c r="S426">
        <v>90</v>
      </c>
      <c r="T426">
        <v>70</v>
      </c>
      <c r="U426">
        <v>3580131514.6999998</v>
      </c>
      <c r="V426">
        <v>54893</v>
      </c>
    </row>
    <row r="427" spans="1:22" x14ac:dyDescent="0.25">
      <c r="A427">
        <v>0.98673669200776903</v>
      </c>
      <c r="B427">
        <v>14.8047593520054</v>
      </c>
      <c r="C427">
        <v>11.5113093454168</v>
      </c>
      <c r="D427">
        <v>0</v>
      </c>
      <c r="E427">
        <v>4.7658931486662999</v>
      </c>
      <c r="F427">
        <v>4.1092870036766698</v>
      </c>
      <c r="G427">
        <v>87.544711681079207</v>
      </c>
      <c r="H427">
        <v>22.2799338241099</v>
      </c>
      <c r="I427">
        <v>60.952389526569597</v>
      </c>
      <c r="J427">
        <v>55.812672735644099</v>
      </c>
      <c r="K427">
        <v>75175.788861239504</v>
      </c>
      <c r="L427">
        <v>752.89597699829301</v>
      </c>
      <c r="M427">
        <v>8.2569976349641902E-2</v>
      </c>
      <c r="N427">
        <v>6.4412518663101007E-2</v>
      </c>
      <c r="O427">
        <v>0.68824578977829498</v>
      </c>
      <c r="P427">
        <v>3.06342131375743E-2</v>
      </c>
      <c r="Q427">
        <v>0.66583558118697805</v>
      </c>
      <c r="R427">
        <v>0</v>
      </c>
      <c r="S427">
        <v>90</v>
      </c>
      <c r="T427">
        <v>80</v>
      </c>
      <c r="U427">
        <v>5253509652.9899998</v>
      </c>
      <c r="V427">
        <v>69883</v>
      </c>
    </row>
    <row r="428" spans="1:22" x14ac:dyDescent="0.25">
      <c r="A428">
        <v>0.98590594803891896</v>
      </c>
      <c r="B428">
        <v>15.6615061381902</v>
      </c>
      <c r="C428">
        <v>11.697637608127501</v>
      </c>
      <c r="D428">
        <v>0</v>
      </c>
      <c r="E428">
        <v>4.7579715868875496</v>
      </c>
      <c r="F428">
        <v>4.09135433589522</v>
      </c>
      <c r="G428">
        <v>87.552017218908503</v>
      </c>
      <c r="H428">
        <v>22.512102653577799</v>
      </c>
      <c r="I428">
        <v>63.548808432778898</v>
      </c>
      <c r="J428">
        <v>58.375315903147701</v>
      </c>
      <c r="K428">
        <v>85158.985957678495</v>
      </c>
      <c r="L428">
        <v>753.13783714330896</v>
      </c>
      <c r="M428">
        <v>9.0991790741266093E-2</v>
      </c>
      <c r="N428">
        <v>6.6871721424492395E-2</v>
      </c>
      <c r="O428">
        <v>0.67925553026984398</v>
      </c>
      <c r="P428">
        <v>3.0210979411470499E-2</v>
      </c>
      <c r="Q428">
        <v>0.67269608086796695</v>
      </c>
      <c r="R428">
        <v>0</v>
      </c>
      <c r="S428">
        <v>90</v>
      </c>
      <c r="T428">
        <v>90</v>
      </c>
      <c r="U428">
        <v>6958170424.6300001</v>
      </c>
      <c r="V428">
        <v>81708</v>
      </c>
    </row>
    <row r="429" spans="1:22" x14ac:dyDescent="0.25">
      <c r="A429">
        <v>0.98505515140733402</v>
      </c>
      <c r="B429">
        <v>16.530740967145402</v>
      </c>
      <c r="C429">
        <v>12.0083287568313</v>
      </c>
      <c r="D429">
        <v>0</v>
      </c>
      <c r="E429">
        <v>4.7454734551697397</v>
      </c>
      <c r="F429">
        <v>4.0772198537797602</v>
      </c>
      <c r="G429">
        <v>87.538155652617604</v>
      </c>
      <c r="H429">
        <v>22.419100524786099</v>
      </c>
      <c r="I429">
        <v>63.417538363370099</v>
      </c>
      <c r="J429">
        <v>58.556460091198701</v>
      </c>
      <c r="K429">
        <v>95283.490901949597</v>
      </c>
      <c r="L429">
        <v>754.98703177347795</v>
      </c>
      <c r="M429">
        <v>8.8249151764700301E-2</v>
      </c>
      <c r="N429">
        <v>6.9892517958353204E-2</v>
      </c>
      <c r="O429">
        <v>0.64853354225497395</v>
      </c>
      <c r="P429">
        <v>3.07925370722953E-2</v>
      </c>
      <c r="Q429">
        <v>0.64498466028786505</v>
      </c>
      <c r="R429">
        <v>0</v>
      </c>
      <c r="S429">
        <v>90</v>
      </c>
      <c r="T429">
        <v>100</v>
      </c>
      <c r="U429">
        <v>10043356358.52</v>
      </c>
      <c r="V429">
        <v>105405</v>
      </c>
    </row>
    <row r="430" spans="1:22" x14ac:dyDescent="0.25">
      <c r="A430">
        <v>0.98424408060925905</v>
      </c>
      <c r="B430">
        <v>17.351735445956301</v>
      </c>
      <c r="C430">
        <v>13.557249741990301</v>
      </c>
      <c r="D430">
        <v>0</v>
      </c>
      <c r="E430">
        <v>4.7453906424315599</v>
      </c>
      <c r="F430">
        <v>4.0652754598032397</v>
      </c>
      <c r="G430">
        <v>87.5457522630428</v>
      </c>
      <c r="H430">
        <v>22.533915003815299</v>
      </c>
      <c r="I430">
        <v>65.784688536338507</v>
      </c>
      <c r="J430">
        <v>60.908121197461</v>
      </c>
      <c r="K430">
        <v>104998.810403628</v>
      </c>
      <c r="L430">
        <v>753.780098757524</v>
      </c>
      <c r="M430">
        <v>9.9868824587023106E-2</v>
      </c>
      <c r="N430">
        <v>6.7521417011512694E-2</v>
      </c>
      <c r="O430">
        <v>0.63385776689263795</v>
      </c>
      <c r="P430">
        <v>2.8954074597301201E-2</v>
      </c>
      <c r="Q430">
        <v>0.67418383611787802</v>
      </c>
      <c r="R430">
        <v>0</v>
      </c>
      <c r="S430">
        <v>90</v>
      </c>
      <c r="T430">
        <v>110</v>
      </c>
      <c r="U430">
        <v>9999666707.6000004</v>
      </c>
      <c r="V430">
        <v>95236</v>
      </c>
    </row>
    <row r="431" spans="1:22" x14ac:dyDescent="0.25">
      <c r="A431">
        <v>0.98351020856750004</v>
      </c>
      <c r="B431">
        <v>18.088200745575701</v>
      </c>
      <c r="C431">
        <v>14.9122887633297</v>
      </c>
      <c r="D431">
        <v>0</v>
      </c>
      <c r="E431">
        <v>4.73267296302605</v>
      </c>
      <c r="F431">
        <v>4.0548464952922503</v>
      </c>
      <c r="G431">
        <v>87.557995551049203</v>
      </c>
      <c r="H431">
        <v>22.815433000271899</v>
      </c>
      <c r="I431">
        <v>66.263268883194797</v>
      </c>
      <c r="J431">
        <v>61.307077162321299</v>
      </c>
      <c r="K431">
        <v>115053.40927458899</v>
      </c>
      <c r="L431">
        <v>754.87704207054196</v>
      </c>
      <c r="M431">
        <v>0.100963628253255</v>
      </c>
      <c r="N431">
        <v>6.7184088048057006E-2</v>
      </c>
      <c r="O431">
        <v>0.61766946860416905</v>
      </c>
      <c r="P431">
        <v>2.96342026013739E-2</v>
      </c>
      <c r="Q431">
        <v>0.67069093189576101</v>
      </c>
      <c r="R431">
        <v>0</v>
      </c>
      <c r="S431">
        <v>90</v>
      </c>
      <c r="T431">
        <v>120</v>
      </c>
      <c r="U431">
        <v>11265684675.940001</v>
      </c>
      <c r="V431">
        <v>97917</v>
      </c>
    </row>
    <row r="432" spans="1:22" x14ac:dyDescent="0.25">
      <c r="A432">
        <v>0.98287003389732996</v>
      </c>
      <c r="B432">
        <v>18.725719763971899</v>
      </c>
      <c r="C432">
        <v>15.435089696099899</v>
      </c>
      <c r="D432">
        <v>0</v>
      </c>
      <c r="E432">
        <v>4.7247083673416803</v>
      </c>
      <c r="F432">
        <v>4.0486305673665601</v>
      </c>
      <c r="G432">
        <v>87.550198470317596</v>
      </c>
      <c r="H432">
        <v>22.685007646361601</v>
      </c>
      <c r="I432">
        <v>66.333325742307693</v>
      </c>
      <c r="J432">
        <v>61.484187446516003</v>
      </c>
      <c r="K432">
        <v>124931.995970445</v>
      </c>
      <c r="L432">
        <v>755.51721156752205</v>
      </c>
      <c r="M432">
        <v>0.104118986455907</v>
      </c>
      <c r="N432">
        <v>7.3416173945059005E-2</v>
      </c>
      <c r="O432">
        <v>0.61699425995496604</v>
      </c>
      <c r="P432">
        <v>3.0103962744801101E-2</v>
      </c>
      <c r="Q432">
        <v>0.67275734467389503</v>
      </c>
      <c r="R432">
        <v>0</v>
      </c>
      <c r="S432">
        <v>90</v>
      </c>
      <c r="T432">
        <v>130</v>
      </c>
      <c r="U432">
        <v>12343281201.879999</v>
      </c>
      <c r="V432">
        <v>98800</v>
      </c>
    </row>
    <row r="433" spans="1:22" x14ac:dyDescent="0.25">
      <c r="A433">
        <v>0.98220144088875405</v>
      </c>
      <c r="B433">
        <v>19.386680881640299</v>
      </c>
      <c r="C433">
        <v>16.491119306406201</v>
      </c>
      <c r="D433">
        <v>0</v>
      </c>
      <c r="E433">
        <v>4.7205219988743599</v>
      </c>
      <c r="F433">
        <v>4.0417268578478902</v>
      </c>
      <c r="G433">
        <v>87.542015426220303</v>
      </c>
      <c r="H433">
        <v>22.840134763662402</v>
      </c>
      <c r="I433">
        <v>66.880364972329204</v>
      </c>
      <c r="J433">
        <v>61.9845610879389</v>
      </c>
      <c r="K433">
        <v>134947.19325735199</v>
      </c>
      <c r="L433">
        <v>755.13320815254701</v>
      </c>
      <c r="M433">
        <v>0.107865126974219</v>
      </c>
      <c r="N433">
        <v>7.1175204656416302E-2</v>
      </c>
      <c r="O433">
        <v>0.60561494877953703</v>
      </c>
      <c r="P433">
        <v>2.9849255263078901E-2</v>
      </c>
      <c r="Q433">
        <v>0.67850107948337202</v>
      </c>
      <c r="R433">
        <v>0</v>
      </c>
      <c r="S433">
        <v>90</v>
      </c>
      <c r="T433">
        <v>140</v>
      </c>
      <c r="U433">
        <v>12562774009.1</v>
      </c>
      <c r="V433">
        <v>93094</v>
      </c>
    </row>
    <row r="434" spans="1:22" x14ac:dyDescent="0.25">
      <c r="A434">
        <v>0.98151488446383095</v>
      </c>
      <c r="B434">
        <v>20.060269530263898</v>
      </c>
      <c r="C434">
        <v>17.545227193401299</v>
      </c>
      <c r="D434">
        <v>0</v>
      </c>
      <c r="E434">
        <v>4.7156144520645498</v>
      </c>
      <c r="F434">
        <v>4.0408475086071602</v>
      </c>
      <c r="G434">
        <v>87.546398423810601</v>
      </c>
      <c r="H434">
        <v>22.697252265333901</v>
      </c>
      <c r="I434">
        <v>65.755702966452802</v>
      </c>
      <c r="J434">
        <v>61.137845251680901</v>
      </c>
      <c r="K434">
        <v>144941.96095422801</v>
      </c>
      <c r="L434">
        <v>755.84431842340302</v>
      </c>
      <c r="M434">
        <v>0.107909915568111</v>
      </c>
      <c r="N434">
        <v>7.2932895994906002E-2</v>
      </c>
      <c r="O434">
        <v>0.59425416201700498</v>
      </c>
      <c r="P434">
        <v>3.2178852594529898E-2</v>
      </c>
      <c r="Q434">
        <v>0.682684452572206</v>
      </c>
      <c r="R434">
        <v>0</v>
      </c>
      <c r="S434">
        <v>90</v>
      </c>
      <c r="T434">
        <v>150</v>
      </c>
      <c r="U434">
        <v>13898339693.940001</v>
      </c>
      <c r="V434">
        <v>95889</v>
      </c>
    </row>
    <row r="435" spans="1:22" x14ac:dyDescent="0.25">
      <c r="A435">
        <v>0.98081563309821496</v>
      </c>
      <c r="B435">
        <v>20.7410065438341</v>
      </c>
      <c r="C435">
        <v>18.8965032381447</v>
      </c>
      <c r="D435">
        <v>0</v>
      </c>
      <c r="E435">
        <v>4.7188599189175102</v>
      </c>
      <c r="F435">
        <v>4.0375131357498404</v>
      </c>
      <c r="G435">
        <v>87.552183789823701</v>
      </c>
      <c r="H435">
        <v>22.779974640569002</v>
      </c>
      <c r="I435">
        <v>67.080523651189907</v>
      </c>
      <c r="J435">
        <v>62.4104230236128</v>
      </c>
      <c r="K435">
        <v>154953.89729619099</v>
      </c>
      <c r="L435">
        <v>754.90449929773001</v>
      </c>
      <c r="M435">
        <v>0.113063343945732</v>
      </c>
      <c r="N435">
        <v>7.2555379303629097E-2</v>
      </c>
      <c r="O435">
        <v>0.59095341837049098</v>
      </c>
      <c r="P435">
        <v>3.1831015857623997E-2</v>
      </c>
      <c r="Q435">
        <v>0.70100382751635304</v>
      </c>
      <c r="R435">
        <v>0</v>
      </c>
      <c r="S435">
        <v>90</v>
      </c>
      <c r="T435">
        <v>160</v>
      </c>
      <c r="U435">
        <v>13183477581.959999</v>
      </c>
      <c r="V435">
        <v>85080</v>
      </c>
    </row>
    <row r="436" spans="1:22" x14ac:dyDescent="0.25">
      <c r="A436">
        <v>0.98003317835955805</v>
      </c>
      <c r="B436">
        <v>21.496441346370201</v>
      </c>
      <c r="C436">
        <v>20.315195070175498</v>
      </c>
      <c r="D436">
        <v>0</v>
      </c>
      <c r="E436">
        <v>4.7135466049242796</v>
      </c>
      <c r="F436">
        <v>4.0311712738583596</v>
      </c>
      <c r="G436">
        <v>87.552193632374099</v>
      </c>
      <c r="H436">
        <v>22.834938429588899</v>
      </c>
      <c r="I436">
        <v>67.5849558439524</v>
      </c>
      <c r="J436">
        <v>62.820517716498202</v>
      </c>
      <c r="K436">
        <v>165013.05035651999</v>
      </c>
      <c r="L436">
        <v>755.978162785363</v>
      </c>
      <c r="M436">
        <v>0.112445616017814</v>
      </c>
      <c r="N436">
        <v>7.3410776977129694E-2</v>
      </c>
      <c r="O436">
        <v>0.57896350930146401</v>
      </c>
      <c r="P436">
        <v>3.2743001373221899E-2</v>
      </c>
      <c r="Q436">
        <v>0.68898381627412097</v>
      </c>
      <c r="R436">
        <v>0</v>
      </c>
      <c r="S436">
        <v>90</v>
      </c>
      <c r="T436">
        <v>170</v>
      </c>
      <c r="U436">
        <v>13829743750.379999</v>
      </c>
      <c r="V436">
        <v>83810</v>
      </c>
    </row>
    <row r="437" spans="1:22" x14ac:dyDescent="0.25">
      <c r="A437">
        <v>0.97208642079235796</v>
      </c>
      <c r="B437">
        <v>28.803520806714399</v>
      </c>
      <c r="C437">
        <v>32.586266617079097</v>
      </c>
      <c r="D437">
        <v>0</v>
      </c>
      <c r="E437">
        <v>4.6845692372259</v>
      </c>
      <c r="F437">
        <v>4.00693756573245</v>
      </c>
      <c r="G437">
        <v>87.552736637348801</v>
      </c>
      <c r="H437">
        <v>22.841733611679299</v>
      </c>
      <c r="I437">
        <v>67.775820044523897</v>
      </c>
      <c r="J437">
        <v>63.065801520727398</v>
      </c>
      <c r="K437">
        <v>283829.83814169402</v>
      </c>
      <c r="L437">
        <v>755.36518947448599</v>
      </c>
      <c r="M437">
        <v>0.172770302689706</v>
      </c>
      <c r="N437">
        <v>7.4177886548577807E-2</v>
      </c>
      <c r="O437">
        <v>0.51614481146240898</v>
      </c>
      <c r="P437">
        <v>6.5637832198110396E-2</v>
      </c>
      <c r="Q437">
        <v>0.67910569168027601</v>
      </c>
      <c r="R437">
        <v>0</v>
      </c>
      <c r="S437">
        <v>90</v>
      </c>
      <c r="T437">
        <v>175</v>
      </c>
      <c r="U437">
        <v>294625873695.09003</v>
      </c>
      <c r="V437">
        <v>1038037</v>
      </c>
    </row>
    <row r="438" spans="1:22" x14ac:dyDescent="0.25">
      <c r="A438">
        <v>0.97946439399040397</v>
      </c>
      <c r="B438">
        <v>22.0414352508982</v>
      </c>
      <c r="C438">
        <v>20.829295081755301</v>
      </c>
      <c r="D438">
        <v>0</v>
      </c>
      <c r="E438">
        <v>4.7110585478290297</v>
      </c>
      <c r="F438">
        <v>4.0286753389127199</v>
      </c>
      <c r="G438">
        <v>87.539865553660107</v>
      </c>
      <c r="H438">
        <v>22.753474119489599</v>
      </c>
      <c r="I438">
        <v>67.751559491986896</v>
      </c>
      <c r="J438">
        <v>62.962819238888301</v>
      </c>
      <c r="K438">
        <v>172466.76347994499</v>
      </c>
      <c r="L438">
        <v>755.75846231881701</v>
      </c>
      <c r="M438">
        <v>0.111997094909178</v>
      </c>
      <c r="N438">
        <v>7.6633325522182702E-2</v>
      </c>
      <c r="O438">
        <v>0.57293065606712401</v>
      </c>
      <c r="P438">
        <v>3.49721427923253E-2</v>
      </c>
      <c r="Q438">
        <v>0.68123279657474001</v>
      </c>
      <c r="R438">
        <v>0</v>
      </c>
      <c r="S438">
        <v>90</v>
      </c>
      <c r="T438">
        <v>180</v>
      </c>
      <c r="U438">
        <v>7077691039.6899996</v>
      </c>
      <c r="V438">
        <v>41038</v>
      </c>
    </row>
    <row r="439" spans="1:22" x14ac:dyDescent="0.25">
      <c r="A439">
        <v>0.99301123248446599</v>
      </c>
      <c r="B439">
        <v>8.0715510211709098</v>
      </c>
      <c r="C439">
        <v>91.932333860753005</v>
      </c>
      <c r="D439">
        <v>0</v>
      </c>
      <c r="E439">
        <v>4.7293168544963402</v>
      </c>
      <c r="F439">
        <v>4.1128978490187498</v>
      </c>
      <c r="G439">
        <v>92.108463142787798</v>
      </c>
      <c r="H439">
        <v>23.627199875375702</v>
      </c>
      <c r="I439">
        <v>60.904863795295498</v>
      </c>
      <c r="J439">
        <v>5.0957339078115602</v>
      </c>
      <c r="K439">
        <v>5666.3041829085396</v>
      </c>
      <c r="L439">
        <v>775.60481474735604</v>
      </c>
      <c r="M439">
        <v>2.24425362240761E-2</v>
      </c>
      <c r="N439">
        <v>5.2268971007385201E-2</v>
      </c>
      <c r="O439">
        <v>0.64148000835121699</v>
      </c>
      <c r="P439">
        <v>2.9115932503688401E-2</v>
      </c>
      <c r="Q439">
        <v>0.29787267713104298</v>
      </c>
      <c r="R439">
        <v>0</v>
      </c>
      <c r="S439">
        <v>95</v>
      </c>
      <c r="T439">
        <v>10</v>
      </c>
      <c r="U439">
        <v>3779424.89</v>
      </c>
      <c r="V439">
        <v>667</v>
      </c>
    </row>
    <row r="440" spans="1:22" x14ac:dyDescent="0.25">
      <c r="A440">
        <v>0.99283104184120896</v>
      </c>
      <c r="B440">
        <v>8.2715260937941899</v>
      </c>
      <c r="C440">
        <v>65.088000712466396</v>
      </c>
      <c r="D440">
        <v>0</v>
      </c>
      <c r="E440">
        <v>4.7950106120419402</v>
      </c>
      <c r="F440">
        <v>4.1579034782266504</v>
      </c>
      <c r="G440">
        <v>92.197951147735395</v>
      </c>
      <c r="H440">
        <v>22.740265700154801</v>
      </c>
      <c r="I440">
        <v>54.9636545391133</v>
      </c>
      <c r="J440">
        <v>17.4972498845008</v>
      </c>
      <c r="K440">
        <v>15932.995697841699</v>
      </c>
      <c r="L440">
        <v>766.15371881072099</v>
      </c>
      <c r="M440">
        <v>4.5382906089654097E-2</v>
      </c>
      <c r="N440">
        <v>5.3113331031324901E-2</v>
      </c>
      <c r="O440">
        <v>0.70568902874403405</v>
      </c>
      <c r="P440">
        <v>2.7831404005703501E-2</v>
      </c>
      <c r="Q440">
        <v>0.35458527685492103</v>
      </c>
      <c r="R440">
        <v>0</v>
      </c>
      <c r="S440">
        <v>95</v>
      </c>
      <c r="T440">
        <v>20</v>
      </c>
      <c r="U440">
        <v>22146864.02</v>
      </c>
      <c r="V440">
        <v>1390</v>
      </c>
    </row>
    <row r="441" spans="1:22" x14ac:dyDescent="0.25">
      <c r="A441">
        <v>0.99203854321228302</v>
      </c>
      <c r="B441">
        <v>9.1463141173980098</v>
      </c>
      <c r="C441">
        <v>27.895155937098401</v>
      </c>
      <c r="D441">
        <v>0</v>
      </c>
      <c r="E441">
        <v>4.8492110011808398</v>
      </c>
      <c r="F441">
        <v>4.1731805609741404</v>
      </c>
      <c r="G441">
        <v>92.352963107583605</v>
      </c>
      <c r="H441">
        <v>22.288258363548501</v>
      </c>
      <c r="I441">
        <v>51.807538898900603</v>
      </c>
      <c r="J441">
        <v>34.934217926719803</v>
      </c>
      <c r="K441">
        <v>25988.736029486499</v>
      </c>
      <c r="L441">
        <v>756.20293126982597</v>
      </c>
      <c r="M441">
        <v>4.6752569427893603E-2</v>
      </c>
      <c r="N441">
        <v>3.3222479564710097E-2</v>
      </c>
      <c r="O441">
        <v>0.76585378578515095</v>
      </c>
      <c r="P441">
        <v>2.73408390348059E-2</v>
      </c>
      <c r="Q441">
        <v>0.43032168621199202</v>
      </c>
      <c r="R441">
        <v>0</v>
      </c>
      <c r="S441">
        <v>95</v>
      </c>
      <c r="T441">
        <v>30</v>
      </c>
      <c r="U441">
        <v>102239687.54000001</v>
      </c>
      <c r="V441">
        <v>3934</v>
      </c>
    </row>
    <row r="442" spans="1:22" x14ac:dyDescent="0.25">
      <c r="A442">
        <v>0.99092219486331301</v>
      </c>
      <c r="B442">
        <v>10.365609196776299</v>
      </c>
      <c r="C442">
        <v>18.454684126697298</v>
      </c>
      <c r="D442">
        <v>0</v>
      </c>
      <c r="E442">
        <v>4.8366949544561502</v>
      </c>
      <c r="F442">
        <v>4.1534763490798197</v>
      </c>
      <c r="G442">
        <v>92.324559914285302</v>
      </c>
      <c r="H442">
        <v>22.3755043812629</v>
      </c>
      <c r="I442">
        <v>54.3167495924286</v>
      </c>
      <c r="J442">
        <v>43.8260381749812</v>
      </c>
      <c r="K442">
        <v>35879.493468359302</v>
      </c>
      <c r="L442">
        <v>753.52720542756401</v>
      </c>
      <c r="M442">
        <v>5.7974669708001199E-2</v>
      </c>
      <c r="N442">
        <v>4.5757621615483898E-2</v>
      </c>
      <c r="O442">
        <v>0.75133836966575696</v>
      </c>
      <c r="P442">
        <v>2.8282744068114998E-2</v>
      </c>
      <c r="Q442">
        <v>0.48302541743238597</v>
      </c>
      <c r="R442">
        <v>0</v>
      </c>
      <c r="S442">
        <v>95</v>
      </c>
      <c r="T442">
        <v>40</v>
      </c>
      <c r="U442">
        <v>370240493.10000002</v>
      </c>
      <c r="V442">
        <v>10319</v>
      </c>
    </row>
    <row r="443" spans="1:22" x14ac:dyDescent="0.25">
      <c r="A443">
        <v>0.98955085354241101</v>
      </c>
      <c r="B443">
        <v>11.8428761280574</v>
      </c>
      <c r="C443">
        <v>13.9404324401712</v>
      </c>
      <c r="D443">
        <v>0</v>
      </c>
      <c r="E443">
        <v>4.8265965931855002</v>
      </c>
      <c r="F443">
        <v>4.1429522917678296</v>
      </c>
      <c r="G443">
        <v>92.335716589672302</v>
      </c>
      <c r="H443">
        <v>22.468905467353999</v>
      </c>
      <c r="I443">
        <v>55.042602207970702</v>
      </c>
      <c r="J443">
        <v>47.805993522618103</v>
      </c>
      <c r="K443">
        <v>45921.558428520897</v>
      </c>
      <c r="L443">
        <v>753.60062019788904</v>
      </c>
      <c r="M443">
        <v>6.1164115398113998E-2</v>
      </c>
      <c r="N443">
        <v>5.8824434127235203E-2</v>
      </c>
      <c r="O443">
        <v>0.71799058598201404</v>
      </c>
      <c r="P443">
        <v>3.11941185538115E-2</v>
      </c>
      <c r="Q443">
        <v>0.55149823525270802</v>
      </c>
      <c r="R443">
        <v>0</v>
      </c>
      <c r="S443">
        <v>95</v>
      </c>
      <c r="T443">
        <v>50</v>
      </c>
      <c r="U443">
        <v>1038837494.77</v>
      </c>
      <c r="V443">
        <v>22622</v>
      </c>
    </row>
    <row r="444" spans="1:22" x14ac:dyDescent="0.25">
      <c r="A444">
        <v>0.98825787832873002</v>
      </c>
      <c r="B444">
        <v>13.2152488758902</v>
      </c>
      <c r="C444">
        <v>11.345295015750199</v>
      </c>
      <c r="D444">
        <v>0</v>
      </c>
      <c r="E444">
        <v>4.8258642835258199</v>
      </c>
      <c r="F444">
        <v>4.1292318896190299</v>
      </c>
      <c r="G444">
        <v>92.352815354785903</v>
      </c>
      <c r="H444">
        <v>22.5863660163206</v>
      </c>
      <c r="I444">
        <v>58.478910558098796</v>
      </c>
      <c r="J444">
        <v>52.198884809013002</v>
      </c>
      <c r="K444">
        <v>55453.9417690259</v>
      </c>
      <c r="L444">
        <v>751.356426881385</v>
      </c>
      <c r="M444">
        <v>6.7922860220594405E-2</v>
      </c>
      <c r="N444">
        <v>6.7935064329277595E-2</v>
      </c>
      <c r="O444">
        <v>0.70693782321813303</v>
      </c>
      <c r="P444">
        <v>3.2779662504074103E-2</v>
      </c>
      <c r="Q444">
        <v>0.60372775134398204</v>
      </c>
      <c r="R444">
        <v>0</v>
      </c>
      <c r="S444">
        <v>95</v>
      </c>
      <c r="T444">
        <v>60</v>
      </c>
      <c r="U444">
        <v>2061389377.3800001</v>
      </c>
      <c r="V444">
        <v>37173</v>
      </c>
    </row>
    <row r="445" spans="1:22" x14ac:dyDescent="0.25">
      <c r="A445">
        <v>0.98710314755259299</v>
      </c>
      <c r="B445">
        <v>14.4243038401692</v>
      </c>
      <c r="C445">
        <v>11.2826563467169</v>
      </c>
      <c r="D445">
        <v>0</v>
      </c>
      <c r="E445">
        <v>4.8169356608330398</v>
      </c>
      <c r="F445">
        <v>4.1149188891945103</v>
      </c>
      <c r="G445">
        <v>92.3641894800801</v>
      </c>
      <c r="H445">
        <v>22.789755548870801</v>
      </c>
      <c r="I445">
        <v>60.632090839721499</v>
      </c>
      <c r="J445">
        <v>54.856524626106598</v>
      </c>
      <c r="K445">
        <v>65228.796422373503</v>
      </c>
      <c r="L445">
        <v>752.12591561373097</v>
      </c>
      <c r="M445">
        <v>7.6380098908802901E-2</v>
      </c>
      <c r="N445">
        <v>6.7487179208946896E-2</v>
      </c>
      <c r="O445">
        <v>0.70015899738943799</v>
      </c>
      <c r="P445">
        <v>3.3813033480990101E-2</v>
      </c>
      <c r="Q445">
        <v>0.638617075573923</v>
      </c>
      <c r="R445">
        <v>0</v>
      </c>
      <c r="S445">
        <v>95</v>
      </c>
      <c r="T445">
        <v>70</v>
      </c>
      <c r="U445">
        <v>3285117874.2199998</v>
      </c>
      <c r="V445">
        <v>50363</v>
      </c>
    </row>
    <row r="446" spans="1:22" x14ac:dyDescent="0.25">
      <c r="A446">
        <v>0.986178197198738</v>
      </c>
      <c r="B446">
        <v>15.381609391388199</v>
      </c>
      <c r="C446">
        <v>12.3293215496541</v>
      </c>
      <c r="D446">
        <v>0</v>
      </c>
      <c r="E446">
        <v>4.8021464783821699</v>
      </c>
      <c r="F446">
        <v>4.0992785051656302</v>
      </c>
      <c r="G446">
        <v>92.344788361324703</v>
      </c>
      <c r="H446">
        <v>22.496444129963901</v>
      </c>
      <c r="I446">
        <v>60.574798745582697</v>
      </c>
      <c r="J446">
        <v>55.5467330098828</v>
      </c>
      <c r="K446">
        <v>75147.758496024297</v>
      </c>
      <c r="L446">
        <v>754.16230784688105</v>
      </c>
      <c r="M446">
        <v>8.3797798745041799E-2</v>
      </c>
      <c r="N446">
        <v>6.4744878741176098E-2</v>
      </c>
      <c r="O446">
        <v>0.68910876648143704</v>
      </c>
      <c r="P446">
        <v>3.1705208494894499E-2</v>
      </c>
      <c r="Q446">
        <v>0.67519547403699798</v>
      </c>
      <c r="R446">
        <v>0</v>
      </c>
      <c r="S446">
        <v>95</v>
      </c>
      <c r="T446">
        <v>80</v>
      </c>
      <c r="U446">
        <v>4886182405.1700001</v>
      </c>
      <c r="V446">
        <v>65021</v>
      </c>
    </row>
    <row r="447" spans="1:22" x14ac:dyDescent="0.25">
      <c r="A447">
        <v>0.98527916300209195</v>
      </c>
      <c r="B447">
        <v>16.302674715869699</v>
      </c>
      <c r="C447">
        <v>12.9660191862973</v>
      </c>
      <c r="D447">
        <v>0</v>
      </c>
      <c r="E447">
        <v>4.7967821484067699</v>
      </c>
      <c r="F447">
        <v>4.0821799391228</v>
      </c>
      <c r="G447">
        <v>92.360787130774298</v>
      </c>
      <c r="H447">
        <v>22.758804234992802</v>
      </c>
      <c r="I447">
        <v>63.349758230334302</v>
      </c>
      <c r="J447">
        <v>58.296648861901801</v>
      </c>
      <c r="K447">
        <v>85143.160997030704</v>
      </c>
      <c r="L447">
        <v>753.63839287012797</v>
      </c>
      <c r="M447">
        <v>9.0008258880486497E-2</v>
      </c>
      <c r="N447">
        <v>6.7136035930575599E-2</v>
      </c>
      <c r="O447">
        <v>0.68201545435906996</v>
      </c>
      <c r="P447">
        <v>3.0269359357584201E-2</v>
      </c>
      <c r="Q447">
        <v>0.68495631315214001</v>
      </c>
      <c r="R447">
        <v>0</v>
      </c>
      <c r="S447">
        <v>95</v>
      </c>
      <c r="T447">
        <v>90</v>
      </c>
      <c r="U447">
        <v>6394506820.3599997</v>
      </c>
      <c r="V447">
        <v>75103</v>
      </c>
    </row>
    <row r="448" spans="1:22" x14ac:dyDescent="0.25">
      <c r="A448">
        <v>0.98441031499589804</v>
      </c>
      <c r="B448">
        <v>17.184072726779998</v>
      </c>
      <c r="C448">
        <v>13.428251845776201</v>
      </c>
      <c r="D448">
        <v>0</v>
      </c>
      <c r="E448">
        <v>4.7877040859267996</v>
      </c>
      <c r="F448">
        <v>4.0731004054918198</v>
      </c>
      <c r="G448">
        <v>92.346661729393006</v>
      </c>
      <c r="H448">
        <v>22.753669209315301</v>
      </c>
      <c r="I448">
        <v>63.094985008514001</v>
      </c>
      <c r="J448">
        <v>58.360268177596097</v>
      </c>
      <c r="K448">
        <v>95257.717584642203</v>
      </c>
      <c r="L448">
        <v>756.024452621916</v>
      </c>
      <c r="M448">
        <v>8.9465600662435904E-2</v>
      </c>
      <c r="N448">
        <v>7.1378902260242405E-2</v>
      </c>
      <c r="O448">
        <v>0.65117326619071203</v>
      </c>
      <c r="P448">
        <v>3.1333619791936503E-2</v>
      </c>
      <c r="Q448">
        <v>0.65577165084155897</v>
      </c>
      <c r="R448">
        <v>0</v>
      </c>
      <c r="S448">
        <v>95</v>
      </c>
      <c r="T448">
        <v>100</v>
      </c>
      <c r="U448">
        <v>9048340077.9300003</v>
      </c>
      <c r="V448">
        <v>94988</v>
      </c>
    </row>
    <row r="449" spans="1:22" x14ac:dyDescent="0.25">
      <c r="A449">
        <v>0.98358506800061096</v>
      </c>
      <c r="B449">
        <v>18.0133532642947</v>
      </c>
      <c r="C449">
        <v>13.690376707545701</v>
      </c>
      <c r="D449">
        <v>0</v>
      </c>
      <c r="E449">
        <v>4.7866991177250897</v>
      </c>
      <c r="F449">
        <v>4.0614637845985797</v>
      </c>
      <c r="G449">
        <v>92.358952580527301</v>
      </c>
      <c r="H449">
        <v>22.899178531055</v>
      </c>
      <c r="I449">
        <v>65.446955379972593</v>
      </c>
      <c r="J449">
        <v>60.6751301661659</v>
      </c>
      <c r="K449">
        <v>104951.74974465399</v>
      </c>
      <c r="L449">
        <v>754.59803212588201</v>
      </c>
      <c r="M449">
        <v>9.9882111563192599E-2</v>
      </c>
      <c r="N449">
        <v>6.8712707275123006E-2</v>
      </c>
      <c r="O449">
        <v>0.63820240836404196</v>
      </c>
      <c r="P449">
        <v>2.9891673921331199E-2</v>
      </c>
      <c r="Q449">
        <v>0.684258099940942</v>
      </c>
      <c r="R449">
        <v>0</v>
      </c>
      <c r="S449">
        <v>95</v>
      </c>
      <c r="T449">
        <v>110</v>
      </c>
      <c r="U449">
        <v>9021862311.5499992</v>
      </c>
      <c r="V449">
        <v>85962</v>
      </c>
    </row>
    <row r="450" spans="1:22" x14ac:dyDescent="0.25">
      <c r="A450">
        <v>0.98284812369732499</v>
      </c>
      <c r="B450">
        <v>18.747458354351298</v>
      </c>
      <c r="C450">
        <v>15.527949606556801</v>
      </c>
      <c r="D450">
        <v>0</v>
      </c>
      <c r="E450">
        <v>4.77509512604089</v>
      </c>
      <c r="F450">
        <v>4.05067363545297</v>
      </c>
      <c r="G450">
        <v>92.359765215594706</v>
      </c>
      <c r="H450">
        <v>23.103563784817901</v>
      </c>
      <c r="I450">
        <v>65.803035097795004</v>
      </c>
      <c r="J450">
        <v>61.005131605398198</v>
      </c>
      <c r="K450">
        <v>115053.18001768101</v>
      </c>
      <c r="L450">
        <v>755.07056663799494</v>
      </c>
      <c r="M450">
        <v>0.103845802799928</v>
      </c>
      <c r="N450">
        <v>6.75772028650026E-2</v>
      </c>
      <c r="O450">
        <v>0.62603306331734898</v>
      </c>
      <c r="P450">
        <v>3.0567606664279001E-2</v>
      </c>
      <c r="Q450">
        <v>0.68786171764085202</v>
      </c>
      <c r="R450">
        <v>0</v>
      </c>
      <c r="S450">
        <v>95</v>
      </c>
      <c r="T450">
        <v>120</v>
      </c>
      <c r="U450">
        <v>10020671766.82</v>
      </c>
      <c r="V450">
        <v>87096</v>
      </c>
    </row>
    <row r="451" spans="1:22" x14ac:dyDescent="0.25">
      <c r="A451">
        <v>0.98216493081258605</v>
      </c>
      <c r="B451">
        <v>19.422631919624099</v>
      </c>
      <c r="C451">
        <v>16.170292400236601</v>
      </c>
      <c r="D451">
        <v>0</v>
      </c>
      <c r="E451">
        <v>4.7673631846850402</v>
      </c>
      <c r="F451">
        <v>4.0433889906059797</v>
      </c>
      <c r="G451">
        <v>92.356594982129494</v>
      </c>
      <c r="H451">
        <v>23.037523800861901</v>
      </c>
      <c r="I451">
        <v>66.103004222093702</v>
      </c>
      <c r="J451">
        <v>61.342190190740602</v>
      </c>
      <c r="K451">
        <v>124921.035509361</v>
      </c>
      <c r="L451">
        <v>755.22049988840104</v>
      </c>
      <c r="M451">
        <v>0.104487124164182</v>
      </c>
      <c r="N451">
        <v>7.3992142804237798E-2</v>
      </c>
      <c r="O451">
        <v>0.62023269035777795</v>
      </c>
      <c r="P451">
        <v>3.2879253037133099E-2</v>
      </c>
      <c r="Q451">
        <v>0.68830307555082004</v>
      </c>
      <c r="R451">
        <v>0</v>
      </c>
      <c r="S451">
        <v>95</v>
      </c>
      <c r="T451">
        <v>130</v>
      </c>
      <c r="U451">
        <v>10895237954.02</v>
      </c>
      <c r="V451">
        <v>87217</v>
      </c>
    </row>
    <row r="452" spans="1:22" x14ac:dyDescent="0.25">
      <c r="A452">
        <v>0.98149878874337804</v>
      </c>
      <c r="B452">
        <v>20.0759991522626</v>
      </c>
      <c r="C452">
        <v>17.707000612526901</v>
      </c>
      <c r="D452">
        <v>0</v>
      </c>
      <c r="E452">
        <v>4.7644250011338896</v>
      </c>
      <c r="F452">
        <v>4.0384136500402796</v>
      </c>
      <c r="G452">
        <v>92.365362708136203</v>
      </c>
      <c r="H452">
        <v>23.148969537645598</v>
      </c>
      <c r="I452">
        <v>66.623284805300699</v>
      </c>
      <c r="J452">
        <v>61.842726110264103</v>
      </c>
      <c r="K452">
        <v>134939.78545093699</v>
      </c>
      <c r="L452">
        <v>755.12229260396896</v>
      </c>
      <c r="M452">
        <v>0.104930384439496</v>
      </c>
      <c r="N452">
        <v>7.2513273932944503E-2</v>
      </c>
      <c r="O452">
        <v>0.61332303467726601</v>
      </c>
      <c r="P452">
        <v>3.2633001765662001E-2</v>
      </c>
      <c r="Q452">
        <v>0.69699078974818895</v>
      </c>
      <c r="R452">
        <v>0</v>
      </c>
      <c r="S452">
        <v>95</v>
      </c>
      <c r="T452">
        <v>140</v>
      </c>
      <c r="U452">
        <v>11083953976.940001</v>
      </c>
      <c r="V452">
        <v>82140</v>
      </c>
    </row>
    <row r="453" spans="1:22" x14ac:dyDescent="0.25">
      <c r="A453">
        <v>0.98078285107976604</v>
      </c>
      <c r="B453">
        <v>20.772789791783602</v>
      </c>
      <c r="C453">
        <v>18.403046858928398</v>
      </c>
      <c r="D453">
        <v>0</v>
      </c>
      <c r="E453">
        <v>4.7617486919946899</v>
      </c>
      <c r="F453">
        <v>4.0390737661758997</v>
      </c>
      <c r="G453">
        <v>92.351068791213194</v>
      </c>
      <c r="H453">
        <v>23.0238717367132</v>
      </c>
      <c r="I453">
        <v>65.484380112161503</v>
      </c>
      <c r="J453">
        <v>61.045963509298701</v>
      </c>
      <c r="K453">
        <v>144955.974674981</v>
      </c>
      <c r="L453">
        <v>755.96378035265298</v>
      </c>
      <c r="M453">
        <v>0.105880624849328</v>
      </c>
      <c r="N453">
        <v>7.2658637888718194E-2</v>
      </c>
      <c r="O453">
        <v>0.60067779592638204</v>
      </c>
      <c r="P453">
        <v>3.5220327184341003E-2</v>
      </c>
      <c r="Q453">
        <v>0.69965956358390202</v>
      </c>
      <c r="R453">
        <v>0</v>
      </c>
      <c r="S453">
        <v>95</v>
      </c>
      <c r="T453">
        <v>150</v>
      </c>
      <c r="U453">
        <v>12249214727.959999</v>
      </c>
      <c r="V453">
        <v>84503</v>
      </c>
    </row>
    <row r="454" spans="1:22" x14ac:dyDescent="0.25">
      <c r="A454">
        <v>0.98006768052638704</v>
      </c>
      <c r="B454">
        <v>21.463270215654401</v>
      </c>
      <c r="C454">
        <v>19.4025574069423</v>
      </c>
      <c r="D454">
        <v>0</v>
      </c>
      <c r="E454">
        <v>4.7644393190514096</v>
      </c>
      <c r="F454">
        <v>4.0354006323276996</v>
      </c>
      <c r="G454">
        <v>92.365683394345695</v>
      </c>
      <c r="H454">
        <v>23.182359543136101</v>
      </c>
      <c r="I454">
        <v>66.772728450734107</v>
      </c>
      <c r="J454">
        <v>62.242769120598801</v>
      </c>
      <c r="K454">
        <v>154944.32905646501</v>
      </c>
      <c r="L454">
        <v>754.96813049253797</v>
      </c>
      <c r="M454">
        <v>0.11334752668613</v>
      </c>
      <c r="N454">
        <v>7.3730428590424599E-2</v>
      </c>
      <c r="O454">
        <v>0.598257064702582</v>
      </c>
      <c r="P454">
        <v>3.3321818724540597E-2</v>
      </c>
      <c r="Q454">
        <v>0.71713098548232401</v>
      </c>
      <c r="R454">
        <v>0</v>
      </c>
      <c r="S454">
        <v>95</v>
      </c>
      <c r="T454">
        <v>160</v>
      </c>
      <c r="U454">
        <v>11642981718.290001</v>
      </c>
      <c r="V454">
        <v>75143</v>
      </c>
    </row>
    <row r="455" spans="1:22" x14ac:dyDescent="0.25">
      <c r="A455">
        <v>0.97929885124013705</v>
      </c>
      <c r="B455">
        <v>22.199400997685999</v>
      </c>
      <c r="C455">
        <v>20.054250117209101</v>
      </c>
      <c r="D455">
        <v>0</v>
      </c>
      <c r="E455">
        <v>4.7569179084883997</v>
      </c>
      <c r="F455">
        <v>4.0283253517501496</v>
      </c>
      <c r="G455">
        <v>92.363193121149294</v>
      </c>
      <c r="H455">
        <v>23.2143078733341</v>
      </c>
      <c r="I455">
        <v>67.169192300070904</v>
      </c>
      <c r="J455">
        <v>62.539725127295497</v>
      </c>
      <c r="K455">
        <v>165004.30925864799</v>
      </c>
      <c r="L455">
        <v>755.11990037518399</v>
      </c>
      <c r="M455">
        <v>0.114147688875819</v>
      </c>
      <c r="N455">
        <v>7.4001554217362306E-2</v>
      </c>
      <c r="O455">
        <v>0.58969585197570895</v>
      </c>
      <c r="P455">
        <v>3.5358087045142102E-2</v>
      </c>
      <c r="Q455">
        <v>0.70751752316096705</v>
      </c>
      <c r="R455">
        <v>0</v>
      </c>
      <c r="S455">
        <v>95</v>
      </c>
      <c r="T455">
        <v>170</v>
      </c>
      <c r="U455">
        <v>12010003653.700001</v>
      </c>
      <c r="V455">
        <v>72786</v>
      </c>
    </row>
    <row r="456" spans="1:22" x14ac:dyDescent="0.25">
      <c r="A456">
        <v>0.97121208386367197</v>
      </c>
      <c r="B456">
        <v>29.568177348933201</v>
      </c>
      <c r="C456">
        <v>33.310685777355197</v>
      </c>
      <c r="D456">
        <v>0</v>
      </c>
      <c r="E456">
        <v>4.7335029389494796</v>
      </c>
      <c r="F456">
        <v>4.0075137473730198</v>
      </c>
      <c r="G456">
        <v>92.357190797360005</v>
      </c>
      <c r="H456">
        <v>23.2110729150025</v>
      </c>
      <c r="I456">
        <v>67.359845691662301</v>
      </c>
      <c r="J456">
        <v>62.879386377372001</v>
      </c>
      <c r="K456">
        <v>283874.91260314401</v>
      </c>
      <c r="L456">
        <v>754.74307960625401</v>
      </c>
      <c r="M456">
        <v>0.17750098078778401</v>
      </c>
      <c r="N456">
        <v>7.22066308174871E-2</v>
      </c>
      <c r="O456">
        <v>0.53045583430930698</v>
      </c>
      <c r="P456">
        <v>7.0426228265432905E-2</v>
      </c>
      <c r="Q456">
        <v>0.69987330914773305</v>
      </c>
      <c r="R456">
        <v>0</v>
      </c>
      <c r="S456">
        <v>95</v>
      </c>
      <c r="T456">
        <v>175</v>
      </c>
      <c r="U456">
        <v>251290046885.07999</v>
      </c>
      <c r="V456">
        <v>885214</v>
      </c>
    </row>
    <row r="457" spans="1:22" x14ac:dyDescent="0.25">
      <c r="A457">
        <v>0.978690972821883</v>
      </c>
      <c r="B457">
        <v>22.7769429281066</v>
      </c>
      <c r="C457">
        <v>20.8770376959401</v>
      </c>
      <c r="D457">
        <v>0</v>
      </c>
      <c r="E457">
        <v>4.7601626434553799</v>
      </c>
      <c r="F457">
        <v>4.0288679868904298</v>
      </c>
      <c r="G457">
        <v>92.363108664639</v>
      </c>
      <c r="H457">
        <v>23.091518245485101</v>
      </c>
      <c r="I457">
        <v>67.365666098811303</v>
      </c>
      <c r="J457">
        <v>62.782862234780602</v>
      </c>
      <c r="K457">
        <v>172490.19921863099</v>
      </c>
      <c r="L457">
        <v>755.41074275084202</v>
      </c>
      <c r="M457">
        <v>0.11139318468463801</v>
      </c>
      <c r="N457">
        <v>7.3428790079162198E-2</v>
      </c>
      <c r="O457">
        <v>0.58405314271403197</v>
      </c>
      <c r="P457">
        <v>3.97558909501321E-2</v>
      </c>
      <c r="Q457">
        <v>0.69878465840670001</v>
      </c>
      <c r="R457">
        <v>0</v>
      </c>
      <c r="S457">
        <v>95</v>
      </c>
      <c r="T457">
        <v>180</v>
      </c>
      <c r="U457">
        <v>6143583425.5699997</v>
      </c>
      <c r="V457">
        <v>35617</v>
      </c>
    </row>
    <row r="458" spans="1:22" x14ac:dyDescent="0.25">
      <c r="A458">
        <v>0.99291770785766098</v>
      </c>
      <c r="B458">
        <v>8.1753942173995799</v>
      </c>
      <c r="C458">
        <v>90.023338037625507</v>
      </c>
      <c r="D458">
        <v>0</v>
      </c>
      <c r="E458">
        <v>4.7855126839354698</v>
      </c>
      <c r="F458">
        <v>4.1203944686936804</v>
      </c>
      <c r="G458">
        <v>97.406243450514793</v>
      </c>
      <c r="H458">
        <v>24.788248996694001</v>
      </c>
      <c r="I458">
        <v>60.295817183740297</v>
      </c>
      <c r="J458">
        <v>4.9441554462600497</v>
      </c>
      <c r="K458">
        <v>5715.9558931082902</v>
      </c>
      <c r="L458">
        <v>773.105890965311</v>
      </c>
      <c r="M458">
        <v>2.7991269800619101E-2</v>
      </c>
      <c r="N458">
        <v>7.2969803796249594E-2</v>
      </c>
      <c r="O458">
        <v>0.57392900831916005</v>
      </c>
      <c r="P458">
        <v>2.3006361465557099E-2</v>
      </c>
      <c r="Q458">
        <v>0.33053314837604703</v>
      </c>
      <c r="R458">
        <v>0</v>
      </c>
      <c r="S458">
        <v>100</v>
      </c>
      <c r="T458">
        <v>10</v>
      </c>
      <c r="U458">
        <v>4064044.64</v>
      </c>
      <c r="V458">
        <v>711</v>
      </c>
    </row>
    <row r="459" spans="1:22" x14ac:dyDescent="0.25">
      <c r="A459">
        <v>0.99272891646428796</v>
      </c>
      <c r="B459">
        <v>8.3846874266118192</v>
      </c>
      <c r="C459">
        <v>64.399075096740205</v>
      </c>
      <c r="D459">
        <v>0</v>
      </c>
      <c r="E459">
        <v>4.84702134797526</v>
      </c>
      <c r="F459">
        <v>4.1612273463915201</v>
      </c>
      <c r="G459">
        <v>97.391618479863297</v>
      </c>
      <c r="H459">
        <v>23.638309771222399</v>
      </c>
      <c r="I459">
        <v>51.8556858573806</v>
      </c>
      <c r="J459">
        <v>16.007565167834201</v>
      </c>
      <c r="K459">
        <v>15617.831931079299</v>
      </c>
      <c r="L459">
        <v>767.64431908850997</v>
      </c>
      <c r="M459">
        <v>4.3963587251100701E-2</v>
      </c>
      <c r="N459">
        <v>4.97274540367127E-2</v>
      </c>
      <c r="O459">
        <v>0.71456610317227598</v>
      </c>
      <c r="P459">
        <v>2.5459636078162599E-2</v>
      </c>
      <c r="Q459">
        <v>0.39594066075860002</v>
      </c>
      <c r="R459">
        <v>0</v>
      </c>
      <c r="S459">
        <v>100</v>
      </c>
      <c r="T459">
        <v>20</v>
      </c>
      <c r="U459">
        <v>24020225.510000002</v>
      </c>
      <c r="V459">
        <v>1538</v>
      </c>
    </row>
    <row r="460" spans="1:22" x14ac:dyDescent="0.25">
      <c r="A460">
        <v>0.99192094244616702</v>
      </c>
      <c r="B460">
        <v>9.2754724006794902</v>
      </c>
      <c r="C460">
        <v>36.295271230772698</v>
      </c>
      <c r="D460">
        <v>0</v>
      </c>
      <c r="E460">
        <v>4.8637096497827601</v>
      </c>
      <c r="F460">
        <v>4.1499455205124303</v>
      </c>
      <c r="G460">
        <v>97.394438297735903</v>
      </c>
      <c r="H460">
        <v>23.153142542374098</v>
      </c>
      <c r="I460">
        <v>51.5521028238879</v>
      </c>
      <c r="J460">
        <v>32.898838976331298</v>
      </c>
      <c r="K460">
        <v>26078.682803099298</v>
      </c>
      <c r="L460">
        <v>759.97462393991702</v>
      </c>
      <c r="M460">
        <v>4.9728611183828798E-2</v>
      </c>
      <c r="N460">
        <v>3.4138935089505801E-2</v>
      </c>
      <c r="O460">
        <v>0.75947772486489595</v>
      </c>
      <c r="P460">
        <v>2.08180033242562E-2</v>
      </c>
      <c r="Q460">
        <v>0.44812966061844101</v>
      </c>
      <c r="R460">
        <v>0</v>
      </c>
      <c r="S460">
        <v>100</v>
      </c>
      <c r="T460">
        <v>30</v>
      </c>
      <c r="U460">
        <v>114433260.14</v>
      </c>
      <c r="V460">
        <v>4388</v>
      </c>
    </row>
    <row r="461" spans="1:22" x14ac:dyDescent="0.25">
      <c r="A461">
        <v>0.99062190800111005</v>
      </c>
      <c r="B461">
        <v>10.691017761365501</v>
      </c>
      <c r="C461">
        <v>17.901462760951901</v>
      </c>
      <c r="D461">
        <v>0</v>
      </c>
      <c r="E461">
        <v>4.8714517459776498</v>
      </c>
      <c r="F461">
        <v>4.1411888409278301</v>
      </c>
      <c r="G461">
        <v>97.360057444062804</v>
      </c>
      <c r="H461">
        <v>23.0779607426174</v>
      </c>
      <c r="I461">
        <v>52.7755841859721</v>
      </c>
      <c r="J461">
        <v>42.277720125019798</v>
      </c>
      <c r="K461">
        <v>35881.389172925599</v>
      </c>
      <c r="L461">
        <v>755.39887658134398</v>
      </c>
      <c r="M461">
        <v>6.5842761775245798E-2</v>
      </c>
      <c r="N461">
        <v>3.9587135508306198E-2</v>
      </c>
      <c r="O461">
        <v>0.75000756218971898</v>
      </c>
      <c r="P461">
        <v>2.8063437974268201E-2</v>
      </c>
      <c r="Q461">
        <v>0.51671002513526398</v>
      </c>
      <c r="R461">
        <v>0</v>
      </c>
      <c r="S461">
        <v>100</v>
      </c>
      <c r="T461">
        <v>40</v>
      </c>
      <c r="U461">
        <v>401297456.50999999</v>
      </c>
      <c r="V461">
        <v>11184</v>
      </c>
    </row>
    <row r="462" spans="1:22" x14ac:dyDescent="0.25">
      <c r="A462">
        <v>0.98912522996145602</v>
      </c>
      <c r="B462">
        <v>12.296816795865</v>
      </c>
      <c r="C462">
        <v>13.570222132231301</v>
      </c>
      <c r="D462">
        <v>0</v>
      </c>
      <c r="E462">
        <v>4.8525742308081599</v>
      </c>
      <c r="F462">
        <v>4.1218750815538101</v>
      </c>
      <c r="G462">
        <v>97.378267823375595</v>
      </c>
      <c r="H462">
        <v>23.124560358381899</v>
      </c>
      <c r="I462">
        <v>53.7055682265051</v>
      </c>
      <c r="J462">
        <v>46.349075427197</v>
      </c>
      <c r="K462">
        <v>45878.555222916999</v>
      </c>
      <c r="L462">
        <v>755.62114662788497</v>
      </c>
      <c r="M462">
        <v>6.3775535591614294E-2</v>
      </c>
      <c r="N462">
        <v>5.1058121079334599E-2</v>
      </c>
      <c r="O462">
        <v>0.72745986766480197</v>
      </c>
      <c r="P462">
        <v>2.9909997549211101E-2</v>
      </c>
      <c r="Q462">
        <v>0.580193337389588</v>
      </c>
      <c r="R462">
        <v>0</v>
      </c>
      <c r="S462">
        <v>100</v>
      </c>
      <c r="T462">
        <v>50</v>
      </c>
      <c r="U462">
        <v>1137099991.2</v>
      </c>
      <c r="V462">
        <v>24785</v>
      </c>
    </row>
    <row r="463" spans="1:22" x14ac:dyDescent="0.25">
      <c r="A463">
        <v>0.987770276942456</v>
      </c>
      <c r="B463">
        <v>13.7276866328894</v>
      </c>
      <c r="C463">
        <v>13.5936282433803</v>
      </c>
      <c r="D463">
        <v>0</v>
      </c>
      <c r="E463">
        <v>4.8537286738397398</v>
      </c>
      <c r="F463">
        <v>4.1115838103392699</v>
      </c>
      <c r="G463">
        <v>97.3646761300203</v>
      </c>
      <c r="H463">
        <v>23.130216400484599</v>
      </c>
      <c r="I463">
        <v>57.405636823078602</v>
      </c>
      <c r="J463">
        <v>51.076916233587802</v>
      </c>
      <c r="K463">
        <v>55443.430631397998</v>
      </c>
      <c r="L463">
        <v>753.98585407150995</v>
      </c>
      <c r="M463">
        <v>7.5160592467916398E-2</v>
      </c>
      <c r="N463">
        <v>5.79098961062064E-2</v>
      </c>
      <c r="O463">
        <v>0.71882294104450495</v>
      </c>
      <c r="P463">
        <v>3.3933040245802001E-2</v>
      </c>
      <c r="Q463">
        <v>0.62711532545705995</v>
      </c>
      <c r="R463">
        <v>0</v>
      </c>
      <c r="S463">
        <v>100</v>
      </c>
      <c r="T463">
        <v>60</v>
      </c>
      <c r="U463">
        <v>2193508446.0700002</v>
      </c>
      <c r="V463">
        <v>39563</v>
      </c>
    </row>
    <row r="464" spans="1:22" x14ac:dyDescent="0.25">
      <c r="A464">
        <v>0.98655670725524203</v>
      </c>
      <c r="B464">
        <v>14.9910518516179</v>
      </c>
      <c r="C464">
        <v>11.7061942840804</v>
      </c>
      <c r="D464">
        <v>0</v>
      </c>
      <c r="E464">
        <v>4.8469718205911896</v>
      </c>
      <c r="F464">
        <v>4.0986633386108</v>
      </c>
      <c r="G464">
        <v>97.383546162504501</v>
      </c>
      <c r="H464">
        <v>23.212299579466599</v>
      </c>
      <c r="I464">
        <v>59.273380792370197</v>
      </c>
      <c r="J464">
        <v>53.494120137612001</v>
      </c>
      <c r="K464">
        <v>65230.146900728199</v>
      </c>
      <c r="L464">
        <v>754.40293583107302</v>
      </c>
      <c r="M464">
        <v>8.0954279453390801E-2</v>
      </c>
      <c r="N464">
        <v>5.8173383277770198E-2</v>
      </c>
      <c r="O464">
        <v>0.70095163596291399</v>
      </c>
      <c r="P464">
        <v>3.59783952959652E-2</v>
      </c>
      <c r="Q464">
        <v>0.65556377837364699</v>
      </c>
      <c r="R464">
        <v>0</v>
      </c>
      <c r="S464">
        <v>100</v>
      </c>
      <c r="T464">
        <v>70</v>
      </c>
      <c r="U464">
        <v>3484529217.29</v>
      </c>
      <c r="V464">
        <v>53419</v>
      </c>
    </row>
    <row r="465" spans="1:22" x14ac:dyDescent="0.25">
      <c r="A465">
        <v>0.98551011180548298</v>
      </c>
      <c r="B465">
        <v>16.0669477799674</v>
      </c>
      <c r="C465">
        <v>12.9849939839201</v>
      </c>
      <c r="D465">
        <v>0</v>
      </c>
      <c r="E465">
        <v>4.8301340071625303</v>
      </c>
      <c r="F465">
        <v>4.07565957734215</v>
      </c>
      <c r="G465">
        <v>97.3754262973099</v>
      </c>
      <c r="H465">
        <v>22.770503418679201</v>
      </c>
      <c r="I465">
        <v>59.6013917497473</v>
      </c>
      <c r="J465">
        <v>54.658800660167998</v>
      </c>
      <c r="K465">
        <v>75129.537824950501</v>
      </c>
      <c r="L465">
        <v>754.97310048581699</v>
      </c>
      <c r="M465">
        <v>8.76111033588306E-2</v>
      </c>
      <c r="N465">
        <v>6.0006867871455101E-2</v>
      </c>
      <c r="O465">
        <v>0.68852838231412195</v>
      </c>
      <c r="P465">
        <v>3.0422620843130199E-2</v>
      </c>
      <c r="Q465">
        <v>0.68807754752512396</v>
      </c>
      <c r="R465">
        <v>0</v>
      </c>
      <c r="S465">
        <v>100</v>
      </c>
      <c r="T465">
        <v>80</v>
      </c>
      <c r="U465">
        <v>5087622042.4300003</v>
      </c>
      <c r="V465">
        <v>67718</v>
      </c>
    </row>
    <row r="466" spans="1:22" x14ac:dyDescent="0.25">
      <c r="A466">
        <v>0.98458888925092602</v>
      </c>
      <c r="B466">
        <v>17.003616798847599</v>
      </c>
      <c r="C466">
        <v>12.9248082702766</v>
      </c>
      <c r="D466">
        <v>0</v>
      </c>
      <c r="E466">
        <v>4.8252541901536201</v>
      </c>
      <c r="F466">
        <v>4.0603418298204801</v>
      </c>
      <c r="G466">
        <v>97.368408602347401</v>
      </c>
      <c r="H466">
        <v>23.0575807711651</v>
      </c>
      <c r="I466">
        <v>62.347858531105601</v>
      </c>
      <c r="J466">
        <v>57.3127316971105</v>
      </c>
      <c r="K466">
        <v>85142.339244218805</v>
      </c>
      <c r="L466">
        <v>754.40415903698795</v>
      </c>
      <c r="M466">
        <v>9.4447573893048906E-2</v>
      </c>
      <c r="N466">
        <v>6.2431160523807899E-2</v>
      </c>
      <c r="O466">
        <v>0.68340217564725303</v>
      </c>
      <c r="P466">
        <v>3.15133548344987E-2</v>
      </c>
      <c r="Q466">
        <v>0.69515725656440397</v>
      </c>
      <c r="R466">
        <v>0</v>
      </c>
      <c r="S466">
        <v>100</v>
      </c>
      <c r="T466">
        <v>90</v>
      </c>
      <c r="U466">
        <v>6491166801.6400003</v>
      </c>
      <c r="V466">
        <v>76239</v>
      </c>
    </row>
    <row r="467" spans="1:22" x14ac:dyDescent="0.25">
      <c r="A467">
        <v>0.98368278369886497</v>
      </c>
      <c r="B467">
        <v>17.915558839293801</v>
      </c>
      <c r="C467">
        <v>14.5285333697955</v>
      </c>
      <c r="D467">
        <v>0</v>
      </c>
      <c r="E467">
        <v>4.8160478627492802</v>
      </c>
      <c r="F467">
        <v>4.0504121330739196</v>
      </c>
      <c r="G467">
        <v>97.379159406503206</v>
      </c>
      <c r="H467">
        <v>22.985499785698401</v>
      </c>
      <c r="I467">
        <v>61.909693146326397</v>
      </c>
      <c r="J467">
        <v>57.319092301233198</v>
      </c>
      <c r="K467">
        <v>95256.355384400304</v>
      </c>
      <c r="L467">
        <v>756.43117671579603</v>
      </c>
      <c r="M467">
        <v>9.4730600613692095E-2</v>
      </c>
      <c r="N467">
        <v>6.6445083163171298E-2</v>
      </c>
      <c r="O467">
        <v>0.65489707715268397</v>
      </c>
      <c r="P467">
        <v>3.3173158554761599E-2</v>
      </c>
      <c r="Q467">
        <v>0.66973648802639296</v>
      </c>
      <c r="R467">
        <v>0</v>
      </c>
      <c r="S467">
        <v>100</v>
      </c>
      <c r="T467">
        <v>100</v>
      </c>
      <c r="U467">
        <v>9199763546.6700001</v>
      </c>
      <c r="V467">
        <v>96579</v>
      </c>
    </row>
    <row r="468" spans="1:22" x14ac:dyDescent="0.25">
      <c r="A468">
        <v>0.98280869310746599</v>
      </c>
      <c r="B468">
        <v>18.786566681179899</v>
      </c>
      <c r="C468">
        <v>15.280892592293601</v>
      </c>
      <c r="D468">
        <v>0</v>
      </c>
      <c r="E468">
        <v>4.8134477804609803</v>
      </c>
      <c r="F468">
        <v>4.0378697299988104</v>
      </c>
      <c r="G468">
        <v>97.381893381437607</v>
      </c>
      <c r="H468">
        <v>23.134588449020399</v>
      </c>
      <c r="I468">
        <v>64.357770713449298</v>
      </c>
      <c r="J468">
        <v>59.681730230446099</v>
      </c>
      <c r="K468">
        <v>104994.441972588</v>
      </c>
      <c r="L468">
        <v>755.36317912764696</v>
      </c>
      <c r="M468">
        <v>0.103179325047764</v>
      </c>
      <c r="N468">
        <v>6.5785857033587705E-2</v>
      </c>
      <c r="O468">
        <v>0.63974297586575302</v>
      </c>
      <c r="P468">
        <v>3.0405290937000701E-2</v>
      </c>
      <c r="Q468">
        <v>0.69555600429994602</v>
      </c>
      <c r="R468">
        <v>0</v>
      </c>
      <c r="S468">
        <v>100</v>
      </c>
      <c r="T468">
        <v>110</v>
      </c>
      <c r="U468">
        <v>8993718904.9300003</v>
      </c>
      <c r="V468">
        <v>85659</v>
      </c>
    </row>
    <row r="469" spans="1:22" x14ac:dyDescent="0.25">
      <c r="A469">
        <v>0.98203942242074105</v>
      </c>
      <c r="B469">
        <v>19.5461064698044</v>
      </c>
      <c r="C469">
        <v>16.289887244937201</v>
      </c>
      <c r="D469">
        <v>0</v>
      </c>
      <c r="E469">
        <v>4.8011919347206096</v>
      </c>
      <c r="F469">
        <v>4.0264063134598</v>
      </c>
      <c r="G469">
        <v>97.383051779177407</v>
      </c>
      <c r="H469">
        <v>23.372343599386902</v>
      </c>
      <c r="I469">
        <v>64.837738659146694</v>
      </c>
      <c r="J469">
        <v>60.070453618864398</v>
      </c>
      <c r="K469">
        <v>115046.906069555</v>
      </c>
      <c r="L469">
        <v>755.642887421041</v>
      </c>
      <c r="M469">
        <v>0.107327337122042</v>
      </c>
      <c r="N469">
        <v>6.5252251589809296E-2</v>
      </c>
      <c r="O469">
        <v>0.62770956403115297</v>
      </c>
      <c r="P469">
        <v>3.2112999461609497E-2</v>
      </c>
      <c r="Q469">
        <v>0.69364771616572696</v>
      </c>
      <c r="R469">
        <v>0</v>
      </c>
      <c r="S469">
        <v>100</v>
      </c>
      <c r="T469">
        <v>120</v>
      </c>
      <c r="U469">
        <v>9983655461.8099995</v>
      </c>
      <c r="V469">
        <v>86779</v>
      </c>
    </row>
    <row r="470" spans="1:22" x14ac:dyDescent="0.25">
      <c r="A470">
        <v>0.98134188201285399</v>
      </c>
      <c r="B470">
        <v>20.2291884577511</v>
      </c>
      <c r="C470">
        <v>17.482683594952601</v>
      </c>
      <c r="D470">
        <v>0</v>
      </c>
      <c r="E470">
        <v>4.7946837024958997</v>
      </c>
      <c r="F470">
        <v>4.01954340929466</v>
      </c>
      <c r="G470">
        <v>97.385309867565994</v>
      </c>
      <c r="H470">
        <v>23.296437407531599</v>
      </c>
      <c r="I470">
        <v>64.939029235773205</v>
      </c>
      <c r="J470">
        <v>60.309659135422201</v>
      </c>
      <c r="K470">
        <v>124917.855259991</v>
      </c>
      <c r="L470">
        <v>756.05266417445898</v>
      </c>
      <c r="M470">
        <v>0.109132657596709</v>
      </c>
      <c r="N470">
        <v>6.7675804377073906E-2</v>
      </c>
      <c r="O470">
        <v>0.62370300565620895</v>
      </c>
      <c r="P470">
        <v>3.2764446672059501E-2</v>
      </c>
      <c r="Q470">
        <v>0.69371737837438396</v>
      </c>
      <c r="R470">
        <v>0</v>
      </c>
      <c r="S470">
        <v>100</v>
      </c>
      <c r="T470">
        <v>130</v>
      </c>
      <c r="U470">
        <v>10880220275.290001</v>
      </c>
      <c r="V470">
        <v>87099</v>
      </c>
    </row>
    <row r="471" spans="1:22" x14ac:dyDescent="0.25">
      <c r="A471">
        <v>0.98063549906317204</v>
      </c>
      <c r="B471">
        <v>20.915508201226999</v>
      </c>
      <c r="C471">
        <v>19.287891351423699</v>
      </c>
      <c r="D471">
        <v>0</v>
      </c>
      <c r="E471">
        <v>4.7915276262361299</v>
      </c>
      <c r="F471">
        <v>4.0141929328697099</v>
      </c>
      <c r="G471">
        <v>97.371083334083295</v>
      </c>
      <c r="H471">
        <v>23.467866626492501</v>
      </c>
      <c r="I471">
        <v>65.497226421540205</v>
      </c>
      <c r="J471">
        <v>60.840792316183602</v>
      </c>
      <c r="K471">
        <v>134955.93927023199</v>
      </c>
      <c r="L471">
        <v>755.89451088901399</v>
      </c>
      <c r="M471">
        <v>0.11061258272385099</v>
      </c>
      <c r="N471">
        <v>6.7568717457632793E-2</v>
      </c>
      <c r="O471">
        <v>0.61645588280192898</v>
      </c>
      <c r="P471">
        <v>3.4658894116530503E-2</v>
      </c>
      <c r="Q471">
        <v>0.70507967550022299</v>
      </c>
      <c r="R471">
        <v>0</v>
      </c>
      <c r="S471">
        <v>100</v>
      </c>
      <c r="T471">
        <v>140</v>
      </c>
      <c r="U471">
        <v>10927517358.65</v>
      </c>
      <c r="V471">
        <v>80971</v>
      </c>
    </row>
    <row r="472" spans="1:22" x14ac:dyDescent="0.25">
      <c r="A472">
        <v>0.97993017216031297</v>
      </c>
      <c r="B472">
        <v>21.595397346917</v>
      </c>
      <c r="C472">
        <v>19.533476041778599</v>
      </c>
      <c r="D472">
        <v>0</v>
      </c>
      <c r="E472">
        <v>4.7896842221033502</v>
      </c>
      <c r="F472">
        <v>4.0157183824817597</v>
      </c>
      <c r="G472">
        <v>97.379678187252196</v>
      </c>
      <c r="H472">
        <v>23.305562964296399</v>
      </c>
      <c r="I472">
        <v>64.298408729129804</v>
      </c>
      <c r="J472">
        <v>59.946593059409103</v>
      </c>
      <c r="K472">
        <v>144944.16893991001</v>
      </c>
      <c r="L472">
        <v>756.42693450895001</v>
      </c>
      <c r="M472">
        <v>0.110566229453347</v>
      </c>
      <c r="N472">
        <v>6.8546912699111895E-2</v>
      </c>
      <c r="O472">
        <v>0.60607125449614496</v>
      </c>
      <c r="P472">
        <v>3.7226406996834403E-2</v>
      </c>
      <c r="Q472">
        <v>0.70565879737912696</v>
      </c>
      <c r="R472">
        <v>0</v>
      </c>
      <c r="S472">
        <v>100</v>
      </c>
      <c r="T472">
        <v>150</v>
      </c>
      <c r="U472">
        <v>12079936927.790001</v>
      </c>
      <c r="V472">
        <v>83342</v>
      </c>
    </row>
    <row r="473" spans="1:22" x14ac:dyDescent="0.25">
      <c r="A473">
        <v>0.97923041384795695</v>
      </c>
      <c r="B473">
        <v>22.264620198745</v>
      </c>
      <c r="C473">
        <v>20.2137081854531</v>
      </c>
      <c r="D473">
        <v>0</v>
      </c>
      <c r="E473">
        <v>4.7937181968047504</v>
      </c>
      <c r="F473">
        <v>4.0132597666816201</v>
      </c>
      <c r="G473">
        <v>97.369802795818899</v>
      </c>
      <c r="H473">
        <v>23.355895571046599</v>
      </c>
      <c r="I473">
        <v>65.843217238997894</v>
      </c>
      <c r="J473">
        <v>61.380257583545898</v>
      </c>
      <c r="K473">
        <v>154955.499933641</v>
      </c>
      <c r="L473">
        <v>755.08099082813897</v>
      </c>
      <c r="M473">
        <v>0.119224663233437</v>
      </c>
      <c r="N473">
        <v>6.9149257264979794E-2</v>
      </c>
      <c r="O473">
        <v>0.60647193257065002</v>
      </c>
      <c r="P473">
        <v>3.5131632849701402E-2</v>
      </c>
      <c r="Q473">
        <v>0.72375853777444399</v>
      </c>
      <c r="R473">
        <v>0</v>
      </c>
      <c r="S473">
        <v>100</v>
      </c>
      <c r="T473">
        <v>160</v>
      </c>
      <c r="U473">
        <v>11395427465.120001</v>
      </c>
      <c r="V473">
        <v>73540</v>
      </c>
    </row>
    <row r="474" spans="1:22" x14ac:dyDescent="0.25">
      <c r="A474">
        <v>0.97839367977073599</v>
      </c>
      <c r="B474">
        <v>23.057965988620701</v>
      </c>
      <c r="C474">
        <v>22.001684056919402</v>
      </c>
      <c r="D474">
        <v>0</v>
      </c>
      <c r="E474">
        <v>4.7899210450911101</v>
      </c>
      <c r="F474">
        <v>4.0069860969174798</v>
      </c>
      <c r="G474">
        <v>97.363623125212698</v>
      </c>
      <c r="H474">
        <v>23.524087183748801</v>
      </c>
      <c r="I474">
        <v>66.322246877878101</v>
      </c>
      <c r="J474">
        <v>61.785049247520597</v>
      </c>
      <c r="K474">
        <v>165004.926895791</v>
      </c>
      <c r="L474">
        <v>755.68173733537196</v>
      </c>
      <c r="M474">
        <v>0.122280683582244</v>
      </c>
      <c r="N474">
        <v>6.9470921604232502E-2</v>
      </c>
      <c r="O474">
        <v>0.59434304187832598</v>
      </c>
      <c r="P474">
        <v>3.7563230668552001E-2</v>
      </c>
      <c r="Q474">
        <v>0.71042232602044297</v>
      </c>
      <c r="R474">
        <v>0</v>
      </c>
      <c r="S474">
        <v>100</v>
      </c>
      <c r="T474">
        <v>170</v>
      </c>
      <c r="U474">
        <v>11671293494.120001</v>
      </c>
      <c r="V474">
        <v>70733</v>
      </c>
    </row>
    <row r="475" spans="1:22" x14ac:dyDescent="0.25">
      <c r="A475">
        <v>0.97013569161569202</v>
      </c>
      <c r="B475">
        <v>30.499201762712101</v>
      </c>
      <c r="C475">
        <v>34.713833944013103</v>
      </c>
      <c r="D475">
        <v>0</v>
      </c>
      <c r="E475">
        <v>4.7685778831361203</v>
      </c>
      <c r="F475">
        <v>3.9882243632540901</v>
      </c>
      <c r="G475">
        <v>97.361731165906306</v>
      </c>
      <c r="H475">
        <v>23.480420215598901</v>
      </c>
      <c r="I475">
        <v>66.286253241417995</v>
      </c>
      <c r="J475">
        <v>61.961306952566702</v>
      </c>
      <c r="K475">
        <v>282951.31921669998</v>
      </c>
      <c r="L475">
        <v>754.90861797816001</v>
      </c>
      <c r="M475">
        <v>0.18498803178978401</v>
      </c>
      <c r="N475">
        <v>6.8838259526234E-2</v>
      </c>
      <c r="O475">
        <v>0.53727320964863001</v>
      </c>
      <c r="P475">
        <v>7.4698111585813506E-2</v>
      </c>
      <c r="Q475">
        <v>0.70516526991283501</v>
      </c>
      <c r="R475">
        <v>0</v>
      </c>
      <c r="S475">
        <v>100</v>
      </c>
      <c r="T475">
        <v>175</v>
      </c>
      <c r="U475">
        <v>238379412657.09</v>
      </c>
      <c r="V475">
        <v>842475</v>
      </c>
    </row>
    <row r="476" spans="1:22" x14ac:dyDescent="0.25">
      <c r="A476">
        <v>0.97782140117440397</v>
      </c>
      <c r="B476">
        <v>23.596287962506501</v>
      </c>
      <c r="C476">
        <v>23.036058942160899</v>
      </c>
      <c r="D476">
        <v>0</v>
      </c>
      <c r="E476">
        <v>4.7891096830191202</v>
      </c>
      <c r="F476">
        <v>4.0071959939383204</v>
      </c>
      <c r="G476">
        <v>97.370877718686103</v>
      </c>
      <c r="H476">
        <v>23.317003699353101</v>
      </c>
      <c r="I476">
        <v>66.401852260930298</v>
      </c>
      <c r="J476">
        <v>61.885665454228999</v>
      </c>
      <c r="K476">
        <v>172487.14073228501</v>
      </c>
      <c r="L476">
        <v>756.129670173455</v>
      </c>
      <c r="M476">
        <v>0.118469615607534</v>
      </c>
      <c r="N476">
        <v>7.1649822201730495E-2</v>
      </c>
      <c r="O476">
        <v>0.58966191936580403</v>
      </c>
      <c r="P476">
        <v>3.9579145961426199E-2</v>
      </c>
      <c r="Q476">
        <v>0.70397914186127397</v>
      </c>
      <c r="R476">
        <v>0</v>
      </c>
      <c r="S476">
        <v>100</v>
      </c>
      <c r="T476">
        <v>180</v>
      </c>
      <c r="U476">
        <v>5968745017.8999996</v>
      </c>
      <c r="V476">
        <v>34604</v>
      </c>
    </row>
    <row r="477" spans="1:22" x14ac:dyDescent="0.25">
      <c r="A477">
        <v>0.99308374593333104</v>
      </c>
      <c r="B477">
        <v>7.9909630889224301</v>
      </c>
      <c r="C477">
        <v>87.752651719982694</v>
      </c>
      <c r="D477">
        <v>0</v>
      </c>
      <c r="E477">
        <v>4.8251417163348398</v>
      </c>
      <c r="F477">
        <v>4.1131485402037198</v>
      </c>
      <c r="G477">
        <v>102.17970902133</v>
      </c>
      <c r="H477">
        <v>24.3716419226193</v>
      </c>
      <c r="I477">
        <v>61.688163178874298</v>
      </c>
      <c r="J477">
        <v>5.0776663565001003</v>
      </c>
      <c r="K477">
        <v>5653.7338552437204</v>
      </c>
      <c r="L477">
        <v>776.83775216881099</v>
      </c>
      <c r="M477">
        <v>1.9988238932788002E-2</v>
      </c>
      <c r="N477">
        <v>6.5143313010419701E-2</v>
      </c>
      <c r="O477">
        <v>0.61089539911692703</v>
      </c>
      <c r="P477">
        <v>4.1633157441590497E-2</v>
      </c>
      <c r="Q477">
        <v>0.27169495406888899</v>
      </c>
      <c r="R477">
        <v>0</v>
      </c>
      <c r="S477">
        <v>105</v>
      </c>
      <c r="T477">
        <v>10</v>
      </c>
      <c r="U477">
        <v>3827577.82</v>
      </c>
      <c r="V477">
        <v>677</v>
      </c>
    </row>
    <row r="478" spans="1:22" x14ac:dyDescent="0.25">
      <c r="A478">
        <v>0.99272956997638595</v>
      </c>
      <c r="B478">
        <v>8.3839637011609103</v>
      </c>
      <c r="C478">
        <v>68.439094002648204</v>
      </c>
      <c r="D478">
        <v>0</v>
      </c>
      <c r="E478">
        <v>4.8978292445271503</v>
      </c>
      <c r="F478">
        <v>4.1578423876020096</v>
      </c>
      <c r="G478">
        <v>102.236213109898</v>
      </c>
      <c r="H478">
        <v>23.957838605761001</v>
      </c>
      <c r="I478">
        <v>54.233069781326599</v>
      </c>
      <c r="J478">
        <v>16.855076943341601</v>
      </c>
      <c r="K478">
        <v>15823.0275991649</v>
      </c>
      <c r="L478">
        <v>768.63276793564705</v>
      </c>
      <c r="M478">
        <v>3.5352801303349203E-2</v>
      </c>
      <c r="N478">
        <v>3.5521867285356001E-2</v>
      </c>
      <c r="O478">
        <v>0.72617455382340002</v>
      </c>
      <c r="P478">
        <v>3.0756687231666201E-2</v>
      </c>
      <c r="Q478">
        <v>0.36240874824180502</v>
      </c>
      <c r="R478">
        <v>0</v>
      </c>
      <c r="S478">
        <v>105</v>
      </c>
      <c r="T478">
        <v>20</v>
      </c>
      <c r="U478">
        <v>22737690.66</v>
      </c>
      <c r="V478">
        <v>1437</v>
      </c>
    </row>
    <row r="479" spans="1:22" x14ac:dyDescent="0.25">
      <c r="A479">
        <v>0.99186196720803399</v>
      </c>
      <c r="B479">
        <v>9.3401801945369201</v>
      </c>
      <c r="C479">
        <v>32.677183026328898</v>
      </c>
      <c r="D479">
        <v>0</v>
      </c>
      <c r="E479">
        <v>4.9268760468186699</v>
      </c>
      <c r="F479">
        <v>4.1571599811302198</v>
      </c>
      <c r="G479">
        <v>102.274904278541</v>
      </c>
      <c r="H479">
        <v>22.971573549066999</v>
      </c>
      <c r="I479">
        <v>50.966824900159502</v>
      </c>
      <c r="J479">
        <v>33.481189991355599</v>
      </c>
      <c r="K479">
        <v>26039.0187845849</v>
      </c>
      <c r="L479">
        <v>759.65769275229604</v>
      </c>
      <c r="M479">
        <v>4.6730270365110599E-2</v>
      </c>
      <c r="N479">
        <v>3.3674422705756803E-2</v>
      </c>
      <c r="O479">
        <v>0.75015693488183099</v>
      </c>
      <c r="P479">
        <v>2.50878490177469E-2</v>
      </c>
      <c r="Q479">
        <v>0.44454990853284598</v>
      </c>
      <c r="R479">
        <v>0</v>
      </c>
      <c r="S479">
        <v>105</v>
      </c>
      <c r="T479">
        <v>30</v>
      </c>
      <c r="U479">
        <v>105405948.04000001</v>
      </c>
      <c r="V479">
        <v>4048</v>
      </c>
    </row>
    <row r="480" spans="1:22" x14ac:dyDescent="0.25">
      <c r="A480">
        <v>0.99035339333249695</v>
      </c>
      <c r="B480">
        <v>10.9810786176173</v>
      </c>
      <c r="C480">
        <v>19.703436959833901</v>
      </c>
      <c r="D480">
        <v>0</v>
      </c>
      <c r="E480">
        <v>4.9251816250003504</v>
      </c>
      <c r="F480">
        <v>4.1433006071124501</v>
      </c>
      <c r="G480">
        <v>102.301533383175</v>
      </c>
      <c r="H480">
        <v>22.786651425073099</v>
      </c>
      <c r="I480">
        <v>52.7265098769481</v>
      </c>
      <c r="J480">
        <v>42.651747056304202</v>
      </c>
      <c r="K480">
        <v>35806.412332554501</v>
      </c>
      <c r="L480">
        <v>755.14642303248502</v>
      </c>
      <c r="M480">
        <v>6.3395661437770104E-2</v>
      </c>
      <c r="N480">
        <v>3.9697665495211601E-2</v>
      </c>
      <c r="O480">
        <v>0.74179266856649695</v>
      </c>
      <c r="P480">
        <v>3.0290976146400299E-2</v>
      </c>
      <c r="Q480">
        <v>0.507582377754912</v>
      </c>
      <c r="R480">
        <v>0</v>
      </c>
      <c r="S480">
        <v>105</v>
      </c>
      <c r="T480">
        <v>40</v>
      </c>
      <c r="U480">
        <v>367803467.48000002</v>
      </c>
      <c r="V480">
        <v>10272</v>
      </c>
    </row>
    <row r="481" spans="1:22" x14ac:dyDescent="0.25">
      <c r="A481">
        <v>0.98863901022162004</v>
      </c>
      <c r="B481">
        <v>12.812762598305399</v>
      </c>
      <c r="C481">
        <v>14.456757837114001</v>
      </c>
      <c r="D481">
        <v>0</v>
      </c>
      <c r="E481">
        <v>4.9106585772264904</v>
      </c>
      <c r="F481">
        <v>4.1234812166596502</v>
      </c>
      <c r="G481">
        <v>102.31318267213599</v>
      </c>
      <c r="H481">
        <v>22.791285458742301</v>
      </c>
      <c r="I481">
        <v>53.615975645938803</v>
      </c>
      <c r="J481">
        <v>46.777864736961803</v>
      </c>
      <c r="K481">
        <v>45932.369915796102</v>
      </c>
      <c r="L481">
        <v>755.40065451124894</v>
      </c>
      <c r="M481">
        <v>6.3450229121765803E-2</v>
      </c>
      <c r="N481">
        <v>5.0421919479235397E-2</v>
      </c>
      <c r="O481">
        <v>0.71208269921558098</v>
      </c>
      <c r="P481">
        <v>3.2883546027716502E-2</v>
      </c>
      <c r="Q481">
        <v>0.56240048706549295</v>
      </c>
      <c r="R481">
        <v>0</v>
      </c>
      <c r="S481">
        <v>105</v>
      </c>
      <c r="T481">
        <v>50</v>
      </c>
      <c r="U481">
        <v>1020066071.09</v>
      </c>
      <c r="V481">
        <v>22208</v>
      </c>
    </row>
    <row r="482" spans="1:22" x14ac:dyDescent="0.25">
      <c r="A482">
        <v>0.98714604680748597</v>
      </c>
      <c r="B482">
        <v>14.3796639918073</v>
      </c>
      <c r="C482">
        <v>13.752444330789499</v>
      </c>
      <c r="D482">
        <v>0</v>
      </c>
      <c r="E482">
        <v>4.9009552497983</v>
      </c>
      <c r="F482">
        <v>4.1038798165673498</v>
      </c>
      <c r="G482">
        <v>102.312714713585</v>
      </c>
      <c r="H482">
        <v>22.898834222547201</v>
      </c>
      <c r="I482">
        <v>57.4713267747562</v>
      </c>
      <c r="J482">
        <v>51.5013747932462</v>
      </c>
      <c r="K482">
        <v>55471.874241947196</v>
      </c>
      <c r="L482">
        <v>753.31977288370604</v>
      </c>
      <c r="M482">
        <v>7.4041393506682998E-2</v>
      </c>
      <c r="N482">
        <v>5.9058523719345099E-2</v>
      </c>
      <c r="O482">
        <v>0.70719166486251495</v>
      </c>
      <c r="P482">
        <v>3.2377582230846601E-2</v>
      </c>
      <c r="Q482">
        <v>0.62222652213159002</v>
      </c>
      <c r="R482">
        <v>0</v>
      </c>
      <c r="S482">
        <v>105</v>
      </c>
      <c r="T482">
        <v>60</v>
      </c>
      <c r="U482">
        <v>1973578341.78</v>
      </c>
      <c r="V482">
        <v>35578</v>
      </c>
    </row>
    <row r="483" spans="1:22" x14ac:dyDescent="0.25">
      <c r="A483">
        <v>0.98588958441378505</v>
      </c>
      <c r="B483">
        <v>15.678302355207199</v>
      </c>
      <c r="C483">
        <v>12.5790075603747</v>
      </c>
      <c r="D483">
        <v>0</v>
      </c>
      <c r="E483">
        <v>4.8933408111332097</v>
      </c>
      <c r="F483">
        <v>4.0896683659350099</v>
      </c>
      <c r="G483">
        <v>102.29875261882</v>
      </c>
      <c r="H483">
        <v>23.085655668514399</v>
      </c>
      <c r="I483">
        <v>59.500560246090501</v>
      </c>
      <c r="J483">
        <v>54.033723622305899</v>
      </c>
      <c r="K483">
        <v>65233.734746627502</v>
      </c>
      <c r="L483">
        <v>753.45455107638202</v>
      </c>
      <c r="M483">
        <v>8.0167166712665702E-2</v>
      </c>
      <c r="N483">
        <v>5.9161003183266399E-2</v>
      </c>
      <c r="O483">
        <v>0.69735206224000501</v>
      </c>
      <c r="P483">
        <v>3.4899100692401999E-2</v>
      </c>
      <c r="Q483">
        <v>0.65710217695220396</v>
      </c>
      <c r="R483">
        <v>0</v>
      </c>
      <c r="S483">
        <v>105</v>
      </c>
      <c r="T483">
        <v>70</v>
      </c>
      <c r="U483">
        <v>3157769397.8800001</v>
      </c>
      <c r="V483">
        <v>48407</v>
      </c>
    </row>
    <row r="484" spans="1:22" x14ac:dyDescent="0.25">
      <c r="A484">
        <v>0.98483564853122696</v>
      </c>
      <c r="B484">
        <v>16.753664172268198</v>
      </c>
      <c r="C484">
        <v>13.454183771573099</v>
      </c>
      <c r="D484">
        <v>0</v>
      </c>
      <c r="E484">
        <v>4.8674692420513104</v>
      </c>
      <c r="F484">
        <v>4.0641269736649202</v>
      </c>
      <c r="G484">
        <v>102.301364253385</v>
      </c>
      <c r="H484">
        <v>22.8787417028562</v>
      </c>
      <c r="I484">
        <v>59.481477444063501</v>
      </c>
      <c r="J484">
        <v>54.695248900254597</v>
      </c>
      <c r="K484">
        <v>75149.309719722907</v>
      </c>
      <c r="L484">
        <v>755.11698418858202</v>
      </c>
      <c r="M484">
        <v>8.82495892100187E-2</v>
      </c>
      <c r="N484">
        <v>5.7626040222970097E-2</v>
      </c>
      <c r="O484">
        <v>0.693015699964729</v>
      </c>
      <c r="P484">
        <v>3.1178819145787101E-2</v>
      </c>
      <c r="Q484">
        <v>0.69305713085729703</v>
      </c>
      <c r="R484">
        <v>0</v>
      </c>
      <c r="S484">
        <v>105</v>
      </c>
      <c r="T484">
        <v>80</v>
      </c>
      <c r="U484">
        <v>4643926743.4399996</v>
      </c>
      <c r="V484">
        <v>61796</v>
      </c>
    </row>
    <row r="485" spans="1:22" x14ac:dyDescent="0.25">
      <c r="A485">
        <v>0.98393019417072503</v>
      </c>
      <c r="B485">
        <v>17.667470724176098</v>
      </c>
      <c r="C485">
        <v>13.5495679366348</v>
      </c>
      <c r="D485">
        <v>0</v>
      </c>
      <c r="E485">
        <v>4.8653689768135804</v>
      </c>
      <c r="F485">
        <v>4.0490211667236</v>
      </c>
      <c r="G485">
        <v>102.30909907559401</v>
      </c>
      <c r="H485">
        <v>23.187024420415199</v>
      </c>
      <c r="I485">
        <v>62.347088702165401</v>
      </c>
      <c r="J485">
        <v>57.499954392585899</v>
      </c>
      <c r="K485">
        <v>85134.366777571297</v>
      </c>
      <c r="L485">
        <v>754.39907367404805</v>
      </c>
      <c r="M485">
        <v>9.6217239913054697E-2</v>
      </c>
      <c r="N485">
        <v>5.9422677999218201E-2</v>
      </c>
      <c r="O485">
        <v>0.68983813110084102</v>
      </c>
      <c r="P485">
        <v>3.0383998846655099E-2</v>
      </c>
      <c r="Q485">
        <v>0.70729501447308996</v>
      </c>
      <c r="R485">
        <v>0</v>
      </c>
      <c r="S485">
        <v>105</v>
      </c>
      <c r="T485">
        <v>90</v>
      </c>
      <c r="U485">
        <v>5910793951</v>
      </c>
      <c r="V485">
        <v>69429</v>
      </c>
    </row>
    <row r="486" spans="1:22" x14ac:dyDescent="0.25">
      <c r="A486">
        <v>0.98299839973987002</v>
      </c>
      <c r="B486">
        <v>18.5982521829227</v>
      </c>
      <c r="C486">
        <v>15.225710923427</v>
      </c>
      <c r="D486">
        <v>0</v>
      </c>
      <c r="E486">
        <v>4.8557023211532604</v>
      </c>
      <c r="F486">
        <v>4.0384617908035203</v>
      </c>
      <c r="G486">
        <v>102.29536367101799</v>
      </c>
      <c r="H486">
        <v>23.198578555861399</v>
      </c>
      <c r="I486">
        <v>62.166144288872502</v>
      </c>
      <c r="J486">
        <v>57.645554744446599</v>
      </c>
      <c r="K486">
        <v>95241.546243293604</v>
      </c>
      <c r="L486">
        <v>756.35560779391699</v>
      </c>
      <c r="M486">
        <v>9.4835717341960807E-2</v>
      </c>
      <c r="N486">
        <v>6.5386288363599304E-2</v>
      </c>
      <c r="O486">
        <v>0.66041161640011603</v>
      </c>
      <c r="P486">
        <v>3.1784962045240298E-2</v>
      </c>
      <c r="Q486">
        <v>0.677237481787058</v>
      </c>
      <c r="R486">
        <v>0</v>
      </c>
      <c r="S486">
        <v>105</v>
      </c>
      <c r="T486">
        <v>100</v>
      </c>
      <c r="U486">
        <v>8325730247.9499998</v>
      </c>
      <c r="V486">
        <v>87417</v>
      </c>
    </row>
    <row r="487" spans="1:22" x14ac:dyDescent="0.25">
      <c r="A487">
        <v>0.98212907001540595</v>
      </c>
      <c r="B487">
        <v>19.457929312506199</v>
      </c>
      <c r="C487">
        <v>15.953869019737001</v>
      </c>
      <c r="D487">
        <v>0</v>
      </c>
      <c r="E487">
        <v>4.8476346162849699</v>
      </c>
      <c r="F487">
        <v>4.0208414303289803</v>
      </c>
      <c r="G487">
        <v>102.30264921631399</v>
      </c>
      <c r="H487">
        <v>23.380954592813598</v>
      </c>
      <c r="I487">
        <v>64.744299223579802</v>
      </c>
      <c r="J487">
        <v>60.061542894645797</v>
      </c>
      <c r="K487">
        <v>104997.808069679</v>
      </c>
      <c r="L487">
        <v>754.39356744731106</v>
      </c>
      <c r="M487">
        <v>0.108083184987604</v>
      </c>
      <c r="N487">
        <v>6.3581213474551701E-2</v>
      </c>
      <c r="O487">
        <v>0.64854721262034998</v>
      </c>
      <c r="P487">
        <v>3.0230771603705801E-2</v>
      </c>
      <c r="Q487">
        <v>0.70865156596919299</v>
      </c>
      <c r="R487">
        <v>0</v>
      </c>
      <c r="S487">
        <v>105</v>
      </c>
      <c r="T487">
        <v>110</v>
      </c>
      <c r="U487">
        <v>8167254500.6999998</v>
      </c>
      <c r="V487">
        <v>77785</v>
      </c>
    </row>
    <row r="488" spans="1:22" x14ac:dyDescent="0.25">
      <c r="A488">
        <v>0.98137995546648704</v>
      </c>
      <c r="B488">
        <v>20.1920417892869</v>
      </c>
      <c r="C488">
        <v>16.800860236395401</v>
      </c>
      <c r="D488">
        <v>0</v>
      </c>
      <c r="E488">
        <v>4.84062212362217</v>
      </c>
      <c r="F488">
        <v>4.0128250000709098</v>
      </c>
      <c r="G488">
        <v>102.298063951386</v>
      </c>
      <c r="H488">
        <v>23.622860799759199</v>
      </c>
      <c r="I488">
        <v>65.185114556886205</v>
      </c>
      <c r="J488">
        <v>60.5263658329213</v>
      </c>
      <c r="K488">
        <v>115033.046503283</v>
      </c>
      <c r="L488">
        <v>755.16695133122903</v>
      </c>
      <c r="M488">
        <v>0.111046578526521</v>
      </c>
      <c r="N488">
        <v>6.3021450000006599E-2</v>
      </c>
      <c r="O488">
        <v>0.64030273400536197</v>
      </c>
      <c r="P488">
        <v>3.1366813507268602E-2</v>
      </c>
      <c r="Q488">
        <v>0.709194320535253</v>
      </c>
      <c r="R488">
        <v>0</v>
      </c>
      <c r="S488">
        <v>105</v>
      </c>
      <c r="T488">
        <v>120</v>
      </c>
      <c r="U488">
        <v>9037916397.6700001</v>
      </c>
      <c r="V488">
        <v>78568</v>
      </c>
    </row>
    <row r="489" spans="1:22" x14ac:dyDescent="0.25">
      <c r="A489">
        <v>0.98068032389780302</v>
      </c>
      <c r="B489">
        <v>20.872117881905002</v>
      </c>
      <c r="C489">
        <v>18.419684255437001</v>
      </c>
      <c r="D489">
        <v>0</v>
      </c>
      <c r="E489">
        <v>4.8323518741286602</v>
      </c>
      <c r="F489">
        <v>4.00538965546657</v>
      </c>
      <c r="G489">
        <v>102.2906793562</v>
      </c>
      <c r="H489">
        <v>23.541200407125199</v>
      </c>
      <c r="I489">
        <v>65.336616434918</v>
      </c>
      <c r="J489">
        <v>60.7250592554919</v>
      </c>
      <c r="K489">
        <v>124898.466489342</v>
      </c>
      <c r="L489">
        <v>755.28809578370704</v>
      </c>
      <c r="M489">
        <v>0.113225790278685</v>
      </c>
      <c r="N489">
        <v>6.5323206179155505E-2</v>
      </c>
      <c r="O489">
        <v>0.63531341800206798</v>
      </c>
      <c r="P489">
        <v>3.3055300949658299E-2</v>
      </c>
      <c r="Q489">
        <v>0.71300995110480803</v>
      </c>
      <c r="R489">
        <v>0</v>
      </c>
      <c r="S489">
        <v>105</v>
      </c>
      <c r="T489">
        <v>130</v>
      </c>
      <c r="U489">
        <v>9703611658.4899998</v>
      </c>
      <c r="V489">
        <v>77692</v>
      </c>
    </row>
    <row r="490" spans="1:22" x14ac:dyDescent="0.25">
      <c r="A490">
        <v>0.97998341981261805</v>
      </c>
      <c r="B490">
        <v>21.544257675146302</v>
      </c>
      <c r="C490">
        <v>19.007426381424601</v>
      </c>
      <c r="D490">
        <v>0</v>
      </c>
      <c r="E490">
        <v>4.82740756276608</v>
      </c>
      <c r="F490">
        <v>3.9976924842486601</v>
      </c>
      <c r="G490">
        <v>102.289652083398</v>
      </c>
      <c r="H490">
        <v>23.667286746498299</v>
      </c>
      <c r="I490">
        <v>65.847194910897997</v>
      </c>
      <c r="J490">
        <v>61.207859134574001</v>
      </c>
      <c r="K490">
        <v>134943.14423144</v>
      </c>
      <c r="L490">
        <v>755.15915748182601</v>
      </c>
      <c r="M490">
        <v>0.11751803950594999</v>
      </c>
      <c r="N490">
        <v>6.3168548878602598E-2</v>
      </c>
      <c r="O490">
        <v>0.62725431684071198</v>
      </c>
      <c r="P490">
        <v>3.4899201074065897E-2</v>
      </c>
      <c r="Q490">
        <v>0.72014713684801201</v>
      </c>
      <c r="R490">
        <v>0</v>
      </c>
      <c r="S490">
        <v>105</v>
      </c>
      <c r="T490">
        <v>140</v>
      </c>
      <c r="U490">
        <v>9742895013.5100002</v>
      </c>
      <c r="V490">
        <v>72200</v>
      </c>
    </row>
    <row r="491" spans="1:22" x14ac:dyDescent="0.25">
      <c r="A491">
        <v>0.97923626694836297</v>
      </c>
      <c r="B491">
        <v>22.259044294221201</v>
      </c>
      <c r="C491">
        <v>20.926299248894001</v>
      </c>
      <c r="D491">
        <v>0</v>
      </c>
      <c r="E491">
        <v>4.82540177362318</v>
      </c>
      <c r="F491">
        <v>3.9983747508266601</v>
      </c>
      <c r="G491">
        <v>102.28612396208</v>
      </c>
      <c r="H491">
        <v>23.600770661029699</v>
      </c>
      <c r="I491">
        <v>64.908432479344</v>
      </c>
      <c r="J491">
        <v>60.528057559298098</v>
      </c>
      <c r="K491">
        <v>144969.140266595</v>
      </c>
      <c r="L491">
        <v>755.45061370393898</v>
      </c>
      <c r="M491">
        <v>0.116601459231812</v>
      </c>
      <c r="N491">
        <v>6.5864804463067597E-2</v>
      </c>
      <c r="O491">
        <v>0.61626128518214096</v>
      </c>
      <c r="P491">
        <v>3.6948436209777197E-2</v>
      </c>
      <c r="Q491">
        <v>0.72103685538116202</v>
      </c>
      <c r="R491">
        <v>0</v>
      </c>
      <c r="S491">
        <v>105</v>
      </c>
      <c r="T491">
        <v>150</v>
      </c>
      <c r="U491">
        <v>10663495050.59</v>
      </c>
      <c r="V491">
        <v>73557</v>
      </c>
    </row>
    <row r="492" spans="1:22" x14ac:dyDescent="0.25">
      <c r="A492">
        <v>0.97852865572721903</v>
      </c>
      <c r="B492">
        <v>22.9304932733512</v>
      </c>
      <c r="C492">
        <v>23.020163058988398</v>
      </c>
      <c r="D492">
        <v>0</v>
      </c>
      <c r="E492">
        <v>4.8275421774343599</v>
      </c>
      <c r="F492">
        <v>3.9957446612629801</v>
      </c>
      <c r="G492">
        <v>102.301086229707</v>
      </c>
      <c r="H492">
        <v>23.6620072727032</v>
      </c>
      <c r="I492">
        <v>66.221530442131396</v>
      </c>
      <c r="J492">
        <v>61.733332570601299</v>
      </c>
      <c r="K492">
        <v>154927.25114852199</v>
      </c>
      <c r="L492">
        <v>754.13358073030895</v>
      </c>
      <c r="M492">
        <v>0.122110028596396</v>
      </c>
      <c r="N492">
        <v>6.6187760206912E-2</v>
      </c>
      <c r="O492">
        <v>0.61228946216208602</v>
      </c>
      <c r="P492">
        <v>3.5288334917484301E-2</v>
      </c>
      <c r="Q492">
        <v>0.741018186054343</v>
      </c>
      <c r="R492">
        <v>0</v>
      </c>
      <c r="S492">
        <v>105</v>
      </c>
      <c r="T492">
        <v>160</v>
      </c>
      <c r="U492">
        <v>10095369539.34</v>
      </c>
      <c r="V492">
        <v>65162</v>
      </c>
    </row>
    <row r="493" spans="1:22" x14ac:dyDescent="0.25">
      <c r="A493">
        <v>0.97772011277915505</v>
      </c>
      <c r="B493">
        <v>23.691205933346598</v>
      </c>
      <c r="C493">
        <v>22.485151258326098</v>
      </c>
      <c r="D493">
        <v>0</v>
      </c>
      <c r="E493">
        <v>4.8230016005882099</v>
      </c>
      <c r="F493">
        <v>3.98849161472386</v>
      </c>
      <c r="G493">
        <v>102.29151346558299</v>
      </c>
      <c r="H493">
        <v>23.797666772865199</v>
      </c>
      <c r="I493">
        <v>66.724011603089906</v>
      </c>
      <c r="J493">
        <v>62.156312585706203</v>
      </c>
      <c r="K493">
        <v>164993.49117729801</v>
      </c>
      <c r="L493">
        <v>754.50155398045001</v>
      </c>
      <c r="M493">
        <v>0.125433466473206</v>
      </c>
      <c r="N493">
        <v>6.5931207891446297E-2</v>
      </c>
      <c r="O493">
        <v>0.60555506961936401</v>
      </c>
      <c r="P493">
        <v>3.68081660434623E-2</v>
      </c>
      <c r="Q493">
        <v>0.73337432617557996</v>
      </c>
      <c r="R493">
        <v>0</v>
      </c>
      <c r="S493">
        <v>105</v>
      </c>
      <c r="T493">
        <v>170</v>
      </c>
      <c r="U493">
        <v>10320342873.139999</v>
      </c>
      <c r="V493">
        <v>62550</v>
      </c>
    </row>
    <row r="494" spans="1:22" x14ac:dyDescent="0.25">
      <c r="A494">
        <v>0.96920347748725399</v>
      </c>
      <c r="B494">
        <v>31.2963888835842</v>
      </c>
      <c r="C494">
        <v>35.019303818091601</v>
      </c>
      <c r="D494">
        <v>0</v>
      </c>
      <c r="E494">
        <v>4.7988311712351202</v>
      </c>
      <c r="F494">
        <v>3.9653274167224399</v>
      </c>
      <c r="G494">
        <v>102.284676435241</v>
      </c>
      <c r="H494">
        <v>23.7791859529943</v>
      </c>
      <c r="I494">
        <v>66.990656608788399</v>
      </c>
      <c r="J494">
        <v>62.583222017889803</v>
      </c>
      <c r="K494">
        <v>282269.54624946299</v>
      </c>
      <c r="L494">
        <v>753.97937757463797</v>
      </c>
      <c r="M494">
        <v>0.18591405906490899</v>
      </c>
      <c r="N494">
        <v>6.4832761139124603E-2</v>
      </c>
      <c r="O494">
        <v>0.547753989037707</v>
      </c>
      <c r="P494">
        <v>7.5836648762582004E-2</v>
      </c>
      <c r="Q494">
        <v>0.72077223475180596</v>
      </c>
      <c r="R494">
        <v>0</v>
      </c>
      <c r="S494">
        <v>105</v>
      </c>
      <c r="T494">
        <v>175</v>
      </c>
      <c r="U494">
        <v>204574006835.66</v>
      </c>
      <c r="V494">
        <v>724747</v>
      </c>
    </row>
    <row r="495" spans="1:22" x14ac:dyDescent="0.25">
      <c r="A495">
        <v>0.97706252214577605</v>
      </c>
      <c r="B495">
        <v>24.304813928051299</v>
      </c>
      <c r="C495">
        <v>24.7664323143368</v>
      </c>
      <c r="D495">
        <v>0</v>
      </c>
      <c r="E495">
        <v>4.8248238772891598</v>
      </c>
      <c r="F495">
        <v>3.9883530398292</v>
      </c>
      <c r="G495">
        <v>102.288097164276</v>
      </c>
      <c r="H495">
        <v>23.708209129286399</v>
      </c>
      <c r="I495">
        <v>66.805203304523104</v>
      </c>
      <c r="J495">
        <v>62.322097031687299</v>
      </c>
      <c r="K495">
        <v>172502.14270716201</v>
      </c>
      <c r="L495">
        <v>754.79659665976305</v>
      </c>
      <c r="M495">
        <v>0.12612717401121201</v>
      </c>
      <c r="N495">
        <v>6.5814030841040705E-2</v>
      </c>
      <c r="O495">
        <v>0.60199473194909103</v>
      </c>
      <c r="P495">
        <v>4.2771794490641002E-2</v>
      </c>
      <c r="Q495">
        <v>0.72246184210089204</v>
      </c>
      <c r="R495">
        <v>0</v>
      </c>
      <c r="S495">
        <v>105</v>
      </c>
      <c r="T495">
        <v>180</v>
      </c>
      <c r="U495">
        <v>5185586911.9200001</v>
      </c>
      <c r="V495">
        <v>30061</v>
      </c>
    </row>
    <row r="496" spans="1:22" x14ac:dyDescent="0.25">
      <c r="A496">
        <v>0.99246426809881705</v>
      </c>
      <c r="B496">
        <v>8.6773392148344097</v>
      </c>
      <c r="C496">
        <v>91.944534324081602</v>
      </c>
      <c r="D496">
        <v>0</v>
      </c>
      <c r="E496">
        <v>4.7568383517158699</v>
      </c>
      <c r="F496">
        <v>4.0068069786893599</v>
      </c>
      <c r="G496">
        <v>107.68115826042001</v>
      </c>
      <c r="H496">
        <v>25.440884492799199</v>
      </c>
      <c r="I496">
        <v>58.349345724612</v>
      </c>
      <c r="J496">
        <v>5.0650296692656802</v>
      </c>
      <c r="K496">
        <v>5802.8966979655697</v>
      </c>
      <c r="L496">
        <v>772.02457084874095</v>
      </c>
      <c r="M496">
        <v>2.20670320393841E-2</v>
      </c>
      <c r="N496">
        <v>4.6998301930038899E-2</v>
      </c>
      <c r="O496">
        <v>0.60877730001226305</v>
      </c>
      <c r="P496">
        <v>2.2366982067849001E-2</v>
      </c>
      <c r="Q496">
        <v>0.34582339440806797</v>
      </c>
      <c r="R496">
        <v>0</v>
      </c>
      <c r="S496">
        <v>110</v>
      </c>
      <c r="T496">
        <v>10</v>
      </c>
      <c r="U496">
        <v>3708050.99</v>
      </c>
      <c r="V496">
        <v>639</v>
      </c>
    </row>
    <row r="497" spans="1:22" x14ac:dyDescent="0.25">
      <c r="A497">
        <v>0.99232490667778295</v>
      </c>
      <c r="B497">
        <v>8.8311023082402507</v>
      </c>
      <c r="C497">
        <v>67.555665451867398</v>
      </c>
      <c r="D497">
        <v>0</v>
      </c>
      <c r="E497">
        <v>4.8738837512242599</v>
      </c>
      <c r="F497">
        <v>4.0924139211939696</v>
      </c>
      <c r="G497">
        <v>107.704188715668</v>
      </c>
      <c r="H497">
        <v>24.095884933030799</v>
      </c>
      <c r="I497">
        <v>53.530465405098397</v>
      </c>
      <c r="J497">
        <v>16.8920815974435</v>
      </c>
      <c r="K497">
        <v>15786.8185301016</v>
      </c>
      <c r="L497">
        <v>768.03667873008897</v>
      </c>
      <c r="M497">
        <v>4.8662791384994103E-2</v>
      </c>
      <c r="N497">
        <v>4.3834117525102002E-2</v>
      </c>
      <c r="O497">
        <v>0.72181559819040997</v>
      </c>
      <c r="P497">
        <v>2.8612390968050998E-2</v>
      </c>
      <c r="Q497">
        <v>0.43996301553206801</v>
      </c>
      <c r="R497">
        <v>0</v>
      </c>
      <c r="S497">
        <v>110</v>
      </c>
      <c r="T497">
        <v>20</v>
      </c>
      <c r="U497">
        <v>20191340.899999999</v>
      </c>
      <c r="V497">
        <v>1279</v>
      </c>
    </row>
    <row r="498" spans="1:22" x14ac:dyDescent="0.25">
      <c r="A498">
        <v>0.99134222293832597</v>
      </c>
      <c r="B498">
        <v>9.9086184464739606</v>
      </c>
      <c r="C498">
        <v>30.069841159658299</v>
      </c>
      <c r="D498">
        <v>0</v>
      </c>
      <c r="E498">
        <v>4.8934456748464799</v>
      </c>
      <c r="F498">
        <v>4.07998793834554</v>
      </c>
      <c r="G498">
        <v>107.63933061177801</v>
      </c>
      <c r="H498">
        <v>23.833268344244502</v>
      </c>
      <c r="I498">
        <v>51.582959363790998</v>
      </c>
      <c r="J498">
        <v>33.834719126352198</v>
      </c>
      <c r="K498">
        <v>26064.626637450099</v>
      </c>
      <c r="L498">
        <v>756.53296055040903</v>
      </c>
      <c r="M498">
        <v>5.0290517692729297E-2</v>
      </c>
      <c r="N498">
        <v>3.5531003182476699E-2</v>
      </c>
      <c r="O498">
        <v>0.76416206353311</v>
      </c>
      <c r="P498">
        <v>2.2278525334899001E-2</v>
      </c>
      <c r="Q498">
        <v>0.46162685362887002</v>
      </c>
      <c r="R498">
        <v>0</v>
      </c>
      <c r="S498">
        <v>110</v>
      </c>
      <c r="T498">
        <v>30</v>
      </c>
      <c r="U498">
        <v>98133319.290000007</v>
      </c>
      <c r="V498">
        <v>3765</v>
      </c>
    </row>
    <row r="499" spans="1:22" x14ac:dyDescent="0.25">
      <c r="A499">
        <v>0.98981284830788996</v>
      </c>
      <c r="B499">
        <v>11.5623807772317</v>
      </c>
      <c r="C499">
        <v>19.751068786828299</v>
      </c>
      <c r="D499">
        <v>0</v>
      </c>
      <c r="E499">
        <v>4.9038361781625399</v>
      </c>
      <c r="F499">
        <v>4.0816530196400898</v>
      </c>
      <c r="G499">
        <v>107.636195894887</v>
      </c>
      <c r="H499">
        <v>23.477469800057499</v>
      </c>
      <c r="I499">
        <v>52.686850738173398</v>
      </c>
      <c r="J499">
        <v>42.724677505429803</v>
      </c>
      <c r="K499">
        <v>35839.081204458598</v>
      </c>
      <c r="L499">
        <v>753.95462499912003</v>
      </c>
      <c r="M499">
        <v>6.0898152054964599E-2</v>
      </c>
      <c r="N499">
        <v>4.1232372312504602E-2</v>
      </c>
      <c r="O499">
        <v>0.75582854444665004</v>
      </c>
      <c r="P499">
        <v>2.6923894537997699E-2</v>
      </c>
      <c r="Q499">
        <v>0.53852788237138005</v>
      </c>
      <c r="R499">
        <v>0</v>
      </c>
      <c r="S499">
        <v>110</v>
      </c>
      <c r="T499">
        <v>40</v>
      </c>
      <c r="U499">
        <v>347244857.79000002</v>
      </c>
      <c r="V499">
        <v>9689</v>
      </c>
    </row>
    <row r="500" spans="1:22" x14ac:dyDescent="0.25">
      <c r="A500">
        <v>0.98804796620401003</v>
      </c>
      <c r="B500">
        <v>13.4361940972321</v>
      </c>
      <c r="C500">
        <v>13.540651546256299</v>
      </c>
      <c r="D500">
        <v>0</v>
      </c>
      <c r="E500">
        <v>4.8843421704313004</v>
      </c>
      <c r="F500">
        <v>4.0574227978021904</v>
      </c>
      <c r="G500">
        <v>107.61046627268099</v>
      </c>
      <c r="H500">
        <v>23.5040245185332</v>
      </c>
      <c r="I500">
        <v>54.494589434557099</v>
      </c>
      <c r="J500">
        <v>47.120603838369298</v>
      </c>
      <c r="K500">
        <v>45870.974848699698</v>
      </c>
      <c r="L500">
        <v>754.06925005588801</v>
      </c>
      <c r="M500">
        <v>6.7412059123604401E-2</v>
      </c>
      <c r="N500">
        <v>5.4262132412074997E-2</v>
      </c>
      <c r="O500">
        <v>0.72782642783601004</v>
      </c>
      <c r="P500">
        <v>2.9511959588684002E-2</v>
      </c>
      <c r="Q500">
        <v>0.58841247158274901</v>
      </c>
      <c r="R500">
        <v>0</v>
      </c>
      <c r="S500">
        <v>110</v>
      </c>
      <c r="T500">
        <v>50</v>
      </c>
      <c r="U500">
        <v>970171118.04999995</v>
      </c>
      <c r="V500">
        <v>21150</v>
      </c>
    </row>
    <row r="501" spans="1:22" x14ac:dyDescent="0.25">
      <c r="A501">
        <v>0.98657660620809395</v>
      </c>
      <c r="B501">
        <v>14.970473895475299</v>
      </c>
      <c r="C501">
        <v>12.510010163590801</v>
      </c>
      <c r="D501">
        <v>0</v>
      </c>
      <c r="E501">
        <v>4.8827096112248496</v>
      </c>
      <c r="F501">
        <v>4.0475982476821004</v>
      </c>
      <c r="G501">
        <v>107.60053407027701</v>
      </c>
      <c r="H501">
        <v>23.505538635034799</v>
      </c>
      <c r="I501">
        <v>57.645189878664901</v>
      </c>
      <c r="J501">
        <v>51.247981376995</v>
      </c>
      <c r="K501">
        <v>55419.057867699201</v>
      </c>
      <c r="L501">
        <v>753.102377168884</v>
      </c>
      <c r="M501">
        <v>7.8523397571775497E-2</v>
      </c>
      <c r="N501">
        <v>6.1369182878434597E-2</v>
      </c>
      <c r="O501">
        <v>0.71841694289678104</v>
      </c>
      <c r="P501">
        <v>3.5507919071589802E-2</v>
      </c>
      <c r="Q501">
        <v>0.64280943144291203</v>
      </c>
      <c r="R501">
        <v>0</v>
      </c>
      <c r="S501">
        <v>110</v>
      </c>
      <c r="T501">
        <v>60</v>
      </c>
      <c r="U501">
        <v>1874937565.78</v>
      </c>
      <c r="V501">
        <v>33832</v>
      </c>
    </row>
    <row r="502" spans="1:22" x14ac:dyDescent="0.25">
      <c r="A502">
        <v>0.98528097684532501</v>
      </c>
      <c r="B502">
        <v>16.300825712623201</v>
      </c>
      <c r="C502">
        <v>12.754264051866601</v>
      </c>
      <c r="D502">
        <v>0</v>
      </c>
      <c r="E502">
        <v>4.8707800572927002</v>
      </c>
      <c r="F502">
        <v>4.0284650598392799</v>
      </c>
      <c r="G502">
        <v>107.575177236191</v>
      </c>
      <c r="H502">
        <v>23.762344805594299</v>
      </c>
      <c r="I502">
        <v>59.8743915428851</v>
      </c>
      <c r="J502">
        <v>53.809645855451002</v>
      </c>
      <c r="K502">
        <v>65196.879165872197</v>
      </c>
      <c r="L502">
        <v>753.25642358866196</v>
      </c>
      <c r="M502">
        <v>8.4869468200273204E-2</v>
      </c>
      <c r="N502">
        <v>5.9636499050906601E-2</v>
      </c>
      <c r="O502">
        <v>0.71013520836589294</v>
      </c>
      <c r="P502">
        <v>3.5509667115114101E-2</v>
      </c>
      <c r="Q502">
        <v>0.67190236843646201</v>
      </c>
      <c r="R502">
        <v>0</v>
      </c>
      <c r="S502">
        <v>110</v>
      </c>
      <c r="T502">
        <v>70</v>
      </c>
      <c r="U502">
        <v>3009227154.7800002</v>
      </c>
      <c r="V502">
        <v>46156</v>
      </c>
    </row>
    <row r="503" spans="1:22" x14ac:dyDescent="0.25">
      <c r="A503">
        <v>0.98421835378881495</v>
      </c>
      <c r="B503">
        <v>17.377655497108901</v>
      </c>
      <c r="C503">
        <v>13.314986975266899</v>
      </c>
      <c r="D503">
        <v>0</v>
      </c>
      <c r="E503">
        <v>4.8464507719437702</v>
      </c>
      <c r="F503">
        <v>4.0030120341504603</v>
      </c>
      <c r="G503">
        <v>107.569302274824</v>
      </c>
      <c r="H503">
        <v>23.4826421528007</v>
      </c>
      <c r="I503">
        <v>60.042704894215603</v>
      </c>
      <c r="J503">
        <v>54.745771455599197</v>
      </c>
      <c r="K503">
        <v>75134.233946943903</v>
      </c>
      <c r="L503">
        <v>755.07679146952398</v>
      </c>
      <c r="M503">
        <v>9.0787210589457906E-2</v>
      </c>
      <c r="N503">
        <v>5.9133891284786202E-2</v>
      </c>
      <c r="O503">
        <v>0.70154293549300295</v>
      </c>
      <c r="P503">
        <v>3.2097235493577299E-2</v>
      </c>
      <c r="Q503">
        <v>0.70755263752952102</v>
      </c>
      <c r="R503">
        <v>0</v>
      </c>
      <c r="S503">
        <v>110</v>
      </c>
      <c r="T503">
        <v>80</v>
      </c>
      <c r="U503">
        <v>4378672885.96</v>
      </c>
      <c r="V503">
        <v>58278</v>
      </c>
    </row>
    <row r="504" spans="1:22" x14ac:dyDescent="0.25">
      <c r="A504">
        <v>0.98329848335606396</v>
      </c>
      <c r="B504">
        <v>18.299553187120001</v>
      </c>
      <c r="C504">
        <v>13.767069600929601</v>
      </c>
      <c r="D504">
        <v>0</v>
      </c>
      <c r="E504">
        <v>4.8498515424911401</v>
      </c>
      <c r="F504">
        <v>3.9933068217189001</v>
      </c>
      <c r="G504">
        <v>107.564795411253</v>
      </c>
      <c r="H504">
        <v>23.787595920809899</v>
      </c>
      <c r="I504">
        <v>62.665340204204803</v>
      </c>
      <c r="J504">
        <v>57.3285815273507</v>
      </c>
      <c r="K504">
        <v>85124.736978542001</v>
      </c>
      <c r="L504">
        <v>754.29329910400804</v>
      </c>
      <c r="M504">
        <v>0.100040003835728</v>
      </c>
      <c r="N504">
        <v>6.3304044465867196E-2</v>
      </c>
      <c r="O504">
        <v>0.69680419495253798</v>
      </c>
      <c r="P504">
        <v>3.1269721736697502E-2</v>
      </c>
      <c r="Q504">
        <v>0.717350073069559</v>
      </c>
      <c r="R504">
        <v>0</v>
      </c>
      <c r="S504">
        <v>110</v>
      </c>
      <c r="T504">
        <v>90</v>
      </c>
      <c r="U504">
        <v>5593546466.8599997</v>
      </c>
      <c r="V504">
        <v>65710</v>
      </c>
    </row>
    <row r="505" spans="1:22" x14ac:dyDescent="0.25">
      <c r="A505">
        <v>0.98234460610751995</v>
      </c>
      <c r="B505">
        <v>19.245565876174801</v>
      </c>
      <c r="C505">
        <v>15.046576794527301</v>
      </c>
      <c r="D505">
        <v>0</v>
      </c>
      <c r="E505">
        <v>4.840341085435</v>
      </c>
      <c r="F505">
        <v>3.9813988752451501</v>
      </c>
      <c r="G505">
        <v>107.559441285457</v>
      </c>
      <c r="H505">
        <v>23.793790668899401</v>
      </c>
      <c r="I505">
        <v>62.622275932956804</v>
      </c>
      <c r="J505">
        <v>57.569251756875197</v>
      </c>
      <c r="K505">
        <v>95193.664093488595</v>
      </c>
      <c r="L505">
        <v>755.871436449724</v>
      </c>
      <c r="M505">
        <v>9.5782822010836294E-2</v>
      </c>
      <c r="N505">
        <v>6.6443313867301207E-2</v>
      </c>
      <c r="O505">
        <v>0.66575377041702199</v>
      </c>
      <c r="P505">
        <v>3.2058434580523501E-2</v>
      </c>
      <c r="Q505">
        <v>0.68343397558827801</v>
      </c>
      <c r="R505">
        <v>0</v>
      </c>
      <c r="S505">
        <v>110</v>
      </c>
      <c r="T505">
        <v>100</v>
      </c>
      <c r="U505">
        <v>7716208024.0900002</v>
      </c>
      <c r="V505">
        <v>81058</v>
      </c>
    </row>
    <row r="506" spans="1:22" x14ac:dyDescent="0.25">
      <c r="A506">
        <v>0.981546315811893</v>
      </c>
      <c r="B506">
        <v>20.0295449091122</v>
      </c>
      <c r="C506">
        <v>16.633088830362802</v>
      </c>
      <c r="D506">
        <v>0</v>
      </c>
      <c r="E506">
        <v>4.8419734963546102</v>
      </c>
      <c r="F506">
        <v>3.97339694265218</v>
      </c>
      <c r="G506">
        <v>107.55111945198701</v>
      </c>
      <c r="H506">
        <v>23.8647801059778</v>
      </c>
      <c r="I506">
        <v>64.781349799452798</v>
      </c>
      <c r="J506">
        <v>59.732878696104102</v>
      </c>
      <c r="K506">
        <v>104991.729384363</v>
      </c>
      <c r="L506">
        <v>754.66827614526596</v>
      </c>
      <c r="M506">
        <v>0.11104971054825701</v>
      </c>
      <c r="N506">
        <v>6.1414722607202203E-2</v>
      </c>
      <c r="O506">
        <v>0.65986490065242298</v>
      </c>
      <c r="P506">
        <v>2.9927166800800601E-2</v>
      </c>
      <c r="Q506">
        <v>0.71355961303082904</v>
      </c>
      <c r="R506">
        <v>0</v>
      </c>
      <c r="S506">
        <v>110</v>
      </c>
      <c r="T506">
        <v>110</v>
      </c>
      <c r="U506">
        <v>7575468250.2700005</v>
      </c>
      <c r="V506">
        <v>72153</v>
      </c>
    </row>
    <row r="507" spans="1:22" x14ac:dyDescent="0.25">
      <c r="A507">
        <v>0.980790856532884</v>
      </c>
      <c r="B507">
        <v>20.7650293193369</v>
      </c>
      <c r="C507">
        <v>17.571262272982999</v>
      </c>
      <c r="D507">
        <v>0</v>
      </c>
      <c r="E507">
        <v>4.8316367610795403</v>
      </c>
      <c r="F507">
        <v>3.9638838664677398</v>
      </c>
      <c r="G507">
        <v>107.551360398271</v>
      </c>
      <c r="H507">
        <v>24.161040038327201</v>
      </c>
      <c r="I507">
        <v>65.1444167382095</v>
      </c>
      <c r="J507">
        <v>60.040163060995198</v>
      </c>
      <c r="K507">
        <v>115013.214235997</v>
      </c>
      <c r="L507">
        <v>755.03582779160399</v>
      </c>
      <c r="M507">
        <v>0.114872325288675</v>
      </c>
      <c r="N507">
        <v>6.2560885265092694E-2</v>
      </c>
      <c r="O507">
        <v>0.64781244757267697</v>
      </c>
      <c r="P507">
        <v>3.3428372690056003E-2</v>
      </c>
      <c r="Q507">
        <v>0.71246618233453396</v>
      </c>
      <c r="R507">
        <v>0</v>
      </c>
      <c r="S507">
        <v>110</v>
      </c>
      <c r="T507">
        <v>120</v>
      </c>
      <c r="U507">
        <v>8400910207.4399996</v>
      </c>
      <c r="V507">
        <v>73043</v>
      </c>
    </row>
    <row r="508" spans="1:22" x14ac:dyDescent="0.25">
      <c r="A508">
        <v>0.98007718400203303</v>
      </c>
      <c r="B508">
        <v>21.454131111644902</v>
      </c>
      <c r="C508">
        <v>18.686968740306199</v>
      </c>
      <c r="D508">
        <v>0</v>
      </c>
      <c r="E508">
        <v>4.8280456032485102</v>
      </c>
      <c r="F508">
        <v>3.9568096272037301</v>
      </c>
      <c r="G508">
        <v>107.55849242195001</v>
      </c>
      <c r="H508">
        <v>24.1059264410925</v>
      </c>
      <c r="I508">
        <v>65.358687603554799</v>
      </c>
      <c r="J508">
        <v>60.403279858511198</v>
      </c>
      <c r="K508">
        <v>124924.233734443</v>
      </c>
      <c r="L508">
        <v>755.05996849443</v>
      </c>
      <c r="M508">
        <v>0.115448981741319</v>
      </c>
      <c r="N508">
        <v>6.4066268922021205E-2</v>
      </c>
      <c r="O508">
        <v>0.64179785864385797</v>
      </c>
      <c r="P508">
        <v>3.2509130192990197E-2</v>
      </c>
      <c r="Q508">
        <v>0.71774067639166605</v>
      </c>
      <c r="R508">
        <v>0</v>
      </c>
      <c r="S508">
        <v>110</v>
      </c>
      <c r="T508">
        <v>130</v>
      </c>
      <c r="U508">
        <v>8943700665.75</v>
      </c>
      <c r="V508">
        <v>71593</v>
      </c>
    </row>
    <row r="509" spans="1:22" x14ac:dyDescent="0.25">
      <c r="A509">
        <v>0.97940931952523302</v>
      </c>
      <c r="B509">
        <v>22.094021526212</v>
      </c>
      <c r="C509">
        <v>20.031183157332599</v>
      </c>
      <c r="D509">
        <v>0</v>
      </c>
      <c r="E509">
        <v>4.8251418876277796</v>
      </c>
      <c r="F509">
        <v>3.9533322415399499</v>
      </c>
      <c r="G509">
        <v>107.541298596544</v>
      </c>
      <c r="H509">
        <v>24.232657273203198</v>
      </c>
      <c r="I509">
        <v>65.819580504552903</v>
      </c>
      <c r="J509">
        <v>60.857973969879602</v>
      </c>
      <c r="K509">
        <v>134928.206405128</v>
      </c>
      <c r="L509">
        <v>754.70914942275704</v>
      </c>
      <c r="M509">
        <v>0.11955258424494</v>
      </c>
      <c r="N509">
        <v>6.4723536885593402E-2</v>
      </c>
      <c r="O509">
        <v>0.63481996747934999</v>
      </c>
      <c r="P509">
        <v>3.4770417077927197E-2</v>
      </c>
      <c r="Q509">
        <v>0.72563115348916596</v>
      </c>
      <c r="R509">
        <v>0</v>
      </c>
      <c r="S509">
        <v>110</v>
      </c>
      <c r="T509">
        <v>140</v>
      </c>
      <c r="U509">
        <v>9007672131.3999996</v>
      </c>
      <c r="V509">
        <v>66759</v>
      </c>
    </row>
    <row r="510" spans="1:22" x14ac:dyDescent="0.25">
      <c r="A510">
        <v>0.97865698247017396</v>
      </c>
      <c r="B510">
        <v>22.809120654615</v>
      </c>
      <c r="C510">
        <v>22.025424511728801</v>
      </c>
      <c r="D510">
        <v>0</v>
      </c>
      <c r="E510">
        <v>4.8235485718885203</v>
      </c>
      <c r="F510">
        <v>3.9530597528248199</v>
      </c>
      <c r="G510">
        <v>107.544963005474</v>
      </c>
      <c r="H510">
        <v>24.0641313901567</v>
      </c>
      <c r="I510">
        <v>64.946187199326801</v>
      </c>
      <c r="J510">
        <v>60.228548399678097</v>
      </c>
      <c r="K510">
        <v>144931.008062932</v>
      </c>
      <c r="L510">
        <v>755.31783183494395</v>
      </c>
      <c r="M510">
        <v>0.11951386908875899</v>
      </c>
      <c r="N510">
        <v>6.5439928256409305E-2</v>
      </c>
      <c r="O510">
        <v>0.62141449208580801</v>
      </c>
      <c r="P510">
        <v>3.7338217208272698E-2</v>
      </c>
      <c r="Q510">
        <v>0.72411813491969201</v>
      </c>
      <c r="R510">
        <v>0</v>
      </c>
      <c r="S510">
        <v>110</v>
      </c>
      <c r="T510">
        <v>150</v>
      </c>
      <c r="U510">
        <v>9681681200.6200008</v>
      </c>
      <c r="V510">
        <v>66802</v>
      </c>
    </row>
    <row r="511" spans="1:22" x14ac:dyDescent="0.25">
      <c r="A511">
        <v>0.97795143461776501</v>
      </c>
      <c r="B511">
        <v>23.474274177416898</v>
      </c>
      <c r="C511">
        <v>23.446376214912501</v>
      </c>
      <c r="D511">
        <v>0</v>
      </c>
      <c r="E511">
        <v>4.8347169204385203</v>
      </c>
      <c r="F511">
        <v>3.9565710346312901</v>
      </c>
      <c r="G511">
        <v>107.534615226639</v>
      </c>
      <c r="H511">
        <v>24.213060476377301</v>
      </c>
      <c r="I511">
        <v>66.204380197808007</v>
      </c>
      <c r="J511">
        <v>61.487452992231802</v>
      </c>
      <c r="K511">
        <v>154940.701359314</v>
      </c>
      <c r="L511">
        <v>754.07283689262101</v>
      </c>
      <c r="M511">
        <v>0.12636516033679099</v>
      </c>
      <c r="N511">
        <v>6.5052641168839395E-2</v>
      </c>
      <c r="O511">
        <v>0.62487384946516999</v>
      </c>
      <c r="P511">
        <v>3.6281771816751698E-2</v>
      </c>
      <c r="Q511">
        <v>0.74118293945176295</v>
      </c>
      <c r="R511">
        <v>0</v>
      </c>
      <c r="S511">
        <v>110</v>
      </c>
      <c r="T511">
        <v>160</v>
      </c>
      <c r="U511">
        <v>9223619951.9200001</v>
      </c>
      <c r="V511">
        <v>59530</v>
      </c>
    </row>
    <row r="512" spans="1:22" x14ac:dyDescent="0.25">
      <c r="A512">
        <v>0.97713913291378096</v>
      </c>
      <c r="B512">
        <v>24.2335607456004</v>
      </c>
      <c r="C512">
        <v>23.588156775457801</v>
      </c>
      <c r="D512">
        <v>0</v>
      </c>
      <c r="E512">
        <v>4.83161521103046</v>
      </c>
      <c r="F512">
        <v>3.9519235189364399</v>
      </c>
      <c r="G512">
        <v>107.533095162607</v>
      </c>
      <c r="H512">
        <v>24.2943134691903</v>
      </c>
      <c r="I512">
        <v>66.575099344765405</v>
      </c>
      <c r="J512">
        <v>61.8166854361966</v>
      </c>
      <c r="K512">
        <v>165011.76914214299</v>
      </c>
      <c r="L512">
        <v>754.60264915996902</v>
      </c>
      <c r="M512">
        <v>0.12910669081464801</v>
      </c>
      <c r="N512">
        <v>6.4640292935475893E-2</v>
      </c>
      <c r="O512">
        <v>0.61781196144367601</v>
      </c>
      <c r="P512">
        <v>3.9756635475998399E-2</v>
      </c>
      <c r="Q512">
        <v>0.73189874425286505</v>
      </c>
      <c r="R512">
        <v>0</v>
      </c>
      <c r="S512">
        <v>110</v>
      </c>
      <c r="T512">
        <v>170</v>
      </c>
      <c r="U512">
        <v>9375308675.5799999</v>
      </c>
      <c r="V512">
        <v>56816</v>
      </c>
    </row>
    <row r="513" spans="1:22" x14ac:dyDescent="0.25">
      <c r="A513">
        <v>0.968584861555712</v>
      </c>
      <c r="B513">
        <v>31.820765026979402</v>
      </c>
      <c r="C513">
        <v>35.234887960379297</v>
      </c>
      <c r="D513">
        <v>0</v>
      </c>
      <c r="E513">
        <v>4.8135509813106596</v>
      </c>
      <c r="F513">
        <v>3.9329910199514999</v>
      </c>
      <c r="G513">
        <v>107.53594872597699</v>
      </c>
      <c r="H513">
        <v>24.356327021465901</v>
      </c>
      <c r="I513">
        <v>66.794261070043007</v>
      </c>
      <c r="J513">
        <v>62.168733453700597</v>
      </c>
      <c r="K513">
        <v>281398.96319809399</v>
      </c>
      <c r="L513">
        <v>753.46652100394499</v>
      </c>
      <c r="M513">
        <v>0.19230310287354799</v>
      </c>
      <c r="N513">
        <v>6.35786733687181E-2</v>
      </c>
      <c r="O513">
        <v>0.55997057156980601</v>
      </c>
      <c r="P513">
        <v>7.8755765087981794E-2</v>
      </c>
      <c r="Q513">
        <v>0.72356383337310004</v>
      </c>
      <c r="R513">
        <v>0</v>
      </c>
      <c r="S513">
        <v>110</v>
      </c>
      <c r="T513">
        <v>175</v>
      </c>
      <c r="U513">
        <v>181545385304.14001</v>
      </c>
      <c r="V513">
        <v>645153</v>
      </c>
    </row>
    <row r="514" spans="1:22" x14ac:dyDescent="0.25">
      <c r="A514">
        <v>0.97657024968699802</v>
      </c>
      <c r="B514">
        <v>24.761197064635802</v>
      </c>
      <c r="C514">
        <v>24.483431028047399</v>
      </c>
      <c r="D514">
        <v>0</v>
      </c>
      <c r="E514">
        <v>4.8339257385298504</v>
      </c>
      <c r="F514">
        <v>3.95301748763461</v>
      </c>
      <c r="G514">
        <v>107.54468975769799</v>
      </c>
      <c r="H514">
        <v>24.092356443366398</v>
      </c>
      <c r="I514">
        <v>66.597570701708506</v>
      </c>
      <c r="J514">
        <v>61.830880710695602</v>
      </c>
      <c r="K514">
        <v>172504.87192029299</v>
      </c>
      <c r="L514">
        <v>754.87752396357996</v>
      </c>
      <c r="M514">
        <v>0.12821974170644099</v>
      </c>
      <c r="N514">
        <v>6.4548795092972594E-2</v>
      </c>
      <c r="O514">
        <v>0.61672570566596097</v>
      </c>
      <c r="P514">
        <v>4.2262725374790602E-2</v>
      </c>
      <c r="Q514">
        <v>0.72640346307665304</v>
      </c>
      <c r="R514">
        <v>0</v>
      </c>
      <c r="S514">
        <v>110</v>
      </c>
      <c r="T514">
        <v>180</v>
      </c>
      <c r="U514">
        <v>4744056482.6800003</v>
      </c>
      <c r="V514">
        <v>27501</v>
      </c>
    </row>
    <row r="515" spans="1:22" x14ac:dyDescent="0.25">
      <c r="A515">
        <v>0.99269797494566303</v>
      </c>
      <c r="B515">
        <v>8.4189473051717592</v>
      </c>
      <c r="C515">
        <v>91.501315915396603</v>
      </c>
      <c r="D515">
        <v>0</v>
      </c>
      <c r="E515">
        <v>4.8656342746075598</v>
      </c>
      <c r="F515">
        <v>4.0559181162085203</v>
      </c>
      <c r="G515">
        <v>112.592767461113</v>
      </c>
      <c r="H515">
        <v>25.080276539704201</v>
      </c>
      <c r="I515">
        <v>58.745520933983997</v>
      </c>
      <c r="J515">
        <v>4.7958858055631897</v>
      </c>
      <c r="K515">
        <v>5774.96062730627</v>
      </c>
      <c r="L515">
        <v>773.60647428704306</v>
      </c>
      <c r="M515">
        <v>1.3165770820769401E-2</v>
      </c>
      <c r="N515">
        <v>4.9341132870010199E-2</v>
      </c>
      <c r="O515">
        <v>0.65241915388723604</v>
      </c>
      <c r="P515">
        <v>4.7398447782903003E-2</v>
      </c>
      <c r="Q515">
        <v>0.353031502273848</v>
      </c>
      <c r="R515">
        <v>0</v>
      </c>
      <c r="S515">
        <v>115</v>
      </c>
      <c r="T515">
        <v>10</v>
      </c>
      <c r="U515">
        <v>3130028.66</v>
      </c>
      <c r="V515">
        <v>542</v>
      </c>
    </row>
    <row r="516" spans="1:22" x14ac:dyDescent="0.25">
      <c r="A516">
        <v>0.99239399126494099</v>
      </c>
      <c r="B516">
        <v>8.7549081765104901</v>
      </c>
      <c r="C516">
        <v>61.851406425944901</v>
      </c>
      <c r="D516">
        <v>0</v>
      </c>
      <c r="E516">
        <v>4.9529663871942704</v>
      </c>
      <c r="F516">
        <v>4.11484182892303</v>
      </c>
      <c r="G516">
        <v>112.52257043239401</v>
      </c>
      <c r="H516">
        <v>24.3315960564377</v>
      </c>
      <c r="I516">
        <v>52.886582495735702</v>
      </c>
      <c r="J516">
        <v>17.114507906028201</v>
      </c>
      <c r="K516">
        <v>15731.651759336</v>
      </c>
      <c r="L516">
        <v>766.07360004477403</v>
      </c>
      <c r="M516">
        <v>5.9364983353323998E-2</v>
      </c>
      <c r="N516">
        <v>2.83098017119791E-2</v>
      </c>
      <c r="O516">
        <v>0.75899307467845301</v>
      </c>
      <c r="P516">
        <v>3.3108935325547803E-2</v>
      </c>
      <c r="Q516">
        <v>0.42775923326755599</v>
      </c>
      <c r="R516">
        <v>0</v>
      </c>
      <c r="S516">
        <v>115</v>
      </c>
      <c r="T516">
        <v>20</v>
      </c>
      <c r="U516">
        <v>18956640.370000001</v>
      </c>
      <c r="V516">
        <v>1205</v>
      </c>
    </row>
    <row r="517" spans="1:22" x14ac:dyDescent="0.25">
      <c r="A517">
        <v>0.991311307749561</v>
      </c>
      <c r="B517">
        <v>9.9423268592497092</v>
      </c>
      <c r="C517">
        <v>29.688435711661199</v>
      </c>
      <c r="D517">
        <v>0</v>
      </c>
      <c r="E517">
        <v>4.9735418611419799</v>
      </c>
      <c r="F517">
        <v>4.1029561506632097</v>
      </c>
      <c r="G517">
        <v>112.55587820260899</v>
      </c>
      <c r="H517">
        <v>23.7020529620555</v>
      </c>
      <c r="I517">
        <v>51.0236986727096</v>
      </c>
      <c r="J517">
        <v>34.549879838908801</v>
      </c>
      <c r="K517">
        <v>25970.949797052999</v>
      </c>
      <c r="L517">
        <v>757.03012819796004</v>
      </c>
      <c r="M517">
        <v>5.3330843874177497E-2</v>
      </c>
      <c r="N517">
        <v>2.9922079566465001E-2</v>
      </c>
      <c r="O517">
        <v>0.77525470187989198</v>
      </c>
      <c r="P517">
        <v>2.3367384911621301E-2</v>
      </c>
      <c r="Q517">
        <v>0.47209574757561801</v>
      </c>
      <c r="R517">
        <v>0</v>
      </c>
      <c r="S517">
        <v>115</v>
      </c>
      <c r="T517">
        <v>30</v>
      </c>
      <c r="U517">
        <v>93417506.420000002</v>
      </c>
      <c r="V517">
        <v>3597</v>
      </c>
    </row>
    <row r="518" spans="1:22" x14ac:dyDescent="0.25">
      <c r="A518">
        <v>0.98944800119037701</v>
      </c>
      <c r="B518">
        <v>11.952768238639999</v>
      </c>
      <c r="C518">
        <v>19.508572138264501</v>
      </c>
      <c r="D518">
        <v>0</v>
      </c>
      <c r="E518">
        <v>4.9748449255256002</v>
      </c>
      <c r="F518">
        <v>4.0897799364210998</v>
      </c>
      <c r="G518">
        <v>112.551653555897</v>
      </c>
      <c r="H518">
        <v>23.490965435544201</v>
      </c>
      <c r="I518">
        <v>53.720603976575603</v>
      </c>
      <c r="J518">
        <v>43.877433910759699</v>
      </c>
      <c r="K518">
        <v>35828.619614050702</v>
      </c>
      <c r="L518">
        <v>753.28540424590199</v>
      </c>
      <c r="M518">
        <v>5.9796540791740398E-2</v>
      </c>
      <c r="N518">
        <v>3.7872470544346601E-2</v>
      </c>
      <c r="O518">
        <v>0.74872203308991003</v>
      </c>
      <c r="P518">
        <v>3.3862004044751301E-2</v>
      </c>
      <c r="Q518">
        <v>0.51732357091049597</v>
      </c>
      <c r="R518">
        <v>0</v>
      </c>
      <c r="S518">
        <v>115</v>
      </c>
      <c r="T518">
        <v>40</v>
      </c>
      <c r="U518">
        <v>320272030.73000002</v>
      </c>
      <c r="V518">
        <v>8939</v>
      </c>
    </row>
    <row r="519" spans="1:22" x14ac:dyDescent="0.25">
      <c r="A519">
        <v>0.98752637291624001</v>
      </c>
      <c r="B519">
        <v>13.9829720361505</v>
      </c>
      <c r="C519">
        <v>13.993149750034799</v>
      </c>
      <c r="D519">
        <v>0</v>
      </c>
      <c r="E519">
        <v>4.9607923166856001</v>
      </c>
      <c r="F519">
        <v>4.0675151588112399</v>
      </c>
      <c r="G519">
        <v>112.568052237983</v>
      </c>
      <c r="H519">
        <v>23.4669056163888</v>
      </c>
      <c r="I519">
        <v>54.670272253631502</v>
      </c>
      <c r="J519">
        <v>47.644725372520803</v>
      </c>
      <c r="K519">
        <v>45863.799847459297</v>
      </c>
      <c r="L519">
        <v>753.37605571115</v>
      </c>
      <c r="M519">
        <v>6.7671988960316398E-2</v>
      </c>
      <c r="N519">
        <v>4.8281965383822102E-2</v>
      </c>
      <c r="O519">
        <v>0.72367376257558103</v>
      </c>
      <c r="P519">
        <v>3.1478928229803999E-2</v>
      </c>
      <c r="Q519">
        <v>0.58093989230056098</v>
      </c>
      <c r="R519">
        <v>0</v>
      </c>
      <c r="S519">
        <v>115</v>
      </c>
      <c r="T519">
        <v>50</v>
      </c>
      <c r="U519">
        <v>880951867.47000003</v>
      </c>
      <c r="V519">
        <v>19208</v>
      </c>
    </row>
    <row r="520" spans="1:22" x14ac:dyDescent="0.25">
      <c r="A520">
        <v>0.98591268786944897</v>
      </c>
      <c r="B520">
        <v>15.6545872405441</v>
      </c>
      <c r="C520">
        <v>12.3011342938672</v>
      </c>
      <c r="D520">
        <v>0</v>
      </c>
      <c r="E520">
        <v>4.9516362539326604</v>
      </c>
      <c r="F520">
        <v>4.0500195811386899</v>
      </c>
      <c r="G520">
        <v>112.57204090869099</v>
      </c>
      <c r="H520">
        <v>23.539829185317501</v>
      </c>
      <c r="I520">
        <v>58.410001323009503</v>
      </c>
      <c r="J520">
        <v>52.360982270039301</v>
      </c>
      <c r="K520">
        <v>55415.987396626297</v>
      </c>
      <c r="L520">
        <v>751.66062280502797</v>
      </c>
      <c r="M520">
        <v>7.2330012298555998E-2</v>
      </c>
      <c r="N520">
        <v>6.0434099325750598E-2</v>
      </c>
      <c r="O520">
        <v>0.71329737625189404</v>
      </c>
      <c r="P520">
        <v>3.2967137715502699E-2</v>
      </c>
      <c r="Q520">
        <v>0.62371973434439199</v>
      </c>
      <c r="R520">
        <v>0</v>
      </c>
      <c r="S520">
        <v>115</v>
      </c>
      <c r="T520">
        <v>60</v>
      </c>
      <c r="U520">
        <v>1652449328.1800001</v>
      </c>
      <c r="V520">
        <v>29819</v>
      </c>
    </row>
    <row r="521" spans="1:22" x14ac:dyDescent="0.25">
      <c r="A521">
        <v>0.98459335439866802</v>
      </c>
      <c r="B521">
        <v>16.9990999854545</v>
      </c>
      <c r="C521">
        <v>12.798580143075201</v>
      </c>
      <c r="D521">
        <v>0</v>
      </c>
      <c r="E521">
        <v>4.9435828300762399</v>
      </c>
      <c r="F521">
        <v>4.0327702584338603</v>
      </c>
      <c r="G521">
        <v>112.587101107422</v>
      </c>
      <c r="H521">
        <v>23.6001382279998</v>
      </c>
      <c r="I521">
        <v>60.550876888373999</v>
      </c>
      <c r="J521">
        <v>55.039732401953799</v>
      </c>
      <c r="K521">
        <v>65244.709769593203</v>
      </c>
      <c r="L521">
        <v>750.82771238077703</v>
      </c>
      <c r="M521">
        <v>8.4188748568862895E-2</v>
      </c>
      <c r="N521">
        <v>6.14604334866726E-2</v>
      </c>
      <c r="O521">
        <v>0.70570436722666796</v>
      </c>
      <c r="P521">
        <v>3.4727952601030801E-2</v>
      </c>
      <c r="Q521">
        <v>0.65377591431983095</v>
      </c>
      <c r="R521">
        <v>0</v>
      </c>
      <c r="S521">
        <v>115</v>
      </c>
      <c r="T521">
        <v>70</v>
      </c>
      <c r="U521">
        <v>2644824799.9299998</v>
      </c>
      <c r="V521">
        <v>40537</v>
      </c>
    </row>
    <row r="522" spans="1:22" x14ac:dyDescent="0.25">
      <c r="A522">
        <v>0.98353752372835102</v>
      </c>
      <c r="B522">
        <v>18.0608972065892</v>
      </c>
      <c r="C522">
        <v>13.9867028376603</v>
      </c>
      <c r="D522">
        <v>0</v>
      </c>
      <c r="E522">
        <v>4.9290937100004397</v>
      </c>
      <c r="F522">
        <v>4.0190274776507504</v>
      </c>
      <c r="G522">
        <v>112.607319905324</v>
      </c>
      <c r="H522">
        <v>23.6492254650693</v>
      </c>
      <c r="I522">
        <v>60.538181801986497</v>
      </c>
      <c r="J522">
        <v>55.652349713099703</v>
      </c>
      <c r="K522">
        <v>75136.434947111906</v>
      </c>
      <c r="L522">
        <v>752.71801132514599</v>
      </c>
      <c r="M522">
        <v>8.9342547993479293E-2</v>
      </c>
      <c r="N522">
        <v>5.7815630941920999E-2</v>
      </c>
      <c r="O522">
        <v>0.70151795473151102</v>
      </c>
      <c r="P522">
        <v>3.1721470145799298E-2</v>
      </c>
      <c r="Q522">
        <v>0.69536796973432702</v>
      </c>
      <c r="R522">
        <v>0</v>
      </c>
      <c r="S522">
        <v>115</v>
      </c>
      <c r="T522">
        <v>80</v>
      </c>
      <c r="U522">
        <v>3793187781.8699999</v>
      </c>
      <c r="V522">
        <v>50484</v>
      </c>
    </row>
    <row r="523" spans="1:22" x14ac:dyDescent="0.25">
      <c r="A523">
        <v>0.98261985762267801</v>
      </c>
      <c r="B523">
        <v>18.973619751239099</v>
      </c>
      <c r="C523">
        <v>13.9025368510723</v>
      </c>
      <c r="D523">
        <v>0</v>
      </c>
      <c r="E523">
        <v>4.9179719897983798</v>
      </c>
      <c r="F523">
        <v>3.99580725765568</v>
      </c>
      <c r="G523">
        <v>112.609779467151</v>
      </c>
      <c r="H523">
        <v>23.958836566529801</v>
      </c>
      <c r="I523">
        <v>63.366373539492002</v>
      </c>
      <c r="J523">
        <v>58.378897241081397</v>
      </c>
      <c r="K523">
        <v>85129.739918502994</v>
      </c>
      <c r="L523">
        <v>752.67874165914202</v>
      </c>
      <c r="M523">
        <v>9.8279804477618402E-2</v>
      </c>
      <c r="N523">
        <v>6.11786131363182E-2</v>
      </c>
      <c r="O523">
        <v>0.69743746851505495</v>
      </c>
      <c r="P523">
        <v>3.1187375903439601E-2</v>
      </c>
      <c r="Q523">
        <v>0.70030034779202099</v>
      </c>
      <c r="R523">
        <v>0</v>
      </c>
      <c r="S523">
        <v>115</v>
      </c>
      <c r="T523">
        <v>90</v>
      </c>
      <c r="U523">
        <v>4940844975.1300001</v>
      </c>
      <c r="V523">
        <v>58039</v>
      </c>
    </row>
    <row r="524" spans="1:22" x14ac:dyDescent="0.25">
      <c r="A524">
        <v>0.98169483077864095</v>
      </c>
      <c r="B524">
        <v>19.884222802220801</v>
      </c>
      <c r="C524">
        <v>16.574628583336299</v>
      </c>
      <c r="D524">
        <v>0</v>
      </c>
      <c r="E524">
        <v>4.9140024900463501</v>
      </c>
      <c r="F524">
        <v>3.9902207275133601</v>
      </c>
      <c r="G524">
        <v>112.609713762184</v>
      </c>
      <c r="H524">
        <v>24.173091294151099</v>
      </c>
      <c r="I524">
        <v>63.505800444073898</v>
      </c>
      <c r="J524">
        <v>58.7296060783356</v>
      </c>
      <c r="K524">
        <v>95182.973114149107</v>
      </c>
      <c r="L524">
        <v>754.15181410066896</v>
      </c>
      <c r="M524">
        <v>9.6363196134280696E-2</v>
      </c>
      <c r="N524">
        <v>6.4106422697955898E-2</v>
      </c>
      <c r="O524">
        <v>0.66424096193277204</v>
      </c>
      <c r="P524">
        <v>3.2479297872025401E-2</v>
      </c>
      <c r="Q524">
        <v>0.67292997261829601</v>
      </c>
      <c r="R524">
        <v>0</v>
      </c>
      <c r="S524">
        <v>115</v>
      </c>
      <c r="T524">
        <v>100</v>
      </c>
      <c r="U524">
        <v>6732482054.3100004</v>
      </c>
      <c r="V524">
        <v>70732</v>
      </c>
    </row>
    <row r="525" spans="1:22" x14ac:dyDescent="0.25">
      <c r="A525">
        <v>0.980866588369671</v>
      </c>
      <c r="B525">
        <v>20.691580524338502</v>
      </c>
      <c r="C525">
        <v>17.011342365600399</v>
      </c>
      <c r="D525">
        <v>0</v>
      </c>
      <c r="E525">
        <v>4.9091703219405201</v>
      </c>
      <c r="F525">
        <v>3.9740394140440598</v>
      </c>
      <c r="G525">
        <v>112.619423377521</v>
      </c>
      <c r="H525">
        <v>24.1678044029766</v>
      </c>
      <c r="I525">
        <v>65.828515426572693</v>
      </c>
      <c r="J525">
        <v>60.963386481021502</v>
      </c>
      <c r="K525">
        <v>104966.045172892</v>
      </c>
      <c r="L525">
        <v>752.56543245098703</v>
      </c>
      <c r="M525">
        <v>0.11416638130342099</v>
      </c>
      <c r="N525">
        <v>6.2314466942578597E-2</v>
      </c>
      <c r="O525">
        <v>0.65797335246813504</v>
      </c>
      <c r="P525">
        <v>3.1891653318181598E-2</v>
      </c>
      <c r="Q525">
        <v>0.70092312519118205</v>
      </c>
      <c r="R525">
        <v>0</v>
      </c>
      <c r="S525">
        <v>115</v>
      </c>
      <c r="T525">
        <v>110</v>
      </c>
      <c r="U525">
        <v>6647919504.9799995</v>
      </c>
      <c r="V525">
        <v>63334</v>
      </c>
    </row>
    <row r="526" spans="1:22" x14ac:dyDescent="0.25">
      <c r="A526">
        <v>0.98006786190335504</v>
      </c>
      <c r="B526">
        <v>21.463095801963799</v>
      </c>
      <c r="C526">
        <v>18.658144825919901</v>
      </c>
      <c r="D526">
        <v>0</v>
      </c>
      <c r="E526">
        <v>4.8992256630088704</v>
      </c>
      <c r="F526">
        <v>3.9643659476295601</v>
      </c>
      <c r="G526">
        <v>112.619495449029</v>
      </c>
      <c r="H526">
        <v>24.441993482254301</v>
      </c>
      <c r="I526">
        <v>66.498817761562606</v>
      </c>
      <c r="J526">
        <v>61.5546635713605</v>
      </c>
      <c r="K526">
        <v>115008.94070436301</v>
      </c>
      <c r="L526">
        <v>753.09183993734496</v>
      </c>
      <c r="M526">
        <v>0.114307630227434</v>
      </c>
      <c r="N526">
        <v>5.9859892781582102E-2</v>
      </c>
      <c r="O526">
        <v>0.64759229554011599</v>
      </c>
      <c r="P526">
        <v>3.2321462774135098E-2</v>
      </c>
      <c r="Q526">
        <v>0.69324568202962</v>
      </c>
      <c r="R526">
        <v>0</v>
      </c>
      <c r="S526">
        <v>115</v>
      </c>
      <c r="T526">
        <v>120</v>
      </c>
      <c r="U526">
        <v>7360687214.0200005</v>
      </c>
      <c r="V526">
        <v>64001</v>
      </c>
    </row>
    <row r="527" spans="1:22" x14ac:dyDescent="0.25">
      <c r="A527">
        <v>0.97929824355668105</v>
      </c>
      <c r="B527">
        <v>22.199980326157799</v>
      </c>
      <c r="C527">
        <v>19.514552415692599</v>
      </c>
      <c r="D527">
        <v>0</v>
      </c>
      <c r="E527">
        <v>4.8915434432769302</v>
      </c>
      <c r="F527">
        <v>3.95558851981145</v>
      </c>
      <c r="G527">
        <v>112.61197233854</v>
      </c>
      <c r="H527">
        <v>24.4249753514293</v>
      </c>
      <c r="I527">
        <v>66.7502611085674</v>
      </c>
      <c r="J527">
        <v>61.910467966213503</v>
      </c>
      <c r="K527">
        <v>124893.819884242</v>
      </c>
      <c r="L527">
        <v>753.25777101290203</v>
      </c>
      <c r="M527">
        <v>0.11224045375073299</v>
      </c>
      <c r="N527">
        <v>6.4121417808423606E-2</v>
      </c>
      <c r="O527">
        <v>0.63486644741485698</v>
      </c>
      <c r="P527">
        <v>3.3316201944764902E-2</v>
      </c>
      <c r="Q527">
        <v>0.69517520325236504</v>
      </c>
      <c r="R527">
        <v>0</v>
      </c>
      <c r="S527">
        <v>115</v>
      </c>
      <c r="T527">
        <v>130</v>
      </c>
      <c r="U527">
        <v>7854572332.5200005</v>
      </c>
      <c r="V527">
        <v>62890</v>
      </c>
    </row>
    <row r="528" spans="1:22" x14ac:dyDescent="0.25">
      <c r="A528">
        <v>0.97862392640654206</v>
      </c>
      <c r="B528">
        <v>22.8404021274218</v>
      </c>
      <c r="C528">
        <v>21.3267369956402</v>
      </c>
      <c r="D528">
        <v>0</v>
      </c>
      <c r="E528">
        <v>4.8890368930719301</v>
      </c>
      <c r="F528">
        <v>3.9496413109133699</v>
      </c>
      <c r="G528">
        <v>112.623247376748</v>
      </c>
      <c r="H528">
        <v>24.550207551728601</v>
      </c>
      <c r="I528">
        <v>67.189186024149606</v>
      </c>
      <c r="J528">
        <v>62.338229864615698</v>
      </c>
      <c r="K528">
        <v>134927.98558370501</v>
      </c>
      <c r="L528">
        <v>753.68207234825104</v>
      </c>
      <c r="M528">
        <v>0.118039394655576</v>
      </c>
      <c r="N528">
        <v>6.3106437162098905E-2</v>
      </c>
      <c r="O528">
        <v>0.63441045542066399</v>
      </c>
      <c r="P528">
        <v>3.6673738306497401E-2</v>
      </c>
      <c r="Q528">
        <v>0.70643434889676304</v>
      </c>
      <c r="R528">
        <v>0</v>
      </c>
      <c r="S528">
        <v>115</v>
      </c>
      <c r="T528">
        <v>140</v>
      </c>
      <c r="U528">
        <v>7892882372.6899996</v>
      </c>
      <c r="V528">
        <v>58497</v>
      </c>
    </row>
    <row r="529" spans="1:22" x14ac:dyDescent="0.25">
      <c r="A529">
        <v>0.977872183531178</v>
      </c>
      <c r="B529">
        <v>23.548658785869801</v>
      </c>
      <c r="C529">
        <v>23.004381389356201</v>
      </c>
      <c r="D529">
        <v>0</v>
      </c>
      <c r="E529">
        <v>4.8848196817946201</v>
      </c>
      <c r="F529">
        <v>3.9508379339543498</v>
      </c>
      <c r="G529">
        <v>112.640758277907</v>
      </c>
      <c r="H529">
        <v>24.514863607528302</v>
      </c>
      <c r="I529">
        <v>66.195278961955694</v>
      </c>
      <c r="J529">
        <v>61.516490855896599</v>
      </c>
      <c r="K529">
        <v>144916.76459294799</v>
      </c>
      <c r="L529">
        <v>753.67044416585804</v>
      </c>
      <c r="M529">
        <v>0.117293102284695</v>
      </c>
      <c r="N529">
        <v>6.36886032405721E-2</v>
      </c>
      <c r="O529">
        <v>0.62254599621694495</v>
      </c>
      <c r="P529">
        <v>3.9575507423395599E-2</v>
      </c>
      <c r="Q529">
        <v>0.70943096243511905</v>
      </c>
      <c r="R529">
        <v>0</v>
      </c>
      <c r="S529">
        <v>115</v>
      </c>
      <c r="T529">
        <v>150</v>
      </c>
      <c r="U529">
        <v>8446473624.3000002</v>
      </c>
      <c r="V529">
        <v>58285</v>
      </c>
    </row>
    <row r="530" spans="1:22" x14ac:dyDescent="0.25">
      <c r="A530">
        <v>0.97711439494247798</v>
      </c>
      <c r="B530">
        <v>24.256575446083801</v>
      </c>
      <c r="C530">
        <v>23.0031598914886</v>
      </c>
      <c r="D530">
        <v>0</v>
      </c>
      <c r="E530">
        <v>4.8931226357843203</v>
      </c>
      <c r="F530">
        <v>3.9507080728027102</v>
      </c>
      <c r="G530">
        <v>112.637122681159</v>
      </c>
      <c r="H530">
        <v>24.686210934121998</v>
      </c>
      <c r="I530">
        <v>67.505227740550097</v>
      </c>
      <c r="J530">
        <v>62.777480929783501</v>
      </c>
      <c r="K530">
        <v>154954.17398116499</v>
      </c>
      <c r="L530">
        <v>752.04913351831794</v>
      </c>
      <c r="M530">
        <v>0.12764302606940001</v>
      </c>
      <c r="N530">
        <v>6.4746926243495206E-2</v>
      </c>
      <c r="O530">
        <v>0.62417890014461297</v>
      </c>
      <c r="P530">
        <v>3.5928799442465402E-2</v>
      </c>
      <c r="Q530">
        <v>0.72671186621899997</v>
      </c>
      <c r="R530">
        <v>0</v>
      </c>
      <c r="S530">
        <v>115</v>
      </c>
      <c r="T530">
        <v>160</v>
      </c>
      <c r="U530">
        <v>8029570341.5299997</v>
      </c>
      <c r="V530">
        <v>51819</v>
      </c>
    </row>
    <row r="531" spans="1:22" x14ac:dyDescent="0.25">
      <c r="A531">
        <v>0.97620805457434101</v>
      </c>
      <c r="B531">
        <v>25.0953740279163</v>
      </c>
      <c r="C531">
        <v>24.290193768230701</v>
      </c>
      <c r="D531">
        <v>0</v>
      </c>
      <c r="E531">
        <v>4.8850291129815098</v>
      </c>
      <c r="F531">
        <v>3.9410590039534799</v>
      </c>
      <c r="G531">
        <v>112.633413445245</v>
      </c>
      <c r="H531">
        <v>24.8130669559655</v>
      </c>
      <c r="I531">
        <v>68.072290395582201</v>
      </c>
      <c r="J531">
        <v>63.246367650813198</v>
      </c>
      <c r="K531">
        <v>164999.727287649</v>
      </c>
      <c r="L531">
        <v>752.62073663025399</v>
      </c>
      <c r="M531">
        <v>0.12587103371033201</v>
      </c>
      <c r="N531">
        <v>6.4239451270339601E-2</v>
      </c>
      <c r="O531">
        <v>0.60980214133003097</v>
      </c>
      <c r="P531">
        <v>4.0444424993782202E-2</v>
      </c>
      <c r="Q531">
        <v>0.71575880361426403</v>
      </c>
      <c r="R531">
        <v>0</v>
      </c>
      <c r="S531">
        <v>115</v>
      </c>
      <c r="T531">
        <v>170</v>
      </c>
      <c r="U531">
        <v>8232496393.29</v>
      </c>
      <c r="V531">
        <v>49894</v>
      </c>
    </row>
    <row r="532" spans="1:22" x14ac:dyDescent="0.25">
      <c r="A532">
        <v>0.967529317127646</v>
      </c>
      <c r="B532">
        <v>32.707044717852597</v>
      </c>
      <c r="C532">
        <v>35.418567418925299</v>
      </c>
      <c r="D532">
        <v>0</v>
      </c>
      <c r="E532">
        <v>4.8705380043328397</v>
      </c>
      <c r="F532">
        <v>3.9267603404325602</v>
      </c>
      <c r="G532">
        <v>112.63655097238301</v>
      </c>
      <c r="H532">
        <v>24.855346612627901</v>
      </c>
      <c r="I532">
        <v>68.204871492988104</v>
      </c>
      <c r="J532">
        <v>63.521711782837599</v>
      </c>
      <c r="K532">
        <v>280079.763176526</v>
      </c>
      <c r="L532">
        <v>752.20769080445098</v>
      </c>
      <c r="M532">
        <v>0.18633765334351399</v>
      </c>
      <c r="N532">
        <v>6.2714893082697398E-2</v>
      </c>
      <c r="O532">
        <v>0.55901586162535599</v>
      </c>
      <c r="P532">
        <v>8.25830725552784E-2</v>
      </c>
      <c r="Q532">
        <v>0.70327680845723795</v>
      </c>
      <c r="R532">
        <v>0</v>
      </c>
      <c r="S532">
        <v>115</v>
      </c>
      <c r="T532">
        <v>175</v>
      </c>
      <c r="U532">
        <v>156776327916.64001</v>
      </c>
      <c r="V532">
        <v>559756</v>
      </c>
    </row>
    <row r="533" spans="1:22" x14ac:dyDescent="0.25">
      <c r="A533">
        <v>0.97562199336483402</v>
      </c>
      <c r="B533">
        <v>25.6332188400552</v>
      </c>
      <c r="C533">
        <v>25.016142698641001</v>
      </c>
      <c r="D533">
        <v>0</v>
      </c>
      <c r="E533">
        <v>4.8851130488078498</v>
      </c>
      <c r="F533">
        <v>3.9422145528052699</v>
      </c>
      <c r="G533">
        <v>112.61988415764399</v>
      </c>
      <c r="H533">
        <v>24.680566627750999</v>
      </c>
      <c r="I533">
        <v>68.061333391744895</v>
      </c>
      <c r="J533">
        <v>63.228740941518303</v>
      </c>
      <c r="K533">
        <v>172509.39622916401</v>
      </c>
      <c r="L533">
        <v>753.20190775199603</v>
      </c>
      <c r="M533">
        <v>0.12978695108965599</v>
      </c>
      <c r="N533">
        <v>6.3518536104521697E-2</v>
      </c>
      <c r="O533">
        <v>0.60543832258256103</v>
      </c>
      <c r="P533">
        <v>4.0434371411460099E-2</v>
      </c>
      <c r="Q533">
        <v>0.70853480511252098</v>
      </c>
      <c r="R533">
        <v>0</v>
      </c>
      <c r="S533">
        <v>115</v>
      </c>
      <c r="T533">
        <v>180</v>
      </c>
      <c r="U533">
        <v>4201983873.3499999</v>
      </c>
      <c r="V533">
        <v>24358</v>
      </c>
    </row>
    <row r="534" spans="1:22" x14ac:dyDescent="0.25">
      <c r="A534">
        <v>0.99254293152654405</v>
      </c>
      <c r="B534">
        <v>8.5904417468603693</v>
      </c>
      <c r="C534">
        <v>91.256420992537002</v>
      </c>
      <c r="D534">
        <v>0</v>
      </c>
      <c r="E534">
        <v>4.9467336292476896</v>
      </c>
      <c r="F534">
        <v>4.0569894123474901</v>
      </c>
      <c r="G534">
        <v>117.008529979051</v>
      </c>
      <c r="H534">
        <v>24.538749453320801</v>
      </c>
      <c r="I534">
        <v>57.858241253713999</v>
      </c>
      <c r="J534">
        <v>5.4426614131136404</v>
      </c>
      <c r="K534">
        <v>5924.0412213740401</v>
      </c>
      <c r="L534">
        <v>766.83276660931597</v>
      </c>
      <c r="M534">
        <v>2.9332913600603201E-2</v>
      </c>
      <c r="N534">
        <v>6.9498430125710997E-2</v>
      </c>
      <c r="O534">
        <v>0.64957787803199096</v>
      </c>
      <c r="P534">
        <v>5.3504474070851599E-2</v>
      </c>
      <c r="Q534">
        <v>0.38153255127830699</v>
      </c>
      <c r="R534">
        <v>0</v>
      </c>
      <c r="S534">
        <v>120</v>
      </c>
      <c r="T534">
        <v>10</v>
      </c>
      <c r="U534">
        <v>3104197.6</v>
      </c>
      <c r="V534">
        <v>524</v>
      </c>
    </row>
    <row r="535" spans="1:22" x14ac:dyDescent="0.25">
      <c r="A535">
        <v>0.99248751940408497</v>
      </c>
      <c r="B535">
        <v>8.6516619818310492</v>
      </c>
      <c r="C535">
        <v>72.9338405598766</v>
      </c>
      <c r="D535">
        <v>0</v>
      </c>
      <c r="E535">
        <v>5.0205252598637697</v>
      </c>
      <c r="F535">
        <v>4.11789617120822</v>
      </c>
      <c r="G535">
        <v>117.043649931396</v>
      </c>
      <c r="H535">
        <v>23.938475711484799</v>
      </c>
      <c r="I535">
        <v>51.011988735977603</v>
      </c>
      <c r="J535">
        <v>17.547781629493901</v>
      </c>
      <c r="K535">
        <v>15758.5020130475</v>
      </c>
      <c r="L535">
        <v>762.92424587814003</v>
      </c>
      <c r="M535">
        <v>5.9445655556790898E-2</v>
      </c>
      <c r="N535">
        <v>3.7336322929053201E-2</v>
      </c>
      <c r="O535">
        <v>0.74869256836664799</v>
      </c>
      <c r="P535">
        <v>3.2355636061665097E-2</v>
      </c>
      <c r="Q535">
        <v>0.43730064911376498</v>
      </c>
      <c r="R535">
        <v>0</v>
      </c>
      <c r="S535">
        <v>120</v>
      </c>
      <c r="T535">
        <v>20</v>
      </c>
      <c r="U535">
        <v>16908872.66</v>
      </c>
      <c r="V535">
        <v>1073</v>
      </c>
    </row>
    <row r="536" spans="1:22" x14ac:dyDescent="0.25">
      <c r="A536">
        <v>0.99119207839124901</v>
      </c>
      <c r="B536">
        <v>10.072220486523999</v>
      </c>
      <c r="C536">
        <v>29.4298258576198</v>
      </c>
      <c r="D536">
        <v>0</v>
      </c>
      <c r="E536">
        <v>5.0094005484536197</v>
      </c>
      <c r="F536">
        <v>4.0898626650066499</v>
      </c>
      <c r="G536">
        <v>117.185696417483</v>
      </c>
      <c r="H536">
        <v>23.419855079252802</v>
      </c>
      <c r="I536">
        <v>50.887629228308498</v>
      </c>
      <c r="J536">
        <v>34.9919957399891</v>
      </c>
      <c r="K536">
        <v>26070.147622877499</v>
      </c>
      <c r="L536">
        <v>756.73201356240099</v>
      </c>
      <c r="M536">
        <v>6.2261888290216699E-2</v>
      </c>
      <c r="N536">
        <v>3.1465627492204398E-2</v>
      </c>
      <c r="O536">
        <v>0.770448324478753</v>
      </c>
      <c r="P536">
        <v>2.5213628860886801E-2</v>
      </c>
      <c r="Q536">
        <v>0.46930102610350799</v>
      </c>
      <c r="R536">
        <v>0</v>
      </c>
      <c r="S536">
        <v>120</v>
      </c>
      <c r="T536">
        <v>30</v>
      </c>
      <c r="U536">
        <v>87517485.569999993</v>
      </c>
      <c r="V536">
        <v>3357</v>
      </c>
    </row>
    <row r="537" spans="1:22" x14ac:dyDescent="0.25">
      <c r="A537">
        <v>0.98920340747295998</v>
      </c>
      <c r="B537">
        <v>12.2135990470835</v>
      </c>
      <c r="C537">
        <v>18.145471792812501</v>
      </c>
      <c r="D537">
        <v>0</v>
      </c>
      <c r="E537">
        <v>5.0210454187898002</v>
      </c>
      <c r="F537">
        <v>4.08254265463483</v>
      </c>
      <c r="G537">
        <v>117.24623983775</v>
      </c>
      <c r="H537">
        <v>23.334199581993001</v>
      </c>
      <c r="I537">
        <v>53.341681122314398</v>
      </c>
      <c r="J537">
        <v>43.817229246984198</v>
      </c>
      <c r="K537">
        <v>35782.972739639699</v>
      </c>
      <c r="L537">
        <v>752.06291321423703</v>
      </c>
      <c r="M537">
        <v>6.0270302694080798E-2</v>
      </c>
      <c r="N537">
        <v>3.9227553066544199E-2</v>
      </c>
      <c r="O537">
        <v>0.75571466644158503</v>
      </c>
      <c r="P537">
        <v>2.94992655014066E-2</v>
      </c>
      <c r="Q537">
        <v>0.52690908369870204</v>
      </c>
      <c r="R537">
        <v>0</v>
      </c>
      <c r="S537">
        <v>120</v>
      </c>
      <c r="T537">
        <v>40</v>
      </c>
      <c r="U537">
        <v>284081020.57999998</v>
      </c>
      <c r="V537">
        <v>7939</v>
      </c>
    </row>
    <row r="538" spans="1:22" x14ac:dyDescent="0.25">
      <c r="A538">
        <v>0.98716593581866396</v>
      </c>
      <c r="B538">
        <v>14.3589607630161</v>
      </c>
      <c r="C538">
        <v>14.736066618490799</v>
      </c>
      <c r="D538">
        <v>0</v>
      </c>
      <c r="E538">
        <v>4.9958088882560103</v>
      </c>
      <c r="F538">
        <v>4.0557492689063404</v>
      </c>
      <c r="G538">
        <v>117.24752689070201</v>
      </c>
      <c r="H538">
        <v>23.4828903990391</v>
      </c>
      <c r="I538">
        <v>54.466007713525599</v>
      </c>
      <c r="J538">
        <v>47.680881400293998</v>
      </c>
      <c r="K538">
        <v>45850.317058164801</v>
      </c>
      <c r="L538">
        <v>752.60936916849403</v>
      </c>
      <c r="M538">
        <v>6.4364115564073301E-2</v>
      </c>
      <c r="N538">
        <v>5.54049239094788E-2</v>
      </c>
      <c r="O538">
        <v>0.72561244660969604</v>
      </c>
      <c r="P538">
        <v>3.29147903141635E-2</v>
      </c>
      <c r="Q538">
        <v>0.57612876561172899</v>
      </c>
      <c r="R538">
        <v>0</v>
      </c>
      <c r="S538">
        <v>120</v>
      </c>
      <c r="T538">
        <v>50</v>
      </c>
      <c r="U538">
        <v>778034030.15999997</v>
      </c>
      <c r="V538">
        <v>16969</v>
      </c>
    </row>
    <row r="539" spans="1:22" x14ac:dyDescent="0.25">
      <c r="A539">
        <v>0.98551750378318603</v>
      </c>
      <c r="B539">
        <v>16.059392827394401</v>
      </c>
      <c r="C539">
        <v>13.1493022628928</v>
      </c>
      <c r="D539">
        <v>0</v>
      </c>
      <c r="E539">
        <v>4.9918712867162496</v>
      </c>
      <c r="F539">
        <v>4.0401875412065396</v>
      </c>
      <c r="G539">
        <v>117.289994012919</v>
      </c>
      <c r="H539">
        <v>23.5056211134956</v>
      </c>
      <c r="I539">
        <v>58.4761343674976</v>
      </c>
      <c r="J539">
        <v>52.5960501474922</v>
      </c>
      <c r="K539">
        <v>55465.258288184203</v>
      </c>
      <c r="L539">
        <v>749.95943870174699</v>
      </c>
      <c r="M539">
        <v>7.2931201220381395E-2</v>
      </c>
      <c r="N539">
        <v>6.4719231958551698E-2</v>
      </c>
      <c r="O539">
        <v>0.71468708406301895</v>
      </c>
      <c r="P539">
        <v>3.2568632762667901E-2</v>
      </c>
      <c r="Q539">
        <v>0.63211621597703704</v>
      </c>
      <c r="R539">
        <v>0</v>
      </c>
      <c r="S539">
        <v>120</v>
      </c>
      <c r="T539">
        <v>60</v>
      </c>
      <c r="U539">
        <v>1488521136.6800001</v>
      </c>
      <c r="V539">
        <v>26837</v>
      </c>
    </row>
    <row r="540" spans="1:22" x14ac:dyDescent="0.25">
      <c r="A540">
        <v>0.98424710904134105</v>
      </c>
      <c r="B540">
        <v>17.348683777412798</v>
      </c>
      <c r="C540">
        <v>13.200959290240901</v>
      </c>
      <c r="D540">
        <v>0</v>
      </c>
      <c r="E540">
        <v>4.9785039734209198</v>
      </c>
      <c r="F540">
        <v>4.0206395232963503</v>
      </c>
      <c r="G540">
        <v>117.32600183425799</v>
      </c>
      <c r="H540">
        <v>23.622010117965299</v>
      </c>
      <c r="I540">
        <v>60.433041604405801</v>
      </c>
      <c r="J540">
        <v>55.040783764005802</v>
      </c>
      <c r="K540">
        <v>65229.647013387897</v>
      </c>
      <c r="L540">
        <v>749.96965278626101</v>
      </c>
      <c r="M540">
        <v>8.1633568654500596E-2</v>
      </c>
      <c r="N540">
        <v>6.3670031720545098E-2</v>
      </c>
      <c r="O540">
        <v>0.70932295122337796</v>
      </c>
      <c r="P540">
        <v>3.7451764729892499E-2</v>
      </c>
      <c r="Q540">
        <v>0.66436616180240304</v>
      </c>
      <c r="R540">
        <v>0</v>
      </c>
      <c r="S540">
        <v>120</v>
      </c>
      <c r="T540">
        <v>70</v>
      </c>
      <c r="U540">
        <v>2324067093.4400001</v>
      </c>
      <c r="V540">
        <v>35629</v>
      </c>
    </row>
    <row r="541" spans="1:22" x14ac:dyDescent="0.25">
      <c r="A541">
        <v>0.98319287016810697</v>
      </c>
      <c r="B541">
        <v>18.4047934494535</v>
      </c>
      <c r="C541">
        <v>13.946222288253599</v>
      </c>
      <c r="D541">
        <v>0</v>
      </c>
      <c r="E541">
        <v>4.9612227066817098</v>
      </c>
      <c r="F541">
        <v>4.0039685094694697</v>
      </c>
      <c r="G541">
        <v>117.304922306466</v>
      </c>
      <c r="H541">
        <v>23.8725590843943</v>
      </c>
      <c r="I541">
        <v>60.588988441430402</v>
      </c>
      <c r="J541">
        <v>55.8061743339114</v>
      </c>
      <c r="K541">
        <v>75155.296939269407</v>
      </c>
      <c r="L541">
        <v>751.97426366569505</v>
      </c>
      <c r="M541">
        <v>9.2904271283784104E-2</v>
      </c>
      <c r="N541">
        <v>5.95429599839516E-2</v>
      </c>
      <c r="O541">
        <v>0.70357956776886499</v>
      </c>
      <c r="P541">
        <v>3.3698258208237103E-2</v>
      </c>
      <c r="Q541">
        <v>0.70230161614164199</v>
      </c>
      <c r="R541">
        <v>0</v>
      </c>
      <c r="S541">
        <v>120</v>
      </c>
      <c r="T541">
        <v>80</v>
      </c>
      <c r="U541">
        <v>3384618797.6599998</v>
      </c>
      <c r="V541">
        <v>45035</v>
      </c>
    </row>
    <row r="542" spans="1:22" x14ac:dyDescent="0.25">
      <c r="A542">
        <v>0.98233131290333797</v>
      </c>
      <c r="B542">
        <v>19.2586782436573</v>
      </c>
      <c r="C542">
        <v>14.872867915476901</v>
      </c>
      <c r="D542">
        <v>0</v>
      </c>
      <c r="E542">
        <v>4.9519833119148604</v>
      </c>
      <c r="F542">
        <v>3.9830536006614898</v>
      </c>
      <c r="G542">
        <v>117.344970317407</v>
      </c>
      <c r="H542">
        <v>24.170863503124899</v>
      </c>
      <c r="I542">
        <v>63.221649635467401</v>
      </c>
      <c r="J542">
        <v>58.329104828688003</v>
      </c>
      <c r="K542">
        <v>85090.834227420593</v>
      </c>
      <c r="L542">
        <v>752.29331804826904</v>
      </c>
      <c r="M542">
        <v>9.7970800270975197E-2</v>
      </c>
      <c r="N542">
        <v>6.2093815468875498E-2</v>
      </c>
      <c r="O542">
        <v>0.70033320693388601</v>
      </c>
      <c r="P542">
        <v>3.1010333735935199E-2</v>
      </c>
      <c r="Q542">
        <v>0.71454901963058404</v>
      </c>
      <c r="R542">
        <v>0</v>
      </c>
      <c r="S542">
        <v>120</v>
      </c>
      <c r="T542">
        <v>90</v>
      </c>
      <c r="U542">
        <v>4339462363.9300003</v>
      </c>
      <c r="V542">
        <v>50998</v>
      </c>
    </row>
    <row r="543" spans="1:22" x14ac:dyDescent="0.25">
      <c r="A543">
        <v>0.98139309564348798</v>
      </c>
      <c r="B543">
        <v>20.179217790722799</v>
      </c>
      <c r="C543">
        <v>16.3946400515905</v>
      </c>
      <c r="D543">
        <v>0</v>
      </c>
      <c r="E543">
        <v>4.9545299313534601</v>
      </c>
      <c r="F543">
        <v>3.9812203057336699</v>
      </c>
      <c r="G543">
        <v>117.33060757915899</v>
      </c>
      <c r="H543">
        <v>24.318116384303</v>
      </c>
      <c r="I543">
        <v>63.4505214987066</v>
      </c>
      <c r="J543">
        <v>58.9218096534117</v>
      </c>
      <c r="K543">
        <v>95218.880203920096</v>
      </c>
      <c r="L543">
        <v>752.91728369382304</v>
      </c>
      <c r="M543">
        <v>9.8099492935872001E-2</v>
      </c>
      <c r="N543">
        <v>6.4665619168021105E-2</v>
      </c>
      <c r="O543">
        <v>0.67471878991443701</v>
      </c>
      <c r="P543">
        <v>3.28814594743011E-2</v>
      </c>
      <c r="Q543">
        <v>0.68410977546496299</v>
      </c>
      <c r="R543">
        <v>0</v>
      </c>
      <c r="S543">
        <v>120</v>
      </c>
      <c r="T543">
        <v>100</v>
      </c>
      <c r="U543">
        <v>5897476564.3100004</v>
      </c>
      <c r="V543">
        <v>61936</v>
      </c>
    </row>
    <row r="544" spans="1:22" x14ac:dyDescent="0.25">
      <c r="A544">
        <v>0.98053683854580698</v>
      </c>
      <c r="B544">
        <v>21.010934493541999</v>
      </c>
      <c r="C544">
        <v>16.852876448684999</v>
      </c>
      <c r="D544">
        <v>0</v>
      </c>
      <c r="E544">
        <v>4.9449280004446301</v>
      </c>
      <c r="F544">
        <v>3.9612413071268899</v>
      </c>
      <c r="G544">
        <v>117.376063240428</v>
      </c>
      <c r="H544">
        <v>24.393577661439</v>
      </c>
      <c r="I544">
        <v>65.8026336178566</v>
      </c>
      <c r="J544">
        <v>61.110444928090203</v>
      </c>
      <c r="K544">
        <v>104983.787965001</v>
      </c>
      <c r="L544">
        <v>751.16977255769496</v>
      </c>
      <c r="M544">
        <v>0.113408551275939</v>
      </c>
      <c r="N544">
        <v>6.2375877247354203E-2</v>
      </c>
      <c r="O544">
        <v>0.66680398944859098</v>
      </c>
      <c r="P544">
        <v>3.1327474184308798E-2</v>
      </c>
      <c r="Q544">
        <v>0.71204685600143303</v>
      </c>
      <c r="R544">
        <v>0</v>
      </c>
      <c r="S544">
        <v>120</v>
      </c>
      <c r="T544">
        <v>110</v>
      </c>
      <c r="U544">
        <v>5789330987.3299999</v>
      </c>
      <c r="V544">
        <v>55145</v>
      </c>
    </row>
    <row r="545" spans="1:22" x14ac:dyDescent="0.25">
      <c r="A545">
        <v>0.97971267655986105</v>
      </c>
      <c r="B545">
        <v>21.803965533461</v>
      </c>
      <c r="C545">
        <v>20.004989517522301</v>
      </c>
      <c r="D545">
        <v>0</v>
      </c>
      <c r="E545">
        <v>4.9329281276481698</v>
      </c>
      <c r="F545">
        <v>3.9500346847916599</v>
      </c>
      <c r="G545">
        <v>117.37860619748901</v>
      </c>
      <c r="H545">
        <v>24.750121470361201</v>
      </c>
      <c r="I545">
        <v>66.132358386420293</v>
      </c>
      <c r="J545">
        <v>61.363091952484098</v>
      </c>
      <c r="K545">
        <v>115028.18264796201</v>
      </c>
      <c r="L545">
        <v>751.59408114916698</v>
      </c>
      <c r="M545">
        <v>0.118734204418125</v>
      </c>
      <c r="N545">
        <v>6.0670238122804698E-2</v>
      </c>
      <c r="O545">
        <v>0.64765942995595804</v>
      </c>
      <c r="P545">
        <v>3.3797822334370502E-2</v>
      </c>
      <c r="Q545">
        <v>0.71100162295484404</v>
      </c>
      <c r="R545">
        <v>0</v>
      </c>
      <c r="S545">
        <v>120</v>
      </c>
      <c r="T545">
        <v>120</v>
      </c>
      <c r="U545">
        <v>6252356867.8299999</v>
      </c>
      <c r="V545">
        <v>54355</v>
      </c>
    </row>
    <row r="546" spans="1:22" x14ac:dyDescent="0.25">
      <c r="A546">
        <v>0.97899096938470198</v>
      </c>
      <c r="B546">
        <v>22.492410845105599</v>
      </c>
      <c r="C546">
        <v>20.687212978607398</v>
      </c>
      <c r="D546">
        <v>0</v>
      </c>
      <c r="E546">
        <v>4.9300231082030601</v>
      </c>
      <c r="F546">
        <v>3.9443876746279098</v>
      </c>
      <c r="G546">
        <v>117.399080371135</v>
      </c>
      <c r="H546">
        <v>24.6474112010246</v>
      </c>
      <c r="I546">
        <v>66.466542357330198</v>
      </c>
      <c r="J546">
        <v>61.8460565129446</v>
      </c>
      <c r="K546">
        <v>124907.32481916599</v>
      </c>
      <c r="L546">
        <v>751.86337450303404</v>
      </c>
      <c r="M546">
        <v>0.11749353008970401</v>
      </c>
      <c r="N546">
        <v>6.3141499536867401E-2</v>
      </c>
      <c r="O546">
        <v>0.64239380080411002</v>
      </c>
      <c r="P546">
        <v>3.4208500468212201E-2</v>
      </c>
      <c r="Q546">
        <v>0.71621838868068199</v>
      </c>
      <c r="R546">
        <v>0</v>
      </c>
      <c r="S546">
        <v>120</v>
      </c>
      <c r="T546">
        <v>130</v>
      </c>
      <c r="U546">
        <v>6772600059.0200005</v>
      </c>
      <c r="V546">
        <v>54221</v>
      </c>
    </row>
    <row r="547" spans="1:22" x14ac:dyDescent="0.25">
      <c r="A547">
        <v>0.97829642945949702</v>
      </c>
      <c r="B547">
        <v>23.1496903845422</v>
      </c>
      <c r="C547">
        <v>20.713990019448399</v>
      </c>
      <c r="D547">
        <v>0</v>
      </c>
      <c r="E547">
        <v>4.9240754748550799</v>
      </c>
      <c r="F547">
        <v>3.9376410620424398</v>
      </c>
      <c r="G547">
        <v>117.40892776702</v>
      </c>
      <c r="H547">
        <v>24.734375023022899</v>
      </c>
      <c r="I547">
        <v>66.813366247875095</v>
      </c>
      <c r="J547">
        <v>62.184243942314303</v>
      </c>
      <c r="K547">
        <v>134947.055355383</v>
      </c>
      <c r="L547">
        <v>751.84070171806104</v>
      </c>
      <c r="M547">
        <v>0.122157377373889</v>
      </c>
      <c r="N547">
        <v>6.1667732174529498E-2</v>
      </c>
      <c r="O547">
        <v>0.642528058510769</v>
      </c>
      <c r="P547">
        <v>3.6977930549986299E-2</v>
      </c>
      <c r="Q547">
        <v>0.72640341785240303</v>
      </c>
      <c r="R547">
        <v>0</v>
      </c>
      <c r="S547">
        <v>120</v>
      </c>
      <c r="T547">
        <v>140</v>
      </c>
      <c r="U547">
        <v>6711591798.1000004</v>
      </c>
      <c r="V547">
        <v>49735</v>
      </c>
    </row>
    <row r="548" spans="1:22" x14ac:dyDescent="0.25">
      <c r="A548">
        <v>0.97752834344196904</v>
      </c>
      <c r="B548">
        <v>23.870618147445501</v>
      </c>
      <c r="C548">
        <v>21.570596820667799</v>
      </c>
      <c r="D548">
        <v>0</v>
      </c>
      <c r="E548">
        <v>4.9230875264554399</v>
      </c>
      <c r="F548">
        <v>3.9406734120149198</v>
      </c>
      <c r="G548">
        <v>117.38135768385401</v>
      </c>
      <c r="H548">
        <v>24.7870408152117</v>
      </c>
      <c r="I548">
        <v>65.969241224258596</v>
      </c>
      <c r="J548">
        <v>61.5165186071048</v>
      </c>
      <c r="K548">
        <v>144902.28983856799</v>
      </c>
      <c r="L548">
        <v>752.22592038139305</v>
      </c>
      <c r="M548">
        <v>0.12147599429943901</v>
      </c>
      <c r="N548">
        <v>6.4094878969569294E-2</v>
      </c>
      <c r="O548">
        <v>0.63073134551976895</v>
      </c>
      <c r="P548">
        <v>3.9768464451856E-2</v>
      </c>
      <c r="Q548">
        <v>0.72556452394764204</v>
      </c>
      <c r="R548">
        <v>0</v>
      </c>
      <c r="S548">
        <v>120</v>
      </c>
      <c r="T548">
        <v>150</v>
      </c>
      <c r="U548">
        <v>7261633352.9700003</v>
      </c>
      <c r="V548">
        <v>50114</v>
      </c>
    </row>
    <row r="549" spans="1:22" x14ac:dyDescent="0.25">
      <c r="A549">
        <v>0.97675704590275503</v>
      </c>
      <c r="B549">
        <v>24.588317106723199</v>
      </c>
      <c r="C549">
        <v>23.616531846316001</v>
      </c>
      <c r="D549">
        <v>0</v>
      </c>
      <c r="E549">
        <v>4.9310024118043803</v>
      </c>
      <c r="F549">
        <v>3.94074770277608</v>
      </c>
      <c r="G549">
        <v>117.393910477048</v>
      </c>
      <c r="H549">
        <v>24.9526308062186</v>
      </c>
      <c r="I549">
        <v>67.156033373847904</v>
      </c>
      <c r="J549">
        <v>62.690840320262701</v>
      </c>
      <c r="K549">
        <v>154944.98324922199</v>
      </c>
      <c r="L549">
        <v>751.12321069526502</v>
      </c>
      <c r="M549">
        <v>0.129960916893615</v>
      </c>
      <c r="N549">
        <v>6.3838576141714301E-2</v>
      </c>
      <c r="O549">
        <v>0.62952185911229097</v>
      </c>
      <c r="P549">
        <v>3.8236551973342303E-2</v>
      </c>
      <c r="Q549">
        <v>0.73786545503838497</v>
      </c>
      <c r="R549">
        <v>0</v>
      </c>
      <c r="S549">
        <v>120</v>
      </c>
      <c r="T549">
        <v>160</v>
      </c>
      <c r="U549">
        <v>6926505586.1899996</v>
      </c>
      <c r="V549">
        <v>44703</v>
      </c>
    </row>
    <row r="550" spans="1:22" x14ac:dyDescent="0.25">
      <c r="A550">
        <v>0.97587398558108995</v>
      </c>
      <c r="B550">
        <v>25.402393852428698</v>
      </c>
      <c r="C550">
        <v>25.1733933303329</v>
      </c>
      <c r="D550">
        <v>0</v>
      </c>
      <c r="E550">
        <v>4.9228286364521097</v>
      </c>
      <c r="F550">
        <v>3.9308547579103399</v>
      </c>
      <c r="G550">
        <v>117.424894138429</v>
      </c>
      <c r="H550">
        <v>25.078228364830299</v>
      </c>
      <c r="I550">
        <v>67.506658806273705</v>
      </c>
      <c r="J550">
        <v>62.974426942104699</v>
      </c>
      <c r="K550">
        <v>165003.91139980601</v>
      </c>
      <c r="L550">
        <v>751.23744506233504</v>
      </c>
      <c r="M550">
        <v>0.12937372287089599</v>
      </c>
      <c r="N550">
        <v>6.2895855584670798E-2</v>
      </c>
      <c r="O550">
        <v>0.621592219419007</v>
      </c>
      <c r="P550">
        <v>4.2307706333556003E-2</v>
      </c>
      <c r="Q550">
        <v>0.73137995063056704</v>
      </c>
      <c r="R550">
        <v>0</v>
      </c>
      <c r="S550">
        <v>120</v>
      </c>
      <c r="T550">
        <v>170</v>
      </c>
      <c r="U550">
        <v>6981810503.0600004</v>
      </c>
      <c r="V550">
        <v>42313</v>
      </c>
    </row>
    <row r="551" spans="1:22" x14ac:dyDescent="0.25">
      <c r="A551">
        <v>0.966953713400034</v>
      </c>
      <c r="B551">
        <v>33.1858839931486</v>
      </c>
      <c r="C551">
        <v>36.217573944955397</v>
      </c>
      <c r="D551">
        <v>0</v>
      </c>
      <c r="E551">
        <v>4.9096922076532596</v>
      </c>
      <c r="F551">
        <v>3.9155020879827398</v>
      </c>
      <c r="G551">
        <v>117.41939078546</v>
      </c>
      <c r="H551">
        <v>25.1798118530339</v>
      </c>
      <c r="I551">
        <v>67.978538183789595</v>
      </c>
      <c r="J551">
        <v>63.592637903092097</v>
      </c>
      <c r="K551">
        <v>280180.76131016499</v>
      </c>
      <c r="L551">
        <v>750.36549885241902</v>
      </c>
      <c r="M551">
        <v>0.192350696925876</v>
      </c>
      <c r="N551">
        <v>6.01233191064489E-2</v>
      </c>
      <c r="O551">
        <v>0.56388422122517801</v>
      </c>
      <c r="P551">
        <v>8.5557025061852601E-2</v>
      </c>
      <c r="Q551">
        <v>0.71767094618326799</v>
      </c>
      <c r="R551">
        <v>0</v>
      </c>
      <c r="S551">
        <v>120</v>
      </c>
      <c r="T551">
        <v>175</v>
      </c>
      <c r="U551">
        <v>128894637613.89</v>
      </c>
      <c r="V551">
        <v>460041</v>
      </c>
    </row>
    <row r="552" spans="1:22" x14ac:dyDescent="0.25">
      <c r="A552">
        <v>0.97523510463705199</v>
      </c>
      <c r="B552">
        <v>25.986335105347901</v>
      </c>
      <c r="C552">
        <v>23.4763904798466</v>
      </c>
      <c r="D552">
        <v>0</v>
      </c>
      <c r="E552">
        <v>4.9259429403529502</v>
      </c>
      <c r="F552">
        <v>3.9337291797342</v>
      </c>
      <c r="G552">
        <v>117.40848149350001</v>
      </c>
      <c r="H552">
        <v>24.892860891206801</v>
      </c>
      <c r="I552">
        <v>67.590230492727201</v>
      </c>
      <c r="J552">
        <v>63.117862084024097</v>
      </c>
      <c r="K552">
        <v>172500.014606752</v>
      </c>
      <c r="L552">
        <v>751.66992008988097</v>
      </c>
      <c r="M552">
        <v>0.13030945935239499</v>
      </c>
      <c r="N552">
        <v>6.2455133246835597E-2</v>
      </c>
      <c r="O552">
        <v>0.612591725520791</v>
      </c>
      <c r="P552">
        <v>4.5426404080327602E-2</v>
      </c>
      <c r="Q552">
        <v>0.72663152623659399</v>
      </c>
      <c r="R552">
        <v>0</v>
      </c>
      <c r="S552">
        <v>120</v>
      </c>
      <c r="T552">
        <v>180</v>
      </c>
      <c r="U552">
        <v>3535560299.3800001</v>
      </c>
      <c r="V552">
        <v>20496</v>
      </c>
    </row>
    <row r="553" spans="1:22" x14ac:dyDescent="0.25">
      <c r="A553">
        <v>0.99275221954470205</v>
      </c>
      <c r="B553">
        <v>8.3588774241548194</v>
      </c>
      <c r="C553">
        <v>92.019510030435498</v>
      </c>
      <c r="D553">
        <v>0</v>
      </c>
      <c r="E553">
        <v>4.9458640440190296</v>
      </c>
      <c r="F553">
        <v>3.99541483682887</v>
      </c>
      <c r="G553">
        <v>122.24659201677601</v>
      </c>
      <c r="H553">
        <v>25.023687012377501</v>
      </c>
      <c r="I553">
        <v>58.387807785474401</v>
      </c>
      <c r="J553">
        <v>5.2970218714108901</v>
      </c>
      <c r="K553">
        <v>6046.6032313575497</v>
      </c>
      <c r="L553">
        <v>773.71308345681803</v>
      </c>
      <c r="M553">
        <v>3.7315415264248197E-2</v>
      </c>
      <c r="N553">
        <v>3.7343062220016203E-2</v>
      </c>
      <c r="O553">
        <v>0.62110772690546401</v>
      </c>
      <c r="P553">
        <v>2.69554024120028E-2</v>
      </c>
      <c r="Q553">
        <v>0.394544108703618</v>
      </c>
      <c r="R553">
        <v>0</v>
      </c>
      <c r="S553">
        <v>125</v>
      </c>
      <c r="T553">
        <v>10</v>
      </c>
      <c r="U553">
        <v>3162373.49</v>
      </c>
      <c r="V553">
        <v>523</v>
      </c>
    </row>
    <row r="554" spans="1:22" x14ac:dyDescent="0.25">
      <c r="A554">
        <v>0.992432337619084</v>
      </c>
      <c r="B554">
        <v>8.7125903834639207</v>
      </c>
      <c r="C554">
        <v>66.057432329061896</v>
      </c>
      <c r="D554">
        <v>0</v>
      </c>
      <c r="E554">
        <v>5.0119735692316398</v>
      </c>
      <c r="F554">
        <v>4.0463685133061897</v>
      </c>
      <c r="G554">
        <v>122.19326718414401</v>
      </c>
      <c r="H554">
        <v>24.601008013646702</v>
      </c>
      <c r="I554">
        <v>52.5098107469219</v>
      </c>
      <c r="J554">
        <v>16.834486738821798</v>
      </c>
      <c r="K554">
        <v>15796.6009830781</v>
      </c>
      <c r="L554">
        <v>767.77264380147801</v>
      </c>
      <c r="M554">
        <v>4.6629052200420698E-2</v>
      </c>
      <c r="N554">
        <v>3.2043785455529501E-2</v>
      </c>
      <c r="O554">
        <v>0.71312290214931695</v>
      </c>
      <c r="P554">
        <v>3.2051238685318902E-2</v>
      </c>
      <c r="Q554">
        <v>0.45306153750631201</v>
      </c>
      <c r="R554">
        <v>0</v>
      </c>
      <c r="S554">
        <v>125</v>
      </c>
      <c r="T554">
        <v>20</v>
      </c>
      <c r="U554">
        <v>19603581.82</v>
      </c>
      <c r="V554">
        <v>1241</v>
      </c>
    </row>
    <row r="555" spans="1:22" x14ac:dyDescent="0.25">
      <c r="A555">
        <v>0.99097813321227002</v>
      </c>
      <c r="B555">
        <v>10.3048711461746</v>
      </c>
      <c r="C555">
        <v>32.1060251852318</v>
      </c>
      <c r="D555">
        <v>0</v>
      </c>
      <c r="E555">
        <v>5.0191880286045301</v>
      </c>
      <c r="F555">
        <v>4.0446529507534201</v>
      </c>
      <c r="G555">
        <v>122.252432523525</v>
      </c>
      <c r="H555">
        <v>23.965687480635701</v>
      </c>
      <c r="I555">
        <v>49.3399528398417</v>
      </c>
      <c r="J555">
        <v>32.514477476606501</v>
      </c>
      <c r="K555">
        <v>26069.393777341498</v>
      </c>
      <c r="L555">
        <v>759.36827470609603</v>
      </c>
      <c r="M555">
        <v>5.3119674924795302E-2</v>
      </c>
      <c r="N555">
        <v>2.3944236293057301E-2</v>
      </c>
      <c r="O555">
        <v>0.76903824918498498</v>
      </c>
      <c r="P555">
        <v>2.42342729431472E-2</v>
      </c>
      <c r="Q555">
        <v>0.48676066232153498</v>
      </c>
      <c r="R555">
        <v>0</v>
      </c>
      <c r="S555">
        <v>125</v>
      </c>
      <c r="T555">
        <v>30</v>
      </c>
      <c r="U555">
        <v>92963458.209999993</v>
      </c>
      <c r="V555">
        <v>3566</v>
      </c>
    </row>
    <row r="556" spans="1:22" x14ac:dyDescent="0.25">
      <c r="A556">
        <v>0.98879998275564795</v>
      </c>
      <c r="B556">
        <v>12.642257582910499</v>
      </c>
      <c r="C556">
        <v>19.8954543711389</v>
      </c>
      <c r="D556">
        <v>0</v>
      </c>
      <c r="E556">
        <v>5.0312175026822397</v>
      </c>
      <c r="F556">
        <v>4.0386563159369899</v>
      </c>
      <c r="G556">
        <v>122.27286130999801</v>
      </c>
      <c r="H556">
        <v>23.725638782535999</v>
      </c>
      <c r="I556">
        <v>51.920660969636202</v>
      </c>
      <c r="J556">
        <v>42.718233540983498</v>
      </c>
      <c r="K556">
        <v>35799.398097156598</v>
      </c>
      <c r="L556">
        <v>755.52664308254202</v>
      </c>
      <c r="M556">
        <v>6.6568924061479795E-2</v>
      </c>
      <c r="N556">
        <v>3.3629221112254998E-2</v>
      </c>
      <c r="O556">
        <v>0.75692238502785003</v>
      </c>
      <c r="P556">
        <v>3.3076053879248002E-2</v>
      </c>
      <c r="Q556">
        <v>0.54892542668858602</v>
      </c>
      <c r="R556">
        <v>0</v>
      </c>
      <c r="S556">
        <v>125</v>
      </c>
      <c r="T556">
        <v>40</v>
      </c>
      <c r="U556">
        <v>310989371.26999998</v>
      </c>
      <c r="V556">
        <v>8687</v>
      </c>
    </row>
    <row r="557" spans="1:22" x14ac:dyDescent="0.25">
      <c r="A557">
        <v>0.98665727123698899</v>
      </c>
      <c r="B557">
        <v>14.8870095880274</v>
      </c>
      <c r="C557">
        <v>15.649002139358601</v>
      </c>
      <c r="D557">
        <v>0</v>
      </c>
      <c r="E557">
        <v>5.0177793920688902</v>
      </c>
      <c r="F557">
        <v>4.0222244762609103</v>
      </c>
      <c r="G557">
        <v>122.257865954526</v>
      </c>
      <c r="H557">
        <v>23.854622258226701</v>
      </c>
      <c r="I557">
        <v>53.785999445447899</v>
      </c>
      <c r="J557">
        <v>46.998839503071501</v>
      </c>
      <c r="K557">
        <v>45838.825968899502</v>
      </c>
      <c r="L557">
        <v>754.84213468211203</v>
      </c>
      <c r="M557">
        <v>6.5965328624304903E-2</v>
      </c>
      <c r="N557">
        <v>4.6320938629224602E-2</v>
      </c>
      <c r="O557">
        <v>0.72500645722233503</v>
      </c>
      <c r="P557">
        <v>3.1909224926776197E-2</v>
      </c>
      <c r="Q557">
        <v>0.60179584333612901</v>
      </c>
      <c r="R557">
        <v>0</v>
      </c>
      <c r="S557">
        <v>125</v>
      </c>
      <c r="T557">
        <v>50</v>
      </c>
      <c r="U557">
        <v>843067687.22000003</v>
      </c>
      <c r="V557">
        <v>18392</v>
      </c>
    </row>
    <row r="558" spans="1:22" x14ac:dyDescent="0.25">
      <c r="A558">
        <v>0.98505967154350005</v>
      </c>
      <c r="B558">
        <v>16.5261446526562</v>
      </c>
      <c r="C558">
        <v>14.5683980208671</v>
      </c>
      <c r="D558">
        <v>0</v>
      </c>
      <c r="E558">
        <v>5.0098563032028203</v>
      </c>
      <c r="F558">
        <v>4.0052666323241697</v>
      </c>
      <c r="G558">
        <v>122.28861377909701</v>
      </c>
      <c r="H558">
        <v>23.7372689106904</v>
      </c>
      <c r="I558">
        <v>57.141643044039803</v>
      </c>
      <c r="J558">
        <v>51.408194223153998</v>
      </c>
      <c r="K558">
        <v>55434.923152270298</v>
      </c>
      <c r="L558">
        <v>753.29148091203297</v>
      </c>
      <c r="M558">
        <v>7.9411147616456804E-2</v>
      </c>
      <c r="N558">
        <v>5.6257979404828802E-2</v>
      </c>
      <c r="O558">
        <v>0.71714069596498997</v>
      </c>
      <c r="P558">
        <v>3.34880896491477E-2</v>
      </c>
      <c r="Q558">
        <v>0.65087027414038601</v>
      </c>
      <c r="R558">
        <v>0</v>
      </c>
      <c r="S558">
        <v>125</v>
      </c>
      <c r="T558">
        <v>60</v>
      </c>
      <c r="U558">
        <v>1561435480.4300001</v>
      </c>
      <c r="V558">
        <v>28167</v>
      </c>
    </row>
    <row r="559" spans="1:22" x14ac:dyDescent="0.25">
      <c r="A559">
        <v>0.98377082487091505</v>
      </c>
      <c r="B559">
        <v>17.827355173858699</v>
      </c>
      <c r="C559">
        <v>13.8735659888047</v>
      </c>
      <c r="D559">
        <v>0</v>
      </c>
      <c r="E559">
        <v>4.9982248799555702</v>
      </c>
      <c r="F559">
        <v>3.9885202691314499</v>
      </c>
      <c r="G559">
        <v>122.264845968221</v>
      </c>
      <c r="H559">
        <v>23.8153604102869</v>
      </c>
      <c r="I559">
        <v>59.136608989553999</v>
      </c>
      <c r="J559">
        <v>53.863514711899299</v>
      </c>
      <c r="K559">
        <v>65213.976296558401</v>
      </c>
      <c r="L559">
        <v>753.45073287471303</v>
      </c>
      <c r="M559">
        <v>8.4047628474418601E-2</v>
      </c>
      <c r="N559">
        <v>5.3831277192107001E-2</v>
      </c>
      <c r="O559">
        <v>0.70694488157119995</v>
      </c>
      <c r="P559">
        <v>3.5654912468092097E-2</v>
      </c>
      <c r="Q559">
        <v>0.67337313494563</v>
      </c>
      <c r="R559">
        <v>0</v>
      </c>
      <c r="S559">
        <v>125</v>
      </c>
      <c r="T559">
        <v>70</v>
      </c>
      <c r="U559">
        <v>2487978409.6900001</v>
      </c>
      <c r="V559">
        <v>38151</v>
      </c>
    </row>
    <row r="560" spans="1:22" x14ac:dyDescent="0.25">
      <c r="A560">
        <v>0.98272463788280795</v>
      </c>
      <c r="B560">
        <v>18.869877338892401</v>
      </c>
      <c r="C560">
        <v>14.0537151712546</v>
      </c>
      <c r="D560">
        <v>0</v>
      </c>
      <c r="E560">
        <v>4.9848085463587601</v>
      </c>
      <c r="F560">
        <v>3.9725518896272898</v>
      </c>
      <c r="G560">
        <v>122.282901537133</v>
      </c>
      <c r="H560">
        <v>23.982026259300198</v>
      </c>
      <c r="I560">
        <v>59.229980328365002</v>
      </c>
      <c r="J560">
        <v>54.685220273087403</v>
      </c>
      <c r="K560">
        <v>75108.446711733399</v>
      </c>
      <c r="L560">
        <v>754.32059153675698</v>
      </c>
      <c r="M560">
        <v>9.5524439620055204E-2</v>
      </c>
      <c r="N560">
        <v>5.1994450533906098E-2</v>
      </c>
      <c r="O560">
        <v>0.70489141135906197</v>
      </c>
      <c r="P560">
        <v>3.1756777849409702E-2</v>
      </c>
      <c r="Q560">
        <v>0.71240190171488704</v>
      </c>
      <c r="R560">
        <v>0</v>
      </c>
      <c r="S560">
        <v>125</v>
      </c>
      <c r="T560">
        <v>80</v>
      </c>
      <c r="U560">
        <v>3577640642.2199998</v>
      </c>
      <c r="V560">
        <v>47633</v>
      </c>
    </row>
    <row r="561" spans="1:22" x14ac:dyDescent="0.25">
      <c r="A561">
        <v>0.98179804459265096</v>
      </c>
      <c r="B561">
        <v>19.783085405748398</v>
      </c>
      <c r="C561">
        <v>16.2340920393662</v>
      </c>
      <c r="D561">
        <v>0</v>
      </c>
      <c r="E561">
        <v>4.9774025219068596</v>
      </c>
      <c r="F561">
        <v>3.9554595698901398</v>
      </c>
      <c r="G561">
        <v>122.28359737262601</v>
      </c>
      <c r="H561">
        <v>24.372675614395298</v>
      </c>
      <c r="I561">
        <v>61.948237331996701</v>
      </c>
      <c r="J561">
        <v>57.280091805108597</v>
      </c>
      <c r="K561">
        <v>85088.265851375603</v>
      </c>
      <c r="L561">
        <v>754.84799663647595</v>
      </c>
      <c r="M561">
        <v>0.100687039786619</v>
      </c>
      <c r="N561">
        <v>5.6469002903746998E-2</v>
      </c>
      <c r="O561">
        <v>0.69090027820548605</v>
      </c>
      <c r="P561">
        <v>3.1531702775175099E-2</v>
      </c>
      <c r="Q561">
        <v>0.71686787628387205</v>
      </c>
      <c r="R561">
        <v>0</v>
      </c>
      <c r="S561">
        <v>125</v>
      </c>
      <c r="T561">
        <v>90</v>
      </c>
      <c r="U561">
        <v>4499892939.5500002</v>
      </c>
      <c r="V561">
        <v>52885</v>
      </c>
    </row>
    <row r="562" spans="1:22" x14ac:dyDescent="0.25">
      <c r="A562">
        <v>0.98082260309098701</v>
      </c>
      <c r="B562">
        <v>20.734247399483401</v>
      </c>
      <c r="C562">
        <v>16.8374605685967</v>
      </c>
      <c r="D562">
        <v>0</v>
      </c>
      <c r="E562">
        <v>4.9753566561480502</v>
      </c>
      <c r="F562">
        <v>3.9498779998865801</v>
      </c>
      <c r="G562">
        <v>122.272405133695</v>
      </c>
      <c r="H562">
        <v>24.555870248782298</v>
      </c>
      <c r="I562">
        <v>61.962478733610702</v>
      </c>
      <c r="J562">
        <v>57.652456162412101</v>
      </c>
      <c r="K562">
        <v>95185.218678399702</v>
      </c>
      <c r="L562">
        <v>755.87778011129706</v>
      </c>
      <c r="M562">
        <v>9.9650849733788099E-2</v>
      </c>
      <c r="N562">
        <v>5.8136934832531698E-2</v>
      </c>
      <c r="O562">
        <v>0.66853599339347103</v>
      </c>
      <c r="P562">
        <v>3.2472938633130603E-2</v>
      </c>
      <c r="Q562">
        <v>0.69287756392384303</v>
      </c>
      <c r="R562">
        <v>0</v>
      </c>
      <c r="S562">
        <v>125</v>
      </c>
      <c r="T562">
        <v>100</v>
      </c>
      <c r="U562">
        <v>6138494752.5699997</v>
      </c>
      <c r="V562">
        <v>64490</v>
      </c>
    </row>
    <row r="563" spans="1:22" x14ac:dyDescent="0.25">
      <c r="A563">
        <v>0.97995404364340799</v>
      </c>
      <c r="B563">
        <v>21.572474673617499</v>
      </c>
      <c r="C563">
        <v>18.1364166130091</v>
      </c>
      <c r="D563">
        <v>0</v>
      </c>
      <c r="E563">
        <v>4.9691855121507</v>
      </c>
      <c r="F563">
        <v>3.9347421209101898</v>
      </c>
      <c r="G563">
        <v>122.289761746827</v>
      </c>
      <c r="H563">
        <v>24.6575576821181</v>
      </c>
      <c r="I563">
        <v>64.339713831898294</v>
      </c>
      <c r="J563">
        <v>59.881603029931902</v>
      </c>
      <c r="K563">
        <v>104949.54349329</v>
      </c>
      <c r="L563">
        <v>753.45545202129995</v>
      </c>
      <c r="M563">
        <v>0.117459532145057</v>
      </c>
      <c r="N563">
        <v>5.5042306758800799E-2</v>
      </c>
      <c r="O563">
        <v>0.659673741294871</v>
      </c>
      <c r="P563">
        <v>3.1830640363626601E-2</v>
      </c>
      <c r="Q563">
        <v>0.71711751410791003</v>
      </c>
      <c r="R563">
        <v>0</v>
      </c>
      <c r="S563">
        <v>125</v>
      </c>
      <c r="T563">
        <v>110</v>
      </c>
      <c r="U563">
        <v>5974987410.1599998</v>
      </c>
      <c r="V563">
        <v>56932</v>
      </c>
    </row>
    <row r="564" spans="1:22" x14ac:dyDescent="0.25">
      <c r="A564">
        <v>0.97912896784213499</v>
      </c>
      <c r="B564">
        <v>22.3612036208444</v>
      </c>
      <c r="C564">
        <v>19.153705613288398</v>
      </c>
      <c r="D564">
        <v>0</v>
      </c>
      <c r="E564">
        <v>4.9582822826768096</v>
      </c>
      <c r="F564">
        <v>3.9245079584920002</v>
      </c>
      <c r="G564">
        <v>122.290332536237</v>
      </c>
      <c r="H564">
        <v>24.903651312375899</v>
      </c>
      <c r="I564">
        <v>64.926885014261103</v>
      </c>
      <c r="J564">
        <v>60.362421096166997</v>
      </c>
      <c r="K564">
        <v>114991.539114731</v>
      </c>
      <c r="L564">
        <v>754.46959051936199</v>
      </c>
      <c r="M564">
        <v>0.12148849131829199</v>
      </c>
      <c r="N564">
        <v>5.4386205543490197E-2</v>
      </c>
      <c r="O564">
        <v>0.64605156638758499</v>
      </c>
      <c r="P564">
        <v>3.3594806779224301E-2</v>
      </c>
      <c r="Q564">
        <v>0.71554598219170495</v>
      </c>
      <c r="R564">
        <v>0</v>
      </c>
      <c r="S564">
        <v>125</v>
      </c>
      <c r="T564">
        <v>120</v>
      </c>
      <c r="U564">
        <v>6507716173.1199999</v>
      </c>
      <c r="V564">
        <v>56593</v>
      </c>
    </row>
    <row r="565" spans="1:22" x14ac:dyDescent="0.25">
      <c r="A565">
        <v>0.97829892081623404</v>
      </c>
      <c r="B565">
        <v>23.147341842166799</v>
      </c>
      <c r="C565">
        <v>21.6700789123216</v>
      </c>
      <c r="D565">
        <v>0</v>
      </c>
      <c r="E565">
        <v>4.9531130530412399</v>
      </c>
      <c r="F565">
        <v>3.9179993898977901</v>
      </c>
      <c r="G565">
        <v>122.296231206258</v>
      </c>
      <c r="H565">
        <v>24.911440644809701</v>
      </c>
      <c r="I565">
        <v>65.123875918915999</v>
      </c>
      <c r="J565">
        <v>60.742055588713598</v>
      </c>
      <c r="K565">
        <v>124876.680737691</v>
      </c>
      <c r="L565">
        <v>754.89898741287004</v>
      </c>
      <c r="M565">
        <v>0.12103634438689399</v>
      </c>
      <c r="N565">
        <v>5.71406789421883E-2</v>
      </c>
      <c r="O565">
        <v>0.63481612931287501</v>
      </c>
      <c r="P565">
        <v>3.4209966006029199E-2</v>
      </c>
      <c r="Q565">
        <v>0.71799411591658602</v>
      </c>
      <c r="R565">
        <v>0</v>
      </c>
      <c r="S565">
        <v>125</v>
      </c>
      <c r="T565">
        <v>130</v>
      </c>
      <c r="U565">
        <v>6992969244.6300001</v>
      </c>
      <c r="V565">
        <v>55999</v>
      </c>
    </row>
    <row r="566" spans="1:22" x14ac:dyDescent="0.25">
      <c r="A566">
        <v>0.97765029662126102</v>
      </c>
      <c r="B566">
        <v>23.756568135377499</v>
      </c>
      <c r="C566">
        <v>22.6773337090541</v>
      </c>
      <c r="D566">
        <v>0</v>
      </c>
      <c r="E566">
        <v>4.94911134251333</v>
      </c>
      <c r="F566">
        <v>3.9134624876286002</v>
      </c>
      <c r="G566">
        <v>122.28709225906</v>
      </c>
      <c r="H566">
        <v>24.999030867639298</v>
      </c>
      <c r="I566">
        <v>65.564130335494099</v>
      </c>
      <c r="J566">
        <v>61.184922956429403</v>
      </c>
      <c r="K566">
        <v>134940.20570924101</v>
      </c>
      <c r="L566">
        <v>755.014438568164</v>
      </c>
      <c r="M566">
        <v>0.12851331787478701</v>
      </c>
      <c r="N566">
        <v>5.48087051809482E-2</v>
      </c>
      <c r="O566">
        <v>0.63493706480425105</v>
      </c>
      <c r="P566">
        <v>3.8781371880094097E-2</v>
      </c>
      <c r="Q566">
        <v>0.72683065299853999</v>
      </c>
      <c r="R566">
        <v>0</v>
      </c>
      <c r="S566">
        <v>125</v>
      </c>
      <c r="T566">
        <v>140</v>
      </c>
      <c r="U566">
        <v>6916900004.4499998</v>
      </c>
      <c r="V566">
        <v>51259</v>
      </c>
    </row>
    <row r="567" spans="1:22" x14ac:dyDescent="0.25">
      <c r="A567">
        <v>0.97680684991736499</v>
      </c>
      <c r="B567">
        <v>24.5421620302217</v>
      </c>
      <c r="C567">
        <v>24.646952137192301</v>
      </c>
      <c r="D567">
        <v>0</v>
      </c>
      <c r="E567">
        <v>4.9465831354854899</v>
      </c>
      <c r="F567">
        <v>3.91261047128426</v>
      </c>
      <c r="G567">
        <v>122.281158557919</v>
      </c>
      <c r="H567">
        <v>25.004902269379201</v>
      </c>
      <c r="I567">
        <v>64.479144450356998</v>
      </c>
      <c r="J567">
        <v>60.327791781892898</v>
      </c>
      <c r="K567">
        <v>144887.51991938899</v>
      </c>
      <c r="L567">
        <v>755.28499883307495</v>
      </c>
      <c r="M567">
        <v>0.125790444767264</v>
      </c>
      <c r="N567">
        <v>5.5957294910319401E-2</v>
      </c>
      <c r="O567">
        <v>0.62368610248943301</v>
      </c>
      <c r="P567">
        <v>3.9718646898691402E-2</v>
      </c>
      <c r="Q567">
        <v>0.72815119550321705</v>
      </c>
      <c r="R567">
        <v>0</v>
      </c>
      <c r="S567">
        <v>125</v>
      </c>
      <c r="T567">
        <v>150</v>
      </c>
      <c r="U567">
        <v>7423167195.5500002</v>
      </c>
      <c r="V567">
        <v>51234</v>
      </c>
    </row>
    <row r="568" spans="1:22" x14ac:dyDescent="0.25">
      <c r="A568">
        <v>0.97602965316321599</v>
      </c>
      <c r="B568">
        <v>25.259474304186</v>
      </c>
      <c r="C568">
        <v>25.3706669228607</v>
      </c>
      <c r="D568">
        <v>0</v>
      </c>
      <c r="E568">
        <v>4.9575135088999298</v>
      </c>
      <c r="F568">
        <v>3.91543317370426</v>
      </c>
      <c r="G568">
        <v>122.294500643745</v>
      </c>
      <c r="H568">
        <v>25.216404421261299</v>
      </c>
      <c r="I568">
        <v>65.991265789121599</v>
      </c>
      <c r="J568">
        <v>61.7756588850662</v>
      </c>
      <c r="K568">
        <v>154961.898181228</v>
      </c>
      <c r="L568">
        <v>753.34177868284303</v>
      </c>
      <c r="M568">
        <v>0.13373235346770601</v>
      </c>
      <c r="N568">
        <v>5.5442633985269198E-2</v>
      </c>
      <c r="O568">
        <v>0.62171018767505404</v>
      </c>
      <c r="P568">
        <v>4.1464562421903398E-2</v>
      </c>
      <c r="Q568">
        <v>0.74340342886322297</v>
      </c>
      <c r="R568">
        <v>0</v>
      </c>
      <c r="S568">
        <v>125</v>
      </c>
      <c r="T568">
        <v>160</v>
      </c>
      <c r="U568">
        <v>6924317458.3299999</v>
      </c>
      <c r="V568">
        <v>44684</v>
      </c>
    </row>
    <row r="569" spans="1:22" x14ac:dyDescent="0.25">
      <c r="A569">
        <v>0.97512948358304896</v>
      </c>
      <c r="B569">
        <v>26.082468803189101</v>
      </c>
      <c r="C569">
        <v>26.371869169003698</v>
      </c>
      <c r="D569">
        <v>0</v>
      </c>
      <c r="E569">
        <v>4.95224915312855</v>
      </c>
      <c r="F569">
        <v>3.9090581831857398</v>
      </c>
      <c r="G569">
        <v>122.311796888394</v>
      </c>
      <c r="H569">
        <v>25.2771813804092</v>
      </c>
      <c r="I569">
        <v>66.319205478114597</v>
      </c>
      <c r="J569">
        <v>62.071124497095198</v>
      </c>
      <c r="K569">
        <v>165014.81614463701</v>
      </c>
      <c r="L569">
        <v>754.08767921710796</v>
      </c>
      <c r="M569">
        <v>0.13539801026711301</v>
      </c>
      <c r="N569">
        <v>5.6067732253412397E-2</v>
      </c>
      <c r="O569">
        <v>0.61594936954420898</v>
      </c>
      <c r="P569">
        <v>4.3163011364263898E-2</v>
      </c>
      <c r="Q569">
        <v>0.73701288158755895</v>
      </c>
      <c r="R569">
        <v>0</v>
      </c>
      <c r="S569">
        <v>125</v>
      </c>
      <c r="T569">
        <v>170</v>
      </c>
      <c r="U569">
        <v>7002733752.7299995</v>
      </c>
      <c r="V569">
        <v>42437</v>
      </c>
    </row>
    <row r="570" spans="1:22" x14ac:dyDescent="0.25">
      <c r="A570">
        <v>0.96596187012587598</v>
      </c>
      <c r="B570">
        <v>34.0036672313297</v>
      </c>
      <c r="C570">
        <v>37.212398167514799</v>
      </c>
      <c r="D570">
        <v>0</v>
      </c>
      <c r="E570">
        <v>4.9372560757135302</v>
      </c>
      <c r="F570">
        <v>3.8912441549276</v>
      </c>
      <c r="G570">
        <v>122.285924107328</v>
      </c>
      <c r="H570">
        <v>25.367182659238502</v>
      </c>
      <c r="I570">
        <v>66.464780420641901</v>
      </c>
      <c r="J570">
        <v>62.429159889231201</v>
      </c>
      <c r="K570">
        <v>279489.35664295702</v>
      </c>
      <c r="L570">
        <v>752.45359011879805</v>
      </c>
      <c r="M570">
        <v>0.19986952165733099</v>
      </c>
      <c r="N570">
        <v>5.5638346578596197E-2</v>
      </c>
      <c r="O570">
        <v>0.56157623337337303</v>
      </c>
      <c r="P570">
        <v>8.8466646662760398E-2</v>
      </c>
      <c r="Q570">
        <v>0.724965128896224</v>
      </c>
      <c r="R570">
        <v>0</v>
      </c>
      <c r="S570">
        <v>125</v>
      </c>
      <c r="T570">
        <v>175</v>
      </c>
      <c r="U570">
        <v>127587729775.58</v>
      </c>
      <c r="V570">
        <v>456503</v>
      </c>
    </row>
    <row r="571" spans="1:22" x14ac:dyDescent="0.25">
      <c r="A571">
        <v>0.97440905173108605</v>
      </c>
      <c r="B571">
        <v>26.7351413585966</v>
      </c>
      <c r="C571">
        <v>28.097727186697899</v>
      </c>
      <c r="D571">
        <v>0</v>
      </c>
      <c r="E571">
        <v>4.95109281776688</v>
      </c>
      <c r="F571">
        <v>3.9059121718329699</v>
      </c>
      <c r="G571">
        <v>122.288430790482</v>
      </c>
      <c r="H571">
        <v>25.186104755277899</v>
      </c>
      <c r="I571">
        <v>66.430768062334906</v>
      </c>
      <c r="J571">
        <v>62.211843940495598</v>
      </c>
      <c r="K571">
        <v>172488.179808621</v>
      </c>
      <c r="L571">
        <v>754.50890130509094</v>
      </c>
      <c r="M571">
        <v>0.13450789872639299</v>
      </c>
      <c r="N571">
        <v>5.5065475436711503E-2</v>
      </c>
      <c r="O571">
        <v>0.60550792715306601</v>
      </c>
      <c r="P571">
        <v>4.7020511583286899E-2</v>
      </c>
      <c r="Q571">
        <v>0.72224834942803096</v>
      </c>
      <c r="R571">
        <v>0</v>
      </c>
      <c r="S571">
        <v>125</v>
      </c>
      <c r="T571">
        <v>180</v>
      </c>
      <c r="U571">
        <v>3533075387.02</v>
      </c>
      <c r="V571">
        <v>20483</v>
      </c>
    </row>
    <row r="572" spans="1:22" x14ac:dyDescent="0.25">
      <c r="A572">
        <v>0.99288534715556598</v>
      </c>
      <c r="B572">
        <v>8.2113002276654701</v>
      </c>
      <c r="C572">
        <v>92.125020326932002</v>
      </c>
      <c r="D572">
        <v>0</v>
      </c>
      <c r="E572">
        <v>5.0113003202351498</v>
      </c>
      <c r="F572">
        <v>4.0245539255611797</v>
      </c>
      <c r="G572">
        <v>127.175589175143</v>
      </c>
      <c r="H572">
        <v>24.6232946094865</v>
      </c>
      <c r="I572">
        <v>55.210935906689002</v>
      </c>
      <c r="J572">
        <v>4.7145367047157096</v>
      </c>
      <c r="K572">
        <v>5966.01019230769</v>
      </c>
      <c r="L572">
        <v>773.63010760465204</v>
      </c>
      <c r="M572">
        <v>4.5940540149029499E-2</v>
      </c>
      <c r="N572">
        <v>5.19199259987339E-2</v>
      </c>
      <c r="O572">
        <v>0.63242101013713803</v>
      </c>
      <c r="P572">
        <v>2.9387677805301798E-2</v>
      </c>
      <c r="Q572">
        <v>0.44091267458462302</v>
      </c>
      <c r="R572">
        <v>0</v>
      </c>
      <c r="S572">
        <v>130</v>
      </c>
      <c r="T572">
        <v>10</v>
      </c>
      <c r="U572">
        <v>3412557.83</v>
      </c>
      <c r="V572">
        <v>572</v>
      </c>
    </row>
    <row r="573" spans="1:22" x14ac:dyDescent="0.25">
      <c r="A573">
        <v>0.99260564886284397</v>
      </c>
      <c r="B573">
        <v>8.5211052175029902</v>
      </c>
      <c r="C573">
        <v>60.1332504114812</v>
      </c>
      <c r="D573">
        <v>0</v>
      </c>
      <c r="E573">
        <v>5.0750342021343799</v>
      </c>
      <c r="F573">
        <v>4.0662137159454597</v>
      </c>
      <c r="G573">
        <v>127.143563514696</v>
      </c>
      <c r="H573">
        <v>23.817977122113501</v>
      </c>
      <c r="I573">
        <v>49.557531321802998</v>
      </c>
      <c r="J573">
        <v>17.903798476002599</v>
      </c>
      <c r="K573">
        <v>15896.2684582982</v>
      </c>
      <c r="L573">
        <v>769.43416536196605</v>
      </c>
      <c r="M573">
        <v>5.4141738443608499E-2</v>
      </c>
      <c r="N573">
        <v>2.4557790890066902E-2</v>
      </c>
      <c r="O573">
        <v>0.72459329158388497</v>
      </c>
      <c r="P573">
        <v>3.1590835548183198E-2</v>
      </c>
      <c r="Q573">
        <v>0.46777380157207499</v>
      </c>
      <c r="R573">
        <v>0</v>
      </c>
      <c r="S573">
        <v>130</v>
      </c>
      <c r="T573">
        <v>20</v>
      </c>
      <c r="U573">
        <v>18868870.66</v>
      </c>
      <c r="V573">
        <v>1187</v>
      </c>
    </row>
    <row r="574" spans="1:22" x14ac:dyDescent="0.25">
      <c r="A574">
        <v>0.99084758925615501</v>
      </c>
      <c r="B574">
        <v>10.446557546879401</v>
      </c>
      <c r="C574">
        <v>28.9602252733245</v>
      </c>
      <c r="D574">
        <v>0</v>
      </c>
      <c r="E574">
        <v>5.0814583899432897</v>
      </c>
      <c r="F574">
        <v>4.0595191822652703</v>
      </c>
      <c r="G574">
        <v>127.249457256863</v>
      </c>
      <c r="H574">
        <v>23.737066617642</v>
      </c>
      <c r="I574">
        <v>49.037671397138098</v>
      </c>
      <c r="J574">
        <v>33.268274866121899</v>
      </c>
      <c r="K574">
        <v>25964.2512402885</v>
      </c>
      <c r="L574">
        <v>758.01737005669497</v>
      </c>
      <c r="M574">
        <v>5.9161628182440702E-2</v>
      </c>
      <c r="N574">
        <v>2.1608671662813599E-2</v>
      </c>
      <c r="O574">
        <v>0.77782627512039904</v>
      </c>
      <c r="P574">
        <v>2.4389879473856901E-2</v>
      </c>
      <c r="Q574">
        <v>0.504224637059554</v>
      </c>
      <c r="R574">
        <v>0</v>
      </c>
      <c r="S574">
        <v>130</v>
      </c>
      <c r="T574">
        <v>30</v>
      </c>
      <c r="U574">
        <v>93575161.469999999</v>
      </c>
      <c r="V574">
        <v>3604</v>
      </c>
    </row>
    <row r="575" spans="1:22" x14ac:dyDescent="0.25">
      <c r="A575">
        <v>0.98847044060172295</v>
      </c>
      <c r="B575">
        <v>12.990987544458701</v>
      </c>
      <c r="C575">
        <v>19.566907709262399</v>
      </c>
      <c r="D575">
        <v>0</v>
      </c>
      <c r="E575">
        <v>5.0825232214814298</v>
      </c>
      <c r="F575">
        <v>4.0438434855969803</v>
      </c>
      <c r="G575">
        <v>127.282551395502</v>
      </c>
      <c r="H575">
        <v>23.751212360804601</v>
      </c>
      <c r="I575">
        <v>51.880091320489299</v>
      </c>
      <c r="J575">
        <v>42.960051758170003</v>
      </c>
      <c r="K575">
        <v>35811.737251853599</v>
      </c>
      <c r="L575">
        <v>755.67434938819395</v>
      </c>
      <c r="M575">
        <v>6.0480956954665398E-2</v>
      </c>
      <c r="N575">
        <v>3.7481663894800302E-2</v>
      </c>
      <c r="O575">
        <v>0.74715251899866597</v>
      </c>
      <c r="P575">
        <v>3.1927357528649003E-2</v>
      </c>
      <c r="Q575">
        <v>0.55066358284952399</v>
      </c>
      <c r="R575">
        <v>0</v>
      </c>
      <c r="S575">
        <v>130</v>
      </c>
      <c r="T575">
        <v>40</v>
      </c>
      <c r="U575">
        <v>299457746.89999998</v>
      </c>
      <c r="V575">
        <v>8362</v>
      </c>
    </row>
    <row r="576" spans="1:22" x14ac:dyDescent="0.25">
      <c r="A576">
        <v>0.98631614184094096</v>
      </c>
      <c r="B576">
        <v>15.2394650452737</v>
      </c>
      <c r="C576">
        <v>15.1557321770812</v>
      </c>
      <c r="D576">
        <v>0</v>
      </c>
      <c r="E576">
        <v>5.0631182523643803</v>
      </c>
      <c r="F576">
        <v>4.0237922017762404</v>
      </c>
      <c r="G576">
        <v>127.27404328517299</v>
      </c>
      <c r="H576">
        <v>23.657717816902899</v>
      </c>
      <c r="I576">
        <v>53.501271735638902</v>
      </c>
      <c r="J576">
        <v>46.811288285684803</v>
      </c>
      <c r="K576">
        <v>45838.114369277399</v>
      </c>
      <c r="L576">
        <v>754.63904188283504</v>
      </c>
      <c r="M576">
        <v>6.7397208037477299E-2</v>
      </c>
      <c r="N576">
        <v>4.6530066980699898E-2</v>
      </c>
      <c r="O576">
        <v>0.71630035298259898</v>
      </c>
      <c r="P576">
        <v>3.0322886794175101E-2</v>
      </c>
      <c r="Q576">
        <v>0.60209659410932503</v>
      </c>
      <c r="R576">
        <v>0</v>
      </c>
      <c r="S576">
        <v>130</v>
      </c>
      <c r="T576">
        <v>50</v>
      </c>
      <c r="U576">
        <v>785986147.09000003</v>
      </c>
      <c r="V576">
        <v>17147</v>
      </c>
    </row>
    <row r="577" spans="1:22" x14ac:dyDescent="0.25">
      <c r="A577">
        <v>0.98466557418574197</v>
      </c>
      <c r="B577">
        <v>16.9260132500293</v>
      </c>
      <c r="C577">
        <v>13.7568252867555</v>
      </c>
      <c r="D577">
        <v>0</v>
      </c>
      <c r="E577">
        <v>5.0589994592205496</v>
      </c>
      <c r="F577">
        <v>4.0058627473097497</v>
      </c>
      <c r="G577">
        <v>127.29408055737299</v>
      </c>
      <c r="H577">
        <v>23.665487271967201</v>
      </c>
      <c r="I577">
        <v>57.410444943396698</v>
      </c>
      <c r="J577">
        <v>51.775811109609499</v>
      </c>
      <c r="K577">
        <v>55404.142955707903</v>
      </c>
      <c r="L577">
        <v>752.31418753318997</v>
      </c>
      <c r="M577">
        <v>7.8180898021013107E-2</v>
      </c>
      <c r="N577">
        <v>5.6050033475816302E-2</v>
      </c>
      <c r="O577">
        <v>0.70792755638502003</v>
      </c>
      <c r="P577">
        <v>3.0133665038558601E-2</v>
      </c>
      <c r="Q577">
        <v>0.64758911054339496</v>
      </c>
      <c r="R577">
        <v>0</v>
      </c>
      <c r="S577">
        <v>130</v>
      </c>
      <c r="T577">
        <v>60</v>
      </c>
      <c r="U577">
        <v>1462281545.03</v>
      </c>
      <c r="V577">
        <v>26393</v>
      </c>
    </row>
    <row r="578" spans="1:22" x14ac:dyDescent="0.25">
      <c r="A578">
        <v>0.98340997972132405</v>
      </c>
      <c r="B578">
        <v>18.1883155174927</v>
      </c>
      <c r="C578">
        <v>14.253132244642501</v>
      </c>
      <c r="D578">
        <v>0</v>
      </c>
      <c r="E578">
        <v>5.0435750125206704</v>
      </c>
      <c r="F578">
        <v>3.98481734710689</v>
      </c>
      <c r="G578">
        <v>127.285030380363</v>
      </c>
      <c r="H578">
        <v>23.879624560544499</v>
      </c>
      <c r="I578">
        <v>59.711940436846596</v>
      </c>
      <c r="J578">
        <v>54.479151942733203</v>
      </c>
      <c r="K578">
        <v>65219.208028979701</v>
      </c>
      <c r="L578">
        <v>752.44049693889701</v>
      </c>
      <c r="M578">
        <v>8.2475997965363104E-2</v>
      </c>
      <c r="N578">
        <v>5.3455504127156703E-2</v>
      </c>
      <c r="O578">
        <v>0.70548709253210595</v>
      </c>
      <c r="P578">
        <v>3.0967639245856101E-2</v>
      </c>
      <c r="Q578">
        <v>0.67555027472756501</v>
      </c>
      <c r="R578">
        <v>0</v>
      </c>
      <c r="S578">
        <v>130</v>
      </c>
      <c r="T578">
        <v>70</v>
      </c>
      <c r="U578">
        <v>2300020590.3499999</v>
      </c>
      <c r="V578">
        <v>35266</v>
      </c>
    </row>
    <row r="579" spans="1:22" x14ac:dyDescent="0.25">
      <c r="A579">
        <v>0.98233009342871702</v>
      </c>
      <c r="B579">
        <v>19.259881031179201</v>
      </c>
      <c r="C579">
        <v>14.190902614781599</v>
      </c>
      <c r="D579">
        <v>0</v>
      </c>
      <c r="E579">
        <v>5.0213004665601799</v>
      </c>
      <c r="F579">
        <v>3.9626956521947001</v>
      </c>
      <c r="G579">
        <v>127.296054602155</v>
      </c>
      <c r="H579">
        <v>24.2530661759852</v>
      </c>
      <c r="I579">
        <v>59.935454830294297</v>
      </c>
      <c r="J579">
        <v>55.309433704018701</v>
      </c>
      <c r="K579">
        <v>75144.266393611499</v>
      </c>
      <c r="L579">
        <v>753.92627977822303</v>
      </c>
      <c r="M579">
        <v>9.3670239948389702E-2</v>
      </c>
      <c r="N579">
        <v>5.0728720178126498E-2</v>
      </c>
      <c r="O579">
        <v>0.69803261950639195</v>
      </c>
      <c r="P579">
        <v>3.1659322986818499E-2</v>
      </c>
      <c r="Q579">
        <v>0.71362840522035298</v>
      </c>
      <c r="R579">
        <v>0</v>
      </c>
      <c r="S579">
        <v>130</v>
      </c>
      <c r="T579">
        <v>80</v>
      </c>
      <c r="U579">
        <v>3354665484.6100001</v>
      </c>
      <c r="V579">
        <v>44643</v>
      </c>
    </row>
    <row r="580" spans="1:22" x14ac:dyDescent="0.25">
      <c r="A580">
        <v>0.98137910878263002</v>
      </c>
      <c r="B580">
        <v>20.192868035498499</v>
      </c>
      <c r="C580">
        <v>16.348072195128999</v>
      </c>
      <c r="D580">
        <v>0</v>
      </c>
      <c r="E580">
        <v>5.0076035266177898</v>
      </c>
      <c r="F580">
        <v>3.94072432875334</v>
      </c>
      <c r="G580">
        <v>127.284498227745</v>
      </c>
      <c r="H580">
        <v>24.613505654415199</v>
      </c>
      <c r="I580">
        <v>62.515347743888597</v>
      </c>
      <c r="J580">
        <v>57.8370907296406</v>
      </c>
      <c r="K580">
        <v>85075.814844047301</v>
      </c>
      <c r="L580">
        <v>754.25085831136403</v>
      </c>
      <c r="M580">
        <v>0.103414174960929</v>
      </c>
      <c r="N580">
        <v>5.3894372813835002E-2</v>
      </c>
      <c r="O580">
        <v>0.68708350531656004</v>
      </c>
      <c r="P580">
        <v>2.8228945098237101E-2</v>
      </c>
      <c r="Q580">
        <v>0.72111718176588302</v>
      </c>
      <c r="R580">
        <v>0</v>
      </c>
      <c r="S580">
        <v>130</v>
      </c>
      <c r="T580">
        <v>90</v>
      </c>
      <c r="U580">
        <v>4246899601.1999998</v>
      </c>
      <c r="V580">
        <v>49919</v>
      </c>
    </row>
    <row r="581" spans="1:22" x14ac:dyDescent="0.25">
      <c r="A581">
        <v>0.98041598884319503</v>
      </c>
      <c r="B581">
        <v>21.127678749232601</v>
      </c>
      <c r="C581">
        <v>17.333383298485899</v>
      </c>
      <c r="D581">
        <v>0</v>
      </c>
      <c r="E581">
        <v>5.0082672155751498</v>
      </c>
      <c r="F581">
        <v>3.9360765152331498</v>
      </c>
      <c r="G581">
        <v>127.291030242171</v>
      </c>
      <c r="H581">
        <v>24.843580438542801</v>
      </c>
      <c r="I581">
        <v>62.736194336716103</v>
      </c>
      <c r="J581">
        <v>58.404468322742197</v>
      </c>
      <c r="K581">
        <v>95191.400348634997</v>
      </c>
      <c r="L581">
        <v>755.87727410986395</v>
      </c>
      <c r="M581">
        <v>0.10093804199872999</v>
      </c>
      <c r="N581">
        <v>5.3183775455988701E-2</v>
      </c>
      <c r="O581">
        <v>0.66707809109319605</v>
      </c>
      <c r="P581">
        <v>3.2236842104011398E-2</v>
      </c>
      <c r="Q581">
        <v>0.69342404050441397</v>
      </c>
      <c r="R581">
        <v>0</v>
      </c>
      <c r="S581">
        <v>130</v>
      </c>
      <c r="T581">
        <v>100</v>
      </c>
      <c r="U581">
        <v>5750226920.8599997</v>
      </c>
      <c r="V581">
        <v>60407</v>
      </c>
    </row>
    <row r="582" spans="1:22" x14ac:dyDescent="0.25">
      <c r="A582">
        <v>0.97954059183735898</v>
      </c>
      <c r="B582">
        <v>21.968626268657999</v>
      </c>
      <c r="C582">
        <v>18.825964230071602</v>
      </c>
      <c r="D582">
        <v>0</v>
      </c>
      <c r="E582">
        <v>4.9963084645368001</v>
      </c>
      <c r="F582">
        <v>3.9180899968674798</v>
      </c>
      <c r="G582">
        <v>127.284102174973</v>
      </c>
      <c r="H582">
        <v>24.963522111075999</v>
      </c>
      <c r="I582">
        <v>65.064985426196799</v>
      </c>
      <c r="J582">
        <v>60.460110831936902</v>
      </c>
      <c r="K582">
        <v>104960.210992427</v>
      </c>
      <c r="L582">
        <v>753.625302679588</v>
      </c>
      <c r="M582">
        <v>0.119868891748902</v>
      </c>
      <c r="N582">
        <v>5.1349834541367503E-2</v>
      </c>
      <c r="O582">
        <v>0.65814545272171299</v>
      </c>
      <c r="P582">
        <v>3.0909018442722501E-2</v>
      </c>
      <c r="Q582">
        <v>0.72177763175707099</v>
      </c>
      <c r="R582">
        <v>0</v>
      </c>
      <c r="S582">
        <v>130</v>
      </c>
      <c r="T582">
        <v>110</v>
      </c>
      <c r="U582">
        <v>5613796884.9300003</v>
      </c>
      <c r="V582">
        <v>53485</v>
      </c>
    </row>
    <row r="583" spans="1:22" x14ac:dyDescent="0.25">
      <c r="A583">
        <v>0.97867381758609395</v>
      </c>
      <c r="B583">
        <v>22.7931848521924</v>
      </c>
      <c r="C583">
        <v>19.9240842810365</v>
      </c>
      <c r="D583">
        <v>0</v>
      </c>
      <c r="E583">
        <v>4.9869867576904703</v>
      </c>
      <c r="F583">
        <v>3.90774448302296</v>
      </c>
      <c r="G583">
        <v>127.277956217926</v>
      </c>
      <c r="H583">
        <v>25.2707896148655</v>
      </c>
      <c r="I583">
        <v>65.649464182332693</v>
      </c>
      <c r="J583">
        <v>61.072733311593304</v>
      </c>
      <c r="K583">
        <v>115009.545669645</v>
      </c>
      <c r="L583">
        <v>754.83386986465598</v>
      </c>
      <c r="M583">
        <v>0.12533928862124699</v>
      </c>
      <c r="N583">
        <v>4.7677301863491402E-2</v>
      </c>
      <c r="O583">
        <v>0.64449549546248797</v>
      </c>
      <c r="P583">
        <v>3.1729865995472201E-2</v>
      </c>
      <c r="Q583">
        <v>0.72009316482440699</v>
      </c>
      <c r="R583">
        <v>0</v>
      </c>
      <c r="S583">
        <v>130</v>
      </c>
      <c r="T583">
        <v>120</v>
      </c>
      <c r="U583">
        <v>6113332400.0699997</v>
      </c>
      <c r="V583">
        <v>53155</v>
      </c>
    </row>
    <row r="584" spans="1:22" x14ac:dyDescent="0.25">
      <c r="A584">
        <v>0.977852044469119</v>
      </c>
      <c r="B584">
        <v>23.567550628104701</v>
      </c>
      <c r="C584">
        <v>21.186355350701099</v>
      </c>
      <c r="D584">
        <v>0</v>
      </c>
      <c r="E584">
        <v>4.9794337007543996</v>
      </c>
      <c r="F584">
        <v>3.9013494487298401</v>
      </c>
      <c r="G584">
        <v>127.277308846004</v>
      </c>
      <c r="H584">
        <v>25.216133107025001</v>
      </c>
      <c r="I584">
        <v>65.801870968572999</v>
      </c>
      <c r="J584">
        <v>61.314656747630501</v>
      </c>
      <c r="K584">
        <v>124914.44155783601</v>
      </c>
      <c r="L584">
        <v>755.36892300520901</v>
      </c>
      <c r="M584">
        <v>0.120957739623906</v>
      </c>
      <c r="N584">
        <v>5.0087158061544297E-2</v>
      </c>
      <c r="O584">
        <v>0.63392055245258505</v>
      </c>
      <c r="P584">
        <v>3.2252730323262598E-2</v>
      </c>
      <c r="Q584">
        <v>0.72376859532843696</v>
      </c>
      <c r="R584">
        <v>0</v>
      </c>
      <c r="S584">
        <v>130</v>
      </c>
      <c r="T584">
        <v>130</v>
      </c>
      <c r="U584">
        <v>6511789838.4099998</v>
      </c>
      <c r="V584">
        <v>52130</v>
      </c>
    </row>
    <row r="585" spans="1:22" x14ac:dyDescent="0.25">
      <c r="A585">
        <v>0.97715302442014995</v>
      </c>
      <c r="B585">
        <v>24.2206341245471</v>
      </c>
      <c r="C585">
        <v>22.131805979489599</v>
      </c>
      <c r="D585">
        <v>0</v>
      </c>
      <c r="E585">
        <v>4.9767159843808502</v>
      </c>
      <c r="F585">
        <v>3.89567787935305</v>
      </c>
      <c r="G585">
        <v>127.27636195417401</v>
      </c>
      <c r="H585">
        <v>25.351186281398999</v>
      </c>
      <c r="I585">
        <v>66.208983690286999</v>
      </c>
      <c r="J585">
        <v>61.766570189383003</v>
      </c>
      <c r="K585">
        <v>134940.664610473</v>
      </c>
      <c r="L585">
        <v>754.69063830409198</v>
      </c>
      <c r="M585">
        <v>0.12926839808096899</v>
      </c>
      <c r="N585">
        <v>4.9053739115976498E-2</v>
      </c>
      <c r="O585">
        <v>0.63099987801452695</v>
      </c>
      <c r="P585">
        <v>3.5809439082165898E-2</v>
      </c>
      <c r="Q585">
        <v>0.73424264285485197</v>
      </c>
      <c r="R585">
        <v>0</v>
      </c>
      <c r="S585">
        <v>130</v>
      </c>
      <c r="T585">
        <v>140</v>
      </c>
      <c r="U585">
        <v>6467706054.7799997</v>
      </c>
      <c r="V585">
        <v>47930</v>
      </c>
    </row>
    <row r="586" spans="1:22" x14ac:dyDescent="0.25">
      <c r="A586">
        <v>0.97631808469915105</v>
      </c>
      <c r="B586">
        <v>24.9939996159702</v>
      </c>
      <c r="C586">
        <v>24.569820362822401</v>
      </c>
      <c r="D586">
        <v>0</v>
      </c>
      <c r="E586">
        <v>4.9751601620803898</v>
      </c>
      <c r="F586">
        <v>3.8967561446238799</v>
      </c>
      <c r="G586">
        <v>127.284805356661</v>
      </c>
      <c r="H586">
        <v>25.395739191983601</v>
      </c>
      <c r="I586">
        <v>65.433463447365199</v>
      </c>
      <c r="J586">
        <v>61.184440574906901</v>
      </c>
      <c r="K586">
        <v>144882.907639349</v>
      </c>
      <c r="L586">
        <v>755.147434819007</v>
      </c>
      <c r="M586">
        <v>0.127285772032497</v>
      </c>
      <c r="N586">
        <v>5.0650064107886798E-2</v>
      </c>
      <c r="O586">
        <v>0.621127376772726</v>
      </c>
      <c r="P586">
        <v>3.7430910633565503E-2</v>
      </c>
      <c r="Q586">
        <v>0.73547140906921404</v>
      </c>
      <c r="R586">
        <v>0</v>
      </c>
      <c r="S586">
        <v>130</v>
      </c>
      <c r="T586">
        <v>150</v>
      </c>
      <c r="U586">
        <v>6942644051.1700001</v>
      </c>
      <c r="V586">
        <v>47919</v>
      </c>
    </row>
    <row r="587" spans="1:22" x14ac:dyDescent="0.25">
      <c r="A587">
        <v>0.97554017043223196</v>
      </c>
      <c r="B587">
        <v>25.7080277577336</v>
      </c>
      <c r="C587">
        <v>24.593251707122299</v>
      </c>
      <c r="D587">
        <v>0</v>
      </c>
      <c r="E587">
        <v>4.9819017296603603</v>
      </c>
      <c r="F587">
        <v>3.8970887395299298</v>
      </c>
      <c r="G587">
        <v>127.28052045533499</v>
      </c>
      <c r="H587">
        <v>25.530195972022401</v>
      </c>
      <c r="I587">
        <v>66.466758228318895</v>
      </c>
      <c r="J587">
        <v>62.245487564676203</v>
      </c>
      <c r="K587">
        <v>154959.38191735299</v>
      </c>
      <c r="L587">
        <v>754.18525473733598</v>
      </c>
      <c r="M587">
        <v>0.13818856388630199</v>
      </c>
      <c r="N587">
        <v>5.27535056848496E-2</v>
      </c>
      <c r="O587">
        <v>0.61882296207453602</v>
      </c>
      <c r="P587">
        <v>3.9314102596919698E-2</v>
      </c>
      <c r="Q587">
        <v>0.75302193845754695</v>
      </c>
      <c r="R587">
        <v>0</v>
      </c>
      <c r="S587">
        <v>130</v>
      </c>
      <c r="T587">
        <v>160</v>
      </c>
      <c r="U587">
        <v>6487374523.9700003</v>
      </c>
      <c r="V587">
        <v>41865</v>
      </c>
    </row>
    <row r="588" spans="1:22" x14ac:dyDescent="0.25">
      <c r="A588">
        <v>0.97466448152382901</v>
      </c>
      <c r="B588">
        <v>26.504342611208301</v>
      </c>
      <c r="C588">
        <v>27.802949708125102</v>
      </c>
      <c r="D588">
        <v>0</v>
      </c>
      <c r="E588">
        <v>4.9772940220405797</v>
      </c>
      <c r="F588">
        <v>3.8913347795259998</v>
      </c>
      <c r="G588">
        <v>127.283690079115</v>
      </c>
      <c r="H588">
        <v>25.675012057361201</v>
      </c>
      <c r="I588">
        <v>66.955982415998406</v>
      </c>
      <c r="J588">
        <v>62.649582434532903</v>
      </c>
      <c r="K588">
        <v>164993.20506036101</v>
      </c>
      <c r="L588">
        <v>754.77368567377505</v>
      </c>
      <c r="M588">
        <v>0.13855651247471401</v>
      </c>
      <c r="N588">
        <v>5.1523666917259098E-2</v>
      </c>
      <c r="O588">
        <v>0.61757601336507795</v>
      </c>
      <c r="P588">
        <v>4.1163668932628898E-2</v>
      </c>
      <c r="Q588">
        <v>0.74633997965868004</v>
      </c>
      <c r="R588">
        <v>0</v>
      </c>
      <c r="S588">
        <v>130</v>
      </c>
      <c r="T588">
        <v>170</v>
      </c>
      <c r="U588">
        <v>6587518705.2399998</v>
      </c>
      <c r="V588">
        <v>39926</v>
      </c>
    </row>
    <row r="589" spans="1:22" x14ac:dyDescent="0.25">
      <c r="A589">
        <v>0.96525166922894001</v>
      </c>
      <c r="B589">
        <v>34.5835855927808</v>
      </c>
      <c r="C589">
        <v>37.081965123550198</v>
      </c>
      <c r="D589">
        <v>0</v>
      </c>
      <c r="E589">
        <v>4.95857828082345</v>
      </c>
      <c r="F589">
        <v>3.8697079934871899</v>
      </c>
      <c r="G589">
        <v>127.284163592518</v>
      </c>
      <c r="H589">
        <v>25.741224885443199</v>
      </c>
      <c r="I589">
        <v>67.620283028526401</v>
      </c>
      <c r="J589">
        <v>63.416456252770097</v>
      </c>
      <c r="K589">
        <v>278696.70340192999</v>
      </c>
      <c r="L589">
        <v>753.21938833289505</v>
      </c>
      <c r="M589">
        <v>0.196728268747318</v>
      </c>
      <c r="N589">
        <v>5.16591330862314E-2</v>
      </c>
      <c r="O589">
        <v>0.55563383621061702</v>
      </c>
      <c r="P589">
        <v>8.5243723894585302E-2</v>
      </c>
      <c r="Q589">
        <v>0.72708885680194502</v>
      </c>
      <c r="R589">
        <v>0</v>
      </c>
      <c r="S589">
        <v>130</v>
      </c>
      <c r="T589">
        <v>175</v>
      </c>
      <c r="U589">
        <v>118485395181</v>
      </c>
      <c r="V589">
        <v>425141</v>
      </c>
    </row>
    <row r="590" spans="1:22" x14ac:dyDescent="0.25">
      <c r="A590">
        <v>0.97384488532005897</v>
      </c>
      <c r="B590">
        <v>27.242552939561001</v>
      </c>
      <c r="C590">
        <v>28.507389931359899</v>
      </c>
      <c r="D590">
        <v>0</v>
      </c>
      <c r="E590">
        <v>4.9735990754616104</v>
      </c>
      <c r="F590">
        <v>3.8880085502355399</v>
      </c>
      <c r="G590">
        <v>127.28268517814701</v>
      </c>
      <c r="H590">
        <v>25.5761852069251</v>
      </c>
      <c r="I590">
        <v>67.286523567725993</v>
      </c>
      <c r="J590">
        <v>62.981395238738699</v>
      </c>
      <c r="K590">
        <v>172491.56166268801</v>
      </c>
      <c r="L590">
        <v>754.935805221951</v>
      </c>
      <c r="M590">
        <v>0.13558936831385299</v>
      </c>
      <c r="N590">
        <v>4.7908828510000299E-2</v>
      </c>
      <c r="O590">
        <v>0.59565941458224203</v>
      </c>
      <c r="P590">
        <v>4.37557728975616E-2</v>
      </c>
      <c r="Q590">
        <v>0.73331144299024997</v>
      </c>
      <c r="R590">
        <v>0</v>
      </c>
      <c r="S590">
        <v>130</v>
      </c>
      <c r="T590">
        <v>180</v>
      </c>
      <c r="U590">
        <v>3323912393.2399998</v>
      </c>
      <c r="V590">
        <v>19270</v>
      </c>
    </row>
    <row r="591" spans="1:22" x14ac:dyDescent="0.25">
      <c r="A591">
        <v>0.99227324775681702</v>
      </c>
      <c r="B591">
        <v>8.8880393690466803</v>
      </c>
      <c r="C591">
        <v>85.495693296858903</v>
      </c>
      <c r="D591">
        <v>0</v>
      </c>
      <c r="E591">
        <v>4.8974503032570098</v>
      </c>
      <c r="F591">
        <v>3.8797156961645798</v>
      </c>
      <c r="G591">
        <v>132.48284725058599</v>
      </c>
      <c r="H591">
        <v>26.707309944894</v>
      </c>
      <c r="I591">
        <v>55.620414749273898</v>
      </c>
      <c r="J591">
        <v>4.7751452436067403</v>
      </c>
      <c r="K591">
        <v>5852.5385828343296</v>
      </c>
      <c r="L591">
        <v>773.89340380853105</v>
      </c>
      <c r="M591">
        <v>2.2148888676975599E-2</v>
      </c>
      <c r="N591">
        <v>5.4023181567458903E-2</v>
      </c>
      <c r="O591">
        <v>0.61426213657704598</v>
      </c>
      <c r="P591">
        <v>3.5560408484118101E-2</v>
      </c>
      <c r="Q591">
        <v>0.40058944276541097</v>
      </c>
      <c r="R591">
        <v>0</v>
      </c>
      <c r="S591">
        <v>135</v>
      </c>
      <c r="T591">
        <v>10</v>
      </c>
      <c r="U591">
        <v>2932121.83</v>
      </c>
      <c r="V591">
        <v>501</v>
      </c>
    </row>
    <row r="592" spans="1:22" x14ac:dyDescent="0.25">
      <c r="A592">
        <v>0.99182224499434202</v>
      </c>
      <c r="B592">
        <v>9.3837396704476301</v>
      </c>
      <c r="C592">
        <v>64.055576254744693</v>
      </c>
      <c r="D592">
        <v>0</v>
      </c>
      <c r="E592">
        <v>4.9832287710613299</v>
      </c>
      <c r="F592">
        <v>3.9373406593315501</v>
      </c>
      <c r="G592">
        <v>132.530922847912</v>
      </c>
      <c r="H592">
        <v>25.484828494638599</v>
      </c>
      <c r="I592">
        <v>48.884203169648401</v>
      </c>
      <c r="J592">
        <v>16.925984589273298</v>
      </c>
      <c r="K592">
        <v>15929.7381491712</v>
      </c>
      <c r="L592">
        <v>764.89066968226098</v>
      </c>
      <c r="M592">
        <v>4.7122182229977098E-2</v>
      </c>
      <c r="N592">
        <v>2.2850026870675E-2</v>
      </c>
      <c r="O592">
        <v>0.73505002006789599</v>
      </c>
      <c r="P592">
        <v>2.8051618963656801E-2</v>
      </c>
      <c r="Q592">
        <v>0.49422748543466699</v>
      </c>
      <c r="R592">
        <v>0</v>
      </c>
      <c r="S592">
        <v>135</v>
      </c>
      <c r="T592">
        <v>20</v>
      </c>
      <c r="U592">
        <v>17299695.629999999</v>
      </c>
      <c r="V592">
        <v>1086</v>
      </c>
    </row>
    <row r="593" spans="1:22" x14ac:dyDescent="0.25">
      <c r="A593">
        <v>0.99021835857637497</v>
      </c>
      <c r="B593">
        <v>11.1266222741716</v>
      </c>
      <c r="C593">
        <v>30.6621664091562</v>
      </c>
      <c r="D593">
        <v>0</v>
      </c>
      <c r="E593">
        <v>5.0219961027048399</v>
      </c>
      <c r="F593">
        <v>3.96134656029282</v>
      </c>
      <c r="G593">
        <v>132.49966813914099</v>
      </c>
      <c r="H593">
        <v>24.488642072844598</v>
      </c>
      <c r="I593">
        <v>49.610601440901597</v>
      </c>
      <c r="J593">
        <v>33.584349690496602</v>
      </c>
      <c r="K593">
        <v>26072.916993464001</v>
      </c>
      <c r="L593">
        <v>757.83050065904604</v>
      </c>
      <c r="M593">
        <v>5.6694535466893903E-2</v>
      </c>
      <c r="N593">
        <v>2.6986614401933201E-2</v>
      </c>
      <c r="O593">
        <v>0.76887591100045705</v>
      </c>
      <c r="P593">
        <v>1.9519424386029799E-2</v>
      </c>
      <c r="Q593">
        <v>0.52030342654279005</v>
      </c>
      <c r="R593">
        <v>0</v>
      </c>
      <c r="S593">
        <v>135</v>
      </c>
      <c r="T593">
        <v>30</v>
      </c>
      <c r="U593">
        <v>83772282.299999997</v>
      </c>
      <c r="V593">
        <v>3213</v>
      </c>
    </row>
    <row r="594" spans="1:22" x14ac:dyDescent="0.25">
      <c r="A594">
        <v>0.98788011981484403</v>
      </c>
      <c r="B594">
        <v>13.6124914666582</v>
      </c>
      <c r="C594">
        <v>20.073947239189199</v>
      </c>
      <c r="D594">
        <v>0</v>
      </c>
      <c r="E594">
        <v>5.0465057128789201</v>
      </c>
      <c r="F594">
        <v>3.9670221843290898</v>
      </c>
      <c r="G594">
        <v>132.52291275058801</v>
      </c>
      <c r="H594">
        <v>24.4104339462552</v>
      </c>
      <c r="I594">
        <v>52.074537283565498</v>
      </c>
      <c r="J594">
        <v>42.794512673691102</v>
      </c>
      <c r="K594">
        <v>35837.071013795699</v>
      </c>
      <c r="L594">
        <v>754.53300189397896</v>
      </c>
      <c r="M594">
        <v>7.1577154115233896E-2</v>
      </c>
      <c r="N594">
        <v>3.7845710090365102E-2</v>
      </c>
      <c r="O594">
        <v>0.75404105216714301</v>
      </c>
      <c r="P594">
        <v>2.8907145840689701E-2</v>
      </c>
      <c r="Q594">
        <v>0.56358992342925296</v>
      </c>
      <c r="R594">
        <v>0</v>
      </c>
      <c r="S594">
        <v>135</v>
      </c>
      <c r="T594">
        <v>40</v>
      </c>
      <c r="U594">
        <v>283148698.07999998</v>
      </c>
      <c r="V594">
        <v>7901</v>
      </c>
    </row>
    <row r="595" spans="1:22" x14ac:dyDescent="0.25">
      <c r="A595">
        <v>0.98578994412085796</v>
      </c>
      <c r="B595">
        <v>15.780510595200701</v>
      </c>
      <c r="C595">
        <v>14.705634703782099</v>
      </c>
      <c r="D595">
        <v>0</v>
      </c>
      <c r="E595">
        <v>5.03438526769422</v>
      </c>
      <c r="F595">
        <v>3.9507782840482002</v>
      </c>
      <c r="G595">
        <v>132.52095854290101</v>
      </c>
      <c r="H595">
        <v>24.388416908329098</v>
      </c>
      <c r="I595">
        <v>53.872847493661901</v>
      </c>
      <c r="J595">
        <v>47.018194814857402</v>
      </c>
      <c r="K595">
        <v>45822.508929678399</v>
      </c>
      <c r="L595">
        <v>755.15180226433699</v>
      </c>
      <c r="M595">
        <v>6.4777119527086202E-2</v>
      </c>
      <c r="N595">
        <v>4.43777566578272E-2</v>
      </c>
      <c r="O595">
        <v>0.72469162175480895</v>
      </c>
      <c r="P595">
        <v>3.1024472123436401E-2</v>
      </c>
      <c r="Q595">
        <v>0.61294144336689305</v>
      </c>
      <c r="R595">
        <v>0</v>
      </c>
      <c r="S595">
        <v>135</v>
      </c>
      <c r="T595">
        <v>50</v>
      </c>
      <c r="U595">
        <v>753917739.41999996</v>
      </c>
      <c r="V595">
        <v>16453</v>
      </c>
    </row>
    <row r="596" spans="1:22" x14ac:dyDescent="0.25">
      <c r="A596">
        <v>0.98423596436652105</v>
      </c>
      <c r="B596">
        <v>17.3599134534401</v>
      </c>
      <c r="C596">
        <v>13.4041402096772</v>
      </c>
      <c r="D596">
        <v>0</v>
      </c>
      <c r="E596">
        <v>5.0333676978977397</v>
      </c>
      <c r="F596">
        <v>3.93902014020611</v>
      </c>
      <c r="G596">
        <v>132.50224252336699</v>
      </c>
      <c r="H596">
        <v>24.345354447422999</v>
      </c>
      <c r="I596">
        <v>57.763790114852398</v>
      </c>
      <c r="J596">
        <v>51.778850812104899</v>
      </c>
      <c r="K596">
        <v>55393.439914569703</v>
      </c>
      <c r="L596">
        <v>753.773710530318</v>
      </c>
      <c r="M596">
        <v>7.8134073351342107E-2</v>
      </c>
      <c r="N596">
        <v>5.58456074881791E-2</v>
      </c>
      <c r="O596">
        <v>0.71077062501681099</v>
      </c>
      <c r="P596">
        <v>3.1923597454385402E-2</v>
      </c>
      <c r="Q596">
        <v>0.65066677503850501</v>
      </c>
      <c r="R596">
        <v>0</v>
      </c>
      <c r="S596">
        <v>135</v>
      </c>
      <c r="T596">
        <v>60</v>
      </c>
      <c r="U596">
        <v>1426491864.6800001</v>
      </c>
      <c r="V596">
        <v>25752</v>
      </c>
    </row>
    <row r="597" spans="1:22" x14ac:dyDescent="0.25">
      <c r="A597">
        <v>0.983001892612961</v>
      </c>
      <c r="B597">
        <v>18.594781192151299</v>
      </c>
      <c r="C597">
        <v>13.732058962341799</v>
      </c>
      <c r="D597">
        <v>0</v>
      </c>
      <c r="E597">
        <v>5.0220118839643302</v>
      </c>
      <c r="F597">
        <v>3.9210406163391802</v>
      </c>
      <c r="G597">
        <v>132.505594286649</v>
      </c>
      <c r="H597">
        <v>24.359323181519599</v>
      </c>
      <c r="I597">
        <v>59.674271660863198</v>
      </c>
      <c r="J597">
        <v>54.235735237492698</v>
      </c>
      <c r="K597">
        <v>65235.683057606999</v>
      </c>
      <c r="L597">
        <v>754.00828578912001</v>
      </c>
      <c r="M597">
        <v>8.7865163450539505E-2</v>
      </c>
      <c r="N597">
        <v>4.99080785675017E-2</v>
      </c>
      <c r="O597">
        <v>0.71461721389775101</v>
      </c>
      <c r="P597">
        <v>3.27597701850392E-2</v>
      </c>
      <c r="Q597">
        <v>0.689937958021836</v>
      </c>
      <c r="R597">
        <v>0</v>
      </c>
      <c r="S597">
        <v>135</v>
      </c>
      <c r="T597">
        <v>70</v>
      </c>
      <c r="U597">
        <v>2296556986.3600001</v>
      </c>
      <c r="V597">
        <v>35204</v>
      </c>
    </row>
    <row r="598" spans="1:22" x14ac:dyDescent="0.25">
      <c r="A598">
        <v>0.98187867889095803</v>
      </c>
      <c r="B598">
        <v>19.703991862303099</v>
      </c>
      <c r="C598">
        <v>14.618393554797301</v>
      </c>
      <c r="D598">
        <v>0</v>
      </c>
      <c r="E598">
        <v>5.0076180625346396</v>
      </c>
      <c r="F598">
        <v>3.9058601973681601</v>
      </c>
      <c r="G598">
        <v>132.500064113429</v>
      </c>
      <c r="H598">
        <v>24.907003345331901</v>
      </c>
      <c r="I598">
        <v>59.968306641054902</v>
      </c>
      <c r="J598">
        <v>55.169608225537402</v>
      </c>
      <c r="K598">
        <v>75115.044577741894</v>
      </c>
      <c r="L598">
        <v>755.70321260712205</v>
      </c>
      <c r="M598">
        <v>9.4256824740352296E-2</v>
      </c>
      <c r="N598">
        <v>4.8922102384980001E-2</v>
      </c>
      <c r="O598">
        <v>0.69548197818900004</v>
      </c>
      <c r="P598">
        <v>3.0954720668761E-2</v>
      </c>
      <c r="Q598">
        <v>0.71571465892160802</v>
      </c>
      <c r="R598">
        <v>0</v>
      </c>
      <c r="S598">
        <v>135</v>
      </c>
      <c r="T598">
        <v>80</v>
      </c>
      <c r="U598">
        <v>3263373111.6799998</v>
      </c>
      <c r="V598">
        <v>43445</v>
      </c>
    </row>
    <row r="599" spans="1:22" x14ac:dyDescent="0.25">
      <c r="A599">
        <v>0.98097794304925401</v>
      </c>
      <c r="B599">
        <v>20.5834694301717</v>
      </c>
      <c r="C599">
        <v>15.9937492877387</v>
      </c>
      <c r="D599">
        <v>0</v>
      </c>
      <c r="E599">
        <v>5.0016894147024704</v>
      </c>
      <c r="F599">
        <v>3.8907272590425701</v>
      </c>
      <c r="G599">
        <v>132.49710913639501</v>
      </c>
      <c r="H599">
        <v>25.208811786839199</v>
      </c>
      <c r="I599">
        <v>62.2989047105265</v>
      </c>
      <c r="J599">
        <v>57.505350358202698</v>
      </c>
      <c r="K599">
        <v>85095.455588037905</v>
      </c>
      <c r="L599">
        <v>757.17620806803802</v>
      </c>
      <c r="M599">
        <v>0.100412107088704</v>
      </c>
      <c r="N599">
        <v>4.9722104763629399E-2</v>
      </c>
      <c r="O599">
        <v>0.68871536691401003</v>
      </c>
      <c r="P599">
        <v>2.97004234599502E-2</v>
      </c>
      <c r="Q599">
        <v>0.72961910201430402</v>
      </c>
      <c r="R599">
        <v>0</v>
      </c>
      <c r="S599">
        <v>135</v>
      </c>
      <c r="T599">
        <v>90</v>
      </c>
      <c r="U599">
        <v>4185760364.9200001</v>
      </c>
      <c r="V599">
        <v>49189</v>
      </c>
    </row>
    <row r="600" spans="1:22" x14ac:dyDescent="0.25">
      <c r="A600">
        <v>0.97998842365749095</v>
      </c>
      <c r="B600">
        <v>21.539450352313899</v>
      </c>
      <c r="C600">
        <v>18.022305399986699</v>
      </c>
      <c r="D600">
        <v>0</v>
      </c>
      <c r="E600">
        <v>5.0026478161233996</v>
      </c>
      <c r="F600">
        <v>3.8867187592482799</v>
      </c>
      <c r="G600">
        <v>132.495063344952</v>
      </c>
      <c r="H600">
        <v>25.434037724213798</v>
      </c>
      <c r="I600">
        <v>62.529462865224197</v>
      </c>
      <c r="J600">
        <v>58.013027356507898</v>
      </c>
      <c r="K600">
        <v>95154.470943370194</v>
      </c>
      <c r="L600">
        <v>757.889057741221</v>
      </c>
      <c r="M600">
        <v>0.101345300494082</v>
      </c>
      <c r="N600">
        <v>4.9118556383393401E-2</v>
      </c>
      <c r="O600">
        <v>0.67184560021206996</v>
      </c>
      <c r="P600">
        <v>3.3963543259957603E-2</v>
      </c>
      <c r="Q600">
        <v>0.700061351704794</v>
      </c>
      <c r="R600">
        <v>0</v>
      </c>
      <c r="S600">
        <v>135</v>
      </c>
      <c r="T600">
        <v>100</v>
      </c>
      <c r="U600">
        <v>5531519704.8800001</v>
      </c>
      <c r="V600">
        <v>58132</v>
      </c>
    </row>
    <row r="601" spans="1:22" x14ac:dyDescent="0.25">
      <c r="A601">
        <v>0.97917906126601995</v>
      </c>
      <c r="B601">
        <v>22.3135250679458</v>
      </c>
      <c r="C601">
        <v>20.049047701820001</v>
      </c>
      <c r="D601">
        <v>0</v>
      </c>
      <c r="E601">
        <v>4.99999472776424</v>
      </c>
      <c r="F601">
        <v>3.8788029746141399</v>
      </c>
      <c r="G601">
        <v>132.493281768407</v>
      </c>
      <c r="H601">
        <v>25.514461683621601</v>
      </c>
      <c r="I601">
        <v>64.414325885574698</v>
      </c>
      <c r="J601">
        <v>59.8321316919955</v>
      </c>
      <c r="K601">
        <v>104907.76360569699</v>
      </c>
      <c r="L601">
        <v>756.31563685302797</v>
      </c>
      <c r="M601">
        <v>0.122557705666202</v>
      </c>
      <c r="N601">
        <v>4.69571707564434E-2</v>
      </c>
      <c r="O601">
        <v>0.66475735372493405</v>
      </c>
      <c r="P601">
        <v>3.2046199455194997E-2</v>
      </c>
      <c r="Q601">
        <v>0.73529102793837497</v>
      </c>
      <c r="R601">
        <v>0</v>
      </c>
      <c r="S601">
        <v>135</v>
      </c>
      <c r="T601">
        <v>110</v>
      </c>
      <c r="U601">
        <v>5442509868.1000004</v>
      </c>
      <c r="V601">
        <v>51879</v>
      </c>
    </row>
    <row r="602" spans="1:22" x14ac:dyDescent="0.25">
      <c r="A602">
        <v>0.97827325428123701</v>
      </c>
      <c r="B602">
        <v>23.171533918318101</v>
      </c>
      <c r="C602">
        <v>20.142835319999801</v>
      </c>
      <c r="D602">
        <v>0</v>
      </c>
      <c r="E602">
        <v>4.9937798692276099</v>
      </c>
      <c r="F602">
        <v>3.8701801940651301</v>
      </c>
      <c r="G602">
        <v>132.49477917754999</v>
      </c>
      <c r="H602">
        <v>25.7515532067859</v>
      </c>
      <c r="I602">
        <v>64.910557570137698</v>
      </c>
      <c r="J602">
        <v>60.364662038142399</v>
      </c>
      <c r="K602">
        <v>115007.613738709</v>
      </c>
      <c r="L602">
        <v>756.989135827984</v>
      </c>
      <c r="M602">
        <v>0.125307143075893</v>
      </c>
      <c r="N602">
        <v>4.6491187984368999E-2</v>
      </c>
      <c r="O602">
        <v>0.65079571311701301</v>
      </c>
      <c r="P602">
        <v>3.4157265229230002E-2</v>
      </c>
      <c r="Q602">
        <v>0.73392986779713798</v>
      </c>
      <c r="R602">
        <v>0</v>
      </c>
      <c r="S602">
        <v>135</v>
      </c>
      <c r="T602">
        <v>120</v>
      </c>
      <c r="U602">
        <v>5844341907.3599997</v>
      </c>
      <c r="V602">
        <v>50817</v>
      </c>
    </row>
    <row r="603" spans="1:22" x14ac:dyDescent="0.25">
      <c r="A603">
        <v>0.97743404789098398</v>
      </c>
      <c r="B603">
        <v>23.958695650142001</v>
      </c>
      <c r="C603">
        <v>23.253216736399299</v>
      </c>
      <c r="D603">
        <v>0</v>
      </c>
      <c r="E603">
        <v>4.9859462197317104</v>
      </c>
      <c r="F603">
        <v>3.8614118566490401</v>
      </c>
      <c r="G603">
        <v>132.49379536336301</v>
      </c>
      <c r="H603">
        <v>25.751815086908799</v>
      </c>
      <c r="I603">
        <v>64.961351622987706</v>
      </c>
      <c r="J603">
        <v>60.5338933379902</v>
      </c>
      <c r="K603">
        <v>124902.44570086501</v>
      </c>
      <c r="L603">
        <v>756.80995200105394</v>
      </c>
      <c r="M603">
        <v>0.12552614944697599</v>
      </c>
      <c r="N603">
        <v>4.7170747683173198E-2</v>
      </c>
      <c r="O603">
        <v>0.64058289515682998</v>
      </c>
      <c r="P603">
        <v>3.4099023681151398E-2</v>
      </c>
      <c r="Q603">
        <v>0.73785163756529604</v>
      </c>
      <c r="R603">
        <v>0</v>
      </c>
      <c r="S603">
        <v>135</v>
      </c>
      <c r="T603">
        <v>130</v>
      </c>
      <c r="U603">
        <v>6262358822.5500002</v>
      </c>
      <c r="V603">
        <v>50138</v>
      </c>
    </row>
    <row r="604" spans="1:22" x14ac:dyDescent="0.25">
      <c r="A604">
        <v>0.97677948423065997</v>
      </c>
      <c r="B604">
        <v>24.567525948230902</v>
      </c>
      <c r="C604">
        <v>23.1316320916542</v>
      </c>
      <c r="D604">
        <v>0</v>
      </c>
      <c r="E604">
        <v>4.98774873291205</v>
      </c>
      <c r="F604">
        <v>3.8617325592624199</v>
      </c>
      <c r="G604">
        <v>132.507753259868</v>
      </c>
      <c r="H604">
        <v>25.8787315904795</v>
      </c>
      <c r="I604">
        <v>65.400083055398994</v>
      </c>
      <c r="J604">
        <v>61.109529769962201</v>
      </c>
      <c r="K604">
        <v>134946.94422358499</v>
      </c>
      <c r="L604">
        <v>757.30541575088398</v>
      </c>
      <c r="M604">
        <v>0.131230125116331</v>
      </c>
      <c r="N604">
        <v>4.5949617370529001E-2</v>
      </c>
      <c r="O604">
        <v>0.63822438260496095</v>
      </c>
      <c r="P604">
        <v>3.8309863448699001E-2</v>
      </c>
      <c r="Q604">
        <v>0.75147682644297098</v>
      </c>
      <c r="R604">
        <v>0</v>
      </c>
      <c r="S604">
        <v>135</v>
      </c>
      <c r="T604">
        <v>140</v>
      </c>
      <c r="U604">
        <v>6249258040.0500002</v>
      </c>
      <c r="V604">
        <v>46309</v>
      </c>
    </row>
    <row r="605" spans="1:22" x14ac:dyDescent="0.25">
      <c r="A605">
        <v>0.97588085743407005</v>
      </c>
      <c r="B605">
        <v>25.3960900429967</v>
      </c>
      <c r="C605">
        <v>24.175766044494299</v>
      </c>
      <c r="D605">
        <v>0</v>
      </c>
      <c r="E605">
        <v>4.98252264194943</v>
      </c>
      <c r="F605">
        <v>3.85936259343076</v>
      </c>
      <c r="G605">
        <v>132.498483126374</v>
      </c>
      <c r="H605">
        <v>25.9341034689125</v>
      </c>
      <c r="I605">
        <v>64.576022820039398</v>
      </c>
      <c r="J605">
        <v>60.466916862886897</v>
      </c>
      <c r="K605">
        <v>144852.23453034399</v>
      </c>
      <c r="L605">
        <v>757.85745461072395</v>
      </c>
      <c r="M605">
        <v>0.12816376927652801</v>
      </c>
      <c r="N605">
        <v>4.8536249557086297E-2</v>
      </c>
      <c r="O605">
        <v>0.61964226323967397</v>
      </c>
      <c r="P605">
        <v>4.15925916345899E-2</v>
      </c>
      <c r="Q605">
        <v>0.74911375585255302</v>
      </c>
      <c r="R605">
        <v>0</v>
      </c>
      <c r="S605">
        <v>135</v>
      </c>
      <c r="T605">
        <v>150</v>
      </c>
      <c r="U605">
        <v>6597150169.4499998</v>
      </c>
      <c r="V605">
        <v>45544</v>
      </c>
    </row>
    <row r="606" spans="1:22" x14ac:dyDescent="0.25">
      <c r="A606">
        <v>0.97517171939963598</v>
      </c>
      <c r="B606">
        <v>26.044040538998601</v>
      </c>
      <c r="C606">
        <v>26.276149248002199</v>
      </c>
      <c r="D606">
        <v>0</v>
      </c>
      <c r="E606">
        <v>4.9943122091110004</v>
      </c>
      <c r="F606">
        <v>3.8641886599510502</v>
      </c>
      <c r="G606">
        <v>132.483007024041</v>
      </c>
      <c r="H606">
        <v>26.093994951345898</v>
      </c>
      <c r="I606">
        <v>65.680526571397095</v>
      </c>
      <c r="J606">
        <v>61.519363193798</v>
      </c>
      <c r="K606">
        <v>154942.62043483599</v>
      </c>
      <c r="L606">
        <v>756.03434797206899</v>
      </c>
      <c r="M606">
        <v>0.14004197320569101</v>
      </c>
      <c r="N606">
        <v>4.95219193238189E-2</v>
      </c>
      <c r="O606">
        <v>0.62863711565601799</v>
      </c>
      <c r="P606">
        <v>4.3313329717363597E-2</v>
      </c>
      <c r="Q606">
        <v>0.76311878276765299</v>
      </c>
      <c r="R606">
        <v>0</v>
      </c>
      <c r="S606">
        <v>135</v>
      </c>
      <c r="T606">
        <v>160</v>
      </c>
      <c r="U606">
        <v>6221411038.3199997</v>
      </c>
      <c r="V606">
        <v>40153</v>
      </c>
    </row>
    <row r="607" spans="1:22" x14ac:dyDescent="0.25">
      <c r="A607">
        <v>0.97420099285234596</v>
      </c>
      <c r="B607">
        <v>26.922645966120399</v>
      </c>
      <c r="C607">
        <v>27.132512144999499</v>
      </c>
      <c r="D607">
        <v>0</v>
      </c>
      <c r="E607">
        <v>4.9892792838316398</v>
      </c>
      <c r="F607">
        <v>3.85702364476743</v>
      </c>
      <c r="G607">
        <v>132.486194533391</v>
      </c>
      <c r="H607">
        <v>26.225090992345301</v>
      </c>
      <c r="I607">
        <v>66.104513958617005</v>
      </c>
      <c r="J607">
        <v>61.937299280439397</v>
      </c>
      <c r="K607">
        <v>164995.278664994</v>
      </c>
      <c r="L607">
        <v>756.841203286422</v>
      </c>
      <c r="M607">
        <v>0.13693373878703199</v>
      </c>
      <c r="N607">
        <v>4.8814006692596598E-2</v>
      </c>
      <c r="O607">
        <v>0.61628078456884605</v>
      </c>
      <c r="P607">
        <v>4.4622381910647303E-2</v>
      </c>
      <c r="Q607">
        <v>0.75557738638633198</v>
      </c>
      <c r="R607">
        <v>0</v>
      </c>
      <c r="S607">
        <v>135</v>
      </c>
      <c r="T607">
        <v>170</v>
      </c>
      <c r="U607">
        <v>6247546226.6499996</v>
      </c>
      <c r="V607">
        <v>37865</v>
      </c>
    </row>
    <row r="608" spans="1:22" x14ac:dyDescent="0.25">
      <c r="A608">
        <v>0.96478858374953302</v>
      </c>
      <c r="B608">
        <v>34.9592006123275</v>
      </c>
      <c r="C608">
        <v>37.476372580051802</v>
      </c>
      <c r="D608">
        <v>0</v>
      </c>
      <c r="E608">
        <v>4.9759276317264396</v>
      </c>
      <c r="F608">
        <v>3.8408026068264101</v>
      </c>
      <c r="G608">
        <v>132.503848526724</v>
      </c>
      <c r="H608">
        <v>26.127486110167801</v>
      </c>
      <c r="I608">
        <v>66.580387855663702</v>
      </c>
      <c r="J608">
        <v>62.433787898071898</v>
      </c>
      <c r="K608">
        <v>278422.49254458502</v>
      </c>
      <c r="L608">
        <v>754.57747255178595</v>
      </c>
      <c r="M608">
        <v>0.20301032223219101</v>
      </c>
      <c r="N608">
        <v>4.9867164335458798E-2</v>
      </c>
      <c r="O608">
        <v>0.56330216573256797</v>
      </c>
      <c r="P608">
        <v>9.0066766896967507E-2</v>
      </c>
      <c r="Q608">
        <v>0.74238684916003395</v>
      </c>
      <c r="R608">
        <v>0</v>
      </c>
      <c r="S608">
        <v>135</v>
      </c>
      <c r="T608">
        <v>175</v>
      </c>
      <c r="U608">
        <v>110735029002.31</v>
      </c>
      <c r="V608">
        <v>397723</v>
      </c>
    </row>
    <row r="609" spans="1:22" x14ac:dyDescent="0.25">
      <c r="A609">
        <v>0.97345542184387901</v>
      </c>
      <c r="B609">
        <v>27.590954911154402</v>
      </c>
      <c r="C609">
        <v>25.774254782565301</v>
      </c>
      <c r="D609">
        <v>0</v>
      </c>
      <c r="E609">
        <v>4.9868220251350204</v>
      </c>
      <c r="F609">
        <v>3.8537222991843199</v>
      </c>
      <c r="G609">
        <v>132.49849741528499</v>
      </c>
      <c r="H609">
        <v>25.969012381360699</v>
      </c>
      <c r="I609">
        <v>66.296359486508706</v>
      </c>
      <c r="J609">
        <v>62.097768081486301</v>
      </c>
      <c r="K609">
        <v>172515.63475622301</v>
      </c>
      <c r="L609">
        <v>756.34694801113596</v>
      </c>
      <c r="M609">
        <v>0.14121673948687</v>
      </c>
      <c r="N609">
        <v>4.9600405246217102E-2</v>
      </c>
      <c r="O609">
        <v>0.60780271873901404</v>
      </c>
      <c r="P609">
        <v>4.9041225218128599E-2</v>
      </c>
      <c r="Q609">
        <v>0.74607861454768198</v>
      </c>
      <c r="R609">
        <v>0</v>
      </c>
      <c r="S609">
        <v>135</v>
      </c>
      <c r="T609">
        <v>180</v>
      </c>
      <c r="U609">
        <v>3166869507.2199998</v>
      </c>
      <c r="V609">
        <v>18357</v>
      </c>
    </row>
    <row r="610" spans="1:22" x14ac:dyDescent="0.25">
      <c r="A610">
        <v>0.99304191219348203</v>
      </c>
      <c r="B610">
        <v>8.0374629794153591</v>
      </c>
      <c r="C610">
        <v>89.657763330353106</v>
      </c>
      <c r="D610">
        <v>0</v>
      </c>
      <c r="E610">
        <v>5.1065230474387198</v>
      </c>
      <c r="F610">
        <v>4.0082250320248303</v>
      </c>
      <c r="G610">
        <v>137.532034311746</v>
      </c>
      <c r="H610">
        <v>26.083262906658199</v>
      </c>
      <c r="I610">
        <v>56.942953188750302</v>
      </c>
      <c r="J610">
        <v>4.8438909930140204</v>
      </c>
      <c r="K610">
        <v>5707.1731539888597</v>
      </c>
      <c r="L610">
        <v>774.06420950911297</v>
      </c>
      <c r="M610">
        <v>4.1786579856362902E-2</v>
      </c>
      <c r="N610">
        <v>3.98185588358611E-2</v>
      </c>
      <c r="O610">
        <v>0.61986016536368405</v>
      </c>
      <c r="P610">
        <v>2.8675770597879201E-2</v>
      </c>
      <c r="Q610">
        <v>0.41024142215352799</v>
      </c>
      <c r="R610">
        <v>0</v>
      </c>
      <c r="S610">
        <v>140</v>
      </c>
      <c r="T610">
        <v>10</v>
      </c>
      <c r="U610">
        <v>3076166.33</v>
      </c>
      <c r="V610">
        <v>539</v>
      </c>
    </row>
    <row r="611" spans="1:22" x14ac:dyDescent="0.25">
      <c r="A611">
        <v>0.99237837110239702</v>
      </c>
      <c r="B611">
        <v>8.7721409264130497</v>
      </c>
      <c r="C611">
        <v>67.583955969009907</v>
      </c>
      <c r="D611">
        <v>0</v>
      </c>
      <c r="E611">
        <v>5.1327619876719499</v>
      </c>
      <c r="F611">
        <v>4.0217960566622803</v>
      </c>
      <c r="G611">
        <v>137.54341329655901</v>
      </c>
      <c r="H611">
        <v>25.5678639896235</v>
      </c>
      <c r="I611">
        <v>51.554074761051297</v>
      </c>
      <c r="J611">
        <v>17.1558272795688</v>
      </c>
      <c r="K611">
        <v>15857.9581395348</v>
      </c>
      <c r="L611">
        <v>768.805024668991</v>
      </c>
      <c r="M611">
        <v>6.4153213008677198E-2</v>
      </c>
      <c r="N611">
        <v>2.8476216078772602E-2</v>
      </c>
      <c r="O611">
        <v>0.68742388649744901</v>
      </c>
      <c r="P611">
        <v>2.7144851080892499E-2</v>
      </c>
      <c r="Q611">
        <v>0.434224131245595</v>
      </c>
      <c r="R611">
        <v>0</v>
      </c>
      <c r="S611">
        <v>140</v>
      </c>
      <c r="T611">
        <v>20</v>
      </c>
      <c r="U611">
        <v>18411089.399999999</v>
      </c>
      <c r="V611">
        <v>1161</v>
      </c>
    </row>
    <row r="612" spans="1:22" x14ac:dyDescent="0.25">
      <c r="A612">
        <v>0.99036825159000696</v>
      </c>
      <c r="B612">
        <v>10.965050700151</v>
      </c>
      <c r="C612">
        <v>30.69409509898</v>
      </c>
      <c r="D612">
        <v>0</v>
      </c>
      <c r="E612">
        <v>5.1302948975902503</v>
      </c>
      <c r="F612">
        <v>4.0119031698837304</v>
      </c>
      <c r="G612">
        <v>137.569447570557</v>
      </c>
      <c r="H612">
        <v>24.764153746714499</v>
      </c>
      <c r="I612">
        <v>50.389020622236004</v>
      </c>
      <c r="J612">
        <v>33.137708472710699</v>
      </c>
      <c r="K612">
        <v>25931.547059859098</v>
      </c>
      <c r="L612">
        <v>761.030145302861</v>
      </c>
      <c r="M612">
        <v>5.0184317556021603E-2</v>
      </c>
      <c r="N612">
        <v>2.7354569366011199E-2</v>
      </c>
      <c r="O612">
        <v>0.75215023370240597</v>
      </c>
      <c r="P612">
        <v>2.9729950788440599E-2</v>
      </c>
      <c r="Q612">
        <v>0.48538042902539102</v>
      </c>
      <c r="R612">
        <v>0</v>
      </c>
      <c r="S612">
        <v>140</v>
      </c>
      <c r="T612">
        <v>30</v>
      </c>
      <c r="U612">
        <v>88374712.379999995</v>
      </c>
      <c r="V612">
        <v>3408</v>
      </c>
    </row>
    <row r="613" spans="1:22" x14ac:dyDescent="0.25">
      <c r="A613">
        <v>0.98777116137695697</v>
      </c>
      <c r="B613">
        <v>13.7267596652975</v>
      </c>
      <c r="C613">
        <v>20.0988006687816</v>
      </c>
      <c r="D613">
        <v>0</v>
      </c>
      <c r="E613">
        <v>5.1375523814644497</v>
      </c>
      <c r="F613">
        <v>3.9987954263826402</v>
      </c>
      <c r="G613">
        <v>137.56564318890199</v>
      </c>
      <c r="H613">
        <v>24.3848236254805</v>
      </c>
      <c r="I613">
        <v>52.188922178432598</v>
      </c>
      <c r="J613">
        <v>42.911924128548897</v>
      </c>
      <c r="K613">
        <v>35748.1072028505</v>
      </c>
      <c r="L613">
        <v>756.83666767500699</v>
      </c>
      <c r="M613">
        <v>6.4371065679740103E-2</v>
      </c>
      <c r="N613">
        <v>3.69951776603753E-2</v>
      </c>
      <c r="O613">
        <v>0.73504986894200897</v>
      </c>
      <c r="P613">
        <v>3.15234115928879E-2</v>
      </c>
      <c r="Q613">
        <v>0.53311932755226998</v>
      </c>
      <c r="R613">
        <v>0</v>
      </c>
      <c r="S613">
        <v>140</v>
      </c>
      <c r="T613">
        <v>40</v>
      </c>
      <c r="U613">
        <v>280908626.39999998</v>
      </c>
      <c r="V613">
        <v>7858</v>
      </c>
    </row>
    <row r="614" spans="1:22" x14ac:dyDescent="0.25">
      <c r="A614">
        <v>0.98558624892425095</v>
      </c>
      <c r="B614">
        <v>15.9891021637888</v>
      </c>
      <c r="C614">
        <v>15.605335195895499</v>
      </c>
      <c r="D614">
        <v>0</v>
      </c>
      <c r="E614">
        <v>5.1322136396004998</v>
      </c>
      <c r="F614">
        <v>3.9888811994251698</v>
      </c>
      <c r="G614">
        <v>137.57611069168601</v>
      </c>
      <c r="H614">
        <v>24.5092095006707</v>
      </c>
      <c r="I614">
        <v>53.035153659854302</v>
      </c>
      <c r="J614">
        <v>46.625291361447303</v>
      </c>
      <c r="K614">
        <v>45837.2699668731</v>
      </c>
      <c r="L614">
        <v>756.16499273146599</v>
      </c>
      <c r="M614">
        <v>6.7899334038672599E-2</v>
      </c>
      <c r="N614">
        <v>5.18249717103242E-2</v>
      </c>
      <c r="O614">
        <v>0.70340584607824597</v>
      </c>
      <c r="P614">
        <v>3.0886289190039901E-2</v>
      </c>
      <c r="Q614">
        <v>0.59266589763146305</v>
      </c>
      <c r="R614">
        <v>0</v>
      </c>
      <c r="S614">
        <v>140</v>
      </c>
      <c r="T614">
        <v>50</v>
      </c>
      <c r="U614">
        <v>747193337.73000002</v>
      </c>
      <c r="V614">
        <v>16301</v>
      </c>
    </row>
    <row r="615" spans="1:22" x14ac:dyDescent="0.25">
      <c r="A615">
        <v>0.98402453973130199</v>
      </c>
      <c r="B615">
        <v>17.5726858727825</v>
      </c>
      <c r="C615">
        <v>15.803341065847899</v>
      </c>
      <c r="D615">
        <v>0</v>
      </c>
      <c r="E615">
        <v>5.1207129082308098</v>
      </c>
      <c r="F615">
        <v>3.9701149880505699</v>
      </c>
      <c r="G615">
        <v>137.58179212732699</v>
      </c>
      <c r="H615">
        <v>24.5369619160961</v>
      </c>
      <c r="I615">
        <v>56.960196170238902</v>
      </c>
      <c r="J615">
        <v>51.365858355078501</v>
      </c>
      <c r="K615">
        <v>55396.116608278302</v>
      </c>
      <c r="L615">
        <v>754.87903339399998</v>
      </c>
      <c r="M615">
        <v>7.4851582923708804E-2</v>
      </c>
      <c r="N615">
        <v>5.5409965298192997E-2</v>
      </c>
      <c r="O615">
        <v>0.696524688464352</v>
      </c>
      <c r="P615">
        <v>3.0103106134544699E-2</v>
      </c>
      <c r="Q615">
        <v>0.64841572347257204</v>
      </c>
      <c r="R615">
        <v>0</v>
      </c>
      <c r="S615">
        <v>140</v>
      </c>
      <c r="T615">
        <v>60</v>
      </c>
      <c r="U615">
        <v>1419968657.02</v>
      </c>
      <c r="V615">
        <v>25633</v>
      </c>
    </row>
    <row r="616" spans="1:22" x14ac:dyDescent="0.25">
      <c r="A616">
        <v>0.982761474083783</v>
      </c>
      <c r="B616">
        <v>18.833377083401999</v>
      </c>
      <c r="C616">
        <v>14.814533239942399</v>
      </c>
      <c r="D616">
        <v>0</v>
      </c>
      <c r="E616">
        <v>5.0996374690464501</v>
      </c>
      <c r="F616">
        <v>3.9445142193546299</v>
      </c>
      <c r="G616">
        <v>137.60405448436401</v>
      </c>
      <c r="H616">
        <v>24.661682072970301</v>
      </c>
      <c r="I616">
        <v>59.099060772981701</v>
      </c>
      <c r="J616">
        <v>53.872212702527598</v>
      </c>
      <c r="K616">
        <v>65195.896197132999</v>
      </c>
      <c r="L616">
        <v>755.04059161382099</v>
      </c>
      <c r="M616">
        <v>8.7177375741126106E-2</v>
      </c>
      <c r="N616">
        <v>5.0980088351365097E-2</v>
      </c>
      <c r="O616">
        <v>0.70145141398245803</v>
      </c>
      <c r="P616">
        <v>3.08512047070886E-2</v>
      </c>
      <c r="Q616">
        <v>0.67799186571246695</v>
      </c>
      <c r="R616">
        <v>0</v>
      </c>
      <c r="S616">
        <v>140</v>
      </c>
      <c r="T616">
        <v>70</v>
      </c>
      <c r="U616">
        <v>2201274239.1999998</v>
      </c>
      <c r="V616">
        <v>33764</v>
      </c>
    </row>
    <row r="617" spans="1:22" x14ac:dyDescent="0.25">
      <c r="A617">
        <v>0.98171173282357205</v>
      </c>
      <c r="B617">
        <v>19.867668793883201</v>
      </c>
      <c r="C617">
        <v>14.777020485717999</v>
      </c>
      <c r="D617">
        <v>0</v>
      </c>
      <c r="E617">
        <v>5.0921326919206296</v>
      </c>
      <c r="F617">
        <v>3.9368760656795998</v>
      </c>
      <c r="G617">
        <v>137.607815135001</v>
      </c>
      <c r="H617">
        <v>25.273794579389101</v>
      </c>
      <c r="I617">
        <v>59.181213392398398</v>
      </c>
      <c r="J617">
        <v>54.767567446804499</v>
      </c>
      <c r="K617">
        <v>75092.262875150598</v>
      </c>
      <c r="L617">
        <v>756.92540381204401</v>
      </c>
      <c r="M617">
        <v>9.7085615780509907E-2</v>
      </c>
      <c r="N617">
        <v>4.4335734130266799E-2</v>
      </c>
      <c r="O617">
        <v>0.69234303610279802</v>
      </c>
      <c r="P617">
        <v>3.02640631474527E-2</v>
      </c>
      <c r="Q617">
        <v>0.71698333622943999</v>
      </c>
      <c r="R617">
        <v>0</v>
      </c>
      <c r="S617">
        <v>140</v>
      </c>
      <c r="T617">
        <v>80</v>
      </c>
      <c r="U617">
        <v>3115577986.6900001</v>
      </c>
      <c r="V617">
        <v>41490</v>
      </c>
    </row>
    <row r="618" spans="1:22" x14ac:dyDescent="0.25">
      <c r="A618">
        <v>0.98069541275899297</v>
      </c>
      <c r="B618">
        <v>20.857506996273798</v>
      </c>
      <c r="C618">
        <v>16.652077510639899</v>
      </c>
      <c r="D618">
        <v>0</v>
      </c>
      <c r="E618">
        <v>5.0761721018180097</v>
      </c>
      <c r="F618">
        <v>3.91047255206347</v>
      </c>
      <c r="G618">
        <v>137.631813916195</v>
      </c>
      <c r="H618">
        <v>25.5530805432401</v>
      </c>
      <c r="I618">
        <v>62.264215594306599</v>
      </c>
      <c r="J618">
        <v>57.657399872520301</v>
      </c>
      <c r="K618">
        <v>85061.943123550896</v>
      </c>
      <c r="L618">
        <v>756.96983785138298</v>
      </c>
      <c r="M618">
        <v>0.101327007932815</v>
      </c>
      <c r="N618">
        <v>4.6618914502541998E-2</v>
      </c>
      <c r="O618">
        <v>0.68121546437148395</v>
      </c>
      <c r="P618">
        <v>3.0604860064955199E-2</v>
      </c>
      <c r="Q618">
        <v>0.72078678540228902</v>
      </c>
      <c r="R618">
        <v>0</v>
      </c>
      <c r="S618">
        <v>140</v>
      </c>
      <c r="T618">
        <v>90</v>
      </c>
      <c r="U618">
        <v>3815538520.75</v>
      </c>
      <c r="V618">
        <v>44856</v>
      </c>
    </row>
    <row r="619" spans="1:22" x14ac:dyDescent="0.25">
      <c r="A619">
        <v>0.97976968256987995</v>
      </c>
      <c r="B619">
        <v>21.749348654033</v>
      </c>
      <c r="C619">
        <v>19.6782332717682</v>
      </c>
      <c r="D619">
        <v>0</v>
      </c>
      <c r="E619">
        <v>5.0727536230547399</v>
      </c>
      <c r="F619">
        <v>3.9060407106337101</v>
      </c>
      <c r="G619">
        <v>137.63743703649999</v>
      </c>
      <c r="H619">
        <v>25.846924937171998</v>
      </c>
      <c r="I619">
        <v>61.908684673470901</v>
      </c>
      <c r="J619">
        <v>57.641787878014902</v>
      </c>
      <c r="K619">
        <v>95176.5854634235</v>
      </c>
      <c r="L619">
        <v>758.25022217652497</v>
      </c>
      <c r="M619">
        <v>0.104351336825331</v>
      </c>
      <c r="N619">
        <v>4.94572880362655E-2</v>
      </c>
      <c r="O619">
        <v>0.66647559585552596</v>
      </c>
      <c r="P619">
        <v>3.35769909403833E-2</v>
      </c>
      <c r="Q619">
        <v>0.702170866396301</v>
      </c>
      <c r="R619">
        <v>0</v>
      </c>
      <c r="S619">
        <v>140</v>
      </c>
      <c r="T619">
        <v>100</v>
      </c>
      <c r="U619">
        <v>5204255693.1400003</v>
      </c>
      <c r="V619">
        <v>54680</v>
      </c>
    </row>
    <row r="620" spans="1:22" x14ac:dyDescent="0.25">
      <c r="A620">
        <v>0.97883471113189002</v>
      </c>
      <c r="B620">
        <v>22.640733857436999</v>
      </c>
      <c r="C620">
        <v>19.112214105042799</v>
      </c>
      <c r="D620">
        <v>0</v>
      </c>
      <c r="E620">
        <v>5.0567503764214603</v>
      </c>
      <c r="F620">
        <v>3.8837590164351701</v>
      </c>
      <c r="G620">
        <v>137.648353953738</v>
      </c>
      <c r="H620">
        <v>25.992058529503701</v>
      </c>
      <c r="I620">
        <v>64.591252238256601</v>
      </c>
      <c r="J620">
        <v>60.013769115201598</v>
      </c>
      <c r="K620">
        <v>104915.01213672099</v>
      </c>
      <c r="L620">
        <v>756.54075881243898</v>
      </c>
      <c r="M620">
        <v>0.122165569195896</v>
      </c>
      <c r="N620">
        <v>4.47422793807907E-2</v>
      </c>
      <c r="O620">
        <v>0.65397652368083503</v>
      </c>
      <c r="P620">
        <v>3.0748206029397401E-2</v>
      </c>
      <c r="Q620">
        <v>0.72251481793803096</v>
      </c>
      <c r="R620">
        <v>0</v>
      </c>
      <c r="S620">
        <v>140</v>
      </c>
      <c r="T620">
        <v>110</v>
      </c>
      <c r="U620">
        <v>4921877964.3699999</v>
      </c>
      <c r="V620">
        <v>46913</v>
      </c>
    </row>
    <row r="621" spans="1:22" x14ac:dyDescent="0.25">
      <c r="A621">
        <v>0.977953123608443</v>
      </c>
      <c r="B621">
        <v>23.472688178839899</v>
      </c>
      <c r="C621">
        <v>22.056146040442801</v>
      </c>
      <c r="D621">
        <v>0</v>
      </c>
      <c r="E621">
        <v>5.0513869620047096</v>
      </c>
      <c r="F621">
        <v>3.8777839253058399</v>
      </c>
      <c r="G621">
        <v>137.66396410218499</v>
      </c>
      <c r="H621">
        <v>26.146832268668501</v>
      </c>
      <c r="I621">
        <v>65.048570811913805</v>
      </c>
      <c r="J621">
        <v>60.499442324001599</v>
      </c>
      <c r="K621">
        <v>115006.73026875001</v>
      </c>
      <c r="L621">
        <v>757.118949916411</v>
      </c>
      <c r="M621">
        <v>0.12573414901837701</v>
      </c>
      <c r="N621">
        <v>4.5618155458063997E-2</v>
      </c>
      <c r="O621">
        <v>0.64314893958243102</v>
      </c>
      <c r="P621">
        <v>3.2316528519587197E-2</v>
      </c>
      <c r="Q621">
        <v>0.723292210496841</v>
      </c>
      <c r="R621">
        <v>0</v>
      </c>
      <c r="S621">
        <v>140</v>
      </c>
      <c r="T621">
        <v>120</v>
      </c>
      <c r="U621">
        <v>5400486039.96</v>
      </c>
      <c r="V621">
        <v>46958</v>
      </c>
    </row>
    <row r="622" spans="1:22" x14ac:dyDescent="0.25">
      <c r="A622">
        <v>0.977145802263784</v>
      </c>
      <c r="B622">
        <v>24.227354891945701</v>
      </c>
      <c r="C622">
        <v>23.2939181809007</v>
      </c>
      <c r="D622">
        <v>0</v>
      </c>
      <c r="E622">
        <v>5.0408439451332496</v>
      </c>
      <c r="F622">
        <v>3.8672980850837302</v>
      </c>
      <c r="G622">
        <v>137.67197105724301</v>
      </c>
      <c r="H622">
        <v>26.128431975946999</v>
      </c>
      <c r="I622">
        <v>65.268351907224499</v>
      </c>
      <c r="J622">
        <v>60.774489123265397</v>
      </c>
      <c r="K622">
        <v>124864.088287422</v>
      </c>
      <c r="L622">
        <v>757.31125770592098</v>
      </c>
      <c r="M622">
        <v>0.12778939638568301</v>
      </c>
      <c r="N622">
        <v>4.8084708688356202E-2</v>
      </c>
      <c r="O622">
        <v>0.63525735564427299</v>
      </c>
      <c r="P622">
        <v>3.4883033220975301E-2</v>
      </c>
      <c r="Q622">
        <v>0.72677649694485003</v>
      </c>
      <c r="R622">
        <v>0</v>
      </c>
      <c r="S622">
        <v>140</v>
      </c>
      <c r="T622">
        <v>130</v>
      </c>
      <c r="U622">
        <v>5575431270.21</v>
      </c>
      <c r="V622">
        <v>44652</v>
      </c>
    </row>
    <row r="623" spans="1:22" x14ac:dyDescent="0.25">
      <c r="A623">
        <v>0.97644639385779297</v>
      </c>
      <c r="B623">
        <v>24.875625290573701</v>
      </c>
      <c r="C623">
        <v>24.075081786342999</v>
      </c>
      <c r="D623">
        <v>0</v>
      </c>
      <c r="E623">
        <v>5.0405322802258503</v>
      </c>
      <c r="F623">
        <v>3.8657580629091801</v>
      </c>
      <c r="G623">
        <v>137.67323302063099</v>
      </c>
      <c r="H623">
        <v>26.248713810326201</v>
      </c>
      <c r="I623">
        <v>65.647868726016796</v>
      </c>
      <c r="J623">
        <v>61.160967586578202</v>
      </c>
      <c r="K623">
        <v>134926.64592240599</v>
      </c>
      <c r="L623">
        <v>757.27793516517897</v>
      </c>
      <c r="M623">
        <v>0.136010511520645</v>
      </c>
      <c r="N623">
        <v>4.5950041641580099E-2</v>
      </c>
      <c r="O623">
        <v>0.62867772145993095</v>
      </c>
      <c r="P623">
        <v>3.78072165173476E-2</v>
      </c>
      <c r="Q623">
        <v>0.73795623595238602</v>
      </c>
      <c r="R623">
        <v>0</v>
      </c>
      <c r="S623">
        <v>140</v>
      </c>
      <c r="T623">
        <v>140</v>
      </c>
      <c r="U623">
        <v>5679197453.5200005</v>
      </c>
      <c r="V623">
        <v>42091</v>
      </c>
    </row>
    <row r="624" spans="1:22" x14ac:dyDescent="0.25">
      <c r="A624">
        <v>0.97559583796417904</v>
      </c>
      <c r="B624">
        <v>25.657139656023901</v>
      </c>
      <c r="C624">
        <v>25.8927548789353</v>
      </c>
      <c r="D624">
        <v>0</v>
      </c>
      <c r="E624">
        <v>5.0374985898573001</v>
      </c>
      <c r="F624">
        <v>3.8649034437041898</v>
      </c>
      <c r="G624">
        <v>137.68506048303399</v>
      </c>
      <c r="H624">
        <v>26.368892134047101</v>
      </c>
      <c r="I624">
        <v>64.885804606986298</v>
      </c>
      <c r="J624">
        <v>60.644260977051303</v>
      </c>
      <c r="K624">
        <v>144898.08834407799</v>
      </c>
      <c r="L624">
        <v>757.40445179954497</v>
      </c>
      <c r="M624">
        <v>0.13032579061371199</v>
      </c>
      <c r="N624">
        <v>4.62131834238678E-2</v>
      </c>
      <c r="O624">
        <v>0.62077359204770699</v>
      </c>
      <c r="P624">
        <v>4.0847314015715099E-2</v>
      </c>
      <c r="Q624">
        <v>0.73970267822394598</v>
      </c>
      <c r="R624">
        <v>0</v>
      </c>
      <c r="S624">
        <v>140</v>
      </c>
      <c r="T624">
        <v>150</v>
      </c>
      <c r="U624">
        <v>5978205328.8999996</v>
      </c>
      <c r="V624">
        <v>41258</v>
      </c>
    </row>
    <row r="625" spans="1:22" x14ac:dyDescent="0.25">
      <c r="A625">
        <v>0.97479585428683702</v>
      </c>
      <c r="B625">
        <v>26.385378736531202</v>
      </c>
      <c r="C625">
        <v>25.915754115186299</v>
      </c>
      <c r="D625">
        <v>0</v>
      </c>
      <c r="E625">
        <v>5.0425968308458096</v>
      </c>
      <c r="F625">
        <v>3.8623552603745899</v>
      </c>
      <c r="G625">
        <v>137.68246529280299</v>
      </c>
      <c r="H625">
        <v>26.443755859359101</v>
      </c>
      <c r="I625">
        <v>66.281670277319606</v>
      </c>
      <c r="J625">
        <v>62.036581083087</v>
      </c>
      <c r="K625">
        <v>154929.86205834601</v>
      </c>
      <c r="L625">
        <v>755.99498542739605</v>
      </c>
      <c r="M625">
        <v>0.14642459514098799</v>
      </c>
      <c r="N625">
        <v>4.8078250864516898E-2</v>
      </c>
      <c r="O625">
        <v>0.62410376751475005</v>
      </c>
      <c r="P625">
        <v>4.2888405387865397E-2</v>
      </c>
      <c r="Q625">
        <v>0.75198483657986503</v>
      </c>
      <c r="R625">
        <v>0</v>
      </c>
      <c r="S625">
        <v>140</v>
      </c>
      <c r="T625">
        <v>160</v>
      </c>
      <c r="U625">
        <v>5539052428.3100004</v>
      </c>
      <c r="V625">
        <v>35752</v>
      </c>
    </row>
    <row r="626" spans="1:22" x14ac:dyDescent="0.25">
      <c r="A626">
        <v>0.97383198651175096</v>
      </c>
      <c r="B626">
        <v>27.254116374506001</v>
      </c>
      <c r="C626">
        <v>26.6866816619332</v>
      </c>
      <c r="D626">
        <v>0</v>
      </c>
      <c r="E626">
        <v>5.0377706430098401</v>
      </c>
      <c r="F626">
        <v>3.8571391516543598</v>
      </c>
      <c r="G626">
        <v>137.69292865376801</v>
      </c>
      <c r="H626">
        <v>26.6627304343098</v>
      </c>
      <c r="I626">
        <v>66.636707392218696</v>
      </c>
      <c r="J626">
        <v>62.333031996514997</v>
      </c>
      <c r="K626">
        <v>164993.37804489699</v>
      </c>
      <c r="L626">
        <v>756.839586175504</v>
      </c>
      <c r="M626">
        <v>0.13894708744369499</v>
      </c>
      <c r="N626">
        <v>4.6235647113257797E-2</v>
      </c>
      <c r="O626">
        <v>0.60773799005478402</v>
      </c>
      <c r="P626">
        <v>4.35185855292375E-2</v>
      </c>
      <c r="Q626">
        <v>0.74385398059535701</v>
      </c>
      <c r="R626">
        <v>0</v>
      </c>
      <c r="S626">
        <v>140</v>
      </c>
      <c r="T626">
        <v>170</v>
      </c>
      <c r="U626">
        <v>5585850813.71</v>
      </c>
      <c r="V626">
        <v>33855</v>
      </c>
    </row>
    <row r="627" spans="1:22" x14ac:dyDescent="0.25">
      <c r="A627">
        <v>0.96438039089419203</v>
      </c>
      <c r="B627">
        <v>35.288650987762601</v>
      </c>
      <c r="C627">
        <v>37.567277691435002</v>
      </c>
      <c r="D627">
        <v>0</v>
      </c>
      <c r="E627">
        <v>5.0172391875163802</v>
      </c>
      <c r="F627">
        <v>3.8357388440392599</v>
      </c>
      <c r="G627">
        <v>137.72109594980799</v>
      </c>
      <c r="H627">
        <v>26.6114469608973</v>
      </c>
      <c r="I627">
        <v>67.241680628747204</v>
      </c>
      <c r="J627">
        <v>62.890747710642998</v>
      </c>
      <c r="K627">
        <v>277201.18123740499</v>
      </c>
      <c r="L627">
        <v>754.54610537696897</v>
      </c>
      <c r="M627">
        <v>0.201746550177717</v>
      </c>
      <c r="N627">
        <v>4.7624490372728999E-2</v>
      </c>
      <c r="O627">
        <v>0.55512678277364202</v>
      </c>
      <c r="P627">
        <v>8.9678485466282695E-2</v>
      </c>
      <c r="Q627">
        <v>0.72797796913986901</v>
      </c>
      <c r="R627">
        <v>0</v>
      </c>
      <c r="S627">
        <v>140</v>
      </c>
      <c r="T627">
        <v>175</v>
      </c>
      <c r="U627">
        <v>96318817243.380005</v>
      </c>
      <c r="V627">
        <v>347469</v>
      </c>
    </row>
    <row r="628" spans="1:22" x14ac:dyDescent="0.25">
      <c r="A628">
        <v>0.97305796476376805</v>
      </c>
      <c r="B628">
        <v>27.944930413094902</v>
      </c>
      <c r="C628">
        <v>28.647270272113399</v>
      </c>
      <c r="D628">
        <v>0</v>
      </c>
      <c r="E628">
        <v>5.0319162146473797</v>
      </c>
      <c r="F628">
        <v>3.8519144691779799</v>
      </c>
      <c r="G628">
        <v>137.69167987205199</v>
      </c>
      <c r="H628">
        <v>26.433020757575399</v>
      </c>
      <c r="I628">
        <v>66.974843392035098</v>
      </c>
      <c r="J628">
        <v>62.564643132377597</v>
      </c>
      <c r="K628">
        <v>172498.580443346</v>
      </c>
      <c r="L628">
        <v>756.46744397832094</v>
      </c>
      <c r="M628">
        <v>0.13922491426216299</v>
      </c>
      <c r="N628">
        <v>4.5068187040236497E-2</v>
      </c>
      <c r="O628">
        <v>0.59766594434531894</v>
      </c>
      <c r="P628">
        <v>4.6226392608106001E-2</v>
      </c>
      <c r="Q628">
        <v>0.72817965667992302</v>
      </c>
      <c r="R628">
        <v>0</v>
      </c>
      <c r="S628">
        <v>140</v>
      </c>
      <c r="T628">
        <v>180</v>
      </c>
      <c r="U628">
        <v>2828631722.1100001</v>
      </c>
      <c r="V628">
        <v>16398</v>
      </c>
    </row>
    <row r="629" spans="1:22" x14ac:dyDescent="0.25">
      <c r="A629">
        <v>0.99275353515017895</v>
      </c>
      <c r="B629">
        <v>8.3574200884069008</v>
      </c>
      <c r="C629">
        <v>90.478053575177498</v>
      </c>
      <c r="D629">
        <v>0</v>
      </c>
      <c r="E629">
        <v>5.0941272871143699</v>
      </c>
      <c r="F629">
        <v>3.9627779576639899</v>
      </c>
      <c r="G629">
        <v>141.944649291823</v>
      </c>
      <c r="H629">
        <v>26.330537532866899</v>
      </c>
      <c r="I629">
        <v>54.973530882023702</v>
      </c>
      <c r="J629">
        <v>5.5955801106944296</v>
      </c>
      <c r="K629">
        <v>5640.68495555555</v>
      </c>
      <c r="L629">
        <v>775.42813710610699</v>
      </c>
      <c r="M629">
        <v>4.1647006754573598E-2</v>
      </c>
      <c r="N629">
        <v>3.6775762256422199E-2</v>
      </c>
      <c r="O629">
        <v>0.63298614447623602</v>
      </c>
      <c r="P629">
        <v>3.03711303020122E-2</v>
      </c>
      <c r="Q629">
        <v>0.41655733039166698</v>
      </c>
      <c r="R629">
        <v>0</v>
      </c>
      <c r="S629">
        <v>145</v>
      </c>
      <c r="T629">
        <v>10</v>
      </c>
      <c r="U629">
        <v>2538308.23</v>
      </c>
      <c r="V629">
        <v>450</v>
      </c>
    </row>
    <row r="630" spans="1:22" x14ac:dyDescent="0.25">
      <c r="A630">
        <v>0.99220526646398499</v>
      </c>
      <c r="B630">
        <v>8.9629168345612094</v>
      </c>
      <c r="C630">
        <v>63.359545674363702</v>
      </c>
      <c r="D630">
        <v>0</v>
      </c>
      <c r="E630">
        <v>5.1520326064536501</v>
      </c>
      <c r="F630">
        <v>4.0056092001886201</v>
      </c>
      <c r="G630">
        <v>142.09805639053499</v>
      </c>
      <c r="H630">
        <v>25.502698191663701</v>
      </c>
      <c r="I630">
        <v>49.218144172199104</v>
      </c>
      <c r="J630">
        <v>18.143558879545701</v>
      </c>
      <c r="K630">
        <v>15911.154925521299</v>
      </c>
      <c r="L630">
        <v>767.09310935849305</v>
      </c>
      <c r="M630">
        <v>6.9782119300498699E-2</v>
      </c>
      <c r="N630">
        <v>2.5331064055020999E-2</v>
      </c>
      <c r="O630">
        <v>0.72415047126184695</v>
      </c>
      <c r="P630">
        <v>3.2559946649783802E-2</v>
      </c>
      <c r="Q630">
        <v>0.48225381250127303</v>
      </c>
      <c r="R630">
        <v>0</v>
      </c>
      <c r="S630">
        <v>145</v>
      </c>
      <c r="T630">
        <v>20</v>
      </c>
      <c r="U630">
        <v>16022533.01</v>
      </c>
      <c r="V630">
        <v>1007</v>
      </c>
    </row>
    <row r="631" spans="1:22" x14ac:dyDescent="0.25">
      <c r="A631">
        <v>0.98998900662599498</v>
      </c>
      <c r="B631">
        <v>11.3733234529918</v>
      </c>
      <c r="C631">
        <v>33.155429682841202</v>
      </c>
      <c r="D631">
        <v>0</v>
      </c>
      <c r="E631">
        <v>5.1452612605320303</v>
      </c>
      <c r="F631">
        <v>3.9875489274950202</v>
      </c>
      <c r="G631">
        <v>142.22231174809099</v>
      </c>
      <c r="H631">
        <v>24.920302235668998</v>
      </c>
      <c r="I631">
        <v>48.964139185174403</v>
      </c>
      <c r="J631">
        <v>32.4503507224156</v>
      </c>
      <c r="K631">
        <v>25940.5749365786</v>
      </c>
      <c r="L631">
        <v>759.11795121300202</v>
      </c>
      <c r="M631">
        <v>5.6765668047882599E-2</v>
      </c>
      <c r="N631">
        <v>2.5218654240557199E-2</v>
      </c>
      <c r="O631">
        <v>0.76566750802898298</v>
      </c>
      <c r="P631">
        <v>2.2545303638346802E-2</v>
      </c>
      <c r="Q631">
        <v>0.52778298777655697</v>
      </c>
      <c r="R631">
        <v>0</v>
      </c>
      <c r="S631">
        <v>145</v>
      </c>
      <c r="T631">
        <v>30</v>
      </c>
      <c r="U631">
        <v>75668657.090000004</v>
      </c>
      <c r="V631">
        <v>2917</v>
      </c>
    </row>
    <row r="632" spans="1:22" x14ac:dyDescent="0.25">
      <c r="A632">
        <v>0.98748136712923296</v>
      </c>
      <c r="B632">
        <v>14.0300021987231</v>
      </c>
      <c r="C632">
        <v>19.243025447593901</v>
      </c>
      <c r="D632">
        <v>0</v>
      </c>
      <c r="E632">
        <v>5.1568384857885796</v>
      </c>
      <c r="F632">
        <v>3.97896508373899</v>
      </c>
      <c r="G632">
        <v>142.23850560214299</v>
      </c>
      <c r="H632">
        <v>24.4786848613759</v>
      </c>
      <c r="I632">
        <v>51.5831544968201</v>
      </c>
      <c r="J632">
        <v>42.433793077087202</v>
      </c>
      <c r="K632">
        <v>35760.627599591397</v>
      </c>
      <c r="L632">
        <v>756.55483915469097</v>
      </c>
      <c r="M632">
        <v>6.8534376866893898E-2</v>
      </c>
      <c r="N632">
        <v>3.8619834837791897E-2</v>
      </c>
      <c r="O632">
        <v>0.73842974470909595</v>
      </c>
      <c r="P632">
        <v>3.18334288855203E-2</v>
      </c>
      <c r="Q632">
        <v>0.55547242245529105</v>
      </c>
      <c r="R632">
        <v>0</v>
      </c>
      <c r="S632">
        <v>145</v>
      </c>
      <c r="T632">
        <v>40</v>
      </c>
      <c r="U632">
        <v>245067580.94</v>
      </c>
      <c r="V632">
        <v>6853</v>
      </c>
    </row>
    <row r="633" spans="1:22" x14ac:dyDescent="0.25">
      <c r="A633">
        <v>0.98537339553080805</v>
      </c>
      <c r="B633">
        <v>16.206565986830299</v>
      </c>
      <c r="C633">
        <v>16.894080353496602</v>
      </c>
      <c r="D633">
        <v>0</v>
      </c>
      <c r="E633">
        <v>5.1437366334601604</v>
      </c>
      <c r="F633">
        <v>3.9620838289218701</v>
      </c>
      <c r="G633">
        <v>142.254595928105</v>
      </c>
      <c r="H633">
        <v>24.717851677870001</v>
      </c>
      <c r="I633">
        <v>52.306590359005497</v>
      </c>
      <c r="J633">
        <v>46.007095997980102</v>
      </c>
      <c r="K633">
        <v>45857.031490601701</v>
      </c>
      <c r="L633">
        <v>755.50629327925003</v>
      </c>
      <c r="M633">
        <v>7.2284650359730598E-2</v>
      </c>
      <c r="N633">
        <v>4.9812729302450197E-2</v>
      </c>
      <c r="O633">
        <v>0.71559917301819798</v>
      </c>
      <c r="P633">
        <v>2.84707159493503E-2</v>
      </c>
      <c r="Q633">
        <v>0.62403486390580898</v>
      </c>
      <c r="R633">
        <v>0</v>
      </c>
      <c r="S633">
        <v>145</v>
      </c>
      <c r="T633">
        <v>50</v>
      </c>
      <c r="U633">
        <v>629433614.24000001</v>
      </c>
      <c r="V633">
        <v>13726</v>
      </c>
    </row>
    <row r="634" spans="1:22" x14ac:dyDescent="0.25">
      <c r="A634">
        <v>0.98377419699930502</v>
      </c>
      <c r="B634">
        <v>17.823975094772301</v>
      </c>
      <c r="C634">
        <v>14.2864099059066</v>
      </c>
      <c r="D634">
        <v>0</v>
      </c>
      <c r="E634">
        <v>5.1314104985933398</v>
      </c>
      <c r="F634">
        <v>3.94005850120694</v>
      </c>
      <c r="G634">
        <v>142.304580332309</v>
      </c>
      <c r="H634">
        <v>24.820029489043499</v>
      </c>
      <c r="I634">
        <v>56.5642681068353</v>
      </c>
      <c r="J634">
        <v>50.8425063575039</v>
      </c>
      <c r="K634">
        <v>55399.663160290103</v>
      </c>
      <c r="L634">
        <v>753.62188373619995</v>
      </c>
      <c r="M634">
        <v>7.7994273525986701E-2</v>
      </c>
      <c r="N634">
        <v>5.63462575637666E-2</v>
      </c>
      <c r="O634">
        <v>0.70556097601160805</v>
      </c>
      <c r="P634">
        <v>3.2085810884959098E-2</v>
      </c>
      <c r="Q634">
        <v>0.67227557990229603</v>
      </c>
      <c r="R634">
        <v>0</v>
      </c>
      <c r="S634">
        <v>145</v>
      </c>
      <c r="T634">
        <v>60</v>
      </c>
      <c r="U634">
        <v>1168545095.04</v>
      </c>
      <c r="V634">
        <v>21093</v>
      </c>
    </row>
    <row r="635" spans="1:22" x14ac:dyDescent="0.25">
      <c r="A635">
        <v>0.98263196333207004</v>
      </c>
      <c r="B635">
        <v>18.961640164979499</v>
      </c>
      <c r="C635">
        <v>14.243046678475601</v>
      </c>
      <c r="D635">
        <v>0</v>
      </c>
      <c r="E635">
        <v>5.1152992439733298</v>
      </c>
      <c r="F635">
        <v>3.9213850579471998</v>
      </c>
      <c r="G635">
        <v>142.33563611395201</v>
      </c>
      <c r="H635">
        <v>24.8806375157559</v>
      </c>
      <c r="I635">
        <v>58.318355037964302</v>
      </c>
      <c r="J635">
        <v>53.048194759386803</v>
      </c>
      <c r="K635">
        <v>65202.297764633899</v>
      </c>
      <c r="L635">
        <v>753.84894467603397</v>
      </c>
      <c r="M635">
        <v>9.4292399076804895E-2</v>
      </c>
      <c r="N635">
        <v>5.0492000990527197E-2</v>
      </c>
      <c r="O635">
        <v>0.71667631998876702</v>
      </c>
      <c r="P635">
        <v>3.0169597456553999E-2</v>
      </c>
      <c r="Q635">
        <v>0.70776505949981205</v>
      </c>
      <c r="R635">
        <v>0</v>
      </c>
      <c r="S635">
        <v>145</v>
      </c>
      <c r="T635">
        <v>70</v>
      </c>
      <c r="U635">
        <v>1813406305.4300001</v>
      </c>
      <c r="V635">
        <v>27812</v>
      </c>
    </row>
    <row r="636" spans="1:22" x14ac:dyDescent="0.25">
      <c r="A636">
        <v>0.981520078618626</v>
      </c>
      <c r="B636">
        <v>20.055192911337599</v>
      </c>
      <c r="C636">
        <v>15.619519159873199</v>
      </c>
      <c r="D636">
        <v>0</v>
      </c>
      <c r="E636">
        <v>5.1026065507119496</v>
      </c>
      <c r="F636">
        <v>3.9072387804464799</v>
      </c>
      <c r="G636">
        <v>142.32836942676701</v>
      </c>
      <c r="H636">
        <v>25.679036425796301</v>
      </c>
      <c r="I636">
        <v>58.966021455112298</v>
      </c>
      <c r="J636">
        <v>54.364795733561301</v>
      </c>
      <c r="K636">
        <v>75092.3001801801</v>
      </c>
      <c r="L636">
        <v>755.67345185658098</v>
      </c>
      <c r="M636">
        <v>9.9675067594324193E-2</v>
      </c>
      <c r="N636">
        <v>4.7504271672384898E-2</v>
      </c>
      <c r="O636">
        <v>0.70499606911616997</v>
      </c>
      <c r="P636">
        <v>3.1678907744054199E-2</v>
      </c>
      <c r="Q636">
        <v>0.73695886759537599</v>
      </c>
      <c r="R636">
        <v>0</v>
      </c>
      <c r="S636">
        <v>145</v>
      </c>
      <c r="T636">
        <v>80</v>
      </c>
      <c r="U636">
        <v>2550585067.9200001</v>
      </c>
      <c r="V636">
        <v>33966</v>
      </c>
    </row>
    <row r="637" spans="1:22" x14ac:dyDescent="0.25">
      <c r="A637">
        <v>0.98058879146572797</v>
      </c>
      <c r="B637">
        <v>20.960697824981299</v>
      </c>
      <c r="C637">
        <v>16.105397595849698</v>
      </c>
      <c r="D637">
        <v>0</v>
      </c>
      <c r="E637">
        <v>5.0957671914554901</v>
      </c>
      <c r="F637">
        <v>3.8882268281531802</v>
      </c>
      <c r="G637">
        <v>142.38101663718001</v>
      </c>
      <c r="H637">
        <v>25.996972695665502</v>
      </c>
      <c r="I637">
        <v>61.646883225356802</v>
      </c>
      <c r="J637">
        <v>56.950317180409797</v>
      </c>
      <c r="K637">
        <v>85065.026181095804</v>
      </c>
      <c r="L637">
        <v>755.52645578931197</v>
      </c>
      <c r="M637">
        <v>0.11009041820444899</v>
      </c>
      <c r="N637">
        <v>4.7988471121354202E-2</v>
      </c>
      <c r="O637">
        <v>0.69673340655520899</v>
      </c>
      <c r="P637">
        <v>3.1158809408222101E-2</v>
      </c>
      <c r="Q637">
        <v>0.74347674252523699</v>
      </c>
      <c r="R637">
        <v>0</v>
      </c>
      <c r="S637">
        <v>145</v>
      </c>
      <c r="T637">
        <v>90</v>
      </c>
      <c r="U637">
        <v>3104873455.6100001</v>
      </c>
      <c r="V637">
        <v>36500</v>
      </c>
    </row>
    <row r="638" spans="1:22" x14ac:dyDescent="0.25">
      <c r="A638">
        <v>0.97967112802119505</v>
      </c>
      <c r="B638">
        <v>21.843750748085199</v>
      </c>
      <c r="C638">
        <v>20.468001263255001</v>
      </c>
      <c r="D638">
        <v>0</v>
      </c>
      <c r="E638">
        <v>5.09110440346823</v>
      </c>
      <c r="F638">
        <v>3.8825987293969302</v>
      </c>
      <c r="G638">
        <v>142.36170932070101</v>
      </c>
      <c r="H638">
        <v>26.244622744741498</v>
      </c>
      <c r="I638">
        <v>61.367487844343501</v>
      </c>
      <c r="J638">
        <v>56.987772641802202</v>
      </c>
      <c r="K638">
        <v>95123.055653166593</v>
      </c>
      <c r="L638">
        <v>756.69089245220903</v>
      </c>
      <c r="M638">
        <v>0.108619053497269</v>
      </c>
      <c r="N638">
        <v>4.8527672437112999E-2</v>
      </c>
      <c r="O638">
        <v>0.68638451280609603</v>
      </c>
      <c r="P638">
        <v>3.4044825603004203E-2</v>
      </c>
      <c r="Q638">
        <v>0.71881907196917005</v>
      </c>
      <c r="R638">
        <v>0</v>
      </c>
      <c r="S638">
        <v>145</v>
      </c>
      <c r="T638">
        <v>100</v>
      </c>
      <c r="U638">
        <v>4124345447.0100002</v>
      </c>
      <c r="V638">
        <v>43358</v>
      </c>
    </row>
    <row r="639" spans="1:22" x14ac:dyDescent="0.25">
      <c r="A639">
        <v>0.97882234606409002</v>
      </c>
      <c r="B639">
        <v>22.652459875360599</v>
      </c>
      <c r="C639">
        <v>21.277366432263101</v>
      </c>
      <c r="D639">
        <v>0</v>
      </c>
      <c r="E639">
        <v>5.0793324218089904</v>
      </c>
      <c r="F639">
        <v>3.86391744230303</v>
      </c>
      <c r="G639">
        <v>142.405609654785</v>
      </c>
      <c r="H639">
        <v>26.396565172000201</v>
      </c>
      <c r="I639">
        <v>63.636573272667199</v>
      </c>
      <c r="J639">
        <v>59.138752572875703</v>
      </c>
      <c r="K639">
        <v>104911.510869682</v>
      </c>
      <c r="L639">
        <v>755.31199824614305</v>
      </c>
      <c r="M639">
        <v>0.132815442651536</v>
      </c>
      <c r="N639">
        <v>4.5300351555410699E-2</v>
      </c>
      <c r="O639">
        <v>0.67719721992398796</v>
      </c>
      <c r="P639">
        <v>3.2871697173790598E-2</v>
      </c>
      <c r="Q639">
        <v>0.74923854476349905</v>
      </c>
      <c r="R639">
        <v>0</v>
      </c>
      <c r="S639">
        <v>145</v>
      </c>
      <c r="T639">
        <v>110</v>
      </c>
      <c r="U639">
        <v>3886761654.6999998</v>
      </c>
      <c r="V639">
        <v>37048</v>
      </c>
    </row>
    <row r="640" spans="1:22" x14ac:dyDescent="0.25">
      <c r="A640">
        <v>0.97795562932103097</v>
      </c>
      <c r="B640">
        <v>23.4703352053134</v>
      </c>
      <c r="C640">
        <v>22.376037451602901</v>
      </c>
      <c r="D640">
        <v>0</v>
      </c>
      <c r="E640">
        <v>5.0718744150765502</v>
      </c>
      <c r="F640">
        <v>3.8549745050215201</v>
      </c>
      <c r="G640">
        <v>142.4062443432</v>
      </c>
      <c r="H640">
        <v>26.5948923081109</v>
      </c>
      <c r="I640">
        <v>63.998775303191401</v>
      </c>
      <c r="J640">
        <v>59.493760545696503</v>
      </c>
      <c r="K640">
        <v>114974.726883814</v>
      </c>
      <c r="L640">
        <v>755.02509087156102</v>
      </c>
      <c r="M640">
        <v>0.13723762858125699</v>
      </c>
      <c r="N640">
        <v>4.3900301397918999E-2</v>
      </c>
      <c r="O640">
        <v>0.66644624311004097</v>
      </c>
      <c r="P640">
        <v>3.3941330229926403E-2</v>
      </c>
      <c r="Q640">
        <v>0.74845169555507596</v>
      </c>
      <c r="R640">
        <v>0</v>
      </c>
      <c r="S640">
        <v>145</v>
      </c>
      <c r="T640">
        <v>120</v>
      </c>
      <c r="U640">
        <v>4174042484.79</v>
      </c>
      <c r="V640">
        <v>36304</v>
      </c>
    </row>
    <row r="641" spans="1:22" x14ac:dyDescent="0.25">
      <c r="A641">
        <v>0.97713855268223204</v>
      </c>
      <c r="B641">
        <v>24.234100631068198</v>
      </c>
      <c r="C641">
        <v>22.0317364039424</v>
      </c>
      <c r="D641">
        <v>0</v>
      </c>
      <c r="E641">
        <v>5.06527835863211</v>
      </c>
      <c r="F641">
        <v>3.8466539297778599</v>
      </c>
      <c r="G641">
        <v>142.41966689800901</v>
      </c>
      <c r="H641">
        <v>26.5170520088252</v>
      </c>
      <c r="I641">
        <v>64.255645587849401</v>
      </c>
      <c r="J641">
        <v>59.800157587098099</v>
      </c>
      <c r="K641">
        <v>124874.056289926</v>
      </c>
      <c r="L641">
        <v>754.92832375310502</v>
      </c>
      <c r="M641">
        <v>0.13679312939398899</v>
      </c>
      <c r="N641">
        <v>4.6867547036042401E-2</v>
      </c>
      <c r="O641">
        <v>0.65782157692159104</v>
      </c>
      <c r="P641">
        <v>3.5640970685137802E-2</v>
      </c>
      <c r="Q641">
        <v>0.75701129410486301</v>
      </c>
      <c r="R641">
        <v>0</v>
      </c>
      <c r="S641">
        <v>145</v>
      </c>
      <c r="T641">
        <v>130</v>
      </c>
      <c r="U641">
        <v>4320017977.3500004</v>
      </c>
      <c r="V641">
        <v>34595</v>
      </c>
    </row>
    <row r="642" spans="1:22" x14ac:dyDescent="0.25">
      <c r="A642">
        <v>0.97643153929539495</v>
      </c>
      <c r="B642">
        <v>24.8893384408522</v>
      </c>
      <c r="C642">
        <v>24.7385954395846</v>
      </c>
      <c r="D642">
        <v>0</v>
      </c>
      <c r="E642">
        <v>5.0657072682319999</v>
      </c>
      <c r="F642">
        <v>3.8449473801313698</v>
      </c>
      <c r="G642">
        <v>142.409957080141</v>
      </c>
      <c r="H642">
        <v>26.668163453503801</v>
      </c>
      <c r="I642">
        <v>64.969535569578298</v>
      </c>
      <c r="J642">
        <v>60.553202032697001</v>
      </c>
      <c r="K642">
        <v>134941.68045413899</v>
      </c>
      <c r="L642">
        <v>754.95299985579902</v>
      </c>
      <c r="M642">
        <v>0.142623689880745</v>
      </c>
      <c r="N642">
        <v>4.5213430332982203E-2</v>
      </c>
      <c r="O642">
        <v>0.65385422641725</v>
      </c>
      <c r="P642">
        <v>4.2157970087887298E-2</v>
      </c>
      <c r="Q642">
        <v>0.76105221937425804</v>
      </c>
      <c r="R642">
        <v>0</v>
      </c>
      <c r="S642">
        <v>145</v>
      </c>
      <c r="T642">
        <v>140</v>
      </c>
      <c r="U642">
        <v>4376833405.5299997</v>
      </c>
      <c r="V642">
        <v>32435</v>
      </c>
    </row>
    <row r="643" spans="1:22" x14ac:dyDescent="0.25">
      <c r="A643">
        <v>0.975612250111492</v>
      </c>
      <c r="B643">
        <v>25.642130503753499</v>
      </c>
      <c r="C643">
        <v>25.629181248997799</v>
      </c>
      <c r="D643">
        <v>0</v>
      </c>
      <c r="E643">
        <v>5.0624559988217603</v>
      </c>
      <c r="F643">
        <v>3.84636039357015</v>
      </c>
      <c r="G643">
        <v>142.40175030882099</v>
      </c>
      <c r="H643">
        <v>26.793975779481102</v>
      </c>
      <c r="I643">
        <v>64.042223401757994</v>
      </c>
      <c r="J643">
        <v>59.8334114982435</v>
      </c>
      <c r="K643">
        <v>144854.35831556699</v>
      </c>
      <c r="L643">
        <v>755.52153135741105</v>
      </c>
      <c r="M643">
        <v>0.137356529231871</v>
      </c>
      <c r="N643">
        <v>4.6065604112918802E-2</v>
      </c>
      <c r="O643">
        <v>0.63996599865220105</v>
      </c>
      <c r="P643">
        <v>4.1612602302637802E-2</v>
      </c>
      <c r="Q643">
        <v>0.76300226915270997</v>
      </c>
      <c r="R643">
        <v>0</v>
      </c>
      <c r="S643">
        <v>145</v>
      </c>
      <c r="T643">
        <v>150</v>
      </c>
      <c r="U643">
        <v>4606803157.5100002</v>
      </c>
      <c r="V643">
        <v>31803</v>
      </c>
    </row>
    <row r="644" spans="1:22" x14ac:dyDescent="0.25">
      <c r="A644">
        <v>0.97489477941171698</v>
      </c>
      <c r="B644">
        <v>26.295681166017498</v>
      </c>
      <c r="C644">
        <v>26.4800657547299</v>
      </c>
      <c r="D644">
        <v>0</v>
      </c>
      <c r="E644">
        <v>5.0708607307767499</v>
      </c>
      <c r="F644">
        <v>3.84764420123394</v>
      </c>
      <c r="G644">
        <v>142.426124120765</v>
      </c>
      <c r="H644">
        <v>26.923295330064501</v>
      </c>
      <c r="I644">
        <v>65.175905895279598</v>
      </c>
      <c r="J644">
        <v>61.032127030068402</v>
      </c>
      <c r="K644">
        <v>154933.690776362</v>
      </c>
      <c r="L644">
        <v>754.29124908885001</v>
      </c>
      <c r="M644">
        <v>0.15332285151948499</v>
      </c>
      <c r="N644">
        <v>4.7169123954390303E-2</v>
      </c>
      <c r="O644">
        <v>0.65083550766327802</v>
      </c>
      <c r="P644">
        <v>4.4114202371028401E-2</v>
      </c>
      <c r="Q644">
        <v>0.77684829257022103</v>
      </c>
      <c r="R644">
        <v>0</v>
      </c>
      <c r="S644">
        <v>145</v>
      </c>
      <c r="T644">
        <v>160</v>
      </c>
      <c r="U644">
        <v>4244718326.1999998</v>
      </c>
      <c r="V644">
        <v>27397</v>
      </c>
    </row>
    <row r="645" spans="1:22" x14ac:dyDescent="0.25">
      <c r="A645">
        <v>0.97388028969158102</v>
      </c>
      <c r="B645">
        <v>27.210805212314401</v>
      </c>
      <c r="C645">
        <v>27.616775428169898</v>
      </c>
      <c r="D645">
        <v>0</v>
      </c>
      <c r="E645">
        <v>5.0637249501288801</v>
      </c>
      <c r="F645">
        <v>3.8374900454001701</v>
      </c>
      <c r="G645">
        <v>142.42841310518199</v>
      </c>
      <c r="H645">
        <v>27.019336936630701</v>
      </c>
      <c r="I645">
        <v>65.818729071164498</v>
      </c>
      <c r="J645">
        <v>61.6128694407371</v>
      </c>
      <c r="K645">
        <v>164978.336737312</v>
      </c>
      <c r="L645">
        <v>754.71171442445302</v>
      </c>
      <c r="M645">
        <v>0.153254313983479</v>
      </c>
      <c r="N645">
        <v>4.5848904803102997E-2</v>
      </c>
      <c r="O645">
        <v>0.63494154860013496</v>
      </c>
      <c r="P645">
        <v>4.6606115563070601E-2</v>
      </c>
      <c r="Q645">
        <v>0.76641884824670303</v>
      </c>
      <c r="R645">
        <v>0</v>
      </c>
      <c r="S645">
        <v>145</v>
      </c>
      <c r="T645">
        <v>170</v>
      </c>
      <c r="U645">
        <v>4281352816.6700001</v>
      </c>
      <c r="V645">
        <v>25951</v>
      </c>
    </row>
    <row r="646" spans="1:22" x14ac:dyDescent="0.25">
      <c r="A646">
        <v>0.96440432440673496</v>
      </c>
      <c r="B646">
        <v>35.269376668416903</v>
      </c>
      <c r="C646">
        <v>37.648436272844997</v>
      </c>
      <c r="D646">
        <v>0</v>
      </c>
      <c r="E646">
        <v>5.0440213829682499</v>
      </c>
      <c r="F646">
        <v>3.8163215838619999</v>
      </c>
      <c r="G646">
        <v>142.41924685815201</v>
      </c>
      <c r="H646">
        <v>27.005276570738602</v>
      </c>
      <c r="I646">
        <v>66.515573520608896</v>
      </c>
      <c r="J646">
        <v>62.159112330508201</v>
      </c>
      <c r="K646">
        <v>277552.11465757497</v>
      </c>
      <c r="L646">
        <v>752.18723541329496</v>
      </c>
      <c r="M646">
        <v>0.21023751042648101</v>
      </c>
      <c r="N646">
        <v>4.9538859881481302E-2</v>
      </c>
      <c r="O646">
        <v>0.57309283259134602</v>
      </c>
      <c r="P646">
        <v>9.4063299849703394E-2</v>
      </c>
      <c r="Q646">
        <v>0.75073895528351398</v>
      </c>
      <c r="R646">
        <v>0</v>
      </c>
      <c r="S646">
        <v>145</v>
      </c>
      <c r="T646">
        <v>175</v>
      </c>
      <c r="U646">
        <v>71887663009</v>
      </c>
      <c r="V646">
        <v>259006</v>
      </c>
    </row>
    <row r="647" spans="1:22" x14ac:dyDescent="0.25">
      <c r="A647">
        <v>0.97310200603564501</v>
      </c>
      <c r="B647">
        <v>27.905785526237899</v>
      </c>
      <c r="C647">
        <v>29.760450050011201</v>
      </c>
      <c r="D647">
        <v>0</v>
      </c>
      <c r="E647">
        <v>5.0606397744414799</v>
      </c>
      <c r="F647">
        <v>3.8352912139261002</v>
      </c>
      <c r="G647">
        <v>142.39726406702701</v>
      </c>
      <c r="H647">
        <v>26.754043340960099</v>
      </c>
      <c r="I647">
        <v>65.834940142375899</v>
      </c>
      <c r="J647">
        <v>61.554437574931399</v>
      </c>
      <c r="K647">
        <v>172489.691142041</v>
      </c>
      <c r="L647">
        <v>753.95738055656398</v>
      </c>
      <c r="M647">
        <v>0.151365426923113</v>
      </c>
      <c r="N647">
        <v>4.4581987718677399E-2</v>
      </c>
      <c r="O647">
        <v>0.62154816859342399</v>
      </c>
      <c r="P647">
        <v>4.96469947848764E-2</v>
      </c>
      <c r="Q647">
        <v>0.75488902136337299</v>
      </c>
      <c r="R647">
        <v>0</v>
      </c>
      <c r="S647">
        <v>145</v>
      </c>
      <c r="T647">
        <v>180</v>
      </c>
      <c r="U647">
        <v>2174922515.6100001</v>
      </c>
      <c r="V647">
        <v>12609</v>
      </c>
    </row>
    <row r="648" spans="1:22" x14ac:dyDescent="0.25">
      <c r="A648">
        <v>0.99287731073561603</v>
      </c>
      <c r="B648">
        <v>8.2202150902271498</v>
      </c>
      <c r="C648">
        <v>92.486078024465002</v>
      </c>
      <c r="D648">
        <v>0</v>
      </c>
      <c r="E648">
        <v>5.1453460169832397</v>
      </c>
      <c r="F648">
        <v>3.9481946081260202</v>
      </c>
      <c r="G648">
        <v>147.14267251866499</v>
      </c>
      <c r="H648">
        <v>27.0682659529086</v>
      </c>
      <c r="I648">
        <v>56.364619754168103</v>
      </c>
      <c r="J648">
        <v>5.3015949891617797</v>
      </c>
      <c r="K648">
        <v>5768.7798317756997</v>
      </c>
      <c r="L648">
        <v>778.16730668333696</v>
      </c>
      <c r="M648">
        <v>3.5752347389770602E-2</v>
      </c>
      <c r="N648">
        <v>1.8915427137362401E-2</v>
      </c>
      <c r="O648">
        <v>0.60207323001144097</v>
      </c>
      <c r="P648">
        <v>2.29937090213032E-2</v>
      </c>
      <c r="Q648">
        <v>0.36542717154580101</v>
      </c>
      <c r="R648">
        <v>0</v>
      </c>
      <c r="S648">
        <v>150</v>
      </c>
      <c r="T648">
        <v>10</v>
      </c>
      <c r="U648">
        <v>3086297.21</v>
      </c>
      <c r="V648">
        <v>535</v>
      </c>
    </row>
    <row r="649" spans="1:22" x14ac:dyDescent="0.25">
      <c r="A649">
        <v>0.99225685387569196</v>
      </c>
      <c r="B649">
        <v>8.9061014454059606</v>
      </c>
      <c r="C649">
        <v>65.038076347640498</v>
      </c>
      <c r="D649">
        <v>0</v>
      </c>
      <c r="E649">
        <v>5.1783579065648402</v>
      </c>
      <c r="F649">
        <v>3.97008685403418</v>
      </c>
      <c r="G649">
        <v>147.14739854480001</v>
      </c>
      <c r="H649">
        <v>26.450060236063301</v>
      </c>
      <c r="I649">
        <v>49.466722065091297</v>
      </c>
      <c r="J649">
        <v>16.478000279932601</v>
      </c>
      <c r="K649">
        <v>15748.535208711401</v>
      </c>
      <c r="L649">
        <v>772.33496676941502</v>
      </c>
      <c r="M649">
        <v>6.7256698399017906E-2</v>
      </c>
      <c r="N649">
        <v>2.2199045527571199E-2</v>
      </c>
      <c r="O649">
        <v>0.724702307750132</v>
      </c>
      <c r="P649">
        <v>2.9033732967577299E-2</v>
      </c>
      <c r="Q649">
        <v>0.479395423621859</v>
      </c>
      <c r="R649">
        <v>0</v>
      </c>
      <c r="S649">
        <v>150</v>
      </c>
      <c r="T649">
        <v>20</v>
      </c>
      <c r="U649">
        <v>17354885.800000001</v>
      </c>
      <c r="V649">
        <v>1102</v>
      </c>
    </row>
    <row r="650" spans="1:22" x14ac:dyDescent="0.25">
      <c r="A650">
        <v>0.98992862384508995</v>
      </c>
      <c r="B650">
        <v>11.4381693890103</v>
      </c>
      <c r="C650">
        <v>30.915375799315498</v>
      </c>
      <c r="D650">
        <v>0</v>
      </c>
      <c r="E650">
        <v>5.1931860352949597</v>
      </c>
      <c r="F650">
        <v>3.97840505577124</v>
      </c>
      <c r="G650">
        <v>147.14063967726199</v>
      </c>
      <c r="H650">
        <v>25.236573632809499</v>
      </c>
      <c r="I650">
        <v>47.844407598679297</v>
      </c>
      <c r="J650">
        <v>30.975419521582499</v>
      </c>
      <c r="K650">
        <v>25840.091179756801</v>
      </c>
      <c r="L650">
        <v>763.27632942122204</v>
      </c>
      <c r="M650">
        <v>5.3740343762167103E-2</v>
      </c>
      <c r="N650">
        <v>2.5475115217416799E-2</v>
      </c>
      <c r="O650">
        <v>0.76711656143062501</v>
      </c>
      <c r="P650">
        <v>2.4532216548501299E-2</v>
      </c>
      <c r="Q650">
        <v>0.53468357104281805</v>
      </c>
      <c r="R650">
        <v>0</v>
      </c>
      <c r="S650">
        <v>150</v>
      </c>
      <c r="T650">
        <v>30</v>
      </c>
      <c r="U650">
        <v>78631397.459999993</v>
      </c>
      <c r="V650">
        <v>3043</v>
      </c>
    </row>
    <row r="651" spans="1:22" x14ac:dyDescent="0.25">
      <c r="A651">
        <v>0.98735761245575104</v>
      </c>
      <c r="B651">
        <v>14.159201906768301</v>
      </c>
      <c r="C651">
        <v>20.710800917290999</v>
      </c>
      <c r="D651">
        <v>0</v>
      </c>
      <c r="E651">
        <v>5.1972938824126702</v>
      </c>
      <c r="F651">
        <v>3.96602741477068</v>
      </c>
      <c r="G651">
        <v>147.19537513547601</v>
      </c>
      <c r="H651">
        <v>24.838027971254199</v>
      </c>
      <c r="I651">
        <v>50.4130307316426</v>
      </c>
      <c r="J651">
        <v>41.486566072866601</v>
      </c>
      <c r="K651">
        <v>35770.095496837603</v>
      </c>
      <c r="L651">
        <v>760.27858509432997</v>
      </c>
      <c r="M651">
        <v>7.0411130447702197E-2</v>
      </c>
      <c r="N651">
        <v>3.01423389948248E-2</v>
      </c>
      <c r="O651">
        <v>0.75019843483586501</v>
      </c>
      <c r="P651">
        <v>2.57652049787667E-2</v>
      </c>
      <c r="Q651">
        <v>0.569074659220007</v>
      </c>
      <c r="R651">
        <v>0</v>
      </c>
      <c r="S651">
        <v>150</v>
      </c>
      <c r="T651">
        <v>40</v>
      </c>
      <c r="U651">
        <v>254504229.46000001</v>
      </c>
      <c r="V651">
        <v>7115</v>
      </c>
    </row>
    <row r="652" spans="1:22" x14ac:dyDescent="0.25">
      <c r="A652">
        <v>0.98521386222997198</v>
      </c>
      <c r="B652">
        <v>16.369216362035498</v>
      </c>
      <c r="C652">
        <v>16.5805370506598</v>
      </c>
      <c r="D652">
        <v>0</v>
      </c>
      <c r="E652">
        <v>5.1919561871711197</v>
      </c>
      <c r="F652">
        <v>3.9528853033361901</v>
      </c>
      <c r="G652">
        <v>147.183609041924</v>
      </c>
      <c r="H652">
        <v>25.0622213696473</v>
      </c>
      <c r="I652">
        <v>51.886567632742</v>
      </c>
      <c r="J652">
        <v>45.587165132173297</v>
      </c>
      <c r="K652">
        <v>45814.340108836601</v>
      </c>
      <c r="L652">
        <v>758.62237631975199</v>
      </c>
      <c r="M652">
        <v>7.0245842576279693E-2</v>
      </c>
      <c r="N652">
        <v>3.9707834815944497E-2</v>
      </c>
      <c r="O652">
        <v>0.72409037031871204</v>
      </c>
      <c r="P652">
        <v>3.28680758183948E-2</v>
      </c>
      <c r="Q652">
        <v>0.62511545004844504</v>
      </c>
      <c r="R652">
        <v>0</v>
      </c>
      <c r="S652">
        <v>150</v>
      </c>
      <c r="T652">
        <v>50</v>
      </c>
      <c r="U652">
        <v>635628154.66999996</v>
      </c>
      <c r="V652">
        <v>13874</v>
      </c>
    </row>
    <row r="653" spans="1:22" x14ac:dyDescent="0.25">
      <c r="A653">
        <v>0.98367831889378599</v>
      </c>
      <c r="B653">
        <v>17.920029571773799</v>
      </c>
      <c r="C653">
        <v>14.205603089203301</v>
      </c>
      <c r="D653">
        <v>0</v>
      </c>
      <c r="E653">
        <v>5.1824610601279701</v>
      </c>
      <c r="F653">
        <v>3.9364297053985502</v>
      </c>
      <c r="G653">
        <v>147.181452393001</v>
      </c>
      <c r="H653">
        <v>25.0566323519881</v>
      </c>
      <c r="I653">
        <v>55.1268327791392</v>
      </c>
      <c r="J653">
        <v>49.650786742739797</v>
      </c>
      <c r="K653">
        <v>55378.065902827402</v>
      </c>
      <c r="L653">
        <v>757.22021176619899</v>
      </c>
      <c r="M653">
        <v>8.0290563569494905E-2</v>
      </c>
      <c r="N653">
        <v>4.8158587444095499E-2</v>
      </c>
      <c r="O653">
        <v>0.71684077912236099</v>
      </c>
      <c r="P653">
        <v>3.1917096912847998E-2</v>
      </c>
      <c r="Q653">
        <v>0.67972003807925596</v>
      </c>
      <c r="R653">
        <v>0</v>
      </c>
      <c r="S653">
        <v>150</v>
      </c>
      <c r="T653">
        <v>60</v>
      </c>
      <c r="U653">
        <v>1161444176.1800001</v>
      </c>
      <c r="V653">
        <v>20973</v>
      </c>
    </row>
    <row r="654" spans="1:22" x14ac:dyDescent="0.25">
      <c r="A654">
        <v>0.98242954977740504</v>
      </c>
      <c r="B654">
        <v>19.161731654860599</v>
      </c>
      <c r="C654">
        <v>15.218868868423201</v>
      </c>
      <c r="D654">
        <v>0</v>
      </c>
      <c r="E654">
        <v>5.1655227566335098</v>
      </c>
      <c r="F654">
        <v>3.9136269444762899</v>
      </c>
      <c r="G654">
        <v>147.174084764376</v>
      </c>
      <c r="H654">
        <v>25.082366878787699</v>
      </c>
      <c r="I654">
        <v>57.4976998007322</v>
      </c>
      <c r="J654">
        <v>52.652299251653901</v>
      </c>
      <c r="K654">
        <v>65192.686665216897</v>
      </c>
      <c r="L654">
        <v>757.44139141310802</v>
      </c>
      <c r="M654">
        <v>9.4315582078051699E-2</v>
      </c>
      <c r="N654">
        <v>4.24040495184861E-2</v>
      </c>
      <c r="O654">
        <v>0.72174707237408298</v>
      </c>
      <c r="P654">
        <v>3.1552426426201097E-2</v>
      </c>
      <c r="Q654">
        <v>0.70207038792294796</v>
      </c>
      <c r="R654">
        <v>0</v>
      </c>
      <c r="S654">
        <v>150</v>
      </c>
      <c r="T654">
        <v>70</v>
      </c>
      <c r="U654">
        <v>1798731417.78</v>
      </c>
      <c r="V654">
        <v>27591</v>
      </c>
    </row>
    <row r="655" spans="1:22" x14ac:dyDescent="0.25">
      <c r="A655">
        <v>0.98125860064762604</v>
      </c>
      <c r="B655">
        <v>20.310387341404098</v>
      </c>
      <c r="C655">
        <v>17.087233057780299</v>
      </c>
      <c r="D655">
        <v>0</v>
      </c>
      <c r="E655">
        <v>5.1486986523920999</v>
      </c>
      <c r="F655">
        <v>3.89462909438349</v>
      </c>
      <c r="G655">
        <v>147.16225337151801</v>
      </c>
      <c r="H655">
        <v>25.9587925144614</v>
      </c>
      <c r="I655">
        <v>57.656886394550703</v>
      </c>
      <c r="J655">
        <v>53.555543256778897</v>
      </c>
      <c r="K655">
        <v>75060.120355792606</v>
      </c>
      <c r="L655">
        <v>759.24013719054096</v>
      </c>
      <c r="M655">
        <v>0.102215686006561</v>
      </c>
      <c r="N655">
        <v>3.7297705925083198E-2</v>
      </c>
      <c r="O655">
        <v>0.71204031732735695</v>
      </c>
      <c r="P655">
        <v>3.2668424441682699E-2</v>
      </c>
      <c r="Q655">
        <v>0.73080336794770195</v>
      </c>
      <c r="R655">
        <v>0</v>
      </c>
      <c r="S655">
        <v>150</v>
      </c>
      <c r="T655">
        <v>80</v>
      </c>
      <c r="U655">
        <v>2461971947.6700001</v>
      </c>
      <c r="V655">
        <v>32800</v>
      </c>
    </row>
    <row r="656" spans="1:22" x14ac:dyDescent="0.25">
      <c r="A656">
        <v>0.98026571523242001</v>
      </c>
      <c r="B656">
        <v>21.2726267138579</v>
      </c>
      <c r="C656">
        <v>17.329223623875301</v>
      </c>
      <c r="D656">
        <v>0</v>
      </c>
      <c r="E656">
        <v>5.1393422434209102</v>
      </c>
      <c r="F656">
        <v>3.8750486230279102</v>
      </c>
      <c r="G656">
        <v>147.146680864443</v>
      </c>
      <c r="H656">
        <v>26.2235341907536</v>
      </c>
      <c r="I656">
        <v>60.543262204738198</v>
      </c>
      <c r="J656">
        <v>56.353287443658097</v>
      </c>
      <c r="K656">
        <v>85048.043045669096</v>
      </c>
      <c r="L656">
        <v>758.04915320975601</v>
      </c>
      <c r="M656">
        <v>0.11110656079834499</v>
      </c>
      <c r="N656">
        <v>3.8775779476623799E-2</v>
      </c>
      <c r="O656">
        <v>0.70004558556513197</v>
      </c>
      <c r="P656">
        <v>3.33189346793243E-2</v>
      </c>
      <c r="Q656">
        <v>0.74330685383490303</v>
      </c>
      <c r="R656">
        <v>0</v>
      </c>
      <c r="S656">
        <v>150</v>
      </c>
      <c r="T656">
        <v>90</v>
      </c>
      <c r="U656">
        <v>2936793974.4099998</v>
      </c>
      <c r="V656">
        <v>34531</v>
      </c>
    </row>
    <row r="657" spans="1:22" x14ac:dyDescent="0.25">
      <c r="A657">
        <v>0.97930947193054996</v>
      </c>
      <c r="B657">
        <v>22.1892752384563</v>
      </c>
      <c r="C657">
        <v>20.429332896200702</v>
      </c>
      <c r="D657">
        <v>0</v>
      </c>
      <c r="E657">
        <v>5.1287159742136099</v>
      </c>
      <c r="F657">
        <v>3.86520827906919</v>
      </c>
      <c r="G657">
        <v>147.133220281154</v>
      </c>
      <c r="H657">
        <v>26.5375134762733</v>
      </c>
      <c r="I657">
        <v>60.168675981605801</v>
      </c>
      <c r="J657">
        <v>56.338228894498002</v>
      </c>
      <c r="K657">
        <v>95128.726935953004</v>
      </c>
      <c r="L657">
        <v>759.57446764517897</v>
      </c>
      <c r="M657">
        <v>0.111668947755732</v>
      </c>
      <c r="N657">
        <v>4.0269843614495801E-2</v>
      </c>
      <c r="O657">
        <v>0.685146497738783</v>
      </c>
      <c r="P657">
        <v>3.6958682090411601E-2</v>
      </c>
      <c r="Q657">
        <v>0.71951668630975696</v>
      </c>
      <c r="R657">
        <v>0</v>
      </c>
      <c r="S657">
        <v>150</v>
      </c>
      <c r="T657">
        <v>100</v>
      </c>
      <c r="U657">
        <v>3858801679.4299998</v>
      </c>
      <c r="V657">
        <v>40564</v>
      </c>
    </row>
    <row r="658" spans="1:22" x14ac:dyDescent="0.25">
      <c r="A658">
        <v>0.97839858313894701</v>
      </c>
      <c r="B658">
        <v>23.0533385810946</v>
      </c>
      <c r="C658">
        <v>21.672150301068498</v>
      </c>
      <c r="D658">
        <v>0</v>
      </c>
      <c r="E658">
        <v>5.1215355990024696</v>
      </c>
      <c r="F658">
        <v>3.8487200415438099</v>
      </c>
      <c r="G658">
        <v>147.151202872656</v>
      </c>
      <c r="H658">
        <v>26.5352960320654</v>
      </c>
      <c r="I658">
        <v>62.871652779489203</v>
      </c>
      <c r="J658">
        <v>58.8660970379525</v>
      </c>
      <c r="K658">
        <v>104910.290738262</v>
      </c>
      <c r="L658">
        <v>757.14835762817995</v>
      </c>
      <c r="M658">
        <v>0.130593631059085</v>
      </c>
      <c r="N658">
        <v>4.0115021312741098E-2</v>
      </c>
      <c r="O658">
        <v>0.67487071733189097</v>
      </c>
      <c r="P658">
        <v>3.6012912049797098E-2</v>
      </c>
      <c r="Q658">
        <v>0.74749801294436502</v>
      </c>
      <c r="R658">
        <v>0</v>
      </c>
      <c r="S658">
        <v>150</v>
      </c>
      <c r="T658">
        <v>110</v>
      </c>
      <c r="U658">
        <v>3590974341.6799998</v>
      </c>
      <c r="V658">
        <v>34229</v>
      </c>
    </row>
    <row r="659" spans="1:22" x14ac:dyDescent="0.25">
      <c r="A659">
        <v>0.97749452398209502</v>
      </c>
      <c r="B659">
        <v>23.902218230273299</v>
      </c>
      <c r="C659">
        <v>22.0750369850828</v>
      </c>
      <c r="D659">
        <v>0</v>
      </c>
      <c r="E659">
        <v>5.11307149894437</v>
      </c>
      <c r="F659">
        <v>3.8395855635271201</v>
      </c>
      <c r="G659">
        <v>147.14059389930199</v>
      </c>
      <c r="H659">
        <v>26.750645350967702</v>
      </c>
      <c r="I659">
        <v>63.478588333445003</v>
      </c>
      <c r="J659">
        <v>59.466697787608901</v>
      </c>
      <c r="K659">
        <v>115005.19577763201</v>
      </c>
      <c r="L659">
        <v>757.52521007651296</v>
      </c>
      <c r="M659">
        <v>0.13340615034005401</v>
      </c>
      <c r="N659">
        <v>4.0181141412210498E-2</v>
      </c>
      <c r="O659">
        <v>0.66478801711234803</v>
      </c>
      <c r="P659">
        <v>3.6687494633269299E-2</v>
      </c>
      <c r="Q659">
        <v>0.74056748475937895</v>
      </c>
      <c r="R659">
        <v>0</v>
      </c>
      <c r="S659">
        <v>150</v>
      </c>
      <c r="T659">
        <v>120</v>
      </c>
      <c r="U659">
        <v>3879930289.9499998</v>
      </c>
      <c r="V659">
        <v>33737</v>
      </c>
    </row>
    <row r="660" spans="1:22" x14ac:dyDescent="0.25">
      <c r="A660">
        <v>0.97669104188521105</v>
      </c>
      <c r="B660">
        <v>24.649445403229301</v>
      </c>
      <c r="C660">
        <v>24.3164035346493</v>
      </c>
      <c r="D660">
        <v>0</v>
      </c>
      <c r="E660">
        <v>5.1022697360472096</v>
      </c>
      <c r="F660">
        <v>3.8294656086889001</v>
      </c>
      <c r="G660">
        <v>147.152200374015</v>
      </c>
      <c r="H660">
        <v>26.681337477282799</v>
      </c>
      <c r="I660">
        <v>63.6244295692305</v>
      </c>
      <c r="J660">
        <v>59.682158778904601</v>
      </c>
      <c r="K660">
        <v>124887.20551188001</v>
      </c>
      <c r="L660">
        <v>757.65474279553598</v>
      </c>
      <c r="M660">
        <v>0.13852443502175399</v>
      </c>
      <c r="N660">
        <v>3.7395258154626201E-2</v>
      </c>
      <c r="O660">
        <v>0.65814942772949703</v>
      </c>
      <c r="P660">
        <v>3.9576982932374299E-2</v>
      </c>
      <c r="Q660">
        <v>0.74929491035213602</v>
      </c>
      <c r="R660">
        <v>0</v>
      </c>
      <c r="S660">
        <v>150</v>
      </c>
      <c r="T660">
        <v>130</v>
      </c>
      <c r="U660">
        <v>3984151630.2399998</v>
      </c>
      <c r="V660">
        <v>31902</v>
      </c>
    </row>
    <row r="661" spans="1:22" x14ac:dyDescent="0.25">
      <c r="A661">
        <v>0.97601146017100904</v>
      </c>
      <c r="B661">
        <v>25.2761903669243</v>
      </c>
      <c r="C661">
        <v>24.733430200214901</v>
      </c>
      <c r="D661">
        <v>0</v>
      </c>
      <c r="E661">
        <v>5.1028836881241597</v>
      </c>
      <c r="F661">
        <v>3.8263082345698498</v>
      </c>
      <c r="G661">
        <v>147.14708980196801</v>
      </c>
      <c r="H661">
        <v>26.8401599410968</v>
      </c>
      <c r="I661">
        <v>64.127844240805402</v>
      </c>
      <c r="J661">
        <v>60.246851969062099</v>
      </c>
      <c r="K661">
        <v>134943.57833870599</v>
      </c>
      <c r="L661">
        <v>756.91892649600004</v>
      </c>
      <c r="M661">
        <v>0.14427187748894901</v>
      </c>
      <c r="N661">
        <v>3.5565478564435503E-2</v>
      </c>
      <c r="O661">
        <v>0.65697140532700504</v>
      </c>
      <c r="P661">
        <v>4.36401744668602E-2</v>
      </c>
      <c r="Q661">
        <v>0.75952121928570004</v>
      </c>
      <c r="R661">
        <v>0</v>
      </c>
      <c r="S661">
        <v>150</v>
      </c>
      <c r="T661">
        <v>140</v>
      </c>
      <c r="U661">
        <v>3976112535.75</v>
      </c>
      <c r="V661">
        <v>29465</v>
      </c>
    </row>
    <row r="662" spans="1:22" x14ac:dyDescent="0.25">
      <c r="A662">
        <v>0.97509219497639099</v>
      </c>
      <c r="B662">
        <v>26.1163806334066</v>
      </c>
      <c r="C662">
        <v>26.972537146983601</v>
      </c>
      <c r="D662">
        <v>0</v>
      </c>
      <c r="E662">
        <v>5.0973050331161502</v>
      </c>
      <c r="F662">
        <v>3.8261465289258498</v>
      </c>
      <c r="G662">
        <v>147.139807844176</v>
      </c>
      <c r="H662">
        <v>26.956628789779401</v>
      </c>
      <c r="I662">
        <v>63.118486742711198</v>
      </c>
      <c r="J662">
        <v>59.486111484571197</v>
      </c>
      <c r="K662">
        <v>144879.51699399701</v>
      </c>
      <c r="L662">
        <v>757.74156231923598</v>
      </c>
      <c r="M662">
        <v>0.14183757376255801</v>
      </c>
      <c r="N662">
        <v>4.0094442053116998E-2</v>
      </c>
      <c r="O662">
        <v>0.64119524524175897</v>
      </c>
      <c r="P662">
        <v>4.4160120178915699E-2</v>
      </c>
      <c r="Q662">
        <v>0.75904437033348704</v>
      </c>
      <c r="R662">
        <v>0</v>
      </c>
      <c r="S662">
        <v>150</v>
      </c>
      <c r="T662">
        <v>150</v>
      </c>
      <c r="U662">
        <v>4175282800.25</v>
      </c>
      <c r="V662">
        <v>28819</v>
      </c>
    </row>
    <row r="663" spans="1:22" x14ac:dyDescent="0.25">
      <c r="A663">
        <v>0.97437363594218496</v>
      </c>
      <c r="B663">
        <v>26.767089511771498</v>
      </c>
      <c r="C663">
        <v>28.536285974510399</v>
      </c>
      <c r="D663">
        <v>0</v>
      </c>
      <c r="E663">
        <v>5.1071517911498603</v>
      </c>
      <c r="F663">
        <v>3.8269977651942901</v>
      </c>
      <c r="G663">
        <v>147.16769680873699</v>
      </c>
      <c r="H663">
        <v>27.0381046315056</v>
      </c>
      <c r="I663">
        <v>64.287868015207707</v>
      </c>
      <c r="J663">
        <v>60.665327928221799</v>
      </c>
      <c r="K663">
        <v>154916.69994717199</v>
      </c>
      <c r="L663">
        <v>755.93829760134497</v>
      </c>
      <c r="M663">
        <v>0.15997366613488201</v>
      </c>
      <c r="N663">
        <v>4.0118713997162499E-2</v>
      </c>
      <c r="O663">
        <v>0.65437992330619599</v>
      </c>
      <c r="P663">
        <v>4.6238134907752901E-2</v>
      </c>
      <c r="Q663">
        <v>0.77904447060887705</v>
      </c>
      <c r="R663">
        <v>0</v>
      </c>
      <c r="S663">
        <v>150</v>
      </c>
      <c r="T663">
        <v>160</v>
      </c>
      <c r="U663">
        <v>3870903581.5799999</v>
      </c>
      <c r="V663">
        <v>24987</v>
      </c>
    </row>
    <row r="664" spans="1:22" x14ac:dyDescent="0.25">
      <c r="A664">
        <v>0.97336302703173805</v>
      </c>
      <c r="B664">
        <v>27.673383693252699</v>
      </c>
      <c r="C664">
        <v>28.193292642086401</v>
      </c>
      <c r="D664">
        <v>0</v>
      </c>
      <c r="E664">
        <v>5.1009956425249996</v>
      </c>
      <c r="F664">
        <v>3.8201049297902698</v>
      </c>
      <c r="G664">
        <v>147.15275472588999</v>
      </c>
      <c r="H664">
        <v>27.211755776749701</v>
      </c>
      <c r="I664">
        <v>64.985716811736197</v>
      </c>
      <c r="J664">
        <v>61.231862187365003</v>
      </c>
      <c r="K664">
        <v>164987.55699919301</v>
      </c>
      <c r="L664">
        <v>756.786496875068</v>
      </c>
      <c r="M664">
        <v>0.15312972475056699</v>
      </c>
      <c r="N664">
        <v>3.7902773093629501E-2</v>
      </c>
      <c r="O664">
        <v>0.63846340694832004</v>
      </c>
      <c r="P664">
        <v>5.2012355221910098E-2</v>
      </c>
      <c r="Q664">
        <v>0.76390657118144101</v>
      </c>
      <c r="R664">
        <v>0</v>
      </c>
      <c r="S664">
        <v>150</v>
      </c>
      <c r="T664">
        <v>170</v>
      </c>
      <c r="U664">
        <v>3884962004.6599998</v>
      </c>
      <c r="V664">
        <v>23547</v>
      </c>
    </row>
    <row r="665" spans="1:22" x14ac:dyDescent="0.25">
      <c r="A665">
        <v>0.96356920082259301</v>
      </c>
      <c r="B665">
        <v>35.938822221703902</v>
      </c>
      <c r="C665">
        <v>37.933871310180201</v>
      </c>
      <c r="D665">
        <v>0</v>
      </c>
      <c r="E665">
        <v>5.07394808296341</v>
      </c>
      <c r="F665">
        <v>3.7931609114687399</v>
      </c>
      <c r="G665">
        <v>147.125631783247</v>
      </c>
      <c r="H665">
        <v>27.170707504589199</v>
      </c>
      <c r="I665">
        <v>65.484605871489407</v>
      </c>
      <c r="J665">
        <v>61.731864068938798</v>
      </c>
      <c r="K665">
        <v>277690.86825193401</v>
      </c>
      <c r="L665">
        <v>753.74172667994503</v>
      </c>
      <c r="M665">
        <v>0.21632488876056399</v>
      </c>
      <c r="N665">
        <v>4.2564224954273901E-2</v>
      </c>
      <c r="O665">
        <v>0.58038837271597798</v>
      </c>
      <c r="P665">
        <v>9.9990123086181507E-2</v>
      </c>
      <c r="Q665">
        <v>0.75398462548319101</v>
      </c>
      <c r="R665">
        <v>0</v>
      </c>
      <c r="S665">
        <v>150</v>
      </c>
      <c r="T665">
        <v>175</v>
      </c>
      <c r="U665">
        <v>63953873103.629997</v>
      </c>
      <c r="V665">
        <v>230306</v>
      </c>
    </row>
    <row r="666" spans="1:22" x14ac:dyDescent="0.25">
      <c r="A666">
        <v>0.97251409264477195</v>
      </c>
      <c r="B666">
        <v>28.4267331184856</v>
      </c>
      <c r="C666">
        <v>29.093281588016801</v>
      </c>
      <c r="D666">
        <v>0</v>
      </c>
      <c r="E666">
        <v>5.0998789017342601</v>
      </c>
      <c r="F666">
        <v>3.8188483209021298</v>
      </c>
      <c r="G666">
        <v>147.16809868937199</v>
      </c>
      <c r="H666">
        <v>27.076231243209499</v>
      </c>
      <c r="I666">
        <v>65.150780350888297</v>
      </c>
      <c r="J666">
        <v>61.394338837541298</v>
      </c>
      <c r="K666">
        <v>172523.059033097</v>
      </c>
      <c r="L666">
        <v>755.30431149328797</v>
      </c>
      <c r="M666">
        <v>0.155166931737311</v>
      </c>
      <c r="N666">
        <v>3.9388102206315799E-2</v>
      </c>
      <c r="O666">
        <v>0.62232530322202095</v>
      </c>
      <c r="P666">
        <v>5.1380808846981298E-2</v>
      </c>
      <c r="Q666">
        <v>0.75726973037951095</v>
      </c>
      <c r="R666">
        <v>0</v>
      </c>
      <c r="S666">
        <v>150</v>
      </c>
      <c r="T666">
        <v>180</v>
      </c>
      <c r="U666">
        <v>1923459585.1600001</v>
      </c>
      <c r="V666">
        <v>11149</v>
      </c>
    </row>
    <row r="667" spans="1:22" x14ac:dyDescent="0.25">
      <c r="A667">
        <v>0.99316857679314396</v>
      </c>
      <c r="B667">
        <v>7.8966039919434001</v>
      </c>
      <c r="C667">
        <v>95.184346372932097</v>
      </c>
      <c r="D667">
        <v>0</v>
      </c>
      <c r="E667">
        <v>5.2233028632042604</v>
      </c>
      <c r="F667">
        <v>3.96414478480059</v>
      </c>
      <c r="G667">
        <v>152.005044286985</v>
      </c>
      <c r="H667">
        <v>26.755157992873901</v>
      </c>
      <c r="I667">
        <v>54.932175861801703</v>
      </c>
      <c r="J667">
        <v>5.4673576103475803</v>
      </c>
      <c r="K667">
        <v>5617.2745278450302</v>
      </c>
      <c r="L667">
        <v>777.16421817930905</v>
      </c>
      <c r="M667">
        <v>2.9792562494806399E-2</v>
      </c>
      <c r="N667">
        <v>2.6698612915077299E-2</v>
      </c>
      <c r="O667">
        <v>0.65756478853509603</v>
      </c>
      <c r="P667">
        <v>5.8557294193812399E-2</v>
      </c>
      <c r="Q667">
        <v>0.43097063374697597</v>
      </c>
      <c r="R667">
        <v>0</v>
      </c>
      <c r="S667">
        <v>155</v>
      </c>
      <c r="T667">
        <v>10</v>
      </c>
      <c r="U667">
        <v>2319934.38</v>
      </c>
      <c r="V667">
        <v>413</v>
      </c>
    </row>
    <row r="668" spans="1:22" x14ac:dyDescent="0.25">
      <c r="A668">
        <v>0.99216536932150001</v>
      </c>
      <c r="B668">
        <v>9.0068349604093498</v>
      </c>
      <c r="C668">
        <v>62.607452457562601</v>
      </c>
      <c r="D668">
        <v>0</v>
      </c>
      <c r="E668">
        <v>5.2583483809840503</v>
      </c>
      <c r="F668">
        <v>3.9800002878648502</v>
      </c>
      <c r="G668">
        <v>152.07585626493801</v>
      </c>
      <c r="H668">
        <v>26.009030984814199</v>
      </c>
      <c r="I668">
        <v>48.500892962425901</v>
      </c>
      <c r="J668">
        <v>18.76233642016</v>
      </c>
      <c r="K668">
        <v>16248.541778017199</v>
      </c>
      <c r="L668">
        <v>766.369803964178</v>
      </c>
      <c r="M668">
        <v>6.5042466672226407E-2</v>
      </c>
      <c r="N668">
        <v>1.8398753829286699E-2</v>
      </c>
      <c r="O668">
        <v>0.74735480059262605</v>
      </c>
      <c r="P668">
        <v>2.14092295498477E-2</v>
      </c>
      <c r="Q668">
        <v>0.51104611823200097</v>
      </c>
      <c r="R668">
        <v>0</v>
      </c>
      <c r="S668">
        <v>155</v>
      </c>
      <c r="T668">
        <v>20</v>
      </c>
      <c r="U668">
        <v>15078646.77</v>
      </c>
      <c r="V668">
        <v>928</v>
      </c>
    </row>
    <row r="669" spans="1:22" x14ac:dyDescent="0.25">
      <c r="A669">
        <v>0.98970606603593902</v>
      </c>
      <c r="B669">
        <v>11.6768020271456</v>
      </c>
      <c r="C669">
        <v>34.3509406540649</v>
      </c>
      <c r="D669">
        <v>0</v>
      </c>
      <c r="E669">
        <v>5.2388773027325799</v>
      </c>
      <c r="F669">
        <v>3.9643015796775098</v>
      </c>
      <c r="G669">
        <v>152.11537098911401</v>
      </c>
      <c r="H669">
        <v>24.936249891227501</v>
      </c>
      <c r="I669">
        <v>48.187943828896003</v>
      </c>
      <c r="J669">
        <v>33.269411574764099</v>
      </c>
      <c r="K669">
        <v>25864.702102340299</v>
      </c>
      <c r="L669">
        <v>761.04631780635395</v>
      </c>
      <c r="M669">
        <v>5.5900543630806702E-2</v>
      </c>
      <c r="N669">
        <v>1.9406964174509898E-2</v>
      </c>
      <c r="O669">
        <v>0.78532560690134401</v>
      </c>
      <c r="P669">
        <v>2.2050710319163901E-2</v>
      </c>
      <c r="Q669">
        <v>0.53884631900595703</v>
      </c>
      <c r="R669">
        <v>0</v>
      </c>
      <c r="S669">
        <v>155</v>
      </c>
      <c r="T669">
        <v>30</v>
      </c>
      <c r="U669">
        <v>65204914</v>
      </c>
      <c r="V669">
        <v>2521</v>
      </c>
    </row>
    <row r="670" spans="1:22" x14ac:dyDescent="0.25">
      <c r="A670">
        <v>0.98713021701513803</v>
      </c>
      <c r="B670">
        <v>14.396138546248601</v>
      </c>
      <c r="C670">
        <v>18.3665269596126</v>
      </c>
      <c r="D670">
        <v>0</v>
      </c>
      <c r="E670">
        <v>5.2407642310880904</v>
      </c>
      <c r="F670">
        <v>3.9546409815788199</v>
      </c>
      <c r="G670">
        <v>152.17946384637301</v>
      </c>
      <c r="H670">
        <v>24.8282699335122</v>
      </c>
      <c r="I670">
        <v>51.107498926752399</v>
      </c>
      <c r="J670">
        <v>42.738350828131502</v>
      </c>
      <c r="K670">
        <v>35787.324991133297</v>
      </c>
      <c r="L670">
        <v>758.94163026932597</v>
      </c>
      <c r="M670">
        <v>6.8373312113296003E-2</v>
      </c>
      <c r="N670">
        <v>3.3090144834876899E-2</v>
      </c>
      <c r="O670">
        <v>0.75064044908923999</v>
      </c>
      <c r="P670">
        <v>3.1945724096473803E-2</v>
      </c>
      <c r="Q670">
        <v>0.58742610630713998</v>
      </c>
      <c r="R670">
        <v>0</v>
      </c>
      <c r="S670">
        <v>155</v>
      </c>
      <c r="T670">
        <v>40</v>
      </c>
      <c r="U670">
        <v>221988776.91999999</v>
      </c>
      <c r="V670">
        <v>6203</v>
      </c>
    </row>
    <row r="671" spans="1:22" x14ac:dyDescent="0.25">
      <c r="A671">
        <v>0.98499714608504796</v>
      </c>
      <c r="B671">
        <v>16.589703272017399</v>
      </c>
      <c r="C671">
        <v>15.3471476827673</v>
      </c>
      <c r="D671">
        <v>0</v>
      </c>
      <c r="E671">
        <v>5.2205021652706698</v>
      </c>
      <c r="F671">
        <v>3.93031571079527</v>
      </c>
      <c r="G671">
        <v>152.154252556405</v>
      </c>
      <c r="H671">
        <v>25.185511058081001</v>
      </c>
      <c r="I671">
        <v>52.730540074352</v>
      </c>
      <c r="J671">
        <v>46.577761968287803</v>
      </c>
      <c r="K671">
        <v>45792.397886077</v>
      </c>
      <c r="L671">
        <v>756.98046246382705</v>
      </c>
      <c r="M671">
        <v>7.1998106721917601E-2</v>
      </c>
      <c r="N671">
        <v>3.7553992039742898E-2</v>
      </c>
      <c r="O671">
        <v>0.72766439027995999</v>
      </c>
      <c r="P671">
        <v>3.2275183392514201E-2</v>
      </c>
      <c r="Q671">
        <v>0.63191713067784006</v>
      </c>
      <c r="R671">
        <v>0</v>
      </c>
      <c r="S671">
        <v>155</v>
      </c>
      <c r="T671">
        <v>50</v>
      </c>
      <c r="U671">
        <v>548272379.88999999</v>
      </c>
      <c r="V671">
        <v>11973</v>
      </c>
    </row>
    <row r="672" spans="1:22" x14ac:dyDescent="0.25">
      <c r="A672">
        <v>0.98340000748098799</v>
      </c>
      <c r="B672">
        <v>18.1982702704011</v>
      </c>
      <c r="C672">
        <v>16.012362987549501</v>
      </c>
      <c r="D672">
        <v>0</v>
      </c>
      <c r="E672">
        <v>5.2075412231811304</v>
      </c>
      <c r="F672">
        <v>3.9092592932178301</v>
      </c>
      <c r="G672">
        <v>152.15918759461201</v>
      </c>
      <c r="H672">
        <v>25.1578304562052</v>
      </c>
      <c r="I672">
        <v>56.590939930469702</v>
      </c>
      <c r="J672">
        <v>51.228343898586402</v>
      </c>
      <c r="K672">
        <v>55369.052211861599</v>
      </c>
      <c r="L672">
        <v>754.86037969488996</v>
      </c>
      <c r="M672">
        <v>8.2634294534634903E-2</v>
      </c>
      <c r="N672">
        <v>5.1670782442644003E-2</v>
      </c>
      <c r="O672">
        <v>0.71784967041529002</v>
      </c>
      <c r="P672">
        <v>3.0701792611123602E-2</v>
      </c>
      <c r="Q672">
        <v>0.68126324255707205</v>
      </c>
      <c r="R672">
        <v>0</v>
      </c>
      <c r="S672">
        <v>155</v>
      </c>
      <c r="T672">
        <v>60</v>
      </c>
      <c r="U672">
        <v>1021337537.1</v>
      </c>
      <c r="V672">
        <v>18446</v>
      </c>
    </row>
    <row r="673" spans="1:22" x14ac:dyDescent="0.25">
      <c r="A673">
        <v>0.98221043658707297</v>
      </c>
      <c r="B673">
        <v>19.377820667032601</v>
      </c>
      <c r="C673">
        <v>14.236920404519299</v>
      </c>
      <c r="D673">
        <v>0</v>
      </c>
      <c r="E673">
        <v>5.1834190157454199</v>
      </c>
      <c r="F673">
        <v>3.8823587316205002</v>
      </c>
      <c r="G673">
        <v>152.149070991071</v>
      </c>
      <c r="H673">
        <v>25.285104686968399</v>
      </c>
      <c r="I673">
        <v>58.831956727827503</v>
      </c>
      <c r="J673">
        <v>53.919284368437403</v>
      </c>
      <c r="K673">
        <v>65175.607654164698</v>
      </c>
      <c r="L673">
        <v>754.78440885465704</v>
      </c>
      <c r="M673">
        <v>9.8920280991286094E-2</v>
      </c>
      <c r="N673">
        <v>4.2482634617349302E-2</v>
      </c>
      <c r="O673">
        <v>0.72805830566362195</v>
      </c>
      <c r="P673">
        <v>3.1830206078064603E-2</v>
      </c>
      <c r="Q673">
        <v>0.70716353868856197</v>
      </c>
      <c r="R673">
        <v>0</v>
      </c>
      <c r="S673">
        <v>155</v>
      </c>
      <c r="T673">
        <v>70</v>
      </c>
      <c r="U673">
        <v>1596997914.3499999</v>
      </c>
      <c r="V673">
        <v>24503</v>
      </c>
    </row>
    <row r="674" spans="1:22" x14ac:dyDescent="0.25">
      <c r="A674">
        <v>0.981014150110603</v>
      </c>
      <c r="B674">
        <v>20.548287929893199</v>
      </c>
      <c r="C674">
        <v>16.979308092924398</v>
      </c>
      <c r="D674">
        <v>0</v>
      </c>
      <c r="E674">
        <v>5.1672311728926497</v>
      </c>
      <c r="F674">
        <v>3.8639332788278602</v>
      </c>
      <c r="G674">
        <v>152.14916962989099</v>
      </c>
      <c r="H674">
        <v>26.1183260068583</v>
      </c>
      <c r="I674">
        <v>59.636448504787403</v>
      </c>
      <c r="J674">
        <v>55.291060434562503</v>
      </c>
      <c r="K674">
        <v>75027.051230040903</v>
      </c>
      <c r="L674">
        <v>757.42372712897202</v>
      </c>
      <c r="M674">
        <v>0.100051416812557</v>
      </c>
      <c r="N674">
        <v>3.8562731008074502E-2</v>
      </c>
      <c r="O674">
        <v>0.71055981830523796</v>
      </c>
      <c r="P674">
        <v>3.2493218948966E-2</v>
      </c>
      <c r="Q674">
        <v>0.73153253327548695</v>
      </c>
      <c r="R674">
        <v>0</v>
      </c>
      <c r="S674">
        <v>155</v>
      </c>
      <c r="T674">
        <v>80</v>
      </c>
      <c r="U674">
        <v>2123865766.22</v>
      </c>
      <c r="V674">
        <v>28308</v>
      </c>
    </row>
    <row r="675" spans="1:22" x14ac:dyDescent="0.25">
      <c r="A675">
        <v>0.98004985908467501</v>
      </c>
      <c r="B675">
        <v>21.4804057397652</v>
      </c>
      <c r="C675">
        <v>16.450051959479801</v>
      </c>
      <c r="D675">
        <v>0</v>
      </c>
      <c r="E675">
        <v>5.1523282018069798</v>
      </c>
      <c r="F675">
        <v>3.8385966818814201</v>
      </c>
      <c r="G675">
        <v>152.155186792737</v>
      </c>
      <c r="H675">
        <v>26.391575308612399</v>
      </c>
      <c r="I675">
        <v>62.667625433857403</v>
      </c>
      <c r="J675">
        <v>58.132653365856598</v>
      </c>
      <c r="K675">
        <v>85029.8995907028</v>
      </c>
      <c r="L675">
        <v>757.44059745779396</v>
      </c>
      <c r="M675">
        <v>0.10701785050646</v>
      </c>
      <c r="N675">
        <v>3.8793408391267603E-2</v>
      </c>
      <c r="O675">
        <v>0.70593238599608998</v>
      </c>
      <c r="P675">
        <v>3.3072234317206801E-2</v>
      </c>
      <c r="Q675">
        <v>0.73772898592935798</v>
      </c>
      <c r="R675">
        <v>0</v>
      </c>
      <c r="S675">
        <v>155</v>
      </c>
      <c r="T675">
        <v>90</v>
      </c>
      <c r="U675">
        <v>2586439485.75</v>
      </c>
      <c r="V675">
        <v>30418</v>
      </c>
    </row>
    <row r="676" spans="1:22" x14ac:dyDescent="0.25">
      <c r="A676">
        <v>0.97906019362371999</v>
      </c>
      <c r="B676">
        <v>22.4266187244863</v>
      </c>
      <c r="C676">
        <v>19.4757239493238</v>
      </c>
      <c r="D676">
        <v>0</v>
      </c>
      <c r="E676">
        <v>5.1454012280835997</v>
      </c>
      <c r="F676">
        <v>3.8309997043286899</v>
      </c>
      <c r="G676">
        <v>152.14795343053399</v>
      </c>
      <c r="H676">
        <v>26.6800716629111</v>
      </c>
      <c r="I676">
        <v>62.4168239735084</v>
      </c>
      <c r="J676">
        <v>58.207908221449003</v>
      </c>
      <c r="K676">
        <v>95083.042741835903</v>
      </c>
      <c r="L676">
        <v>758.122135546187</v>
      </c>
      <c r="M676">
        <v>0.113567000877369</v>
      </c>
      <c r="N676">
        <v>3.9815994242164601E-2</v>
      </c>
      <c r="O676">
        <v>0.689900178024352</v>
      </c>
      <c r="P676">
        <v>3.6641762248856499E-2</v>
      </c>
      <c r="Q676">
        <v>0.71817036812063095</v>
      </c>
      <c r="R676">
        <v>0</v>
      </c>
      <c r="S676">
        <v>155</v>
      </c>
      <c r="T676">
        <v>100</v>
      </c>
      <c r="U676">
        <v>3389139975.4899998</v>
      </c>
      <c r="V676">
        <v>35644</v>
      </c>
    </row>
    <row r="677" spans="1:22" x14ac:dyDescent="0.25">
      <c r="A677">
        <v>0.978204090137334</v>
      </c>
      <c r="B677">
        <v>23.236690060891199</v>
      </c>
      <c r="C677">
        <v>20.025742423054499</v>
      </c>
      <c r="D677">
        <v>0</v>
      </c>
      <c r="E677">
        <v>5.1355094065823303</v>
      </c>
      <c r="F677">
        <v>3.8156316902898899</v>
      </c>
      <c r="G677">
        <v>152.16137475756801</v>
      </c>
      <c r="H677">
        <v>26.7706794141444</v>
      </c>
      <c r="I677">
        <v>64.614705857505996</v>
      </c>
      <c r="J677">
        <v>60.252122147887398</v>
      </c>
      <c r="K677">
        <v>104874.954902388</v>
      </c>
      <c r="L677">
        <v>756.69681968458895</v>
      </c>
      <c r="M677">
        <v>0.132900608104182</v>
      </c>
      <c r="N677">
        <v>3.86956573225892E-2</v>
      </c>
      <c r="O677">
        <v>0.67915541414254099</v>
      </c>
      <c r="P677">
        <v>3.6285588886643898E-2</v>
      </c>
      <c r="Q677">
        <v>0.74274292047380697</v>
      </c>
      <c r="R677">
        <v>0</v>
      </c>
      <c r="S677">
        <v>155</v>
      </c>
      <c r="T677">
        <v>110</v>
      </c>
      <c r="U677">
        <v>3217878241.27</v>
      </c>
      <c r="V677">
        <v>30683</v>
      </c>
    </row>
    <row r="678" spans="1:22" x14ac:dyDescent="0.25">
      <c r="A678">
        <v>0.97730675349292995</v>
      </c>
      <c r="B678">
        <v>24.0774478267058</v>
      </c>
      <c r="C678">
        <v>22.943859047664098</v>
      </c>
      <c r="D678">
        <v>0</v>
      </c>
      <c r="E678">
        <v>5.1262685787175997</v>
      </c>
      <c r="F678">
        <v>3.8062961247687102</v>
      </c>
      <c r="G678">
        <v>152.166401901813</v>
      </c>
      <c r="H678">
        <v>27.048511065042199</v>
      </c>
      <c r="I678">
        <v>65.422462823143803</v>
      </c>
      <c r="J678">
        <v>61.041685876320898</v>
      </c>
      <c r="K678">
        <v>114994.43971209601</v>
      </c>
      <c r="L678">
        <v>757.41471402985496</v>
      </c>
      <c r="M678">
        <v>0.13575539527693201</v>
      </c>
      <c r="N678">
        <v>3.76938969080578E-2</v>
      </c>
      <c r="O678">
        <v>0.67155269786731597</v>
      </c>
      <c r="P678">
        <v>3.6244155842187299E-2</v>
      </c>
      <c r="Q678">
        <v>0.73759427976723901</v>
      </c>
      <c r="R678">
        <v>0</v>
      </c>
      <c r="S678">
        <v>155</v>
      </c>
      <c r="T678">
        <v>120</v>
      </c>
      <c r="U678">
        <v>3466967362.8800001</v>
      </c>
      <c r="V678">
        <v>30149</v>
      </c>
    </row>
    <row r="679" spans="1:22" x14ac:dyDescent="0.25">
      <c r="A679">
        <v>0.97652553390637198</v>
      </c>
      <c r="B679">
        <v>24.802527604843899</v>
      </c>
      <c r="C679">
        <v>23.982487711827599</v>
      </c>
      <c r="D679">
        <v>0</v>
      </c>
      <c r="E679">
        <v>5.1215964492024399</v>
      </c>
      <c r="F679">
        <v>3.8010196781744701</v>
      </c>
      <c r="G679">
        <v>152.171184412218</v>
      </c>
      <c r="H679">
        <v>27.0340328716632</v>
      </c>
      <c r="I679">
        <v>65.483823909551404</v>
      </c>
      <c r="J679">
        <v>61.249324006393003</v>
      </c>
      <c r="K679">
        <v>124857.25422726601</v>
      </c>
      <c r="L679">
        <v>757.03851025397603</v>
      </c>
      <c r="M679">
        <v>0.13834937425189101</v>
      </c>
      <c r="N679">
        <v>3.5849526636973501E-2</v>
      </c>
      <c r="O679">
        <v>0.66364803925148996</v>
      </c>
      <c r="P679">
        <v>3.9903251569656698E-2</v>
      </c>
      <c r="Q679">
        <v>0.75032288291156601</v>
      </c>
      <c r="R679">
        <v>0</v>
      </c>
      <c r="S679">
        <v>155</v>
      </c>
      <c r="T679">
        <v>130</v>
      </c>
      <c r="U679">
        <v>3536956297.75</v>
      </c>
      <c r="V679">
        <v>28328</v>
      </c>
    </row>
    <row r="680" spans="1:22" x14ac:dyDescent="0.25">
      <c r="A680">
        <v>0.97583337103106604</v>
      </c>
      <c r="B680">
        <v>25.439641138416398</v>
      </c>
      <c r="C680">
        <v>25.313647654429001</v>
      </c>
      <c r="D680">
        <v>0</v>
      </c>
      <c r="E680">
        <v>5.1175185747960299</v>
      </c>
      <c r="F680">
        <v>3.7959022945129002</v>
      </c>
      <c r="G680">
        <v>152.157092483957</v>
      </c>
      <c r="H680">
        <v>27.149871911784199</v>
      </c>
      <c r="I680">
        <v>66.039954908077505</v>
      </c>
      <c r="J680">
        <v>61.774136531822002</v>
      </c>
      <c r="K680">
        <v>134944.66197298199</v>
      </c>
      <c r="L680">
        <v>757.47290514761698</v>
      </c>
      <c r="M680">
        <v>0.13862728837576499</v>
      </c>
      <c r="N680">
        <v>3.3230827069674999E-2</v>
      </c>
      <c r="O680">
        <v>0.66089995646959698</v>
      </c>
      <c r="P680">
        <v>4.2590616711083301E-2</v>
      </c>
      <c r="Q680">
        <v>0.75258683847166596</v>
      </c>
      <c r="R680">
        <v>0</v>
      </c>
      <c r="S680">
        <v>155</v>
      </c>
      <c r="T680">
        <v>140</v>
      </c>
      <c r="U680">
        <v>3566182581.96</v>
      </c>
      <c r="V680">
        <v>26427</v>
      </c>
    </row>
    <row r="681" spans="1:22" x14ac:dyDescent="0.25">
      <c r="A681">
        <v>0.97490536700799102</v>
      </c>
      <c r="B681">
        <v>26.286075228625101</v>
      </c>
      <c r="C681">
        <v>26.223721926977401</v>
      </c>
      <c r="D681">
        <v>0</v>
      </c>
      <c r="E681">
        <v>5.1133406638794998</v>
      </c>
      <c r="F681">
        <v>3.7946743303694399</v>
      </c>
      <c r="G681">
        <v>152.16691696630599</v>
      </c>
      <c r="H681">
        <v>27.290767659986901</v>
      </c>
      <c r="I681">
        <v>64.926737548798599</v>
      </c>
      <c r="J681">
        <v>60.956671680640298</v>
      </c>
      <c r="K681">
        <v>144894.99963557901</v>
      </c>
      <c r="L681">
        <v>757.23736662680699</v>
      </c>
      <c r="M681">
        <v>0.138791617322056</v>
      </c>
      <c r="N681">
        <v>3.61874877388089E-2</v>
      </c>
      <c r="O681">
        <v>0.652282429727847</v>
      </c>
      <c r="P681">
        <v>4.4972371650447901E-2</v>
      </c>
      <c r="Q681">
        <v>0.75927659795512703</v>
      </c>
      <c r="R681">
        <v>0</v>
      </c>
      <c r="S681">
        <v>155</v>
      </c>
      <c r="T681">
        <v>150</v>
      </c>
      <c r="U681">
        <v>3697720390.6999998</v>
      </c>
      <c r="V681">
        <v>25520</v>
      </c>
    </row>
    <row r="682" spans="1:22" x14ac:dyDescent="0.25">
      <c r="A682">
        <v>0.97415626197076699</v>
      </c>
      <c r="B682">
        <v>26.962900358751199</v>
      </c>
      <c r="C682">
        <v>27.832501269194701</v>
      </c>
      <c r="D682">
        <v>0</v>
      </c>
      <c r="E682">
        <v>5.1217923074491702</v>
      </c>
      <c r="F682">
        <v>3.7963397167633</v>
      </c>
      <c r="G682">
        <v>152.15977980622401</v>
      </c>
      <c r="H682">
        <v>27.4071928553509</v>
      </c>
      <c r="I682">
        <v>66.295124745126202</v>
      </c>
      <c r="J682">
        <v>62.279759248407601</v>
      </c>
      <c r="K682">
        <v>154936.77728743799</v>
      </c>
      <c r="L682">
        <v>755.71831154267795</v>
      </c>
      <c r="M682">
        <v>0.15398794421187301</v>
      </c>
      <c r="N682">
        <v>3.7752732163257099E-2</v>
      </c>
      <c r="O682">
        <v>0.65629374853070499</v>
      </c>
      <c r="P682">
        <v>4.7911784515011997E-2</v>
      </c>
      <c r="Q682">
        <v>0.77124694368756697</v>
      </c>
      <c r="R682">
        <v>0</v>
      </c>
      <c r="S682">
        <v>155</v>
      </c>
      <c r="T682">
        <v>160</v>
      </c>
      <c r="U682">
        <v>3504205091.9099998</v>
      </c>
      <c r="V682">
        <v>22617</v>
      </c>
    </row>
    <row r="683" spans="1:22" x14ac:dyDescent="0.25">
      <c r="A683">
        <v>0.97314463680818497</v>
      </c>
      <c r="B683">
        <v>27.8678757569574</v>
      </c>
      <c r="C683">
        <v>28.129713111227101</v>
      </c>
      <c r="D683">
        <v>0</v>
      </c>
      <c r="E683">
        <v>5.1169399397000896</v>
      </c>
      <c r="F683">
        <v>3.78932780894031</v>
      </c>
      <c r="G683">
        <v>152.15920496726599</v>
      </c>
      <c r="H683">
        <v>27.620620302715501</v>
      </c>
      <c r="I683">
        <v>66.884905536540998</v>
      </c>
      <c r="J683">
        <v>62.8437411296429</v>
      </c>
      <c r="K683">
        <v>164971.085582439</v>
      </c>
      <c r="L683">
        <v>756.64459336087805</v>
      </c>
      <c r="M683">
        <v>0.15278637177951301</v>
      </c>
      <c r="N683">
        <v>3.7914969962556097E-2</v>
      </c>
      <c r="O683">
        <v>0.63979492840571595</v>
      </c>
      <c r="P683">
        <v>5.3811220382591299E-2</v>
      </c>
      <c r="Q683">
        <v>0.75971595668940095</v>
      </c>
      <c r="R683">
        <v>0</v>
      </c>
      <c r="S683">
        <v>155</v>
      </c>
      <c r="T683">
        <v>170</v>
      </c>
      <c r="U683">
        <v>3490953142.0100002</v>
      </c>
      <c r="V683">
        <v>21161</v>
      </c>
    </row>
    <row r="684" spans="1:22" x14ac:dyDescent="0.25">
      <c r="A684">
        <v>0.963526420559495</v>
      </c>
      <c r="B684">
        <v>35.972943921662598</v>
      </c>
      <c r="C684">
        <v>37.603369555358398</v>
      </c>
      <c r="D684">
        <v>0</v>
      </c>
      <c r="E684">
        <v>5.0865248066512896</v>
      </c>
      <c r="F684">
        <v>3.76288443300689</v>
      </c>
      <c r="G684">
        <v>152.16214420708801</v>
      </c>
      <c r="H684">
        <v>27.485903338493699</v>
      </c>
      <c r="I684">
        <v>67.325137184953107</v>
      </c>
      <c r="J684">
        <v>63.058031718198002</v>
      </c>
      <c r="K684">
        <v>277284.42147552199</v>
      </c>
      <c r="L684">
        <v>754.95924510588304</v>
      </c>
      <c r="M684">
        <v>0.211526288697996</v>
      </c>
      <c r="N684">
        <v>4.14925532159146E-2</v>
      </c>
      <c r="O684">
        <v>0.59026141928222298</v>
      </c>
      <c r="P684">
        <v>9.7084523219674396E-2</v>
      </c>
      <c r="Q684">
        <v>0.75083205684452203</v>
      </c>
      <c r="R684">
        <v>0</v>
      </c>
      <c r="S684">
        <v>155</v>
      </c>
      <c r="T684">
        <v>175</v>
      </c>
      <c r="U684">
        <v>58652587252.610001</v>
      </c>
      <c r="V684">
        <v>211525</v>
      </c>
    </row>
    <row r="685" spans="1:22" x14ac:dyDescent="0.25">
      <c r="A685">
        <v>0.97244150939947804</v>
      </c>
      <c r="B685">
        <v>28.490808957176</v>
      </c>
      <c r="C685">
        <v>29.203557926907799</v>
      </c>
      <c r="D685">
        <v>0</v>
      </c>
      <c r="E685">
        <v>5.1085909986761298</v>
      </c>
      <c r="F685">
        <v>3.7840586844564998</v>
      </c>
      <c r="G685">
        <v>152.153236259956</v>
      </c>
      <c r="H685">
        <v>27.309499515531702</v>
      </c>
      <c r="I685">
        <v>66.553830979719706</v>
      </c>
      <c r="J685">
        <v>62.370119921910401</v>
      </c>
      <c r="K685">
        <v>172472.37399164101</v>
      </c>
      <c r="L685">
        <v>756.02108052385302</v>
      </c>
      <c r="M685">
        <v>0.15327782024744999</v>
      </c>
      <c r="N685">
        <v>3.6636871802579997E-2</v>
      </c>
      <c r="O685">
        <v>0.63933274373301896</v>
      </c>
      <c r="P685">
        <v>5.2355777736846798E-2</v>
      </c>
      <c r="Q685">
        <v>0.76186148647076801</v>
      </c>
      <c r="R685">
        <v>0</v>
      </c>
      <c r="S685">
        <v>155</v>
      </c>
      <c r="T685">
        <v>180</v>
      </c>
      <c r="U685">
        <v>1774568256</v>
      </c>
      <c r="V685">
        <v>10289</v>
      </c>
    </row>
    <row r="686" spans="1:22" x14ac:dyDescent="0.25">
      <c r="A686">
        <v>0.99245869710298895</v>
      </c>
      <c r="B686">
        <v>8.6834904785754503</v>
      </c>
      <c r="C686">
        <v>92.739185513132099</v>
      </c>
      <c r="D686">
        <v>0</v>
      </c>
      <c r="E686">
        <v>5.1056469996866598</v>
      </c>
      <c r="F686">
        <v>3.8237432919565202</v>
      </c>
      <c r="G686">
        <v>157.843447225202</v>
      </c>
      <c r="H686">
        <v>27.881839182963901</v>
      </c>
      <c r="I686">
        <v>54.654535765703997</v>
      </c>
      <c r="J686">
        <v>5.5748209077432103</v>
      </c>
      <c r="K686">
        <v>5848.2871495327099</v>
      </c>
      <c r="L686">
        <v>772.59972084645403</v>
      </c>
      <c r="M686">
        <v>2.23957897409773E-2</v>
      </c>
      <c r="N686">
        <v>1.44606003139588E-2</v>
      </c>
      <c r="O686">
        <v>0.63558274850744101</v>
      </c>
      <c r="P686">
        <v>1.4275515368766201E-2</v>
      </c>
      <c r="Q686">
        <v>0.41714990118721901</v>
      </c>
      <c r="R686">
        <v>0</v>
      </c>
      <c r="S686">
        <v>160</v>
      </c>
      <c r="T686">
        <v>10</v>
      </c>
      <c r="U686">
        <v>2503066.9</v>
      </c>
      <c r="V686">
        <v>428</v>
      </c>
    </row>
    <row r="687" spans="1:22" x14ac:dyDescent="0.25">
      <c r="A687">
        <v>0.99174297365291897</v>
      </c>
      <c r="B687">
        <v>9.4706114749105392</v>
      </c>
      <c r="C687">
        <v>60.167280519611701</v>
      </c>
      <c r="D687">
        <v>0</v>
      </c>
      <c r="E687">
        <v>5.1673981208508497</v>
      </c>
      <c r="F687">
        <v>3.8735115741386799</v>
      </c>
      <c r="G687">
        <v>157.79671679160299</v>
      </c>
      <c r="H687">
        <v>27.3535927739313</v>
      </c>
      <c r="I687">
        <v>50.144852651939502</v>
      </c>
      <c r="J687">
        <v>16.470927612490598</v>
      </c>
      <c r="K687">
        <v>15867.4142263759</v>
      </c>
      <c r="L687">
        <v>767.95070640307699</v>
      </c>
      <c r="M687">
        <v>6.1637403284992703E-2</v>
      </c>
      <c r="N687">
        <v>2.72315575016201E-2</v>
      </c>
      <c r="O687">
        <v>0.73207610071042994</v>
      </c>
      <c r="P687">
        <v>2.4696559526872199E-2</v>
      </c>
      <c r="Q687">
        <v>0.50948738187084597</v>
      </c>
      <c r="R687">
        <v>0</v>
      </c>
      <c r="S687">
        <v>160</v>
      </c>
      <c r="T687">
        <v>20</v>
      </c>
      <c r="U687">
        <v>15280319.9</v>
      </c>
      <c r="V687">
        <v>963</v>
      </c>
    </row>
    <row r="688" spans="1:22" x14ac:dyDescent="0.25">
      <c r="A688">
        <v>0.98928988685853203</v>
      </c>
      <c r="B688">
        <v>12.121459873312901</v>
      </c>
      <c r="C688">
        <v>31.684072617650699</v>
      </c>
      <c r="D688">
        <v>0</v>
      </c>
      <c r="E688">
        <v>5.1866328193944504</v>
      </c>
      <c r="F688">
        <v>3.8849242195478801</v>
      </c>
      <c r="G688">
        <v>157.735428252406</v>
      </c>
      <c r="H688">
        <v>26.141416434817099</v>
      </c>
      <c r="I688">
        <v>47.2355199769707</v>
      </c>
      <c r="J688">
        <v>30.9770805966285</v>
      </c>
      <c r="K688">
        <v>25877.228602996202</v>
      </c>
      <c r="L688">
        <v>763.62556814196796</v>
      </c>
      <c r="M688">
        <v>6.0438765412559603E-2</v>
      </c>
      <c r="N688">
        <v>2.48912974371958E-2</v>
      </c>
      <c r="O688">
        <v>0.77003486725110903</v>
      </c>
      <c r="P688">
        <v>2.7557667432845701E-2</v>
      </c>
      <c r="Q688">
        <v>0.53925127395678496</v>
      </c>
      <c r="R688">
        <v>0</v>
      </c>
      <c r="S688">
        <v>160</v>
      </c>
      <c r="T688">
        <v>30</v>
      </c>
      <c r="U688">
        <v>69092200.370000005</v>
      </c>
      <c r="V688">
        <v>2670</v>
      </c>
    </row>
    <row r="689" spans="1:22" x14ac:dyDescent="0.25">
      <c r="A689">
        <v>0.98680565307152901</v>
      </c>
      <c r="B689">
        <v>14.7332823716298</v>
      </c>
      <c r="C689">
        <v>20.872359478923499</v>
      </c>
      <c r="D689">
        <v>0</v>
      </c>
      <c r="E689">
        <v>5.1891054748105203</v>
      </c>
      <c r="F689">
        <v>3.8712140920125901</v>
      </c>
      <c r="G689">
        <v>157.657315722725</v>
      </c>
      <c r="H689">
        <v>25.8130749018686</v>
      </c>
      <c r="I689">
        <v>49.449350150543196</v>
      </c>
      <c r="J689">
        <v>40.462194811417497</v>
      </c>
      <c r="K689">
        <v>35714.333080065298</v>
      </c>
      <c r="L689">
        <v>759.77335725037301</v>
      </c>
      <c r="M689">
        <v>7.2069124137867105E-2</v>
      </c>
      <c r="N689">
        <v>3.1075489721026101E-2</v>
      </c>
      <c r="O689">
        <v>0.76191026625475999</v>
      </c>
      <c r="P689">
        <v>3.4633091205400597E-2</v>
      </c>
      <c r="Q689">
        <v>0.59958207927975404</v>
      </c>
      <c r="R689">
        <v>0</v>
      </c>
      <c r="S689">
        <v>160</v>
      </c>
      <c r="T689">
        <v>40</v>
      </c>
      <c r="U689">
        <v>218571718.44999999</v>
      </c>
      <c r="V689">
        <v>6120</v>
      </c>
    </row>
    <row r="690" spans="1:22" x14ac:dyDescent="0.25">
      <c r="A690">
        <v>0.98478372858997498</v>
      </c>
      <c r="B690">
        <v>16.806313263809201</v>
      </c>
      <c r="C690">
        <v>16.8714003451562</v>
      </c>
      <c r="D690">
        <v>0</v>
      </c>
      <c r="E690">
        <v>5.1850758297839201</v>
      </c>
      <c r="F690">
        <v>3.8617071389688502</v>
      </c>
      <c r="G690">
        <v>157.68608074540899</v>
      </c>
      <c r="H690">
        <v>25.9435250056485</v>
      </c>
      <c r="I690">
        <v>51.128656092431299</v>
      </c>
      <c r="J690">
        <v>44.487595079745397</v>
      </c>
      <c r="K690">
        <v>45727.7448602433</v>
      </c>
      <c r="L690">
        <v>759.41099041596897</v>
      </c>
      <c r="M690">
        <v>7.6357609329123194E-2</v>
      </c>
      <c r="N690">
        <v>3.48356190413723E-2</v>
      </c>
      <c r="O690">
        <v>0.73571369585229296</v>
      </c>
      <c r="P690">
        <v>3.5327516681381101E-2</v>
      </c>
      <c r="Q690">
        <v>0.64151162550289398</v>
      </c>
      <c r="R690">
        <v>0</v>
      </c>
      <c r="S690">
        <v>160</v>
      </c>
      <c r="T690">
        <v>50</v>
      </c>
      <c r="U690">
        <v>556232288.48000002</v>
      </c>
      <c r="V690">
        <v>12164</v>
      </c>
    </row>
    <row r="691" spans="1:22" x14ac:dyDescent="0.25">
      <c r="A691">
        <v>0.98325949455543904</v>
      </c>
      <c r="B691">
        <v>18.3384187959185</v>
      </c>
      <c r="C691">
        <v>15.675286042542201</v>
      </c>
      <c r="D691">
        <v>0</v>
      </c>
      <c r="E691">
        <v>5.1824431628039704</v>
      </c>
      <c r="F691">
        <v>3.8517268181439999</v>
      </c>
      <c r="G691">
        <v>157.657128808756</v>
      </c>
      <c r="H691">
        <v>25.7800363804329</v>
      </c>
      <c r="I691">
        <v>54.117851275858797</v>
      </c>
      <c r="J691">
        <v>48.477940828489501</v>
      </c>
      <c r="K691">
        <v>55384.301150264801</v>
      </c>
      <c r="L691">
        <v>757.58288325406795</v>
      </c>
      <c r="M691">
        <v>8.6328348027845905E-2</v>
      </c>
      <c r="N691">
        <v>4.1813762217595203E-2</v>
      </c>
      <c r="O691">
        <v>0.73631852230235595</v>
      </c>
      <c r="P691">
        <v>3.2670040962013903E-2</v>
      </c>
      <c r="Q691">
        <v>0.71441682089333702</v>
      </c>
      <c r="R691">
        <v>0</v>
      </c>
      <c r="S691">
        <v>160</v>
      </c>
      <c r="T691">
        <v>60</v>
      </c>
      <c r="U691">
        <v>993317441.13</v>
      </c>
      <c r="V691">
        <v>17935</v>
      </c>
    </row>
    <row r="692" spans="1:22" x14ac:dyDescent="0.25">
      <c r="A692">
        <v>0.98213403415474498</v>
      </c>
      <c r="B692">
        <v>19.453044009479001</v>
      </c>
      <c r="C692">
        <v>15.7423296359601</v>
      </c>
      <c r="D692">
        <v>0</v>
      </c>
      <c r="E692">
        <v>5.1655018922552998</v>
      </c>
      <c r="F692">
        <v>3.83243611368616</v>
      </c>
      <c r="G692">
        <v>157.644676479851</v>
      </c>
      <c r="H692">
        <v>25.774795786875799</v>
      </c>
      <c r="I692">
        <v>56.116986082564203</v>
      </c>
      <c r="J692">
        <v>50.956309924078099</v>
      </c>
      <c r="K692">
        <v>65212.460701987802</v>
      </c>
      <c r="L692">
        <v>757.94485538025299</v>
      </c>
      <c r="M692">
        <v>0.10044770498041999</v>
      </c>
      <c r="N692">
        <v>3.4307820731316802E-2</v>
      </c>
      <c r="O692">
        <v>0.739289572118632</v>
      </c>
      <c r="P692">
        <v>3.4722614064198402E-2</v>
      </c>
      <c r="Q692">
        <v>0.73721066828454396</v>
      </c>
      <c r="R692">
        <v>0</v>
      </c>
      <c r="S692">
        <v>160</v>
      </c>
      <c r="T692">
        <v>70</v>
      </c>
      <c r="U692">
        <v>1568098830.04</v>
      </c>
      <c r="V692">
        <v>24046</v>
      </c>
    </row>
    <row r="693" spans="1:22" x14ac:dyDescent="0.25">
      <c r="A693">
        <v>0.98099264412227205</v>
      </c>
      <c r="B693">
        <v>20.569186485790102</v>
      </c>
      <c r="C693">
        <v>16.987364902092299</v>
      </c>
      <c r="D693">
        <v>0</v>
      </c>
      <c r="E693">
        <v>5.1525301885587202</v>
      </c>
      <c r="F693">
        <v>3.81764092538956</v>
      </c>
      <c r="G693">
        <v>157.652541511355</v>
      </c>
      <c r="H693">
        <v>26.726164390063001</v>
      </c>
      <c r="I693">
        <v>56.8094150207898</v>
      </c>
      <c r="J693">
        <v>52.196898988645401</v>
      </c>
      <c r="K693">
        <v>75018.5590490092</v>
      </c>
      <c r="L693">
        <v>760.12937959478904</v>
      </c>
      <c r="M693">
        <v>0.105953488348418</v>
      </c>
      <c r="N693">
        <v>3.2002974896279499E-2</v>
      </c>
      <c r="O693">
        <v>0.73137934344887201</v>
      </c>
      <c r="P693">
        <v>3.2244601007938203E-2</v>
      </c>
      <c r="Q693">
        <v>0.75911341699401702</v>
      </c>
      <c r="R693">
        <v>0</v>
      </c>
      <c r="S693">
        <v>160</v>
      </c>
      <c r="T693">
        <v>80</v>
      </c>
      <c r="U693">
        <v>2055733573.6199999</v>
      </c>
      <c r="V693">
        <v>27403</v>
      </c>
    </row>
    <row r="694" spans="1:22" x14ac:dyDescent="0.25">
      <c r="A694">
        <v>0.980098790493657</v>
      </c>
      <c r="B694">
        <v>21.433349404119799</v>
      </c>
      <c r="C694">
        <v>19.751753475512398</v>
      </c>
      <c r="D694">
        <v>0</v>
      </c>
      <c r="E694">
        <v>5.1581841747843598</v>
      </c>
      <c r="F694">
        <v>3.80943758119292</v>
      </c>
      <c r="G694">
        <v>157.62880871174099</v>
      </c>
      <c r="H694">
        <v>27.071696344248501</v>
      </c>
      <c r="I694">
        <v>59.264790075226799</v>
      </c>
      <c r="J694">
        <v>54.757615784180302</v>
      </c>
      <c r="K694">
        <v>84993.209895072898</v>
      </c>
      <c r="L694">
        <v>758.99286978969303</v>
      </c>
      <c r="M694">
        <v>0.110056887434561</v>
      </c>
      <c r="N694">
        <v>3.4054333364116202E-2</v>
      </c>
      <c r="O694">
        <v>0.72768989686153096</v>
      </c>
      <c r="P694">
        <v>3.4618864254540603E-2</v>
      </c>
      <c r="Q694">
        <v>0.77095931896262904</v>
      </c>
      <c r="R694">
        <v>0</v>
      </c>
      <c r="S694">
        <v>160</v>
      </c>
      <c r="T694">
        <v>90</v>
      </c>
      <c r="U694">
        <v>2421966509.1700001</v>
      </c>
      <c r="V694">
        <v>28496</v>
      </c>
    </row>
    <row r="695" spans="1:22" x14ac:dyDescent="0.25">
      <c r="A695">
        <v>0.979127300131722</v>
      </c>
      <c r="B695">
        <v>22.362790473899999</v>
      </c>
      <c r="C695">
        <v>20.808678383513602</v>
      </c>
      <c r="D695">
        <v>0</v>
      </c>
      <c r="E695">
        <v>5.14351826682159</v>
      </c>
      <c r="F695">
        <v>3.7970118866456302</v>
      </c>
      <c r="G695">
        <v>157.65220197166599</v>
      </c>
      <c r="H695">
        <v>27.380245185088899</v>
      </c>
      <c r="I695">
        <v>58.811421972392999</v>
      </c>
      <c r="J695">
        <v>54.6296050019847</v>
      </c>
      <c r="K695">
        <v>95084.436065198301</v>
      </c>
      <c r="L695">
        <v>760.63872936743098</v>
      </c>
      <c r="M695">
        <v>0.11554728925777601</v>
      </c>
      <c r="N695">
        <v>3.3594075146725098E-2</v>
      </c>
      <c r="O695">
        <v>0.70966743327745396</v>
      </c>
      <c r="P695">
        <v>3.9397753341240002E-2</v>
      </c>
      <c r="Q695">
        <v>0.74947552853751398</v>
      </c>
      <c r="R695">
        <v>0</v>
      </c>
      <c r="S695">
        <v>160</v>
      </c>
      <c r="T695">
        <v>100</v>
      </c>
      <c r="U695">
        <v>3155947517.4400001</v>
      </c>
      <c r="V695">
        <v>33191</v>
      </c>
    </row>
    <row r="696" spans="1:22" x14ac:dyDescent="0.25">
      <c r="A696">
        <v>0.97834986727006101</v>
      </c>
      <c r="B696">
        <v>23.099301408432002</v>
      </c>
      <c r="C696">
        <v>23.259772115102901</v>
      </c>
      <c r="D696">
        <v>0</v>
      </c>
      <c r="E696">
        <v>5.1494656736468398</v>
      </c>
      <c r="F696">
        <v>3.7942130126414</v>
      </c>
      <c r="G696">
        <v>157.63580894771201</v>
      </c>
      <c r="H696">
        <v>27.461070043457799</v>
      </c>
      <c r="I696">
        <v>61.1138128223932</v>
      </c>
      <c r="J696">
        <v>56.874738645748799</v>
      </c>
      <c r="K696">
        <v>104921.038678243</v>
      </c>
      <c r="L696">
        <v>759.02156553451096</v>
      </c>
      <c r="M696">
        <v>0.14318986817125601</v>
      </c>
      <c r="N696">
        <v>3.20265220275932E-2</v>
      </c>
      <c r="O696">
        <v>0.70941204247693102</v>
      </c>
      <c r="P696">
        <v>3.8338201997701903E-2</v>
      </c>
      <c r="Q696">
        <v>0.7837643016625</v>
      </c>
      <c r="R696">
        <v>0</v>
      </c>
      <c r="S696">
        <v>160</v>
      </c>
      <c r="T696">
        <v>110</v>
      </c>
      <c r="U696">
        <v>2906102929.3099999</v>
      </c>
      <c r="V696">
        <v>27698</v>
      </c>
    </row>
    <row r="697" spans="1:22" x14ac:dyDescent="0.25">
      <c r="A697">
        <v>0.97750883144826295</v>
      </c>
      <c r="B697">
        <v>23.888851148644001</v>
      </c>
      <c r="C697">
        <v>23.114844691135001</v>
      </c>
      <c r="D697">
        <v>0</v>
      </c>
      <c r="E697">
        <v>5.1433538982834399</v>
      </c>
      <c r="F697">
        <v>3.7861477811451199</v>
      </c>
      <c r="G697">
        <v>157.64914006083001</v>
      </c>
      <c r="H697">
        <v>27.669196201095399</v>
      </c>
      <c r="I697">
        <v>61.557314274392802</v>
      </c>
      <c r="J697">
        <v>57.348319418662399</v>
      </c>
      <c r="K697">
        <v>115046.24809302299</v>
      </c>
      <c r="L697">
        <v>758.03795369444401</v>
      </c>
      <c r="M697">
        <v>0.15036414252323799</v>
      </c>
      <c r="N697">
        <v>3.2920620665549502E-2</v>
      </c>
      <c r="O697">
        <v>0.70260651430624999</v>
      </c>
      <c r="P697">
        <v>4.1059212721042702E-2</v>
      </c>
      <c r="Q697">
        <v>0.77932246239622804</v>
      </c>
      <c r="R697">
        <v>0</v>
      </c>
      <c r="S697">
        <v>160</v>
      </c>
      <c r="T697">
        <v>120</v>
      </c>
      <c r="U697">
        <v>3091867917.5</v>
      </c>
      <c r="V697">
        <v>26875</v>
      </c>
    </row>
    <row r="698" spans="1:22" x14ac:dyDescent="0.25">
      <c r="A698">
        <v>0.97672175542865103</v>
      </c>
      <c r="B698">
        <v>24.621006323806501</v>
      </c>
      <c r="C698">
        <v>24.772988002101201</v>
      </c>
      <c r="D698">
        <v>0</v>
      </c>
      <c r="E698">
        <v>5.1363350267629801</v>
      </c>
      <c r="F698">
        <v>3.7795520620829199</v>
      </c>
      <c r="G698">
        <v>157.636214968643</v>
      </c>
      <c r="H698">
        <v>27.623161340396901</v>
      </c>
      <c r="I698">
        <v>61.495123232741904</v>
      </c>
      <c r="J698">
        <v>57.415465169914299</v>
      </c>
      <c r="K698">
        <v>124857.22745439</v>
      </c>
      <c r="L698">
        <v>758.45494680640297</v>
      </c>
      <c r="M698">
        <v>0.14518251687640699</v>
      </c>
      <c r="N698">
        <v>3.1578649935220998E-2</v>
      </c>
      <c r="O698">
        <v>0.69651424124224204</v>
      </c>
      <c r="P698">
        <v>4.5124647949376498E-2</v>
      </c>
      <c r="Q698">
        <v>0.78982112176731201</v>
      </c>
      <c r="R698">
        <v>0</v>
      </c>
      <c r="S698">
        <v>160</v>
      </c>
      <c r="T698">
        <v>130</v>
      </c>
      <c r="U698">
        <v>3072861224.8800001</v>
      </c>
      <c r="V698">
        <v>24611</v>
      </c>
    </row>
    <row r="699" spans="1:22" x14ac:dyDescent="0.25">
      <c r="A699">
        <v>0.97607666190536002</v>
      </c>
      <c r="B699">
        <v>25.216265916668998</v>
      </c>
      <c r="C699">
        <v>25.6484714875847</v>
      </c>
      <c r="D699">
        <v>0</v>
      </c>
      <c r="E699">
        <v>5.1377020670527802</v>
      </c>
      <c r="F699">
        <v>3.7782312506390001</v>
      </c>
      <c r="G699">
        <v>157.63090659086501</v>
      </c>
      <c r="H699">
        <v>27.646279202653002</v>
      </c>
      <c r="I699">
        <v>62.291634505472203</v>
      </c>
      <c r="J699">
        <v>58.228417487511997</v>
      </c>
      <c r="K699">
        <v>134950.403574119</v>
      </c>
      <c r="L699">
        <v>758.11457481841501</v>
      </c>
      <c r="M699">
        <v>0.15605883237214499</v>
      </c>
      <c r="N699">
        <v>3.3688780817562901E-2</v>
      </c>
      <c r="O699">
        <v>0.69151365193720105</v>
      </c>
      <c r="P699">
        <v>4.8334749894188102E-2</v>
      </c>
      <c r="Q699">
        <v>0.79438948073784399</v>
      </c>
      <c r="R699">
        <v>0</v>
      </c>
      <c r="S699">
        <v>160</v>
      </c>
      <c r="T699">
        <v>140</v>
      </c>
      <c r="U699">
        <v>3045155856.6500001</v>
      </c>
      <c r="V699">
        <v>22565</v>
      </c>
    </row>
    <row r="700" spans="1:22" x14ac:dyDescent="0.25">
      <c r="A700">
        <v>0.975135537886472</v>
      </c>
      <c r="B700">
        <v>26.076961418352099</v>
      </c>
      <c r="C700">
        <v>27.051844283387901</v>
      </c>
      <c r="D700">
        <v>0</v>
      </c>
      <c r="E700">
        <v>5.1269037865184899</v>
      </c>
      <c r="F700">
        <v>3.77234158974845</v>
      </c>
      <c r="G700">
        <v>157.667087186602</v>
      </c>
      <c r="H700">
        <v>27.796871218724899</v>
      </c>
      <c r="I700">
        <v>61.114808461172501</v>
      </c>
      <c r="J700">
        <v>57.154764368708697</v>
      </c>
      <c r="K700">
        <v>144847.53241257599</v>
      </c>
      <c r="L700">
        <v>757.80603518358305</v>
      </c>
      <c r="M700">
        <v>0.14778314082569599</v>
      </c>
      <c r="N700">
        <v>3.4355523204609703E-2</v>
      </c>
      <c r="O700">
        <v>0.676567479471327</v>
      </c>
      <c r="P700">
        <v>5.2417595567565999E-2</v>
      </c>
      <c r="Q700">
        <v>0.79630630974710603</v>
      </c>
      <c r="R700">
        <v>0</v>
      </c>
      <c r="S700">
        <v>160</v>
      </c>
      <c r="T700">
        <v>150</v>
      </c>
      <c r="U700">
        <v>3243281098.25</v>
      </c>
      <c r="V700">
        <v>22391</v>
      </c>
    </row>
    <row r="701" spans="1:22" x14ac:dyDescent="0.25">
      <c r="A701">
        <v>0.97441254931905397</v>
      </c>
      <c r="B701">
        <v>26.731985533885901</v>
      </c>
      <c r="C701">
        <v>28.8174749010625</v>
      </c>
      <c r="D701">
        <v>0</v>
      </c>
      <c r="E701">
        <v>5.14595877723964</v>
      </c>
      <c r="F701">
        <v>3.7802381575738799</v>
      </c>
      <c r="G701">
        <v>157.614501344155</v>
      </c>
      <c r="H701">
        <v>27.942128232931701</v>
      </c>
      <c r="I701">
        <v>62.856787692463499</v>
      </c>
      <c r="J701">
        <v>59.034775053477397</v>
      </c>
      <c r="K701">
        <v>154868.90644049799</v>
      </c>
      <c r="L701">
        <v>755.89775362625301</v>
      </c>
      <c r="M701">
        <v>0.16429178032474401</v>
      </c>
      <c r="N701">
        <v>3.5477109019160603E-2</v>
      </c>
      <c r="O701">
        <v>0.68823680625802397</v>
      </c>
      <c r="P701">
        <v>5.6419829444126497E-2</v>
      </c>
      <c r="Q701">
        <v>0.80529840501090399</v>
      </c>
      <c r="R701">
        <v>0</v>
      </c>
      <c r="S701">
        <v>160</v>
      </c>
      <c r="T701">
        <v>160</v>
      </c>
      <c r="U701">
        <v>2930739185.48</v>
      </c>
      <c r="V701">
        <v>18924</v>
      </c>
    </row>
    <row r="702" spans="1:22" x14ac:dyDescent="0.25">
      <c r="A702">
        <v>0.973440959665129</v>
      </c>
      <c r="B702">
        <v>27.6038628303066</v>
      </c>
      <c r="C702">
        <v>26.890060632391201</v>
      </c>
      <c r="D702">
        <v>0</v>
      </c>
      <c r="E702">
        <v>5.1395341082347903</v>
      </c>
      <c r="F702">
        <v>3.7733409110252998</v>
      </c>
      <c r="G702">
        <v>157.616805757224</v>
      </c>
      <c r="H702">
        <v>27.971787634919298</v>
      </c>
      <c r="I702">
        <v>62.971219334579999</v>
      </c>
      <c r="J702">
        <v>59.181012173856303</v>
      </c>
      <c r="K702">
        <v>164994.031641098</v>
      </c>
      <c r="L702">
        <v>757.23232157438895</v>
      </c>
      <c r="M702">
        <v>0.162234355210195</v>
      </c>
      <c r="N702">
        <v>3.4808181517458403E-2</v>
      </c>
      <c r="O702">
        <v>0.67959072268576204</v>
      </c>
      <c r="P702">
        <v>6.3609670306792807E-2</v>
      </c>
      <c r="Q702">
        <v>0.79706001688751504</v>
      </c>
      <c r="R702">
        <v>0</v>
      </c>
      <c r="S702">
        <v>160</v>
      </c>
      <c r="T702">
        <v>170</v>
      </c>
      <c r="U702">
        <v>2914619568.9400001</v>
      </c>
      <c r="V702">
        <v>17665</v>
      </c>
    </row>
    <row r="703" spans="1:22" x14ac:dyDescent="0.25">
      <c r="A703">
        <v>0.96398462679655705</v>
      </c>
      <c r="B703">
        <v>35.606608954609499</v>
      </c>
      <c r="C703">
        <v>37.9664742983908</v>
      </c>
      <c r="D703">
        <v>0</v>
      </c>
      <c r="E703">
        <v>5.1198145813884803</v>
      </c>
      <c r="F703">
        <v>3.75414845171957</v>
      </c>
      <c r="G703">
        <v>157.63496903316101</v>
      </c>
      <c r="H703">
        <v>28.043070282450199</v>
      </c>
      <c r="I703">
        <v>63.387053602773697</v>
      </c>
      <c r="J703">
        <v>59.412317349603001</v>
      </c>
      <c r="K703">
        <v>277601.01480121101</v>
      </c>
      <c r="L703">
        <v>753.13477404815501</v>
      </c>
      <c r="M703">
        <v>0.23685688179247399</v>
      </c>
      <c r="N703">
        <v>3.8016974621343201E-2</v>
      </c>
      <c r="O703">
        <v>0.62786997883351203</v>
      </c>
      <c r="P703">
        <v>0.11092718082151</v>
      </c>
      <c r="Q703">
        <v>0.80066027960644903</v>
      </c>
      <c r="R703">
        <v>0</v>
      </c>
      <c r="S703">
        <v>160</v>
      </c>
      <c r="T703">
        <v>175</v>
      </c>
      <c r="U703">
        <v>46453476215.82</v>
      </c>
      <c r="V703">
        <v>167339</v>
      </c>
    </row>
    <row r="704" spans="1:22" x14ac:dyDescent="0.25">
      <c r="A704">
        <v>0.97273868759105597</v>
      </c>
      <c r="B704">
        <v>28.2281291732894</v>
      </c>
      <c r="C704">
        <v>30.531977638967799</v>
      </c>
      <c r="D704">
        <v>0</v>
      </c>
      <c r="E704">
        <v>5.13389063345626</v>
      </c>
      <c r="F704">
        <v>3.7703296041592398</v>
      </c>
      <c r="G704">
        <v>157.634943170144</v>
      </c>
      <c r="H704">
        <v>27.705988382386</v>
      </c>
      <c r="I704">
        <v>63.055398561858098</v>
      </c>
      <c r="J704">
        <v>59.150875972678897</v>
      </c>
      <c r="K704">
        <v>172505.89246510499</v>
      </c>
      <c r="L704">
        <v>755.89775711394896</v>
      </c>
      <c r="M704">
        <v>0.168171880152509</v>
      </c>
      <c r="N704">
        <v>3.3008684519929797E-2</v>
      </c>
      <c r="O704">
        <v>0.66647007424314897</v>
      </c>
      <c r="P704">
        <v>6.0898566499007198E-2</v>
      </c>
      <c r="Q704">
        <v>0.80634950038933395</v>
      </c>
      <c r="R704">
        <v>0</v>
      </c>
      <c r="S704">
        <v>160</v>
      </c>
      <c r="T704">
        <v>180</v>
      </c>
      <c r="U704">
        <v>1458364814.9000001</v>
      </c>
      <c r="V704">
        <v>8454</v>
      </c>
    </row>
    <row r="705" spans="1:22" x14ac:dyDescent="0.25">
      <c r="A705">
        <v>0.99287706715261703</v>
      </c>
      <c r="B705">
        <v>8.2204852863307494</v>
      </c>
      <c r="C705">
        <v>88.5948720299195</v>
      </c>
      <c r="D705">
        <v>0</v>
      </c>
      <c r="E705">
        <v>5.36041213669328</v>
      </c>
      <c r="F705">
        <v>3.9976861212894099</v>
      </c>
      <c r="G705">
        <v>162.613935610662</v>
      </c>
      <c r="H705">
        <v>27.399394800908599</v>
      </c>
      <c r="I705">
        <v>54.346388392414497</v>
      </c>
      <c r="J705">
        <v>7.3838300440454798</v>
      </c>
      <c r="K705">
        <v>5804.0393265993198</v>
      </c>
      <c r="L705">
        <v>766.37758607775095</v>
      </c>
      <c r="M705">
        <v>2.4329822360797702E-2</v>
      </c>
      <c r="N705">
        <v>4.3271628870472902E-2</v>
      </c>
      <c r="O705">
        <v>0.66445064544854704</v>
      </c>
      <c r="P705">
        <v>3.0115900706049501E-2</v>
      </c>
      <c r="Q705">
        <v>0.44341934789081699</v>
      </c>
      <c r="R705">
        <v>0</v>
      </c>
      <c r="S705">
        <v>165</v>
      </c>
      <c r="T705">
        <v>10</v>
      </c>
      <c r="U705">
        <v>1723799.68</v>
      </c>
      <c r="V705">
        <v>297</v>
      </c>
    </row>
    <row r="706" spans="1:22" x14ac:dyDescent="0.25">
      <c r="A706">
        <v>0.99178757755285396</v>
      </c>
      <c r="B706">
        <v>9.4217403916887896</v>
      </c>
      <c r="C706">
        <v>61.132918361906398</v>
      </c>
      <c r="D706">
        <v>0</v>
      </c>
      <c r="E706">
        <v>5.3711647758448597</v>
      </c>
      <c r="F706">
        <v>3.9909735158169699</v>
      </c>
      <c r="G706">
        <v>162.641280561093</v>
      </c>
      <c r="H706">
        <v>27.120228789262399</v>
      </c>
      <c r="I706">
        <v>49.7081303961724</v>
      </c>
      <c r="J706">
        <v>20.2337117784834</v>
      </c>
      <c r="K706">
        <v>16036.1364066852</v>
      </c>
      <c r="L706">
        <v>763.96772081248798</v>
      </c>
      <c r="M706">
        <v>5.88658400457975E-2</v>
      </c>
      <c r="N706">
        <v>2.0846830552341399E-2</v>
      </c>
      <c r="O706">
        <v>0.75386663053934699</v>
      </c>
      <c r="P706">
        <v>2.4774273866357902E-2</v>
      </c>
      <c r="Q706">
        <v>0.51149459887076698</v>
      </c>
      <c r="R706">
        <v>0</v>
      </c>
      <c r="S706">
        <v>165</v>
      </c>
      <c r="T706">
        <v>20</v>
      </c>
      <c r="U706">
        <v>11513945.939999999</v>
      </c>
      <c r="V706">
        <v>718</v>
      </c>
    </row>
    <row r="707" spans="1:22" x14ac:dyDescent="0.25">
      <c r="A707">
        <v>0.98910301854426097</v>
      </c>
      <c r="B707">
        <v>12.320447026208001</v>
      </c>
      <c r="C707">
        <v>26.764128323854401</v>
      </c>
      <c r="D707">
        <v>0</v>
      </c>
      <c r="E707">
        <v>5.3542037968137404</v>
      </c>
      <c r="F707">
        <v>3.9758337016572698</v>
      </c>
      <c r="G707">
        <v>162.60230909852601</v>
      </c>
      <c r="H707">
        <v>26.134098680733999</v>
      </c>
      <c r="I707">
        <v>48.033390974723503</v>
      </c>
      <c r="J707">
        <v>34.071048071281503</v>
      </c>
      <c r="K707">
        <v>26034.209676470498</v>
      </c>
      <c r="L707">
        <v>758.99649157400302</v>
      </c>
      <c r="M707">
        <v>6.6278553724078496E-2</v>
      </c>
      <c r="N707">
        <v>1.94226274269798E-2</v>
      </c>
      <c r="O707">
        <v>0.76965095511413495</v>
      </c>
      <c r="P707">
        <v>2.8506334602797601E-2</v>
      </c>
      <c r="Q707">
        <v>0.57411450934938302</v>
      </c>
      <c r="R707">
        <v>0</v>
      </c>
      <c r="S707">
        <v>165</v>
      </c>
      <c r="T707">
        <v>30</v>
      </c>
      <c r="U707">
        <v>53109787.740000002</v>
      </c>
      <c r="V707">
        <v>2040</v>
      </c>
    </row>
    <row r="708" spans="1:22" x14ac:dyDescent="0.25">
      <c r="A708">
        <v>0.98673173054176</v>
      </c>
      <c r="B708">
        <v>14.8098997093643</v>
      </c>
      <c r="C708">
        <v>19.442828466972099</v>
      </c>
      <c r="D708">
        <v>0</v>
      </c>
      <c r="E708">
        <v>5.3579822497271499</v>
      </c>
      <c r="F708">
        <v>3.9606982873841301</v>
      </c>
      <c r="G708">
        <v>162.64433142283099</v>
      </c>
      <c r="H708">
        <v>25.902883194850698</v>
      </c>
      <c r="I708">
        <v>51.4352206137116</v>
      </c>
      <c r="J708">
        <v>43.5071494266627</v>
      </c>
      <c r="K708">
        <v>35802.376830300404</v>
      </c>
      <c r="L708">
        <v>756.50766083645794</v>
      </c>
      <c r="M708">
        <v>8.1438092757099401E-2</v>
      </c>
      <c r="N708">
        <v>3.4634217329193799E-2</v>
      </c>
      <c r="O708">
        <v>0.75836177095954904</v>
      </c>
      <c r="P708">
        <v>2.98591579746912E-2</v>
      </c>
      <c r="Q708">
        <v>0.60524834456643195</v>
      </c>
      <c r="R708">
        <v>0</v>
      </c>
      <c r="S708">
        <v>165</v>
      </c>
      <c r="T708">
        <v>40</v>
      </c>
      <c r="U708">
        <v>169202032.90000001</v>
      </c>
      <c r="V708">
        <v>4726</v>
      </c>
    </row>
    <row r="709" spans="1:22" x14ac:dyDescent="0.25">
      <c r="A709">
        <v>0.984722117213223</v>
      </c>
      <c r="B709">
        <v>16.868750293074601</v>
      </c>
      <c r="C709">
        <v>15.6020290880813</v>
      </c>
      <c r="D709">
        <v>0</v>
      </c>
      <c r="E709">
        <v>5.3386348489595203</v>
      </c>
      <c r="F709">
        <v>3.9396748837990399</v>
      </c>
      <c r="G709">
        <v>162.669817866557</v>
      </c>
      <c r="H709">
        <v>26.240820771242198</v>
      </c>
      <c r="I709">
        <v>52.717921712791103</v>
      </c>
      <c r="J709">
        <v>47.125450046747098</v>
      </c>
      <c r="K709">
        <v>45674.077200133201</v>
      </c>
      <c r="L709">
        <v>755.95524467688494</v>
      </c>
      <c r="M709">
        <v>7.4796654669750898E-2</v>
      </c>
      <c r="N709">
        <v>4.1383856676514202E-2</v>
      </c>
      <c r="O709">
        <v>0.73847534888815802</v>
      </c>
      <c r="P709">
        <v>3.7031173733523E-2</v>
      </c>
      <c r="Q709">
        <v>0.64447205744095004</v>
      </c>
      <c r="R709">
        <v>0</v>
      </c>
      <c r="S709">
        <v>165</v>
      </c>
      <c r="T709">
        <v>50</v>
      </c>
      <c r="U709">
        <v>411249391.11000001</v>
      </c>
      <c r="V709">
        <v>9004</v>
      </c>
    </row>
    <row r="710" spans="1:22" x14ac:dyDescent="0.25">
      <c r="A710">
        <v>0.98307149417609696</v>
      </c>
      <c r="B710">
        <v>18.525587378637201</v>
      </c>
      <c r="C710">
        <v>16.9575225045865</v>
      </c>
      <c r="D710">
        <v>0</v>
      </c>
      <c r="E710">
        <v>5.3212476117405103</v>
      </c>
      <c r="F710">
        <v>3.9101586414951299</v>
      </c>
      <c r="G710">
        <v>162.70392030747999</v>
      </c>
      <c r="H710">
        <v>26.193322959661199</v>
      </c>
      <c r="I710">
        <v>57.124981625796401</v>
      </c>
      <c r="J710">
        <v>52.078669757061299</v>
      </c>
      <c r="K710">
        <v>55350.119956023897</v>
      </c>
      <c r="L710">
        <v>752.470355089284</v>
      </c>
      <c r="M710">
        <v>8.7907955913855404E-2</v>
      </c>
      <c r="N710">
        <v>4.5276214107827797E-2</v>
      </c>
      <c r="O710">
        <v>0.732356246406897</v>
      </c>
      <c r="P710">
        <v>3.0913327381403299E-2</v>
      </c>
      <c r="Q710">
        <v>0.68303005719590204</v>
      </c>
      <c r="R710">
        <v>0</v>
      </c>
      <c r="S710">
        <v>165</v>
      </c>
      <c r="T710">
        <v>60</v>
      </c>
      <c r="U710">
        <v>730012732.10000002</v>
      </c>
      <c r="V710">
        <v>13189</v>
      </c>
    </row>
    <row r="711" spans="1:22" x14ac:dyDescent="0.25">
      <c r="A711">
        <v>0.98181372611665196</v>
      </c>
      <c r="B711">
        <v>19.767709119479701</v>
      </c>
      <c r="C711">
        <v>15.722721060727199</v>
      </c>
      <c r="D711">
        <v>0</v>
      </c>
      <c r="E711">
        <v>5.3024760020907298</v>
      </c>
      <c r="F711">
        <v>3.8851787712567898</v>
      </c>
      <c r="G711">
        <v>162.73193929398599</v>
      </c>
      <c r="H711">
        <v>26.375827981935199</v>
      </c>
      <c r="I711">
        <v>59.607407685481</v>
      </c>
      <c r="J711">
        <v>54.997180673232897</v>
      </c>
      <c r="K711">
        <v>65159.803994907903</v>
      </c>
      <c r="L711">
        <v>752.02467270021805</v>
      </c>
      <c r="M711">
        <v>9.3812757866403501E-2</v>
      </c>
      <c r="N711">
        <v>3.9023365541446503E-2</v>
      </c>
      <c r="O711">
        <v>0.73261404909543903</v>
      </c>
      <c r="P711">
        <v>3.2701972095850199E-2</v>
      </c>
      <c r="Q711">
        <v>0.70573441809631099</v>
      </c>
      <c r="R711">
        <v>0</v>
      </c>
      <c r="S711">
        <v>165</v>
      </c>
      <c r="T711">
        <v>70</v>
      </c>
      <c r="U711">
        <v>1100483929.6700001</v>
      </c>
      <c r="V711">
        <v>16889</v>
      </c>
    </row>
    <row r="712" spans="1:22" x14ac:dyDescent="0.25">
      <c r="A712">
        <v>0.98062415549158499</v>
      </c>
      <c r="B712">
        <v>20.926485289315401</v>
      </c>
      <c r="C712">
        <v>17.1548666626916</v>
      </c>
      <c r="D712">
        <v>0</v>
      </c>
      <c r="E712">
        <v>5.28269331279893</v>
      </c>
      <c r="F712">
        <v>3.8623079862204301</v>
      </c>
      <c r="G712">
        <v>162.75531966605499</v>
      </c>
      <c r="H712">
        <v>27.430479505156999</v>
      </c>
      <c r="I712">
        <v>60.914998085741402</v>
      </c>
      <c r="J712">
        <v>56.6717309571874</v>
      </c>
      <c r="K712">
        <v>75033.473514529702</v>
      </c>
      <c r="L712">
        <v>753.20295806409899</v>
      </c>
      <c r="M712">
        <v>0.11217781389162899</v>
      </c>
      <c r="N712">
        <v>3.3770376915300902E-2</v>
      </c>
      <c r="O712">
        <v>0.72313440326682998</v>
      </c>
      <c r="P712">
        <v>3.8093770790349001E-2</v>
      </c>
      <c r="Q712">
        <v>0.73097068877767102</v>
      </c>
      <c r="R712">
        <v>0</v>
      </c>
      <c r="S712">
        <v>165</v>
      </c>
      <c r="T712">
        <v>80</v>
      </c>
      <c r="U712">
        <v>1396898176.4200001</v>
      </c>
      <c r="V712">
        <v>18617</v>
      </c>
    </row>
    <row r="713" spans="1:22" x14ac:dyDescent="0.25">
      <c r="A713">
        <v>0.97958689399649301</v>
      </c>
      <c r="B713">
        <v>21.924352935890202</v>
      </c>
      <c r="C713">
        <v>18.0039660638624</v>
      </c>
      <c r="D713">
        <v>0</v>
      </c>
      <c r="E713">
        <v>5.2744670652665304</v>
      </c>
      <c r="F713">
        <v>3.8395185072172699</v>
      </c>
      <c r="G713">
        <v>162.802730135947</v>
      </c>
      <c r="H713">
        <v>27.768327015827001</v>
      </c>
      <c r="I713">
        <v>63.7256793284892</v>
      </c>
      <c r="J713">
        <v>59.489763924578</v>
      </c>
      <c r="K713">
        <v>85045.339665546693</v>
      </c>
      <c r="L713">
        <v>752.40953761832304</v>
      </c>
      <c r="M713">
        <v>0.111264856797687</v>
      </c>
      <c r="N713">
        <v>3.9889834635000398E-2</v>
      </c>
      <c r="O713">
        <v>0.71786809962111897</v>
      </c>
      <c r="P713">
        <v>3.47589209002757E-2</v>
      </c>
      <c r="Q713">
        <v>0.73372980023225698</v>
      </c>
      <c r="R713">
        <v>0</v>
      </c>
      <c r="S713">
        <v>165</v>
      </c>
      <c r="T713">
        <v>90</v>
      </c>
      <c r="U713">
        <v>1670630652.3900001</v>
      </c>
      <c r="V713">
        <v>19644</v>
      </c>
    </row>
    <row r="714" spans="1:22" x14ac:dyDescent="0.25">
      <c r="A714">
        <v>0.97867605316800299</v>
      </c>
      <c r="B714">
        <v>22.791068465817801</v>
      </c>
      <c r="C714">
        <v>21.586451120171301</v>
      </c>
      <c r="D714">
        <v>0</v>
      </c>
      <c r="E714">
        <v>5.2687405322221803</v>
      </c>
      <c r="F714">
        <v>3.8339786374759401</v>
      </c>
      <c r="G714">
        <v>162.787057747788</v>
      </c>
      <c r="H714">
        <v>28.136549077283799</v>
      </c>
      <c r="I714">
        <v>63.706141111614201</v>
      </c>
      <c r="J714">
        <v>59.791508338056303</v>
      </c>
      <c r="K714">
        <v>95039.071021284093</v>
      </c>
      <c r="L714">
        <v>754.17399903503497</v>
      </c>
      <c r="M714">
        <v>0.118221332691281</v>
      </c>
      <c r="N714">
        <v>3.8599451329458599E-2</v>
      </c>
      <c r="O714">
        <v>0.69899197428179005</v>
      </c>
      <c r="P714">
        <v>3.8781038718983203E-2</v>
      </c>
      <c r="Q714">
        <v>0.72961367084627005</v>
      </c>
      <c r="R714">
        <v>0</v>
      </c>
      <c r="S714">
        <v>165</v>
      </c>
      <c r="T714">
        <v>100</v>
      </c>
      <c r="U714">
        <v>2147787966.0100002</v>
      </c>
      <c r="V714">
        <v>22599</v>
      </c>
    </row>
    <row r="715" spans="1:22" x14ac:dyDescent="0.25">
      <c r="A715">
        <v>0.97776323831531597</v>
      </c>
      <c r="B715">
        <v>23.650805952868399</v>
      </c>
      <c r="C715">
        <v>21.793142137789498</v>
      </c>
      <c r="D715">
        <v>0</v>
      </c>
      <c r="E715">
        <v>5.2566393597242103</v>
      </c>
      <c r="F715">
        <v>3.8157813606667599</v>
      </c>
      <c r="G715">
        <v>162.79859436994701</v>
      </c>
      <c r="H715">
        <v>28.221726305158199</v>
      </c>
      <c r="I715">
        <v>66.209870641595003</v>
      </c>
      <c r="J715">
        <v>62.080548158526</v>
      </c>
      <c r="K715">
        <v>104943.021747119</v>
      </c>
      <c r="L715">
        <v>752.18803459948299</v>
      </c>
      <c r="M715">
        <v>0.13455630077658301</v>
      </c>
      <c r="N715">
        <v>3.4905885820327998E-2</v>
      </c>
      <c r="O715">
        <v>0.69194749772648301</v>
      </c>
      <c r="P715">
        <v>3.5294740749952203E-2</v>
      </c>
      <c r="Q715">
        <v>0.74223436158919898</v>
      </c>
      <c r="R715">
        <v>0</v>
      </c>
      <c r="S715">
        <v>165</v>
      </c>
      <c r="T715">
        <v>110</v>
      </c>
      <c r="U715">
        <v>2021832256.98</v>
      </c>
      <c r="V715">
        <v>19266</v>
      </c>
    </row>
    <row r="716" spans="1:22" x14ac:dyDescent="0.25">
      <c r="A716">
        <v>0.97685431844872905</v>
      </c>
      <c r="B716">
        <v>24.498147225223398</v>
      </c>
      <c r="C716">
        <v>23.7040352956395</v>
      </c>
      <c r="D716">
        <v>0</v>
      </c>
      <c r="E716">
        <v>5.2522288266245196</v>
      </c>
      <c r="F716">
        <v>3.8079064061679202</v>
      </c>
      <c r="G716">
        <v>162.79838345675</v>
      </c>
      <c r="H716">
        <v>28.379414775760399</v>
      </c>
      <c r="I716">
        <v>66.7457943380914</v>
      </c>
      <c r="J716">
        <v>62.729932473550903</v>
      </c>
      <c r="K716">
        <v>115010.63880561601</v>
      </c>
      <c r="L716">
        <v>751.64067356004</v>
      </c>
      <c r="M716">
        <v>0.146028065357591</v>
      </c>
      <c r="N716">
        <v>3.36201534470605E-2</v>
      </c>
      <c r="O716">
        <v>0.67983782538640702</v>
      </c>
      <c r="P716">
        <v>3.9542523644981599E-2</v>
      </c>
      <c r="Q716">
        <v>0.73367994426427696</v>
      </c>
      <c r="R716">
        <v>0</v>
      </c>
      <c r="S716">
        <v>165</v>
      </c>
      <c r="T716">
        <v>120</v>
      </c>
      <c r="U716">
        <v>2137702743.48</v>
      </c>
      <c r="V716">
        <v>18587</v>
      </c>
    </row>
    <row r="717" spans="1:22" x14ac:dyDescent="0.25">
      <c r="A717">
        <v>0.97618311255311596</v>
      </c>
      <c r="B717">
        <v>25.118336472199399</v>
      </c>
      <c r="C717">
        <v>25.256328807219699</v>
      </c>
      <c r="D717">
        <v>0</v>
      </c>
      <c r="E717">
        <v>5.2431253871883401</v>
      </c>
      <c r="F717">
        <v>3.8003206626872701</v>
      </c>
      <c r="G717">
        <v>162.786727382393</v>
      </c>
      <c r="H717">
        <v>28.385716158176798</v>
      </c>
      <c r="I717">
        <v>66.930455600202805</v>
      </c>
      <c r="J717">
        <v>62.902694440694503</v>
      </c>
      <c r="K717">
        <v>124877.631718866</v>
      </c>
      <c r="L717">
        <v>752.66319222253196</v>
      </c>
      <c r="M717">
        <v>0.15406202406324501</v>
      </c>
      <c r="N717">
        <v>3.2068285632962802E-2</v>
      </c>
      <c r="O717">
        <v>0.68234355987643402</v>
      </c>
      <c r="P717">
        <v>4.0635513580518201E-2</v>
      </c>
      <c r="Q717">
        <v>0.75240055920870896</v>
      </c>
      <c r="R717">
        <v>0</v>
      </c>
      <c r="S717">
        <v>165</v>
      </c>
      <c r="T717">
        <v>130</v>
      </c>
      <c r="U717">
        <v>2172995669.54</v>
      </c>
      <c r="V717">
        <v>17401</v>
      </c>
    </row>
    <row r="718" spans="1:22" x14ac:dyDescent="0.25">
      <c r="A718">
        <v>0.97557422710014496</v>
      </c>
      <c r="B718">
        <v>25.6768988759002</v>
      </c>
      <c r="C718">
        <v>26.302911306001199</v>
      </c>
      <c r="D718">
        <v>0</v>
      </c>
      <c r="E718">
        <v>5.2385432440060598</v>
      </c>
      <c r="F718">
        <v>3.7952022899598501</v>
      </c>
      <c r="G718">
        <v>162.81146486717799</v>
      </c>
      <c r="H718">
        <v>28.367185451258699</v>
      </c>
      <c r="I718">
        <v>67.409872059498696</v>
      </c>
      <c r="J718">
        <v>63.354656804088798</v>
      </c>
      <c r="K718">
        <v>134951.05409924299</v>
      </c>
      <c r="L718">
        <v>752.78748113275196</v>
      </c>
      <c r="M718">
        <v>0.15545920695440299</v>
      </c>
      <c r="N718">
        <v>3.20335328280602E-2</v>
      </c>
      <c r="O718">
        <v>0.683605854847538</v>
      </c>
      <c r="P718">
        <v>4.7503924215627998E-2</v>
      </c>
      <c r="Q718">
        <v>0.760170160919178</v>
      </c>
      <c r="R718">
        <v>0</v>
      </c>
      <c r="S718">
        <v>165</v>
      </c>
      <c r="T718">
        <v>140</v>
      </c>
      <c r="U718">
        <v>2104966541.8399999</v>
      </c>
      <c r="V718">
        <v>15598</v>
      </c>
    </row>
    <row r="719" spans="1:22" x14ac:dyDescent="0.25">
      <c r="A719">
        <v>0.97465644031440302</v>
      </c>
      <c r="B719">
        <v>26.5116185569455</v>
      </c>
      <c r="C719">
        <v>29.039030869454201</v>
      </c>
      <c r="D719">
        <v>0</v>
      </c>
      <c r="E719">
        <v>5.23866786871268</v>
      </c>
      <c r="F719">
        <v>3.7993158908720601</v>
      </c>
      <c r="G719">
        <v>162.81216262186899</v>
      </c>
      <c r="H719">
        <v>28.599209163200399</v>
      </c>
      <c r="I719">
        <v>66.434903853337602</v>
      </c>
      <c r="J719">
        <v>62.664606479402998</v>
      </c>
      <c r="K719">
        <v>144870.819227411</v>
      </c>
      <c r="L719">
        <v>752.47304039551796</v>
      </c>
      <c r="M719">
        <v>0.148385624437323</v>
      </c>
      <c r="N719">
        <v>3.1526595476388697E-2</v>
      </c>
      <c r="O719">
        <v>0.67459391303879401</v>
      </c>
      <c r="P719">
        <v>4.5413041527516101E-2</v>
      </c>
      <c r="Q719">
        <v>0.76303371470741099</v>
      </c>
      <c r="R719">
        <v>0</v>
      </c>
      <c r="S719">
        <v>165</v>
      </c>
      <c r="T719">
        <v>150</v>
      </c>
      <c r="U719">
        <v>2190157045.0799999</v>
      </c>
      <c r="V719">
        <v>15118</v>
      </c>
    </row>
    <row r="720" spans="1:22" x14ac:dyDescent="0.25">
      <c r="A720">
        <v>0.97387959296447202</v>
      </c>
      <c r="B720">
        <v>27.211430102328901</v>
      </c>
      <c r="C720">
        <v>26.729376814243</v>
      </c>
      <c r="D720">
        <v>0</v>
      </c>
      <c r="E720">
        <v>5.23854521958134</v>
      </c>
      <c r="F720">
        <v>3.7943099394617201</v>
      </c>
      <c r="G720">
        <v>162.801288732719</v>
      </c>
      <c r="H720">
        <v>28.7336047120526</v>
      </c>
      <c r="I720">
        <v>67.538339637024905</v>
      </c>
      <c r="J720">
        <v>63.648498031438898</v>
      </c>
      <c r="K720">
        <v>154935.57473782299</v>
      </c>
      <c r="L720">
        <v>750.93808326162696</v>
      </c>
      <c r="M720">
        <v>0.16883150818137199</v>
      </c>
      <c r="N720">
        <v>3.3455590540939002E-2</v>
      </c>
      <c r="O720">
        <v>0.67236471135999298</v>
      </c>
      <c r="P720">
        <v>5.1227232714798197E-2</v>
      </c>
      <c r="Q720">
        <v>0.77384596530356997</v>
      </c>
      <c r="R720">
        <v>0</v>
      </c>
      <c r="S720">
        <v>165</v>
      </c>
      <c r="T720">
        <v>160</v>
      </c>
      <c r="U720">
        <v>2077221250.51</v>
      </c>
      <c r="V720">
        <v>13407</v>
      </c>
    </row>
    <row r="721" spans="1:22" x14ac:dyDescent="0.25">
      <c r="A721">
        <v>0.97289050868931004</v>
      </c>
      <c r="B721">
        <v>28.093591382279801</v>
      </c>
      <c r="C721">
        <v>29.678055854484899</v>
      </c>
      <c r="D721">
        <v>0</v>
      </c>
      <c r="E721">
        <v>5.2359606705938599</v>
      </c>
      <c r="F721">
        <v>3.7894396796070602</v>
      </c>
      <c r="G721">
        <v>162.803826683594</v>
      </c>
      <c r="H721">
        <v>28.824799822527101</v>
      </c>
      <c r="I721">
        <v>68.251936774658105</v>
      </c>
      <c r="J721">
        <v>64.326217082064403</v>
      </c>
      <c r="K721">
        <v>165002.96839593101</v>
      </c>
      <c r="L721">
        <v>752.19569907338098</v>
      </c>
      <c r="M721">
        <v>0.16405764936144801</v>
      </c>
      <c r="N721">
        <v>3.3435509723984298E-2</v>
      </c>
      <c r="O721">
        <v>0.66332097558232594</v>
      </c>
      <c r="P721">
        <v>6.0502634277867999E-2</v>
      </c>
      <c r="Q721">
        <v>0.75410338925684905</v>
      </c>
      <c r="R721">
        <v>0</v>
      </c>
      <c r="S721">
        <v>165</v>
      </c>
      <c r="T721">
        <v>170</v>
      </c>
      <c r="U721">
        <v>2060392066.3599999</v>
      </c>
      <c r="V721">
        <v>12487</v>
      </c>
    </row>
    <row r="722" spans="1:22" x14ac:dyDescent="0.25">
      <c r="A722">
        <v>0.96354839765278499</v>
      </c>
      <c r="B722">
        <v>35.955416990278302</v>
      </c>
      <c r="C722">
        <v>37.449435435197202</v>
      </c>
      <c r="D722">
        <v>0</v>
      </c>
      <c r="E722">
        <v>5.2150631868722197</v>
      </c>
      <c r="F722">
        <v>3.7653605674284401</v>
      </c>
      <c r="G722">
        <v>162.845815977044</v>
      </c>
      <c r="H722">
        <v>28.933588836856501</v>
      </c>
      <c r="I722">
        <v>68.576161521748105</v>
      </c>
      <c r="J722">
        <v>64.662898766198296</v>
      </c>
      <c r="K722">
        <v>275869.888482882</v>
      </c>
      <c r="L722">
        <v>749.117922554546</v>
      </c>
      <c r="M722">
        <v>0.22262723444992899</v>
      </c>
      <c r="N722">
        <v>3.7963524507153602E-2</v>
      </c>
      <c r="O722">
        <v>0.62582222385228603</v>
      </c>
      <c r="P722">
        <v>0.106914312722193</v>
      </c>
      <c r="Q722">
        <v>0.76684233792302503</v>
      </c>
      <c r="R722">
        <v>0</v>
      </c>
      <c r="S722">
        <v>165</v>
      </c>
      <c r="T722">
        <v>175</v>
      </c>
      <c r="U722">
        <v>31636207071.439999</v>
      </c>
      <c r="V722">
        <v>114678</v>
      </c>
    </row>
    <row r="723" spans="1:22" x14ac:dyDescent="0.25">
      <c r="A723">
        <v>0.97220453743812696</v>
      </c>
      <c r="B723">
        <v>28.699639775910502</v>
      </c>
      <c r="C723">
        <v>33.038415770394103</v>
      </c>
      <c r="D723">
        <v>0</v>
      </c>
      <c r="E723">
        <v>5.2359107353469696</v>
      </c>
      <c r="F723">
        <v>3.7873363644359701</v>
      </c>
      <c r="G723">
        <v>162.83635990181301</v>
      </c>
      <c r="H723">
        <v>28.6473969827085</v>
      </c>
      <c r="I723">
        <v>67.829218051782604</v>
      </c>
      <c r="J723">
        <v>64.0735189971994</v>
      </c>
      <c r="K723">
        <v>172518.056581615</v>
      </c>
      <c r="L723">
        <v>749.99295362559201</v>
      </c>
      <c r="M723">
        <v>0.17570921455583599</v>
      </c>
      <c r="N723">
        <v>2.7738195412998899E-2</v>
      </c>
      <c r="O723">
        <v>0.67474191225512803</v>
      </c>
      <c r="P723">
        <v>6.11609117703329E-2</v>
      </c>
      <c r="Q723">
        <v>0.76534913795913095</v>
      </c>
      <c r="R723">
        <v>0</v>
      </c>
      <c r="S723">
        <v>165</v>
      </c>
      <c r="T723">
        <v>180</v>
      </c>
      <c r="U723">
        <v>1020961858.85</v>
      </c>
      <c r="V723">
        <v>5918</v>
      </c>
    </row>
    <row r="724" spans="1:22" x14ac:dyDescent="0.25">
      <c r="A724">
        <v>0.99272161933120595</v>
      </c>
      <c r="B724">
        <v>8.3927682078643606</v>
      </c>
      <c r="C724">
        <v>87.049314469250206</v>
      </c>
      <c r="D724">
        <v>0</v>
      </c>
      <c r="E724">
        <v>5.3408009001994099</v>
      </c>
      <c r="F724">
        <v>3.9536850245688102</v>
      </c>
      <c r="G724">
        <v>166.97194762442101</v>
      </c>
      <c r="H724">
        <v>27.404089163327001</v>
      </c>
      <c r="I724">
        <v>49.341367357919403</v>
      </c>
      <c r="J724">
        <v>5.7494256359430196</v>
      </c>
      <c r="K724">
        <v>5969.9279581151804</v>
      </c>
      <c r="L724">
        <v>767.72197298389699</v>
      </c>
      <c r="M724">
        <v>5.3137784187876902E-2</v>
      </c>
      <c r="N724">
        <v>3.3233073997472697E-2</v>
      </c>
      <c r="O724">
        <v>0.74366663408919298</v>
      </c>
      <c r="P724">
        <v>2.66452828181847E-2</v>
      </c>
      <c r="Q724">
        <v>0.54412873022295405</v>
      </c>
      <c r="R724">
        <v>0</v>
      </c>
      <c r="S724">
        <v>170</v>
      </c>
      <c r="T724">
        <v>10</v>
      </c>
      <c r="U724">
        <v>1140256.24</v>
      </c>
      <c r="V724">
        <v>191</v>
      </c>
    </row>
    <row r="725" spans="1:22" x14ac:dyDescent="0.25">
      <c r="A725">
        <v>0.99177065669723397</v>
      </c>
      <c r="B725">
        <v>9.4402828845955504</v>
      </c>
      <c r="C725">
        <v>56.223761710353102</v>
      </c>
      <c r="D725">
        <v>0</v>
      </c>
      <c r="E725">
        <v>5.3771729545165403</v>
      </c>
      <c r="F725">
        <v>3.9701722132017401</v>
      </c>
      <c r="G725">
        <v>167.09645171846799</v>
      </c>
      <c r="H725">
        <v>26.4192733302981</v>
      </c>
      <c r="I725">
        <v>44.694363047891898</v>
      </c>
      <c r="J725">
        <v>19.9725749813135</v>
      </c>
      <c r="K725">
        <v>15991.965314814801</v>
      </c>
      <c r="L725">
        <v>761.85760636949999</v>
      </c>
      <c r="M725">
        <v>8.9708725919028495E-2</v>
      </c>
      <c r="N725">
        <v>2.22333882718398E-2</v>
      </c>
      <c r="O725">
        <v>0.80308060763017797</v>
      </c>
      <c r="P725">
        <v>2.9025216733634101E-2</v>
      </c>
      <c r="Q725">
        <v>0.59230421852801496</v>
      </c>
      <c r="R725">
        <v>0</v>
      </c>
      <c r="S725">
        <v>170</v>
      </c>
      <c r="T725">
        <v>20</v>
      </c>
      <c r="U725">
        <v>8635661.2699999996</v>
      </c>
      <c r="V725">
        <v>540</v>
      </c>
    </row>
    <row r="726" spans="1:22" x14ac:dyDescent="0.25">
      <c r="A726">
        <v>0.98886613822318403</v>
      </c>
      <c r="B726">
        <v>12.5720959388078</v>
      </c>
      <c r="C726">
        <v>24.648157435346999</v>
      </c>
      <c r="D726">
        <v>0</v>
      </c>
      <c r="E726">
        <v>5.3777261670185696</v>
      </c>
      <c r="F726">
        <v>3.9553104696628898</v>
      </c>
      <c r="G726">
        <v>167.19197977566699</v>
      </c>
      <c r="H726">
        <v>26.017062898109799</v>
      </c>
      <c r="I726">
        <v>47.033502797553503</v>
      </c>
      <c r="J726">
        <v>35.099176971906097</v>
      </c>
      <c r="K726">
        <v>26052.098936567101</v>
      </c>
      <c r="L726">
        <v>753.94758654902296</v>
      </c>
      <c r="M726">
        <v>7.5086783819549002E-2</v>
      </c>
      <c r="N726">
        <v>1.6724105352299502E-2</v>
      </c>
      <c r="O726">
        <v>0.79203132354065098</v>
      </c>
      <c r="P726">
        <v>2.93968968217336E-2</v>
      </c>
      <c r="Q726">
        <v>0.60562492340068497</v>
      </c>
      <c r="R726">
        <v>0</v>
      </c>
      <c r="S726">
        <v>170</v>
      </c>
      <c r="T726">
        <v>30</v>
      </c>
      <c r="U726">
        <v>41891775.090000004</v>
      </c>
      <c r="V726">
        <v>1608</v>
      </c>
    </row>
    <row r="727" spans="1:22" x14ac:dyDescent="0.25">
      <c r="A727">
        <v>0.98653179886855802</v>
      </c>
      <c r="B727">
        <v>15.016803742752399</v>
      </c>
      <c r="C727">
        <v>14.5561671413678</v>
      </c>
      <c r="D727">
        <v>0</v>
      </c>
      <c r="E727">
        <v>5.3562551505280096</v>
      </c>
      <c r="F727">
        <v>3.9205310312425099</v>
      </c>
      <c r="G727">
        <v>167.24848674469399</v>
      </c>
      <c r="H727">
        <v>25.933472720145499</v>
      </c>
      <c r="I727">
        <v>52.006101348350001</v>
      </c>
      <c r="J727">
        <v>44.2607341704094</v>
      </c>
      <c r="K727">
        <v>35807.889332111001</v>
      </c>
      <c r="L727">
        <v>754.103491586617</v>
      </c>
      <c r="M727">
        <v>7.7430226768726199E-2</v>
      </c>
      <c r="N727">
        <v>3.16533706402915E-2</v>
      </c>
      <c r="O727">
        <v>0.78094672513210905</v>
      </c>
      <c r="P727">
        <v>3.02657088326054E-2</v>
      </c>
      <c r="Q727">
        <v>0.61800565047173905</v>
      </c>
      <c r="R727">
        <v>0</v>
      </c>
      <c r="S727">
        <v>170</v>
      </c>
      <c r="T727">
        <v>40</v>
      </c>
      <c r="U727">
        <v>136714521.47</v>
      </c>
      <c r="V727">
        <v>3818</v>
      </c>
    </row>
    <row r="728" spans="1:22" x14ac:dyDescent="0.25">
      <c r="A728">
        <v>0.98457973139148802</v>
      </c>
      <c r="B728">
        <v>17.012879917756599</v>
      </c>
      <c r="C728">
        <v>15.308663252953099</v>
      </c>
      <c r="D728">
        <v>0</v>
      </c>
      <c r="E728">
        <v>5.3487764324879699</v>
      </c>
      <c r="F728">
        <v>3.907201436212</v>
      </c>
      <c r="G728">
        <v>167.34163219773899</v>
      </c>
      <c r="H728">
        <v>26.308987647760699</v>
      </c>
      <c r="I728">
        <v>53.982994187587202</v>
      </c>
      <c r="J728">
        <v>48.207437490224002</v>
      </c>
      <c r="K728">
        <v>45681.213232157497</v>
      </c>
      <c r="L728">
        <v>751.26010723923105</v>
      </c>
      <c r="M728">
        <v>7.4782297305045597E-2</v>
      </c>
      <c r="N728">
        <v>4.17394599780413E-2</v>
      </c>
      <c r="O728">
        <v>0.74857442263695595</v>
      </c>
      <c r="P728">
        <v>3.3757972486882198E-2</v>
      </c>
      <c r="Q728">
        <v>0.66558806704891904</v>
      </c>
      <c r="R728">
        <v>0</v>
      </c>
      <c r="S728">
        <v>170</v>
      </c>
      <c r="T728">
        <v>50</v>
      </c>
      <c r="U728">
        <v>334112393.57999998</v>
      </c>
      <c r="V728">
        <v>7314</v>
      </c>
    </row>
    <row r="729" spans="1:22" x14ac:dyDescent="0.25">
      <c r="A729">
        <v>0.98308858502388896</v>
      </c>
      <c r="B729">
        <v>18.508588412279199</v>
      </c>
      <c r="C729">
        <v>12.4474618665415</v>
      </c>
      <c r="D729">
        <v>0</v>
      </c>
      <c r="E729">
        <v>5.32609531611973</v>
      </c>
      <c r="F729">
        <v>3.8782907788879202</v>
      </c>
      <c r="G729">
        <v>167.39376416312899</v>
      </c>
      <c r="H729">
        <v>26.2685131160944</v>
      </c>
      <c r="I729">
        <v>57.735421374591503</v>
      </c>
      <c r="J729">
        <v>52.437987169711299</v>
      </c>
      <c r="K729">
        <v>55306.5205928266</v>
      </c>
      <c r="L729">
        <v>750.02693852487698</v>
      </c>
      <c r="M729">
        <v>9.6426307015789497E-2</v>
      </c>
      <c r="N729">
        <v>4.5519852000329701E-2</v>
      </c>
      <c r="O729">
        <v>0.75303844657894103</v>
      </c>
      <c r="P729">
        <v>3.0465854710520698E-2</v>
      </c>
      <c r="Q729">
        <v>0.71015187637288701</v>
      </c>
      <c r="R729">
        <v>0</v>
      </c>
      <c r="S729">
        <v>170</v>
      </c>
      <c r="T729">
        <v>60</v>
      </c>
      <c r="U729">
        <v>595208774.62</v>
      </c>
      <c r="V729">
        <v>10762</v>
      </c>
    </row>
    <row r="730" spans="1:22" x14ac:dyDescent="0.25">
      <c r="A730">
        <v>0.98188627914035798</v>
      </c>
      <c r="B730">
        <v>19.696533152598199</v>
      </c>
      <c r="C730">
        <v>16.059332854280498</v>
      </c>
      <c r="D730">
        <v>0</v>
      </c>
      <c r="E730">
        <v>5.3116100019895303</v>
      </c>
      <c r="F730">
        <v>3.8548048434621598</v>
      </c>
      <c r="G730">
        <v>167.46759250771899</v>
      </c>
      <c r="H730">
        <v>26.3376270341289</v>
      </c>
      <c r="I730">
        <v>60.109527827250801</v>
      </c>
      <c r="J730">
        <v>55.190221269314897</v>
      </c>
      <c r="K730">
        <v>65132.228911437698</v>
      </c>
      <c r="L730">
        <v>749.96568801914702</v>
      </c>
      <c r="M730">
        <v>0.10147873654534301</v>
      </c>
      <c r="N730">
        <v>3.8279292276279797E-2</v>
      </c>
      <c r="O730">
        <v>0.74851757980504297</v>
      </c>
      <c r="P730">
        <v>3.3232175516436702E-2</v>
      </c>
      <c r="Q730">
        <v>0.72333934767575203</v>
      </c>
      <c r="R730">
        <v>0</v>
      </c>
      <c r="S730">
        <v>170</v>
      </c>
      <c r="T730">
        <v>70</v>
      </c>
      <c r="U730">
        <v>908268932.16999996</v>
      </c>
      <c r="V730">
        <v>13945</v>
      </c>
    </row>
    <row r="731" spans="1:22" x14ac:dyDescent="0.25">
      <c r="A731">
        <v>0.98072969807481802</v>
      </c>
      <c r="B731">
        <v>20.824298554991898</v>
      </c>
      <c r="C731">
        <v>16.663852212206201</v>
      </c>
      <c r="D731">
        <v>0</v>
      </c>
      <c r="E731">
        <v>5.2930807871191599</v>
      </c>
      <c r="F731">
        <v>3.8344016272791599</v>
      </c>
      <c r="G731">
        <v>167.452268569794</v>
      </c>
      <c r="H731">
        <v>27.501566179537701</v>
      </c>
      <c r="I731">
        <v>61.154764087971003</v>
      </c>
      <c r="J731">
        <v>56.619737363043001</v>
      </c>
      <c r="K731">
        <v>74992.076421422695</v>
      </c>
      <c r="L731">
        <v>751.37238766847497</v>
      </c>
      <c r="M731">
        <v>0.108909423838932</v>
      </c>
      <c r="N731">
        <v>3.2321669764182E-2</v>
      </c>
      <c r="O731">
        <v>0.73411946995462796</v>
      </c>
      <c r="P731">
        <v>3.3501653258226197E-2</v>
      </c>
      <c r="Q731">
        <v>0.74916026213565601</v>
      </c>
      <c r="R731">
        <v>0</v>
      </c>
      <c r="S731">
        <v>170</v>
      </c>
      <c r="T731">
        <v>80</v>
      </c>
      <c r="U731">
        <v>1108982826.1199999</v>
      </c>
      <c r="V731">
        <v>14788</v>
      </c>
    </row>
    <row r="732" spans="1:22" x14ac:dyDescent="0.25">
      <c r="A732">
        <v>0.97971100800009303</v>
      </c>
      <c r="B732">
        <v>21.805563637126198</v>
      </c>
      <c r="C732">
        <v>18.767340643891401</v>
      </c>
      <c r="D732">
        <v>0</v>
      </c>
      <c r="E732">
        <v>5.2857129240928504</v>
      </c>
      <c r="F732">
        <v>3.8128025653645299</v>
      </c>
      <c r="G732">
        <v>167.50766397061699</v>
      </c>
      <c r="H732">
        <v>27.983719621047602</v>
      </c>
      <c r="I732">
        <v>64.020599574034307</v>
      </c>
      <c r="J732">
        <v>59.452728838349699</v>
      </c>
      <c r="K732">
        <v>85009.263632689093</v>
      </c>
      <c r="L732">
        <v>750.45262448138203</v>
      </c>
      <c r="M732">
        <v>0.11553341145087299</v>
      </c>
      <c r="N732">
        <v>3.6522270022279001E-2</v>
      </c>
      <c r="O732">
        <v>0.71483506578933498</v>
      </c>
      <c r="P732">
        <v>3.4823814271884003E-2</v>
      </c>
      <c r="Q732">
        <v>0.74712032215276303</v>
      </c>
      <c r="R732">
        <v>0</v>
      </c>
      <c r="S732">
        <v>170</v>
      </c>
      <c r="T732">
        <v>90</v>
      </c>
      <c r="U732">
        <v>1346036680.3599999</v>
      </c>
      <c r="V732">
        <v>15834</v>
      </c>
    </row>
    <row r="733" spans="1:22" x14ac:dyDescent="0.25">
      <c r="A733">
        <v>0.97890375879946301</v>
      </c>
      <c r="B733">
        <v>22.5752247412812</v>
      </c>
      <c r="C733">
        <v>19.4321278539351</v>
      </c>
      <c r="D733">
        <v>0</v>
      </c>
      <c r="E733">
        <v>5.2768178002467296</v>
      </c>
      <c r="F733">
        <v>3.8072090243882499</v>
      </c>
      <c r="G733">
        <v>167.48608993579001</v>
      </c>
      <c r="H733">
        <v>28.312651120324201</v>
      </c>
      <c r="I733">
        <v>63.840812555625803</v>
      </c>
      <c r="J733">
        <v>59.621571299997299</v>
      </c>
      <c r="K733">
        <v>95054.733899565996</v>
      </c>
      <c r="L733">
        <v>752.67403451452003</v>
      </c>
      <c r="M733">
        <v>0.119790028780869</v>
      </c>
      <c r="N733">
        <v>3.3921823520537998E-2</v>
      </c>
      <c r="O733">
        <v>0.71200864374488504</v>
      </c>
      <c r="P733">
        <v>4.0319798868749798E-2</v>
      </c>
      <c r="Q733">
        <v>0.74254795856465095</v>
      </c>
      <c r="R733">
        <v>0</v>
      </c>
      <c r="S733">
        <v>170</v>
      </c>
      <c r="T733">
        <v>100</v>
      </c>
      <c r="U733">
        <v>1686556143.5799999</v>
      </c>
      <c r="V733">
        <v>17743</v>
      </c>
    </row>
    <row r="734" spans="1:22" x14ac:dyDescent="0.25">
      <c r="A734">
        <v>0.97801981136356597</v>
      </c>
      <c r="B734">
        <v>23.4100428557506</v>
      </c>
      <c r="C734">
        <v>22.560749533402401</v>
      </c>
      <c r="D734">
        <v>0</v>
      </c>
      <c r="E734">
        <v>5.2724726968882303</v>
      </c>
      <c r="F734">
        <v>3.7946486619975301</v>
      </c>
      <c r="G734">
        <v>167.49651329660901</v>
      </c>
      <c r="H734">
        <v>28.282076740780401</v>
      </c>
      <c r="I734">
        <v>65.956277754058604</v>
      </c>
      <c r="J734">
        <v>61.462881825228301</v>
      </c>
      <c r="K734">
        <v>104936.693891017</v>
      </c>
      <c r="L734">
        <v>750.56799168628402</v>
      </c>
      <c r="M734">
        <v>0.14365754529112801</v>
      </c>
      <c r="N734">
        <v>3.2048007445827503E-2</v>
      </c>
      <c r="O734">
        <v>0.70363023275201597</v>
      </c>
      <c r="P734">
        <v>3.8406082199111097E-2</v>
      </c>
      <c r="Q734">
        <v>0.76378769636849098</v>
      </c>
      <c r="R734">
        <v>0</v>
      </c>
      <c r="S734">
        <v>170</v>
      </c>
      <c r="T734">
        <v>110</v>
      </c>
      <c r="U734">
        <v>1588741545.51</v>
      </c>
      <c r="V734">
        <v>15140</v>
      </c>
    </row>
    <row r="735" spans="1:22" x14ac:dyDescent="0.25">
      <c r="A735">
        <v>0.97713833678870698</v>
      </c>
      <c r="B735">
        <v>24.234301511655801</v>
      </c>
      <c r="C735">
        <v>23.103608600190199</v>
      </c>
      <c r="D735">
        <v>0</v>
      </c>
      <c r="E735">
        <v>5.2714685214976003</v>
      </c>
      <c r="F735">
        <v>3.7880454238979602</v>
      </c>
      <c r="G735">
        <v>167.522699253567</v>
      </c>
      <c r="H735">
        <v>28.449180361481499</v>
      </c>
      <c r="I735">
        <v>66.4613257689699</v>
      </c>
      <c r="J735">
        <v>62.225288461587603</v>
      </c>
      <c r="K735">
        <v>115034.18989963501</v>
      </c>
      <c r="L735">
        <v>749.69763709072799</v>
      </c>
      <c r="M735">
        <v>0.14604521487071301</v>
      </c>
      <c r="N735">
        <v>2.85381931734499E-2</v>
      </c>
      <c r="O735">
        <v>0.69606090553311395</v>
      </c>
      <c r="P735">
        <v>4.1508477901567503E-2</v>
      </c>
      <c r="Q735">
        <v>0.75651473283713899</v>
      </c>
      <c r="R735">
        <v>0</v>
      </c>
      <c r="S735">
        <v>170</v>
      </c>
      <c r="T735">
        <v>120</v>
      </c>
      <c r="U735">
        <v>1673402360.47</v>
      </c>
      <c r="V735">
        <v>14547</v>
      </c>
    </row>
    <row r="736" spans="1:22" x14ac:dyDescent="0.25">
      <c r="A736">
        <v>0.97646142531831304</v>
      </c>
      <c r="B736">
        <v>24.861746498743202</v>
      </c>
      <c r="C736">
        <v>21.3149330804839</v>
      </c>
      <c r="D736">
        <v>0</v>
      </c>
      <c r="E736">
        <v>5.2660701601600604</v>
      </c>
      <c r="F736">
        <v>3.7845605588031801</v>
      </c>
      <c r="G736">
        <v>167.48885336815999</v>
      </c>
      <c r="H736">
        <v>28.3972403710472</v>
      </c>
      <c r="I736">
        <v>66.544943300845901</v>
      </c>
      <c r="J736">
        <v>62.322377880887203</v>
      </c>
      <c r="K736">
        <v>124881.859808219</v>
      </c>
      <c r="L736">
        <v>751.09181188527396</v>
      </c>
      <c r="M736">
        <v>0.15805279260098101</v>
      </c>
      <c r="N736">
        <v>3.0486367935202301E-2</v>
      </c>
      <c r="O736">
        <v>0.69153319332065</v>
      </c>
      <c r="P736">
        <v>3.9700382244488797E-2</v>
      </c>
      <c r="Q736">
        <v>0.77393032824959396</v>
      </c>
      <c r="R736">
        <v>0</v>
      </c>
      <c r="S736">
        <v>170</v>
      </c>
      <c r="T736">
        <v>130</v>
      </c>
      <c r="U736">
        <v>1686529516.71</v>
      </c>
      <c r="V736">
        <v>13505</v>
      </c>
    </row>
    <row r="737" spans="1:22" x14ac:dyDescent="0.25">
      <c r="A737">
        <v>0.97593741410746004</v>
      </c>
      <c r="B737">
        <v>25.344189926958599</v>
      </c>
      <c r="C737">
        <v>25.086052497712998</v>
      </c>
      <c r="D737">
        <v>0</v>
      </c>
      <c r="E737">
        <v>5.26461987050702</v>
      </c>
      <c r="F737">
        <v>3.7829992926160698</v>
      </c>
      <c r="G737">
        <v>167.50475672808099</v>
      </c>
      <c r="H737">
        <v>28.5291478397003</v>
      </c>
      <c r="I737">
        <v>66.918891194959002</v>
      </c>
      <c r="J737">
        <v>62.691750838013199</v>
      </c>
      <c r="K737">
        <v>134907.77013256299</v>
      </c>
      <c r="L737">
        <v>750.49022505648702</v>
      </c>
      <c r="M737">
        <v>0.15968299821287499</v>
      </c>
      <c r="N737">
        <v>2.7612047631230801E-2</v>
      </c>
      <c r="O737">
        <v>0.69323682740063897</v>
      </c>
      <c r="P737">
        <v>4.6068973004240003E-2</v>
      </c>
      <c r="Q737">
        <v>0.78865538140040403</v>
      </c>
      <c r="R737">
        <v>0</v>
      </c>
      <c r="S737">
        <v>170</v>
      </c>
      <c r="T737">
        <v>140</v>
      </c>
      <c r="U737">
        <v>1658825941.55</v>
      </c>
      <c r="V737">
        <v>12296</v>
      </c>
    </row>
    <row r="738" spans="1:22" x14ac:dyDescent="0.25">
      <c r="A738">
        <v>0.97500604415898295</v>
      </c>
      <c r="B738">
        <v>26.194675286356901</v>
      </c>
      <c r="C738">
        <v>27.8217257879882</v>
      </c>
      <c r="D738">
        <v>0</v>
      </c>
      <c r="E738">
        <v>5.2593218674862499</v>
      </c>
      <c r="F738">
        <v>3.77971466473412</v>
      </c>
      <c r="G738">
        <v>167.49261011270801</v>
      </c>
      <c r="H738">
        <v>28.634168806265301</v>
      </c>
      <c r="I738">
        <v>66.126463933998295</v>
      </c>
      <c r="J738">
        <v>62.064819425662101</v>
      </c>
      <c r="K738">
        <v>144884.25554332</v>
      </c>
      <c r="L738">
        <v>749.32665960219902</v>
      </c>
      <c r="M738">
        <v>0.15156104813101501</v>
      </c>
      <c r="N738">
        <v>2.8247226693041399E-2</v>
      </c>
      <c r="O738">
        <v>0.68849507587241898</v>
      </c>
      <c r="P738">
        <v>5.5213663510264299E-2</v>
      </c>
      <c r="Q738">
        <v>0.789315249591658</v>
      </c>
      <c r="R738">
        <v>0</v>
      </c>
      <c r="S738">
        <v>170</v>
      </c>
      <c r="T738">
        <v>150</v>
      </c>
      <c r="U738">
        <v>1697319053.6900001</v>
      </c>
      <c r="V738">
        <v>11715</v>
      </c>
    </row>
    <row r="739" spans="1:22" x14ac:dyDescent="0.25">
      <c r="A739">
        <v>0.97425762972636898</v>
      </c>
      <c r="B739">
        <v>26.871647908087599</v>
      </c>
      <c r="C739">
        <v>27.8617862576289</v>
      </c>
      <c r="D739">
        <v>0</v>
      </c>
      <c r="E739">
        <v>5.2646805442083897</v>
      </c>
      <c r="F739">
        <v>3.7790967967643798</v>
      </c>
      <c r="G739">
        <v>167.50962308189</v>
      </c>
      <c r="H739">
        <v>28.797535596926899</v>
      </c>
      <c r="I739">
        <v>67.140108030255206</v>
      </c>
      <c r="J739">
        <v>63.1601368377817</v>
      </c>
      <c r="K739">
        <v>154931.25995379401</v>
      </c>
      <c r="L739">
        <v>749.361429944463</v>
      </c>
      <c r="M739">
        <v>0.17621352450205</v>
      </c>
      <c r="N739">
        <v>3.1545841717137701E-2</v>
      </c>
      <c r="O739">
        <v>0.68444580413776002</v>
      </c>
      <c r="P739">
        <v>5.3742751670213001E-2</v>
      </c>
      <c r="Q739">
        <v>0.803464280540656</v>
      </c>
      <c r="R739">
        <v>0</v>
      </c>
      <c r="S739">
        <v>170</v>
      </c>
      <c r="T739">
        <v>160</v>
      </c>
      <c r="U739">
        <v>1575960776.25</v>
      </c>
      <c r="V739">
        <v>10172</v>
      </c>
    </row>
    <row r="740" spans="1:22" x14ac:dyDescent="0.25">
      <c r="A740">
        <v>0.97333136948448196</v>
      </c>
      <c r="B740">
        <v>27.701606755021999</v>
      </c>
      <c r="C740">
        <v>26.104836200898699</v>
      </c>
      <c r="D740">
        <v>0</v>
      </c>
      <c r="E740">
        <v>5.2618514112250496</v>
      </c>
      <c r="F740">
        <v>3.7745020827228499</v>
      </c>
      <c r="G740">
        <v>167.48612909703201</v>
      </c>
      <c r="H740">
        <v>28.882769128668599</v>
      </c>
      <c r="I740">
        <v>67.498476537928198</v>
      </c>
      <c r="J740">
        <v>63.507153714687803</v>
      </c>
      <c r="K740">
        <v>164932.320157232</v>
      </c>
      <c r="L740">
        <v>750.01170878366599</v>
      </c>
      <c r="M740">
        <v>0.171928368909638</v>
      </c>
      <c r="N740">
        <v>2.9935138124586601E-2</v>
      </c>
      <c r="O740">
        <v>0.67496491744228104</v>
      </c>
      <c r="P740">
        <v>6.4015600233362197E-2</v>
      </c>
      <c r="Q740">
        <v>0.78488660723631298</v>
      </c>
      <c r="R740">
        <v>0</v>
      </c>
      <c r="S740">
        <v>170</v>
      </c>
      <c r="T740">
        <v>170</v>
      </c>
      <c r="U740">
        <v>1573454334.3</v>
      </c>
      <c r="V740">
        <v>9540</v>
      </c>
    </row>
    <row r="741" spans="1:22" x14ac:dyDescent="0.25">
      <c r="A741">
        <v>0.96416201512494504</v>
      </c>
      <c r="B741">
        <v>35.464272197755001</v>
      </c>
      <c r="C741">
        <v>35.137642805959999</v>
      </c>
      <c r="D741">
        <v>0</v>
      </c>
      <c r="E741">
        <v>5.2396799433520096</v>
      </c>
      <c r="F741">
        <v>3.7510916702268</v>
      </c>
      <c r="G741">
        <v>167.49306500869901</v>
      </c>
      <c r="H741">
        <v>28.990193244098101</v>
      </c>
      <c r="I741">
        <v>67.989077082903805</v>
      </c>
      <c r="J741">
        <v>63.821400484836502</v>
      </c>
      <c r="K741">
        <v>277076.34276879602</v>
      </c>
      <c r="L741">
        <v>746.56214072439104</v>
      </c>
      <c r="M741">
        <v>0.23611445891473701</v>
      </c>
      <c r="N741">
        <v>3.6536290120785998E-2</v>
      </c>
      <c r="O741">
        <v>0.64164092070809997</v>
      </c>
      <c r="P741">
        <v>0.109167463953828</v>
      </c>
      <c r="Q741">
        <v>0.79294243969573897</v>
      </c>
      <c r="R741">
        <v>0</v>
      </c>
      <c r="S741">
        <v>170</v>
      </c>
      <c r="T741">
        <v>175</v>
      </c>
      <c r="U741">
        <v>23942998007.68</v>
      </c>
      <c r="V741">
        <v>86413</v>
      </c>
    </row>
    <row r="742" spans="1:22" x14ac:dyDescent="0.25">
      <c r="A742">
        <v>0.97261014435844495</v>
      </c>
      <c r="B742">
        <v>28.341858618308599</v>
      </c>
      <c r="C742">
        <v>27.670433534974801</v>
      </c>
      <c r="D742">
        <v>0</v>
      </c>
      <c r="E742">
        <v>5.2595087742790403</v>
      </c>
      <c r="F742">
        <v>3.7735014663588702</v>
      </c>
      <c r="G742">
        <v>167.51346121834899</v>
      </c>
      <c r="H742">
        <v>28.780341700426</v>
      </c>
      <c r="I742">
        <v>67.617201196549303</v>
      </c>
      <c r="J742">
        <v>63.604106230007403</v>
      </c>
      <c r="K742">
        <v>172488.1855284</v>
      </c>
      <c r="L742">
        <v>748.85380802573502</v>
      </c>
      <c r="M742">
        <v>0.16745516014065501</v>
      </c>
      <c r="N742">
        <v>3.2862405509012302E-2</v>
      </c>
      <c r="O742">
        <v>0.68608295443824197</v>
      </c>
      <c r="P742">
        <v>5.9983651275897998E-2</v>
      </c>
      <c r="Q742">
        <v>0.78651680627776499</v>
      </c>
      <c r="R742">
        <v>0</v>
      </c>
      <c r="S742">
        <v>170</v>
      </c>
      <c r="T742">
        <v>180</v>
      </c>
      <c r="U742">
        <v>762225291.85000002</v>
      </c>
      <c r="V742">
        <v>4419</v>
      </c>
    </row>
    <row r="743" spans="1:22" x14ac:dyDescent="0.25">
      <c r="A743">
        <v>0.99224694749008302</v>
      </c>
      <c r="B743">
        <v>8.9170142859524795</v>
      </c>
      <c r="C743">
        <v>91.420372858403695</v>
      </c>
      <c r="D743">
        <v>0</v>
      </c>
      <c r="E743">
        <v>5.33403539406308</v>
      </c>
      <c r="F743">
        <v>3.88545707373616</v>
      </c>
      <c r="G743">
        <v>171.71331188121201</v>
      </c>
      <c r="H743">
        <v>28.9458351868692</v>
      </c>
      <c r="I743">
        <v>50.679568900632397</v>
      </c>
      <c r="J743">
        <v>6.0723871207019098</v>
      </c>
      <c r="K743">
        <v>5530.9608176100601</v>
      </c>
      <c r="L743">
        <v>771.27660444247897</v>
      </c>
      <c r="M743">
        <v>4.4622576693118803E-2</v>
      </c>
      <c r="N743">
        <v>3.6058174841208601E-2</v>
      </c>
      <c r="O743">
        <v>0.68348114866300302</v>
      </c>
      <c r="P743">
        <v>4.0111822440076203E-2</v>
      </c>
      <c r="Q743">
        <v>0.49742768202374299</v>
      </c>
      <c r="R743">
        <v>0</v>
      </c>
      <c r="S743">
        <v>175</v>
      </c>
      <c r="T743">
        <v>10</v>
      </c>
      <c r="U743">
        <v>1758845.54</v>
      </c>
      <c r="V743">
        <v>318</v>
      </c>
    </row>
    <row r="744" spans="1:22" x14ac:dyDescent="0.25">
      <c r="A744">
        <v>0.99149746219796397</v>
      </c>
      <c r="B744">
        <v>9.7391782165870904</v>
      </c>
      <c r="C744">
        <v>57.463017096096998</v>
      </c>
      <c r="D744">
        <v>0</v>
      </c>
      <c r="E744">
        <v>5.3758884818711801</v>
      </c>
      <c r="F744">
        <v>3.9062130626039102</v>
      </c>
      <c r="G744">
        <v>171.864993522915</v>
      </c>
      <c r="H744">
        <v>28.094757400146801</v>
      </c>
      <c r="I744">
        <v>46.742469814157303</v>
      </c>
      <c r="J744">
        <v>17.450945993536699</v>
      </c>
      <c r="K744">
        <v>15962.175953420599</v>
      </c>
      <c r="L744">
        <v>770.68448004239804</v>
      </c>
      <c r="M744">
        <v>8.7729606473049004E-2</v>
      </c>
      <c r="N744">
        <v>1.4931910251064599E-2</v>
      </c>
      <c r="O744">
        <v>0.787896405808998</v>
      </c>
      <c r="P744">
        <v>2.6187946409206402E-2</v>
      </c>
      <c r="Q744">
        <v>0.56574556189185099</v>
      </c>
      <c r="R744">
        <v>0</v>
      </c>
      <c r="S744">
        <v>175</v>
      </c>
      <c r="T744">
        <v>20</v>
      </c>
      <c r="U744">
        <v>10966014.880000001</v>
      </c>
      <c r="V744">
        <v>687</v>
      </c>
    </row>
    <row r="745" spans="1:22" x14ac:dyDescent="0.25">
      <c r="A745">
        <v>0.98881141412898699</v>
      </c>
      <c r="B745">
        <v>12.6301376498482</v>
      </c>
      <c r="C745">
        <v>32.4839255110087</v>
      </c>
      <c r="D745">
        <v>0</v>
      </c>
      <c r="E745">
        <v>5.37606860294279</v>
      </c>
      <c r="F745">
        <v>3.90880290352426</v>
      </c>
      <c r="G745">
        <v>172.00308323572401</v>
      </c>
      <c r="H745">
        <v>26.896693961247099</v>
      </c>
      <c r="I745">
        <v>45.833189768828497</v>
      </c>
      <c r="J745">
        <v>31.760767812791499</v>
      </c>
      <c r="K745">
        <v>25888.555369433099</v>
      </c>
      <c r="L745">
        <v>766.60084687105496</v>
      </c>
      <c r="M745">
        <v>6.8921534323873004E-2</v>
      </c>
      <c r="N745">
        <v>1.66121951444787E-2</v>
      </c>
      <c r="O745">
        <v>0.78634373351125497</v>
      </c>
      <c r="P745">
        <v>3.1308408367959797E-2</v>
      </c>
      <c r="Q745">
        <v>0.58521924744308196</v>
      </c>
      <c r="R745">
        <v>0</v>
      </c>
      <c r="S745">
        <v>175</v>
      </c>
      <c r="T745">
        <v>30</v>
      </c>
      <c r="U745">
        <v>51155785.409999996</v>
      </c>
      <c r="V745">
        <v>1976</v>
      </c>
    </row>
    <row r="746" spans="1:22" x14ac:dyDescent="0.25">
      <c r="A746">
        <v>0.98648723350306</v>
      </c>
      <c r="B746">
        <v>15.0628604400037</v>
      </c>
      <c r="C746">
        <v>21.259854533442098</v>
      </c>
      <c r="D746">
        <v>0</v>
      </c>
      <c r="E746">
        <v>5.37704687256754</v>
      </c>
      <c r="F746">
        <v>3.8976554085644799</v>
      </c>
      <c r="G746">
        <v>172.087218928098</v>
      </c>
      <c r="H746">
        <v>26.5759558767569</v>
      </c>
      <c r="I746">
        <v>49.135536207191997</v>
      </c>
      <c r="J746">
        <v>41.009477858060798</v>
      </c>
      <c r="K746">
        <v>35774.421689397197</v>
      </c>
      <c r="L746">
        <v>761.036034294459</v>
      </c>
      <c r="M746">
        <v>8.41468017556187E-2</v>
      </c>
      <c r="N746">
        <v>2.3472441621213199E-2</v>
      </c>
      <c r="O746">
        <v>0.77879833822828304</v>
      </c>
      <c r="P746">
        <v>3.2708370404839301E-2</v>
      </c>
      <c r="Q746">
        <v>0.64285120564792297</v>
      </c>
      <c r="R746">
        <v>0</v>
      </c>
      <c r="S746">
        <v>175</v>
      </c>
      <c r="T746">
        <v>40</v>
      </c>
      <c r="U746">
        <v>162630521</v>
      </c>
      <c r="V746">
        <v>4546</v>
      </c>
    </row>
    <row r="747" spans="1:22" x14ac:dyDescent="0.25">
      <c r="A747">
        <v>0.98448994339590301</v>
      </c>
      <c r="B747">
        <v>17.1036497448492</v>
      </c>
      <c r="C747">
        <v>18.1608111927289</v>
      </c>
      <c r="D747">
        <v>0</v>
      </c>
      <c r="E747">
        <v>5.3604237732774402</v>
      </c>
      <c r="F747">
        <v>3.8770725711582701</v>
      </c>
      <c r="G747">
        <v>172.043499423181</v>
      </c>
      <c r="H747">
        <v>26.8839123443042</v>
      </c>
      <c r="I747">
        <v>51.0077841336795</v>
      </c>
      <c r="J747">
        <v>44.9309577134878</v>
      </c>
      <c r="K747">
        <v>45646.208769947501</v>
      </c>
      <c r="L747">
        <v>760.73801543263698</v>
      </c>
      <c r="M747">
        <v>8.1484047634350396E-2</v>
      </c>
      <c r="N747">
        <v>3.0282479822281799E-2</v>
      </c>
      <c r="O747">
        <v>0.75413979979472801</v>
      </c>
      <c r="P747">
        <v>3.34745848928572E-2</v>
      </c>
      <c r="Q747">
        <v>0.67624852793111301</v>
      </c>
      <c r="R747">
        <v>0</v>
      </c>
      <c r="S747">
        <v>175</v>
      </c>
      <c r="T747">
        <v>50</v>
      </c>
      <c r="U747">
        <v>391872702.29000002</v>
      </c>
      <c r="V747">
        <v>8585</v>
      </c>
    </row>
    <row r="748" spans="1:22" x14ac:dyDescent="0.25">
      <c r="A748">
        <v>0.98294359505884199</v>
      </c>
      <c r="B748">
        <v>18.6526957600698</v>
      </c>
      <c r="C748">
        <v>15.6537173678011</v>
      </c>
      <c r="D748">
        <v>0</v>
      </c>
      <c r="E748">
        <v>5.3471737150363401</v>
      </c>
      <c r="F748">
        <v>3.8570300851912598</v>
      </c>
      <c r="G748">
        <v>172.053391810226</v>
      </c>
      <c r="H748">
        <v>26.699739953982501</v>
      </c>
      <c r="I748">
        <v>54.3836560076859</v>
      </c>
      <c r="J748">
        <v>49.206902564922402</v>
      </c>
      <c r="K748">
        <v>55283.569857450602</v>
      </c>
      <c r="L748">
        <v>757.84251040949096</v>
      </c>
      <c r="M748">
        <v>9.5265760492518906E-2</v>
      </c>
      <c r="N748">
        <v>3.8740448423981999E-2</v>
      </c>
      <c r="O748">
        <v>0.74576630536502198</v>
      </c>
      <c r="P748">
        <v>3.08152628680953E-2</v>
      </c>
      <c r="Q748">
        <v>0.71464169475791905</v>
      </c>
      <c r="R748">
        <v>0</v>
      </c>
      <c r="S748">
        <v>175</v>
      </c>
      <c r="T748">
        <v>60</v>
      </c>
      <c r="U748">
        <v>667051553.89999998</v>
      </c>
      <c r="V748">
        <v>12066</v>
      </c>
    </row>
    <row r="749" spans="1:22" x14ac:dyDescent="0.25">
      <c r="A749">
        <v>0.98181786299454699</v>
      </c>
      <c r="B749">
        <v>19.763652314727199</v>
      </c>
      <c r="C749">
        <v>15.6461622387588</v>
      </c>
      <c r="D749">
        <v>0</v>
      </c>
      <c r="E749">
        <v>5.3311702100475502</v>
      </c>
      <c r="F749">
        <v>3.8342711907742002</v>
      </c>
      <c r="G749">
        <v>172.04585024347799</v>
      </c>
      <c r="H749">
        <v>26.590247134693101</v>
      </c>
      <c r="I749">
        <v>56.993729078515599</v>
      </c>
      <c r="J749">
        <v>52.273339223874899</v>
      </c>
      <c r="K749">
        <v>65191.263311890798</v>
      </c>
      <c r="L749">
        <v>757.28112344713702</v>
      </c>
      <c r="M749">
        <v>0.100940465450192</v>
      </c>
      <c r="N749">
        <v>3.0144323652834301E-2</v>
      </c>
      <c r="O749">
        <v>0.75478109792391201</v>
      </c>
      <c r="P749">
        <v>3.6136358153324499E-2</v>
      </c>
      <c r="Q749">
        <v>0.744987991803852</v>
      </c>
      <c r="R749">
        <v>0</v>
      </c>
      <c r="S749">
        <v>175</v>
      </c>
      <c r="T749">
        <v>70</v>
      </c>
      <c r="U749">
        <v>1003293542.37</v>
      </c>
      <c r="V749">
        <v>15390</v>
      </c>
    </row>
    <row r="750" spans="1:22" x14ac:dyDescent="0.25">
      <c r="A750">
        <v>0.98057258262376601</v>
      </c>
      <c r="B750">
        <v>20.976374354466099</v>
      </c>
      <c r="C750">
        <v>18.548414507229701</v>
      </c>
      <c r="D750">
        <v>0</v>
      </c>
      <c r="E750">
        <v>5.3110658271546498</v>
      </c>
      <c r="F750">
        <v>3.81337867506253</v>
      </c>
      <c r="G750">
        <v>171.985911596964</v>
      </c>
      <c r="H750">
        <v>27.863920093610901</v>
      </c>
      <c r="I750">
        <v>57.869474073337102</v>
      </c>
      <c r="J750">
        <v>53.585295623440402</v>
      </c>
      <c r="K750">
        <v>74933.344901863005</v>
      </c>
      <c r="L750">
        <v>757.43526393126501</v>
      </c>
      <c r="M750">
        <v>0.11244613620138399</v>
      </c>
      <c r="N750">
        <v>2.63898355079621E-2</v>
      </c>
      <c r="O750">
        <v>0.73226925900565598</v>
      </c>
      <c r="P750">
        <v>3.7477877543505199E-2</v>
      </c>
      <c r="Q750">
        <v>0.76178489767530999</v>
      </c>
      <c r="R750">
        <v>0</v>
      </c>
      <c r="S750">
        <v>175</v>
      </c>
      <c r="T750">
        <v>80</v>
      </c>
      <c r="U750">
        <v>1202605252.3299999</v>
      </c>
      <c r="V750">
        <v>16049</v>
      </c>
    </row>
    <row r="751" spans="1:22" x14ac:dyDescent="0.25">
      <c r="A751">
        <v>0.97959762834546105</v>
      </c>
      <c r="B751">
        <v>21.914085647592199</v>
      </c>
      <c r="C751">
        <v>19.7897088380467</v>
      </c>
      <c r="D751">
        <v>0</v>
      </c>
      <c r="E751">
        <v>5.30111009781311</v>
      </c>
      <c r="F751">
        <v>3.7901361257949899</v>
      </c>
      <c r="G751">
        <v>172.04444325389301</v>
      </c>
      <c r="H751">
        <v>28.3088868511526</v>
      </c>
      <c r="I751">
        <v>60.901314723375101</v>
      </c>
      <c r="J751">
        <v>56.512372715192797</v>
      </c>
      <c r="K751">
        <v>85037.826929192001</v>
      </c>
      <c r="L751">
        <v>756.25986067709005</v>
      </c>
      <c r="M751">
        <v>0.114150092037416</v>
      </c>
      <c r="N751">
        <v>3.0596289959247399E-2</v>
      </c>
      <c r="O751">
        <v>0.72309649546257204</v>
      </c>
      <c r="P751">
        <v>3.4415434827994897E-2</v>
      </c>
      <c r="Q751">
        <v>0.75758288744277302</v>
      </c>
      <c r="R751">
        <v>0</v>
      </c>
      <c r="S751">
        <v>175</v>
      </c>
      <c r="T751">
        <v>90</v>
      </c>
      <c r="U751">
        <v>1379908817.5799999</v>
      </c>
      <c r="V751">
        <v>16227</v>
      </c>
    </row>
    <row r="752" spans="1:22" x14ac:dyDescent="0.25">
      <c r="A752">
        <v>0.97872264960517197</v>
      </c>
      <c r="B752">
        <v>22.746944324462</v>
      </c>
      <c r="C752">
        <v>21.094400288440301</v>
      </c>
      <c r="D752">
        <v>0</v>
      </c>
      <c r="E752">
        <v>5.2976646925575901</v>
      </c>
      <c r="F752">
        <v>3.7876926598379601</v>
      </c>
      <c r="G752">
        <v>172.03068045510099</v>
      </c>
      <c r="H752">
        <v>28.545767378019502</v>
      </c>
      <c r="I752">
        <v>60.432369214981698</v>
      </c>
      <c r="J752">
        <v>56.606886259675797</v>
      </c>
      <c r="K752">
        <v>95036.285834854207</v>
      </c>
      <c r="L752">
        <v>757.15350147588697</v>
      </c>
      <c r="M752">
        <v>0.123423033629479</v>
      </c>
      <c r="N752">
        <v>3.1070319460052401E-2</v>
      </c>
      <c r="O752">
        <v>0.71720036787366004</v>
      </c>
      <c r="P752">
        <v>4.4249083118124401E-2</v>
      </c>
      <c r="Q752">
        <v>0.75846312233796997</v>
      </c>
      <c r="R752">
        <v>0</v>
      </c>
      <c r="S752">
        <v>175</v>
      </c>
      <c r="T752">
        <v>100</v>
      </c>
      <c r="U752">
        <v>1718351084.1800001</v>
      </c>
      <c r="V752">
        <v>18081</v>
      </c>
    </row>
    <row r="753" spans="1:22" x14ac:dyDescent="0.25">
      <c r="A753">
        <v>0.97788858272491797</v>
      </c>
      <c r="B753">
        <v>23.533272038712301</v>
      </c>
      <c r="C753">
        <v>24.307157473192301</v>
      </c>
      <c r="D753">
        <v>0</v>
      </c>
      <c r="E753">
        <v>5.2899467656891499</v>
      </c>
      <c r="F753">
        <v>3.7732588630645498</v>
      </c>
      <c r="G753">
        <v>172.063355377101</v>
      </c>
      <c r="H753">
        <v>28.506566593531701</v>
      </c>
      <c r="I753">
        <v>62.637811208162901</v>
      </c>
      <c r="J753">
        <v>58.5591581180052</v>
      </c>
      <c r="K753">
        <v>104862.400054507</v>
      </c>
      <c r="L753">
        <v>755.15896067123595</v>
      </c>
      <c r="M753">
        <v>0.151464531587297</v>
      </c>
      <c r="N753">
        <v>2.9698558544520401E-2</v>
      </c>
      <c r="O753">
        <v>0.71175504211450003</v>
      </c>
      <c r="P753">
        <v>4.37583831035495E-2</v>
      </c>
      <c r="Q753">
        <v>0.78421619788200103</v>
      </c>
      <c r="R753">
        <v>0</v>
      </c>
      <c r="S753">
        <v>175</v>
      </c>
      <c r="T753">
        <v>110</v>
      </c>
      <c r="U753">
        <v>1539065445.5999999</v>
      </c>
      <c r="V753">
        <v>14677</v>
      </c>
    </row>
    <row r="754" spans="1:22" x14ac:dyDescent="0.25">
      <c r="A754">
        <v>0.97700923179190602</v>
      </c>
      <c r="B754">
        <v>24.3543413225457</v>
      </c>
      <c r="C754">
        <v>22.8062543934141</v>
      </c>
      <c r="D754">
        <v>0</v>
      </c>
      <c r="E754">
        <v>5.2872957419778599</v>
      </c>
      <c r="F754">
        <v>3.7680481984392702</v>
      </c>
      <c r="G754">
        <v>172.093652620185</v>
      </c>
      <c r="H754">
        <v>28.760768315433001</v>
      </c>
      <c r="I754">
        <v>63.435715128110402</v>
      </c>
      <c r="J754">
        <v>59.467293986360502</v>
      </c>
      <c r="K754">
        <v>115064.632652564</v>
      </c>
      <c r="L754">
        <v>754.35545700918703</v>
      </c>
      <c r="M754">
        <v>0.15351015340445801</v>
      </c>
      <c r="N754">
        <v>2.5513374091838899E-2</v>
      </c>
      <c r="O754">
        <v>0.70888785162134105</v>
      </c>
      <c r="P754">
        <v>4.5585915413897199E-2</v>
      </c>
      <c r="Q754">
        <v>0.77754323228901501</v>
      </c>
      <c r="R754">
        <v>0</v>
      </c>
      <c r="S754">
        <v>175</v>
      </c>
      <c r="T754">
        <v>120</v>
      </c>
      <c r="U754">
        <v>1653593835.8499999</v>
      </c>
      <c r="V754">
        <v>14371</v>
      </c>
    </row>
    <row r="755" spans="1:22" x14ac:dyDescent="0.25">
      <c r="A755">
        <v>0.97635933639166805</v>
      </c>
      <c r="B755">
        <v>24.955960657343201</v>
      </c>
      <c r="C755">
        <v>26.244133894081799</v>
      </c>
      <c r="D755">
        <v>0</v>
      </c>
      <c r="E755">
        <v>5.2875985492217801</v>
      </c>
      <c r="F755">
        <v>3.7665974083340998</v>
      </c>
      <c r="G755">
        <v>172.10334205536299</v>
      </c>
      <c r="H755">
        <v>28.742759073680801</v>
      </c>
      <c r="I755">
        <v>63.605487608462703</v>
      </c>
      <c r="J755">
        <v>59.684543521026598</v>
      </c>
      <c r="K755">
        <v>124850.850443683</v>
      </c>
      <c r="L755">
        <v>754.25179349160499</v>
      </c>
      <c r="M755">
        <v>0.162191462817009</v>
      </c>
      <c r="N755">
        <v>2.7862665389029501E-2</v>
      </c>
      <c r="O755">
        <v>0.70548150506753904</v>
      </c>
      <c r="P755">
        <v>5.2377211233645103E-2</v>
      </c>
      <c r="Q755">
        <v>0.80178393882376797</v>
      </c>
      <c r="R755">
        <v>0</v>
      </c>
      <c r="S755">
        <v>175</v>
      </c>
      <c r="T755">
        <v>130</v>
      </c>
      <c r="U755">
        <v>1603958875.6500001</v>
      </c>
      <c r="V755">
        <v>12847</v>
      </c>
    </row>
    <row r="756" spans="1:22" x14ac:dyDescent="0.25">
      <c r="A756">
        <v>0.97581788818519</v>
      </c>
      <c r="B756">
        <v>25.453835846392799</v>
      </c>
      <c r="C756">
        <v>28.705076434663798</v>
      </c>
      <c r="D756">
        <v>0</v>
      </c>
      <c r="E756">
        <v>5.2786399260119703</v>
      </c>
      <c r="F756">
        <v>3.7607457769964299</v>
      </c>
      <c r="G756">
        <v>172.10219129476499</v>
      </c>
      <c r="H756">
        <v>28.736908050637201</v>
      </c>
      <c r="I756">
        <v>63.877680456114703</v>
      </c>
      <c r="J756">
        <v>59.903681171192602</v>
      </c>
      <c r="K756">
        <v>134884.754105937</v>
      </c>
      <c r="L756">
        <v>755.41275937712498</v>
      </c>
      <c r="M756">
        <v>0.164737646978597</v>
      </c>
      <c r="N756">
        <v>2.6826803114616299E-2</v>
      </c>
      <c r="O756">
        <v>0.70731012776633495</v>
      </c>
      <c r="P756">
        <v>4.81175082736282E-2</v>
      </c>
      <c r="Q756">
        <v>0.80883820166267995</v>
      </c>
      <c r="R756">
        <v>0</v>
      </c>
      <c r="S756">
        <v>175</v>
      </c>
      <c r="T756">
        <v>140</v>
      </c>
      <c r="U756">
        <v>1578826046.8099999</v>
      </c>
      <c r="V756">
        <v>11705</v>
      </c>
    </row>
    <row r="757" spans="1:22" x14ac:dyDescent="0.25">
      <c r="A757">
        <v>0.97487347070708896</v>
      </c>
      <c r="B757">
        <v>26.315010695346501</v>
      </c>
      <c r="C757">
        <v>26.713324523741399</v>
      </c>
      <c r="D757">
        <v>0</v>
      </c>
      <c r="E757">
        <v>5.2797587063103997</v>
      </c>
      <c r="F757">
        <v>3.7611593592070101</v>
      </c>
      <c r="G757">
        <v>172.06247008284501</v>
      </c>
      <c r="H757">
        <v>28.942497138668699</v>
      </c>
      <c r="I757">
        <v>62.710217529572802</v>
      </c>
      <c r="J757">
        <v>59.082807501470299</v>
      </c>
      <c r="K757">
        <v>144858.90122043301</v>
      </c>
      <c r="L757">
        <v>752.82657706449504</v>
      </c>
      <c r="M757">
        <v>0.16115721867008401</v>
      </c>
      <c r="N757">
        <v>2.7355348934751601E-2</v>
      </c>
      <c r="O757">
        <v>0.70126483180821197</v>
      </c>
      <c r="P757">
        <v>6.1432164341228702E-2</v>
      </c>
      <c r="Q757">
        <v>0.80427537076720101</v>
      </c>
      <c r="R757">
        <v>0</v>
      </c>
      <c r="S757">
        <v>175</v>
      </c>
      <c r="T757">
        <v>150</v>
      </c>
      <c r="U757">
        <v>1610686122.6700001</v>
      </c>
      <c r="V757">
        <v>11119</v>
      </c>
    </row>
    <row r="758" spans="1:22" x14ac:dyDescent="0.25">
      <c r="A758">
        <v>0.97411666169687805</v>
      </c>
      <c r="B758">
        <v>26.9985206306945</v>
      </c>
      <c r="C758">
        <v>28.031059687685602</v>
      </c>
      <c r="D758">
        <v>0</v>
      </c>
      <c r="E758">
        <v>5.2833201083194403</v>
      </c>
      <c r="F758">
        <v>3.7565776086540499</v>
      </c>
      <c r="G758">
        <v>172.12931704133001</v>
      </c>
      <c r="H758">
        <v>29.130349819438202</v>
      </c>
      <c r="I758">
        <v>64.477735112996001</v>
      </c>
      <c r="J758">
        <v>60.764611989034499</v>
      </c>
      <c r="K758">
        <v>154892.552056641</v>
      </c>
      <c r="L758">
        <v>752.13662968223605</v>
      </c>
      <c r="M758">
        <v>0.17897078888700199</v>
      </c>
      <c r="N758">
        <v>2.7040758220830099E-2</v>
      </c>
      <c r="O758">
        <v>0.70617615423569302</v>
      </c>
      <c r="P758">
        <v>5.9771631856276097E-2</v>
      </c>
      <c r="Q758">
        <v>0.81720022299052697</v>
      </c>
      <c r="R758">
        <v>0</v>
      </c>
      <c r="S758">
        <v>175</v>
      </c>
      <c r="T758">
        <v>160</v>
      </c>
      <c r="U758">
        <v>1482166830.6300001</v>
      </c>
      <c r="V758">
        <v>9569</v>
      </c>
    </row>
    <row r="759" spans="1:22" x14ac:dyDescent="0.25">
      <c r="A759">
        <v>0.97321623348253505</v>
      </c>
      <c r="B759">
        <v>27.804166701148201</v>
      </c>
      <c r="C759">
        <v>29.6147630672919</v>
      </c>
      <c r="D759">
        <v>0</v>
      </c>
      <c r="E759">
        <v>5.2843247539849898</v>
      </c>
      <c r="F759">
        <v>3.7566157332130201</v>
      </c>
      <c r="G759">
        <v>172.13933755602699</v>
      </c>
      <c r="H759">
        <v>29.1847671985816</v>
      </c>
      <c r="I759">
        <v>64.812484064920596</v>
      </c>
      <c r="J759">
        <v>61.087592400118403</v>
      </c>
      <c r="K759">
        <v>164995.74245394499</v>
      </c>
      <c r="L759">
        <v>753.01100708788601</v>
      </c>
      <c r="M759">
        <v>0.174902070903972</v>
      </c>
      <c r="N759">
        <v>2.73134929803063E-2</v>
      </c>
      <c r="O759">
        <v>0.69338286313034003</v>
      </c>
      <c r="P759">
        <v>7.2445847820489406E-2</v>
      </c>
      <c r="Q759">
        <v>0.80986325934914505</v>
      </c>
      <c r="R759">
        <v>0</v>
      </c>
      <c r="S759">
        <v>175</v>
      </c>
      <c r="T759">
        <v>170</v>
      </c>
      <c r="U759">
        <v>1424078253.1199999</v>
      </c>
      <c r="V759">
        <v>8631</v>
      </c>
    </row>
    <row r="760" spans="1:22" x14ac:dyDescent="0.25">
      <c r="A760">
        <v>0.96406366775402896</v>
      </c>
      <c r="B760">
        <v>35.543221912169301</v>
      </c>
      <c r="C760">
        <v>37.340282025456702</v>
      </c>
      <c r="D760">
        <v>0</v>
      </c>
      <c r="E760">
        <v>5.2603243418021899</v>
      </c>
      <c r="F760">
        <v>3.7336788558915002</v>
      </c>
      <c r="G760">
        <v>172.127547098957</v>
      </c>
      <c r="H760">
        <v>29.206714218937599</v>
      </c>
      <c r="I760">
        <v>65.391241628585405</v>
      </c>
      <c r="J760">
        <v>61.546418183542698</v>
      </c>
      <c r="K760">
        <v>276998.00847925799</v>
      </c>
      <c r="L760">
        <v>749.19656822042703</v>
      </c>
      <c r="M760">
        <v>0.246485636096859</v>
      </c>
      <c r="N760">
        <v>3.4337034636590498E-2</v>
      </c>
      <c r="O760">
        <v>0.65744949537381203</v>
      </c>
      <c r="P760">
        <v>0.11566249377568601</v>
      </c>
      <c r="Q760">
        <v>0.81515042355532596</v>
      </c>
      <c r="R760">
        <v>0</v>
      </c>
      <c r="S760">
        <v>175</v>
      </c>
      <c r="T760">
        <v>175</v>
      </c>
      <c r="U760">
        <v>21788386348.970001</v>
      </c>
      <c r="V760">
        <v>78659</v>
      </c>
    </row>
    <row r="761" spans="1:22" x14ac:dyDescent="0.25">
      <c r="A761">
        <v>0.97251333645509297</v>
      </c>
      <c r="B761">
        <v>28.427400947174299</v>
      </c>
      <c r="C761">
        <v>31.2338492869047</v>
      </c>
      <c r="D761">
        <v>0</v>
      </c>
      <c r="E761">
        <v>5.2839505228030603</v>
      </c>
      <c r="F761">
        <v>3.7530920959167302</v>
      </c>
      <c r="G761">
        <v>172.10627354381199</v>
      </c>
      <c r="H761">
        <v>28.971488092249299</v>
      </c>
      <c r="I761">
        <v>65.080013214109201</v>
      </c>
      <c r="J761">
        <v>61.468037857761701</v>
      </c>
      <c r="K761">
        <v>172519.685368773</v>
      </c>
      <c r="L761">
        <v>751.41824881542004</v>
      </c>
      <c r="M761">
        <v>0.181769848783433</v>
      </c>
      <c r="N761">
        <v>2.85329040635727E-2</v>
      </c>
      <c r="O761">
        <v>0.701593327945365</v>
      </c>
      <c r="P761">
        <v>6.5412975129692297E-2</v>
      </c>
      <c r="Q761">
        <v>0.804812998337188</v>
      </c>
      <c r="R761">
        <v>0</v>
      </c>
      <c r="S761">
        <v>175</v>
      </c>
      <c r="T761">
        <v>180</v>
      </c>
      <c r="U761">
        <v>720442206.10000002</v>
      </c>
      <c r="V761">
        <v>4176</v>
      </c>
    </row>
    <row r="762" spans="1:22" x14ac:dyDescent="0.25">
      <c r="A762">
        <v>0.99238936074045503</v>
      </c>
      <c r="B762">
        <v>8.7600170561635107</v>
      </c>
      <c r="C762">
        <v>85.741147416488005</v>
      </c>
      <c r="D762">
        <v>0</v>
      </c>
      <c r="E762">
        <v>5.4047261860685998</v>
      </c>
      <c r="F762">
        <v>3.8973718045166899</v>
      </c>
      <c r="G762">
        <v>176.948489919878</v>
      </c>
      <c r="H762">
        <v>28.4502145382869</v>
      </c>
      <c r="I762">
        <v>49.644386952850297</v>
      </c>
      <c r="J762">
        <v>6.0954903972812904</v>
      </c>
      <c r="K762">
        <v>5890.5426938775499</v>
      </c>
      <c r="L762">
        <v>769.18013169307301</v>
      </c>
      <c r="M762">
        <v>2.2824403359086198E-2</v>
      </c>
      <c r="N762">
        <v>1.9880050413011999E-2</v>
      </c>
      <c r="O762">
        <v>0.699956462900587</v>
      </c>
      <c r="P762">
        <v>2.3106266443167999E-2</v>
      </c>
      <c r="Q762">
        <v>0.51065681235593297</v>
      </c>
      <c r="R762">
        <v>0</v>
      </c>
      <c r="S762">
        <v>180</v>
      </c>
      <c r="T762">
        <v>10</v>
      </c>
      <c r="U762">
        <v>1443182.96</v>
      </c>
      <c r="V762">
        <v>245</v>
      </c>
    </row>
    <row r="763" spans="1:22" x14ac:dyDescent="0.25">
      <c r="A763">
        <v>0.991366957443649</v>
      </c>
      <c r="B763">
        <v>9.8816408212977702</v>
      </c>
      <c r="C763">
        <v>51.713743134010002</v>
      </c>
      <c r="D763">
        <v>0</v>
      </c>
      <c r="E763">
        <v>5.4474879671883398</v>
      </c>
      <c r="F763">
        <v>3.9218441138631301</v>
      </c>
      <c r="G763">
        <v>177.05443666424199</v>
      </c>
      <c r="H763">
        <v>27.596609903995802</v>
      </c>
      <c r="I763">
        <v>45.2688919781354</v>
      </c>
      <c r="J763">
        <v>19.069323741041</v>
      </c>
      <c r="K763">
        <v>16007.8544981412</v>
      </c>
      <c r="L763">
        <v>763.84539444351606</v>
      </c>
      <c r="M763">
        <v>8.8580113295033305E-2</v>
      </c>
      <c r="N763">
        <v>7.8533136727865493E-3</v>
      </c>
      <c r="O763">
        <v>0.77862438677466494</v>
      </c>
      <c r="P763">
        <v>4.1491092037936002E-2</v>
      </c>
      <c r="Q763">
        <v>0.58234508163819898</v>
      </c>
      <c r="R763">
        <v>0</v>
      </c>
      <c r="S763">
        <v>180</v>
      </c>
      <c r="T763">
        <v>20</v>
      </c>
      <c r="U763">
        <v>8612225.7200000007</v>
      </c>
      <c r="V763">
        <v>538</v>
      </c>
    </row>
    <row r="764" spans="1:22" x14ac:dyDescent="0.25">
      <c r="A764">
        <v>0.98850240258832001</v>
      </c>
      <c r="B764">
        <v>12.9572205193366</v>
      </c>
      <c r="C764">
        <v>30.023373009962398</v>
      </c>
      <c r="D764">
        <v>0</v>
      </c>
      <c r="E764">
        <v>5.4144132546261003</v>
      </c>
      <c r="F764">
        <v>3.8922541726153201</v>
      </c>
      <c r="G764">
        <v>177.110719870911</v>
      </c>
      <c r="H764">
        <v>27.0271048543555</v>
      </c>
      <c r="I764">
        <v>46.280086334452299</v>
      </c>
      <c r="J764">
        <v>33.4396735241599</v>
      </c>
      <c r="K764">
        <v>25923.110217522601</v>
      </c>
      <c r="L764">
        <v>760.83628546948501</v>
      </c>
      <c r="M764">
        <v>7.5980264593502406E-2</v>
      </c>
      <c r="N764">
        <v>1.14775926887429E-2</v>
      </c>
      <c r="O764">
        <v>0.78987641365133698</v>
      </c>
      <c r="P764">
        <v>3.4710996612139798E-2</v>
      </c>
      <c r="Q764">
        <v>0.58750694563036099</v>
      </c>
      <c r="R764">
        <v>0</v>
      </c>
      <c r="S764">
        <v>180</v>
      </c>
      <c r="T764">
        <v>30</v>
      </c>
      <c r="U764">
        <v>42902747.409999996</v>
      </c>
      <c r="V764">
        <v>1655</v>
      </c>
    </row>
    <row r="765" spans="1:22" x14ac:dyDescent="0.25">
      <c r="A765">
        <v>0.98619621324377205</v>
      </c>
      <c r="B765">
        <v>15.363057264493101</v>
      </c>
      <c r="C765">
        <v>18.1792672460208</v>
      </c>
      <c r="D765">
        <v>0</v>
      </c>
      <c r="E765">
        <v>5.4218898989794502</v>
      </c>
      <c r="F765">
        <v>3.8859856581452599</v>
      </c>
      <c r="G765">
        <v>177.120464718873</v>
      </c>
      <c r="H765">
        <v>26.803607069257701</v>
      </c>
      <c r="I765">
        <v>50.813127804545502</v>
      </c>
      <c r="J765">
        <v>42.893784397645398</v>
      </c>
      <c r="K765">
        <v>35789.100248920397</v>
      </c>
      <c r="L765">
        <v>757.39860051282596</v>
      </c>
      <c r="M765">
        <v>7.7781716531956299E-2</v>
      </c>
      <c r="N765">
        <v>2.5469551494303199E-2</v>
      </c>
      <c r="O765">
        <v>0.77855278539414496</v>
      </c>
      <c r="P765">
        <v>3.6939545762011403E-2</v>
      </c>
      <c r="Q765">
        <v>0.61515606673817802</v>
      </c>
      <c r="R765">
        <v>0</v>
      </c>
      <c r="S765">
        <v>180</v>
      </c>
      <c r="T765">
        <v>40</v>
      </c>
      <c r="U765">
        <v>140901687.68000001</v>
      </c>
      <c r="V765">
        <v>3937</v>
      </c>
    </row>
    <row r="766" spans="1:22" x14ac:dyDescent="0.25">
      <c r="A766">
        <v>0.984177557737833</v>
      </c>
      <c r="B766">
        <v>17.418742685218501</v>
      </c>
      <c r="C766">
        <v>14.156392550357801</v>
      </c>
      <c r="D766">
        <v>0</v>
      </c>
      <c r="E766">
        <v>5.3996405330169397</v>
      </c>
      <c r="F766">
        <v>3.8628037868621101</v>
      </c>
      <c r="G766">
        <v>177.151892270758</v>
      </c>
      <c r="H766">
        <v>26.960161001115399</v>
      </c>
      <c r="I766">
        <v>52.456644885858601</v>
      </c>
      <c r="J766">
        <v>46.473511328828302</v>
      </c>
      <c r="K766">
        <v>45642.621085228799</v>
      </c>
      <c r="L766">
        <v>755.57580174100099</v>
      </c>
      <c r="M766">
        <v>8.1980598875125196E-2</v>
      </c>
      <c r="N766">
        <v>3.29319755727005E-2</v>
      </c>
      <c r="O766">
        <v>0.73420726592687902</v>
      </c>
      <c r="P766">
        <v>3.4902435369067897E-2</v>
      </c>
      <c r="Q766">
        <v>0.66313313841280797</v>
      </c>
      <c r="R766">
        <v>0</v>
      </c>
      <c r="S766">
        <v>180</v>
      </c>
      <c r="T766">
        <v>50</v>
      </c>
      <c r="U766">
        <v>333099848.68000001</v>
      </c>
      <c r="V766">
        <v>7298</v>
      </c>
    </row>
    <row r="767" spans="1:22" x14ac:dyDescent="0.25">
      <c r="A767">
        <v>0.98273887664565795</v>
      </c>
      <c r="B767">
        <v>18.855770217606501</v>
      </c>
      <c r="C767">
        <v>16.128857482770599</v>
      </c>
      <c r="D767">
        <v>0</v>
      </c>
      <c r="E767">
        <v>5.3761975867074101</v>
      </c>
      <c r="F767">
        <v>3.8367185278584901</v>
      </c>
      <c r="G767">
        <v>177.13430390507301</v>
      </c>
      <c r="H767">
        <v>26.8373310297494</v>
      </c>
      <c r="I767">
        <v>55.811465103296698</v>
      </c>
      <c r="J767">
        <v>50.402475727343003</v>
      </c>
      <c r="K767">
        <v>55284.028281745203</v>
      </c>
      <c r="L767">
        <v>755.89112636636401</v>
      </c>
      <c r="M767">
        <v>9.1177743845495401E-2</v>
      </c>
      <c r="N767">
        <v>3.3871532410601202E-2</v>
      </c>
      <c r="O767">
        <v>0.74201052150706304</v>
      </c>
      <c r="P767">
        <v>3.3734320443962199E-2</v>
      </c>
      <c r="Q767">
        <v>0.71418480240690396</v>
      </c>
      <c r="R767">
        <v>0</v>
      </c>
      <c r="S767">
        <v>180</v>
      </c>
      <c r="T767">
        <v>60</v>
      </c>
      <c r="U767">
        <v>592976487.35000002</v>
      </c>
      <c r="V767">
        <v>10726</v>
      </c>
    </row>
    <row r="768" spans="1:22" x14ac:dyDescent="0.25">
      <c r="A768">
        <v>0.98167017384667898</v>
      </c>
      <c r="B768">
        <v>19.9083663915535</v>
      </c>
      <c r="C768">
        <v>16.6924234732071</v>
      </c>
      <c r="D768">
        <v>0</v>
      </c>
      <c r="E768">
        <v>5.3577843809880799</v>
      </c>
      <c r="F768">
        <v>3.81494112978329</v>
      </c>
      <c r="G768">
        <v>177.128711720882</v>
      </c>
      <c r="H768">
        <v>26.623796978772699</v>
      </c>
      <c r="I768">
        <v>58.336839287251998</v>
      </c>
      <c r="J768">
        <v>53.293316707855702</v>
      </c>
      <c r="K768">
        <v>65167.681206540903</v>
      </c>
      <c r="L768">
        <v>754.85752469663896</v>
      </c>
      <c r="M768">
        <v>0.104122257379723</v>
      </c>
      <c r="N768">
        <v>2.6551903826277801E-2</v>
      </c>
      <c r="O768">
        <v>0.750415165445524</v>
      </c>
      <c r="P768">
        <v>3.6296902957768197E-2</v>
      </c>
      <c r="Q768">
        <v>0.73973949951197404</v>
      </c>
      <c r="R768">
        <v>0</v>
      </c>
      <c r="S768">
        <v>180</v>
      </c>
      <c r="T768">
        <v>70</v>
      </c>
      <c r="U768">
        <v>884716440.05999994</v>
      </c>
      <c r="V768">
        <v>13576</v>
      </c>
    </row>
    <row r="769" spans="1:22" x14ac:dyDescent="0.25">
      <c r="A769">
        <v>0.98045462329370903</v>
      </c>
      <c r="B769">
        <v>21.090373980524799</v>
      </c>
      <c r="C769">
        <v>17.185679341375</v>
      </c>
      <c r="D769">
        <v>0</v>
      </c>
      <c r="E769">
        <v>5.3407371970714896</v>
      </c>
      <c r="F769">
        <v>3.7921490107166198</v>
      </c>
      <c r="G769">
        <v>177.148087131707</v>
      </c>
      <c r="H769">
        <v>28.038009741516401</v>
      </c>
      <c r="I769">
        <v>59.172182793428902</v>
      </c>
      <c r="J769">
        <v>54.684980562124899</v>
      </c>
      <c r="K769">
        <v>74961.887107951698</v>
      </c>
      <c r="L769">
        <v>755.38220755310601</v>
      </c>
      <c r="M769">
        <v>0.114757112595595</v>
      </c>
      <c r="N769">
        <v>2.6133786383183699E-2</v>
      </c>
      <c r="O769">
        <v>0.73127381838821703</v>
      </c>
      <c r="P769">
        <v>3.8148820179779802E-2</v>
      </c>
      <c r="Q769">
        <v>0.76834006622087303</v>
      </c>
      <c r="R769">
        <v>0</v>
      </c>
      <c r="S769">
        <v>180</v>
      </c>
      <c r="T769">
        <v>80</v>
      </c>
      <c r="U769">
        <v>1049241533.85</v>
      </c>
      <c r="V769">
        <v>13997</v>
      </c>
    </row>
    <row r="770" spans="1:22" x14ac:dyDescent="0.25">
      <c r="A770">
        <v>0.97954022884863001</v>
      </c>
      <c r="B770">
        <v>21.968973261340398</v>
      </c>
      <c r="C770">
        <v>21.362474254611602</v>
      </c>
      <c r="D770">
        <v>0</v>
      </c>
      <c r="E770">
        <v>5.3357293341271603</v>
      </c>
      <c r="F770">
        <v>3.7785021985907199</v>
      </c>
      <c r="G770">
        <v>177.16375587930401</v>
      </c>
      <c r="H770">
        <v>28.456332415235298</v>
      </c>
      <c r="I770">
        <v>62.237901474728503</v>
      </c>
      <c r="J770">
        <v>57.552000259399897</v>
      </c>
      <c r="K770">
        <v>84982.635879934707</v>
      </c>
      <c r="L770">
        <v>754.26260748346795</v>
      </c>
      <c r="M770">
        <v>0.11964020803478199</v>
      </c>
      <c r="N770">
        <v>2.85176678498897E-2</v>
      </c>
      <c r="O770">
        <v>0.72174059638674704</v>
      </c>
      <c r="P770">
        <v>3.0718518460226399E-2</v>
      </c>
      <c r="Q770">
        <v>0.75916236968463102</v>
      </c>
      <c r="R770">
        <v>0</v>
      </c>
      <c r="S770">
        <v>180</v>
      </c>
      <c r="T770">
        <v>90</v>
      </c>
      <c r="U770">
        <v>1199020009.6300001</v>
      </c>
      <c r="V770">
        <v>14109</v>
      </c>
    </row>
    <row r="771" spans="1:22" x14ac:dyDescent="0.25">
      <c r="A771">
        <v>0.97878049961943003</v>
      </c>
      <c r="B771">
        <v>22.6921315311535</v>
      </c>
      <c r="C771">
        <v>20.534061445604301</v>
      </c>
      <c r="D771">
        <v>0</v>
      </c>
      <c r="E771">
        <v>5.32830737999054</v>
      </c>
      <c r="F771">
        <v>3.7737964072347898</v>
      </c>
      <c r="G771">
        <v>177.15873763346301</v>
      </c>
      <c r="H771">
        <v>28.844545803274301</v>
      </c>
      <c r="I771">
        <v>61.793250321996197</v>
      </c>
      <c r="J771">
        <v>57.604906413172799</v>
      </c>
      <c r="K771">
        <v>95066.048763141196</v>
      </c>
      <c r="L771">
        <v>756.08381523365404</v>
      </c>
      <c r="M771">
        <v>0.12789397989617801</v>
      </c>
      <c r="N771">
        <v>2.86492059514553E-2</v>
      </c>
      <c r="O771">
        <v>0.72247471158309096</v>
      </c>
      <c r="P771">
        <v>4.0022829853483599E-2</v>
      </c>
      <c r="Q771">
        <v>0.76693744048328605</v>
      </c>
      <c r="R771">
        <v>0</v>
      </c>
      <c r="S771">
        <v>180</v>
      </c>
      <c r="T771">
        <v>100</v>
      </c>
      <c r="U771">
        <v>1501092909.97</v>
      </c>
      <c r="V771">
        <v>15790</v>
      </c>
    </row>
    <row r="772" spans="1:22" x14ac:dyDescent="0.25">
      <c r="A772">
        <v>0.97793972739009605</v>
      </c>
      <c r="B772">
        <v>23.485266687814399</v>
      </c>
      <c r="C772">
        <v>24.5421324830277</v>
      </c>
      <c r="D772">
        <v>0</v>
      </c>
      <c r="E772">
        <v>5.3241641620297804</v>
      </c>
      <c r="F772">
        <v>3.7638400081905199</v>
      </c>
      <c r="G772">
        <v>177.17243127863199</v>
      </c>
      <c r="H772">
        <v>28.928499792528701</v>
      </c>
      <c r="I772">
        <v>64.366376336328798</v>
      </c>
      <c r="J772">
        <v>59.9531937764962</v>
      </c>
      <c r="K772">
        <v>104899.065282768</v>
      </c>
      <c r="L772">
        <v>754.71540557820504</v>
      </c>
      <c r="M772">
        <v>0.152443997625926</v>
      </c>
      <c r="N772">
        <v>2.8544509564638099E-2</v>
      </c>
      <c r="O772">
        <v>0.71548234882467898</v>
      </c>
      <c r="P772">
        <v>3.9758583204532502E-2</v>
      </c>
      <c r="Q772">
        <v>0.77943887657452804</v>
      </c>
      <c r="R772">
        <v>0</v>
      </c>
      <c r="S772">
        <v>180</v>
      </c>
      <c r="T772">
        <v>110</v>
      </c>
      <c r="U772">
        <v>1342917833.75</v>
      </c>
      <c r="V772">
        <v>12802</v>
      </c>
    </row>
    <row r="773" spans="1:22" x14ac:dyDescent="0.25">
      <c r="A773">
        <v>0.977106951137234</v>
      </c>
      <c r="B773">
        <v>24.263499454332202</v>
      </c>
      <c r="C773">
        <v>20.630352532537199</v>
      </c>
      <c r="D773">
        <v>0</v>
      </c>
      <c r="E773">
        <v>5.3225057164929197</v>
      </c>
      <c r="F773">
        <v>3.76009353111158</v>
      </c>
      <c r="G773">
        <v>177.17095689343</v>
      </c>
      <c r="H773">
        <v>29.039101697845702</v>
      </c>
      <c r="I773">
        <v>64.588498049058899</v>
      </c>
      <c r="J773">
        <v>60.270519159746001</v>
      </c>
      <c r="K773">
        <v>114998.67179374601</v>
      </c>
      <c r="L773">
        <v>754.05055438976103</v>
      </c>
      <c r="M773">
        <v>0.15661518159494101</v>
      </c>
      <c r="N773">
        <v>2.3910531964133099E-2</v>
      </c>
      <c r="O773">
        <v>0.71132647736696597</v>
      </c>
      <c r="P773">
        <v>4.1602185575907398E-2</v>
      </c>
      <c r="Q773">
        <v>0.78354129024192398</v>
      </c>
      <c r="R773">
        <v>0</v>
      </c>
      <c r="S773">
        <v>180</v>
      </c>
      <c r="T773">
        <v>120</v>
      </c>
      <c r="U773">
        <v>1467498050.76</v>
      </c>
      <c r="V773">
        <v>12761</v>
      </c>
    </row>
    <row r="774" spans="1:22" x14ac:dyDescent="0.25">
      <c r="A774">
        <v>0.97646344516719097</v>
      </c>
      <c r="B774">
        <v>24.859881360318699</v>
      </c>
      <c r="C774">
        <v>27.091564012371901</v>
      </c>
      <c r="D774">
        <v>0</v>
      </c>
      <c r="E774">
        <v>5.3218453825683198</v>
      </c>
      <c r="F774">
        <v>3.7577082327670199</v>
      </c>
      <c r="G774">
        <v>177.15571223037799</v>
      </c>
      <c r="H774">
        <v>28.970484027621801</v>
      </c>
      <c r="I774">
        <v>64.833163117281998</v>
      </c>
      <c r="J774">
        <v>60.616545768742498</v>
      </c>
      <c r="K774">
        <v>124873.587752639</v>
      </c>
      <c r="L774">
        <v>753.77533652417196</v>
      </c>
      <c r="M774">
        <v>0.16354248990381201</v>
      </c>
      <c r="N774">
        <v>2.6976526513021501E-2</v>
      </c>
      <c r="O774">
        <v>0.71276230813105601</v>
      </c>
      <c r="P774">
        <v>4.8026011212988801E-2</v>
      </c>
      <c r="Q774">
        <v>0.80589485414647999</v>
      </c>
      <c r="R774">
        <v>0</v>
      </c>
      <c r="S774">
        <v>180</v>
      </c>
      <c r="T774">
        <v>130</v>
      </c>
      <c r="U774">
        <v>1407450207.5599999</v>
      </c>
      <c r="V774">
        <v>11271</v>
      </c>
    </row>
    <row r="775" spans="1:22" x14ac:dyDescent="0.25">
      <c r="A775">
        <v>0.97594391846402795</v>
      </c>
      <c r="B775">
        <v>25.338218980850701</v>
      </c>
      <c r="C775">
        <v>26.660440522384899</v>
      </c>
      <c r="D775">
        <v>0</v>
      </c>
      <c r="E775">
        <v>5.3160553289065398</v>
      </c>
      <c r="F775">
        <v>3.7551287215519999</v>
      </c>
      <c r="G775">
        <v>177.188911063012</v>
      </c>
      <c r="H775">
        <v>29.050375183371301</v>
      </c>
      <c r="I775">
        <v>65.017483420535996</v>
      </c>
      <c r="J775">
        <v>60.824068802459401</v>
      </c>
      <c r="K775">
        <v>134907.64507115301</v>
      </c>
      <c r="L775">
        <v>754.89684162839706</v>
      </c>
      <c r="M775">
        <v>0.169850090917262</v>
      </c>
      <c r="N775">
        <v>2.6779730346825702E-2</v>
      </c>
      <c r="O775">
        <v>0.71771444200763801</v>
      </c>
      <c r="P775">
        <v>4.7488496271808803E-2</v>
      </c>
      <c r="Q775">
        <v>0.81180577334766202</v>
      </c>
      <c r="R775">
        <v>0</v>
      </c>
      <c r="S775">
        <v>180</v>
      </c>
      <c r="T775">
        <v>140</v>
      </c>
      <c r="U775">
        <v>1403039508.74</v>
      </c>
      <c r="V775">
        <v>10400</v>
      </c>
    </row>
    <row r="776" spans="1:22" x14ac:dyDescent="0.25">
      <c r="A776">
        <v>0.97505999235101104</v>
      </c>
      <c r="B776">
        <v>26.1456555808983</v>
      </c>
      <c r="C776">
        <v>26.003810926158899</v>
      </c>
      <c r="D776">
        <v>0</v>
      </c>
      <c r="E776">
        <v>5.3127138086849399</v>
      </c>
      <c r="F776">
        <v>3.7521481733769</v>
      </c>
      <c r="G776">
        <v>177.16795895251499</v>
      </c>
      <c r="H776">
        <v>29.176152119493601</v>
      </c>
      <c r="I776">
        <v>64.042771684965103</v>
      </c>
      <c r="J776">
        <v>60.118854342445303</v>
      </c>
      <c r="K776">
        <v>144813.936042797</v>
      </c>
      <c r="L776">
        <v>752.39589478155403</v>
      </c>
      <c r="M776">
        <v>0.16574646521314301</v>
      </c>
      <c r="N776">
        <v>2.7483686712473001E-2</v>
      </c>
      <c r="O776">
        <v>0.71291536141273204</v>
      </c>
      <c r="P776">
        <v>5.8694471652211103E-2</v>
      </c>
      <c r="Q776">
        <v>0.816568212734753</v>
      </c>
      <c r="R776">
        <v>0</v>
      </c>
      <c r="S776">
        <v>180</v>
      </c>
      <c r="T776">
        <v>150</v>
      </c>
      <c r="U776">
        <v>1414397713.3299999</v>
      </c>
      <c r="V776">
        <v>9767</v>
      </c>
    </row>
    <row r="777" spans="1:22" x14ac:dyDescent="0.25">
      <c r="A777">
        <v>0.97433254742599495</v>
      </c>
      <c r="B777">
        <v>26.804138960519602</v>
      </c>
      <c r="C777">
        <v>30.376963874643199</v>
      </c>
      <c r="D777">
        <v>0</v>
      </c>
      <c r="E777">
        <v>5.3151347663727799</v>
      </c>
      <c r="F777">
        <v>3.7504949526327902</v>
      </c>
      <c r="G777">
        <v>177.180691097335</v>
      </c>
      <c r="H777">
        <v>29.477574100788701</v>
      </c>
      <c r="I777">
        <v>65.748072735502006</v>
      </c>
      <c r="J777">
        <v>61.709607102942599</v>
      </c>
      <c r="K777">
        <v>154878.743709389</v>
      </c>
      <c r="L777">
        <v>751.91667813145796</v>
      </c>
      <c r="M777">
        <v>0.18319173743177999</v>
      </c>
      <c r="N777">
        <v>2.8985953072860001E-2</v>
      </c>
      <c r="O777">
        <v>0.71029721730929596</v>
      </c>
      <c r="P777">
        <v>5.5229005409715898E-2</v>
      </c>
      <c r="Q777">
        <v>0.82299450880826996</v>
      </c>
      <c r="R777">
        <v>0</v>
      </c>
      <c r="S777">
        <v>180</v>
      </c>
      <c r="T777">
        <v>160</v>
      </c>
      <c r="U777">
        <v>1301446083.3900001</v>
      </c>
      <c r="V777">
        <v>8403</v>
      </c>
    </row>
    <row r="778" spans="1:22" x14ac:dyDescent="0.25">
      <c r="A778">
        <v>0.97351345492655605</v>
      </c>
      <c r="B778">
        <v>27.5391374605246</v>
      </c>
      <c r="C778">
        <v>29.013184763068502</v>
      </c>
      <c r="D778">
        <v>0</v>
      </c>
      <c r="E778">
        <v>5.3164242268060597</v>
      </c>
      <c r="F778">
        <v>3.7489791720434198</v>
      </c>
      <c r="G778">
        <v>177.197246090378</v>
      </c>
      <c r="H778">
        <v>29.4025360816287</v>
      </c>
      <c r="I778">
        <v>65.860352687654597</v>
      </c>
      <c r="J778">
        <v>61.872787948340502</v>
      </c>
      <c r="K778">
        <v>165041.894084848</v>
      </c>
      <c r="L778">
        <v>753.18548832311296</v>
      </c>
      <c r="M778">
        <v>0.18214880354337401</v>
      </c>
      <c r="N778">
        <v>2.7664475297847099E-2</v>
      </c>
      <c r="O778">
        <v>0.715018902797941</v>
      </c>
      <c r="P778">
        <v>6.4539426633935304E-2</v>
      </c>
      <c r="Q778">
        <v>0.81948843333060595</v>
      </c>
      <c r="R778">
        <v>0</v>
      </c>
      <c r="S778">
        <v>180</v>
      </c>
      <c r="T778">
        <v>170</v>
      </c>
      <c r="U778">
        <v>1225436063.5799999</v>
      </c>
      <c r="V778">
        <v>7425</v>
      </c>
    </row>
    <row r="779" spans="1:22" x14ac:dyDescent="0.25">
      <c r="A779">
        <v>0.96436185254065998</v>
      </c>
      <c r="B779">
        <v>35.303576820563102</v>
      </c>
      <c r="C779">
        <v>35.994823118591199</v>
      </c>
      <c r="D779">
        <v>0</v>
      </c>
      <c r="E779">
        <v>5.2944089773148999</v>
      </c>
      <c r="F779">
        <v>3.7283103798505</v>
      </c>
      <c r="G779">
        <v>177.200169231888</v>
      </c>
      <c r="H779">
        <v>29.461962630858402</v>
      </c>
      <c r="I779">
        <v>66.652550435074403</v>
      </c>
      <c r="J779">
        <v>62.405527324944401</v>
      </c>
      <c r="K779">
        <v>277744.13973560999</v>
      </c>
      <c r="L779">
        <v>749.58907481311701</v>
      </c>
      <c r="M779">
        <v>0.24888682124367301</v>
      </c>
      <c r="N779">
        <v>3.54989699609356E-2</v>
      </c>
      <c r="O779">
        <v>0.66927125272694099</v>
      </c>
      <c r="P779">
        <v>0.108992337447193</v>
      </c>
      <c r="Q779">
        <v>0.81939186757743498</v>
      </c>
      <c r="R779">
        <v>0</v>
      </c>
      <c r="S779">
        <v>180</v>
      </c>
      <c r="T779">
        <v>175</v>
      </c>
      <c r="U779">
        <v>18751617850.110001</v>
      </c>
      <c r="V779">
        <v>67514</v>
      </c>
    </row>
    <row r="780" spans="1:22" x14ac:dyDescent="0.25">
      <c r="A780">
        <v>0.97284201600073905</v>
      </c>
      <c r="B780">
        <v>28.136588771518799</v>
      </c>
      <c r="C780">
        <v>29.4686048674406</v>
      </c>
      <c r="D780">
        <v>0</v>
      </c>
      <c r="E780">
        <v>5.3100202102940397</v>
      </c>
      <c r="F780">
        <v>3.74372978798081</v>
      </c>
      <c r="G780">
        <v>177.16607179686301</v>
      </c>
      <c r="H780">
        <v>29.123188018006399</v>
      </c>
      <c r="I780">
        <v>66.272739238016001</v>
      </c>
      <c r="J780">
        <v>62.145666081621201</v>
      </c>
      <c r="K780">
        <v>172503.80765598101</v>
      </c>
      <c r="L780">
        <v>751.66967286250701</v>
      </c>
      <c r="M780">
        <v>0.18493093611088501</v>
      </c>
      <c r="N780">
        <v>2.8072840414349601E-2</v>
      </c>
      <c r="O780">
        <v>0.71644655905494403</v>
      </c>
      <c r="P780">
        <v>5.9495308093204698E-2</v>
      </c>
      <c r="Q780">
        <v>0.81629826961106899</v>
      </c>
      <c r="R780">
        <v>0</v>
      </c>
      <c r="S780">
        <v>180</v>
      </c>
      <c r="T780">
        <v>180</v>
      </c>
      <c r="U780">
        <v>602728303.95000005</v>
      </c>
      <c r="V780">
        <v>3494</v>
      </c>
    </row>
    <row r="781" spans="1:22" x14ac:dyDescent="0.25">
      <c r="A781">
        <v>0.992129963980388</v>
      </c>
      <c r="B781">
        <v>9.0457923187609097</v>
      </c>
      <c r="C781">
        <v>93.498404115310606</v>
      </c>
      <c r="D781">
        <v>0</v>
      </c>
      <c r="E781">
        <v>5.3383113227533396</v>
      </c>
      <c r="F781">
        <v>3.8012414555761902</v>
      </c>
      <c r="G781">
        <v>182.93611527618199</v>
      </c>
      <c r="H781">
        <v>29.788050302175598</v>
      </c>
      <c r="I781">
        <v>53.205700558901597</v>
      </c>
      <c r="J781">
        <v>5.8331200555137404</v>
      </c>
      <c r="K781">
        <v>5679.48901869158</v>
      </c>
      <c r="L781">
        <v>771.05227235749396</v>
      </c>
      <c r="M781">
        <v>5.6829689619718203E-2</v>
      </c>
      <c r="N781">
        <v>1.39564352180063E-2</v>
      </c>
      <c r="O781">
        <v>0.71189400882738596</v>
      </c>
      <c r="P781">
        <v>1.6051554262750602E-2</v>
      </c>
      <c r="Q781">
        <v>0.47911684005730898</v>
      </c>
      <c r="R781">
        <v>0</v>
      </c>
      <c r="S781">
        <v>185</v>
      </c>
      <c r="T781">
        <v>10</v>
      </c>
      <c r="U781">
        <v>1215410.6499999999</v>
      </c>
      <c r="V781">
        <v>214</v>
      </c>
    </row>
    <row r="782" spans="1:22" x14ac:dyDescent="0.25">
      <c r="A782">
        <v>0.99091532490842704</v>
      </c>
      <c r="B782">
        <v>10.3730660172331</v>
      </c>
      <c r="C782">
        <v>61.322782136433197</v>
      </c>
      <c r="D782">
        <v>0</v>
      </c>
      <c r="E782">
        <v>5.4032690586195997</v>
      </c>
      <c r="F782">
        <v>3.8437931539355801</v>
      </c>
      <c r="G782">
        <v>182.765217229787</v>
      </c>
      <c r="H782">
        <v>28.872183125520401</v>
      </c>
      <c r="I782">
        <v>46.632470591171597</v>
      </c>
      <c r="J782">
        <v>19.003347836019898</v>
      </c>
      <c r="K782">
        <v>16053.541442125201</v>
      </c>
      <c r="L782">
        <v>763.17740178497604</v>
      </c>
      <c r="M782">
        <v>8.84217495081219E-2</v>
      </c>
      <c r="N782">
        <v>1.52658412988053E-2</v>
      </c>
      <c r="O782">
        <v>0.78769884860887596</v>
      </c>
      <c r="P782">
        <v>4.1777844182173701E-2</v>
      </c>
      <c r="Q782">
        <v>0.60737686171273397</v>
      </c>
      <c r="R782">
        <v>0</v>
      </c>
      <c r="S782">
        <v>185</v>
      </c>
      <c r="T782">
        <v>20</v>
      </c>
      <c r="U782">
        <v>8460216.3399999999</v>
      </c>
      <c r="V782">
        <v>527</v>
      </c>
    </row>
    <row r="783" spans="1:22" x14ac:dyDescent="0.25">
      <c r="A783">
        <v>0.98816680361635501</v>
      </c>
      <c r="B783">
        <v>13.3111739350684</v>
      </c>
      <c r="C783">
        <v>27.714911089677202</v>
      </c>
      <c r="D783">
        <v>0</v>
      </c>
      <c r="E783">
        <v>5.39330042583628</v>
      </c>
      <c r="F783">
        <v>3.83209304356203</v>
      </c>
      <c r="G783">
        <v>182.67806202536599</v>
      </c>
      <c r="H783">
        <v>27.6464710047808</v>
      </c>
      <c r="I783">
        <v>47.483371235632802</v>
      </c>
      <c r="J783">
        <v>33.144706179120298</v>
      </c>
      <c r="K783">
        <v>25962.080084911799</v>
      </c>
      <c r="L783">
        <v>761.05468315686005</v>
      </c>
      <c r="M783">
        <v>6.4264415809751202E-2</v>
      </c>
      <c r="N783">
        <v>1.79179946784171E-2</v>
      </c>
      <c r="O783">
        <v>0.76691868671696795</v>
      </c>
      <c r="P783">
        <v>3.2789519628949597E-2</v>
      </c>
      <c r="Q783">
        <v>0.57633838239365498</v>
      </c>
      <c r="R783">
        <v>0</v>
      </c>
      <c r="S783">
        <v>185</v>
      </c>
      <c r="T783">
        <v>30</v>
      </c>
      <c r="U783">
        <v>39747944.609999999</v>
      </c>
      <c r="V783">
        <v>1531</v>
      </c>
    </row>
    <row r="784" spans="1:22" x14ac:dyDescent="0.25">
      <c r="A784">
        <v>0.98605762820277798</v>
      </c>
      <c r="B784">
        <v>15.505670096632301</v>
      </c>
      <c r="C784">
        <v>20.9319513627741</v>
      </c>
      <c r="D784">
        <v>0</v>
      </c>
      <c r="E784">
        <v>5.3839789572101999</v>
      </c>
      <c r="F784">
        <v>3.8193530313298498</v>
      </c>
      <c r="G784">
        <v>182.679974732472</v>
      </c>
      <c r="H784">
        <v>27.600443033283501</v>
      </c>
      <c r="I784">
        <v>49.625087580631501</v>
      </c>
      <c r="J784">
        <v>40.930132169790298</v>
      </c>
      <c r="K784">
        <v>35679.682336655504</v>
      </c>
      <c r="L784">
        <v>758.59154356408101</v>
      </c>
      <c r="M784">
        <v>8.33618438769409E-2</v>
      </c>
      <c r="N784">
        <v>2.51884220572328E-2</v>
      </c>
      <c r="O784">
        <v>0.78218255274102599</v>
      </c>
      <c r="P784">
        <v>3.7575274076054599E-2</v>
      </c>
      <c r="Q784">
        <v>0.63468486341781305</v>
      </c>
      <c r="R784">
        <v>0</v>
      </c>
      <c r="S784">
        <v>185</v>
      </c>
      <c r="T784">
        <v>40</v>
      </c>
      <c r="U784">
        <v>128875012.59999999</v>
      </c>
      <c r="V784">
        <v>3612</v>
      </c>
    </row>
    <row r="785" spans="1:22" x14ac:dyDescent="0.25">
      <c r="A785">
        <v>0.98418101192971696</v>
      </c>
      <c r="B785">
        <v>17.415264568738301</v>
      </c>
      <c r="C785">
        <v>14.9263397607256</v>
      </c>
      <c r="D785">
        <v>0</v>
      </c>
      <c r="E785">
        <v>5.3798888233519397</v>
      </c>
      <c r="F785">
        <v>3.8136258912815899</v>
      </c>
      <c r="G785">
        <v>182.64193344621199</v>
      </c>
      <c r="H785">
        <v>27.561284242210998</v>
      </c>
      <c r="I785">
        <v>51.414365057993102</v>
      </c>
      <c r="J785">
        <v>45.117735218305903</v>
      </c>
      <c r="K785">
        <v>45719.909362752398</v>
      </c>
      <c r="L785">
        <v>759.07600952453095</v>
      </c>
      <c r="M785">
        <v>8.1674321852727605E-2</v>
      </c>
      <c r="N785">
        <v>3.0714930857738802E-2</v>
      </c>
      <c r="O785">
        <v>0.74947650344527605</v>
      </c>
      <c r="P785">
        <v>3.86267037114668E-2</v>
      </c>
      <c r="Q785">
        <v>0.69038774152850102</v>
      </c>
      <c r="R785">
        <v>0</v>
      </c>
      <c r="S785">
        <v>185</v>
      </c>
      <c r="T785">
        <v>50</v>
      </c>
      <c r="U785">
        <v>305637594.08999997</v>
      </c>
      <c r="V785">
        <v>6685</v>
      </c>
    </row>
    <row r="786" spans="1:22" x14ac:dyDescent="0.25">
      <c r="A786">
        <v>0.98290100191096297</v>
      </c>
      <c r="B786">
        <v>18.694985211431501</v>
      </c>
      <c r="C786">
        <v>17.797299294021901</v>
      </c>
      <c r="D786">
        <v>0</v>
      </c>
      <c r="E786">
        <v>5.3702384949036697</v>
      </c>
      <c r="F786">
        <v>3.79871125194322</v>
      </c>
      <c r="G786">
        <v>182.63502631940099</v>
      </c>
      <c r="H786">
        <v>27.305532925905599</v>
      </c>
      <c r="I786">
        <v>54.352767962645899</v>
      </c>
      <c r="J786">
        <v>48.720445105410199</v>
      </c>
      <c r="K786">
        <v>55342.370749195798</v>
      </c>
      <c r="L786">
        <v>759.41457644474099</v>
      </c>
      <c r="M786">
        <v>0.100214878870025</v>
      </c>
      <c r="N786">
        <v>2.8924298754490801E-2</v>
      </c>
      <c r="O786">
        <v>0.76823075353269898</v>
      </c>
      <c r="P786">
        <v>3.3711609719569102E-2</v>
      </c>
      <c r="Q786">
        <v>0.74756418080860298</v>
      </c>
      <c r="R786">
        <v>0</v>
      </c>
      <c r="S786">
        <v>185</v>
      </c>
      <c r="T786">
        <v>60</v>
      </c>
      <c r="U786">
        <v>533334426.91000003</v>
      </c>
      <c r="V786">
        <v>9637</v>
      </c>
    </row>
    <row r="787" spans="1:22" x14ac:dyDescent="0.25">
      <c r="A787">
        <v>0.98190728822926698</v>
      </c>
      <c r="B787">
        <v>19.675912012259701</v>
      </c>
      <c r="C787">
        <v>18.7552054356714</v>
      </c>
      <c r="D787">
        <v>0</v>
      </c>
      <c r="E787">
        <v>5.3594687745749097</v>
      </c>
      <c r="F787">
        <v>3.7878906560865802</v>
      </c>
      <c r="G787">
        <v>182.63120289852</v>
      </c>
      <c r="H787">
        <v>27.0959357187431</v>
      </c>
      <c r="I787">
        <v>56.217143691529103</v>
      </c>
      <c r="J787">
        <v>50.950865184504899</v>
      </c>
      <c r="K787">
        <v>65120.3226164874</v>
      </c>
      <c r="L787">
        <v>758.05490394983497</v>
      </c>
      <c r="M787">
        <v>0.110330089587985</v>
      </c>
      <c r="N787">
        <v>2.3356115643039601E-2</v>
      </c>
      <c r="O787">
        <v>0.77564793888072503</v>
      </c>
      <c r="P787">
        <v>3.7530382355795103E-2</v>
      </c>
      <c r="Q787">
        <v>0.77966897694345405</v>
      </c>
      <c r="R787">
        <v>0</v>
      </c>
      <c r="S787">
        <v>185</v>
      </c>
      <c r="T787">
        <v>70</v>
      </c>
      <c r="U787">
        <v>817585650.45000005</v>
      </c>
      <c r="V787">
        <v>12555</v>
      </c>
    </row>
    <row r="788" spans="1:22" x14ac:dyDescent="0.25">
      <c r="A788">
        <v>0.98081550501774395</v>
      </c>
      <c r="B788">
        <v>20.741130744814001</v>
      </c>
      <c r="C788">
        <v>18.5292984816457</v>
      </c>
      <c r="D788">
        <v>0</v>
      </c>
      <c r="E788">
        <v>5.3453397249222903</v>
      </c>
      <c r="F788">
        <v>3.7697617974565101</v>
      </c>
      <c r="G788">
        <v>182.63884150358001</v>
      </c>
      <c r="H788">
        <v>28.540141215178501</v>
      </c>
      <c r="I788">
        <v>57.4146569179971</v>
      </c>
      <c r="J788">
        <v>52.6984183229794</v>
      </c>
      <c r="K788">
        <v>74919.091000162298</v>
      </c>
      <c r="L788">
        <v>757.73768903299106</v>
      </c>
      <c r="M788">
        <v>0.12651161956874199</v>
      </c>
      <c r="N788">
        <v>2.27122705098304E-2</v>
      </c>
      <c r="O788">
        <v>0.76388811907686904</v>
      </c>
      <c r="P788">
        <v>3.4010745325788697E-2</v>
      </c>
      <c r="Q788">
        <v>0.79220346835050903</v>
      </c>
      <c r="R788">
        <v>0</v>
      </c>
      <c r="S788">
        <v>185</v>
      </c>
      <c r="T788">
        <v>80</v>
      </c>
      <c r="U788">
        <v>922853362.94000006</v>
      </c>
      <c r="V788">
        <v>12318</v>
      </c>
    </row>
    <row r="789" spans="1:22" x14ac:dyDescent="0.25">
      <c r="A789">
        <v>0.97987595655973203</v>
      </c>
      <c r="B789">
        <v>21.647435251329401</v>
      </c>
      <c r="C789">
        <v>18.7541267972992</v>
      </c>
      <c r="D789">
        <v>0</v>
      </c>
      <c r="E789">
        <v>5.3525468251839099</v>
      </c>
      <c r="F789">
        <v>3.7612654154397802</v>
      </c>
      <c r="G789">
        <v>182.63765967816701</v>
      </c>
      <c r="H789">
        <v>28.765128246438898</v>
      </c>
      <c r="I789">
        <v>60.4572307600288</v>
      </c>
      <c r="J789">
        <v>55.824608983460003</v>
      </c>
      <c r="K789">
        <v>84999.721935903595</v>
      </c>
      <c r="L789">
        <v>757.01644662614899</v>
      </c>
      <c r="M789">
        <v>0.129457947515844</v>
      </c>
      <c r="N789">
        <v>2.6195885856476801E-2</v>
      </c>
      <c r="O789">
        <v>0.74801844407698703</v>
      </c>
      <c r="P789">
        <v>3.3528946840998802E-2</v>
      </c>
      <c r="Q789">
        <v>0.79555615593893703</v>
      </c>
      <c r="R789">
        <v>0</v>
      </c>
      <c r="S789">
        <v>185</v>
      </c>
      <c r="T789">
        <v>90</v>
      </c>
      <c r="U789">
        <v>1044986581.48</v>
      </c>
      <c r="V789">
        <v>12294</v>
      </c>
    </row>
    <row r="790" spans="1:22" x14ac:dyDescent="0.25">
      <c r="A790">
        <v>0.97908725954943199</v>
      </c>
      <c r="B790">
        <v>22.400880801683901</v>
      </c>
      <c r="C790">
        <v>22.664715886164299</v>
      </c>
      <c r="D790">
        <v>0</v>
      </c>
      <c r="E790">
        <v>5.3459450549400698</v>
      </c>
      <c r="F790">
        <v>3.7547273709673101</v>
      </c>
      <c r="G790">
        <v>182.63789903284501</v>
      </c>
      <c r="H790">
        <v>29.059056226717399</v>
      </c>
      <c r="I790">
        <v>59.924352938225603</v>
      </c>
      <c r="J790">
        <v>55.754488067185598</v>
      </c>
      <c r="K790">
        <v>94996.005833018498</v>
      </c>
      <c r="L790">
        <v>757.68357965519704</v>
      </c>
      <c r="M790">
        <v>0.13785237148894899</v>
      </c>
      <c r="N790">
        <v>2.6574746637119701E-2</v>
      </c>
      <c r="O790">
        <v>0.74367912219251198</v>
      </c>
      <c r="P790">
        <v>4.2475270651372798E-2</v>
      </c>
      <c r="Q790">
        <v>0.79405348909850904</v>
      </c>
      <c r="R790">
        <v>0</v>
      </c>
      <c r="S790">
        <v>185</v>
      </c>
      <c r="T790">
        <v>100</v>
      </c>
      <c r="U790">
        <v>1257272137.2</v>
      </c>
      <c r="V790">
        <v>13235</v>
      </c>
    </row>
    <row r="791" spans="1:22" x14ac:dyDescent="0.25">
      <c r="A791">
        <v>0.97824736724041395</v>
      </c>
      <c r="B791">
        <v>23.1959267618601</v>
      </c>
      <c r="C791">
        <v>22.473217685386601</v>
      </c>
      <c r="D791">
        <v>0</v>
      </c>
      <c r="E791">
        <v>5.3472658690035901</v>
      </c>
      <c r="F791">
        <v>3.7470952991333801</v>
      </c>
      <c r="G791">
        <v>182.61892350037201</v>
      </c>
      <c r="H791">
        <v>29.032640633309999</v>
      </c>
      <c r="I791">
        <v>62.075249060747197</v>
      </c>
      <c r="J791">
        <v>57.889633665268697</v>
      </c>
      <c r="K791">
        <v>104857.60384467299</v>
      </c>
      <c r="L791">
        <v>754.91582556923095</v>
      </c>
      <c r="M791">
        <v>0.166533813192942</v>
      </c>
      <c r="N791">
        <v>2.8323002647654701E-2</v>
      </c>
      <c r="O791">
        <v>0.74380150516354104</v>
      </c>
      <c r="P791">
        <v>4.7476192731094699E-2</v>
      </c>
      <c r="Q791">
        <v>0.82051970551003806</v>
      </c>
      <c r="R791">
        <v>0</v>
      </c>
      <c r="S791">
        <v>185</v>
      </c>
      <c r="T791">
        <v>110</v>
      </c>
      <c r="U791">
        <v>1089575361.55</v>
      </c>
      <c r="V791">
        <v>10391</v>
      </c>
    </row>
    <row r="792" spans="1:22" x14ac:dyDescent="0.25">
      <c r="A792">
        <v>0.97744973044370498</v>
      </c>
      <c r="B792">
        <v>23.944053716923399</v>
      </c>
      <c r="C792">
        <v>25.532148881831201</v>
      </c>
      <c r="D792">
        <v>0</v>
      </c>
      <c r="E792">
        <v>5.3477644571991796</v>
      </c>
      <c r="F792">
        <v>3.7464447041097899</v>
      </c>
      <c r="G792">
        <v>182.61914558904101</v>
      </c>
      <c r="H792">
        <v>29.345856965533301</v>
      </c>
      <c r="I792">
        <v>62.530273754397598</v>
      </c>
      <c r="J792">
        <v>58.423033482759401</v>
      </c>
      <c r="K792">
        <v>115071.872268051</v>
      </c>
      <c r="L792">
        <v>754.80623001529</v>
      </c>
      <c r="M792">
        <v>0.17014883722017801</v>
      </c>
      <c r="N792">
        <v>2.08719022219334E-2</v>
      </c>
      <c r="O792">
        <v>0.73902532629839601</v>
      </c>
      <c r="P792">
        <v>4.6509734391505603E-2</v>
      </c>
      <c r="Q792">
        <v>0.82539235221123497</v>
      </c>
      <c r="R792">
        <v>0</v>
      </c>
      <c r="S792">
        <v>185</v>
      </c>
      <c r="T792">
        <v>120</v>
      </c>
      <c r="U792">
        <v>1152214657.02</v>
      </c>
      <c r="V792">
        <v>10013</v>
      </c>
    </row>
    <row r="793" spans="1:22" x14ac:dyDescent="0.25">
      <c r="A793">
        <v>0.97679929269082499</v>
      </c>
      <c r="B793">
        <v>24.549167235533901</v>
      </c>
      <c r="C793">
        <v>27.314891443582798</v>
      </c>
      <c r="D793">
        <v>0</v>
      </c>
      <c r="E793">
        <v>5.3401335068191802</v>
      </c>
      <c r="F793">
        <v>3.7376759257257102</v>
      </c>
      <c r="G793">
        <v>182.638318485638</v>
      </c>
      <c r="H793">
        <v>29.133331539784798</v>
      </c>
      <c r="I793">
        <v>62.782912688385601</v>
      </c>
      <c r="J793">
        <v>58.663238546640301</v>
      </c>
      <c r="K793">
        <v>124893.101877069</v>
      </c>
      <c r="L793">
        <v>754.35423500961895</v>
      </c>
      <c r="M793">
        <v>0.18218640910199799</v>
      </c>
      <c r="N793">
        <v>2.3962907664722598E-2</v>
      </c>
      <c r="O793">
        <v>0.73607244559723795</v>
      </c>
      <c r="P793">
        <v>5.0908675606589897E-2</v>
      </c>
      <c r="Q793">
        <v>0.83977690985103903</v>
      </c>
      <c r="R793">
        <v>0</v>
      </c>
      <c r="S793">
        <v>185</v>
      </c>
      <c r="T793">
        <v>130</v>
      </c>
      <c r="U793">
        <v>1131781289.21</v>
      </c>
      <c r="V793">
        <v>9062</v>
      </c>
    </row>
    <row r="794" spans="1:22" x14ac:dyDescent="0.25">
      <c r="A794">
        <v>0.97648980528953899</v>
      </c>
      <c r="B794">
        <v>24.835536401880301</v>
      </c>
      <c r="C794">
        <v>25.4769268754394</v>
      </c>
      <c r="D794">
        <v>0</v>
      </c>
      <c r="E794">
        <v>5.3419088773796899</v>
      </c>
      <c r="F794">
        <v>3.7415411810277499</v>
      </c>
      <c r="G794">
        <v>182.62825468601801</v>
      </c>
      <c r="H794">
        <v>29.132351729815699</v>
      </c>
      <c r="I794">
        <v>63.103592722429603</v>
      </c>
      <c r="J794">
        <v>59.080212047469999</v>
      </c>
      <c r="K794">
        <v>134983.08649428701</v>
      </c>
      <c r="L794">
        <v>755.39971557272997</v>
      </c>
      <c r="M794">
        <v>0.18789425129805201</v>
      </c>
      <c r="N794">
        <v>2.2699560313422198E-2</v>
      </c>
      <c r="O794">
        <v>0.75977527998424998</v>
      </c>
      <c r="P794">
        <v>5.3906421650060203E-2</v>
      </c>
      <c r="Q794">
        <v>0.85594460456044896</v>
      </c>
      <c r="R794">
        <v>0</v>
      </c>
      <c r="S794">
        <v>185</v>
      </c>
      <c r="T794">
        <v>140</v>
      </c>
      <c r="U794">
        <v>1122384364.2</v>
      </c>
      <c r="V794">
        <v>8315</v>
      </c>
    </row>
    <row r="795" spans="1:22" x14ac:dyDescent="0.25">
      <c r="A795">
        <v>0.97555077034391002</v>
      </c>
      <c r="B795">
        <v>25.6983403812701</v>
      </c>
      <c r="C795">
        <v>27.676566358027401</v>
      </c>
      <c r="D795">
        <v>0</v>
      </c>
      <c r="E795">
        <v>5.3348900477852403</v>
      </c>
      <c r="F795">
        <v>3.7369071581176998</v>
      </c>
      <c r="G795">
        <v>182.63769298405199</v>
      </c>
      <c r="H795">
        <v>29.347809059194098</v>
      </c>
      <c r="I795">
        <v>62.194206333125003</v>
      </c>
      <c r="J795">
        <v>58.2462472915281</v>
      </c>
      <c r="K795">
        <v>144824.31626772901</v>
      </c>
      <c r="L795">
        <v>753.18606103556499</v>
      </c>
      <c r="M795">
        <v>0.18537626094166401</v>
      </c>
      <c r="N795">
        <v>2.4661061105089099E-2</v>
      </c>
      <c r="O795">
        <v>0.737661227628715</v>
      </c>
      <c r="P795">
        <v>5.7206012359498799E-2</v>
      </c>
      <c r="Q795">
        <v>0.850495786202635</v>
      </c>
      <c r="R795">
        <v>0</v>
      </c>
      <c r="S795">
        <v>185</v>
      </c>
      <c r="T795">
        <v>150</v>
      </c>
      <c r="U795">
        <v>1072134413.33</v>
      </c>
      <c r="V795">
        <v>7403</v>
      </c>
    </row>
    <row r="796" spans="1:22" x14ac:dyDescent="0.25">
      <c r="A796">
        <v>0.97482394587313903</v>
      </c>
      <c r="B796">
        <v>26.359917660437699</v>
      </c>
      <c r="C796">
        <v>29.9532993958078</v>
      </c>
      <c r="D796">
        <v>0</v>
      </c>
      <c r="E796">
        <v>5.3454740359900201</v>
      </c>
      <c r="F796">
        <v>3.7379320676079302</v>
      </c>
      <c r="G796">
        <v>182.61874101502099</v>
      </c>
      <c r="H796">
        <v>29.480282516180299</v>
      </c>
      <c r="I796">
        <v>63.427484495605398</v>
      </c>
      <c r="J796">
        <v>59.563484069790597</v>
      </c>
      <c r="K796">
        <v>154840.820236842</v>
      </c>
      <c r="L796">
        <v>752.17667110770401</v>
      </c>
      <c r="M796">
        <v>0.20504208057710999</v>
      </c>
      <c r="N796">
        <v>2.8720224041602498E-2</v>
      </c>
      <c r="O796">
        <v>0.74288835307793599</v>
      </c>
      <c r="P796">
        <v>6.5263237301309507E-2</v>
      </c>
      <c r="Q796">
        <v>0.86531388433657397</v>
      </c>
      <c r="R796">
        <v>0</v>
      </c>
      <c r="S796">
        <v>185</v>
      </c>
      <c r="T796">
        <v>160</v>
      </c>
      <c r="U796">
        <v>1000271698.73</v>
      </c>
      <c r="V796">
        <v>6460</v>
      </c>
    </row>
    <row r="797" spans="1:22" x14ac:dyDescent="0.25">
      <c r="A797">
        <v>0.97390544900902798</v>
      </c>
      <c r="B797">
        <v>27.188236688743</v>
      </c>
      <c r="C797">
        <v>30.4890114355014</v>
      </c>
      <c r="D797">
        <v>0</v>
      </c>
      <c r="E797">
        <v>5.3419584704674996</v>
      </c>
      <c r="F797">
        <v>3.73504238002239</v>
      </c>
      <c r="G797">
        <v>182.61843286783699</v>
      </c>
      <c r="H797">
        <v>29.311051531157698</v>
      </c>
      <c r="I797">
        <v>63.768096877703996</v>
      </c>
      <c r="J797">
        <v>59.858149113796998</v>
      </c>
      <c r="K797">
        <v>164928.749499225</v>
      </c>
      <c r="L797">
        <v>752.93782182818904</v>
      </c>
      <c r="M797">
        <v>0.20017300719463099</v>
      </c>
      <c r="N797">
        <v>2.0321619922131301E-2</v>
      </c>
      <c r="O797">
        <v>0.72591242700283998</v>
      </c>
      <c r="P797">
        <v>7.5611782356161894E-2</v>
      </c>
      <c r="Q797">
        <v>0.86400714504106502</v>
      </c>
      <c r="R797">
        <v>0</v>
      </c>
      <c r="S797">
        <v>185</v>
      </c>
      <c r="T797">
        <v>170</v>
      </c>
      <c r="U797">
        <v>958400963.34000003</v>
      </c>
      <c r="V797">
        <v>5811</v>
      </c>
    </row>
    <row r="798" spans="1:22" x14ac:dyDescent="0.25">
      <c r="A798">
        <v>0.96532105036698101</v>
      </c>
      <c r="B798">
        <v>34.527138635301</v>
      </c>
      <c r="C798">
        <v>35.964943253450599</v>
      </c>
      <c r="D798">
        <v>0</v>
      </c>
      <c r="E798">
        <v>5.3196057434464299</v>
      </c>
      <c r="F798">
        <v>3.7159330040549001</v>
      </c>
      <c r="G798">
        <v>182.61158758358701</v>
      </c>
      <c r="H798">
        <v>29.5738523843591</v>
      </c>
      <c r="I798">
        <v>64.477543432611597</v>
      </c>
      <c r="J798">
        <v>60.276522410347901</v>
      </c>
      <c r="K798">
        <v>276781.83013489703</v>
      </c>
      <c r="L798">
        <v>749.24810800555497</v>
      </c>
      <c r="M798">
        <v>0.277130417991304</v>
      </c>
      <c r="N798">
        <v>3.44809562819621E-2</v>
      </c>
      <c r="O798">
        <v>0.695436283675679</v>
      </c>
      <c r="P798">
        <v>0.114653584880457</v>
      </c>
      <c r="Q798">
        <v>0.86375241475903097</v>
      </c>
      <c r="R798">
        <v>0</v>
      </c>
      <c r="S798">
        <v>185</v>
      </c>
      <c r="T798">
        <v>175</v>
      </c>
      <c r="U798">
        <v>14177872466.83</v>
      </c>
      <c r="V798">
        <v>51224</v>
      </c>
    </row>
    <row r="799" spans="1:22" x14ac:dyDescent="0.25">
      <c r="A799">
        <v>0.97347836747164995</v>
      </c>
      <c r="B799">
        <v>27.570470935752901</v>
      </c>
      <c r="C799">
        <v>28.350778810014798</v>
      </c>
      <c r="D799">
        <v>0</v>
      </c>
      <c r="E799">
        <v>5.3477345880898399</v>
      </c>
      <c r="F799">
        <v>3.7407446554858401</v>
      </c>
      <c r="G799">
        <v>182.60210198387</v>
      </c>
      <c r="H799">
        <v>29.364258103028401</v>
      </c>
      <c r="I799">
        <v>64.018045077802299</v>
      </c>
      <c r="J799">
        <v>60.350692502320904</v>
      </c>
      <c r="K799">
        <v>172503.660514786</v>
      </c>
      <c r="L799">
        <v>752.78797484753397</v>
      </c>
      <c r="M799">
        <v>0.221920222051982</v>
      </c>
      <c r="N799">
        <v>2.37178828218256E-2</v>
      </c>
      <c r="O799">
        <v>0.74443653678242105</v>
      </c>
      <c r="P799">
        <v>7.0153053055366801E-2</v>
      </c>
      <c r="Q799">
        <v>0.85944274723791003</v>
      </c>
      <c r="R799">
        <v>0</v>
      </c>
      <c r="S799">
        <v>185</v>
      </c>
      <c r="T799">
        <v>180</v>
      </c>
      <c r="U799">
        <v>472487526.14999998</v>
      </c>
      <c r="V799">
        <v>2739</v>
      </c>
    </row>
    <row r="800" spans="1:22" x14ac:dyDescent="0.25">
      <c r="A800">
        <v>0.99247535783574403</v>
      </c>
      <c r="B800">
        <v>8.6650932542486796</v>
      </c>
      <c r="C800">
        <v>79.444204294549195</v>
      </c>
      <c r="D800">
        <v>0</v>
      </c>
      <c r="E800">
        <v>5.5357630168242498</v>
      </c>
      <c r="F800">
        <v>3.9228282180834899</v>
      </c>
      <c r="G800">
        <v>187.83965919569101</v>
      </c>
      <c r="H800">
        <v>28.9211399383782</v>
      </c>
      <c r="I800">
        <v>46.505477574028198</v>
      </c>
      <c r="J800">
        <v>7.1430391104695996</v>
      </c>
      <c r="K800">
        <v>5890.1389830508397</v>
      </c>
      <c r="L800">
        <v>765.65970819178096</v>
      </c>
      <c r="M800">
        <v>4.8400266038824198E-2</v>
      </c>
      <c r="N800">
        <v>1.6452567568163799E-2</v>
      </c>
      <c r="O800">
        <v>0.77865473904196403</v>
      </c>
      <c r="P800">
        <v>8.6225124324423794E-3</v>
      </c>
      <c r="Q800">
        <v>0.59184153041001397</v>
      </c>
      <c r="R800">
        <v>0</v>
      </c>
      <c r="S800">
        <v>190</v>
      </c>
      <c r="T800">
        <v>10</v>
      </c>
      <c r="U800">
        <v>1042554.6</v>
      </c>
      <c r="V800">
        <v>177</v>
      </c>
    </row>
    <row r="801" spans="1:22" x14ac:dyDescent="0.25">
      <c r="A801">
        <v>0.99104657166346399</v>
      </c>
      <c r="B801">
        <v>10.2305091270328</v>
      </c>
      <c r="C801">
        <v>54.6300511460786</v>
      </c>
      <c r="D801">
        <v>0</v>
      </c>
      <c r="E801">
        <v>5.5805046575662498</v>
      </c>
      <c r="F801">
        <v>3.95044842892356</v>
      </c>
      <c r="G801">
        <v>187.76237257021199</v>
      </c>
      <c r="H801">
        <v>28.0879251355395</v>
      </c>
      <c r="I801">
        <v>43.334215143228398</v>
      </c>
      <c r="J801">
        <v>20.1884104889001</v>
      </c>
      <c r="K801">
        <v>16020.1561179361</v>
      </c>
      <c r="L801">
        <v>762.95658521727603</v>
      </c>
      <c r="M801">
        <v>9.3112294160068498E-2</v>
      </c>
      <c r="N801">
        <v>1.35967181785248E-2</v>
      </c>
      <c r="O801">
        <v>0.82679021090804705</v>
      </c>
      <c r="P801">
        <v>3.9657286526978502E-2</v>
      </c>
      <c r="Q801">
        <v>0.64380286815401999</v>
      </c>
      <c r="R801">
        <v>0</v>
      </c>
      <c r="S801">
        <v>190</v>
      </c>
      <c r="T801">
        <v>20</v>
      </c>
      <c r="U801">
        <v>6520203.54</v>
      </c>
      <c r="V801">
        <v>407</v>
      </c>
    </row>
    <row r="802" spans="1:22" x14ac:dyDescent="0.25">
      <c r="A802">
        <v>0.98845735178611005</v>
      </c>
      <c r="B802">
        <v>13.004812079063401</v>
      </c>
      <c r="C802">
        <v>24.924080019878399</v>
      </c>
      <c r="D802">
        <v>0</v>
      </c>
      <c r="E802">
        <v>5.5194596277983603</v>
      </c>
      <c r="F802">
        <v>3.8946917373521601</v>
      </c>
      <c r="G802">
        <v>187.80822224615801</v>
      </c>
      <c r="H802">
        <v>27.330884708215098</v>
      </c>
      <c r="I802">
        <v>45.255241186127002</v>
      </c>
      <c r="J802">
        <v>34.668057643334699</v>
      </c>
      <c r="K802">
        <v>25881.141468120801</v>
      </c>
      <c r="L802">
        <v>762.82983807387404</v>
      </c>
      <c r="M802">
        <v>7.5312601054156297E-2</v>
      </c>
      <c r="N802">
        <v>1.3929623135978401E-2</v>
      </c>
      <c r="O802">
        <v>0.81011192816247801</v>
      </c>
      <c r="P802">
        <v>3.74195676552357E-2</v>
      </c>
      <c r="Q802">
        <v>0.63574923046107701</v>
      </c>
      <c r="R802">
        <v>0</v>
      </c>
      <c r="S802">
        <v>190</v>
      </c>
      <c r="T802">
        <v>30</v>
      </c>
      <c r="U802">
        <v>30850320.629999999</v>
      </c>
      <c r="V802">
        <v>1192</v>
      </c>
    </row>
    <row r="803" spans="1:22" x14ac:dyDescent="0.25">
      <c r="A803">
        <v>0.98609200413760101</v>
      </c>
      <c r="B803">
        <v>15.470315628682901</v>
      </c>
      <c r="C803">
        <v>16.401706736462799</v>
      </c>
      <c r="D803">
        <v>0</v>
      </c>
      <c r="E803">
        <v>5.5059597467245203</v>
      </c>
      <c r="F803">
        <v>3.8685052099799799</v>
      </c>
      <c r="G803">
        <v>187.79925789980899</v>
      </c>
      <c r="H803">
        <v>27.451101910350001</v>
      </c>
      <c r="I803">
        <v>51.018448567265096</v>
      </c>
      <c r="J803">
        <v>43.838366374663401</v>
      </c>
      <c r="K803">
        <v>35725.508733528499</v>
      </c>
      <c r="L803">
        <v>756.18323613004202</v>
      </c>
      <c r="M803">
        <v>7.8864224332091504E-2</v>
      </c>
      <c r="N803">
        <v>2.9991826959841199E-2</v>
      </c>
      <c r="O803">
        <v>0.77989151881055796</v>
      </c>
      <c r="P803">
        <v>2.9435589485030299E-2</v>
      </c>
      <c r="Q803">
        <v>0.65342205419452604</v>
      </c>
      <c r="R803">
        <v>0</v>
      </c>
      <c r="S803">
        <v>190</v>
      </c>
      <c r="T803">
        <v>40</v>
      </c>
      <c r="U803">
        <v>97602089.859999999</v>
      </c>
      <c r="V803">
        <v>2732</v>
      </c>
    </row>
    <row r="804" spans="1:22" x14ac:dyDescent="0.25">
      <c r="A804">
        <v>0.98416472040319503</v>
      </c>
      <c r="B804">
        <v>17.431667757645201</v>
      </c>
      <c r="C804">
        <v>13.677673074762399</v>
      </c>
      <c r="D804">
        <v>0</v>
      </c>
      <c r="E804">
        <v>5.4903762212393596</v>
      </c>
      <c r="F804">
        <v>3.8537234892589498</v>
      </c>
      <c r="G804">
        <v>187.846403466423</v>
      </c>
      <c r="H804">
        <v>27.3067757725021</v>
      </c>
      <c r="I804">
        <v>52.827214831758802</v>
      </c>
      <c r="J804">
        <v>47.391109725579398</v>
      </c>
      <c r="K804">
        <v>45658.150899075299</v>
      </c>
      <c r="L804">
        <v>753.941634392678</v>
      </c>
      <c r="M804">
        <v>9.7685382066165602E-2</v>
      </c>
      <c r="N804">
        <v>3.9041293021744701E-2</v>
      </c>
      <c r="O804">
        <v>0.75186638790015803</v>
      </c>
      <c r="P804">
        <v>3.1292432337803398E-2</v>
      </c>
      <c r="Q804">
        <v>0.70042515388662396</v>
      </c>
      <c r="R804">
        <v>0</v>
      </c>
      <c r="S804">
        <v>190</v>
      </c>
      <c r="T804">
        <v>50</v>
      </c>
      <c r="U804">
        <v>232080381.02000001</v>
      </c>
      <c r="V804">
        <v>5083</v>
      </c>
    </row>
    <row r="805" spans="1:22" x14ac:dyDescent="0.25">
      <c r="A805">
        <v>0.98275289458197301</v>
      </c>
      <c r="B805">
        <v>18.841879684751699</v>
      </c>
      <c r="C805">
        <v>14.9930424951863</v>
      </c>
      <c r="D805">
        <v>0</v>
      </c>
      <c r="E805">
        <v>5.4693463904552901</v>
      </c>
      <c r="F805">
        <v>3.8277710339052602</v>
      </c>
      <c r="G805">
        <v>187.86042087163699</v>
      </c>
      <c r="H805">
        <v>27.4245980851016</v>
      </c>
      <c r="I805">
        <v>56.458231477983396</v>
      </c>
      <c r="J805">
        <v>51.406284990868002</v>
      </c>
      <c r="K805">
        <v>55313.813420799503</v>
      </c>
      <c r="L805">
        <v>755.79972604162799</v>
      </c>
      <c r="M805">
        <v>0.104573430347273</v>
      </c>
      <c r="N805">
        <v>3.41853644317473E-2</v>
      </c>
      <c r="O805">
        <v>0.75039068399358499</v>
      </c>
      <c r="P805">
        <v>3.2659186730499203E-2</v>
      </c>
      <c r="Q805">
        <v>0.72906772274575904</v>
      </c>
      <c r="R805">
        <v>0</v>
      </c>
      <c r="S805">
        <v>190</v>
      </c>
      <c r="T805">
        <v>60</v>
      </c>
      <c r="U805">
        <v>402629247.88999999</v>
      </c>
      <c r="V805">
        <v>7279</v>
      </c>
    </row>
    <row r="806" spans="1:22" x14ac:dyDescent="0.25">
      <c r="A806">
        <v>0.98165099145416401</v>
      </c>
      <c r="B806">
        <v>19.9271448051806</v>
      </c>
      <c r="C806">
        <v>14.578367113129399</v>
      </c>
      <c r="D806">
        <v>0</v>
      </c>
      <c r="E806">
        <v>5.4458908928973804</v>
      </c>
      <c r="F806">
        <v>3.80215120045915</v>
      </c>
      <c r="G806">
        <v>187.88188463229901</v>
      </c>
      <c r="H806">
        <v>27.0456402591809</v>
      </c>
      <c r="I806">
        <v>59.459625200577001</v>
      </c>
      <c r="J806">
        <v>54.572626905039499</v>
      </c>
      <c r="K806">
        <v>65108.735738131298</v>
      </c>
      <c r="L806">
        <v>752.89194743142798</v>
      </c>
      <c r="M806">
        <v>0.118390066065391</v>
      </c>
      <c r="N806">
        <v>2.58040310848873E-2</v>
      </c>
      <c r="O806">
        <v>0.75589952655377102</v>
      </c>
      <c r="P806">
        <v>3.5684840889815501E-2</v>
      </c>
      <c r="Q806">
        <v>0.75074612546478603</v>
      </c>
      <c r="R806">
        <v>0</v>
      </c>
      <c r="S806">
        <v>190</v>
      </c>
      <c r="T806">
        <v>70</v>
      </c>
      <c r="U806">
        <v>600693195.91999996</v>
      </c>
      <c r="V806">
        <v>9226</v>
      </c>
    </row>
    <row r="807" spans="1:22" x14ac:dyDescent="0.25">
      <c r="A807">
        <v>0.98043227706415303</v>
      </c>
      <c r="B807">
        <v>21.111953091488399</v>
      </c>
      <c r="C807">
        <v>16.077973224520601</v>
      </c>
      <c r="D807">
        <v>0</v>
      </c>
      <c r="E807">
        <v>5.4260699726897004</v>
      </c>
      <c r="F807">
        <v>3.7775128954862498</v>
      </c>
      <c r="G807">
        <v>187.93713896926499</v>
      </c>
      <c r="H807">
        <v>28.582273679714699</v>
      </c>
      <c r="I807">
        <v>60.680960422467599</v>
      </c>
      <c r="J807">
        <v>56.201663483176702</v>
      </c>
      <c r="K807">
        <v>74930.719269261303</v>
      </c>
      <c r="L807">
        <v>753.63178004840802</v>
      </c>
      <c r="M807">
        <v>0.12353738977646</v>
      </c>
      <c r="N807">
        <v>2.6912497360079599E-2</v>
      </c>
      <c r="O807">
        <v>0.73394732545279995</v>
      </c>
      <c r="P807">
        <v>3.35408256259715E-2</v>
      </c>
      <c r="Q807">
        <v>0.77381941132977805</v>
      </c>
      <c r="R807">
        <v>0</v>
      </c>
      <c r="S807">
        <v>190</v>
      </c>
      <c r="T807">
        <v>80</v>
      </c>
      <c r="U807">
        <v>660364428.91999996</v>
      </c>
      <c r="V807">
        <v>8813</v>
      </c>
    </row>
    <row r="808" spans="1:22" x14ac:dyDescent="0.25">
      <c r="A808">
        <v>0.97953130740314798</v>
      </c>
      <c r="B808">
        <v>21.977501115442699</v>
      </c>
      <c r="C808">
        <v>17.892162867660598</v>
      </c>
      <c r="D808">
        <v>0</v>
      </c>
      <c r="E808">
        <v>5.4157620695747397</v>
      </c>
      <c r="F808">
        <v>3.7583465121008799</v>
      </c>
      <c r="G808">
        <v>187.94992339661599</v>
      </c>
      <c r="H808">
        <v>28.977661255843699</v>
      </c>
      <c r="I808">
        <v>63.910125650294397</v>
      </c>
      <c r="J808">
        <v>59.346026542263601</v>
      </c>
      <c r="K808">
        <v>84965.060105381097</v>
      </c>
      <c r="L808">
        <v>754.20638357192604</v>
      </c>
      <c r="M808">
        <v>0.127882991831789</v>
      </c>
      <c r="N808">
        <v>2.5755167653608298E-2</v>
      </c>
      <c r="O808">
        <v>0.72824966841559202</v>
      </c>
      <c r="P808">
        <v>3.1379458300050699E-2</v>
      </c>
      <c r="Q808">
        <v>0.76822990024542004</v>
      </c>
      <c r="R808">
        <v>0</v>
      </c>
      <c r="S808">
        <v>190</v>
      </c>
      <c r="T808">
        <v>90</v>
      </c>
      <c r="U808">
        <v>757888336.13999999</v>
      </c>
      <c r="V808">
        <v>8920</v>
      </c>
    </row>
    <row r="809" spans="1:22" x14ac:dyDescent="0.25">
      <c r="A809">
        <v>0.97878424832342703</v>
      </c>
      <c r="B809">
        <v>22.688578410668701</v>
      </c>
      <c r="C809">
        <v>22.191252322791801</v>
      </c>
      <c r="D809">
        <v>0</v>
      </c>
      <c r="E809">
        <v>5.4114148948876597</v>
      </c>
      <c r="F809">
        <v>3.7531875224320501</v>
      </c>
      <c r="G809">
        <v>187.95933985959999</v>
      </c>
      <c r="H809">
        <v>29.2967893416454</v>
      </c>
      <c r="I809">
        <v>63.4677374049568</v>
      </c>
      <c r="J809">
        <v>59.326082250903603</v>
      </c>
      <c r="K809">
        <v>94960.606617571306</v>
      </c>
      <c r="L809">
        <v>755.48537058080205</v>
      </c>
      <c r="M809">
        <v>0.140870977597678</v>
      </c>
      <c r="N809">
        <v>2.3904239346877802E-2</v>
      </c>
      <c r="O809">
        <v>0.72931934855506098</v>
      </c>
      <c r="P809">
        <v>4.0457121422218502E-2</v>
      </c>
      <c r="Q809">
        <v>0.77749788638727002</v>
      </c>
      <c r="R809">
        <v>0</v>
      </c>
      <c r="S809">
        <v>190</v>
      </c>
      <c r="T809">
        <v>100</v>
      </c>
      <c r="U809">
        <v>921972529.64999998</v>
      </c>
      <c r="V809">
        <v>9709</v>
      </c>
    </row>
    <row r="810" spans="1:22" x14ac:dyDescent="0.25">
      <c r="A810">
        <v>0.97787111956098405</v>
      </c>
      <c r="B810">
        <v>23.549656971068199</v>
      </c>
      <c r="C810">
        <v>24.621191910966701</v>
      </c>
      <c r="D810">
        <v>0</v>
      </c>
      <c r="E810">
        <v>5.4080543344801404</v>
      </c>
      <c r="F810">
        <v>3.7452554188850602</v>
      </c>
      <c r="G810">
        <v>187.92192128977601</v>
      </c>
      <c r="H810">
        <v>29.192996881196301</v>
      </c>
      <c r="I810">
        <v>65.605636276095098</v>
      </c>
      <c r="J810">
        <v>61.345449820671298</v>
      </c>
      <c r="K810">
        <v>104938.21769941</v>
      </c>
      <c r="L810">
        <v>753.50014938007996</v>
      </c>
      <c r="M810">
        <v>0.15832738502065799</v>
      </c>
      <c r="N810">
        <v>2.7615222691106899E-2</v>
      </c>
      <c r="O810">
        <v>0.71839706610327903</v>
      </c>
      <c r="P810">
        <v>4.3161977867065202E-2</v>
      </c>
      <c r="Q810">
        <v>0.79684346510549897</v>
      </c>
      <c r="R810">
        <v>0</v>
      </c>
      <c r="S810">
        <v>190</v>
      </c>
      <c r="T810">
        <v>110</v>
      </c>
      <c r="U810">
        <v>818308221.62</v>
      </c>
      <c r="V810">
        <v>7798</v>
      </c>
    </row>
    <row r="811" spans="1:22" x14ac:dyDescent="0.25">
      <c r="A811">
        <v>0.97710479646945303</v>
      </c>
      <c r="B811">
        <v>24.265503554516702</v>
      </c>
      <c r="C811">
        <v>22.805653036805701</v>
      </c>
      <c r="D811">
        <v>0</v>
      </c>
      <c r="E811">
        <v>5.3973100045327698</v>
      </c>
      <c r="F811">
        <v>3.7373985489544501</v>
      </c>
      <c r="G811">
        <v>187.95213547901301</v>
      </c>
      <c r="H811">
        <v>29.385319765548601</v>
      </c>
      <c r="I811">
        <v>65.955137599571103</v>
      </c>
      <c r="J811">
        <v>61.635708282065202</v>
      </c>
      <c r="K811">
        <v>114978.554740711</v>
      </c>
      <c r="L811">
        <v>753.58626629457899</v>
      </c>
      <c r="M811">
        <v>0.169309317544656</v>
      </c>
      <c r="N811">
        <v>2.1418278775242099E-2</v>
      </c>
      <c r="O811">
        <v>0.71560209918103301</v>
      </c>
      <c r="P811">
        <v>4.12485618009455E-2</v>
      </c>
      <c r="Q811">
        <v>0.78872238288463303</v>
      </c>
      <c r="R811">
        <v>0</v>
      </c>
      <c r="S811">
        <v>190</v>
      </c>
      <c r="T811">
        <v>120</v>
      </c>
      <c r="U811">
        <v>875791651.46000004</v>
      </c>
      <c r="V811">
        <v>7617</v>
      </c>
    </row>
    <row r="812" spans="1:22" x14ac:dyDescent="0.25">
      <c r="A812">
        <v>0.97642387521178597</v>
      </c>
      <c r="B812">
        <v>24.896412725325501</v>
      </c>
      <c r="C812">
        <v>25.584636140628799</v>
      </c>
      <c r="D812">
        <v>0</v>
      </c>
      <c r="E812">
        <v>5.4024613590816299</v>
      </c>
      <c r="F812">
        <v>3.7386390315162599</v>
      </c>
      <c r="G812">
        <v>187.89121377823699</v>
      </c>
      <c r="H812">
        <v>29.3404704570723</v>
      </c>
      <c r="I812">
        <v>66.408124584950201</v>
      </c>
      <c r="J812">
        <v>62.384148778270301</v>
      </c>
      <c r="K812">
        <v>124890.328897591</v>
      </c>
      <c r="L812">
        <v>753.29624535723894</v>
      </c>
      <c r="M812">
        <v>0.174617107278948</v>
      </c>
      <c r="N812">
        <v>2.3645124143979301E-2</v>
      </c>
      <c r="O812">
        <v>0.71290818952555002</v>
      </c>
      <c r="P812">
        <v>4.2859273435939801E-2</v>
      </c>
      <c r="Q812">
        <v>0.81409954695328302</v>
      </c>
      <c r="R812">
        <v>0</v>
      </c>
      <c r="S812">
        <v>190</v>
      </c>
      <c r="T812">
        <v>130</v>
      </c>
      <c r="U812">
        <v>845132855.64999998</v>
      </c>
      <c r="V812">
        <v>6767</v>
      </c>
    </row>
    <row r="813" spans="1:22" x14ac:dyDescent="0.25">
      <c r="A813">
        <v>0.97596207606630503</v>
      </c>
      <c r="B813">
        <v>25.321548133694201</v>
      </c>
      <c r="C813">
        <v>24.150152274856399</v>
      </c>
      <c r="D813">
        <v>0</v>
      </c>
      <c r="E813">
        <v>5.3862177156284199</v>
      </c>
      <c r="F813">
        <v>3.7254307329641798</v>
      </c>
      <c r="G813">
        <v>187.962067092052</v>
      </c>
      <c r="H813">
        <v>29.4544435060076</v>
      </c>
      <c r="I813">
        <v>66.561293764914694</v>
      </c>
      <c r="J813">
        <v>62.3852889138888</v>
      </c>
      <c r="K813">
        <v>134913.37270557799</v>
      </c>
      <c r="L813">
        <v>753.45329284891295</v>
      </c>
      <c r="M813">
        <v>0.18342598588277501</v>
      </c>
      <c r="N813">
        <v>1.89302160531532E-2</v>
      </c>
      <c r="O813">
        <v>0.73335777294757998</v>
      </c>
      <c r="P813">
        <v>4.75693133484556E-2</v>
      </c>
      <c r="Q813">
        <v>0.82532588371862703</v>
      </c>
      <c r="R813">
        <v>0</v>
      </c>
      <c r="S813">
        <v>190</v>
      </c>
      <c r="T813">
        <v>140</v>
      </c>
      <c r="U813">
        <v>836732737.51999998</v>
      </c>
      <c r="V813">
        <v>6202</v>
      </c>
    </row>
    <row r="814" spans="1:22" x14ac:dyDescent="0.25">
      <c r="A814">
        <v>0.97510495094378002</v>
      </c>
      <c r="B814">
        <v>26.104781424346701</v>
      </c>
      <c r="C814">
        <v>27.427553315976301</v>
      </c>
      <c r="D814">
        <v>0</v>
      </c>
      <c r="E814">
        <v>5.3902330821120499</v>
      </c>
      <c r="F814">
        <v>3.72870491608038</v>
      </c>
      <c r="G814">
        <v>187.955710789498</v>
      </c>
      <c r="H814">
        <v>29.469887217940801</v>
      </c>
      <c r="I814">
        <v>65.9615982608466</v>
      </c>
      <c r="J814">
        <v>61.930389502986301</v>
      </c>
      <c r="K814">
        <v>144829.617860962</v>
      </c>
      <c r="L814">
        <v>751.52364647014701</v>
      </c>
      <c r="M814">
        <v>0.19106779094394599</v>
      </c>
      <c r="N814">
        <v>2.77581574930717E-2</v>
      </c>
      <c r="O814">
        <v>0.71256329938142604</v>
      </c>
      <c r="P814">
        <v>5.6924618850569403E-2</v>
      </c>
      <c r="Q814">
        <v>0.82980164249210797</v>
      </c>
      <c r="R814">
        <v>0</v>
      </c>
      <c r="S814">
        <v>190</v>
      </c>
      <c r="T814">
        <v>150</v>
      </c>
      <c r="U814">
        <v>812494156.20000005</v>
      </c>
      <c r="V814">
        <v>5610</v>
      </c>
    </row>
    <row r="815" spans="1:22" x14ac:dyDescent="0.25">
      <c r="A815">
        <v>0.97452964354432303</v>
      </c>
      <c r="B815">
        <v>26.6262611079283</v>
      </c>
      <c r="C815">
        <v>29.3976631144923</v>
      </c>
      <c r="D815">
        <v>0</v>
      </c>
      <c r="E815">
        <v>5.3871149950040902</v>
      </c>
      <c r="F815">
        <v>3.7278388882805298</v>
      </c>
      <c r="G815">
        <v>187.95705744060399</v>
      </c>
      <c r="H815">
        <v>29.568962816744801</v>
      </c>
      <c r="I815">
        <v>67.008493323801801</v>
      </c>
      <c r="J815">
        <v>62.873697763737702</v>
      </c>
      <c r="K815">
        <v>154935.04461442999</v>
      </c>
      <c r="L815">
        <v>752.18528160588596</v>
      </c>
      <c r="M815">
        <v>0.20886798522836</v>
      </c>
      <c r="N815">
        <v>2.73789815872564E-2</v>
      </c>
      <c r="O815">
        <v>0.71766548327616797</v>
      </c>
      <c r="P815">
        <v>5.0783389440938097E-2</v>
      </c>
      <c r="Q815">
        <v>0.83792085019585105</v>
      </c>
      <c r="R815">
        <v>0</v>
      </c>
      <c r="S815">
        <v>190</v>
      </c>
      <c r="T815">
        <v>160</v>
      </c>
      <c r="U815">
        <v>749420810.79999995</v>
      </c>
      <c r="V815">
        <v>4837</v>
      </c>
    </row>
    <row r="816" spans="1:22" x14ac:dyDescent="0.25">
      <c r="A816">
        <v>0.97355189306869605</v>
      </c>
      <c r="B816">
        <v>27.504797523860201</v>
      </c>
      <c r="C816">
        <v>26.784741773567902</v>
      </c>
      <c r="D816">
        <v>0</v>
      </c>
      <c r="E816">
        <v>5.3979755739720598</v>
      </c>
      <c r="F816">
        <v>3.7319026577469998</v>
      </c>
      <c r="G816">
        <v>187.887939711564</v>
      </c>
      <c r="H816">
        <v>29.663906637284299</v>
      </c>
      <c r="I816">
        <v>67.128032572775894</v>
      </c>
      <c r="J816">
        <v>63.182972711138</v>
      </c>
      <c r="K816">
        <v>164993.30193921499</v>
      </c>
      <c r="L816">
        <v>752.02609579827299</v>
      </c>
      <c r="M816">
        <v>0.206746672510149</v>
      </c>
      <c r="N816">
        <v>2.04090690055789E-2</v>
      </c>
      <c r="O816">
        <v>0.70809998335592195</v>
      </c>
      <c r="P816">
        <v>5.8738413298056798E-2</v>
      </c>
      <c r="Q816">
        <v>0.84517588732827498</v>
      </c>
      <c r="R816">
        <v>0</v>
      </c>
      <c r="S816">
        <v>190</v>
      </c>
      <c r="T816">
        <v>170</v>
      </c>
      <c r="U816">
        <v>727455468.25</v>
      </c>
      <c r="V816">
        <v>4409</v>
      </c>
    </row>
    <row r="817" spans="1:22" x14ac:dyDescent="0.25">
      <c r="A817">
        <v>0.96457653206315896</v>
      </c>
      <c r="B817">
        <v>35.130537850356603</v>
      </c>
      <c r="C817">
        <v>34.782597474552396</v>
      </c>
      <c r="D817">
        <v>0</v>
      </c>
      <c r="E817">
        <v>5.3669997053987704</v>
      </c>
      <c r="F817">
        <v>3.7076769620234402</v>
      </c>
      <c r="G817">
        <v>187.94497019434399</v>
      </c>
      <c r="H817">
        <v>29.629301848135199</v>
      </c>
      <c r="I817">
        <v>68.243931461384093</v>
      </c>
      <c r="J817">
        <v>63.788559651978701</v>
      </c>
      <c r="K817">
        <v>276331.43750283198</v>
      </c>
      <c r="L817">
        <v>749.21755688773601</v>
      </c>
      <c r="M817">
        <v>0.264242894734254</v>
      </c>
      <c r="N817">
        <v>3.7581225743484201E-2</v>
      </c>
      <c r="O817">
        <v>0.65606116585381902</v>
      </c>
      <c r="P817">
        <v>0.103391473695115</v>
      </c>
      <c r="Q817">
        <v>0.83499426229307905</v>
      </c>
      <c r="R817">
        <v>0</v>
      </c>
      <c r="S817">
        <v>190</v>
      </c>
      <c r="T817">
        <v>175</v>
      </c>
      <c r="U817">
        <v>10244711713.98</v>
      </c>
      <c r="V817">
        <v>37074</v>
      </c>
    </row>
    <row r="818" spans="1:22" x14ac:dyDescent="0.25">
      <c r="A818">
        <v>0.97291926909876802</v>
      </c>
      <c r="B818">
        <v>28.068079026905899</v>
      </c>
      <c r="C818">
        <v>30.881289696245901</v>
      </c>
      <c r="D818">
        <v>0</v>
      </c>
      <c r="E818">
        <v>5.3974956280733704</v>
      </c>
      <c r="F818">
        <v>3.7318746067738502</v>
      </c>
      <c r="G818">
        <v>187.93243994603301</v>
      </c>
      <c r="H818">
        <v>29.766928694922399</v>
      </c>
      <c r="I818">
        <v>66.981573730174603</v>
      </c>
      <c r="J818">
        <v>63.083042727259397</v>
      </c>
      <c r="K818">
        <v>172476.006555723</v>
      </c>
      <c r="L818">
        <v>752.74385507091495</v>
      </c>
      <c r="M818">
        <v>0.22248283245466199</v>
      </c>
      <c r="N818">
        <v>2.2165559385647501E-2</v>
      </c>
      <c r="O818">
        <v>0.70255450193499103</v>
      </c>
      <c r="P818">
        <v>5.6471124820825801E-2</v>
      </c>
      <c r="Q818">
        <v>0.81742593882418901</v>
      </c>
      <c r="R818">
        <v>0</v>
      </c>
      <c r="S818">
        <v>190</v>
      </c>
      <c r="T818">
        <v>180</v>
      </c>
      <c r="U818">
        <v>342019921</v>
      </c>
      <c r="V818">
        <v>1983</v>
      </c>
    </row>
    <row r="819" spans="1:22" x14ac:dyDescent="0.25">
      <c r="A819">
        <v>0.99088695767496604</v>
      </c>
      <c r="B819">
        <v>10.403850498889501</v>
      </c>
      <c r="C819">
        <v>38.293644749793003</v>
      </c>
      <c r="D819">
        <v>0</v>
      </c>
      <c r="E819">
        <v>5.5557410196896697</v>
      </c>
      <c r="F819">
        <v>3.9111678744223699</v>
      </c>
      <c r="G819">
        <v>192.19595357119599</v>
      </c>
      <c r="H819">
        <v>27.693554747198299</v>
      </c>
      <c r="I819">
        <v>42.904525144021598</v>
      </c>
      <c r="J819">
        <v>20.3586901195753</v>
      </c>
      <c r="K819">
        <v>16032.8804659498</v>
      </c>
      <c r="L819">
        <v>763.08042056002</v>
      </c>
      <c r="M819">
        <v>8.31878257174299E-2</v>
      </c>
      <c r="N819">
        <v>1.2365574048304601E-2</v>
      </c>
      <c r="O819">
        <v>0.80480360291847797</v>
      </c>
      <c r="P819">
        <v>3.6195929929972601E-2</v>
      </c>
      <c r="Q819">
        <v>0.62565944650952598</v>
      </c>
      <c r="R819">
        <v>0</v>
      </c>
      <c r="S819">
        <v>195</v>
      </c>
      <c r="T819">
        <v>20</v>
      </c>
      <c r="U819">
        <v>4473173.6500000004</v>
      </c>
      <c r="V819">
        <v>279</v>
      </c>
    </row>
    <row r="820" spans="1:22" x14ac:dyDescent="0.25">
      <c r="A820">
        <v>0.98841340535748001</v>
      </c>
      <c r="B820">
        <v>13.051213997214999</v>
      </c>
      <c r="C820">
        <v>26.5293119568022</v>
      </c>
      <c r="D820">
        <v>0</v>
      </c>
      <c r="E820">
        <v>5.5608652843503696</v>
      </c>
      <c r="F820">
        <v>3.9000850382798502</v>
      </c>
      <c r="G820">
        <v>192.29770916886599</v>
      </c>
      <c r="H820">
        <v>27.0017397004552</v>
      </c>
      <c r="I820">
        <v>44.874462202538901</v>
      </c>
      <c r="J820">
        <v>34.043360291939003</v>
      </c>
      <c r="K820">
        <v>25922.0768723404</v>
      </c>
      <c r="L820">
        <v>757.772368679632</v>
      </c>
      <c r="M820">
        <v>6.7969637985723003E-2</v>
      </c>
      <c r="N820">
        <v>1.2769762940906501E-2</v>
      </c>
      <c r="O820">
        <v>0.81406220896177806</v>
      </c>
      <c r="P820">
        <v>3.2495216085887998E-2</v>
      </c>
      <c r="Q820">
        <v>0.674717053982966</v>
      </c>
      <c r="R820">
        <v>0</v>
      </c>
      <c r="S820">
        <v>195</v>
      </c>
      <c r="T820">
        <v>30</v>
      </c>
      <c r="U820">
        <v>24366752.260000002</v>
      </c>
      <c r="V820">
        <v>940</v>
      </c>
    </row>
    <row r="821" spans="1:22" x14ac:dyDescent="0.25">
      <c r="A821">
        <v>0.98616522906802495</v>
      </c>
      <c r="B821">
        <v>15.394961091827</v>
      </c>
      <c r="C821">
        <v>14.1345501048914</v>
      </c>
      <c r="D821">
        <v>0</v>
      </c>
      <c r="E821">
        <v>5.5247696149404204</v>
      </c>
      <c r="F821">
        <v>3.8568774254318998</v>
      </c>
      <c r="G821">
        <v>192.37217815287701</v>
      </c>
      <c r="H821">
        <v>27.405452395686901</v>
      </c>
      <c r="I821">
        <v>50.1516918998026</v>
      </c>
      <c r="J821">
        <v>42.837864458964802</v>
      </c>
      <c r="K821">
        <v>35682.778567972899</v>
      </c>
      <c r="L821">
        <v>752.76052215240998</v>
      </c>
      <c r="M821">
        <v>8.7673265072654397E-2</v>
      </c>
      <c r="N821">
        <v>3.1408806384687599E-2</v>
      </c>
      <c r="O821">
        <v>0.78786898502273395</v>
      </c>
      <c r="P821">
        <v>2.6204589621833699E-2</v>
      </c>
      <c r="Q821">
        <v>0.68807058013169098</v>
      </c>
      <c r="R821">
        <v>0</v>
      </c>
      <c r="S821">
        <v>195</v>
      </c>
      <c r="T821">
        <v>40</v>
      </c>
      <c r="U821">
        <v>73756303.299999997</v>
      </c>
      <c r="V821">
        <v>2067</v>
      </c>
    </row>
    <row r="822" spans="1:22" x14ac:dyDescent="0.25">
      <c r="A822">
        <v>0.98433866788489699</v>
      </c>
      <c r="B822">
        <v>17.256373643172001</v>
      </c>
      <c r="C822">
        <v>13.5235951538902</v>
      </c>
      <c r="D822">
        <v>0</v>
      </c>
      <c r="E822">
        <v>5.5050771518747501</v>
      </c>
      <c r="F822">
        <v>3.8399274393718699</v>
      </c>
      <c r="G822">
        <v>192.40750932625599</v>
      </c>
      <c r="H822">
        <v>27.374181552552201</v>
      </c>
      <c r="I822">
        <v>52.311111344832</v>
      </c>
      <c r="J822">
        <v>46.580049525738097</v>
      </c>
      <c r="K822">
        <v>45607.289037037001</v>
      </c>
      <c r="L822">
        <v>753.15747443877501</v>
      </c>
      <c r="M822">
        <v>0.100689116756411</v>
      </c>
      <c r="N822">
        <v>3.5795251318054E-2</v>
      </c>
      <c r="O822">
        <v>0.762369143393405</v>
      </c>
      <c r="P822">
        <v>3.5942283533349599E-2</v>
      </c>
      <c r="Q822">
        <v>0.72801087769546302</v>
      </c>
      <c r="R822">
        <v>0</v>
      </c>
      <c r="S822">
        <v>195</v>
      </c>
      <c r="T822">
        <v>50</v>
      </c>
      <c r="U822">
        <v>172395552.56</v>
      </c>
      <c r="V822">
        <v>3780</v>
      </c>
    </row>
    <row r="823" spans="1:22" x14ac:dyDescent="0.25">
      <c r="A823">
        <v>0.98309741703366604</v>
      </c>
      <c r="B823">
        <v>18.499802609829501</v>
      </c>
      <c r="C823">
        <v>15.514149189668199</v>
      </c>
      <c r="D823">
        <v>0</v>
      </c>
      <c r="E823">
        <v>5.4867621723949096</v>
      </c>
      <c r="F823">
        <v>3.81786762556764</v>
      </c>
      <c r="G823">
        <v>192.466665224986</v>
      </c>
      <c r="H823">
        <v>27.355105706537199</v>
      </c>
      <c r="I823">
        <v>55.7122531497456</v>
      </c>
      <c r="J823">
        <v>50.376160072295001</v>
      </c>
      <c r="K823">
        <v>55364.868076018</v>
      </c>
      <c r="L823">
        <v>755.05209804394303</v>
      </c>
      <c r="M823">
        <v>0.11281676309340601</v>
      </c>
      <c r="N823">
        <v>3.2803706214465198E-2</v>
      </c>
      <c r="O823">
        <v>0.76442998191835099</v>
      </c>
      <c r="P823">
        <v>3.79218542530581E-2</v>
      </c>
      <c r="Q823">
        <v>0.76461873395619295</v>
      </c>
      <c r="R823">
        <v>0</v>
      </c>
      <c r="S823">
        <v>195</v>
      </c>
      <c r="T823">
        <v>60</v>
      </c>
      <c r="U823">
        <v>305890896.12</v>
      </c>
      <c r="V823">
        <v>5525</v>
      </c>
    </row>
    <row r="824" spans="1:22" x14ac:dyDescent="0.25">
      <c r="A824">
        <v>0.98213814514405195</v>
      </c>
      <c r="B824">
        <v>19.448998101854599</v>
      </c>
      <c r="C824">
        <v>15.689341245269601</v>
      </c>
      <c r="D824">
        <v>0</v>
      </c>
      <c r="E824">
        <v>5.4638526886321896</v>
      </c>
      <c r="F824">
        <v>3.7922615721942998</v>
      </c>
      <c r="G824">
        <v>192.51996900602899</v>
      </c>
      <c r="H824">
        <v>27.148043551823601</v>
      </c>
      <c r="I824">
        <v>58.4289209051637</v>
      </c>
      <c r="J824">
        <v>53.273973832994599</v>
      </c>
      <c r="K824">
        <v>65104.819307948397</v>
      </c>
      <c r="L824">
        <v>753.65349717284096</v>
      </c>
      <c r="M824">
        <v>0.11894813920837601</v>
      </c>
      <c r="N824">
        <v>2.34977600608673E-2</v>
      </c>
      <c r="O824">
        <v>0.77302846833027805</v>
      </c>
      <c r="P824">
        <v>3.4976198234939998E-2</v>
      </c>
      <c r="Q824">
        <v>0.79512378047098897</v>
      </c>
      <c r="R824">
        <v>0</v>
      </c>
      <c r="S824">
        <v>195</v>
      </c>
      <c r="T824">
        <v>70</v>
      </c>
      <c r="U824">
        <v>449678986.95999998</v>
      </c>
      <c r="V824">
        <v>6907</v>
      </c>
    </row>
    <row r="825" spans="1:22" x14ac:dyDescent="0.25">
      <c r="A825">
        <v>0.98099387286044004</v>
      </c>
      <c r="B825">
        <v>20.5679925888296</v>
      </c>
      <c r="C825">
        <v>18.5123347835553</v>
      </c>
      <c r="D825">
        <v>0</v>
      </c>
      <c r="E825">
        <v>5.4510612778236496</v>
      </c>
      <c r="F825">
        <v>3.7730433128335399</v>
      </c>
      <c r="G825">
        <v>192.50429743323099</v>
      </c>
      <c r="H825">
        <v>28.6900466045484</v>
      </c>
      <c r="I825">
        <v>60.076315236436002</v>
      </c>
      <c r="J825">
        <v>55.379173979616503</v>
      </c>
      <c r="K825">
        <v>74839.6388692076</v>
      </c>
      <c r="L825">
        <v>753.83690224361703</v>
      </c>
      <c r="M825">
        <v>0.134646500030594</v>
      </c>
      <c r="N825">
        <v>2.7680801836206401E-2</v>
      </c>
      <c r="O825">
        <v>0.74744115943221201</v>
      </c>
      <c r="P825">
        <v>3.5966482720616602E-2</v>
      </c>
      <c r="Q825">
        <v>0.79911631527229099</v>
      </c>
      <c r="R825">
        <v>0</v>
      </c>
      <c r="S825">
        <v>195</v>
      </c>
      <c r="T825">
        <v>80</v>
      </c>
      <c r="U825">
        <v>473211036.56999999</v>
      </c>
      <c r="V825">
        <v>6323</v>
      </c>
    </row>
    <row r="826" spans="1:22" x14ac:dyDescent="0.25">
      <c r="A826">
        <v>0.980124031491998</v>
      </c>
      <c r="B826">
        <v>21.409065546584799</v>
      </c>
      <c r="C826">
        <v>18.998847268333499</v>
      </c>
      <c r="D826">
        <v>0</v>
      </c>
      <c r="E826">
        <v>5.4534796807712898</v>
      </c>
      <c r="F826">
        <v>3.7621854348422499</v>
      </c>
      <c r="G826">
        <v>192.456554252703</v>
      </c>
      <c r="H826">
        <v>29.037116017968199</v>
      </c>
      <c r="I826">
        <v>62.994389465420099</v>
      </c>
      <c r="J826">
        <v>58.274621598448498</v>
      </c>
      <c r="K826">
        <v>84958.955192769106</v>
      </c>
      <c r="L826">
        <v>752.88093748991105</v>
      </c>
      <c r="M826">
        <v>0.13810032977714601</v>
      </c>
      <c r="N826">
        <v>2.7251511569965501E-2</v>
      </c>
      <c r="O826">
        <v>0.74408609694627104</v>
      </c>
      <c r="P826">
        <v>3.2459187987319497E-2</v>
      </c>
      <c r="Q826">
        <v>0.79782247721796196</v>
      </c>
      <c r="R826">
        <v>0</v>
      </c>
      <c r="S826">
        <v>195</v>
      </c>
      <c r="T826">
        <v>90</v>
      </c>
      <c r="U826">
        <v>531078428.91000003</v>
      </c>
      <c r="V826">
        <v>6251</v>
      </c>
    </row>
    <row r="827" spans="1:22" x14ac:dyDescent="0.25">
      <c r="A827">
        <v>0.97949940518137202</v>
      </c>
      <c r="B827">
        <v>22.007988903527298</v>
      </c>
      <c r="C827">
        <v>18.8188598587138</v>
      </c>
      <c r="D827">
        <v>0</v>
      </c>
      <c r="E827">
        <v>5.4447469108832696</v>
      </c>
      <c r="F827">
        <v>3.7559505902547201</v>
      </c>
      <c r="G827">
        <v>192.44621600422099</v>
      </c>
      <c r="H827">
        <v>29.2838252690476</v>
      </c>
      <c r="I827">
        <v>62.648246644705999</v>
      </c>
      <c r="J827">
        <v>58.325645407491997</v>
      </c>
      <c r="K827">
        <v>94934.472901482295</v>
      </c>
      <c r="L827">
        <v>753.890135077134</v>
      </c>
      <c r="M827">
        <v>0.15365992302690001</v>
      </c>
      <c r="N827">
        <v>2.4416214404270001E-2</v>
      </c>
      <c r="O827">
        <v>0.73989498774468099</v>
      </c>
      <c r="P827">
        <v>4.5966119328303197E-2</v>
      </c>
      <c r="Q827">
        <v>0.81258955048874704</v>
      </c>
      <c r="R827">
        <v>0</v>
      </c>
      <c r="S827">
        <v>195</v>
      </c>
      <c r="T827">
        <v>100</v>
      </c>
      <c r="U827">
        <v>614795646.50999999</v>
      </c>
      <c r="V827">
        <v>6476</v>
      </c>
    </row>
    <row r="828" spans="1:22" x14ac:dyDescent="0.25">
      <c r="A828">
        <v>0.97869254807713302</v>
      </c>
      <c r="B828">
        <v>22.775451379420002</v>
      </c>
      <c r="C828">
        <v>19.507846109530501</v>
      </c>
      <c r="D828">
        <v>0</v>
      </c>
      <c r="E828">
        <v>5.4409215105824096</v>
      </c>
      <c r="F828">
        <v>3.74361916345448</v>
      </c>
      <c r="G828">
        <v>192.43522930749</v>
      </c>
      <c r="H828">
        <v>29.4139366621698</v>
      </c>
      <c r="I828">
        <v>64.159888965293504</v>
      </c>
      <c r="J828">
        <v>59.814533774286197</v>
      </c>
      <c r="K828">
        <v>104851.606673117</v>
      </c>
      <c r="L828">
        <v>750.77028659416601</v>
      </c>
      <c r="M828">
        <v>0.17890752418480599</v>
      </c>
      <c r="N828">
        <v>2.5273048462218398E-2</v>
      </c>
      <c r="O828">
        <v>0.74102537037760496</v>
      </c>
      <c r="P828">
        <v>4.6033210053679198E-2</v>
      </c>
      <c r="Q828">
        <v>0.84225915428784204</v>
      </c>
      <c r="R828">
        <v>0</v>
      </c>
      <c r="S828">
        <v>195</v>
      </c>
      <c r="T828">
        <v>110</v>
      </c>
      <c r="U828">
        <v>541768251.67999995</v>
      </c>
      <c r="V828">
        <v>5167</v>
      </c>
    </row>
    <row r="829" spans="1:22" x14ac:dyDescent="0.25">
      <c r="A829">
        <v>0.97804840877867705</v>
      </c>
      <c r="B829">
        <v>23.383164540426801</v>
      </c>
      <c r="C829">
        <v>24.717697640499701</v>
      </c>
      <c r="D829">
        <v>0</v>
      </c>
      <c r="E829">
        <v>5.4306744919085501</v>
      </c>
      <c r="F829">
        <v>3.73667232932053</v>
      </c>
      <c r="G829">
        <v>192.44151238510099</v>
      </c>
      <c r="H829">
        <v>29.606427077265</v>
      </c>
      <c r="I829">
        <v>64.219145370093898</v>
      </c>
      <c r="J829">
        <v>60.064991103101001</v>
      </c>
      <c r="K829">
        <v>114975.781671763</v>
      </c>
      <c r="L829">
        <v>751.36803268794495</v>
      </c>
      <c r="M829">
        <v>0.19661777008707099</v>
      </c>
      <c r="N829">
        <v>2.2643881163006401E-2</v>
      </c>
      <c r="O829">
        <v>0.75145522219945005</v>
      </c>
      <c r="P829">
        <v>4.6648323283794403E-2</v>
      </c>
      <c r="Q829">
        <v>0.84078324493794399</v>
      </c>
      <c r="R829">
        <v>0</v>
      </c>
      <c r="S829">
        <v>195</v>
      </c>
      <c r="T829">
        <v>120</v>
      </c>
      <c r="U829">
        <v>563956209.10000002</v>
      </c>
      <c r="V829">
        <v>4905</v>
      </c>
    </row>
    <row r="830" spans="1:22" x14ac:dyDescent="0.25">
      <c r="A830">
        <v>0.97731793810845802</v>
      </c>
      <c r="B830">
        <v>24.067020582592701</v>
      </c>
      <c r="C830">
        <v>25.403074700584501</v>
      </c>
      <c r="D830">
        <v>0</v>
      </c>
      <c r="E830">
        <v>5.4272947589642202</v>
      </c>
      <c r="F830">
        <v>3.7291739349333102</v>
      </c>
      <c r="G830">
        <v>192.424350277999</v>
      </c>
      <c r="H830">
        <v>29.460195906029099</v>
      </c>
      <c r="I830">
        <v>65.183142700853494</v>
      </c>
      <c r="J830">
        <v>61.023537173197298</v>
      </c>
      <c r="K830">
        <v>124924.09514585701</v>
      </c>
      <c r="L830">
        <v>750.52405811854703</v>
      </c>
      <c r="M830">
        <v>0.19545653830316501</v>
      </c>
      <c r="N830">
        <v>2.0787769801521201E-2</v>
      </c>
      <c r="O830">
        <v>0.75127438101349897</v>
      </c>
      <c r="P830">
        <v>4.8253724910171401E-2</v>
      </c>
      <c r="Q830">
        <v>0.85945094188207105</v>
      </c>
      <c r="R830">
        <v>0</v>
      </c>
      <c r="S830">
        <v>195</v>
      </c>
      <c r="T830">
        <v>130</v>
      </c>
      <c r="U830">
        <v>535299747.69999999</v>
      </c>
      <c r="V830">
        <v>4285</v>
      </c>
    </row>
    <row r="831" spans="1:22" x14ac:dyDescent="0.25">
      <c r="A831">
        <v>0.97700276721555801</v>
      </c>
      <c r="B831">
        <v>24.360347398937002</v>
      </c>
      <c r="C831">
        <v>28.012312034654499</v>
      </c>
      <c r="D831">
        <v>0</v>
      </c>
      <c r="E831">
        <v>5.4199278786111504</v>
      </c>
      <c r="F831">
        <v>3.7273486806664602</v>
      </c>
      <c r="G831">
        <v>192.40706189234601</v>
      </c>
      <c r="H831">
        <v>29.597874655423499</v>
      </c>
      <c r="I831">
        <v>64.835841544733</v>
      </c>
      <c r="J831">
        <v>60.615812805361998</v>
      </c>
      <c r="K831">
        <v>134948.29680130401</v>
      </c>
      <c r="L831">
        <v>750.68170613319</v>
      </c>
      <c r="M831">
        <v>0.19592901056300999</v>
      </c>
      <c r="N831">
        <v>2.34205831398555E-2</v>
      </c>
      <c r="O831">
        <v>0.77138380196947598</v>
      </c>
      <c r="P831">
        <v>5.1424720236750099E-2</v>
      </c>
      <c r="Q831">
        <v>0.86216439652711796</v>
      </c>
      <c r="R831">
        <v>0</v>
      </c>
      <c r="S831">
        <v>195</v>
      </c>
      <c r="T831">
        <v>140</v>
      </c>
      <c r="U831">
        <v>537903911.04999995</v>
      </c>
      <c r="V831">
        <v>3986</v>
      </c>
    </row>
    <row r="832" spans="1:22" x14ac:dyDescent="0.25">
      <c r="A832">
        <v>0.97612340418389398</v>
      </c>
      <c r="B832">
        <v>25.173279748651499</v>
      </c>
      <c r="C832">
        <v>27.130236621756801</v>
      </c>
      <c r="D832">
        <v>0</v>
      </c>
      <c r="E832">
        <v>5.4241379181208602</v>
      </c>
      <c r="F832">
        <v>3.7309245380220499</v>
      </c>
      <c r="G832">
        <v>192.465267143457</v>
      </c>
      <c r="H832">
        <v>29.720613159461099</v>
      </c>
      <c r="I832">
        <v>64.276955080180201</v>
      </c>
      <c r="J832">
        <v>60.153250314693203</v>
      </c>
      <c r="K832">
        <v>144833.56486681401</v>
      </c>
      <c r="L832">
        <v>748.28678258947298</v>
      </c>
      <c r="M832">
        <v>0.194886587401678</v>
      </c>
      <c r="N832">
        <v>2.5526702243629799E-2</v>
      </c>
      <c r="O832">
        <v>0.73350472943901301</v>
      </c>
      <c r="P832">
        <v>6.6063722395165794E-2</v>
      </c>
      <c r="Q832">
        <v>0.86738182798321095</v>
      </c>
      <c r="R832">
        <v>0</v>
      </c>
      <c r="S832">
        <v>195</v>
      </c>
      <c r="T832">
        <v>150</v>
      </c>
      <c r="U832">
        <v>521980167.77999997</v>
      </c>
      <c r="V832">
        <v>3604</v>
      </c>
    </row>
    <row r="833" spans="1:22" x14ac:dyDescent="0.25">
      <c r="A833">
        <v>0.97553340371058805</v>
      </c>
      <c r="B833">
        <v>25.7142113339752</v>
      </c>
      <c r="C833">
        <v>24.301569892523599</v>
      </c>
      <c r="D833">
        <v>0</v>
      </c>
      <c r="E833">
        <v>5.4252600643002102</v>
      </c>
      <c r="F833">
        <v>3.7277331363388</v>
      </c>
      <c r="G833">
        <v>192.35294488859401</v>
      </c>
      <c r="H833">
        <v>29.577092982038099</v>
      </c>
      <c r="I833">
        <v>65.313850985437298</v>
      </c>
      <c r="J833">
        <v>61.286039615648299</v>
      </c>
      <c r="K833">
        <v>154859.08123310201</v>
      </c>
      <c r="L833">
        <v>748.88969145721398</v>
      </c>
      <c r="M833">
        <v>0.22529206896548501</v>
      </c>
      <c r="N833">
        <v>2.8975443788206101E-2</v>
      </c>
      <c r="O833">
        <v>0.74863926330180197</v>
      </c>
      <c r="P833">
        <v>5.7452569836495597E-2</v>
      </c>
      <c r="Q833">
        <v>0.87470961630789801</v>
      </c>
      <c r="R833">
        <v>0</v>
      </c>
      <c r="S833">
        <v>195</v>
      </c>
      <c r="T833">
        <v>160</v>
      </c>
      <c r="U833">
        <v>469687593.38</v>
      </c>
      <c r="V833">
        <v>3033</v>
      </c>
    </row>
    <row r="834" spans="1:22" x14ac:dyDescent="0.25">
      <c r="A834">
        <v>0.97458481859933199</v>
      </c>
      <c r="B834">
        <v>26.576395070595701</v>
      </c>
      <c r="C834">
        <v>24.815978563254799</v>
      </c>
      <c r="D834">
        <v>0</v>
      </c>
      <c r="E834">
        <v>5.43679723565974</v>
      </c>
      <c r="F834">
        <v>3.7334238581524799</v>
      </c>
      <c r="G834">
        <v>192.423718333945</v>
      </c>
      <c r="H834">
        <v>29.800608186350399</v>
      </c>
      <c r="I834">
        <v>65.471346777331107</v>
      </c>
      <c r="J834">
        <v>61.452047840250302</v>
      </c>
      <c r="K834">
        <v>164926.24656759601</v>
      </c>
      <c r="L834">
        <v>747.87587255133406</v>
      </c>
      <c r="M834">
        <v>0.20677763145455899</v>
      </c>
      <c r="N834">
        <v>1.8513825121167601E-2</v>
      </c>
      <c r="O834">
        <v>0.73628443810122601</v>
      </c>
      <c r="P834">
        <v>6.1268668158321798E-2</v>
      </c>
      <c r="Q834">
        <v>0.890458293028626</v>
      </c>
      <c r="R834">
        <v>0</v>
      </c>
      <c r="S834">
        <v>195</v>
      </c>
      <c r="T834">
        <v>170</v>
      </c>
      <c r="U834">
        <v>455031514.27999997</v>
      </c>
      <c r="V834">
        <v>2759</v>
      </c>
    </row>
    <row r="835" spans="1:22" x14ac:dyDescent="0.25">
      <c r="A835">
        <v>0.96607633731579801</v>
      </c>
      <c r="B835">
        <v>33.909758675847897</v>
      </c>
      <c r="C835">
        <v>35.168444060580399</v>
      </c>
      <c r="D835">
        <v>0</v>
      </c>
      <c r="E835">
        <v>5.3957782210187499</v>
      </c>
      <c r="F835">
        <v>3.70615818971699</v>
      </c>
      <c r="G835">
        <v>192.394204859491</v>
      </c>
      <c r="H835">
        <v>29.6697406792122</v>
      </c>
      <c r="I835">
        <v>66.550999712287407</v>
      </c>
      <c r="J835">
        <v>61.938270509226399</v>
      </c>
      <c r="K835">
        <v>278040.74624824902</v>
      </c>
      <c r="L835">
        <v>746.67659410161104</v>
      </c>
      <c r="M835">
        <v>0.28106060378078801</v>
      </c>
      <c r="N835">
        <v>3.6378245128416198E-2</v>
      </c>
      <c r="O835">
        <v>0.68473285939864004</v>
      </c>
      <c r="P835">
        <v>0.109935006536186</v>
      </c>
      <c r="Q835">
        <v>0.87313408983767304</v>
      </c>
      <c r="R835">
        <v>0</v>
      </c>
      <c r="S835">
        <v>195</v>
      </c>
      <c r="T835">
        <v>175</v>
      </c>
      <c r="U835">
        <v>6352674970.2799997</v>
      </c>
      <c r="V835">
        <v>22848</v>
      </c>
    </row>
    <row r="836" spans="1:22" x14ac:dyDescent="0.25">
      <c r="A836">
        <v>0.97403853361245196</v>
      </c>
      <c r="B836">
        <v>27.068749801981099</v>
      </c>
      <c r="C836">
        <v>22.165020723774798</v>
      </c>
      <c r="D836">
        <v>0</v>
      </c>
      <c r="E836">
        <v>5.42832375748511</v>
      </c>
      <c r="F836">
        <v>3.7291312243826198</v>
      </c>
      <c r="G836">
        <v>192.361847300156</v>
      </c>
      <c r="H836">
        <v>29.527324014813399</v>
      </c>
      <c r="I836">
        <v>65.625139177231006</v>
      </c>
      <c r="J836">
        <v>61.895831356473998</v>
      </c>
      <c r="K836">
        <v>172463.82543171101</v>
      </c>
      <c r="L836">
        <v>751.81198315327902</v>
      </c>
      <c r="M836">
        <v>0.23531338077761099</v>
      </c>
      <c r="N836">
        <v>2.3498039178362198E-2</v>
      </c>
      <c r="O836">
        <v>0.73386916937677704</v>
      </c>
      <c r="P836">
        <v>5.8853655828380098E-2</v>
      </c>
      <c r="Q836">
        <v>0.86258829576699603</v>
      </c>
      <c r="R836">
        <v>0</v>
      </c>
      <c r="S836">
        <v>195</v>
      </c>
      <c r="T836">
        <v>180</v>
      </c>
      <c r="U836">
        <v>219718913.59999999</v>
      </c>
      <c r="V836">
        <v>1274</v>
      </c>
    </row>
    <row r="837" spans="1:22" x14ac:dyDescent="0.25">
      <c r="A837">
        <v>0.99088334456445504</v>
      </c>
      <c r="B837">
        <v>10.407770796294299</v>
      </c>
      <c r="C837">
        <v>51.236398120318</v>
      </c>
      <c r="D837">
        <v>0</v>
      </c>
      <c r="E837">
        <v>5.5586307155110397</v>
      </c>
      <c r="F837">
        <v>3.8554302979116599</v>
      </c>
      <c r="G837">
        <v>196.92389407743499</v>
      </c>
      <c r="H837">
        <v>28.9278570874209</v>
      </c>
      <c r="I837">
        <v>43.7479505761615</v>
      </c>
      <c r="J837">
        <v>19.143108173849502</v>
      </c>
      <c r="K837">
        <v>16073.905467422001</v>
      </c>
      <c r="L837">
        <v>768.55025623559902</v>
      </c>
      <c r="M837">
        <v>7.9809477702853501E-2</v>
      </c>
      <c r="N837">
        <v>1.03157570874954E-2</v>
      </c>
      <c r="O837">
        <v>0.76827505953145403</v>
      </c>
      <c r="P837">
        <v>3.3828888217419299E-2</v>
      </c>
      <c r="Q837">
        <v>0.60248897804051305</v>
      </c>
      <c r="R837">
        <v>0</v>
      </c>
      <c r="S837">
        <v>200</v>
      </c>
      <c r="T837">
        <v>20</v>
      </c>
      <c r="U837">
        <v>5674088.6299999999</v>
      </c>
      <c r="V837">
        <v>353</v>
      </c>
    </row>
    <row r="838" spans="1:22" x14ac:dyDescent="0.25">
      <c r="A838">
        <v>0.98823507816719902</v>
      </c>
      <c r="B838">
        <v>13.2392724267504</v>
      </c>
      <c r="C838">
        <v>34.817776370658201</v>
      </c>
      <c r="D838">
        <v>0</v>
      </c>
      <c r="E838">
        <v>5.5445824082208697</v>
      </c>
      <c r="F838">
        <v>3.8380073057854101</v>
      </c>
      <c r="G838">
        <v>196.87625096211801</v>
      </c>
      <c r="H838">
        <v>28.337289943014898</v>
      </c>
      <c r="I838">
        <v>44.208371045361702</v>
      </c>
      <c r="J838">
        <v>30.5717814039925</v>
      </c>
      <c r="K838">
        <v>25918.102133726599</v>
      </c>
      <c r="L838">
        <v>766.67407744793297</v>
      </c>
      <c r="M838">
        <v>7.4068801152595995E-2</v>
      </c>
      <c r="N838">
        <v>1.30983933471247E-2</v>
      </c>
      <c r="O838">
        <v>0.765018355960985</v>
      </c>
      <c r="P838">
        <v>4.3087452519541602E-2</v>
      </c>
      <c r="Q838">
        <v>0.64405209070272296</v>
      </c>
      <c r="R838">
        <v>0</v>
      </c>
      <c r="S838">
        <v>200</v>
      </c>
      <c r="T838">
        <v>30</v>
      </c>
      <c r="U838">
        <v>26358709.870000001</v>
      </c>
      <c r="V838">
        <v>1017</v>
      </c>
    </row>
    <row r="839" spans="1:22" x14ac:dyDescent="0.25">
      <c r="A839">
        <v>0.98627149390808599</v>
      </c>
      <c r="B839">
        <v>15.2854962166841</v>
      </c>
      <c r="C839">
        <v>22.507626673087401</v>
      </c>
      <c r="D839">
        <v>0</v>
      </c>
      <c r="E839">
        <v>5.5423385211566396</v>
      </c>
      <c r="F839">
        <v>3.8226131927664402</v>
      </c>
      <c r="G839">
        <v>196.99005427054499</v>
      </c>
      <c r="H839">
        <v>27.925029494453099</v>
      </c>
      <c r="I839">
        <v>47.999714659503901</v>
      </c>
      <c r="J839">
        <v>39.9075563459457</v>
      </c>
      <c r="K839">
        <v>35504.344131475802</v>
      </c>
      <c r="L839">
        <v>761.97691620031901</v>
      </c>
      <c r="M839">
        <v>9.9910145132525496E-2</v>
      </c>
      <c r="N839">
        <v>1.8721221199186899E-2</v>
      </c>
      <c r="O839">
        <v>0.78814441953747305</v>
      </c>
      <c r="P839">
        <v>3.5388113715611E-2</v>
      </c>
      <c r="Q839">
        <v>0.68304361745270303</v>
      </c>
      <c r="R839">
        <v>0</v>
      </c>
      <c r="S839">
        <v>200</v>
      </c>
      <c r="T839">
        <v>40</v>
      </c>
      <c r="U839">
        <v>81553478.469999999</v>
      </c>
      <c r="V839">
        <v>2297</v>
      </c>
    </row>
    <row r="840" spans="1:22" x14ac:dyDescent="0.25">
      <c r="A840">
        <v>0.98437171032334503</v>
      </c>
      <c r="B840">
        <v>17.223036872804698</v>
      </c>
      <c r="C840">
        <v>17.861538269886601</v>
      </c>
      <c r="D840">
        <v>0</v>
      </c>
      <c r="E840">
        <v>5.5239346020984401</v>
      </c>
      <c r="F840">
        <v>3.8062940144789499</v>
      </c>
      <c r="G840">
        <v>196.92872820336299</v>
      </c>
      <c r="H840">
        <v>27.794431658417899</v>
      </c>
      <c r="I840">
        <v>49.017070916902398</v>
      </c>
      <c r="J840">
        <v>43.5311539762276</v>
      </c>
      <c r="K840">
        <v>45665.114289227698</v>
      </c>
      <c r="L840">
        <v>761.61357118054798</v>
      </c>
      <c r="M840">
        <v>9.2048608423142594E-2</v>
      </c>
      <c r="N840">
        <v>2.38088845233509E-2</v>
      </c>
      <c r="O840">
        <v>0.75932725070081997</v>
      </c>
      <c r="P840">
        <v>4.1671117438384697E-2</v>
      </c>
      <c r="Q840">
        <v>0.72869161171238395</v>
      </c>
      <c r="R840">
        <v>0</v>
      </c>
      <c r="S840">
        <v>200</v>
      </c>
      <c r="T840">
        <v>50</v>
      </c>
      <c r="U840">
        <v>185674354.69999999</v>
      </c>
      <c r="V840">
        <v>4066</v>
      </c>
    </row>
    <row r="841" spans="1:22" x14ac:dyDescent="0.25">
      <c r="A841">
        <v>0.98314952341225903</v>
      </c>
      <c r="B841">
        <v>18.447951166679101</v>
      </c>
      <c r="C841">
        <v>14.379865071456701</v>
      </c>
      <c r="D841">
        <v>0</v>
      </c>
      <c r="E841">
        <v>5.5008408736031598</v>
      </c>
      <c r="F841">
        <v>3.7866301441308199</v>
      </c>
      <c r="G841">
        <v>196.94637602100201</v>
      </c>
      <c r="H841">
        <v>27.6909830038508</v>
      </c>
      <c r="I841">
        <v>51.366362287701001</v>
      </c>
      <c r="J841">
        <v>46.586554482543697</v>
      </c>
      <c r="K841">
        <v>55237.845079424398</v>
      </c>
      <c r="L841">
        <v>762.68875004875997</v>
      </c>
      <c r="M841">
        <v>0.11066839014503101</v>
      </c>
      <c r="N841">
        <v>2.0075873277705301E-2</v>
      </c>
      <c r="O841">
        <v>0.77506053176188106</v>
      </c>
      <c r="P841">
        <v>4.0822886306299697E-2</v>
      </c>
      <c r="Q841">
        <v>0.79279117436472202</v>
      </c>
      <c r="R841">
        <v>0</v>
      </c>
      <c r="S841">
        <v>200</v>
      </c>
      <c r="T841">
        <v>60</v>
      </c>
      <c r="U841">
        <v>295577709.01999998</v>
      </c>
      <c r="V841">
        <v>5351</v>
      </c>
    </row>
    <row r="842" spans="1:22" x14ac:dyDescent="0.25">
      <c r="A842">
        <v>0.98215650424959</v>
      </c>
      <c r="B842">
        <v>19.4309273682744</v>
      </c>
      <c r="C842">
        <v>14.0765797253835</v>
      </c>
      <c r="D842">
        <v>0</v>
      </c>
      <c r="E842">
        <v>5.4839560543798704</v>
      </c>
      <c r="F842">
        <v>3.7660001623075101</v>
      </c>
      <c r="G842">
        <v>196.926396192803</v>
      </c>
      <c r="H842">
        <v>27.3483357555053</v>
      </c>
      <c r="I842">
        <v>54.347715693374198</v>
      </c>
      <c r="J842">
        <v>49.874841719761797</v>
      </c>
      <c r="K842">
        <v>65107.105802804101</v>
      </c>
      <c r="L842">
        <v>759.016614630812</v>
      </c>
      <c r="M842">
        <v>0.126902596468317</v>
      </c>
      <c r="N842">
        <v>1.44295995068104E-2</v>
      </c>
      <c r="O842">
        <v>0.78779514770035697</v>
      </c>
      <c r="P842">
        <v>3.89065685510789E-2</v>
      </c>
      <c r="Q842">
        <v>0.81008284825750299</v>
      </c>
      <c r="R842">
        <v>0</v>
      </c>
      <c r="S842">
        <v>200</v>
      </c>
      <c r="T842">
        <v>70</v>
      </c>
      <c r="U842">
        <v>431855432.79000002</v>
      </c>
      <c r="V842">
        <v>6633</v>
      </c>
    </row>
    <row r="843" spans="1:22" x14ac:dyDescent="0.25">
      <c r="A843">
        <v>0.98102324789610595</v>
      </c>
      <c r="B843">
        <v>20.539445592549999</v>
      </c>
      <c r="C843">
        <v>19.955828907964602</v>
      </c>
      <c r="D843">
        <v>0</v>
      </c>
      <c r="E843">
        <v>5.4662027086899396</v>
      </c>
      <c r="F843">
        <v>3.7463499722296598</v>
      </c>
      <c r="G843">
        <v>196.94209631334701</v>
      </c>
      <c r="H843">
        <v>29.2417397721802</v>
      </c>
      <c r="I843">
        <v>55.667966315594903</v>
      </c>
      <c r="J843">
        <v>51.5718436764408</v>
      </c>
      <c r="K843">
        <v>74899.052733492397</v>
      </c>
      <c r="L843">
        <v>759.49862841883896</v>
      </c>
      <c r="M843">
        <v>0.138467897899023</v>
      </c>
      <c r="N843">
        <v>1.95888262439513E-2</v>
      </c>
      <c r="O843">
        <v>0.75994975266741005</v>
      </c>
      <c r="P843">
        <v>3.7882072035729603E-2</v>
      </c>
      <c r="Q843">
        <v>0.81990091364987805</v>
      </c>
      <c r="R843">
        <v>0</v>
      </c>
      <c r="S843">
        <v>200</v>
      </c>
      <c r="T843">
        <v>80</v>
      </c>
      <c r="U843">
        <v>470740546.43000001</v>
      </c>
      <c r="V843">
        <v>6285</v>
      </c>
    </row>
    <row r="844" spans="1:22" x14ac:dyDescent="0.25">
      <c r="A844">
        <v>0.98013178930136802</v>
      </c>
      <c r="B844">
        <v>21.401600531823</v>
      </c>
      <c r="C844">
        <v>19.016131249174801</v>
      </c>
      <c r="D844">
        <v>0</v>
      </c>
      <c r="E844">
        <v>5.4680564747915499</v>
      </c>
      <c r="F844">
        <v>3.7369121834654302</v>
      </c>
      <c r="G844">
        <v>196.95526286792199</v>
      </c>
      <c r="H844">
        <v>29.5868646018478</v>
      </c>
      <c r="I844">
        <v>58.450889596037896</v>
      </c>
      <c r="J844">
        <v>54.4023611532958</v>
      </c>
      <c r="K844">
        <v>84953.560849073503</v>
      </c>
      <c r="L844">
        <v>758.65972597483096</v>
      </c>
      <c r="M844">
        <v>0.14202097520488999</v>
      </c>
      <c r="N844">
        <v>2.3788292651870799E-2</v>
      </c>
      <c r="O844">
        <v>0.75894061535973201</v>
      </c>
      <c r="P844">
        <v>3.2297369830079102E-2</v>
      </c>
      <c r="Q844">
        <v>0.83180721054373197</v>
      </c>
      <c r="R844">
        <v>0</v>
      </c>
      <c r="S844">
        <v>200</v>
      </c>
      <c r="T844">
        <v>90</v>
      </c>
      <c r="U844">
        <v>472256844.75999999</v>
      </c>
      <c r="V844">
        <v>5559</v>
      </c>
    </row>
    <row r="845" spans="1:22" x14ac:dyDescent="0.25">
      <c r="A845">
        <v>0.97945737498792695</v>
      </c>
      <c r="B845">
        <v>22.048138952994901</v>
      </c>
      <c r="C845">
        <v>23.833805753195701</v>
      </c>
      <c r="D845">
        <v>0</v>
      </c>
      <c r="E845">
        <v>5.4612593176841502</v>
      </c>
      <c r="F845">
        <v>3.7301372445985499</v>
      </c>
      <c r="G845">
        <v>196.95015213533199</v>
      </c>
      <c r="H845">
        <v>29.8706284094079</v>
      </c>
      <c r="I845">
        <v>57.659250682250999</v>
      </c>
      <c r="J845">
        <v>53.979685548187902</v>
      </c>
      <c r="K845">
        <v>94889.656398135805</v>
      </c>
      <c r="L845">
        <v>758.66420975244398</v>
      </c>
      <c r="M845">
        <v>0.151619997200236</v>
      </c>
      <c r="N845">
        <v>2.1432506814621499E-2</v>
      </c>
      <c r="O845">
        <v>0.751935179876979</v>
      </c>
      <c r="P845">
        <v>4.7493038443435602E-2</v>
      </c>
      <c r="Q845">
        <v>0.84128161302566196</v>
      </c>
      <c r="R845">
        <v>0</v>
      </c>
      <c r="S845">
        <v>200</v>
      </c>
      <c r="T845">
        <v>100</v>
      </c>
      <c r="U845">
        <v>570097055.63999999</v>
      </c>
      <c r="V845">
        <v>6008</v>
      </c>
    </row>
    <row r="846" spans="1:22" x14ac:dyDescent="0.25">
      <c r="A846">
        <v>0.97883272262423904</v>
      </c>
      <c r="B846">
        <v>22.6426197052369</v>
      </c>
      <c r="C846">
        <v>23.8065919946315</v>
      </c>
      <c r="D846">
        <v>0</v>
      </c>
      <c r="E846">
        <v>5.4699001435361403</v>
      </c>
      <c r="F846">
        <v>3.7319848062094301</v>
      </c>
      <c r="G846">
        <v>196.99134905755301</v>
      </c>
      <c r="H846">
        <v>29.809730505046101</v>
      </c>
      <c r="I846">
        <v>60.152132071834501</v>
      </c>
      <c r="J846">
        <v>56.240735613037103</v>
      </c>
      <c r="K846">
        <v>104852.574305367</v>
      </c>
      <c r="L846">
        <v>756.080052396101</v>
      </c>
      <c r="M846">
        <v>0.193348494884449</v>
      </c>
      <c r="N846">
        <v>2.0196183566291801E-2</v>
      </c>
      <c r="O846">
        <v>0.768480131542156</v>
      </c>
      <c r="P846">
        <v>4.9079139147895703E-2</v>
      </c>
      <c r="Q846">
        <v>0.87163196133903098</v>
      </c>
      <c r="R846">
        <v>0</v>
      </c>
      <c r="S846">
        <v>200</v>
      </c>
      <c r="T846">
        <v>110</v>
      </c>
      <c r="U846">
        <v>464916314.47000003</v>
      </c>
      <c r="V846">
        <v>4434</v>
      </c>
    </row>
    <row r="847" spans="1:22" x14ac:dyDescent="0.25">
      <c r="A847">
        <v>0.977998941145237</v>
      </c>
      <c r="B847">
        <v>23.4296530295167</v>
      </c>
      <c r="C847">
        <v>24.2717321939997</v>
      </c>
      <c r="D847">
        <v>0</v>
      </c>
      <c r="E847">
        <v>5.4498835711657296</v>
      </c>
      <c r="F847">
        <v>3.71628084733968</v>
      </c>
      <c r="G847">
        <v>197.00270929896399</v>
      </c>
      <c r="H847">
        <v>30.221794356822802</v>
      </c>
      <c r="I847">
        <v>59.819034840645898</v>
      </c>
      <c r="J847">
        <v>56.270214943846199</v>
      </c>
      <c r="K847">
        <v>115031.261410081</v>
      </c>
      <c r="L847">
        <v>756.48856598202406</v>
      </c>
      <c r="M847">
        <v>0.19209343268694701</v>
      </c>
      <c r="N847">
        <v>1.7475763278287901E-2</v>
      </c>
      <c r="O847">
        <v>0.76281780750236405</v>
      </c>
      <c r="P847">
        <v>5.3447299509691099E-2</v>
      </c>
      <c r="Q847">
        <v>0.86211076362415595</v>
      </c>
      <c r="R847">
        <v>0</v>
      </c>
      <c r="S847">
        <v>200</v>
      </c>
      <c r="T847">
        <v>120</v>
      </c>
      <c r="U847">
        <v>506597675.25</v>
      </c>
      <c r="V847">
        <v>4404</v>
      </c>
    </row>
    <row r="848" spans="1:22" x14ac:dyDescent="0.25">
      <c r="A848">
        <v>0.97738659638113701</v>
      </c>
      <c r="B848">
        <v>24.0029827681375</v>
      </c>
      <c r="C848">
        <v>26.4137299099534</v>
      </c>
      <c r="D848">
        <v>0</v>
      </c>
      <c r="E848">
        <v>5.4540648591515497</v>
      </c>
      <c r="F848">
        <v>3.71909759340015</v>
      </c>
      <c r="G848">
        <v>196.97598038036301</v>
      </c>
      <c r="H848">
        <v>29.895189398288899</v>
      </c>
      <c r="I848">
        <v>60.584564104310097</v>
      </c>
      <c r="J848">
        <v>56.988871659707797</v>
      </c>
      <c r="K848">
        <v>124925.914214898</v>
      </c>
      <c r="L848">
        <v>755.05451974478501</v>
      </c>
      <c r="M848">
        <v>0.201892975131196</v>
      </c>
      <c r="N848">
        <v>2.0214449572435501E-2</v>
      </c>
      <c r="O848">
        <v>0.75870719093446604</v>
      </c>
      <c r="P848">
        <v>5.7679900802028797E-2</v>
      </c>
      <c r="Q848">
        <v>0.88229111733247501</v>
      </c>
      <c r="R848">
        <v>0</v>
      </c>
      <c r="S848">
        <v>200</v>
      </c>
      <c r="T848">
        <v>130</v>
      </c>
      <c r="U848">
        <v>451107476.23000002</v>
      </c>
      <c r="V848">
        <v>3611</v>
      </c>
    </row>
    <row r="849" spans="1:22" x14ac:dyDescent="0.25">
      <c r="A849">
        <v>0.97703708629546704</v>
      </c>
      <c r="B849">
        <v>24.328457398862099</v>
      </c>
      <c r="C849">
        <v>26.6328899991911</v>
      </c>
      <c r="D849">
        <v>0</v>
      </c>
      <c r="E849">
        <v>5.4304382258044903</v>
      </c>
      <c r="F849">
        <v>3.7016348032897701</v>
      </c>
      <c r="G849">
        <v>196.98114917097601</v>
      </c>
      <c r="H849">
        <v>30.032672557531502</v>
      </c>
      <c r="I849">
        <v>60.431881343336102</v>
      </c>
      <c r="J849">
        <v>56.534035439598398</v>
      </c>
      <c r="K849">
        <v>134915.44464589999</v>
      </c>
      <c r="L849">
        <v>757.29602417958199</v>
      </c>
      <c r="M849">
        <v>0.22182471158852099</v>
      </c>
      <c r="N849">
        <v>1.7359676027999E-2</v>
      </c>
      <c r="O849">
        <v>0.78672819632435798</v>
      </c>
      <c r="P849">
        <v>5.67412049507919E-2</v>
      </c>
      <c r="Q849">
        <v>0.88816294896180703</v>
      </c>
      <c r="R849">
        <v>0</v>
      </c>
      <c r="S849">
        <v>200</v>
      </c>
      <c r="T849">
        <v>140</v>
      </c>
      <c r="U849">
        <v>459117258.13</v>
      </c>
      <c r="V849">
        <v>3403</v>
      </c>
    </row>
    <row r="850" spans="1:22" x14ac:dyDescent="0.25">
      <c r="A850">
        <v>0.97619594716869396</v>
      </c>
      <c r="B850">
        <v>25.106521309400701</v>
      </c>
      <c r="C850">
        <v>24.456070218528701</v>
      </c>
      <c r="D850">
        <v>0</v>
      </c>
      <c r="E850">
        <v>5.4411893340961699</v>
      </c>
      <c r="F850">
        <v>3.7086697638664998</v>
      </c>
      <c r="G850">
        <v>196.976081367728</v>
      </c>
      <c r="H850">
        <v>30.126215918362899</v>
      </c>
      <c r="I850">
        <v>59.691173838798797</v>
      </c>
      <c r="J850">
        <v>56.277264284602801</v>
      </c>
      <c r="K850">
        <v>144807.81542026199</v>
      </c>
      <c r="L850">
        <v>754.92839211080798</v>
      </c>
      <c r="M850">
        <v>0.199456878955658</v>
      </c>
      <c r="N850">
        <v>1.7460907305202601E-2</v>
      </c>
      <c r="O850">
        <v>0.76544546254210799</v>
      </c>
      <c r="P850">
        <v>6.3728220234838998E-2</v>
      </c>
      <c r="Q850">
        <v>0.89303361640543</v>
      </c>
      <c r="R850">
        <v>0</v>
      </c>
      <c r="S850">
        <v>200</v>
      </c>
      <c r="T850">
        <v>150</v>
      </c>
      <c r="U850">
        <v>453103654.44999999</v>
      </c>
      <c r="V850">
        <v>3129</v>
      </c>
    </row>
    <row r="851" spans="1:22" x14ac:dyDescent="0.25">
      <c r="A851">
        <v>0.97559598745458398</v>
      </c>
      <c r="B851">
        <v>25.657002957363002</v>
      </c>
      <c r="C851">
        <v>27.826124770005698</v>
      </c>
      <c r="D851">
        <v>0</v>
      </c>
      <c r="E851">
        <v>5.4527961533497402</v>
      </c>
      <c r="F851">
        <v>3.7141759705630601</v>
      </c>
      <c r="G851">
        <v>197.018322073234</v>
      </c>
      <c r="H851">
        <v>30.045634726710201</v>
      </c>
      <c r="I851">
        <v>61.283752372396897</v>
      </c>
      <c r="J851">
        <v>57.643771178007299</v>
      </c>
      <c r="K851">
        <v>154911.061609375</v>
      </c>
      <c r="L851">
        <v>752.98376682569005</v>
      </c>
      <c r="M851">
        <v>0.230607367139957</v>
      </c>
      <c r="N851">
        <v>1.9884874631032001E-2</v>
      </c>
      <c r="O851">
        <v>0.77791621266872302</v>
      </c>
      <c r="P851">
        <v>6.9703340311102896E-2</v>
      </c>
      <c r="Q851">
        <v>0.90478966276042705</v>
      </c>
      <c r="R851">
        <v>0</v>
      </c>
      <c r="S851">
        <v>200</v>
      </c>
      <c r="T851">
        <v>160</v>
      </c>
      <c r="U851">
        <v>396572317.72000003</v>
      </c>
      <c r="V851">
        <v>2560</v>
      </c>
    </row>
    <row r="852" spans="1:22" x14ac:dyDescent="0.25">
      <c r="A852">
        <v>0.97488306487787402</v>
      </c>
      <c r="B852">
        <v>26.306308216596602</v>
      </c>
      <c r="C852">
        <v>35.3053817292421</v>
      </c>
      <c r="D852">
        <v>0</v>
      </c>
      <c r="E852">
        <v>5.4581870477071099</v>
      </c>
      <c r="F852">
        <v>3.7146444087497899</v>
      </c>
      <c r="G852">
        <v>196.95540314934499</v>
      </c>
      <c r="H852">
        <v>30.071527048646601</v>
      </c>
      <c r="I852">
        <v>61.584569706001602</v>
      </c>
      <c r="J852">
        <v>58.095910678960202</v>
      </c>
      <c r="K852">
        <v>164966.706654257</v>
      </c>
      <c r="L852">
        <v>752.57519264568305</v>
      </c>
      <c r="M852">
        <v>0.22365357835788899</v>
      </c>
      <c r="N852">
        <v>2.2281992889315799E-2</v>
      </c>
      <c r="O852">
        <v>0.76304016441716205</v>
      </c>
      <c r="P852">
        <v>7.5961539209584206E-2</v>
      </c>
      <c r="Q852">
        <v>0.90642577104844102</v>
      </c>
      <c r="R852">
        <v>0</v>
      </c>
      <c r="S852">
        <v>200</v>
      </c>
      <c r="T852">
        <v>170</v>
      </c>
      <c r="U852">
        <v>354513452.60000002</v>
      </c>
      <c r="V852">
        <v>2149</v>
      </c>
    </row>
    <row r="853" spans="1:22" x14ac:dyDescent="0.25">
      <c r="A853">
        <v>0.96597338839537605</v>
      </c>
      <c r="B853">
        <v>33.994223213804602</v>
      </c>
      <c r="C853">
        <v>34.761980023145803</v>
      </c>
      <c r="D853">
        <v>0</v>
      </c>
      <c r="E853">
        <v>5.4195847383380196</v>
      </c>
      <c r="F853">
        <v>3.68615494552694</v>
      </c>
      <c r="G853">
        <v>197.010341690589</v>
      </c>
      <c r="H853">
        <v>30.044495197938801</v>
      </c>
      <c r="I853">
        <v>62.592301165034101</v>
      </c>
      <c r="J853">
        <v>58.635482487381601</v>
      </c>
      <c r="K853">
        <v>278608.21230253798</v>
      </c>
      <c r="L853">
        <v>749.97946923999905</v>
      </c>
      <c r="M853">
        <v>0.29948103504704199</v>
      </c>
      <c r="N853">
        <v>3.1282779753670699E-2</v>
      </c>
      <c r="O853">
        <v>0.70575574024990795</v>
      </c>
      <c r="P853">
        <v>0.116302797567006</v>
      </c>
      <c r="Q853">
        <v>0.893694451739387</v>
      </c>
      <c r="R853">
        <v>0</v>
      </c>
      <c r="S853">
        <v>200</v>
      </c>
      <c r="T853">
        <v>175</v>
      </c>
      <c r="U853">
        <v>4906569226.8599997</v>
      </c>
      <c r="V853">
        <v>17611</v>
      </c>
    </row>
    <row r="854" spans="1:22" x14ac:dyDescent="0.25">
      <c r="A854">
        <v>0.97428056492201798</v>
      </c>
      <c r="B854">
        <v>26.850986881412599</v>
      </c>
      <c r="C854">
        <v>29.731735434658901</v>
      </c>
      <c r="D854">
        <v>0</v>
      </c>
      <c r="E854">
        <v>5.4636477648493997</v>
      </c>
      <c r="F854">
        <v>3.72045595692465</v>
      </c>
      <c r="G854">
        <v>196.97836564238401</v>
      </c>
      <c r="H854">
        <v>29.9028237967865</v>
      </c>
      <c r="I854">
        <v>60.937632905087099</v>
      </c>
      <c r="J854">
        <v>57.568551539463598</v>
      </c>
      <c r="K854">
        <v>172589.11403180499</v>
      </c>
      <c r="L854">
        <v>753.65578080805994</v>
      </c>
      <c r="M854">
        <v>0.235827430675041</v>
      </c>
      <c r="N854">
        <v>2.05580072645964E-2</v>
      </c>
      <c r="O854">
        <v>0.77638205855990805</v>
      </c>
      <c r="P854">
        <v>7.2959939071434596E-2</v>
      </c>
      <c r="Q854">
        <v>0.90451594895734</v>
      </c>
      <c r="R854">
        <v>0</v>
      </c>
      <c r="S854">
        <v>200</v>
      </c>
      <c r="T854">
        <v>180</v>
      </c>
      <c r="U854">
        <v>184497762.90000001</v>
      </c>
      <c r="V854">
        <v>1069</v>
      </c>
    </row>
    <row r="855" spans="1:22" x14ac:dyDescent="0.25">
      <c r="A855">
        <v>0.99052971558976299</v>
      </c>
      <c r="B855">
        <v>10.7907054087856</v>
      </c>
      <c r="C855">
        <v>52.2859052676191</v>
      </c>
      <c r="D855">
        <v>0</v>
      </c>
      <c r="E855">
        <v>5.6466724038694602</v>
      </c>
      <c r="F855">
        <v>3.86845191363525</v>
      </c>
      <c r="G855">
        <v>202.02017065596399</v>
      </c>
      <c r="H855">
        <v>28.563642714667399</v>
      </c>
      <c r="I855">
        <v>42.012943365114502</v>
      </c>
      <c r="J855">
        <v>19.9282531179045</v>
      </c>
      <c r="K855">
        <v>16409.825719844299</v>
      </c>
      <c r="L855">
        <v>762.99656845529296</v>
      </c>
      <c r="M855">
        <v>7.9240225346529497E-2</v>
      </c>
      <c r="N855">
        <v>1.7866670519345599E-2</v>
      </c>
      <c r="O855">
        <v>0.81266721662188302</v>
      </c>
      <c r="P855">
        <v>1.3099321785525701E-2</v>
      </c>
      <c r="Q855">
        <v>0.62948682347406604</v>
      </c>
      <c r="R855">
        <v>0</v>
      </c>
      <c r="S855">
        <v>205</v>
      </c>
      <c r="T855">
        <v>20</v>
      </c>
      <c r="U855">
        <v>4217325.21</v>
      </c>
      <c r="V855">
        <v>257</v>
      </c>
    </row>
    <row r="856" spans="1:22" x14ac:dyDescent="0.25">
      <c r="A856">
        <v>0.98814336256376001</v>
      </c>
      <c r="B856">
        <v>13.335847650723499</v>
      </c>
      <c r="C856">
        <v>24.392020976957198</v>
      </c>
      <c r="D856">
        <v>0</v>
      </c>
      <c r="E856">
        <v>5.6707364273015699</v>
      </c>
      <c r="F856">
        <v>3.89458865350176</v>
      </c>
      <c r="G856">
        <v>202.071426378963</v>
      </c>
      <c r="H856">
        <v>27.549777904719399</v>
      </c>
      <c r="I856">
        <v>44.313537056518101</v>
      </c>
      <c r="J856">
        <v>33.390536476530102</v>
      </c>
      <c r="K856">
        <v>26057.078769017899</v>
      </c>
      <c r="L856">
        <v>760.74438761884005</v>
      </c>
      <c r="M856">
        <v>6.8008088923646307E-2</v>
      </c>
      <c r="N856">
        <v>1.04907590106228E-2</v>
      </c>
      <c r="O856">
        <v>0.78896442417233004</v>
      </c>
      <c r="P856">
        <v>3.0630303764005801E-2</v>
      </c>
      <c r="Q856">
        <v>0.70372132373646701</v>
      </c>
      <c r="R856">
        <v>0</v>
      </c>
      <c r="S856">
        <v>205</v>
      </c>
      <c r="T856">
        <v>30</v>
      </c>
      <c r="U856">
        <v>18839267.949999999</v>
      </c>
      <c r="V856">
        <v>723</v>
      </c>
    </row>
    <row r="857" spans="1:22" x14ac:dyDescent="0.25">
      <c r="A857">
        <v>0.98619010398233797</v>
      </c>
      <c r="B857">
        <v>15.3693487296563</v>
      </c>
      <c r="C857">
        <v>17.0237102377566</v>
      </c>
      <c r="D857">
        <v>0</v>
      </c>
      <c r="E857">
        <v>5.6292850261324103</v>
      </c>
      <c r="F857">
        <v>3.8489636558479599</v>
      </c>
      <c r="G857">
        <v>202.05359417431399</v>
      </c>
      <c r="H857">
        <v>27.755575818094901</v>
      </c>
      <c r="I857">
        <v>47.915314716348703</v>
      </c>
      <c r="J857">
        <v>40.827895861121597</v>
      </c>
      <c r="K857">
        <v>35576.310634146299</v>
      </c>
      <c r="L857">
        <v>754.86047327570202</v>
      </c>
      <c r="M857">
        <v>0.106548263903118</v>
      </c>
      <c r="N857">
        <v>1.87755136547645E-2</v>
      </c>
      <c r="O857">
        <v>0.80724963706597297</v>
      </c>
      <c r="P857">
        <v>3.0579860658936E-2</v>
      </c>
      <c r="Q857">
        <v>0.72691780545724805</v>
      </c>
      <c r="R857">
        <v>0</v>
      </c>
      <c r="S857">
        <v>205</v>
      </c>
      <c r="T857">
        <v>40</v>
      </c>
      <c r="U857">
        <v>58345149.439999998</v>
      </c>
      <c r="V857">
        <v>1640</v>
      </c>
    </row>
    <row r="858" spans="1:22" x14ac:dyDescent="0.25">
      <c r="A858">
        <v>0.98431862683504501</v>
      </c>
      <c r="B858">
        <v>17.276587216185501</v>
      </c>
      <c r="C858">
        <v>16.438917197801999</v>
      </c>
      <c r="D858">
        <v>0</v>
      </c>
      <c r="E858">
        <v>5.6059811571641003</v>
      </c>
      <c r="F858">
        <v>3.8246754702414401</v>
      </c>
      <c r="G858">
        <v>202.07175912048999</v>
      </c>
      <c r="H858">
        <v>27.8504413878916</v>
      </c>
      <c r="I858">
        <v>50.143234642840703</v>
      </c>
      <c r="J858">
        <v>45.147227311518598</v>
      </c>
      <c r="K858">
        <v>45656.171921249101</v>
      </c>
      <c r="L858">
        <v>753.84517353449405</v>
      </c>
      <c r="M858">
        <v>0.10848514488260599</v>
      </c>
      <c r="N858">
        <v>2.64916071386678E-2</v>
      </c>
      <c r="O858">
        <v>0.78074530095334305</v>
      </c>
      <c r="P858">
        <v>3.28623343681156E-2</v>
      </c>
      <c r="Q858">
        <v>0.75564045140090197</v>
      </c>
      <c r="R858">
        <v>0</v>
      </c>
      <c r="S858">
        <v>205</v>
      </c>
      <c r="T858">
        <v>50</v>
      </c>
      <c r="U858">
        <v>134503082.47999999</v>
      </c>
      <c r="V858">
        <v>2946</v>
      </c>
    </row>
    <row r="859" spans="1:22" x14ac:dyDescent="0.25">
      <c r="A859">
        <v>0.98313180670121603</v>
      </c>
      <c r="B859">
        <v>18.465584588956901</v>
      </c>
      <c r="C859">
        <v>15.615588388499701</v>
      </c>
      <c r="D859">
        <v>0</v>
      </c>
      <c r="E859">
        <v>5.5916870202456401</v>
      </c>
      <c r="F859">
        <v>3.80704491274094</v>
      </c>
      <c r="G859">
        <v>202.03914925289601</v>
      </c>
      <c r="H859">
        <v>27.997063808651198</v>
      </c>
      <c r="I859">
        <v>54.039248523174102</v>
      </c>
      <c r="J859">
        <v>49.511656789823398</v>
      </c>
      <c r="K859">
        <v>55206.817956989202</v>
      </c>
      <c r="L859">
        <v>756.25287450899395</v>
      </c>
      <c r="M859">
        <v>0.123939509670764</v>
      </c>
      <c r="N859">
        <v>2.58258883023142E-2</v>
      </c>
      <c r="O859">
        <v>0.78785889275051901</v>
      </c>
      <c r="P859">
        <v>3.5179672699718001E-2</v>
      </c>
      <c r="Q859">
        <v>0.80790707122704297</v>
      </c>
      <c r="R859">
        <v>0</v>
      </c>
      <c r="S859">
        <v>205</v>
      </c>
      <c r="T859">
        <v>60</v>
      </c>
      <c r="U859">
        <v>210503596.87</v>
      </c>
      <c r="V859">
        <v>3813</v>
      </c>
    </row>
    <row r="860" spans="1:22" x14ac:dyDescent="0.25">
      <c r="A860">
        <v>0.98211225594292195</v>
      </c>
      <c r="B860">
        <v>19.4744743400116</v>
      </c>
      <c r="C860">
        <v>19.4559163210312</v>
      </c>
      <c r="D860">
        <v>0</v>
      </c>
      <c r="E860">
        <v>5.56465190445953</v>
      </c>
      <c r="F860">
        <v>3.7774005234223398</v>
      </c>
      <c r="G860">
        <v>202.06635795330499</v>
      </c>
      <c r="H860">
        <v>27.524132145045701</v>
      </c>
      <c r="I860">
        <v>57.008028176318398</v>
      </c>
      <c r="J860">
        <v>52.684386419292601</v>
      </c>
      <c r="K860">
        <v>65078.1224768713</v>
      </c>
      <c r="L860">
        <v>751.78367924513896</v>
      </c>
      <c r="M860">
        <v>0.14408038413416099</v>
      </c>
      <c r="N860">
        <v>1.7652405770233099E-2</v>
      </c>
      <c r="O860">
        <v>0.80678965142530201</v>
      </c>
      <c r="P860">
        <v>3.6244784667575698E-2</v>
      </c>
      <c r="Q860">
        <v>0.83203788974589399</v>
      </c>
      <c r="R860">
        <v>0</v>
      </c>
      <c r="S860">
        <v>205</v>
      </c>
      <c r="T860">
        <v>70</v>
      </c>
      <c r="U860">
        <v>309511550.5</v>
      </c>
      <c r="V860">
        <v>4756</v>
      </c>
    </row>
    <row r="861" spans="1:22" x14ac:dyDescent="0.25">
      <c r="A861">
        <v>0.98115887054678397</v>
      </c>
      <c r="B861">
        <v>20.4075239622033</v>
      </c>
      <c r="C861">
        <v>18.925875345947901</v>
      </c>
      <c r="D861">
        <v>0</v>
      </c>
      <c r="E861">
        <v>5.5461863350021101</v>
      </c>
      <c r="F861">
        <v>3.7564424997397801</v>
      </c>
      <c r="G861">
        <v>202.078372294861</v>
      </c>
      <c r="H861">
        <v>29.2813068498638</v>
      </c>
      <c r="I861">
        <v>59.222496373644503</v>
      </c>
      <c r="J861">
        <v>55.159731291192301</v>
      </c>
      <c r="K861">
        <v>74798.227676792201</v>
      </c>
      <c r="L861">
        <v>753.16152779608296</v>
      </c>
      <c r="M861">
        <v>0.16073995579684</v>
      </c>
      <c r="N861">
        <v>2.35165403042061E-2</v>
      </c>
      <c r="O861">
        <v>0.80264994741540896</v>
      </c>
      <c r="P861">
        <v>3.2270900076100999E-2</v>
      </c>
      <c r="Q861">
        <v>0.84799231324429203</v>
      </c>
      <c r="R861">
        <v>0</v>
      </c>
      <c r="S861">
        <v>205</v>
      </c>
      <c r="T861">
        <v>80</v>
      </c>
      <c r="U861">
        <v>307794706.88999999</v>
      </c>
      <c r="V861">
        <v>4115</v>
      </c>
    </row>
    <row r="862" spans="1:22" x14ac:dyDescent="0.25">
      <c r="A862">
        <v>0.98025820242389095</v>
      </c>
      <c r="B862">
        <v>21.279866857930301</v>
      </c>
      <c r="C862">
        <v>18.5288930482163</v>
      </c>
      <c r="D862">
        <v>0</v>
      </c>
      <c r="E862">
        <v>5.5330584430726697</v>
      </c>
      <c r="F862">
        <v>3.7359683697084001</v>
      </c>
      <c r="G862">
        <v>202.081573433253</v>
      </c>
      <c r="H862">
        <v>29.640096027684699</v>
      </c>
      <c r="I862">
        <v>62.634915984686202</v>
      </c>
      <c r="J862">
        <v>58.385590967120699</v>
      </c>
      <c r="K862">
        <v>84964.065683275694</v>
      </c>
      <c r="L862">
        <v>753.58081202321898</v>
      </c>
      <c r="M862">
        <v>0.15956975457217801</v>
      </c>
      <c r="N862">
        <v>2.1154150405988802E-2</v>
      </c>
      <c r="O862">
        <v>0.78984157813710199</v>
      </c>
      <c r="P862">
        <v>3.6997313457356802E-2</v>
      </c>
      <c r="Q862">
        <v>0.84475291220933202</v>
      </c>
      <c r="R862">
        <v>0</v>
      </c>
      <c r="S862">
        <v>205</v>
      </c>
      <c r="T862">
        <v>90</v>
      </c>
      <c r="U862">
        <v>344444322.27999997</v>
      </c>
      <c r="V862">
        <v>4054</v>
      </c>
    </row>
    <row r="863" spans="1:22" x14ac:dyDescent="0.25">
      <c r="A863">
        <v>0.979672502829257</v>
      </c>
      <c r="B863">
        <v>21.8424345839015</v>
      </c>
      <c r="C863">
        <v>22.879674374671499</v>
      </c>
      <c r="D863">
        <v>0</v>
      </c>
      <c r="E863">
        <v>5.53501079087743</v>
      </c>
      <c r="F863">
        <v>3.7385005415450099</v>
      </c>
      <c r="G863">
        <v>202.085509324529</v>
      </c>
      <c r="H863">
        <v>30.103496400648901</v>
      </c>
      <c r="I863">
        <v>62.1587309545666</v>
      </c>
      <c r="J863">
        <v>58.3499426976717</v>
      </c>
      <c r="K863">
        <v>94827.925408443596</v>
      </c>
      <c r="L863">
        <v>754.31313517320098</v>
      </c>
      <c r="M863">
        <v>0.18086164921769801</v>
      </c>
      <c r="N863">
        <v>2.40630185209426E-2</v>
      </c>
      <c r="O863">
        <v>0.778005183300295</v>
      </c>
      <c r="P863">
        <v>4.08256623634441E-2</v>
      </c>
      <c r="Q863">
        <v>0.85925942268809496</v>
      </c>
      <c r="R863">
        <v>0</v>
      </c>
      <c r="S863">
        <v>205</v>
      </c>
      <c r="T863">
        <v>100</v>
      </c>
      <c r="U863">
        <v>379596185.41000003</v>
      </c>
      <c r="V863">
        <v>4003</v>
      </c>
    </row>
    <row r="864" spans="1:22" x14ac:dyDescent="0.25">
      <c r="A864">
        <v>0.978997430032854</v>
      </c>
      <c r="B864">
        <v>22.486272678924902</v>
      </c>
      <c r="C864">
        <v>26.380677317142101</v>
      </c>
      <c r="D864">
        <v>0</v>
      </c>
      <c r="E864">
        <v>5.5323340041950804</v>
      </c>
      <c r="F864">
        <v>3.7329401247079299</v>
      </c>
      <c r="G864">
        <v>202.083307302105</v>
      </c>
      <c r="H864">
        <v>30.053996326982801</v>
      </c>
      <c r="I864">
        <v>63.416906142712399</v>
      </c>
      <c r="J864">
        <v>59.4535836886308</v>
      </c>
      <c r="K864">
        <v>104894.73527468801</v>
      </c>
      <c r="L864">
        <v>753.01831375219194</v>
      </c>
      <c r="M864">
        <v>0.23180817147386401</v>
      </c>
      <c r="N864">
        <v>2.9766977596547398E-2</v>
      </c>
      <c r="O864">
        <v>0.770783845056359</v>
      </c>
      <c r="P864">
        <v>4.3760539107415397E-2</v>
      </c>
      <c r="Q864">
        <v>0.87886336955487898</v>
      </c>
      <c r="R864">
        <v>0</v>
      </c>
      <c r="S864">
        <v>205</v>
      </c>
      <c r="T864">
        <v>110</v>
      </c>
      <c r="U864">
        <v>311222679.56</v>
      </c>
      <c r="V864">
        <v>2967</v>
      </c>
    </row>
    <row r="865" spans="1:22" x14ac:dyDescent="0.25">
      <c r="A865">
        <v>0.97843479000477196</v>
      </c>
      <c r="B865">
        <v>23.019161533704199</v>
      </c>
      <c r="C865">
        <v>21.226884579013699</v>
      </c>
      <c r="D865">
        <v>0</v>
      </c>
      <c r="E865">
        <v>5.5198784463933901</v>
      </c>
      <c r="F865">
        <v>3.7220221485320701</v>
      </c>
      <c r="G865">
        <v>202.05631103464</v>
      </c>
      <c r="H865">
        <v>30.225793384301699</v>
      </c>
      <c r="I865">
        <v>64.563390860425201</v>
      </c>
      <c r="J865">
        <v>60.7549996908607</v>
      </c>
      <c r="K865">
        <v>114897.090772134</v>
      </c>
      <c r="L865">
        <v>752.11809341687001</v>
      </c>
      <c r="M865">
        <v>0.22714362830451301</v>
      </c>
      <c r="N865">
        <v>1.7885059403546399E-2</v>
      </c>
      <c r="O865">
        <v>0.78858156112682598</v>
      </c>
      <c r="P865">
        <v>3.6936507645854197E-2</v>
      </c>
      <c r="Q865">
        <v>0.88362279614519001</v>
      </c>
      <c r="R865">
        <v>0</v>
      </c>
      <c r="S865">
        <v>205</v>
      </c>
      <c r="T865">
        <v>120</v>
      </c>
      <c r="U865">
        <v>334810122.50999999</v>
      </c>
      <c r="V865">
        <v>2914</v>
      </c>
    </row>
    <row r="866" spans="1:22" x14ac:dyDescent="0.25">
      <c r="A866">
        <v>0.97774227756803</v>
      </c>
      <c r="B866">
        <v>23.670444418585099</v>
      </c>
      <c r="C866">
        <v>20.815450326039802</v>
      </c>
      <c r="D866">
        <v>0</v>
      </c>
      <c r="E866">
        <v>5.5215184930609196</v>
      </c>
      <c r="F866">
        <v>3.7213912993323999</v>
      </c>
      <c r="G866">
        <v>202.085048493632</v>
      </c>
      <c r="H866">
        <v>30.273458333668898</v>
      </c>
      <c r="I866">
        <v>64.284688356785594</v>
      </c>
      <c r="J866">
        <v>60.472611279194602</v>
      </c>
      <c r="K866">
        <v>125008.612352941</v>
      </c>
      <c r="L866">
        <v>751.46111373951203</v>
      </c>
      <c r="M866">
        <v>0.22612127443708399</v>
      </c>
      <c r="N866">
        <v>2.4603648366984698E-2</v>
      </c>
      <c r="O866">
        <v>0.78677665179173495</v>
      </c>
      <c r="P866">
        <v>4.82812694709756E-2</v>
      </c>
      <c r="Q866">
        <v>0.88325551703924599</v>
      </c>
      <c r="R866">
        <v>0</v>
      </c>
      <c r="S866">
        <v>205</v>
      </c>
      <c r="T866">
        <v>130</v>
      </c>
      <c r="U866">
        <v>314521668.68000001</v>
      </c>
      <c r="V866">
        <v>2516</v>
      </c>
    </row>
    <row r="867" spans="1:22" x14ac:dyDescent="0.25">
      <c r="A867">
        <v>0.97757043228761098</v>
      </c>
      <c r="B867">
        <v>23.831274551299298</v>
      </c>
      <c r="C867">
        <v>22.2762470304205</v>
      </c>
      <c r="D867">
        <v>0</v>
      </c>
      <c r="E867">
        <v>5.5179782326808899</v>
      </c>
      <c r="F867">
        <v>3.7164256443422801</v>
      </c>
      <c r="G867">
        <v>202.118884830441</v>
      </c>
      <c r="H867">
        <v>30.3540446324734</v>
      </c>
      <c r="I867">
        <v>65.1372091387354</v>
      </c>
      <c r="J867">
        <v>61.004467731027702</v>
      </c>
      <c r="K867">
        <v>134925.61439013999</v>
      </c>
      <c r="L867">
        <v>751.51587694867601</v>
      </c>
      <c r="M867">
        <v>0.25198734762287001</v>
      </c>
      <c r="N867">
        <v>1.7071876782439401E-2</v>
      </c>
      <c r="O867">
        <v>0.82500174721415898</v>
      </c>
      <c r="P867">
        <v>5.2496450832322801E-2</v>
      </c>
      <c r="Q867">
        <v>0.89893621807606305</v>
      </c>
      <c r="R867">
        <v>0</v>
      </c>
      <c r="S867">
        <v>205</v>
      </c>
      <c r="T867">
        <v>140</v>
      </c>
      <c r="U867">
        <v>317479970.66000003</v>
      </c>
      <c r="V867">
        <v>2353</v>
      </c>
    </row>
    <row r="868" spans="1:22" x14ac:dyDescent="0.25">
      <c r="A868">
        <v>0.97664915728227897</v>
      </c>
      <c r="B868">
        <v>24.6882124274868</v>
      </c>
      <c r="C868">
        <v>26.468981243923601</v>
      </c>
      <c r="D868">
        <v>0</v>
      </c>
      <c r="E868">
        <v>5.5179361994866003</v>
      </c>
      <c r="F868">
        <v>3.7153243757297099</v>
      </c>
      <c r="G868">
        <v>202.11487249639899</v>
      </c>
      <c r="H868">
        <v>30.167787533760599</v>
      </c>
      <c r="I868">
        <v>64.267984262834105</v>
      </c>
      <c r="J868">
        <v>60.595477219655599</v>
      </c>
      <c r="K868">
        <v>144882.35616634699</v>
      </c>
      <c r="L868">
        <v>751.97100390223602</v>
      </c>
      <c r="M868">
        <v>0.22679292955761499</v>
      </c>
      <c r="N868">
        <v>1.41884129791252E-2</v>
      </c>
      <c r="O868">
        <v>0.78445183143086905</v>
      </c>
      <c r="P868">
        <v>5.4031575326801903E-2</v>
      </c>
      <c r="Q868">
        <v>0.91249066862166495</v>
      </c>
      <c r="R868">
        <v>0</v>
      </c>
      <c r="S868">
        <v>205</v>
      </c>
      <c r="T868">
        <v>150</v>
      </c>
      <c r="U868">
        <v>303093889.10000002</v>
      </c>
      <c r="V868">
        <v>2092</v>
      </c>
    </row>
    <row r="869" spans="1:22" x14ac:dyDescent="0.25">
      <c r="A869">
        <v>0.97616899270464397</v>
      </c>
      <c r="B869">
        <v>25.131332808059</v>
      </c>
      <c r="C869">
        <v>29.517209536462399</v>
      </c>
      <c r="D869">
        <v>0</v>
      </c>
      <c r="E869">
        <v>5.5272793133157698</v>
      </c>
      <c r="F869">
        <v>3.7236577602800298</v>
      </c>
      <c r="G869">
        <v>202.14576245425101</v>
      </c>
      <c r="H869">
        <v>29.960582222149402</v>
      </c>
      <c r="I869">
        <v>64.279136430882502</v>
      </c>
      <c r="J869">
        <v>60.454330595012301</v>
      </c>
      <c r="K869">
        <v>155007.561725512</v>
      </c>
      <c r="L869">
        <v>749.832484527833</v>
      </c>
      <c r="M869">
        <v>0.27519695630644098</v>
      </c>
      <c r="N869">
        <v>3.0688753261685499E-2</v>
      </c>
      <c r="O869">
        <v>0.80090710159876199</v>
      </c>
      <c r="P869">
        <v>6.0029963108010002E-2</v>
      </c>
      <c r="Q869">
        <v>0.91225488486978901</v>
      </c>
      <c r="R869">
        <v>0</v>
      </c>
      <c r="S869">
        <v>205</v>
      </c>
      <c r="T869">
        <v>160</v>
      </c>
      <c r="U869">
        <v>272193278.38999999</v>
      </c>
      <c r="V869">
        <v>1756</v>
      </c>
    </row>
    <row r="870" spans="1:22" x14ac:dyDescent="0.25">
      <c r="A870">
        <v>0.97539197927024801</v>
      </c>
      <c r="B870">
        <v>25.8433401164502</v>
      </c>
      <c r="C870">
        <v>28.8443142246064</v>
      </c>
      <c r="D870">
        <v>0</v>
      </c>
      <c r="E870">
        <v>5.5382177449814503</v>
      </c>
      <c r="F870">
        <v>3.7247542483855098</v>
      </c>
      <c r="G870">
        <v>202.157811338182</v>
      </c>
      <c r="H870">
        <v>30.124582757612298</v>
      </c>
      <c r="I870">
        <v>66.123286707019204</v>
      </c>
      <c r="J870">
        <v>62.292184633570699</v>
      </c>
      <c r="K870">
        <v>165040.58976470499</v>
      </c>
      <c r="L870">
        <v>748.98363725721697</v>
      </c>
      <c r="M870">
        <v>0.26643312006254899</v>
      </c>
      <c r="N870">
        <v>2.20790786593393E-2</v>
      </c>
      <c r="O870">
        <v>0.80857555106441703</v>
      </c>
      <c r="P870">
        <v>5.8910707138980403E-2</v>
      </c>
      <c r="Q870">
        <v>0.92151237233249805</v>
      </c>
      <c r="R870">
        <v>0</v>
      </c>
      <c r="S870">
        <v>205</v>
      </c>
      <c r="T870">
        <v>170</v>
      </c>
      <c r="U870">
        <v>252512102.34</v>
      </c>
      <c r="V870">
        <v>1530</v>
      </c>
    </row>
    <row r="871" spans="1:22" x14ac:dyDescent="0.25">
      <c r="A871">
        <v>0.96654850440358697</v>
      </c>
      <c r="B871">
        <v>33.521097988715198</v>
      </c>
      <c r="C871">
        <v>32.031303774367501</v>
      </c>
      <c r="D871">
        <v>0</v>
      </c>
      <c r="E871">
        <v>5.4872345300466696</v>
      </c>
      <c r="F871">
        <v>3.6909386143779601</v>
      </c>
      <c r="G871">
        <v>202.08642486175</v>
      </c>
      <c r="H871">
        <v>30.0581056745071</v>
      </c>
      <c r="I871">
        <v>67.425479968146405</v>
      </c>
      <c r="J871">
        <v>62.933067613885498</v>
      </c>
      <c r="K871">
        <v>279301.47315863799</v>
      </c>
      <c r="L871">
        <v>747.12945828372904</v>
      </c>
      <c r="M871">
        <v>0.32099692357897103</v>
      </c>
      <c r="N871">
        <v>3.4244651735104902E-2</v>
      </c>
      <c r="O871">
        <v>0.71713837098620303</v>
      </c>
      <c r="P871">
        <v>0.10978549168157201</v>
      </c>
      <c r="Q871">
        <v>0.90111212105489003</v>
      </c>
      <c r="R871">
        <v>0</v>
      </c>
      <c r="S871">
        <v>205</v>
      </c>
      <c r="T871">
        <v>175</v>
      </c>
      <c r="U871">
        <v>3160296168.79</v>
      </c>
      <c r="V871">
        <v>11315</v>
      </c>
    </row>
    <row r="872" spans="1:22" x14ac:dyDescent="0.25">
      <c r="A872">
        <v>0.97526019544585896</v>
      </c>
      <c r="B872">
        <v>25.9634812251707</v>
      </c>
      <c r="C872">
        <v>24.895140770856699</v>
      </c>
      <c r="D872">
        <v>0</v>
      </c>
      <c r="E872">
        <v>5.53293003623837</v>
      </c>
      <c r="F872">
        <v>3.72829113915133</v>
      </c>
      <c r="G872">
        <v>202.09790044565699</v>
      </c>
      <c r="H872">
        <v>30.257078668165999</v>
      </c>
      <c r="I872">
        <v>64.370553181372202</v>
      </c>
      <c r="J872">
        <v>61.074524787074097</v>
      </c>
      <c r="K872">
        <v>172539.26057534199</v>
      </c>
      <c r="L872">
        <v>752.26037589112298</v>
      </c>
      <c r="M872">
        <v>0.28899063748065801</v>
      </c>
      <c r="N872">
        <v>1.6524863401067701E-2</v>
      </c>
      <c r="O872">
        <v>0.82344197452335</v>
      </c>
      <c r="P872">
        <v>7.9385278621798103E-2</v>
      </c>
      <c r="Q872">
        <v>0.92330062442706196</v>
      </c>
      <c r="R872">
        <v>0</v>
      </c>
      <c r="S872">
        <v>205</v>
      </c>
      <c r="T872">
        <v>180</v>
      </c>
      <c r="U872">
        <v>125953660.22</v>
      </c>
      <c r="V872">
        <v>730</v>
      </c>
    </row>
    <row r="873" spans="1:22" x14ac:dyDescent="0.25">
      <c r="A873">
        <v>0.99058013652367005</v>
      </c>
      <c r="B873">
        <v>10.7361979017448</v>
      </c>
      <c r="C873">
        <v>55.176725042208197</v>
      </c>
      <c r="D873">
        <v>0</v>
      </c>
      <c r="E873">
        <v>5.5736241639100896</v>
      </c>
      <c r="F873">
        <v>3.7857675321748698</v>
      </c>
      <c r="G873">
        <v>207.88817731115299</v>
      </c>
      <c r="H873">
        <v>29.403892241224899</v>
      </c>
      <c r="I873">
        <v>41.186334808401298</v>
      </c>
      <c r="J873">
        <v>17.6622166867229</v>
      </c>
      <c r="K873">
        <v>15976.789444444399</v>
      </c>
      <c r="L873">
        <v>773.63491400713997</v>
      </c>
      <c r="M873">
        <v>5.9766937600208299E-2</v>
      </c>
      <c r="N873">
        <v>2.55550786677659E-2</v>
      </c>
      <c r="O873">
        <v>0.78075232122320704</v>
      </c>
      <c r="P873">
        <v>2.6813466660542001E-2</v>
      </c>
      <c r="Q873">
        <v>0.64928564021165702</v>
      </c>
      <c r="R873">
        <v>0</v>
      </c>
      <c r="S873">
        <v>210</v>
      </c>
      <c r="T873">
        <v>20</v>
      </c>
      <c r="U873">
        <v>4313733.1500000004</v>
      </c>
      <c r="V873">
        <v>270</v>
      </c>
    </row>
    <row r="874" spans="1:22" x14ac:dyDescent="0.25">
      <c r="A874">
        <v>0.98805153202734797</v>
      </c>
      <c r="B874">
        <v>13.4324451614293</v>
      </c>
      <c r="C874">
        <v>26.906684309633899</v>
      </c>
      <c r="D874">
        <v>0</v>
      </c>
      <c r="E874">
        <v>5.5912329842753996</v>
      </c>
      <c r="F874">
        <v>3.7920531714925798</v>
      </c>
      <c r="G874">
        <v>207.73184931587801</v>
      </c>
      <c r="H874">
        <v>28.693772810138999</v>
      </c>
      <c r="I874">
        <v>40.602675556111997</v>
      </c>
      <c r="J874">
        <v>29.369461567444802</v>
      </c>
      <c r="K874">
        <v>26220.298837209299</v>
      </c>
      <c r="L874">
        <v>764.28105025156401</v>
      </c>
      <c r="M874">
        <v>7.0838330497270896E-2</v>
      </c>
      <c r="N874">
        <v>7.2552633972516496E-3</v>
      </c>
      <c r="O874">
        <v>0.81265027301987802</v>
      </c>
      <c r="P874">
        <v>3.8923472192700599E-2</v>
      </c>
      <c r="Q874">
        <v>0.74903781718557505</v>
      </c>
      <c r="R874">
        <v>0</v>
      </c>
      <c r="S874">
        <v>210</v>
      </c>
      <c r="T874">
        <v>30</v>
      </c>
      <c r="U874">
        <v>18039565.600000001</v>
      </c>
      <c r="V874">
        <v>688</v>
      </c>
    </row>
    <row r="875" spans="1:22" x14ac:dyDescent="0.25">
      <c r="A875">
        <v>0.98614270565135898</v>
      </c>
      <c r="B875">
        <v>15.418146113537301</v>
      </c>
      <c r="C875">
        <v>19.449283880783099</v>
      </c>
      <c r="D875">
        <v>0</v>
      </c>
      <c r="E875">
        <v>5.5865040366042598</v>
      </c>
      <c r="F875">
        <v>3.7780187904728999</v>
      </c>
      <c r="G875">
        <v>207.65263448584199</v>
      </c>
      <c r="H875">
        <v>28.372518184469101</v>
      </c>
      <c r="I875">
        <v>46.0530625448759</v>
      </c>
      <c r="J875">
        <v>39.033339880921602</v>
      </c>
      <c r="K875">
        <v>35713.074549019599</v>
      </c>
      <c r="L875">
        <v>760.429314020677</v>
      </c>
      <c r="M875">
        <v>9.9889522967159E-2</v>
      </c>
      <c r="N875">
        <v>1.9874347821418802E-2</v>
      </c>
      <c r="O875">
        <v>0.81105747565210395</v>
      </c>
      <c r="P875">
        <v>2.09103895445511E-2</v>
      </c>
      <c r="Q875">
        <v>0.76902517812188198</v>
      </c>
      <c r="R875">
        <v>0</v>
      </c>
      <c r="S875">
        <v>210</v>
      </c>
      <c r="T875">
        <v>40</v>
      </c>
      <c r="U875">
        <v>54641004.060000002</v>
      </c>
      <c r="V875">
        <v>1530</v>
      </c>
    </row>
    <row r="876" spans="1:22" x14ac:dyDescent="0.25">
      <c r="A876">
        <v>0.98474587085916998</v>
      </c>
      <c r="B876">
        <v>16.844683414802802</v>
      </c>
      <c r="C876">
        <v>18.9394416727452</v>
      </c>
      <c r="D876">
        <v>0</v>
      </c>
      <c r="E876">
        <v>5.5773697529774298</v>
      </c>
      <c r="F876">
        <v>3.7712839169708499</v>
      </c>
      <c r="G876">
        <v>207.73286924884701</v>
      </c>
      <c r="H876">
        <v>28.403092157956301</v>
      </c>
      <c r="I876">
        <v>47.860460020745798</v>
      </c>
      <c r="J876">
        <v>42.565513296620402</v>
      </c>
      <c r="K876">
        <v>45639.042362376902</v>
      </c>
      <c r="L876">
        <v>763.18101507957897</v>
      </c>
      <c r="M876">
        <v>0.121361726215231</v>
      </c>
      <c r="N876">
        <v>2.0998301455559601E-2</v>
      </c>
      <c r="O876">
        <v>0.82829538567552097</v>
      </c>
      <c r="P876">
        <v>3.0629150167693599E-2</v>
      </c>
      <c r="Q876">
        <v>0.81243272332663496</v>
      </c>
      <c r="R876">
        <v>0</v>
      </c>
      <c r="S876">
        <v>210</v>
      </c>
      <c r="T876">
        <v>50</v>
      </c>
      <c r="U876">
        <v>125187893.2</v>
      </c>
      <c r="V876">
        <v>2743</v>
      </c>
    </row>
    <row r="877" spans="1:22" x14ac:dyDescent="0.25">
      <c r="A877">
        <v>0.98367525272908796</v>
      </c>
      <c r="B877">
        <v>17.923099677784201</v>
      </c>
      <c r="C877">
        <v>19.3821696509929</v>
      </c>
      <c r="D877">
        <v>0</v>
      </c>
      <c r="E877">
        <v>5.5660987988731199</v>
      </c>
      <c r="F877">
        <v>3.76044842355775</v>
      </c>
      <c r="G877">
        <v>207.736308009677</v>
      </c>
      <c r="H877">
        <v>27.9311934632745</v>
      </c>
      <c r="I877">
        <v>50.477553309952199</v>
      </c>
      <c r="J877">
        <v>45.326215347031699</v>
      </c>
      <c r="K877">
        <v>55339.350977854403</v>
      </c>
      <c r="L877">
        <v>761.55691055279999</v>
      </c>
      <c r="M877">
        <v>0.13971507756235499</v>
      </c>
      <c r="N877">
        <v>1.69115376465938E-2</v>
      </c>
      <c r="O877">
        <v>0.84718677393584796</v>
      </c>
      <c r="P877">
        <v>3.4948953349984498E-2</v>
      </c>
      <c r="Q877">
        <v>0.86669535655847496</v>
      </c>
      <c r="R877">
        <v>0</v>
      </c>
      <c r="S877">
        <v>210</v>
      </c>
      <c r="T877">
        <v>60</v>
      </c>
      <c r="U877">
        <v>192414923.34999999</v>
      </c>
      <c r="V877">
        <v>3477</v>
      </c>
    </row>
    <row r="878" spans="1:22" x14ac:dyDescent="0.25">
      <c r="A878">
        <v>0.98277275717954304</v>
      </c>
      <c r="B878">
        <v>18.822193878101501</v>
      </c>
      <c r="C878">
        <v>15.7630966339925</v>
      </c>
      <c r="D878">
        <v>0</v>
      </c>
      <c r="E878">
        <v>5.5584215941787001</v>
      </c>
      <c r="F878">
        <v>3.7525531811875101</v>
      </c>
      <c r="G878">
        <v>207.70891295762701</v>
      </c>
      <c r="H878">
        <v>27.965991432800401</v>
      </c>
      <c r="I878">
        <v>53.181135388464803</v>
      </c>
      <c r="J878">
        <v>48.705464563532502</v>
      </c>
      <c r="K878">
        <v>65041.439720984701</v>
      </c>
      <c r="L878">
        <v>759.22965361754996</v>
      </c>
      <c r="M878">
        <v>0.16426392434543399</v>
      </c>
      <c r="N878">
        <v>1.3045023238324099E-2</v>
      </c>
      <c r="O878">
        <v>0.84805823515128598</v>
      </c>
      <c r="P878">
        <v>3.76203503070155E-2</v>
      </c>
      <c r="Q878">
        <v>0.88515907069322897</v>
      </c>
      <c r="R878">
        <v>0</v>
      </c>
      <c r="S878">
        <v>210</v>
      </c>
      <c r="T878">
        <v>70</v>
      </c>
      <c r="U878">
        <v>277401740.41000003</v>
      </c>
      <c r="V878">
        <v>4265</v>
      </c>
    </row>
    <row r="879" spans="1:22" x14ac:dyDescent="0.25">
      <c r="A879">
        <v>0.98171992809396202</v>
      </c>
      <c r="B879">
        <v>19.859641146842598</v>
      </c>
      <c r="C879">
        <v>20.736310077852298</v>
      </c>
      <c r="D879">
        <v>0</v>
      </c>
      <c r="E879">
        <v>5.5415736740572399</v>
      </c>
      <c r="F879">
        <v>3.7326188243659</v>
      </c>
      <c r="G879">
        <v>207.782821693843</v>
      </c>
      <c r="H879">
        <v>29.833143424169599</v>
      </c>
      <c r="I879">
        <v>55.188172882756199</v>
      </c>
      <c r="J879">
        <v>50.969009109017001</v>
      </c>
      <c r="K879">
        <v>74824.616495995404</v>
      </c>
      <c r="L879">
        <v>760.44609940830196</v>
      </c>
      <c r="M879">
        <v>0.155443550235947</v>
      </c>
      <c r="N879">
        <v>2.2848448070668999E-2</v>
      </c>
      <c r="O879">
        <v>0.82009697501117096</v>
      </c>
      <c r="P879">
        <v>3.7789273580431999E-2</v>
      </c>
      <c r="Q879">
        <v>0.87386305970383904</v>
      </c>
      <c r="R879">
        <v>0</v>
      </c>
      <c r="S879">
        <v>210</v>
      </c>
      <c r="T879">
        <v>80</v>
      </c>
      <c r="U879">
        <v>261586859.27000001</v>
      </c>
      <c r="V879">
        <v>3496</v>
      </c>
    </row>
    <row r="880" spans="1:22" x14ac:dyDescent="0.25">
      <c r="A880">
        <v>0.980916862234267</v>
      </c>
      <c r="B880">
        <v>20.6427877736479</v>
      </c>
      <c r="C880">
        <v>22.287232623331501</v>
      </c>
      <c r="D880">
        <v>0</v>
      </c>
      <c r="E880">
        <v>5.5516434102684604</v>
      </c>
      <c r="F880">
        <v>3.7309175227070699</v>
      </c>
      <c r="G880">
        <v>207.70918519795401</v>
      </c>
      <c r="H880">
        <v>30.3272274472871</v>
      </c>
      <c r="I880">
        <v>57.240309496667699</v>
      </c>
      <c r="J880">
        <v>53.134363663460803</v>
      </c>
      <c r="K880">
        <v>84866.7986063727</v>
      </c>
      <c r="L880">
        <v>756.23137226501399</v>
      </c>
      <c r="M880">
        <v>0.17592744955030601</v>
      </c>
      <c r="N880">
        <v>1.67103066429297E-2</v>
      </c>
      <c r="O880">
        <v>0.81921480095681998</v>
      </c>
      <c r="P880">
        <v>4.0740555455647601E-2</v>
      </c>
      <c r="Q880">
        <v>0.90614326609370499</v>
      </c>
      <c r="R880">
        <v>0</v>
      </c>
      <c r="S880">
        <v>210</v>
      </c>
      <c r="T880">
        <v>90</v>
      </c>
      <c r="U880">
        <v>263681143.27000001</v>
      </c>
      <c r="V880">
        <v>3107</v>
      </c>
    </row>
    <row r="881" spans="1:22" x14ac:dyDescent="0.25">
      <c r="A881">
        <v>0.98045816646491402</v>
      </c>
      <c r="B881">
        <v>21.086951945090199</v>
      </c>
      <c r="C881">
        <v>22.2574685305635</v>
      </c>
      <c r="D881">
        <v>0</v>
      </c>
      <c r="E881">
        <v>5.5513845692222299</v>
      </c>
      <c r="F881">
        <v>3.7246353398727101</v>
      </c>
      <c r="G881">
        <v>207.71395911689899</v>
      </c>
      <c r="H881">
        <v>30.449046576697899</v>
      </c>
      <c r="I881">
        <v>57.358698339233499</v>
      </c>
      <c r="J881">
        <v>53.646298490087098</v>
      </c>
      <c r="K881">
        <v>94776.830268087797</v>
      </c>
      <c r="L881">
        <v>758.21688901488005</v>
      </c>
      <c r="M881">
        <v>0.19740530363588199</v>
      </c>
      <c r="N881">
        <v>1.68103602641284E-2</v>
      </c>
      <c r="O881">
        <v>0.82379767255184999</v>
      </c>
      <c r="P881">
        <v>4.7960851245527097E-2</v>
      </c>
      <c r="Q881">
        <v>0.90044696383544998</v>
      </c>
      <c r="R881">
        <v>0</v>
      </c>
      <c r="S881">
        <v>210</v>
      </c>
      <c r="T881">
        <v>100</v>
      </c>
      <c r="U881">
        <v>293429066.50999999</v>
      </c>
      <c r="V881">
        <v>3096</v>
      </c>
    </row>
    <row r="882" spans="1:22" x14ac:dyDescent="0.25">
      <c r="A882">
        <v>0.97978954255641804</v>
      </c>
      <c r="B882">
        <v>21.7303127906935</v>
      </c>
      <c r="C882">
        <v>22.323085486990799</v>
      </c>
      <c r="D882">
        <v>0</v>
      </c>
      <c r="E882">
        <v>5.5553602912529998</v>
      </c>
      <c r="F882">
        <v>3.7217195451165699</v>
      </c>
      <c r="G882">
        <v>207.74031866740901</v>
      </c>
      <c r="H882">
        <v>30.5986427584563</v>
      </c>
      <c r="I882">
        <v>58.765622543137198</v>
      </c>
      <c r="J882">
        <v>55.0662538361521</v>
      </c>
      <c r="K882">
        <v>104914.20222666601</v>
      </c>
      <c r="L882">
        <v>755.19528830390902</v>
      </c>
      <c r="M882">
        <v>0.23889028314209601</v>
      </c>
      <c r="N882">
        <v>1.8614065151411601E-2</v>
      </c>
      <c r="O882">
        <v>0.82549395539625103</v>
      </c>
      <c r="P882">
        <v>5.8195352767377799E-2</v>
      </c>
      <c r="Q882">
        <v>0.92927813366357803</v>
      </c>
      <c r="R882">
        <v>0</v>
      </c>
      <c r="S882">
        <v>210</v>
      </c>
      <c r="T882">
        <v>110</v>
      </c>
      <c r="U882">
        <v>236056955.00999999</v>
      </c>
      <c r="V882">
        <v>2250</v>
      </c>
    </row>
    <row r="883" spans="1:22" x14ac:dyDescent="0.25">
      <c r="A883">
        <v>0.97923805764540905</v>
      </c>
      <c r="B883">
        <v>22.257338329220801</v>
      </c>
      <c r="C883">
        <v>27.631958760593001</v>
      </c>
      <c r="D883">
        <v>0</v>
      </c>
      <c r="E883">
        <v>5.5562238954457097</v>
      </c>
      <c r="F883">
        <v>3.7209111186039601</v>
      </c>
      <c r="G883">
        <v>207.707656100408</v>
      </c>
      <c r="H883">
        <v>30.814218693932599</v>
      </c>
      <c r="I883">
        <v>59.731214352754399</v>
      </c>
      <c r="J883">
        <v>55.921858484045103</v>
      </c>
      <c r="K883">
        <v>114784.36331521699</v>
      </c>
      <c r="L883">
        <v>753.13662993995001</v>
      </c>
      <c r="M883">
        <v>0.26155036842759499</v>
      </c>
      <c r="N883">
        <v>1.4910632563382599E-2</v>
      </c>
      <c r="O883">
        <v>0.83170942186959596</v>
      </c>
      <c r="P883">
        <v>5.26545317033782E-2</v>
      </c>
      <c r="Q883">
        <v>0.91403855780461296</v>
      </c>
      <c r="R883">
        <v>0</v>
      </c>
      <c r="S883">
        <v>210</v>
      </c>
      <c r="T883">
        <v>120</v>
      </c>
      <c r="U883">
        <v>232323551.34999999</v>
      </c>
      <c r="V883">
        <v>2024</v>
      </c>
    </row>
    <row r="884" spans="1:22" x14ac:dyDescent="0.25">
      <c r="A884">
        <v>0.97875118837536101</v>
      </c>
      <c r="B884">
        <v>22.7199083405431</v>
      </c>
      <c r="C884">
        <v>27.192236803240199</v>
      </c>
      <c r="D884">
        <v>0</v>
      </c>
      <c r="E884">
        <v>5.5498368115133196</v>
      </c>
      <c r="F884">
        <v>3.71830853733531</v>
      </c>
      <c r="G884">
        <v>207.69547151125099</v>
      </c>
      <c r="H884">
        <v>30.708826468951099</v>
      </c>
      <c r="I884">
        <v>59.584117059770499</v>
      </c>
      <c r="J884">
        <v>55.910822677162301</v>
      </c>
      <c r="K884">
        <v>124840.304868721</v>
      </c>
      <c r="L884">
        <v>754.67626844367499</v>
      </c>
      <c r="M884">
        <v>0.27075413123362202</v>
      </c>
      <c r="N884">
        <v>1.42080735077963E-2</v>
      </c>
      <c r="O884">
        <v>0.83667393143293201</v>
      </c>
      <c r="P884">
        <v>7.2607047881551007E-2</v>
      </c>
      <c r="Q884">
        <v>0.92672604947033199</v>
      </c>
      <c r="R884">
        <v>0</v>
      </c>
      <c r="S884">
        <v>210</v>
      </c>
      <c r="T884">
        <v>130</v>
      </c>
      <c r="U884">
        <v>218720214.13</v>
      </c>
      <c r="V884">
        <v>1752</v>
      </c>
    </row>
    <row r="885" spans="1:22" x14ac:dyDescent="0.25">
      <c r="A885">
        <v>0.97846729921732201</v>
      </c>
      <c r="B885">
        <v>22.988462987299201</v>
      </c>
      <c r="C885">
        <v>31.656963919252298</v>
      </c>
      <c r="D885">
        <v>0</v>
      </c>
      <c r="E885">
        <v>5.5453620960666896</v>
      </c>
      <c r="F885">
        <v>3.7098134904855602</v>
      </c>
      <c r="G885">
        <v>207.68323979015099</v>
      </c>
      <c r="H885">
        <v>30.921312586736299</v>
      </c>
      <c r="I885">
        <v>59.657619125766999</v>
      </c>
      <c r="J885">
        <v>55.956607998841001</v>
      </c>
      <c r="K885">
        <v>134937.22390476099</v>
      </c>
      <c r="L885">
        <v>752.62032049003903</v>
      </c>
      <c r="M885">
        <v>0.26723436682888602</v>
      </c>
      <c r="N885">
        <v>1.7002270265165102E-2</v>
      </c>
      <c r="O885">
        <v>0.854247577480992</v>
      </c>
      <c r="P885">
        <v>5.5216616209776401E-2</v>
      </c>
      <c r="Q885">
        <v>0.94148289156416598</v>
      </c>
      <c r="R885">
        <v>0</v>
      </c>
      <c r="S885">
        <v>210</v>
      </c>
      <c r="T885">
        <v>140</v>
      </c>
      <c r="U885">
        <v>198357719.13999999</v>
      </c>
      <c r="V885">
        <v>1470</v>
      </c>
    </row>
    <row r="886" spans="1:22" x14ac:dyDescent="0.25">
      <c r="A886">
        <v>0.97762759627417295</v>
      </c>
      <c r="B886">
        <v>23.777809244129401</v>
      </c>
      <c r="C886">
        <v>20.9427356037314</v>
      </c>
      <c r="D886">
        <v>0</v>
      </c>
      <c r="E886">
        <v>5.5437643409092301</v>
      </c>
      <c r="F886">
        <v>3.7054040382248901</v>
      </c>
      <c r="G886">
        <v>207.686363491572</v>
      </c>
      <c r="H886">
        <v>30.745888855941399</v>
      </c>
      <c r="I886">
        <v>59.259084433507297</v>
      </c>
      <c r="J886">
        <v>55.791137065159504</v>
      </c>
      <c r="K886">
        <v>144806.28370508901</v>
      </c>
      <c r="L886">
        <v>751.71287569782896</v>
      </c>
      <c r="M886">
        <v>0.24966658865365701</v>
      </c>
      <c r="N886">
        <v>1.04716287919437E-2</v>
      </c>
      <c r="O886">
        <v>0.84214880676579795</v>
      </c>
      <c r="P886">
        <v>5.7879227502257602E-2</v>
      </c>
      <c r="Q886">
        <v>0.94893699504715601</v>
      </c>
      <c r="R886">
        <v>0</v>
      </c>
      <c r="S886">
        <v>210</v>
      </c>
      <c r="T886">
        <v>150</v>
      </c>
      <c r="U886">
        <v>193461195.03</v>
      </c>
      <c r="V886">
        <v>1336</v>
      </c>
    </row>
    <row r="887" spans="1:22" x14ac:dyDescent="0.25">
      <c r="A887">
        <v>0.97731819543265097</v>
      </c>
      <c r="B887">
        <v>24.066780667779</v>
      </c>
      <c r="C887">
        <v>25.974010211896001</v>
      </c>
      <c r="D887">
        <v>0</v>
      </c>
      <c r="E887">
        <v>5.5432816248866299</v>
      </c>
      <c r="F887">
        <v>3.7128091583125098</v>
      </c>
      <c r="G887">
        <v>207.66458920617501</v>
      </c>
      <c r="H887">
        <v>30.687356911238599</v>
      </c>
      <c r="I887">
        <v>59.7870861589358</v>
      </c>
      <c r="J887">
        <v>56.205709068677898</v>
      </c>
      <c r="K887">
        <v>154951.30740989099</v>
      </c>
      <c r="L887">
        <v>752.46172464632195</v>
      </c>
      <c r="M887">
        <v>0.32308657671494401</v>
      </c>
      <c r="N887">
        <v>1.01016155827035E-2</v>
      </c>
      <c r="O887">
        <v>0.84671378841151002</v>
      </c>
      <c r="P887">
        <v>6.3164670211261306E-2</v>
      </c>
      <c r="Q887">
        <v>0.93873937416822595</v>
      </c>
      <c r="R887">
        <v>0</v>
      </c>
      <c r="S887">
        <v>210</v>
      </c>
      <c r="T887">
        <v>160</v>
      </c>
      <c r="U887">
        <v>184856909.74000001</v>
      </c>
      <c r="V887">
        <v>1193</v>
      </c>
    </row>
    <row r="888" spans="1:22" x14ac:dyDescent="0.25">
      <c r="A888">
        <v>0.97635175995642398</v>
      </c>
      <c r="B888">
        <v>24.962948355638201</v>
      </c>
      <c r="C888">
        <v>33.482649858314801</v>
      </c>
      <c r="D888">
        <v>0</v>
      </c>
      <c r="E888">
        <v>5.57839301822907</v>
      </c>
      <c r="F888">
        <v>3.7241053068769299</v>
      </c>
      <c r="G888">
        <v>207.61816649196999</v>
      </c>
      <c r="H888">
        <v>30.755334275478798</v>
      </c>
      <c r="I888">
        <v>62.3148557054988</v>
      </c>
      <c r="J888">
        <v>58.931600160331598</v>
      </c>
      <c r="K888">
        <v>164793.181756373</v>
      </c>
      <c r="L888">
        <v>749.58905026958701</v>
      </c>
      <c r="M888">
        <v>0.29058764498876</v>
      </c>
      <c r="N888">
        <v>1.69033539438035E-2</v>
      </c>
      <c r="O888">
        <v>0.84411665017117998</v>
      </c>
      <c r="P888">
        <v>6.3979307357808907E-2</v>
      </c>
      <c r="Q888">
        <v>0.96223161529597701</v>
      </c>
      <c r="R888">
        <v>0</v>
      </c>
      <c r="S888">
        <v>210</v>
      </c>
      <c r="T888">
        <v>170</v>
      </c>
      <c r="U888">
        <v>174515979.47999999</v>
      </c>
      <c r="V888">
        <v>1059</v>
      </c>
    </row>
    <row r="889" spans="1:22" x14ac:dyDescent="0.25">
      <c r="A889">
        <v>0.96772683712292396</v>
      </c>
      <c r="B889">
        <v>32.542006140005903</v>
      </c>
      <c r="C889">
        <v>33.664080429840801</v>
      </c>
      <c r="D889">
        <v>0</v>
      </c>
      <c r="E889">
        <v>5.5255928591372498</v>
      </c>
      <c r="F889">
        <v>3.6923832283887301</v>
      </c>
      <c r="G889">
        <v>207.63753121846901</v>
      </c>
      <c r="H889">
        <v>30.279951352250599</v>
      </c>
      <c r="I889">
        <v>61.7485025187611</v>
      </c>
      <c r="J889">
        <v>57.611277706863298</v>
      </c>
      <c r="K889">
        <v>276843.451805925</v>
      </c>
      <c r="L889">
        <v>745.48084840598995</v>
      </c>
      <c r="M889">
        <v>0.332922619604408</v>
      </c>
      <c r="N889">
        <v>2.96946712920763E-2</v>
      </c>
      <c r="O889">
        <v>0.73561368723162801</v>
      </c>
      <c r="P889">
        <v>0.135084366226323</v>
      </c>
      <c r="Q889">
        <v>0.92302449552108801</v>
      </c>
      <c r="R889">
        <v>0</v>
      </c>
      <c r="S889">
        <v>210</v>
      </c>
      <c r="T889">
        <v>175</v>
      </c>
      <c r="U889">
        <v>1868693299.6900001</v>
      </c>
      <c r="V889">
        <v>6750</v>
      </c>
    </row>
    <row r="890" spans="1:22" x14ac:dyDescent="0.25">
      <c r="A890">
        <v>0.975988671809497</v>
      </c>
      <c r="B890">
        <v>25.297123906359701</v>
      </c>
      <c r="C890">
        <v>24.141350480859799</v>
      </c>
      <c r="D890">
        <v>0</v>
      </c>
      <c r="E890">
        <v>5.5585111602899797</v>
      </c>
      <c r="F890">
        <v>3.7260532982266099</v>
      </c>
      <c r="G890">
        <v>207.701080931598</v>
      </c>
      <c r="H890">
        <v>30.7271625040221</v>
      </c>
      <c r="I890">
        <v>59.251024829926401</v>
      </c>
      <c r="J890">
        <v>56.041081405317001</v>
      </c>
      <c r="K890">
        <v>172604.13273869301</v>
      </c>
      <c r="L890">
        <v>754.54425872041099</v>
      </c>
      <c r="M890">
        <v>0.30375448178778702</v>
      </c>
      <c r="N890">
        <v>1.26217905765823E-2</v>
      </c>
      <c r="O890">
        <v>0.82923016032298502</v>
      </c>
      <c r="P890">
        <v>0.102826705333595</v>
      </c>
      <c r="Q890">
        <v>0.942284782716025</v>
      </c>
      <c r="R890">
        <v>0</v>
      </c>
      <c r="S890">
        <v>210</v>
      </c>
      <c r="T890">
        <v>180</v>
      </c>
      <c r="U890">
        <v>68696444.829999998</v>
      </c>
      <c r="V890">
        <v>398</v>
      </c>
    </row>
    <row r="891" spans="1:22" x14ac:dyDescent="0.25">
      <c r="A891">
        <v>0.99056102004365498</v>
      </c>
      <c r="B891">
        <v>10.756867348083601</v>
      </c>
      <c r="C891">
        <v>30.624082838776399</v>
      </c>
      <c r="D891">
        <v>0</v>
      </c>
      <c r="E891">
        <v>5.7816314629685301</v>
      </c>
      <c r="F891">
        <v>3.90412292629517</v>
      </c>
      <c r="G891">
        <v>212.71115829173701</v>
      </c>
      <c r="H891">
        <v>27.950350676492501</v>
      </c>
      <c r="I891">
        <v>36.083567412680999</v>
      </c>
      <c r="J891">
        <v>21.7702433066843</v>
      </c>
      <c r="K891">
        <v>16318.540571428501</v>
      </c>
      <c r="L891">
        <v>765.58395312206801</v>
      </c>
      <c r="M891">
        <v>0.10071517775083901</v>
      </c>
      <c r="N891">
        <v>6.2614974392317798E-3</v>
      </c>
      <c r="O891">
        <v>0.89658227402408397</v>
      </c>
      <c r="P891">
        <v>1.50982076618476E-2</v>
      </c>
      <c r="Q891">
        <v>0.76945820452571201</v>
      </c>
      <c r="R891">
        <v>0</v>
      </c>
      <c r="S891">
        <v>215</v>
      </c>
      <c r="T891">
        <v>20</v>
      </c>
      <c r="U891">
        <v>2284595.6800000002</v>
      </c>
      <c r="V891">
        <v>140</v>
      </c>
    </row>
    <row r="892" spans="1:22" x14ac:dyDescent="0.25">
      <c r="A892">
        <v>0.98815692652651499</v>
      </c>
      <c r="B892">
        <v>13.321571203026201</v>
      </c>
      <c r="C892">
        <v>20.741177680689098</v>
      </c>
      <c r="D892">
        <v>0</v>
      </c>
      <c r="E892">
        <v>5.7629023382077396</v>
      </c>
      <c r="F892">
        <v>3.8799488986827901</v>
      </c>
      <c r="G892">
        <v>212.86496975122</v>
      </c>
      <c r="H892">
        <v>28.068228505863001</v>
      </c>
      <c r="I892">
        <v>44.2905749835463</v>
      </c>
      <c r="J892">
        <v>35.007579553095503</v>
      </c>
      <c r="K892">
        <v>25871.378918918901</v>
      </c>
      <c r="L892">
        <v>760.46060605889602</v>
      </c>
      <c r="M892">
        <v>0.11641570498286601</v>
      </c>
      <c r="N892">
        <v>4.6668193440883897E-3</v>
      </c>
      <c r="O892">
        <v>0.819344192864918</v>
      </c>
      <c r="P892">
        <v>4.7402962317682498E-2</v>
      </c>
      <c r="Q892">
        <v>0.74740251842833505</v>
      </c>
      <c r="R892">
        <v>0</v>
      </c>
      <c r="S892">
        <v>215</v>
      </c>
      <c r="T892">
        <v>30</v>
      </c>
      <c r="U892">
        <v>10529651.220000001</v>
      </c>
      <c r="V892">
        <v>407</v>
      </c>
    </row>
    <row r="893" spans="1:22" x14ac:dyDescent="0.25">
      <c r="A893">
        <v>0.98615953449675997</v>
      </c>
      <c r="B893">
        <v>15.400823486178</v>
      </c>
      <c r="C893">
        <v>13.6290230295419</v>
      </c>
      <c r="D893">
        <v>0</v>
      </c>
      <c r="E893">
        <v>5.7388354932667998</v>
      </c>
      <c r="F893">
        <v>3.8419704025366501</v>
      </c>
      <c r="G893">
        <v>212.88744086249</v>
      </c>
      <c r="H893">
        <v>28.2765172230304</v>
      </c>
      <c r="I893">
        <v>47.986193461052203</v>
      </c>
      <c r="J893">
        <v>42.186452685755</v>
      </c>
      <c r="K893">
        <v>35445.041860465099</v>
      </c>
      <c r="L893">
        <v>755.00094163188396</v>
      </c>
      <c r="M893">
        <v>0.120152930020932</v>
      </c>
      <c r="N893">
        <v>1.27105990867629E-2</v>
      </c>
      <c r="O893">
        <v>0.80839604871306903</v>
      </c>
      <c r="P893">
        <v>3.2185676270242602E-2</v>
      </c>
      <c r="Q893">
        <v>0.76314533398361994</v>
      </c>
      <c r="R893">
        <v>0</v>
      </c>
      <c r="S893">
        <v>215</v>
      </c>
      <c r="T893">
        <v>40</v>
      </c>
      <c r="U893">
        <v>33531009.600000001</v>
      </c>
      <c r="V893">
        <v>946</v>
      </c>
    </row>
    <row r="894" spans="1:22" x14ac:dyDescent="0.25">
      <c r="A894">
        <v>0.984448250352709</v>
      </c>
      <c r="B894">
        <v>17.145767751823101</v>
      </c>
      <c r="C894">
        <v>12.742508613325301</v>
      </c>
      <c r="D894">
        <v>0</v>
      </c>
      <c r="E894">
        <v>5.7252300072380402</v>
      </c>
      <c r="F894">
        <v>3.8318626860573999</v>
      </c>
      <c r="G894">
        <v>212.905828142839</v>
      </c>
      <c r="H894">
        <v>28.350565246345798</v>
      </c>
      <c r="I894">
        <v>51.957941430497797</v>
      </c>
      <c r="J894">
        <v>46.989501920516297</v>
      </c>
      <c r="K894">
        <v>45472.054146341397</v>
      </c>
      <c r="L894">
        <v>753.98083644886106</v>
      </c>
      <c r="M894">
        <v>0.110841056005344</v>
      </c>
      <c r="N894">
        <v>1.8869486573789E-2</v>
      </c>
      <c r="O894">
        <v>0.80604029412723599</v>
      </c>
      <c r="P894">
        <v>3.3248795282514301E-2</v>
      </c>
      <c r="Q894">
        <v>0.79339161918132295</v>
      </c>
      <c r="R894">
        <v>0</v>
      </c>
      <c r="S894">
        <v>215</v>
      </c>
      <c r="T894">
        <v>50</v>
      </c>
      <c r="U894">
        <v>72709814.579999998</v>
      </c>
      <c r="V894">
        <v>1599</v>
      </c>
    </row>
    <row r="895" spans="1:22" x14ac:dyDescent="0.25">
      <c r="A895">
        <v>0.98329269410362496</v>
      </c>
      <c r="B895">
        <v>18.305325219152198</v>
      </c>
      <c r="C895">
        <v>15.2912271388528</v>
      </c>
      <c r="D895">
        <v>0</v>
      </c>
      <c r="E895">
        <v>5.7132004612253704</v>
      </c>
      <c r="F895">
        <v>3.8161087733217101</v>
      </c>
      <c r="G895">
        <v>212.87409760333699</v>
      </c>
      <c r="H895">
        <v>28.304262354814099</v>
      </c>
      <c r="I895">
        <v>54.684042821900498</v>
      </c>
      <c r="J895">
        <v>50.196580025942602</v>
      </c>
      <c r="K895">
        <v>55154.492767905198</v>
      </c>
      <c r="L895">
        <v>751.88952838879595</v>
      </c>
      <c r="M895">
        <v>0.134074339659146</v>
      </c>
      <c r="N895">
        <v>2.18909742125898E-2</v>
      </c>
      <c r="O895">
        <v>0.81104875510577201</v>
      </c>
      <c r="P895">
        <v>3.4697744432151401E-2</v>
      </c>
      <c r="Q895">
        <v>0.849631076146247</v>
      </c>
      <c r="R895">
        <v>0</v>
      </c>
      <c r="S895">
        <v>215</v>
      </c>
      <c r="T895">
        <v>60</v>
      </c>
      <c r="U895">
        <v>102421893.06999999</v>
      </c>
      <c r="V895">
        <v>1857</v>
      </c>
    </row>
    <row r="896" spans="1:22" x14ac:dyDescent="0.25">
      <c r="A896">
        <v>0.98229020226839803</v>
      </c>
      <c r="B896">
        <v>19.299217272055099</v>
      </c>
      <c r="C896">
        <v>14.4667007398926</v>
      </c>
      <c r="D896">
        <v>0</v>
      </c>
      <c r="E896">
        <v>5.7002500477214699</v>
      </c>
      <c r="F896">
        <v>3.7975663047506498</v>
      </c>
      <c r="G896">
        <v>212.91953326988701</v>
      </c>
      <c r="H896">
        <v>28.1612459075284</v>
      </c>
      <c r="I896">
        <v>58.648597022910302</v>
      </c>
      <c r="J896">
        <v>54.305524295034601</v>
      </c>
      <c r="K896">
        <v>65070.362712316499</v>
      </c>
      <c r="L896">
        <v>750.539777327617</v>
      </c>
      <c r="M896">
        <v>0.15425783865766499</v>
      </c>
      <c r="N896">
        <v>1.7905423080853401E-2</v>
      </c>
      <c r="O896">
        <v>0.81734982373228804</v>
      </c>
      <c r="P896">
        <v>3.4724872708020001E-2</v>
      </c>
      <c r="Q896">
        <v>0.84485127683761496</v>
      </c>
      <c r="R896">
        <v>0</v>
      </c>
      <c r="S896">
        <v>215</v>
      </c>
      <c r="T896">
        <v>70</v>
      </c>
      <c r="U896">
        <v>146343245.74000001</v>
      </c>
      <c r="V896">
        <v>2249</v>
      </c>
    </row>
    <row r="897" spans="1:22" x14ac:dyDescent="0.25">
      <c r="A897">
        <v>0.98107764901693195</v>
      </c>
      <c r="B897">
        <v>20.4865531227567</v>
      </c>
      <c r="C897">
        <v>14.423411419498199</v>
      </c>
      <c r="D897">
        <v>0</v>
      </c>
      <c r="E897">
        <v>5.6890145711079496</v>
      </c>
      <c r="F897">
        <v>3.77351687140473</v>
      </c>
      <c r="G897">
        <v>212.93121334803899</v>
      </c>
      <c r="H897">
        <v>29.8285518606232</v>
      </c>
      <c r="I897">
        <v>61.702596178118696</v>
      </c>
      <c r="J897">
        <v>57.815660248939103</v>
      </c>
      <c r="K897">
        <v>74681.626762065003</v>
      </c>
      <c r="L897">
        <v>747.26271462429099</v>
      </c>
      <c r="M897">
        <v>0.162538678821252</v>
      </c>
      <c r="N897">
        <v>2.1833331737094799E-2</v>
      </c>
      <c r="O897">
        <v>0.79157868379436003</v>
      </c>
      <c r="P897">
        <v>3.91124003188301E-2</v>
      </c>
      <c r="Q897">
        <v>0.84687271437186995</v>
      </c>
      <c r="R897">
        <v>0</v>
      </c>
      <c r="S897">
        <v>215</v>
      </c>
      <c r="T897">
        <v>80</v>
      </c>
      <c r="U897">
        <v>133082658.89</v>
      </c>
      <c r="V897">
        <v>1782</v>
      </c>
    </row>
    <row r="898" spans="1:22" x14ac:dyDescent="0.25">
      <c r="A898">
        <v>0.98017697583233099</v>
      </c>
      <c r="B898">
        <v>21.358106506924798</v>
      </c>
      <c r="C898">
        <v>19.425551393444199</v>
      </c>
      <c r="D898">
        <v>0</v>
      </c>
      <c r="E898">
        <v>5.6875312448084898</v>
      </c>
      <c r="F898">
        <v>3.7636885922653298</v>
      </c>
      <c r="G898">
        <v>212.946180934914</v>
      </c>
      <c r="H898">
        <v>30.288949057435801</v>
      </c>
      <c r="I898">
        <v>63.899898361657002</v>
      </c>
      <c r="J898">
        <v>59.837875315798598</v>
      </c>
      <c r="K898">
        <v>84941.899451303107</v>
      </c>
      <c r="L898">
        <v>746.13369047809704</v>
      </c>
      <c r="M898">
        <v>0.16085386086553799</v>
      </c>
      <c r="N898">
        <v>1.90939091139949E-2</v>
      </c>
      <c r="O898">
        <v>0.79427712242077397</v>
      </c>
      <c r="P898">
        <v>3.7648888969369201E-2</v>
      </c>
      <c r="Q898">
        <v>0.86061204787333601</v>
      </c>
      <c r="R898">
        <v>0</v>
      </c>
      <c r="S898">
        <v>215</v>
      </c>
      <c r="T898">
        <v>90</v>
      </c>
      <c r="U898">
        <v>123845289.40000001</v>
      </c>
      <c r="V898">
        <v>1458</v>
      </c>
    </row>
    <row r="899" spans="1:22" x14ac:dyDescent="0.25">
      <c r="A899">
        <v>0.97959665094391601</v>
      </c>
      <c r="B899">
        <v>21.915020572777301</v>
      </c>
      <c r="C899">
        <v>20.849710784264001</v>
      </c>
      <c r="D899">
        <v>0</v>
      </c>
      <c r="E899">
        <v>5.6756186477753996</v>
      </c>
      <c r="F899">
        <v>3.75761958579257</v>
      </c>
      <c r="G899">
        <v>212.99561988255601</v>
      </c>
      <c r="H899">
        <v>30.787075742949099</v>
      </c>
      <c r="I899">
        <v>65.155480720198895</v>
      </c>
      <c r="J899">
        <v>61.349893965733898</v>
      </c>
      <c r="K899">
        <v>94687.045753701197</v>
      </c>
      <c r="L899">
        <v>750.32112625606396</v>
      </c>
      <c r="M899">
        <v>0.20663207443708401</v>
      </c>
      <c r="N899">
        <v>2.3550840181781101E-2</v>
      </c>
      <c r="O899">
        <v>0.77321162743550997</v>
      </c>
      <c r="P899">
        <v>4.0541385576025601E-2</v>
      </c>
      <c r="Q899">
        <v>0.87308974175202003</v>
      </c>
      <c r="R899">
        <v>0</v>
      </c>
      <c r="S899">
        <v>215</v>
      </c>
      <c r="T899">
        <v>100</v>
      </c>
      <c r="U899">
        <v>140704949.99000001</v>
      </c>
      <c r="V899">
        <v>1486</v>
      </c>
    </row>
    <row r="900" spans="1:22" x14ac:dyDescent="0.25">
      <c r="A900">
        <v>0.97909854196833301</v>
      </c>
      <c r="B900">
        <v>22.3901496487514</v>
      </c>
      <c r="C900">
        <v>26.3007307808261</v>
      </c>
      <c r="D900">
        <v>0</v>
      </c>
      <c r="E900">
        <v>5.6868829334035897</v>
      </c>
      <c r="F900">
        <v>3.7554808703223101</v>
      </c>
      <c r="G900">
        <v>212.95138266434699</v>
      </c>
      <c r="H900">
        <v>30.5799386819806</v>
      </c>
      <c r="I900">
        <v>66.249506449592204</v>
      </c>
      <c r="J900">
        <v>62.352844809715201</v>
      </c>
      <c r="K900">
        <v>104842.85665789399</v>
      </c>
      <c r="L900">
        <v>745.61743617378102</v>
      </c>
      <c r="M900">
        <v>0.21743717959744199</v>
      </c>
      <c r="N900">
        <v>2.81484186608606E-2</v>
      </c>
      <c r="O900">
        <v>0.77446176400432998</v>
      </c>
      <c r="P900">
        <v>5.0008518099092E-2</v>
      </c>
      <c r="Q900">
        <v>0.88559202284746597</v>
      </c>
      <c r="R900">
        <v>0</v>
      </c>
      <c r="S900">
        <v>215</v>
      </c>
      <c r="T900">
        <v>110</v>
      </c>
      <c r="U900">
        <v>119520856.59</v>
      </c>
      <c r="V900">
        <v>1140</v>
      </c>
    </row>
    <row r="901" spans="1:22" x14ac:dyDescent="0.25">
      <c r="A901">
        <v>0.97846821354871505</v>
      </c>
      <c r="B901">
        <v>22.987599419212199</v>
      </c>
      <c r="C901">
        <v>21.513666006368599</v>
      </c>
      <c r="D901">
        <v>0</v>
      </c>
      <c r="E901">
        <v>5.6847522385586098</v>
      </c>
      <c r="F901">
        <v>3.7466908389743101</v>
      </c>
      <c r="G901">
        <v>212.980248774106</v>
      </c>
      <c r="H901">
        <v>31.139964453373899</v>
      </c>
      <c r="I901">
        <v>66.236906617311206</v>
      </c>
      <c r="J901">
        <v>62.656124465345997</v>
      </c>
      <c r="K901">
        <v>114931.58544859799</v>
      </c>
      <c r="L901">
        <v>745.04291002305399</v>
      </c>
      <c r="M901">
        <v>0.26650514431521499</v>
      </c>
      <c r="N901">
        <v>2.0691140799462701E-2</v>
      </c>
      <c r="O901">
        <v>0.81478334749949999</v>
      </c>
      <c r="P901">
        <v>4.9557013980836499E-2</v>
      </c>
      <c r="Q901">
        <v>0.91030418899976195</v>
      </c>
      <c r="R901">
        <v>0</v>
      </c>
      <c r="S901">
        <v>215</v>
      </c>
      <c r="T901">
        <v>120</v>
      </c>
      <c r="U901">
        <v>122976796.43000001</v>
      </c>
      <c r="V901">
        <v>1070</v>
      </c>
    </row>
    <row r="902" spans="1:22" x14ac:dyDescent="0.25">
      <c r="A902">
        <v>0.97822631980205199</v>
      </c>
      <c r="B902">
        <v>23.2157541115463</v>
      </c>
      <c r="C902">
        <v>16.001679678254099</v>
      </c>
      <c r="D902">
        <v>0</v>
      </c>
      <c r="E902">
        <v>5.6789968633097798</v>
      </c>
      <c r="F902">
        <v>3.7532363265679698</v>
      </c>
      <c r="G902">
        <v>212.961914015258</v>
      </c>
      <c r="H902">
        <v>30.972135383428999</v>
      </c>
      <c r="I902">
        <v>66.407493157522097</v>
      </c>
      <c r="J902">
        <v>62.493821021052703</v>
      </c>
      <c r="K902">
        <v>125102.632709677</v>
      </c>
      <c r="L902">
        <v>748.19351384432798</v>
      </c>
      <c r="M902">
        <v>0.26325490524934703</v>
      </c>
      <c r="N902">
        <v>1.39127371288015E-2</v>
      </c>
      <c r="O902">
        <v>0.81632929529947396</v>
      </c>
      <c r="P902">
        <v>6.2289723391999903E-2</v>
      </c>
      <c r="Q902">
        <v>0.90015440408063996</v>
      </c>
      <c r="R902">
        <v>0</v>
      </c>
      <c r="S902">
        <v>215</v>
      </c>
      <c r="T902">
        <v>130</v>
      </c>
      <c r="U902">
        <v>116345448.42</v>
      </c>
      <c r="V902">
        <v>930</v>
      </c>
    </row>
    <row r="903" spans="1:22" x14ac:dyDescent="0.25">
      <c r="A903">
        <v>0.97780759116239802</v>
      </c>
      <c r="B903">
        <v>23.609235777587902</v>
      </c>
      <c r="C903">
        <v>24.4399600474209</v>
      </c>
      <c r="D903">
        <v>0</v>
      </c>
      <c r="E903">
        <v>5.6709807747514702</v>
      </c>
      <c r="F903">
        <v>3.7426972243224399</v>
      </c>
      <c r="G903">
        <v>213.002359760584</v>
      </c>
      <c r="H903">
        <v>30.987290900089</v>
      </c>
      <c r="I903">
        <v>66.408624661496304</v>
      </c>
      <c r="J903">
        <v>62.485663100745299</v>
      </c>
      <c r="K903">
        <v>134911.515674967</v>
      </c>
      <c r="L903">
        <v>747.61264336898705</v>
      </c>
      <c r="M903">
        <v>0.268111279176458</v>
      </c>
      <c r="N903">
        <v>2.22278742048856E-2</v>
      </c>
      <c r="O903">
        <v>0.81963997957911605</v>
      </c>
      <c r="P903">
        <v>6.18455149715922E-2</v>
      </c>
      <c r="Q903">
        <v>0.91654775577468395</v>
      </c>
      <c r="R903">
        <v>0</v>
      </c>
      <c r="S903">
        <v>215</v>
      </c>
      <c r="T903">
        <v>140</v>
      </c>
      <c r="U903">
        <v>102937486.45999999</v>
      </c>
      <c r="V903">
        <v>763</v>
      </c>
    </row>
    <row r="904" spans="1:22" x14ac:dyDescent="0.25">
      <c r="A904">
        <v>0.97691950515896198</v>
      </c>
      <c r="B904">
        <v>24.437665033530202</v>
      </c>
      <c r="C904">
        <v>26.075195859632501</v>
      </c>
      <c r="D904">
        <v>0</v>
      </c>
      <c r="E904">
        <v>5.6815535921943603</v>
      </c>
      <c r="F904">
        <v>3.7464033608638001</v>
      </c>
      <c r="G904">
        <v>212.985377823504</v>
      </c>
      <c r="H904">
        <v>31.344767299886701</v>
      </c>
      <c r="I904">
        <v>64.540251259126194</v>
      </c>
      <c r="J904">
        <v>61.515949444226202</v>
      </c>
      <c r="K904">
        <v>144856.42986111101</v>
      </c>
      <c r="L904">
        <v>743.624631320037</v>
      </c>
      <c r="M904">
        <v>0.244587873187215</v>
      </c>
      <c r="N904">
        <v>1.52545453062795E-2</v>
      </c>
      <c r="O904">
        <v>0.79156121310708305</v>
      </c>
      <c r="P904">
        <v>7.1968908736403603E-2</v>
      </c>
      <c r="Q904">
        <v>0.92242366192667802</v>
      </c>
      <c r="R904">
        <v>0</v>
      </c>
      <c r="S904">
        <v>215</v>
      </c>
      <c r="T904">
        <v>150</v>
      </c>
      <c r="U904">
        <v>104296629.5</v>
      </c>
      <c r="V904">
        <v>720</v>
      </c>
    </row>
    <row r="905" spans="1:22" x14ac:dyDescent="0.25">
      <c r="A905">
        <v>0.97653378461229501</v>
      </c>
      <c r="B905">
        <v>24.794903090688798</v>
      </c>
      <c r="C905">
        <v>22.527989703490501</v>
      </c>
      <c r="D905">
        <v>0</v>
      </c>
      <c r="E905">
        <v>5.6970934404692297</v>
      </c>
      <c r="F905">
        <v>3.76124911693381</v>
      </c>
      <c r="G905">
        <v>212.976881599813</v>
      </c>
      <c r="H905">
        <v>31.070281197894602</v>
      </c>
      <c r="I905">
        <v>65.8704179355734</v>
      </c>
      <c r="J905">
        <v>62.237540220108201</v>
      </c>
      <c r="K905">
        <v>155023.25456</v>
      </c>
      <c r="L905">
        <v>746.94912477569596</v>
      </c>
      <c r="M905">
        <v>0.34404697039409099</v>
      </c>
      <c r="N905">
        <v>2.6986145968060701E-2</v>
      </c>
      <c r="O905">
        <v>0.824998692918681</v>
      </c>
      <c r="P905">
        <v>7.2373200935847995E-2</v>
      </c>
      <c r="Q905">
        <v>0.91684859531180196</v>
      </c>
      <c r="R905">
        <v>0</v>
      </c>
      <c r="S905">
        <v>215</v>
      </c>
      <c r="T905">
        <v>160</v>
      </c>
      <c r="U905">
        <v>96889534.099999994</v>
      </c>
      <c r="V905">
        <v>625</v>
      </c>
    </row>
    <row r="906" spans="1:22" x14ac:dyDescent="0.25">
      <c r="A906">
        <v>0.97546502343924202</v>
      </c>
      <c r="B906">
        <v>25.776672233644099</v>
      </c>
      <c r="C906">
        <v>23.1352521447842</v>
      </c>
      <c r="D906">
        <v>0</v>
      </c>
      <c r="E906">
        <v>5.6983884854044096</v>
      </c>
      <c r="F906">
        <v>3.7587345771281</v>
      </c>
      <c r="G906">
        <v>212.86755275861699</v>
      </c>
      <c r="H906">
        <v>31.495531433780201</v>
      </c>
      <c r="I906">
        <v>67.336891877164206</v>
      </c>
      <c r="J906">
        <v>63.7046453410886</v>
      </c>
      <c r="K906">
        <v>164949.30712499999</v>
      </c>
      <c r="L906">
        <v>743.10113634880599</v>
      </c>
      <c r="M906">
        <v>0.237796813618213</v>
      </c>
      <c r="N906">
        <v>2.3087754603988899E-2</v>
      </c>
      <c r="O906">
        <v>0.80075307355259195</v>
      </c>
      <c r="P906">
        <v>8.9380122768603396E-2</v>
      </c>
      <c r="Q906">
        <v>0.93397805171289805</v>
      </c>
      <c r="R906">
        <v>0</v>
      </c>
      <c r="S906">
        <v>215</v>
      </c>
      <c r="T906">
        <v>170</v>
      </c>
      <c r="U906">
        <v>92371611.989999995</v>
      </c>
      <c r="V906">
        <v>560</v>
      </c>
    </row>
    <row r="907" spans="1:22" x14ac:dyDescent="0.25">
      <c r="A907">
        <v>0.96664545120551704</v>
      </c>
      <c r="B907">
        <v>33.441038186024798</v>
      </c>
      <c r="C907">
        <v>30.6437635413875</v>
      </c>
      <c r="D907">
        <v>0</v>
      </c>
      <c r="E907">
        <v>5.6561746597892197</v>
      </c>
      <c r="F907">
        <v>3.7232156673396299</v>
      </c>
      <c r="G907">
        <v>212.85821286869299</v>
      </c>
      <c r="H907">
        <v>30.5125066211227</v>
      </c>
      <c r="I907">
        <v>68.706017622091906</v>
      </c>
      <c r="J907">
        <v>64.384015584832795</v>
      </c>
      <c r="K907">
        <v>276910.206832239</v>
      </c>
      <c r="L907">
        <v>735.60003930278106</v>
      </c>
      <c r="M907">
        <v>0.30515110029818698</v>
      </c>
      <c r="N907">
        <v>3.6763705448270401E-2</v>
      </c>
      <c r="O907">
        <v>0.67522192804264403</v>
      </c>
      <c r="P907">
        <v>0.12476817296228999</v>
      </c>
      <c r="Q907">
        <v>0.91102187034328996</v>
      </c>
      <c r="R907">
        <v>0</v>
      </c>
      <c r="S907">
        <v>215</v>
      </c>
      <c r="T907">
        <v>175</v>
      </c>
      <c r="U907">
        <v>886389572.07000005</v>
      </c>
      <c r="V907">
        <v>3201</v>
      </c>
    </row>
    <row r="908" spans="1:22" x14ac:dyDescent="0.25">
      <c r="A908">
        <v>0.97533216702577896</v>
      </c>
      <c r="B908">
        <v>25.897890255032301</v>
      </c>
      <c r="C908">
        <v>32.065884402915501</v>
      </c>
      <c r="D908">
        <v>0</v>
      </c>
      <c r="E908">
        <v>5.6922776866545997</v>
      </c>
      <c r="F908">
        <v>3.75228747663374</v>
      </c>
      <c r="G908">
        <v>212.99789401576601</v>
      </c>
      <c r="H908">
        <v>31.200913084725101</v>
      </c>
      <c r="I908">
        <v>65.652640785369996</v>
      </c>
      <c r="J908">
        <v>62.221539170716497</v>
      </c>
      <c r="K908">
        <v>172533.756053811</v>
      </c>
      <c r="L908">
        <v>746.43681792368602</v>
      </c>
      <c r="M908">
        <v>0.273744871595621</v>
      </c>
      <c r="N908">
        <v>1.33758765646733E-2</v>
      </c>
      <c r="O908">
        <v>0.81153770868250097</v>
      </c>
      <c r="P908">
        <v>0.11190802186715</v>
      </c>
      <c r="Q908">
        <v>0.91502864237061599</v>
      </c>
      <c r="R908">
        <v>0</v>
      </c>
      <c r="S908">
        <v>215</v>
      </c>
      <c r="T908">
        <v>180</v>
      </c>
      <c r="U908">
        <v>38475027.600000001</v>
      </c>
      <c r="V908">
        <v>223</v>
      </c>
    </row>
    <row r="909" spans="1:22" x14ac:dyDescent="0.25">
      <c r="A909">
        <v>0.99025428904949298</v>
      </c>
      <c r="B909">
        <v>11.087916873442399</v>
      </c>
      <c r="C909">
        <v>32.178363243312198</v>
      </c>
      <c r="D909">
        <v>0</v>
      </c>
      <c r="E909">
        <v>5.7586816160455596</v>
      </c>
      <c r="F909">
        <v>3.8489019608466299</v>
      </c>
      <c r="G909">
        <v>217.36292712185499</v>
      </c>
      <c r="H909">
        <v>29.334714517296302</v>
      </c>
      <c r="I909">
        <v>38.4933044991513</v>
      </c>
      <c r="J909">
        <v>21.674530065621202</v>
      </c>
      <c r="K909">
        <v>16051.817435897399</v>
      </c>
      <c r="L909">
        <v>758.84100848734204</v>
      </c>
      <c r="M909">
        <v>9.6161366587857705E-2</v>
      </c>
      <c r="N909">
        <v>1.0145423051490901E-2</v>
      </c>
      <c r="O909">
        <v>0.88293949023979301</v>
      </c>
      <c r="P909">
        <v>2.6805863088783799E-2</v>
      </c>
      <c r="Q909">
        <v>0.79757981874342498</v>
      </c>
      <c r="R909">
        <v>0</v>
      </c>
      <c r="S909">
        <v>220</v>
      </c>
      <c r="T909">
        <v>20</v>
      </c>
      <c r="U909">
        <v>1878062.64</v>
      </c>
      <c r="V909">
        <v>117</v>
      </c>
    </row>
    <row r="910" spans="1:22" x14ac:dyDescent="0.25">
      <c r="A910">
        <v>0.988213969658709</v>
      </c>
      <c r="B910">
        <v>13.2615081209984</v>
      </c>
      <c r="C910">
        <v>19.5757521033789</v>
      </c>
      <c r="D910">
        <v>0</v>
      </c>
      <c r="E910">
        <v>5.809006086728</v>
      </c>
      <c r="F910">
        <v>3.90092341251091</v>
      </c>
      <c r="G910">
        <v>217.28082557588499</v>
      </c>
      <c r="H910">
        <v>27.874234006949301</v>
      </c>
      <c r="I910">
        <v>38.336924101946003</v>
      </c>
      <c r="J910">
        <v>30.9326128648745</v>
      </c>
      <c r="K910">
        <v>26237.819434523801</v>
      </c>
      <c r="L910">
        <v>756.34381903603696</v>
      </c>
      <c r="M910">
        <v>0.12211708786190199</v>
      </c>
      <c r="N910">
        <v>9.6272404896070897E-3</v>
      </c>
      <c r="O910">
        <v>0.83091308991788104</v>
      </c>
      <c r="P910">
        <v>4.2869976492822301E-2</v>
      </c>
      <c r="Q910">
        <v>0.82538591861536703</v>
      </c>
      <c r="R910">
        <v>0</v>
      </c>
      <c r="S910">
        <v>220</v>
      </c>
      <c r="T910">
        <v>30</v>
      </c>
      <c r="U910">
        <v>8815907.3300000001</v>
      </c>
      <c r="V910">
        <v>336</v>
      </c>
    </row>
    <row r="911" spans="1:22" x14ac:dyDescent="0.25">
      <c r="A911">
        <v>0.98637424741800905</v>
      </c>
      <c r="B911">
        <v>15.1795249628869</v>
      </c>
      <c r="C911">
        <v>10.7621788234148</v>
      </c>
      <c r="D911">
        <v>0</v>
      </c>
      <c r="E911">
        <v>5.7579505182698103</v>
      </c>
      <c r="F911">
        <v>3.8382628257060301</v>
      </c>
      <c r="G911">
        <v>217.381472043565</v>
      </c>
      <c r="H911">
        <v>28.398402339970598</v>
      </c>
      <c r="I911">
        <v>45.8708174600552</v>
      </c>
      <c r="J911">
        <v>40.238885833542597</v>
      </c>
      <c r="K911">
        <v>35532.382124833901</v>
      </c>
      <c r="L911">
        <v>752.37845662096197</v>
      </c>
      <c r="M911">
        <v>0.132685114590051</v>
      </c>
      <c r="N911">
        <v>2.3232239534316301E-2</v>
      </c>
      <c r="O911">
        <v>0.82140350786260297</v>
      </c>
      <c r="P911">
        <v>3.2294712759130803E-2</v>
      </c>
      <c r="Q911">
        <v>0.81245557318302197</v>
      </c>
      <c r="R911">
        <v>0</v>
      </c>
      <c r="S911">
        <v>220</v>
      </c>
      <c r="T911">
        <v>40</v>
      </c>
      <c r="U911">
        <v>26755883.739999998</v>
      </c>
      <c r="V911">
        <v>753</v>
      </c>
    </row>
    <row r="912" spans="1:22" x14ac:dyDescent="0.25">
      <c r="A912">
        <v>0.98482454809460795</v>
      </c>
      <c r="B912">
        <v>16.764923066798001</v>
      </c>
      <c r="C912">
        <v>12.136805766597099</v>
      </c>
      <c r="D912">
        <v>0</v>
      </c>
      <c r="E912">
        <v>5.7602856281518902</v>
      </c>
      <c r="F912">
        <v>3.83764336244682</v>
      </c>
      <c r="G912">
        <v>217.45744369173599</v>
      </c>
      <c r="H912">
        <v>28.3013707295198</v>
      </c>
      <c r="I912">
        <v>51.020386396159701</v>
      </c>
      <c r="J912">
        <v>46.249994112474397</v>
      </c>
      <c r="K912">
        <v>45515.268091787402</v>
      </c>
      <c r="L912">
        <v>753.14454121125698</v>
      </c>
      <c r="M912">
        <v>0.121198445037651</v>
      </c>
      <c r="N912">
        <v>1.8420498179923001E-2</v>
      </c>
      <c r="O912">
        <v>0.82450123441147505</v>
      </c>
      <c r="P912">
        <v>3.18113677335033E-2</v>
      </c>
      <c r="Q912">
        <v>0.83002795057376599</v>
      </c>
      <c r="R912">
        <v>0</v>
      </c>
      <c r="S912">
        <v>220</v>
      </c>
      <c r="T912">
        <v>50</v>
      </c>
      <c r="U912">
        <v>56529962.969999999</v>
      </c>
      <c r="V912">
        <v>1242</v>
      </c>
    </row>
    <row r="913" spans="1:22" x14ac:dyDescent="0.25">
      <c r="A913">
        <v>0.98371961041231304</v>
      </c>
      <c r="B913">
        <v>17.878674720675502</v>
      </c>
      <c r="C913">
        <v>17.652001514666299</v>
      </c>
      <c r="D913">
        <v>0</v>
      </c>
      <c r="E913">
        <v>5.7520975843027502</v>
      </c>
      <c r="F913">
        <v>3.8260173631754899</v>
      </c>
      <c r="G913">
        <v>217.498494800412</v>
      </c>
      <c r="H913">
        <v>28.398272215554901</v>
      </c>
      <c r="I913">
        <v>53.598017718235397</v>
      </c>
      <c r="J913">
        <v>48.973633483108799</v>
      </c>
      <c r="K913">
        <v>55266.012940025998</v>
      </c>
      <c r="L913">
        <v>750.46185300951504</v>
      </c>
      <c r="M913">
        <v>0.148639501042344</v>
      </c>
      <c r="N913">
        <v>1.8604015335743001E-2</v>
      </c>
      <c r="O913">
        <v>0.83770279427064298</v>
      </c>
      <c r="P913">
        <v>3.3288467580402201E-2</v>
      </c>
      <c r="Q913">
        <v>0.87702947393979602</v>
      </c>
      <c r="R913">
        <v>0</v>
      </c>
      <c r="S913">
        <v>220</v>
      </c>
      <c r="T913">
        <v>60</v>
      </c>
      <c r="U913">
        <v>84778063.849999994</v>
      </c>
      <c r="V913">
        <v>1534</v>
      </c>
    </row>
    <row r="914" spans="1:22" x14ac:dyDescent="0.25">
      <c r="A914">
        <v>0.98291242313966598</v>
      </c>
      <c r="B914">
        <v>18.683647395935299</v>
      </c>
      <c r="C914">
        <v>20.120525566539701</v>
      </c>
      <c r="D914">
        <v>0</v>
      </c>
      <c r="E914">
        <v>5.7261810962003503</v>
      </c>
      <c r="F914">
        <v>3.8013203812246199</v>
      </c>
      <c r="G914">
        <v>217.50707594009901</v>
      </c>
      <c r="H914">
        <v>28.161362147606699</v>
      </c>
      <c r="I914">
        <v>57.167575573708397</v>
      </c>
      <c r="J914">
        <v>52.584355395923801</v>
      </c>
      <c r="K914">
        <v>64957.469099552502</v>
      </c>
      <c r="L914">
        <v>749.34638749908697</v>
      </c>
      <c r="M914">
        <v>0.174088185248401</v>
      </c>
      <c r="N914">
        <v>1.13558742066168E-2</v>
      </c>
      <c r="O914">
        <v>0.84762939846423602</v>
      </c>
      <c r="P914">
        <v>3.7503891953532702E-2</v>
      </c>
      <c r="Q914">
        <v>0.89467568926569496</v>
      </c>
      <c r="R914">
        <v>0</v>
      </c>
      <c r="S914">
        <v>220</v>
      </c>
      <c r="T914">
        <v>70</v>
      </c>
      <c r="U914">
        <v>116143954.75</v>
      </c>
      <c r="V914">
        <v>1788</v>
      </c>
    </row>
    <row r="915" spans="1:22" x14ac:dyDescent="0.25">
      <c r="A915">
        <v>0.98166993798782298</v>
      </c>
      <c r="B915">
        <v>19.908597307760001</v>
      </c>
      <c r="C915">
        <v>11.5089043699402</v>
      </c>
      <c r="D915">
        <v>0</v>
      </c>
      <c r="E915">
        <v>5.7330371379043896</v>
      </c>
      <c r="F915">
        <v>3.7933312823950498</v>
      </c>
      <c r="G915">
        <v>217.41479210435</v>
      </c>
      <c r="H915">
        <v>29.646813373023999</v>
      </c>
      <c r="I915">
        <v>61.200506682018002</v>
      </c>
      <c r="J915">
        <v>57.105448368772997</v>
      </c>
      <c r="K915">
        <v>74650.726854115695</v>
      </c>
      <c r="L915">
        <v>744.78160662012601</v>
      </c>
      <c r="M915">
        <v>0.177338777597942</v>
      </c>
      <c r="N915">
        <v>2.2788137266491398E-2</v>
      </c>
      <c r="O915">
        <v>0.793120433968036</v>
      </c>
      <c r="P915">
        <v>4.1033285508568003E-2</v>
      </c>
      <c r="Q915">
        <v>0.86950149570684399</v>
      </c>
      <c r="R915">
        <v>0</v>
      </c>
      <c r="S915">
        <v>220</v>
      </c>
      <c r="T915">
        <v>80</v>
      </c>
      <c r="U915">
        <v>91596441.849999994</v>
      </c>
      <c r="V915">
        <v>1227</v>
      </c>
    </row>
    <row r="916" spans="1:22" x14ac:dyDescent="0.25">
      <c r="A916">
        <v>0.98085658819838195</v>
      </c>
      <c r="B916">
        <v>20.7012828017122</v>
      </c>
      <c r="C916">
        <v>14.076359339991001</v>
      </c>
      <c r="D916">
        <v>0</v>
      </c>
      <c r="E916">
        <v>5.7076287342041496</v>
      </c>
      <c r="F916">
        <v>3.7569570095916598</v>
      </c>
      <c r="G916">
        <v>217.43965289284</v>
      </c>
      <c r="H916">
        <v>30.5518068422396</v>
      </c>
      <c r="I916">
        <v>63.845110877845997</v>
      </c>
      <c r="J916">
        <v>59.452987031138001</v>
      </c>
      <c r="K916">
        <v>84936.3595191364</v>
      </c>
      <c r="L916">
        <v>742.90335522034104</v>
      </c>
      <c r="M916">
        <v>0.16767706054019499</v>
      </c>
      <c r="N916">
        <v>2.0706426652671799E-2</v>
      </c>
      <c r="O916">
        <v>0.81051612939225803</v>
      </c>
      <c r="P916">
        <v>4.8165873463442199E-2</v>
      </c>
      <c r="Q916">
        <v>0.89030516155538897</v>
      </c>
      <c r="R916">
        <v>0</v>
      </c>
      <c r="S916">
        <v>220</v>
      </c>
      <c r="T916">
        <v>90</v>
      </c>
      <c r="U916">
        <v>86550150.349999994</v>
      </c>
      <c r="V916">
        <v>1019</v>
      </c>
    </row>
    <row r="917" spans="1:22" x14ac:dyDescent="0.25">
      <c r="A917">
        <v>0.98043964914042703</v>
      </c>
      <c r="B917">
        <v>21.1048346875234</v>
      </c>
      <c r="C917">
        <v>19.2543543636361</v>
      </c>
      <c r="D917">
        <v>0</v>
      </c>
      <c r="E917">
        <v>5.7186490978248301</v>
      </c>
      <c r="F917">
        <v>3.7674821315787002</v>
      </c>
      <c r="G917">
        <v>217.419552253522</v>
      </c>
      <c r="H917">
        <v>30.618480352107799</v>
      </c>
      <c r="I917">
        <v>64.785612873921906</v>
      </c>
      <c r="J917">
        <v>60.650096064566398</v>
      </c>
      <c r="K917">
        <v>94676.788405379397</v>
      </c>
      <c r="L917">
        <v>744.65848485309505</v>
      </c>
      <c r="M917">
        <v>0.21332508332177999</v>
      </c>
      <c r="N917">
        <v>1.7319084339453499E-2</v>
      </c>
      <c r="O917">
        <v>0.80583576111296795</v>
      </c>
      <c r="P917">
        <v>4.4559824097542597E-2</v>
      </c>
      <c r="Q917">
        <v>0.90400135641299495</v>
      </c>
      <c r="R917">
        <v>0</v>
      </c>
      <c r="S917">
        <v>220</v>
      </c>
      <c r="T917">
        <v>100</v>
      </c>
      <c r="U917">
        <v>98558536.730000004</v>
      </c>
      <c r="V917">
        <v>1041</v>
      </c>
    </row>
    <row r="918" spans="1:22" x14ac:dyDescent="0.25">
      <c r="A918">
        <v>0.97978517194583603</v>
      </c>
      <c r="B918">
        <v>21.734502399774499</v>
      </c>
      <c r="C918">
        <v>28.798959285465799</v>
      </c>
      <c r="D918">
        <v>0</v>
      </c>
      <c r="E918">
        <v>5.7252005383454696</v>
      </c>
      <c r="F918">
        <v>3.75471143102473</v>
      </c>
      <c r="G918">
        <v>217.46446473696301</v>
      </c>
      <c r="H918">
        <v>30.835472320280399</v>
      </c>
      <c r="I918">
        <v>66.670537518318</v>
      </c>
      <c r="J918">
        <v>62.491103099124103</v>
      </c>
      <c r="K918">
        <v>105098.315202086</v>
      </c>
      <c r="L918">
        <v>743.34829186379397</v>
      </c>
      <c r="M918">
        <v>0.22989626991064299</v>
      </c>
      <c r="N918">
        <v>2.7305979850063899E-2</v>
      </c>
      <c r="O918">
        <v>0.79522838106531801</v>
      </c>
      <c r="P918">
        <v>4.0412751783852202E-2</v>
      </c>
      <c r="Q918">
        <v>0.914408021721685</v>
      </c>
      <c r="R918">
        <v>0</v>
      </c>
      <c r="S918">
        <v>220</v>
      </c>
      <c r="T918">
        <v>110</v>
      </c>
      <c r="U918">
        <v>80610407.760000005</v>
      </c>
      <c r="V918">
        <v>767</v>
      </c>
    </row>
    <row r="919" spans="1:22" x14ac:dyDescent="0.25">
      <c r="A919">
        <v>0.97933020100193602</v>
      </c>
      <c r="B919">
        <v>22.169508675533599</v>
      </c>
      <c r="C919">
        <v>15.1320999745195</v>
      </c>
      <c r="D919">
        <v>0</v>
      </c>
      <c r="E919">
        <v>5.7071066594695798</v>
      </c>
      <c r="F919">
        <v>3.74384600456554</v>
      </c>
      <c r="G919">
        <v>217.53228777789101</v>
      </c>
      <c r="H919">
        <v>31.169595921111199</v>
      </c>
      <c r="I919">
        <v>65.535816567761898</v>
      </c>
      <c r="J919">
        <v>61.590185819204002</v>
      </c>
      <c r="K919">
        <v>114891.454926686</v>
      </c>
      <c r="L919">
        <v>742.82704891549201</v>
      </c>
      <c r="M919">
        <v>0.27734023895321602</v>
      </c>
      <c r="N919">
        <v>2.6466451378061098E-2</v>
      </c>
      <c r="O919">
        <v>0.835363920988758</v>
      </c>
      <c r="P919">
        <v>5.2966805851487997E-2</v>
      </c>
      <c r="Q919">
        <v>0.93389625014398303</v>
      </c>
      <c r="R919">
        <v>0</v>
      </c>
      <c r="S919">
        <v>220</v>
      </c>
      <c r="T919">
        <v>120</v>
      </c>
      <c r="U919">
        <v>78355972.260000005</v>
      </c>
      <c r="V919">
        <v>682</v>
      </c>
    </row>
    <row r="920" spans="1:22" x14ac:dyDescent="0.25">
      <c r="A920">
        <v>0.97875439232578998</v>
      </c>
      <c r="B920">
        <v>22.7168725613537</v>
      </c>
      <c r="C920">
        <v>18.091632782738898</v>
      </c>
      <c r="D920">
        <v>0</v>
      </c>
      <c r="E920">
        <v>5.7127761680283697</v>
      </c>
      <c r="F920">
        <v>3.7623732983152598</v>
      </c>
      <c r="G920">
        <v>217.46673167223199</v>
      </c>
      <c r="H920">
        <v>30.962966515682101</v>
      </c>
      <c r="I920">
        <v>65.498678153240604</v>
      </c>
      <c r="J920">
        <v>61.349892839259702</v>
      </c>
      <c r="K920">
        <v>124874.933284789</v>
      </c>
      <c r="L920">
        <v>746.89265854494295</v>
      </c>
      <c r="M920">
        <v>0.27182127197995398</v>
      </c>
      <c r="N920">
        <v>2.26782830082588E-2</v>
      </c>
      <c r="O920">
        <v>0.79300339673693099</v>
      </c>
      <c r="P920">
        <v>7.4507501442468801E-2</v>
      </c>
      <c r="Q920">
        <v>0.90929472203882</v>
      </c>
      <c r="R920">
        <v>0</v>
      </c>
      <c r="S920">
        <v>220</v>
      </c>
      <c r="T920">
        <v>130</v>
      </c>
      <c r="U920">
        <v>77172708.769999996</v>
      </c>
      <c r="V920">
        <v>618</v>
      </c>
    </row>
    <row r="921" spans="1:22" x14ac:dyDescent="0.25">
      <c r="A921">
        <v>0.97836640230039895</v>
      </c>
      <c r="B921">
        <v>23.083703631426602</v>
      </c>
      <c r="C921">
        <v>19.459449146041798</v>
      </c>
      <c r="D921">
        <v>0</v>
      </c>
      <c r="E921">
        <v>5.7033880354806197</v>
      </c>
      <c r="F921">
        <v>3.7401051089084199</v>
      </c>
      <c r="G921">
        <v>217.447196219457</v>
      </c>
      <c r="H921">
        <v>31.066609258238099</v>
      </c>
      <c r="I921">
        <v>65.943122937008894</v>
      </c>
      <c r="J921">
        <v>61.896947683287301</v>
      </c>
      <c r="K921">
        <v>134750.72879310299</v>
      </c>
      <c r="L921">
        <v>744.39820714335497</v>
      </c>
      <c r="M921">
        <v>0.27990273937973398</v>
      </c>
      <c r="N921">
        <v>2.1176178021546799E-2</v>
      </c>
      <c r="O921">
        <v>0.8391589261904</v>
      </c>
      <c r="P921">
        <v>4.00944882584299E-2</v>
      </c>
      <c r="Q921">
        <v>0.917425298358585</v>
      </c>
      <c r="R921">
        <v>0</v>
      </c>
      <c r="S921">
        <v>220</v>
      </c>
      <c r="T921">
        <v>140</v>
      </c>
      <c r="U921">
        <v>70339880.430000007</v>
      </c>
      <c r="V921">
        <v>522</v>
      </c>
    </row>
    <row r="922" spans="1:22" x14ac:dyDescent="0.25">
      <c r="A922">
        <v>0.97792943818033995</v>
      </c>
      <c r="B922">
        <v>23.494926554113398</v>
      </c>
      <c r="C922">
        <v>24.843807884838402</v>
      </c>
      <c r="D922">
        <v>0</v>
      </c>
      <c r="E922">
        <v>5.6761728213945899</v>
      </c>
      <c r="F922">
        <v>3.7282770970594798</v>
      </c>
      <c r="G922">
        <v>217.389837997429</v>
      </c>
      <c r="H922">
        <v>31.590666442741899</v>
      </c>
      <c r="I922">
        <v>63.8730816702449</v>
      </c>
      <c r="J922">
        <v>60.087691813037402</v>
      </c>
      <c r="K922">
        <v>144746.54729729699</v>
      </c>
      <c r="L922">
        <v>742.16841508695302</v>
      </c>
      <c r="M922">
        <v>0.255738104151992</v>
      </c>
      <c r="N922">
        <v>1.4604218527979201E-2</v>
      </c>
      <c r="O922">
        <v>0.84186277155175204</v>
      </c>
      <c r="P922">
        <v>6.8492734829343899E-2</v>
      </c>
      <c r="Q922">
        <v>0.95003215330609503</v>
      </c>
      <c r="R922">
        <v>0</v>
      </c>
      <c r="S922">
        <v>220</v>
      </c>
      <c r="T922">
        <v>150</v>
      </c>
      <c r="U922">
        <v>69623089.25</v>
      </c>
      <c r="V922">
        <v>481</v>
      </c>
    </row>
    <row r="923" spans="1:22" x14ac:dyDescent="0.25">
      <c r="A923">
        <v>0.97783941593574897</v>
      </c>
      <c r="B923">
        <v>23.579394888415599</v>
      </c>
      <c r="C923">
        <v>41.821111881582603</v>
      </c>
      <c r="D923">
        <v>0</v>
      </c>
      <c r="E923">
        <v>5.7028231927997304</v>
      </c>
      <c r="F923">
        <v>3.74329711857993</v>
      </c>
      <c r="G923">
        <v>217.50846798922501</v>
      </c>
      <c r="H923">
        <v>30.9079322273641</v>
      </c>
      <c r="I923">
        <v>66.340833751691903</v>
      </c>
      <c r="J923">
        <v>62.089340260976797</v>
      </c>
      <c r="K923">
        <v>155159.59098630099</v>
      </c>
      <c r="L923">
        <v>745.21174342139398</v>
      </c>
      <c r="M923">
        <v>0.34736949924942701</v>
      </c>
      <c r="N923">
        <v>2.4395802336595201E-2</v>
      </c>
      <c r="O923">
        <v>0.87207896387411799</v>
      </c>
      <c r="P923">
        <v>7.4269852909172596E-2</v>
      </c>
      <c r="Q923">
        <v>0.93704797649253602</v>
      </c>
      <c r="R923">
        <v>0</v>
      </c>
      <c r="S923">
        <v>220</v>
      </c>
      <c r="T923">
        <v>160</v>
      </c>
      <c r="U923">
        <v>56633250.710000001</v>
      </c>
      <c r="V923">
        <v>365</v>
      </c>
    </row>
    <row r="924" spans="1:22" x14ac:dyDescent="0.25">
      <c r="A924">
        <v>0.97622826786390104</v>
      </c>
      <c r="B924">
        <v>25.076760274525501</v>
      </c>
      <c r="C924">
        <v>35.567430138497002</v>
      </c>
      <c r="D924">
        <v>0</v>
      </c>
      <c r="E924">
        <v>5.69938877857295</v>
      </c>
      <c r="F924">
        <v>3.7317019920305299</v>
      </c>
      <c r="G924">
        <v>217.43085376241601</v>
      </c>
      <c r="H924">
        <v>31.2443622664656</v>
      </c>
      <c r="I924">
        <v>67.497611450061896</v>
      </c>
      <c r="J924">
        <v>63.478928377234098</v>
      </c>
      <c r="K924">
        <v>164831.22146964801</v>
      </c>
      <c r="L924">
        <v>743.29802530923905</v>
      </c>
      <c r="M924">
        <v>0.28753016694064198</v>
      </c>
      <c r="N924">
        <v>1.9207070674476301E-2</v>
      </c>
      <c r="O924">
        <v>0.79609869003476696</v>
      </c>
      <c r="P924">
        <v>4.1518614426894897E-2</v>
      </c>
      <c r="Q924">
        <v>0.94288052881895001</v>
      </c>
      <c r="R924">
        <v>0</v>
      </c>
      <c r="S924">
        <v>220</v>
      </c>
      <c r="T924">
        <v>170</v>
      </c>
      <c r="U924">
        <v>51592172.32</v>
      </c>
      <c r="V924">
        <v>313</v>
      </c>
    </row>
    <row r="925" spans="1:22" x14ac:dyDescent="0.25">
      <c r="A925">
        <v>0.96757788456832605</v>
      </c>
      <c r="B925">
        <v>32.666498360988697</v>
      </c>
      <c r="C925">
        <v>31.262699017688401</v>
      </c>
      <c r="D925">
        <v>0</v>
      </c>
      <c r="E925">
        <v>5.68421233468308</v>
      </c>
      <c r="F925">
        <v>3.7174109778774702</v>
      </c>
      <c r="G925">
        <v>217.39210368292299</v>
      </c>
      <c r="H925">
        <v>30.619273929856501</v>
      </c>
      <c r="I925">
        <v>68.151874572950206</v>
      </c>
      <c r="J925">
        <v>63.377807740846499</v>
      </c>
      <c r="K925">
        <v>275815.04884481902</v>
      </c>
      <c r="L925">
        <v>731.24098227149398</v>
      </c>
      <c r="M925">
        <v>0.29378132606464202</v>
      </c>
      <c r="N925">
        <v>4.2709377452741698E-2</v>
      </c>
      <c r="O925">
        <v>0.69236497610386105</v>
      </c>
      <c r="P925">
        <v>0.12005258506368401</v>
      </c>
      <c r="Q925">
        <v>0.91373314368252101</v>
      </c>
      <c r="R925">
        <v>0</v>
      </c>
      <c r="S925">
        <v>220</v>
      </c>
      <c r="T925">
        <v>175</v>
      </c>
      <c r="U925">
        <v>556318953.51999998</v>
      </c>
      <c r="V925">
        <v>2017</v>
      </c>
    </row>
    <row r="926" spans="1:22" x14ac:dyDescent="0.25">
      <c r="A926">
        <v>0.97605607379913994</v>
      </c>
      <c r="B926">
        <v>25.2351924242043</v>
      </c>
      <c r="C926">
        <v>0.25507857865901801</v>
      </c>
      <c r="D926">
        <v>0</v>
      </c>
      <c r="E926">
        <v>5.7016666595143404</v>
      </c>
      <c r="F926">
        <v>3.7261203741179698</v>
      </c>
      <c r="G926">
        <v>217.67058032019099</v>
      </c>
      <c r="H926">
        <v>31.046780123376202</v>
      </c>
      <c r="I926">
        <v>65.415504844195894</v>
      </c>
      <c r="J926">
        <v>62.128567608828803</v>
      </c>
      <c r="K926">
        <v>172438.209480519</v>
      </c>
      <c r="L926">
        <v>737.63930435324596</v>
      </c>
      <c r="M926">
        <v>0.29255452560894102</v>
      </c>
      <c r="N926">
        <v>1.2980294639898899E-2</v>
      </c>
      <c r="O926">
        <v>0.79847099425480395</v>
      </c>
      <c r="P926">
        <v>8.44620500247657E-2</v>
      </c>
      <c r="Q926">
        <v>0.95455121931939402</v>
      </c>
      <c r="R926">
        <v>0</v>
      </c>
      <c r="S926">
        <v>220</v>
      </c>
      <c r="T926">
        <v>180</v>
      </c>
      <c r="U926">
        <v>26555484.260000002</v>
      </c>
      <c r="V926">
        <v>154</v>
      </c>
    </row>
    <row r="927" spans="1:22" x14ac:dyDescent="0.25">
      <c r="A927">
        <v>0.99046694986158401</v>
      </c>
      <c r="B927">
        <v>10.8585156146691</v>
      </c>
      <c r="C927">
        <v>50.1872912007385</v>
      </c>
      <c r="D927">
        <v>0</v>
      </c>
      <c r="E927">
        <v>5.7750290392779302</v>
      </c>
      <c r="F927">
        <v>3.80585615634965</v>
      </c>
      <c r="G927">
        <v>221.73052244636401</v>
      </c>
      <c r="H927">
        <v>29.813751504298001</v>
      </c>
      <c r="I927">
        <v>37.222620681754798</v>
      </c>
      <c r="J927">
        <v>21.327362380172701</v>
      </c>
      <c r="K927">
        <v>16223.136028368701</v>
      </c>
      <c r="L927">
        <v>768.59316435124595</v>
      </c>
      <c r="M927">
        <v>7.6403602004033996E-2</v>
      </c>
      <c r="N927">
        <v>1.4608259009554401E-2</v>
      </c>
      <c r="O927">
        <v>0.87061470017397102</v>
      </c>
      <c r="P927">
        <v>7.70118087810308E-3</v>
      </c>
      <c r="Q927">
        <v>0.74629280646729601</v>
      </c>
      <c r="R927">
        <v>0</v>
      </c>
      <c r="S927">
        <v>225</v>
      </c>
      <c r="T927">
        <v>20</v>
      </c>
      <c r="U927">
        <v>2287462.1800000002</v>
      </c>
      <c r="V927">
        <v>141</v>
      </c>
    </row>
    <row r="928" spans="1:22" x14ac:dyDescent="0.25">
      <c r="A928">
        <v>0.98836261647912604</v>
      </c>
      <c r="B928">
        <v>13.1048124224364</v>
      </c>
      <c r="C928">
        <v>20.707496466721501</v>
      </c>
      <c r="D928">
        <v>0</v>
      </c>
      <c r="E928">
        <v>5.8141579172516504</v>
      </c>
      <c r="F928">
        <v>3.8544584455964102</v>
      </c>
      <c r="G928">
        <v>221.89423855952799</v>
      </c>
      <c r="H928">
        <v>28.701074917272098</v>
      </c>
      <c r="I928">
        <v>39.404359503044503</v>
      </c>
      <c r="J928">
        <v>30.274313265701899</v>
      </c>
      <c r="K928">
        <v>25908.8510614525</v>
      </c>
      <c r="L928">
        <v>769.26244285526298</v>
      </c>
      <c r="M928">
        <v>8.5188166342515595E-2</v>
      </c>
      <c r="N928">
        <v>1.0013842382381699E-2</v>
      </c>
      <c r="O928">
        <v>0.84809057315013303</v>
      </c>
      <c r="P928">
        <v>3.6053996508093503E-2</v>
      </c>
      <c r="Q928">
        <v>0.82039913264126896</v>
      </c>
      <c r="R928">
        <v>0</v>
      </c>
      <c r="S928">
        <v>225</v>
      </c>
      <c r="T928">
        <v>30</v>
      </c>
      <c r="U928">
        <v>9275368.6799999997</v>
      </c>
      <c r="V928">
        <v>358</v>
      </c>
    </row>
    <row r="929" spans="1:22" x14ac:dyDescent="0.25">
      <c r="A929">
        <v>0.98664693888468802</v>
      </c>
      <c r="B929">
        <v>14.8977046909172</v>
      </c>
      <c r="C929">
        <v>19.3788518330011</v>
      </c>
      <c r="D929">
        <v>0</v>
      </c>
      <c r="E929">
        <v>5.77854700646657</v>
      </c>
      <c r="F929">
        <v>3.81303683710949</v>
      </c>
      <c r="G929">
        <v>221.87769714516199</v>
      </c>
      <c r="H929">
        <v>28.5622538589501</v>
      </c>
      <c r="I929">
        <v>44.923188812495503</v>
      </c>
      <c r="J929">
        <v>38.755031273467999</v>
      </c>
      <c r="K929">
        <v>35509.291730531499</v>
      </c>
      <c r="L929">
        <v>762.81211080050105</v>
      </c>
      <c r="M929">
        <v>0.115383853424327</v>
      </c>
      <c r="N929">
        <v>1.18584108430546E-2</v>
      </c>
      <c r="O929">
        <v>0.85112100958790005</v>
      </c>
      <c r="P929">
        <v>3.5585426417373701E-2</v>
      </c>
      <c r="Q929">
        <v>0.83265661978316197</v>
      </c>
      <c r="R929">
        <v>0</v>
      </c>
      <c r="S929">
        <v>225</v>
      </c>
      <c r="T929">
        <v>40</v>
      </c>
      <c r="U929">
        <v>28727017.010000002</v>
      </c>
      <c r="V929">
        <v>809</v>
      </c>
    </row>
    <row r="930" spans="1:22" x14ac:dyDescent="0.25">
      <c r="A930">
        <v>0.98508469752909</v>
      </c>
      <c r="B930">
        <v>16.500692703068601</v>
      </c>
      <c r="C930">
        <v>16.7699858450429</v>
      </c>
      <c r="D930">
        <v>0</v>
      </c>
      <c r="E930">
        <v>5.7766997677799203</v>
      </c>
      <c r="F930">
        <v>3.8128218256507602</v>
      </c>
      <c r="G930">
        <v>221.928628084785</v>
      </c>
      <c r="H930">
        <v>28.403165389194001</v>
      </c>
      <c r="I930">
        <v>46.936558087347798</v>
      </c>
      <c r="J930">
        <v>42.604979534196303</v>
      </c>
      <c r="K930">
        <v>45359.737640532498</v>
      </c>
      <c r="L930">
        <v>762.06392879834698</v>
      </c>
      <c r="M930">
        <v>0.12990274349911601</v>
      </c>
      <c r="N930">
        <v>2.2810193354604401E-2</v>
      </c>
      <c r="O930">
        <v>0.84529389985636305</v>
      </c>
      <c r="P930">
        <v>3.1326037030165503E-2</v>
      </c>
      <c r="Q930">
        <v>0.84135889051969603</v>
      </c>
      <c r="R930">
        <v>0</v>
      </c>
      <c r="S930">
        <v>225</v>
      </c>
      <c r="T930">
        <v>50</v>
      </c>
      <c r="U930">
        <v>61326365.289999999</v>
      </c>
      <c r="V930">
        <v>1352</v>
      </c>
    </row>
    <row r="931" spans="1:22" x14ac:dyDescent="0.25">
      <c r="A931">
        <v>0.98400081766098801</v>
      </c>
      <c r="B931">
        <v>17.596527806289998</v>
      </c>
      <c r="C931">
        <v>13.7396436879419</v>
      </c>
      <c r="D931">
        <v>0</v>
      </c>
      <c r="E931">
        <v>5.7757517774875797</v>
      </c>
      <c r="F931">
        <v>3.80504375375659</v>
      </c>
      <c r="G931">
        <v>221.91439962178799</v>
      </c>
      <c r="H931">
        <v>28.121491416105499</v>
      </c>
      <c r="I931">
        <v>50.375644455717399</v>
      </c>
      <c r="J931">
        <v>46.181149604670303</v>
      </c>
      <c r="K931">
        <v>55169.945112830399</v>
      </c>
      <c r="L931">
        <v>759.65186386083997</v>
      </c>
      <c r="M931">
        <v>0.17478958688778801</v>
      </c>
      <c r="N931">
        <v>1.2256086408268699E-2</v>
      </c>
      <c r="O931">
        <v>0.85901056353416805</v>
      </c>
      <c r="P931">
        <v>2.56102744170577E-2</v>
      </c>
      <c r="Q931">
        <v>0.89569581402380805</v>
      </c>
      <c r="R931">
        <v>0</v>
      </c>
      <c r="S931">
        <v>225</v>
      </c>
      <c r="T931">
        <v>60</v>
      </c>
      <c r="U931">
        <v>85568584.870000005</v>
      </c>
      <c r="V931">
        <v>1551</v>
      </c>
    </row>
    <row r="932" spans="1:22" x14ac:dyDescent="0.25">
      <c r="A932">
        <v>0.98300039515733895</v>
      </c>
      <c r="B932">
        <v>18.596269283054799</v>
      </c>
      <c r="C932">
        <v>18.836559146123701</v>
      </c>
      <c r="D932">
        <v>0</v>
      </c>
      <c r="E932">
        <v>5.7511439555372501</v>
      </c>
      <c r="F932">
        <v>3.7781209910034899</v>
      </c>
      <c r="G932">
        <v>221.93677193270199</v>
      </c>
      <c r="H932">
        <v>27.945961959821499</v>
      </c>
      <c r="I932">
        <v>53.502501955816598</v>
      </c>
      <c r="J932">
        <v>49.722510760856899</v>
      </c>
      <c r="K932">
        <v>65031.081101347299</v>
      </c>
      <c r="L932">
        <v>756.39471617385095</v>
      </c>
      <c r="M932">
        <v>0.176937676569032</v>
      </c>
      <c r="N932">
        <v>5.2729998528474303E-3</v>
      </c>
      <c r="O932">
        <v>0.86916222834071399</v>
      </c>
      <c r="P932">
        <v>3.7662442184294799E-2</v>
      </c>
      <c r="Q932">
        <v>0.91364808182608703</v>
      </c>
      <c r="R932">
        <v>0</v>
      </c>
      <c r="S932">
        <v>225</v>
      </c>
      <c r="T932">
        <v>70</v>
      </c>
      <c r="U932">
        <v>111008055.44</v>
      </c>
      <c r="V932">
        <v>1707</v>
      </c>
    </row>
    <row r="933" spans="1:22" x14ac:dyDescent="0.25">
      <c r="A933">
        <v>0.98191849281858601</v>
      </c>
      <c r="B933">
        <v>19.664912339490201</v>
      </c>
      <c r="C933">
        <v>14.7757158545427</v>
      </c>
      <c r="D933">
        <v>0</v>
      </c>
      <c r="E933">
        <v>5.7432858680164198</v>
      </c>
      <c r="F933">
        <v>3.76448200204895</v>
      </c>
      <c r="G933">
        <v>221.94122221645401</v>
      </c>
      <c r="H933">
        <v>30.069518514566699</v>
      </c>
      <c r="I933">
        <v>56.217463969982298</v>
      </c>
      <c r="J933">
        <v>52.560868108098802</v>
      </c>
      <c r="K933">
        <v>74530.487876480503</v>
      </c>
      <c r="L933">
        <v>754.85617682597103</v>
      </c>
      <c r="M933">
        <v>0.19010145001396</v>
      </c>
      <c r="N933">
        <v>1.27829052869159E-2</v>
      </c>
      <c r="O933">
        <v>0.85137937419738097</v>
      </c>
      <c r="P933">
        <v>3.8419837347687801E-2</v>
      </c>
      <c r="Q933">
        <v>0.913650392717408</v>
      </c>
      <c r="R933">
        <v>0</v>
      </c>
      <c r="S933">
        <v>225</v>
      </c>
      <c r="T933">
        <v>80</v>
      </c>
      <c r="U933">
        <v>88095036.670000002</v>
      </c>
      <c r="V933">
        <v>1182</v>
      </c>
    </row>
    <row r="934" spans="1:22" x14ac:dyDescent="0.25">
      <c r="A934">
        <v>0.98096719246080899</v>
      </c>
      <c r="B934">
        <v>20.593912759496799</v>
      </c>
      <c r="C934">
        <v>18.9500398597926</v>
      </c>
      <c r="D934">
        <v>0</v>
      </c>
      <c r="E934">
        <v>5.7082414132489898</v>
      </c>
      <c r="F934">
        <v>3.7318334005204599</v>
      </c>
      <c r="G934">
        <v>221.91784839008599</v>
      </c>
      <c r="H934">
        <v>31.320905741743601</v>
      </c>
      <c r="I934">
        <v>58.797373474875101</v>
      </c>
      <c r="J934">
        <v>54.488496446032897</v>
      </c>
      <c r="K934">
        <v>85005.385217853298</v>
      </c>
      <c r="L934">
        <v>751.63272937413501</v>
      </c>
      <c r="M934">
        <v>0.172932071119071</v>
      </c>
      <c r="N934">
        <v>1.50945325824477E-2</v>
      </c>
      <c r="O934">
        <v>0.845471209390524</v>
      </c>
      <c r="P934">
        <v>4.2693683317956102E-2</v>
      </c>
      <c r="Q934">
        <v>0.92010210891747302</v>
      </c>
      <c r="R934">
        <v>0</v>
      </c>
      <c r="S934">
        <v>225</v>
      </c>
      <c r="T934">
        <v>90</v>
      </c>
      <c r="U934">
        <v>79990067.489999995</v>
      </c>
      <c r="V934">
        <v>941</v>
      </c>
    </row>
    <row r="935" spans="1:22" x14ac:dyDescent="0.25">
      <c r="A935">
        <v>0.98064860691047995</v>
      </c>
      <c r="B935">
        <v>20.902822097285402</v>
      </c>
      <c r="C935">
        <v>22.368448519955901</v>
      </c>
      <c r="D935">
        <v>0</v>
      </c>
      <c r="E935">
        <v>5.7300756907239299</v>
      </c>
      <c r="F935">
        <v>3.7429337622525698</v>
      </c>
      <c r="G935">
        <v>221.98190210146899</v>
      </c>
      <c r="H935">
        <v>31.303672686180299</v>
      </c>
      <c r="I935">
        <v>58.703171770407998</v>
      </c>
      <c r="J935">
        <v>54.861734607611602</v>
      </c>
      <c r="K935">
        <v>94831.394393004099</v>
      </c>
      <c r="L935">
        <v>753.71752853012799</v>
      </c>
      <c r="M935">
        <v>0.212933249741251</v>
      </c>
      <c r="N935">
        <v>1.45671045574172E-2</v>
      </c>
      <c r="O935">
        <v>0.84137066034427899</v>
      </c>
      <c r="P935">
        <v>4.0154689595518898E-2</v>
      </c>
      <c r="Q935">
        <v>0.931745500923846</v>
      </c>
      <c r="R935">
        <v>0</v>
      </c>
      <c r="S935">
        <v>225</v>
      </c>
      <c r="T935">
        <v>100</v>
      </c>
      <c r="U935">
        <v>92176115.349999994</v>
      </c>
      <c r="V935">
        <v>972</v>
      </c>
    </row>
    <row r="936" spans="1:22" x14ac:dyDescent="0.25">
      <c r="A936">
        <v>0.98003037091440803</v>
      </c>
      <c r="B936">
        <v>21.499139919856798</v>
      </c>
      <c r="C936">
        <v>16.602235278605601</v>
      </c>
      <c r="D936">
        <v>0</v>
      </c>
      <c r="E936">
        <v>5.7456888200287901</v>
      </c>
      <c r="F936">
        <v>3.7520963003225498</v>
      </c>
      <c r="G936">
        <v>222.045717291682</v>
      </c>
      <c r="H936">
        <v>31.1608377736333</v>
      </c>
      <c r="I936">
        <v>60.246601936433898</v>
      </c>
      <c r="J936">
        <v>56.8351467925226</v>
      </c>
      <c r="K936">
        <v>105015.87205797101</v>
      </c>
      <c r="L936">
        <v>751.44066516740395</v>
      </c>
      <c r="M936">
        <v>0.25448363928830797</v>
      </c>
      <c r="N936">
        <v>2.0648238733897699E-2</v>
      </c>
      <c r="O936">
        <v>0.84890907612826405</v>
      </c>
      <c r="P936">
        <v>6.5269307782147304E-2</v>
      </c>
      <c r="Q936">
        <v>0.95226003470990495</v>
      </c>
      <c r="R936">
        <v>0</v>
      </c>
      <c r="S936">
        <v>225</v>
      </c>
      <c r="T936">
        <v>110</v>
      </c>
      <c r="U936">
        <v>72460951.719999999</v>
      </c>
      <c r="V936">
        <v>690</v>
      </c>
    </row>
    <row r="937" spans="1:22" x14ac:dyDescent="0.25">
      <c r="A937">
        <v>0.97977755061138905</v>
      </c>
      <c r="B937">
        <v>21.741807617672201</v>
      </c>
      <c r="C937">
        <v>25.112615807489899</v>
      </c>
      <c r="D937">
        <v>0</v>
      </c>
      <c r="E937">
        <v>5.7188590915039903</v>
      </c>
      <c r="F937">
        <v>3.7200089682538802</v>
      </c>
      <c r="G937">
        <v>221.99174441127099</v>
      </c>
      <c r="H937">
        <v>31.342462250317499</v>
      </c>
      <c r="I937">
        <v>60.879637875692801</v>
      </c>
      <c r="J937">
        <v>57.382264121977101</v>
      </c>
      <c r="K937">
        <v>114798.290722135</v>
      </c>
      <c r="L937">
        <v>750.48834411540804</v>
      </c>
      <c r="M937">
        <v>0.30774694298662802</v>
      </c>
      <c r="N937">
        <v>1.8804552242717199E-2</v>
      </c>
      <c r="O937">
        <v>0.84783283560337996</v>
      </c>
      <c r="P937">
        <v>5.1780101065696603E-2</v>
      </c>
      <c r="Q937">
        <v>0.94641802888942095</v>
      </c>
      <c r="R937">
        <v>0</v>
      </c>
      <c r="S937">
        <v>225</v>
      </c>
      <c r="T937">
        <v>120</v>
      </c>
      <c r="U937">
        <v>73126511.189999998</v>
      </c>
      <c r="V937">
        <v>637</v>
      </c>
    </row>
    <row r="938" spans="1:22" x14ac:dyDescent="0.25">
      <c r="A938">
        <v>0.97902327862129102</v>
      </c>
      <c r="B938">
        <v>22.461709859534899</v>
      </c>
      <c r="C938">
        <v>22.122503420467101</v>
      </c>
      <c r="D938">
        <v>0</v>
      </c>
      <c r="E938">
        <v>5.73091424119733</v>
      </c>
      <c r="F938">
        <v>3.7416087024159799</v>
      </c>
      <c r="G938">
        <v>221.95398964735099</v>
      </c>
      <c r="H938">
        <v>31.183875085917101</v>
      </c>
      <c r="I938">
        <v>61.169604274925298</v>
      </c>
      <c r="J938">
        <v>57.3807027815431</v>
      </c>
      <c r="K938">
        <v>125097.755437956</v>
      </c>
      <c r="L938">
        <v>752.76950462427203</v>
      </c>
      <c r="M938">
        <v>0.27374917886077899</v>
      </c>
      <c r="N938">
        <v>3.0858185804432399E-2</v>
      </c>
      <c r="O938">
        <v>0.824818298835441</v>
      </c>
      <c r="P938">
        <v>7.5246490029693996E-2</v>
      </c>
      <c r="Q938">
        <v>0.92521572834943899</v>
      </c>
      <c r="R938">
        <v>0</v>
      </c>
      <c r="S938">
        <v>225</v>
      </c>
      <c r="T938">
        <v>130</v>
      </c>
      <c r="U938">
        <v>68553569.980000004</v>
      </c>
      <c r="V938">
        <v>548</v>
      </c>
    </row>
    <row r="939" spans="1:22" x14ac:dyDescent="0.25">
      <c r="A939">
        <v>0.979250611641448</v>
      </c>
      <c r="B939">
        <v>22.245377398422399</v>
      </c>
      <c r="C939">
        <v>24.1321983992128</v>
      </c>
      <c r="D939">
        <v>0</v>
      </c>
      <c r="E939">
        <v>5.7011860787851001</v>
      </c>
      <c r="F939">
        <v>3.7118867389185501</v>
      </c>
      <c r="G939">
        <v>221.99313945658599</v>
      </c>
      <c r="H939">
        <v>31.395272098466101</v>
      </c>
      <c r="I939">
        <v>59.750704351689002</v>
      </c>
      <c r="J939">
        <v>55.968843739048801</v>
      </c>
      <c r="K939">
        <v>135346.668284313</v>
      </c>
      <c r="L939">
        <v>753.04270744355404</v>
      </c>
      <c r="M939">
        <v>0.33057424818731601</v>
      </c>
      <c r="N939">
        <v>3.43209723858732E-2</v>
      </c>
      <c r="O939">
        <v>0.90437348234876702</v>
      </c>
      <c r="P939">
        <v>5.6424386302854498E-2</v>
      </c>
      <c r="Q939">
        <v>0.94340441189786195</v>
      </c>
      <c r="R939">
        <v>0</v>
      </c>
      <c r="S939">
        <v>225</v>
      </c>
      <c r="T939">
        <v>140</v>
      </c>
      <c r="U939">
        <v>55221440.659999996</v>
      </c>
      <c r="V939">
        <v>408</v>
      </c>
    </row>
    <row r="940" spans="1:22" x14ac:dyDescent="0.25">
      <c r="A940">
        <v>0.97810601333285496</v>
      </c>
      <c r="B940">
        <v>23.328996563774499</v>
      </c>
      <c r="C940">
        <v>28.652957895691099</v>
      </c>
      <c r="D940">
        <v>0</v>
      </c>
      <c r="E940">
        <v>5.68301431245429</v>
      </c>
      <c r="F940">
        <v>3.70366598712239</v>
      </c>
      <c r="G940">
        <v>221.89848871005299</v>
      </c>
      <c r="H940">
        <v>31.855093477480501</v>
      </c>
      <c r="I940">
        <v>59.640284156609802</v>
      </c>
      <c r="J940">
        <v>56.279697541997201</v>
      </c>
      <c r="K940">
        <v>145242.090366972</v>
      </c>
      <c r="L940">
        <v>752.589876216064</v>
      </c>
      <c r="M940">
        <v>0.26683172284229001</v>
      </c>
      <c r="N940">
        <v>1.5882539792618298E-2</v>
      </c>
      <c r="O940">
        <v>0.855538373567166</v>
      </c>
      <c r="P940">
        <v>6.6789559135208704E-2</v>
      </c>
      <c r="Q940">
        <v>0.93624794240638798</v>
      </c>
      <c r="R940">
        <v>0</v>
      </c>
      <c r="S940">
        <v>225</v>
      </c>
      <c r="T940">
        <v>150</v>
      </c>
      <c r="U940">
        <v>63325551.399999999</v>
      </c>
      <c r="V940">
        <v>436</v>
      </c>
    </row>
    <row r="941" spans="1:22" x14ac:dyDescent="0.25">
      <c r="A941">
        <v>0.97756315077679501</v>
      </c>
      <c r="B941">
        <v>23.838082457828399</v>
      </c>
      <c r="C941">
        <v>19.168581200581801</v>
      </c>
      <c r="D941">
        <v>0</v>
      </c>
      <c r="E941">
        <v>5.7052103829393799</v>
      </c>
      <c r="F941">
        <v>3.7128219351378302</v>
      </c>
      <c r="G941">
        <v>222.08588653271099</v>
      </c>
      <c r="H941">
        <v>31.737388815891102</v>
      </c>
      <c r="I941">
        <v>62.122540195787899</v>
      </c>
      <c r="J941">
        <v>58.513808689713997</v>
      </c>
      <c r="K941">
        <v>155161.31904899099</v>
      </c>
      <c r="L941">
        <v>747.848712458308</v>
      </c>
      <c r="M941">
        <v>0.34019370076554201</v>
      </c>
      <c r="N941">
        <v>3.43152193474534E-2</v>
      </c>
      <c r="O941">
        <v>0.85684241598442501</v>
      </c>
      <c r="P941">
        <v>6.9635519625856304E-2</v>
      </c>
      <c r="Q941">
        <v>0.96262261969239404</v>
      </c>
      <c r="R941">
        <v>0</v>
      </c>
      <c r="S941">
        <v>225</v>
      </c>
      <c r="T941">
        <v>160</v>
      </c>
      <c r="U941">
        <v>53840977.710000001</v>
      </c>
      <c r="V941">
        <v>347</v>
      </c>
    </row>
    <row r="942" spans="1:22" x14ac:dyDescent="0.25">
      <c r="A942">
        <v>0.97688403892810105</v>
      </c>
      <c r="B942">
        <v>24.4705771761767</v>
      </c>
      <c r="C942">
        <v>31.376758755230401</v>
      </c>
      <c r="D942">
        <v>0</v>
      </c>
      <c r="E942">
        <v>5.7299654497290602</v>
      </c>
      <c r="F942">
        <v>3.7234017858192399</v>
      </c>
      <c r="G942">
        <v>222.05774628812401</v>
      </c>
      <c r="H942">
        <v>31.904099085722301</v>
      </c>
      <c r="I942">
        <v>63.425523177868001</v>
      </c>
      <c r="J942">
        <v>60.507020142496103</v>
      </c>
      <c r="K942">
        <v>165016.60728301801</v>
      </c>
      <c r="L942">
        <v>748.510727462874</v>
      </c>
      <c r="M942">
        <v>0.30985583341719902</v>
      </c>
      <c r="N942">
        <v>1.5068351177615799E-2</v>
      </c>
      <c r="O942">
        <v>0.872144855609847</v>
      </c>
      <c r="P942">
        <v>6.79570926379027E-2</v>
      </c>
      <c r="Q942">
        <v>0.96604501528898401</v>
      </c>
      <c r="R942">
        <v>0</v>
      </c>
      <c r="S942">
        <v>225</v>
      </c>
      <c r="T942">
        <v>170</v>
      </c>
      <c r="U942">
        <v>43729400.93</v>
      </c>
      <c r="V942">
        <v>265</v>
      </c>
    </row>
    <row r="943" spans="1:22" x14ac:dyDescent="0.25">
      <c r="A943">
        <v>0.96786631356412001</v>
      </c>
      <c r="B943">
        <v>32.425242658501098</v>
      </c>
      <c r="C943">
        <v>28.085516546022401</v>
      </c>
      <c r="D943">
        <v>0</v>
      </c>
      <c r="E943">
        <v>5.7081814802409196</v>
      </c>
      <c r="F943">
        <v>3.7048597787076898</v>
      </c>
      <c r="G943">
        <v>222.09058138475001</v>
      </c>
      <c r="H943">
        <v>30.654574715944499</v>
      </c>
      <c r="I943">
        <v>64.622218205090604</v>
      </c>
      <c r="J943">
        <v>60.604183450116501</v>
      </c>
      <c r="K943">
        <v>271055.28450335498</v>
      </c>
      <c r="L943">
        <v>736.15795460752202</v>
      </c>
      <c r="M943">
        <v>0.29979231757748598</v>
      </c>
      <c r="N943">
        <v>4.44850445353899E-2</v>
      </c>
      <c r="O943">
        <v>0.71019796725169804</v>
      </c>
      <c r="P943">
        <v>0.13974860969960101</v>
      </c>
      <c r="Q943">
        <v>0.92098895660758595</v>
      </c>
      <c r="R943">
        <v>0</v>
      </c>
      <c r="S943">
        <v>225</v>
      </c>
      <c r="T943">
        <v>175</v>
      </c>
      <c r="U943">
        <v>403872373.91000003</v>
      </c>
      <c r="V943">
        <v>1490</v>
      </c>
    </row>
    <row r="944" spans="1:22" x14ac:dyDescent="0.25">
      <c r="A944">
        <v>0.976539351686878</v>
      </c>
      <c r="B944">
        <v>24.789758131843101</v>
      </c>
      <c r="C944">
        <v>37.134094788817897</v>
      </c>
      <c r="D944">
        <v>0</v>
      </c>
      <c r="E944">
        <v>5.6873832123165302</v>
      </c>
      <c r="F944">
        <v>3.7138412733054298</v>
      </c>
      <c r="G944">
        <v>222.148848652883</v>
      </c>
      <c r="H944">
        <v>31.185502867770602</v>
      </c>
      <c r="I944">
        <v>61.040855837680198</v>
      </c>
      <c r="J944">
        <v>57.382669207176697</v>
      </c>
      <c r="K944">
        <v>172484.37639097701</v>
      </c>
      <c r="L944">
        <v>749.62140793367701</v>
      </c>
      <c r="M944">
        <v>0.31581979533989402</v>
      </c>
      <c r="N944">
        <v>1.5058432189978601E-2</v>
      </c>
      <c r="O944">
        <v>0.81898839789698197</v>
      </c>
      <c r="P944">
        <v>8.2541209357331197E-2</v>
      </c>
      <c r="Q944">
        <v>0.954941459782366</v>
      </c>
      <c r="R944">
        <v>0</v>
      </c>
      <c r="S944">
        <v>225</v>
      </c>
      <c r="T944">
        <v>180</v>
      </c>
      <c r="U944">
        <v>22940422.059999999</v>
      </c>
      <c r="V944">
        <v>133</v>
      </c>
    </row>
    <row r="945" spans="1:22" x14ac:dyDescent="0.25">
      <c r="A945">
        <v>0.990506294303101</v>
      </c>
      <c r="B945">
        <v>10.8160145910569</v>
      </c>
      <c r="C945">
        <v>42.106712223973702</v>
      </c>
      <c r="D945">
        <v>0</v>
      </c>
      <c r="E945">
        <v>5.8541753280058701</v>
      </c>
      <c r="F945">
        <v>3.8322407546246802</v>
      </c>
      <c r="G945">
        <v>227.004789991671</v>
      </c>
      <c r="H945">
        <v>29.870604030278301</v>
      </c>
      <c r="I945">
        <v>31.5422438268528</v>
      </c>
      <c r="J945">
        <v>18.115086273456701</v>
      </c>
      <c r="K945">
        <v>15075.670396039601</v>
      </c>
      <c r="L945">
        <v>762.75846413765703</v>
      </c>
      <c r="M945">
        <v>6.1065803152205E-2</v>
      </c>
      <c r="N945">
        <v>0</v>
      </c>
      <c r="O945">
        <v>0.96555831538444103</v>
      </c>
      <c r="P945">
        <v>8.0758407203748994E-3</v>
      </c>
      <c r="Q945">
        <v>0.91863041855695704</v>
      </c>
      <c r="R945">
        <v>0</v>
      </c>
      <c r="S945">
        <v>230</v>
      </c>
      <c r="T945">
        <v>20</v>
      </c>
      <c r="U945">
        <v>1522642.71</v>
      </c>
      <c r="V945">
        <v>101</v>
      </c>
    </row>
    <row r="946" spans="1:22" x14ac:dyDescent="0.25">
      <c r="A946">
        <v>0.98836476002207496</v>
      </c>
      <c r="B946">
        <v>13.1025509149447</v>
      </c>
      <c r="C946">
        <v>25.9739020314653</v>
      </c>
      <c r="D946">
        <v>0</v>
      </c>
      <c r="E946">
        <v>5.9005367511520399</v>
      </c>
      <c r="F946">
        <v>3.8694611170819799</v>
      </c>
      <c r="G946">
        <v>227.13648961241501</v>
      </c>
      <c r="H946">
        <v>28.2925642050274</v>
      </c>
      <c r="I946">
        <v>34.649353638267598</v>
      </c>
      <c r="J946">
        <v>28.1020840537476</v>
      </c>
      <c r="K946">
        <v>25622.548312101899</v>
      </c>
      <c r="L946">
        <v>762.96223149226898</v>
      </c>
      <c r="M946">
        <v>0.124974953483727</v>
      </c>
      <c r="N946">
        <v>3.5961483203804799E-3</v>
      </c>
      <c r="O946">
        <v>0.85488291744804501</v>
      </c>
      <c r="P946">
        <v>3.3647183795122E-2</v>
      </c>
      <c r="Q946">
        <v>0.84636106933565403</v>
      </c>
      <c r="R946">
        <v>0</v>
      </c>
      <c r="S946">
        <v>230</v>
      </c>
      <c r="T946">
        <v>30</v>
      </c>
      <c r="U946">
        <v>8045480.1699999999</v>
      </c>
      <c r="V946">
        <v>314</v>
      </c>
    </row>
    <row r="947" spans="1:22" x14ac:dyDescent="0.25">
      <c r="A947">
        <v>0.98648383098546499</v>
      </c>
      <c r="B947">
        <v>15.066375878861701</v>
      </c>
      <c r="C947">
        <v>17.9720029936564</v>
      </c>
      <c r="D947">
        <v>0</v>
      </c>
      <c r="E947">
        <v>5.8732019655006402</v>
      </c>
      <c r="F947">
        <v>3.83562348889039</v>
      </c>
      <c r="G947">
        <v>227.111967508476</v>
      </c>
      <c r="H947">
        <v>28.5164566441766</v>
      </c>
      <c r="I947">
        <v>45.975668567125801</v>
      </c>
      <c r="J947">
        <v>41.083949363132099</v>
      </c>
      <c r="K947">
        <v>35492.301139028401</v>
      </c>
      <c r="L947">
        <v>760.16239840558603</v>
      </c>
      <c r="M947">
        <v>0.10318025428307399</v>
      </c>
      <c r="N947">
        <v>1.58808597883962E-2</v>
      </c>
      <c r="O947">
        <v>0.85300541630946003</v>
      </c>
      <c r="P947">
        <v>3.02220731496473E-2</v>
      </c>
      <c r="Q947">
        <v>0.81975225619718195</v>
      </c>
      <c r="R947">
        <v>0</v>
      </c>
      <c r="S947">
        <v>230</v>
      </c>
      <c r="T947">
        <v>40</v>
      </c>
      <c r="U947">
        <v>21188903.780000001</v>
      </c>
      <c r="V947">
        <v>597</v>
      </c>
    </row>
    <row r="948" spans="1:22" x14ac:dyDescent="0.25">
      <c r="A948">
        <v>0.98509810550964005</v>
      </c>
      <c r="B948">
        <v>16.487053580602101</v>
      </c>
      <c r="C948">
        <v>15.8644143441447</v>
      </c>
      <c r="D948">
        <v>0</v>
      </c>
      <c r="E948">
        <v>5.8538379061919299</v>
      </c>
      <c r="F948">
        <v>3.82161746787152</v>
      </c>
      <c r="G948">
        <v>227.10689972365901</v>
      </c>
      <c r="H948">
        <v>28.398814826871401</v>
      </c>
      <c r="I948">
        <v>48.097073078693697</v>
      </c>
      <c r="J948">
        <v>44.084101909915503</v>
      </c>
      <c r="K948">
        <v>45265.880435624298</v>
      </c>
      <c r="L948">
        <v>757.18620428540203</v>
      </c>
      <c r="M948">
        <v>0.129020663129369</v>
      </c>
      <c r="N948">
        <v>2.9979017066941501E-2</v>
      </c>
      <c r="O948">
        <v>0.87652042101305905</v>
      </c>
      <c r="P948">
        <v>2.805368654468E-2</v>
      </c>
      <c r="Q948">
        <v>0.88192212388607805</v>
      </c>
      <c r="R948">
        <v>0</v>
      </c>
      <c r="S948">
        <v>230</v>
      </c>
      <c r="T948">
        <v>50</v>
      </c>
      <c r="U948">
        <v>46759654.490000002</v>
      </c>
      <c r="V948">
        <v>1033</v>
      </c>
    </row>
    <row r="949" spans="1:22" x14ac:dyDescent="0.25">
      <c r="A949">
        <v>0.98399537801849302</v>
      </c>
      <c r="B949">
        <v>17.601994043219399</v>
      </c>
      <c r="C949">
        <v>12.333426821318699</v>
      </c>
      <c r="D949">
        <v>0</v>
      </c>
      <c r="E949">
        <v>5.8384437381517698</v>
      </c>
      <c r="F949">
        <v>3.8040326493062802</v>
      </c>
      <c r="G949">
        <v>227.12363335011801</v>
      </c>
      <c r="H949">
        <v>28.222303251852299</v>
      </c>
      <c r="I949">
        <v>51.4672138405449</v>
      </c>
      <c r="J949">
        <v>47.759884460499201</v>
      </c>
      <c r="K949">
        <v>55191.153782211099</v>
      </c>
      <c r="L949">
        <v>754.50456643514997</v>
      </c>
      <c r="M949">
        <v>0.18064768984415899</v>
      </c>
      <c r="N949">
        <v>1.5771218350646401E-2</v>
      </c>
      <c r="O949">
        <v>0.89159345985277905</v>
      </c>
      <c r="P949">
        <v>3.12808071962331E-2</v>
      </c>
      <c r="Q949">
        <v>0.92115231069202497</v>
      </c>
      <c r="R949">
        <v>0</v>
      </c>
      <c r="S949">
        <v>230</v>
      </c>
      <c r="T949">
        <v>60</v>
      </c>
      <c r="U949">
        <v>66394958</v>
      </c>
      <c r="V949">
        <v>1203</v>
      </c>
    </row>
    <row r="950" spans="1:22" x14ac:dyDescent="0.25">
      <c r="A950">
        <v>0.983053711783623</v>
      </c>
      <c r="B950">
        <v>18.543270721436301</v>
      </c>
      <c r="C950">
        <v>20.037509035027899</v>
      </c>
      <c r="D950">
        <v>0</v>
      </c>
      <c r="E950">
        <v>5.8350091271350397</v>
      </c>
      <c r="F950">
        <v>3.7903866159869399</v>
      </c>
      <c r="G950">
        <v>227.13890787186</v>
      </c>
      <c r="H950">
        <v>28.2213106848215</v>
      </c>
      <c r="I950">
        <v>56.3377012104824</v>
      </c>
      <c r="J950">
        <v>52.489174951439303</v>
      </c>
      <c r="K950">
        <v>64795.568573529403</v>
      </c>
      <c r="L950">
        <v>750.61376235797104</v>
      </c>
      <c r="M950">
        <v>0.207384780707076</v>
      </c>
      <c r="N950">
        <v>1.3444869720567101E-2</v>
      </c>
      <c r="O950">
        <v>0.86909841038210001</v>
      </c>
      <c r="P950">
        <v>2.8693913861184001E-2</v>
      </c>
      <c r="Q950">
        <v>0.91219748600985795</v>
      </c>
      <c r="R950">
        <v>0</v>
      </c>
      <c r="S950">
        <v>230</v>
      </c>
      <c r="T950">
        <v>70</v>
      </c>
      <c r="U950">
        <v>88121973.260000005</v>
      </c>
      <c r="V950">
        <v>1360</v>
      </c>
    </row>
    <row r="951" spans="1:22" x14ac:dyDescent="0.25">
      <c r="A951">
        <v>0.98182300750381302</v>
      </c>
      <c r="B951">
        <v>19.758607119943001</v>
      </c>
      <c r="C951">
        <v>11.7537373530081</v>
      </c>
      <c r="D951">
        <v>0</v>
      </c>
      <c r="E951">
        <v>5.8064804633846299</v>
      </c>
      <c r="F951">
        <v>3.7635996360892401</v>
      </c>
      <c r="G951">
        <v>227.21958888756501</v>
      </c>
      <c r="H951">
        <v>29.694959470381701</v>
      </c>
      <c r="I951">
        <v>61.167035733278702</v>
      </c>
      <c r="J951">
        <v>57.068071062753503</v>
      </c>
      <c r="K951">
        <v>74432.715205314002</v>
      </c>
      <c r="L951">
        <v>744.60707855583303</v>
      </c>
      <c r="M951">
        <v>0.170704370837374</v>
      </c>
      <c r="N951">
        <v>2.3387671749259702E-2</v>
      </c>
      <c r="O951">
        <v>0.87794302491643095</v>
      </c>
      <c r="P951">
        <v>3.3907018470490699E-2</v>
      </c>
      <c r="Q951">
        <v>0.92905742114135603</v>
      </c>
      <c r="R951">
        <v>0</v>
      </c>
      <c r="S951">
        <v>230</v>
      </c>
      <c r="T951">
        <v>80</v>
      </c>
      <c r="U951">
        <v>61630288.189999998</v>
      </c>
      <c r="V951">
        <v>828</v>
      </c>
    </row>
    <row r="952" spans="1:22" x14ac:dyDescent="0.25">
      <c r="A952">
        <v>0.98049274759475102</v>
      </c>
      <c r="B952">
        <v>21.053545949141999</v>
      </c>
      <c r="C952">
        <v>17.139723253490398</v>
      </c>
      <c r="D952">
        <v>0</v>
      </c>
      <c r="E952">
        <v>5.8296556641583503</v>
      </c>
      <c r="F952">
        <v>3.7712481753882998</v>
      </c>
      <c r="G952">
        <v>227.13947151572901</v>
      </c>
      <c r="H952">
        <v>30.650819539174002</v>
      </c>
      <c r="I952">
        <v>64.809540008654295</v>
      </c>
      <c r="J952">
        <v>60.729241035592203</v>
      </c>
      <c r="K952">
        <v>85001.848530884803</v>
      </c>
      <c r="L952">
        <v>745.795113321906</v>
      </c>
      <c r="M952">
        <v>0.19439380916364299</v>
      </c>
      <c r="N952">
        <v>1.8287112859246599E-2</v>
      </c>
      <c r="O952">
        <v>0.79833612994900105</v>
      </c>
      <c r="P952">
        <v>5.5085563888985001E-2</v>
      </c>
      <c r="Q952">
        <v>0.89858922928614504</v>
      </c>
      <c r="R952">
        <v>0</v>
      </c>
      <c r="S952">
        <v>230</v>
      </c>
      <c r="T952">
        <v>90</v>
      </c>
      <c r="U952">
        <v>50916107.270000003</v>
      </c>
      <c r="V952">
        <v>599</v>
      </c>
    </row>
    <row r="953" spans="1:22" x14ac:dyDescent="0.25">
      <c r="A953">
        <v>0.98014993230820802</v>
      </c>
      <c r="B953">
        <v>21.384139739244599</v>
      </c>
      <c r="C953">
        <v>20.763083282297</v>
      </c>
      <c r="D953">
        <v>0</v>
      </c>
      <c r="E953">
        <v>5.8238966667568297</v>
      </c>
      <c r="F953">
        <v>3.7581162038657698</v>
      </c>
      <c r="G953">
        <v>227.223588697488</v>
      </c>
      <c r="H953">
        <v>31.0629507584948</v>
      </c>
      <c r="I953">
        <v>64.224376499962901</v>
      </c>
      <c r="J953">
        <v>60.3614549392192</v>
      </c>
      <c r="K953">
        <v>94907.171578947295</v>
      </c>
      <c r="L953">
        <v>745.07548425913103</v>
      </c>
      <c r="M953">
        <v>0.22636689291895601</v>
      </c>
      <c r="N953">
        <v>2.1318379025109E-2</v>
      </c>
      <c r="O953">
        <v>0.82631817439995303</v>
      </c>
      <c r="P953">
        <v>4.1242631421741699E-2</v>
      </c>
      <c r="Q953">
        <v>0.921714197963721</v>
      </c>
      <c r="R953">
        <v>0</v>
      </c>
      <c r="S953">
        <v>230</v>
      </c>
      <c r="T953">
        <v>100</v>
      </c>
      <c r="U953">
        <v>57703560.32</v>
      </c>
      <c r="V953">
        <v>608</v>
      </c>
    </row>
    <row r="954" spans="1:22" x14ac:dyDescent="0.25">
      <c r="A954">
        <v>0.97972717488067196</v>
      </c>
      <c r="B954">
        <v>21.790078154022002</v>
      </c>
      <c r="C954">
        <v>21.6003047240537</v>
      </c>
      <c r="D954">
        <v>0</v>
      </c>
      <c r="E954">
        <v>5.8236648617526301</v>
      </c>
      <c r="F954">
        <v>3.7491267195833</v>
      </c>
      <c r="G954">
        <v>227.15999299200499</v>
      </c>
      <c r="H954">
        <v>30.931485925268898</v>
      </c>
      <c r="I954">
        <v>66.916142069428005</v>
      </c>
      <c r="J954">
        <v>62.7731843499582</v>
      </c>
      <c r="K954">
        <v>105082.255231788</v>
      </c>
      <c r="L954">
        <v>743.60701924313298</v>
      </c>
      <c r="M954">
        <v>0.292047674981876</v>
      </c>
      <c r="N954">
        <v>2.8767152513288499E-2</v>
      </c>
      <c r="O954">
        <v>0.82263829169720004</v>
      </c>
      <c r="P954">
        <v>7.9732801779429402E-2</v>
      </c>
      <c r="Q954">
        <v>0.92132346652146302</v>
      </c>
      <c r="R954">
        <v>0</v>
      </c>
      <c r="S954">
        <v>230</v>
      </c>
      <c r="T954">
        <v>110</v>
      </c>
      <c r="U954">
        <v>47602261.619999997</v>
      </c>
      <c r="V954">
        <v>453</v>
      </c>
    </row>
    <row r="955" spans="1:22" x14ac:dyDescent="0.25">
      <c r="A955">
        <v>0.97945243480011601</v>
      </c>
      <c r="B955">
        <v>22.0528569059448</v>
      </c>
      <c r="C955">
        <v>21.500174337640502</v>
      </c>
      <c r="D955">
        <v>0</v>
      </c>
      <c r="E955">
        <v>5.8167992203121601</v>
      </c>
      <c r="F955">
        <v>3.74803820788676</v>
      </c>
      <c r="G955">
        <v>227.10011472349299</v>
      </c>
      <c r="H955">
        <v>31.064342058880801</v>
      </c>
      <c r="I955">
        <v>66.466367808728904</v>
      </c>
      <c r="J955">
        <v>62.435842673732601</v>
      </c>
      <c r="K955">
        <v>114867.195766423</v>
      </c>
      <c r="L955">
        <v>743.35141322471998</v>
      </c>
      <c r="M955">
        <v>0.36418414822464401</v>
      </c>
      <c r="N955">
        <v>2.19964019780137E-2</v>
      </c>
      <c r="O955">
        <v>0.86817922219660804</v>
      </c>
      <c r="P955">
        <v>5.5928684007870599E-2</v>
      </c>
      <c r="Q955">
        <v>0.92925097171974802</v>
      </c>
      <c r="R955">
        <v>0</v>
      </c>
      <c r="S955">
        <v>230</v>
      </c>
      <c r="T955">
        <v>120</v>
      </c>
      <c r="U955">
        <v>47210417.460000001</v>
      </c>
      <c r="V955">
        <v>411</v>
      </c>
    </row>
    <row r="956" spans="1:22" x14ac:dyDescent="0.25">
      <c r="A956">
        <v>0.978777738456859</v>
      </c>
      <c r="B956">
        <v>22.694748538104999</v>
      </c>
      <c r="C956">
        <v>16.598845041889302</v>
      </c>
      <c r="D956">
        <v>0</v>
      </c>
      <c r="E956">
        <v>5.8256903003110203</v>
      </c>
      <c r="F956">
        <v>3.7432105302779699</v>
      </c>
      <c r="G956">
        <v>227.11623370323801</v>
      </c>
      <c r="H956">
        <v>31.113400733007801</v>
      </c>
      <c r="I956">
        <v>67.020423377480995</v>
      </c>
      <c r="J956">
        <v>62.943055940259299</v>
      </c>
      <c r="K956">
        <v>125117.595592286</v>
      </c>
      <c r="L956">
        <v>744.67799902237198</v>
      </c>
      <c r="M956">
        <v>0.294515333664986</v>
      </c>
      <c r="N956">
        <v>2.2046137347125801E-2</v>
      </c>
      <c r="O956">
        <v>0.824073253998719</v>
      </c>
      <c r="P956">
        <v>7.4670599034818305E-2</v>
      </c>
      <c r="Q956">
        <v>0.91212258448069905</v>
      </c>
      <c r="R956">
        <v>0</v>
      </c>
      <c r="S956">
        <v>230</v>
      </c>
      <c r="T956">
        <v>130</v>
      </c>
      <c r="U956">
        <v>45417687.200000003</v>
      </c>
      <c r="V956">
        <v>363</v>
      </c>
    </row>
    <row r="957" spans="1:22" x14ac:dyDescent="0.25">
      <c r="A957">
        <v>0.97870578879001302</v>
      </c>
      <c r="B957">
        <v>22.762913213085302</v>
      </c>
      <c r="C957">
        <v>16.408566115185099</v>
      </c>
      <c r="D957">
        <v>0</v>
      </c>
      <c r="E957">
        <v>5.8191107073188402</v>
      </c>
      <c r="F957">
        <v>3.7596246317030402</v>
      </c>
      <c r="G957">
        <v>227.182479944676</v>
      </c>
      <c r="H957">
        <v>31.332856181321301</v>
      </c>
      <c r="I957">
        <v>67.2753247249439</v>
      </c>
      <c r="J957">
        <v>63.695695130552103</v>
      </c>
      <c r="K957">
        <v>134769.20516014201</v>
      </c>
      <c r="L957">
        <v>750.56764066399501</v>
      </c>
      <c r="M957">
        <v>0.30538910654046802</v>
      </c>
      <c r="N957">
        <v>1.4453888046932E-2</v>
      </c>
      <c r="O957">
        <v>0.87860325383767601</v>
      </c>
      <c r="P957">
        <v>3.9168780192721998E-2</v>
      </c>
      <c r="Q957">
        <v>0.95672650504510204</v>
      </c>
      <c r="R957">
        <v>0</v>
      </c>
      <c r="S957">
        <v>230</v>
      </c>
      <c r="T957">
        <v>140</v>
      </c>
      <c r="U957">
        <v>37870146.649999999</v>
      </c>
      <c r="V957">
        <v>281</v>
      </c>
    </row>
    <row r="958" spans="1:22" x14ac:dyDescent="0.25">
      <c r="A958">
        <v>0.97802984888992395</v>
      </c>
      <c r="B958">
        <v>23.400609708063101</v>
      </c>
      <c r="C958">
        <v>32.8407771882055</v>
      </c>
      <c r="D958">
        <v>0</v>
      </c>
      <c r="E958">
        <v>5.7797461470395604</v>
      </c>
      <c r="F958">
        <v>3.7211757698485699</v>
      </c>
      <c r="G958">
        <v>227.21547237930099</v>
      </c>
      <c r="H958">
        <v>31.428614264364899</v>
      </c>
      <c r="I958">
        <v>67.523406050750296</v>
      </c>
      <c r="J958">
        <v>63.363708110858497</v>
      </c>
      <c r="K958">
        <v>145142.96992</v>
      </c>
      <c r="L958">
        <v>746.53815668539096</v>
      </c>
      <c r="M958">
        <v>0.31680415376193699</v>
      </c>
      <c r="N958">
        <v>1.5898917882636001E-2</v>
      </c>
      <c r="O958">
        <v>0.84439547535475901</v>
      </c>
      <c r="P958">
        <v>6.7839298075732801E-2</v>
      </c>
      <c r="Q958">
        <v>0.89161108354975005</v>
      </c>
      <c r="R958">
        <v>0</v>
      </c>
      <c r="S958">
        <v>230</v>
      </c>
      <c r="T958">
        <v>150</v>
      </c>
      <c r="U958">
        <v>36285742.479999997</v>
      </c>
      <c r="V958">
        <v>250</v>
      </c>
    </row>
    <row r="959" spans="1:22" x14ac:dyDescent="0.25">
      <c r="A959">
        <v>0.97844666569640404</v>
      </c>
      <c r="B959">
        <v>23.007948583315098</v>
      </c>
      <c r="C959">
        <v>40.818607066990502</v>
      </c>
      <c r="D959">
        <v>0</v>
      </c>
      <c r="E959">
        <v>5.7604072398934498</v>
      </c>
      <c r="F959">
        <v>3.7344950492772302</v>
      </c>
      <c r="G959">
        <v>227.04614968603499</v>
      </c>
      <c r="H959">
        <v>30.769032097299299</v>
      </c>
      <c r="I959">
        <v>68.283362849975802</v>
      </c>
      <c r="J959">
        <v>63.667473538700499</v>
      </c>
      <c r="K959">
        <v>155375.65101063799</v>
      </c>
      <c r="L959">
        <v>749.77993314301295</v>
      </c>
      <c r="M959">
        <v>0.43646249469729198</v>
      </c>
      <c r="N959">
        <v>5.8535007819119501E-2</v>
      </c>
      <c r="O959">
        <v>0.90992260264537195</v>
      </c>
      <c r="P959">
        <v>4.76596414623673E-2</v>
      </c>
      <c r="Q959">
        <v>0.98422577157555702</v>
      </c>
      <c r="R959">
        <v>0</v>
      </c>
      <c r="S959">
        <v>230</v>
      </c>
      <c r="T959">
        <v>160</v>
      </c>
      <c r="U959">
        <v>29210622.390000001</v>
      </c>
      <c r="V959">
        <v>188</v>
      </c>
    </row>
    <row r="960" spans="1:22" x14ac:dyDescent="0.25">
      <c r="A960">
        <v>0.97712119147659804</v>
      </c>
      <c r="B960">
        <v>24.250253003594398</v>
      </c>
      <c r="C960">
        <v>36.110736118615399</v>
      </c>
      <c r="D960">
        <v>0</v>
      </c>
      <c r="E960">
        <v>5.8062029132078798</v>
      </c>
      <c r="F960">
        <v>3.7221220544329201</v>
      </c>
      <c r="G960">
        <v>227.170426731292</v>
      </c>
      <c r="H960">
        <v>32.669800103837098</v>
      </c>
      <c r="I960">
        <v>68.660958582554699</v>
      </c>
      <c r="J960">
        <v>65.401181781924294</v>
      </c>
      <c r="K960">
        <v>165005.34313252999</v>
      </c>
      <c r="L960">
        <v>749.86449866974203</v>
      </c>
      <c r="M960">
        <v>0.41055892079808698</v>
      </c>
      <c r="N960">
        <v>2.3792813681123601E-2</v>
      </c>
      <c r="O960">
        <v>0.81446561634088799</v>
      </c>
      <c r="P960">
        <v>9.6836967852610201E-2</v>
      </c>
      <c r="Q960">
        <v>0.94622011685305396</v>
      </c>
      <c r="R960">
        <v>0</v>
      </c>
      <c r="S960">
        <v>230</v>
      </c>
      <c r="T960">
        <v>170</v>
      </c>
      <c r="U960">
        <v>27390886.960000001</v>
      </c>
      <c r="V960">
        <v>166</v>
      </c>
    </row>
    <row r="961" spans="1:22" x14ac:dyDescent="0.25">
      <c r="A961">
        <v>0.96808595264963904</v>
      </c>
      <c r="B961">
        <v>32.240994940651902</v>
      </c>
      <c r="C961">
        <v>18.187102840984402</v>
      </c>
      <c r="D961">
        <v>0</v>
      </c>
      <c r="E961">
        <v>5.7703142415401398</v>
      </c>
      <c r="F961">
        <v>3.7228040338433099</v>
      </c>
      <c r="G961">
        <v>227.172159542955</v>
      </c>
      <c r="H961">
        <v>30.976442312928398</v>
      </c>
      <c r="I961">
        <v>67.155697900060204</v>
      </c>
      <c r="J961">
        <v>62.809400454528799</v>
      </c>
      <c r="K961">
        <v>270770.483361169</v>
      </c>
      <c r="L961">
        <v>730.43545200030496</v>
      </c>
      <c r="M961">
        <v>0.30875259618387701</v>
      </c>
      <c r="N961">
        <v>4.2399783623168298E-2</v>
      </c>
      <c r="O961">
        <v>0.688979924186503</v>
      </c>
      <c r="P961">
        <v>0.13321007493183501</v>
      </c>
      <c r="Q961">
        <v>0.94694188933349899</v>
      </c>
      <c r="R961">
        <v>0</v>
      </c>
      <c r="S961">
        <v>230</v>
      </c>
      <c r="T961">
        <v>175</v>
      </c>
      <c r="U961">
        <v>259398123.06</v>
      </c>
      <c r="V961">
        <v>958</v>
      </c>
    </row>
    <row r="962" spans="1:22" x14ac:dyDescent="0.25">
      <c r="A962">
        <v>0.976568660401821</v>
      </c>
      <c r="B962">
        <v>24.762666388658701</v>
      </c>
      <c r="C962">
        <v>21.4770455370289</v>
      </c>
      <c r="D962">
        <v>0</v>
      </c>
      <c r="E962">
        <v>5.7697823909943704</v>
      </c>
      <c r="F962">
        <v>3.7644626369004599</v>
      </c>
      <c r="G962">
        <v>227.14223171721201</v>
      </c>
      <c r="H962">
        <v>31.1259196863511</v>
      </c>
      <c r="I962">
        <v>68.120548868721201</v>
      </c>
      <c r="J962">
        <v>63.347993838917098</v>
      </c>
      <c r="K962">
        <v>172888.62980582501</v>
      </c>
      <c r="L962">
        <v>746.64400275039304</v>
      </c>
      <c r="M962">
        <v>0.37790574363954399</v>
      </c>
      <c r="N962">
        <v>2.89064200742188E-2</v>
      </c>
      <c r="O962">
        <v>0.83484047610026402</v>
      </c>
      <c r="P962">
        <v>8.7761232982350307E-2</v>
      </c>
      <c r="Q962">
        <v>0.98074549913673603</v>
      </c>
      <c r="R962">
        <v>0</v>
      </c>
      <c r="S962">
        <v>230</v>
      </c>
      <c r="T962">
        <v>180</v>
      </c>
      <c r="U962">
        <v>17807528.870000001</v>
      </c>
      <c r="V962">
        <v>103</v>
      </c>
    </row>
    <row r="963" spans="1:22" x14ac:dyDescent="0.25">
      <c r="A963">
        <v>0.99024871176725704</v>
      </c>
      <c r="B963">
        <v>11.0939259047771</v>
      </c>
      <c r="C963">
        <v>44.023646750257903</v>
      </c>
      <c r="D963">
        <v>0</v>
      </c>
      <c r="E963">
        <v>5.7858501747657396</v>
      </c>
      <c r="F963">
        <v>3.75164905939483</v>
      </c>
      <c r="G963">
        <v>233.013778861611</v>
      </c>
      <c r="H963">
        <v>30.5251279784353</v>
      </c>
      <c r="I963">
        <v>33.166196469436599</v>
      </c>
      <c r="J963">
        <v>17.6974909029896</v>
      </c>
      <c r="K963">
        <v>16060.636226414999</v>
      </c>
      <c r="L963">
        <v>772.15534871782802</v>
      </c>
      <c r="M963">
        <v>0.13215209336616399</v>
      </c>
      <c r="N963">
        <v>0</v>
      </c>
      <c r="O963">
        <v>0.90489635787355405</v>
      </c>
      <c r="P963">
        <v>0</v>
      </c>
      <c r="Q963">
        <v>0.89705476081846902</v>
      </c>
      <c r="R963">
        <v>0</v>
      </c>
      <c r="S963">
        <v>235</v>
      </c>
      <c r="T963">
        <v>20</v>
      </c>
      <c r="U963">
        <v>1702427.44</v>
      </c>
      <c r="V963">
        <v>106</v>
      </c>
    </row>
    <row r="964" spans="1:22" x14ac:dyDescent="0.25">
      <c r="A964">
        <v>0.98840746493720799</v>
      </c>
      <c r="B964">
        <v>13.057484595186001</v>
      </c>
      <c r="C964">
        <v>29.354396083303602</v>
      </c>
      <c r="D964">
        <v>0</v>
      </c>
      <c r="E964">
        <v>5.81020910255861</v>
      </c>
      <c r="F964">
        <v>3.7716756277477699</v>
      </c>
      <c r="G964">
        <v>232.870346545655</v>
      </c>
      <c r="H964">
        <v>29.373083980472</v>
      </c>
      <c r="I964">
        <v>35.367288716355297</v>
      </c>
      <c r="J964">
        <v>27.057114885535398</v>
      </c>
      <c r="K964">
        <v>25812.8711654135</v>
      </c>
      <c r="L964">
        <v>770.50851899636496</v>
      </c>
      <c r="M964">
        <v>0.18548041107888499</v>
      </c>
      <c r="N964">
        <v>7.67432755937884E-3</v>
      </c>
      <c r="O964">
        <v>0.90635770471755295</v>
      </c>
      <c r="P964">
        <v>2.5662582072606001E-2</v>
      </c>
      <c r="Q964">
        <v>0.89310420707773797</v>
      </c>
      <c r="R964">
        <v>0</v>
      </c>
      <c r="S964">
        <v>235</v>
      </c>
      <c r="T964">
        <v>30</v>
      </c>
      <c r="U964">
        <v>6866223.7300000004</v>
      </c>
      <c r="V964">
        <v>266</v>
      </c>
    </row>
    <row r="965" spans="1:22" x14ac:dyDescent="0.25">
      <c r="A965">
        <v>0.98674728582042504</v>
      </c>
      <c r="B965">
        <v>14.793782615591599</v>
      </c>
      <c r="C965">
        <v>19.023401406630398</v>
      </c>
      <c r="D965">
        <v>0</v>
      </c>
      <c r="E965">
        <v>5.8242918946944302</v>
      </c>
      <c r="F965">
        <v>3.7750100543990399</v>
      </c>
      <c r="G965">
        <v>232.84851279732101</v>
      </c>
      <c r="H965">
        <v>29.299863966191602</v>
      </c>
      <c r="I965">
        <v>43.156910574088698</v>
      </c>
      <c r="J965">
        <v>37.719740726713397</v>
      </c>
      <c r="K965">
        <v>35592.955291181301</v>
      </c>
      <c r="L965">
        <v>760.83967220844295</v>
      </c>
      <c r="M965">
        <v>0.14500343181214101</v>
      </c>
      <c r="N965">
        <v>1.94228427242575E-2</v>
      </c>
      <c r="O965">
        <v>0.89171036828960104</v>
      </c>
      <c r="P965">
        <v>2.5481156588478202E-2</v>
      </c>
      <c r="Q965">
        <v>0.87500480783926404</v>
      </c>
      <c r="R965">
        <v>0</v>
      </c>
      <c r="S965">
        <v>235</v>
      </c>
      <c r="T965">
        <v>40</v>
      </c>
      <c r="U965">
        <v>21391366.129999999</v>
      </c>
      <c r="V965">
        <v>601</v>
      </c>
    </row>
    <row r="966" spans="1:22" x14ac:dyDescent="0.25">
      <c r="A966">
        <v>0.98534409285708902</v>
      </c>
      <c r="B966">
        <v>16.236462918667002</v>
      </c>
      <c r="C966">
        <v>17.8252531684236</v>
      </c>
      <c r="D966">
        <v>0</v>
      </c>
      <c r="E966">
        <v>5.8258857831723603</v>
      </c>
      <c r="F966">
        <v>3.7744961334578502</v>
      </c>
      <c r="G966">
        <v>232.80257496751699</v>
      </c>
      <c r="H966">
        <v>28.845309476655199</v>
      </c>
      <c r="I966">
        <v>45.914771686583897</v>
      </c>
      <c r="J966">
        <v>40.947625833723301</v>
      </c>
      <c r="K966">
        <v>45408.6902205882</v>
      </c>
      <c r="L966">
        <v>761.133843176048</v>
      </c>
      <c r="M966">
        <v>0.118990810404165</v>
      </c>
      <c r="N966">
        <v>1.2490705476747899E-2</v>
      </c>
      <c r="O966">
        <v>0.89463752830144205</v>
      </c>
      <c r="P966">
        <v>3.0116756084255802E-2</v>
      </c>
      <c r="Q966">
        <v>0.91306224164983496</v>
      </c>
      <c r="R966">
        <v>0</v>
      </c>
      <c r="S966">
        <v>235</v>
      </c>
      <c r="T966">
        <v>50</v>
      </c>
      <c r="U966">
        <v>43229073.090000004</v>
      </c>
      <c r="V966">
        <v>952</v>
      </c>
    </row>
    <row r="967" spans="1:22" x14ac:dyDescent="0.25">
      <c r="A967">
        <v>0.98444879040109101</v>
      </c>
      <c r="B967">
        <v>17.145222324322301</v>
      </c>
      <c r="C967">
        <v>12.997581724113299</v>
      </c>
      <c r="D967">
        <v>0</v>
      </c>
      <c r="E967">
        <v>5.8277291003901501</v>
      </c>
      <c r="F967">
        <v>3.7767759945110999</v>
      </c>
      <c r="G967">
        <v>232.655112592118</v>
      </c>
      <c r="H967">
        <v>28.211795520325001</v>
      </c>
      <c r="I967">
        <v>49.945129182892401</v>
      </c>
      <c r="J967">
        <v>45.6113996496006</v>
      </c>
      <c r="K967">
        <v>55239.259648972598</v>
      </c>
      <c r="L967">
        <v>759.912801286736</v>
      </c>
      <c r="M967">
        <v>0.18619916426333999</v>
      </c>
      <c r="N967">
        <v>1.0276461064733899E-2</v>
      </c>
      <c r="O967">
        <v>0.92301548844121195</v>
      </c>
      <c r="P967">
        <v>2.61313650734422E-2</v>
      </c>
      <c r="Q967">
        <v>0.95433487840728903</v>
      </c>
      <c r="R967">
        <v>0</v>
      </c>
      <c r="S967">
        <v>235</v>
      </c>
      <c r="T967">
        <v>60</v>
      </c>
      <c r="U967">
        <v>64519455.270000003</v>
      </c>
      <c r="V967">
        <v>1168</v>
      </c>
    </row>
    <row r="968" spans="1:22" x14ac:dyDescent="0.25">
      <c r="A968">
        <v>0.98359431779968998</v>
      </c>
      <c r="B968">
        <v>18.0041005914759</v>
      </c>
      <c r="C968">
        <v>23.590151197905598</v>
      </c>
      <c r="D968">
        <v>0</v>
      </c>
      <c r="E968">
        <v>5.8165085426132004</v>
      </c>
      <c r="F968">
        <v>3.7577117751362499</v>
      </c>
      <c r="G968">
        <v>232.722625219863</v>
      </c>
      <c r="H968">
        <v>28.764618415226799</v>
      </c>
      <c r="I968">
        <v>53.273446466327897</v>
      </c>
      <c r="J968">
        <v>49.133821286597502</v>
      </c>
      <c r="K968">
        <v>64757.971734693798</v>
      </c>
      <c r="L968">
        <v>760.49372044066297</v>
      </c>
      <c r="M968">
        <v>0.21319277925118499</v>
      </c>
      <c r="N968">
        <v>8.6052232303399905E-3</v>
      </c>
      <c r="O968">
        <v>0.91685179765767499</v>
      </c>
      <c r="P968">
        <v>3.1183977329034902E-2</v>
      </c>
      <c r="Q968">
        <v>0.94966243811312001</v>
      </c>
      <c r="R968">
        <v>0</v>
      </c>
      <c r="S968">
        <v>235</v>
      </c>
      <c r="T968">
        <v>70</v>
      </c>
      <c r="U968">
        <v>76155374.760000005</v>
      </c>
      <c r="V968">
        <v>1176</v>
      </c>
    </row>
    <row r="969" spans="1:22" x14ac:dyDescent="0.25">
      <c r="A969">
        <v>0.98195734237161802</v>
      </c>
      <c r="B969">
        <v>19.626762596809801</v>
      </c>
      <c r="C969">
        <v>18.5899529323591</v>
      </c>
      <c r="D969">
        <v>0</v>
      </c>
      <c r="E969">
        <v>5.83468798183383</v>
      </c>
      <c r="F969">
        <v>3.7516335686521902</v>
      </c>
      <c r="G969">
        <v>232.714689228477</v>
      </c>
      <c r="H969">
        <v>30.513848870427498</v>
      </c>
      <c r="I969">
        <v>57.6994623811105</v>
      </c>
      <c r="J969">
        <v>53.567099867703597</v>
      </c>
      <c r="K969">
        <v>74394.052573964407</v>
      </c>
      <c r="L969">
        <v>748.47183945054701</v>
      </c>
      <c r="M969">
        <v>0.15859126482941599</v>
      </c>
      <c r="N969">
        <v>1.6585247867071402E-2</v>
      </c>
      <c r="O969">
        <v>0.85052069105939299</v>
      </c>
      <c r="P969">
        <v>3.5893805067910602E-2</v>
      </c>
      <c r="Q969">
        <v>0.91373685743315003</v>
      </c>
      <c r="R969">
        <v>0</v>
      </c>
      <c r="S969">
        <v>235</v>
      </c>
      <c r="T969">
        <v>80</v>
      </c>
      <c r="U969">
        <v>50290379.539999999</v>
      </c>
      <c r="V969">
        <v>676</v>
      </c>
    </row>
    <row r="970" spans="1:22" x14ac:dyDescent="0.25">
      <c r="A970">
        <v>0.98092444242747601</v>
      </c>
      <c r="B970">
        <v>20.635428513039599</v>
      </c>
      <c r="C970">
        <v>20.775947865963602</v>
      </c>
      <c r="D970">
        <v>0</v>
      </c>
      <c r="E970">
        <v>5.8452831708995596</v>
      </c>
      <c r="F970">
        <v>3.7525855813610001</v>
      </c>
      <c r="G970">
        <v>232.592349954474</v>
      </c>
      <c r="H970">
        <v>31.382831011475101</v>
      </c>
      <c r="I970">
        <v>59.582590477996099</v>
      </c>
      <c r="J970">
        <v>55.735744546347597</v>
      </c>
      <c r="K970">
        <v>84855.284105504499</v>
      </c>
      <c r="L970">
        <v>750.87391706948199</v>
      </c>
      <c r="M970">
        <v>0.20731718786391501</v>
      </c>
      <c r="N970">
        <v>1.15311854607902E-2</v>
      </c>
      <c r="O970">
        <v>0.83867153935440897</v>
      </c>
      <c r="P970">
        <v>0.10427690013077801</v>
      </c>
      <c r="Q970">
        <v>0.92705466437183703</v>
      </c>
      <c r="R970">
        <v>0</v>
      </c>
      <c r="S970">
        <v>235</v>
      </c>
      <c r="T970">
        <v>90</v>
      </c>
      <c r="U970">
        <v>36996903.869999997</v>
      </c>
      <c r="V970">
        <v>436</v>
      </c>
    </row>
    <row r="971" spans="1:22" x14ac:dyDescent="0.25">
      <c r="A971">
        <v>0.98046058212325504</v>
      </c>
      <c r="B971">
        <v>21.084618796538201</v>
      </c>
      <c r="C971">
        <v>27.8662414799857</v>
      </c>
      <c r="D971">
        <v>0</v>
      </c>
      <c r="E971">
        <v>5.8306680248176397</v>
      </c>
      <c r="F971">
        <v>3.7362280946341602</v>
      </c>
      <c r="G971">
        <v>232.68933139443001</v>
      </c>
      <c r="H971">
        <v>31.485217936922599</v>
      </c>
      <c r="I971">
        <v>58.375428000825401</v>
      </c>
      <c r="J971">
        <v>54.317610008885403</v>
      </c>
      <c r="K971">
        <v>94849.869498910601</v>
      </c>
      <c r="L971">
        <v>745.56327214487203</v>
      </c>
      <c r="M971">
        <v>0.220900095711626</v>
      </c>
      <c r="N971">
        <v>8.65530182279735E-3</v>
      </c>
      <c r="O971">
        <v>0.86742617592111204</v>
      </c>
      <c r="P971">
        <v>4.5906192435043597E-2</v>
      </c>
      <c r="Q971">
        <v>0.95241165352145296</v>
      </c>
      <c r="R971">
        <v>0</v>
      </c>
      <c r="S971">
        <v>235</v>
      </c>
      <c r="T971">
        <v>100</v>
      </c>
      <c r="U971">
        <v>43536090.100000001</v>
      </c>
      <c r="V971">
        <v>459</v>
      </c>
    </row>
    <row r="972" spans="1:22" x14ac:dyDescent="0.25">
      <c r="A972">
        <v>0.98024984922402003</v>
      </c>
      <c r="B972">
        <v>21.287916176201001</v>
      </c>
      <c r="C972">
        <v>28.0930189685829</v>
      </c>
      <c r="D972">
        <v>0</v>
      </c>
      <c r="E972">
        <v>5.8831104302697304</v>
      </c>
      <c r="F972">
        <v>3.7789723151281001</v>
      </c>
      <c r="G972">
        <v>232.570008099734</v>
      </c>
      <c r="H972">
        <v>31.080157866196799</v>
      </c>
      <c r="I972">
        <v>60.635454117057598</v>
      </c>
      <c r="J972">
        <v>57.239908353837698</v>
      </c>
      <c r="K972">
        <v>105099.308926174</v>
      </c>
      <c r="L972">
        <v>750.06807247264805</v>
      </c>
      <c r="M972">
        <v>0.21077505338522201</v>
      </c>
      <c r="N972">
        <v>1.6837425127214398E-2</v>
      </c>
      <c r="O972">
        <v>0.86905068494364701</v>
      </c>
      <c r="P972">
        <v>0.101757794941228</v>
      </c>
      <c r="Q972">
        <v>0.95353767398095002</v>
      </c>
      <c r="R972">
        <v>0</v>
      </c>
      <c r="S972">
        <v>235</v>
      </c>
      <c r="T972">
        <v>110</v>
      </c>
      <c r="U972">
        <v>31319594.059999999</v>
      </c>
      <c r="V972">
        <v>298</v>
      </c>
    </row>
    <row r="973" spans="1:22" x14ac:dyDescent="0.25">
      <c r="A973">
        <v>0.97992482823948601</v>
      </c>
      <c r="B973">
        <v>21.600528023786399</v>
      </c>
      <c r="C973">
        <v>33.4548545136279</v>
      </c>
      <c r="D973">
        <v>0</v>
      </c>
      <c r="E973">
        <v>5.8544249377994904</v>
      </c>
      <c r="F973">
        <v>3.73752751175744</v>
      </c>
      <c r="G973">
        <v>232.64465095185699</v>
      </c>
      <c r="H973">
        <v>31.945266712693801</v>
      </c>
      <c r="I973">
        <v>61.721821236431097</v>
      </c>
      <c r="J973">
        <v>57.605674859260297</v>
      </c>
      <c r="K973">
        <v>115095.80039568301</v>
      </c>
      <c r="L973">
        <v>747.521088998187</v>
      </c>
      <c r="M973">
        <v>0.37149490329287099</v>
      </c>
      <c r="N973">
        <v>2.9449711300259501E-2</v>
      </c>
      <c r="O973">
        <v>0.85508822972070897</v>
      </c>
      <c r="P973">
        <v>8.0270220598911299E-2</v>
      </c>
      <c r="Q973">
        <v>0.94614218701104102</v>
      </c>
      <c r="R973">
        <v>0</v>
      </c>
      <c r="S973">
        <v>235</v>
      </c>
      <c r="T973">
        <v>120</v>
      </c>
      <c r="U973">
        <v>31996632.510000002</v>
      </c>
      <c r="V973">
        <v>278</v>
      </c>
    </row>
    <row r="974" spans="1:22" x14ac:dyDescent="0.25">
      <c r="A974">
        <v>0.97942530768907599</v>
      </c>
      <c r="B974">
        <v>22.078759036526598</v>
      </c>
      <c r="C974">
        <v>22.387346570258799</v>
      </c>
      <c r="D974">
        <v>0</v>
      </c>
      <c r="E974">
        <v>5.8307590569696597</v>
      </c>
      <c r="F974">
        <v>3.7360580057509001</v>
      </c>
      <c r="G974">
        <v>232.69651950971499</v>
      </c>
      <c r="H974">
        <v>31.776032946060599</v>
      </c>
      <c r="I974">
        <v>63.142304237832398</v>
      </c>
      <c r="J974">
        <v>58.828869834792897</v>
      </c>
      <c r="K974">
        <v>125180.950528455</v>
      </c>
      <c r="L974">
        <v>752.77953263664097</v>
      </c>
      <c r="M974">
        <v>0.30512954975915502</v>
      </c>
      <c r="N974">
        <v>2.4147214471546E-2</v>
      </c>
      <c r="O974">
        <v>0.81727621806068895</v>
      </c>
      <c r="P974">
        <v>8.5921573388255595E-2</v>
      </c>
      <c r="Q974">
        <v>0.91476416791347603</v>
      </c>
      <c r="R974">
        <v>0</v>
      </c>
      <c r="S974">
        <v>235</v>
      </c>
      <c r="T974">
        <v>130</v>
      </c>
      <c r="U974">
        <v>30794513.829999998</v>
      </c>
      <c r="V974">
        <v>246</v>
      </c>
    </row>
    <row r="975" spans="1:22" x14ac:dyDescent="0.25">
      <c r="A975">
        <v>0.97888326818613203</v>
      </c>
      <c r="B975">
        <v>22.594670556870199</v>
      </c>
      <c r="C975">
        <v>16.078884927811298</v>
      </c>
      <c r="D975">
        <v>0</v>
      </c>
      <c r="E975">
        <v>5.8449965236415498</v>
      </c>
      <c r="F975">
        <v>3.72748278627496</v>
      </c>
      <c r="G975">
        <v>232.69049635369299</v>
      </c>
      <c r="H975">
        <v>31.345227832958699</v>
      </c>
      <c r="I975">
        <v>62.877609555720802</v>
      </c>
      <c r="J975">
        <v>59.472096430308902</v>
      </c>
      <c r="K975">
        <v>134688.216634615</v>
      </c>
      <c r="L975">
        <v>751.49388023245399</v>
      </c>
      <c r="M975">
        <v>0.31246897281366798</v>
      </c>
      <c r="N975">
        <v>3.3831550136324703E-2</v>
      </c>
      <c r="O975">
        <v>0.84630659216631698</v>
      </c>
      <c r="P975">
        <v>8.6844250044479293E-2</v>
      </c>
      <c r="Q975">
        <v>0.96147420427110797</v>
      </c>
      <c r="R975">
        <v>0</v>
      </c>
      <c r="S975">
        <v>235</v>
      </c>
      <c r="T975">
        <v>140</v>
      </c>
      <c r="U975">
        <v>28015149.059999999</v>
      </c>
      <c r="V975">
        <v>208</v>
      </c>
    </row>
    <row r="976" spans="1:22" x14ac:dyDescent="0.25">
      <c r="A976">
        <v>0.97848842383873103</v>
      </c>
      <c r="B976">
        <v>22.968508929518901</v>
      </c>
      <c r="C976">
        <v>0.252015595000599</v>
      </c>
      <c r="D976">
        <v>0</v>
      </c>
      <c r="E976">
        <v>5.8316150809558698</v>
      </c>
      <c r="F976">
        <v>3.7301152303329901</v>
      </c>
      <c r="G976">
        <v>232.46901497369501</v>
      </c>
      <c r="H976">
        <v>31.969291764962499</v>
      </c>
      <c r="I976">
        <v>61.134341975646599</v>
      </c>
      <c r="J976">
        <v>58.144203504459298</v>
      </c>
      <c r="K976">
        <v>145002.94884146299</v>
      </c>
      <c r="L976">
        <v>753.00369656233397</v>
      </c>
      <c r="M976">
        <v>0.31880684700675799</v>
      </c>
      <c r="N976">
        <v>1.7904056830070399E-2</v>
      </c>
      <c r="O976">
        <v>0.81691987381748599</v>
      </c>
      <c r="P976">
        <v>9.1243420259441793E-2</v>
      </c>
      <c r="Q976">
        <v>0.90815356761367305</v>
      </c>
      <c r="R976">
        <v>0</v>
      </c>
      <c r="S976">
        <v>235</v>
      </c>
      <c r="T976">
        <v>150</v>
      </c>
      <c r="U976">
        <v>23780483.609999999</v>
      </c>
      <c r="V976">
        <v>164</v>
      </c>
    </row>
    <row r="977" spans="1:22" x14ac:dyDescent="0.25">
      <c r="A977">
        <v>0.97801110234659105</v>
      </c>
      <c r="B977">
        <v>23.4182266233414</v>
      </c>
      <c r="C977">
        <v>22.354012364203001</v>
      </c>
      <c r="D977">
        <v>0</v>
      </c>
      <c r="E977">
        <v>5.7893618486718301</v>
      </c>
      <c r="F977">
        <v>3.7221457990409199</v>
      </c>
      <c r="G977">
        <v>232.65014195141501</v>
      </c>
      <c r="H977">
        <v>31.162652023305899</v>
      </c>
      <c r="I977">
        <v>62.441801936634903</v>
      </c>
      <c r="J977">
        <v>58.217892882165103</v>
      </c>
      <c r="K977">
        <v>155380.60718309801</v>
      </c>
      <c r="L977">
        <v>740.82532583364002</v>
      </c>
      <c r="M977">
        <v>0.416115627136317</v>
      </c>
      <c r="N977">
        <v>3.5287022254977797E-2</v>
      </c>
      <c r="O977">
        <v>0.88012611451101197</v>
      </c>
      <c r="P977">
        <v>0.112329897031914</v>
      </c>
      <c r="Q977">
        <v>0.97936011122079603</v>
      </c>
      <c r="R977">
        <v>0</v>
      </c>
      <c r="S977">
        <v>235</v>
      </c>
      <c r="T977">
        <v>160</v>
      </c>
      <c r="U977">
        <v>22064046.219999999</v>
      </c>
      <c r="V977">
        <v>142</v>
      </c>
    </row>
    <row r="978" spans="1:22" x14ac:dyDescent="0.25">
      <c r="A978">
        <v>0.97722467147319902</v>
      </c>
      <c r="B978">
        <v>24.153931471098399</v>
      </c>
      <c r="C978">
        <v>40.787444879418601</v>
      </c>
      <c r="D978">
        <v>0</v>
      </c>
      <c r="E978">
        <v>5.8711235336400103</v>
      </c>
      <c r="F978">
        <v>3.73436723336749</v>
      </c>
      <c r="G978">
        <v>232.66985689705999</v>
      </c>
      <c r="H978">
        <v>31.979992173719701</v>
      </c>
      <c r="I978">
        <v>62.792498451514497</v>
      </c>
      <c r="J978">
        <v>59.667126711069599</v>
      </c>
      <c r="K978">
        <v>164862.618526315</v>
      </c>
      <c r="L978">
        <v>753.03012167625002</v>
      </c>
      <c r="M978">
        <v>0.33597421308381198</v>
      </c>
      <c r="N978">
        <v>0</v>
      </c>
      <c r="O978">
        <v>0.88495858480895695</v>
      </c>
      <c r="P978">
        <v>8.4520736230527596E-2</v>
      </c>
      <c r="Q978">
        <v>0.95779079346189799</v>
      </c>
      <c r="R978">
        <v>0</v>
      </c>
      <c r="S978">
        <v>235</v>
      </c>
      <c r="T978">
        <v>170</v>
      </c>
      <c r="U978">
        <v>15661948.76</v>
      </c>
      <c r="V978">
        <v>95</v>
      </c>
    </row>
    <row r="979" spans="1:22" x14ac:dyDescent="0.25">
      <c r="A979">
        <v>0.967392907930538</v>
      </c>
      <c r="B979">
        <v>32.820805777790397</v>
      </c>
      <c r="C979">
        <v>26.800582367613998</v>
      </c>
      <c r="D979">
        <v>0</v>
      </c>
      <c r="E979">
        <v>5.8390730238984698</v>
      </c>
      <c r="F979">
        <v>3.7410325476653399</v>
      </c>
      <c r="G979">
        <v>232.46132195121001</v>
      </c>
      <c r="H979">
        <v>30.722991379966999</v>
      </c>
      <c r="I979">
        <v>64.193306950279606</v>
      </c>
      <c r="J979">
        <v>60.054019434707001</v>
      </c>
      <c r="K979">
        <v>278061.06935763801</v>
      </c>
      <c r="L979">
        <v>732.61007586198104</v>
      </c>
      <c r="M979">
        <v>0.32827696933540901</v>
      </c>
      <c r="N979">
        <v>5.2084809011306299E-2</v>
      </c>
      <c r="O979">
        <v>0.66870752327885497</v>
      </c>
      <c r="P979">
        <v>0.15155645126303999</v>
      </c>
      <c r="Q979">
        <v>0.92515573927091499</v>
      </c>
      <c r="R979">
        <v>0</v>
      </c>
      <c r="S979">
        <v>235</v>
      </c>
      <c r="T979">
        <v>175</v>
      </c>
      <c r="U979">
        <v>160163175.94999999</v>
      </c>
      <c r="V979">
        <v>576</v>
      </c>
    </row>
    <row r="980" spans="1:22" x14ac:dyDescent="0.25">
      <c r="A980">
        <v>0.97601007579077803</v>
      </c>
      <c r="B980">
        <v>25.2774622211438</v>
      </c>
      <c r="C980">
        <v>0.19487168354850301</v>
      </c>
      <c r="D980">
        <v>0</v>
      </c>
      <c r="E980">
        <v>5.78963127248538</v>
      </c>
      <c r="F980">
        <v>3.7145955779900701</v>
      </c>
      <c r="G980">
        <v>232.61089514567999</v>
      </c>
      <c r="H980">
        <v>30.586810706387599</v>
      </c>
      <c r="I980">
        <v>66.472321222748405</v>
      </c>
      <c r="J980">
        <v>62.4115972323115</v>
      </c>
      <c r="K980">
        <v>172882.502878787</v>
      </c>
      <c r="L980">
        <v>744.23066911588398</v>
      </c>
      <c r="M980">
        <v>0.22777287663175899</v>
      </c>
      <c r="N980">
        <v>1.50232336944198E-2</v>
      </c>
      <c r="O980">
        <v>0.78793199359811406</v>
      </c>
      <c r="P980">
        <v>0.136581246419298</v>
      </c>
      <c r="Q980">
        <v>0.98496654303709996</v>
      </c>
      <c r="R980">
        <v>0</v>
      </c>
      <c r="S980">
        <v>235</v>
      </c>
      <c r="T980">
        <v>180</v>
      </c>
      <c r="U980">
        <v>11410245.189999999</v>
      </c>
      <c r="V980">
        <v>66</v>
      </c>
    </row>
    <row r="981" spans="1:22" x14ac:dyDescent="0.25">
      <c r="A981">
        <v>0.99021400345721899</v>
      </c>
      <c r="B981">
        <v>11.131312691599099</v>
      </c>
      <c r="C981">
        <v>42.125181806641699</v>
      </c>
      <c r="D981">
        <v>0</v>
      </c>
      <c r="E981">
        <v>6.0437099997962997</v>
      </c>
      <c r="F981">
        <v>3.9009424906694599</v>
      </c>
      <c r="G981">
        <v>237.80986967869799</v>
      </c>
      <c r="H981">
        <v>30.416817060125702</v>
      </c>
      <c r="I981">
        <v>30.921514750548798</v>
      </c>
      <c r="J981">
        <v>21.412209107644301</v>
      </c>
      <c r="K981">
        <v>15413.4095588235</v>
      </c>
      <c r="L981">
        <v>761.72759210765503</v>
      </c>
      <c r="M981">
        <v>3.5019067859980699E-2</v>
      </c>
      <c r="N981">
        <v>1.8523538303664801E-2</v>
      </c>
      <c r="O981">
        <v>0.95732245561387297</v>
      </c>
      <c r="P981">
        <v>1.03523779451591E-2</v>
      </c>
      <c r="Q981">
        <v>0.913057676048601</v>
      </c>
      <c r="R981">
        <v>0</v>
      </c>
      <c r="S981">
        <v>240</v>
      </c>
      <c r="T981">
        <v>20</v>
      </c>
      <c r="U981">
        <v>1048111.85</v>
      </c>
      <c r="V981">
        <v>68</v>
      </c>
    </row>
    <row r="982" spans="1:22" x14ac:dyDescent="0.25">
      <c r="A982">
        <v>0.98826610266300197</v>
      </c>
      <c r="B982">
        <v>13.206581751789299</v>
      </c>
      <c r="C982">
        <v>29.123317623210799</v>
      </c>
      <c r="D982">
        <v>0</v>
      </c>
      <c r="E982">
        <v>6.0940998003134803</v>
      </c>
      <c r="F982">
        <v>3.9557940819886399</v>
      </c>
      <c r="G982">
        <v>237.777076071728</v>
      </c>
      <c r="H982">
        <v>28.498991500713501</v>
      </c>
      <c r="I982">
        <v>37.388489003416197</v>
      </c>
      <c r="J982">
        <v>31.362750334709801</v>
      </c>
      <c r="K982">
        <v>25508.967379679099</v>
      </c>
      <c r="L982">
        <v>757.300365388964</v>
      </c>
      <c r="M982">
        <v>8.94501312938729E-2</v>
      </c>
      <c r="N982">
        <v>1.2107727074021E-2</v>
      </c>
      <c r="O982">
        <v>0.90750034238772104</v>
      </c>
      <c r="P982">
        <v>1.9647342638383001E-2</v>
      </c>
      <c r="Q982">
        <v>0.86025169842233695</v>
      </c>
      <c r="R982">
        <v>0</v>
      </c>
      <c r="S982">
        <v>240</v>
      </c>
      <c r="T982">
        <v>30</v>
      </c>
      <c r="U982">
        <v>4770176.9000000004</v>
      </c>
      <c r="V982">
        <v>187</v>
      </c>
    </row>
    <row r="983" spans="1:22" x14ac:dyDescent="0.25">
      <c r="A983">
        <v>0.98654031501555095</v>
      </c>
      <c r="B983">
        <v>15.008000007227199</v>
      </c>
      <c r="C983">
        <v>19.8951365302865</v>
      </c>
      <c r="D983">
        <v>0</v>
      </c>
      <c r="E983">
        <v>6.0054159689480899</v>
      </c>
      <c r="F983">
        <v>3.8732079855247399</v>
      </c>
      <c r="G983">
        <v>237.784292953543</v>
      </c>
      <c r="H983">
        <v>28.064643180156001</v>
      </c>
      <c r="I983">
        <v>43.099172095996202</v>
      </c>
      <c r="J983">
        <v>38.920256233766402</v>
      </c>
      <c r="K983">
        <v>35302.8150862068</v>
      </c>
      <c r="L983">
        <v>755.06218240638498</v>
      </c>
      <c r="M983">
        <v>0.110923171185841</v>
      </c>
      <c r="N983">
        <v>2.37175462461186E-2</v>
      </c>
      <c r="O983">
        <v>0.86684833138225403</v>
      </c>
      <c r="P983">
        <v>4.0339142470049702E-2</v>
      </c>
      <c r="Q983">
        <v>0.88389371100957304</v>
      </c>
      <c r="R983">
        <v>0</v>
      </c>
      <c r="S983">
        <v>240</v>
      </c>
      <c r="T983">
        <v>40</v>
      </c>
      <c r="U983">
        <v>12285379.65</v>
      </c>
      <c r="V983">
        <v>348</v>
      </c>
    </row>
    <row r="984" spans="1:22" x14ac:dyDescent="0.25">
      <c r="A984">
        <v>0.98491925689148696</v>
      </c>
      <c r="B984">
        <v>16.668817441739002</v>
      </c>
      <c r="C984">
        <v>9.0103050925448507</v>
      </c>
      <c r="D984">
        <v>0</v>
      </c>
      <c r="E984">
        <v>6.0036580484409399</v>
      </c>
      <c r="F984">
        <v>3.8638985550996701</v>
      </c>
      <c r="G984">
        <v>237.863958180308</v>
      </c>
      <c r="H984">
        <v>28.961785242532201</v>
      </c>
      <c r="I984">
        <v>49.2427478154844</v>
      </c>
      <c r="J984">
        <v>45.703857398491003</v>
      </c>
      <c r="K984">
        <v>45474.126229508103</v>
      </c>
      <c r="L984">
        <v>754.10306238168096</v>
      </c>
      <c r="M984">
        <v>0.15999227303351701</v>
      </c>
      <c r="N984">
        <v>1.3664287279630099E-2</v>
      </c>
      <c r="O984">
        <v>0.83329302662003701</v>
      </c>
      <c r="P984">
        <v>3.8434376500245102E-2</v>
      </c>
      <c r="Q984">
        <v>0.88314111461761802</v>
      </c>
      <c r="R984">
        <v>0</v>
      </c>
      <c r="S984">
        <v>240</v>
      </c>
      <c r="T984">
        <v>50</v>
      </c>
      <c r="U984">
        <v>27739217</v>
      </c>
      <c r="V984">
        <v>610</v>
      </c>
    </row>
    <row r="985" spans="1:22" x14ac:dyDescent="0.25">
      <c r="A985">
        <v>0.98390838654020496</v>
      </c>
      <c r="B985">
        <v>17.689365674058401</v>
      </c>
      <c r="C985">
        <v>15.819178455268499</v>
      </c>
      <c r="D985">
        <v>0</v>
      </c>
      <c r="E985">
        <v>5.9817117949067802</v>
      </c>
      <c r="F985">
        <v>3.8386772261035</v>
      </c>
      <c r="G985">
        <v>237.865979940335</v>
      </c>
      <c r="H985">
        <v>28.313666809487099</v>
      </c>
      <c r="I985">
        <v>51.662387962729298</v>
      </c>
      <c r="J985">
        <v>48.058446668622999</v>
      </c>
      <c r="K985">
        <v>55365.943301237901</v>
      </c>
      <c r="L985">
        <v>755.07912572614896</v>
      </c>
      <c r="M985">
        <v>0.178917968341786</v>
      </c>
      <c r="N985">
        <v>1.6531421476451001E-2</v>
      </c>
      <c r="O985">
        <v>0.89787728018097701</v>
      </c>
      <c r="P985">
        <v>3.3305047373237098E-2</v>
      </c>
      <c r="Q985">
        <v>0.92606874375584702</v>
      </c>
      <c r="R985">
        <v>0</v>
      </c>
      <c r="S985">
        <v>240</v>
      </c>
      <c r="T985">
        <v>60</v>
      </c>
      <c r="U985">
        <v>40251040.780000001</v>
      </c>
      <c r="V985">
        <v>727</v>
      </c>
    </row>
    <row r="986" spans="1:22" x14ac:dyDescent="0.25">
      <c r="A986">
        <v>0.98330570234696402</v>
      </c>
      <c r="B986">
        <v>18.292355145737801</v>
      </c>
      <c r="C986">
        <v>15.0801962586391</v>
      </c>
      <c r="D986">
        <v>0</v>
      </c>
      <c r="E986">
        <v>5.9716982676006802</v>
      </c>
      <c r="F986">
        <v>3.8288938188881798</v>
      </c>
      <c r="G986">
        <v>237.89395437968801</v>
      </c>
      <c r="H986">
        <v>28.128011101490198</v>
      </c>
      <c r="I986">
        <v>55.479983993514701</v>
      </c>
      <c r="J986">
        <v>51.913254971264202</v>
      </c>
      <c r="K986">
        <v>64973.557228571401</v>
      </c>
      <c r="L986">
        <v>752.41747347569003</v>
      </c>
      <c r="M986">
        <v>0.22250696198936201</v>
      </c>
      <c r="N986">
        <v>4.32087316710045E-3</v>
      </c>
      <c r="O986">
        <v>0.90341997009761099</v>
      </c>
      <c r="P986">
        <v>2.7036284835387302E-2</v>
      </c>
      <c r="Q986">
        <v>0.92366243750106303</v>
      </c>
      <c r="R986">
        <v>0</v>
      </c>
      <c r="S986">
        <v>240</v>
      </c>
      <c r="T986">
        <v>70</v>
      </c>
      <c r="U986">
        <v>45481490.060000002</v>
      </c>
      <c r="V986">
        <v>700</v>
      </c>
    </row>
    <row r="987" spans="1:22" x14ac:dyDescent="0.25">
      <c r="A987">
        <v>0.98166567628412704</v>
      </c>
      <c r="B987">
        <v>19.912769598229499</v>
      </c>
      <c r="C987">
        <v>17.250828937918602</v>
      </c>
      <c r="D987">
        <v>0</v>
      </c>
      <c r="E987">
        <v>5.9117425319285104</v>
      </c>
      <c r="F987">
        <v>3.7732693481545598</v>
      </c>
      <c r="G987">
        <v>237.878450421916</v>
      </c>
      <c r="H987">
        <v>30.0047309219586</v>
      </c>
      <c r="I987">
        <v>63.419912957309002</v>
      </c>
      <c r="J987">
        <v>59.177769717521898</v>
      </c>
      <c r="K987">
        <v>74443.859923664102</v>
      </c>
      <c r="L987">
        <v>740.88049268555903</v>
      </c>
      <c r="M987">
        <v>0.198541560612014</v>
      </c>
      <c r="N987">
        <v>5.0083525294080597E-3</v>
      </c>
      <c r="O987">
        <v>0.87299261880896895</v>
      </c>
      <c r="P987">
        <v>3.6050812058985103E-2</v>
      </c>
      <c r="Q987">
        <v>0.90967908140980902</v>
      </c>
      <c r="R987">
        <v>0</v>
      </c>
      <c r="S987">
        <v>240</v>
      </c>
      <c r="T987">
        <v>80</v>
      </c>
      <c r="U987">
        <v>29256436.949999999</v>
      </c>
      <c r="V987">
        <v>393</v>
      </c>
    </row>
    <row r="988" spans="1:22" x14ac:dyDescent="0.25">
      <c r="A988">
        <v>0.98004695933964803</v>
      </c>
      <c r="B988">
        <v>21.4831935542312</v>
      </c>
      <c r="C988">
        <v>29.9086362423424</v>
      </c>
      <c r="D988">
        <v>0</v>
      </c>
      <c r="E988">
        <v>5.9460238451438503</v>
      </c>
      <c r="F988">
        <v>3.77436479577378</v>
      </c>
      <c r="G988">
        <v>237.858471701881</v>
      </c>
      <c r="H988">
        <v>30.514596018761299</v>
      </c>
      <c r="I988">
        <v>67.647099685371003</v>
      </c>
      <c r="J988">
        <v>63.243169626483599</v>
      </c>
      <c r="K988">
        <v>85188.830875912405</v>
      </c>
      <c r="L988">
        <v>741.796919352239</v>
      </c>
      <c r="M988">
        <v>0.15546985455496201</v>
      </c>
      <c r="N988">
        <v>2.1780456701400799E-2</v>
      </c>
      <c r="O988">
        <v>0.772926456759221</v>
      </c>
      <c r="P988">
        <v>3.6070848714109899E-2</v>
      </c>
      <c r="Q988">
        <v>0.85835495476518298</v>
      </c>
      <c r="R988">
        <v>0</v>
      </c>
      <c r="S988">
        <v>240</v>
      </c>
      <c r="T988">
        <v>90</v>
      </c>
      <c r="U988">
        <v>23341739.66</v>
      </c>
      <c r="V988">
        <v>274</v>
      </c>
    </row>
    <row r="989" spans="1:22" x14ac:dyDescent="0.25">
      <c r="A989">
        <v>0.979675707065227</v>
      </c>
      <c r="B989">
        <v>21.839366949113298</v>
      </c>
      <c r="C989">
        <v>27.929154324372799</v>
      </c>
      <c r="D989">
        <v>0</v>
      </c>
      <c r="E989">
        <v>5.9222348743289501</v>
      </c>
      <c r="F989">
        <v>3.75564977117594</v>
      </c>
      <c r="G989">
        <v>237.98661093817</v>
      </c>
      <c r="H989">
        <v>30.785135619581698</v>
      </c>
      <c r="I989">
        <v>66.213036867001307</v>
      </c>
      <c r="J989">
        <v>62.285625343029999</v>
      </c>
      <c r="K989">
        <v>94921.727615384603</v>
      </c>
      <c r="L989">
        <v>740.96341228177801</v>
      </c>
      <c r="M989">
        <v>0.16717763408661199</v>
      </c>
      <c r="N989">
        <v>1.55899367610054E-2</v>
      </c>
      <c r="O989">
        <v>0.79975715765016298</v>
      </c>
      <c r="P989">
        <v>7.3403525179282905E-2</v>
      </c>
      <c r="Q989">
        <v>0.88803418315041005</v>
      </c>
      <c r="R989">
        <v>0</v>
      </c>
      <c r="S989">
        <v>240</v>
      </c>
      <c r="T989">
        <v>100</v>
      </c>
      <c r="U989">
        <v>24679649.18</v>
      </c>
      <c r="V989">
        <v>260</v>
      </c>
    </row>
    <row r="990" spans="1:22" x14ac:dyDescent="0.25">
      <c r="A990">
        <v>0.97958169111104598</v>
      </c>
      <c r="B990">
        <v>21.929328994071199</v>
      </c>
      <c r="C990">
        <v>24.244042049362399</v>
      </c>
      <c r="D990">
        <v>0</v>
      </c>
      <c r="E990">
        <v>5.9035134182303803</v>
      </c>
      <c r="F990">
        <v>3.7434414404981302</v>
      </c>
      <c r="G990">
        <v>237.71983062863799</v>
      </c>
      <c r="H990">
        <v>30.474543767430902</v>
      </c>
      <c r="I990">
        <v>67.424460934434194</v>
      </c>
      <c r="J990">
        <v>63.517787367251501</v>
      </c>
      <c r="K990">
        <v>105037.985555555</v>
      </c>
      <c r="L990">
        <v>737.87650890148302</v>
      </c>
      <c r="M990">
        <v>0.29936257821733803</v>
      </c>
      <c r="N990">
        <v>2.14328145647457E-2</v>
      </c>
      <c r="O990">
        <v>0.83909991049058197</v>
      </c>
      <c r="P990">
        <v>0.100171704549593</v>
      </c>
      <c r="Q990">
        <v>0.91293046239451903</v>
      </c>
      <c r="R990">
        <v>0</v>
      </c>
      <c r="S990">
        <v>240</v>
      </c>
      <c r="T990">
        <v>110</v>
      </c>
      <c r="U990">
        <v>18906837.399999999</v>
      </c>
      <c r="V990">
        <v>180</v>
      </c>
    </row>
    <row r="991" spans="1:22" x14ac:dyDescent="0.25">
      <c r="A991">
        <v>0.97892346100644401</v>
      </c>
      <c r="B991">
        <v>22.5565229090641</v>
      </c>
      <c r="C991">
        <v>26.153631808009902</v>
      </c>
      <c r="D991">
        <v>0</v>
      </c>
      <c r="E991">
        <v>5.9826329701521397</v>
      </c>
      <c r="F991">
        <v>3.7616429728565701</v>
      </c>
      <c r="G991">
        <v>238.11780624502299</v>
      </c>
      <c r="H991">
        <v>30.700868953814101</v>
      </c>
      <c r="I991">
        <v>69.336724702036506</v>
      </c>
      <c r="J991">
        <v>64.759860128373802</v>
      </c>
      <c r="K991">
        <v>114751.444662576</v>
      </c>
      <c r="L991">
        <v>740.29922203024398</v>
      </c>
      <c r="M991">
        <v>0.33759058311183199</v>
      </c>
      <c r="N991">
        <v>4.9721706645950402E-2</v>
      </c>
      <c r="O991">
        <v>0.84542782248186099</v>
      </c>
      <c r="P991">
        <v>7.8957710522385302E-2</v>
      </c>
      <c r="Q991">
        <v>0.92653593110223298</v>
      </c>
      <c r="R991">
        <v>0</v>
      </c>
      <c r="S991">
        <v>240</v>
      </c>
      <c r="T991">
        <v>120</v>
      </c>
      <c r="U991">
        <v>18704485.48</v>
      </c>
      <c r="V991">
        <v>163</v>
      </c>
    </row>
    <row r="992" spans="1:22" x14ac:dyDescent="0.25">
      <c r="A992">
        <v>0.97873908874441196</v>
      </c>
      <c r="B992">
        <v>22.731371891547798</v>
      </c>
      <c r="C992">
        <v>21.290146778061999</v>
      </c>
      <c r="D992">
        <v>0</v>
      </c>
      <c r="E992">
        <v>5.89317629789109</v>
      </c>
      <c r="F992">
        <v>3.7393832788049499</v>
      </c>
      <c r="G992">
        <v>237.76313091566999</v>
      </c>
      <c r="H992">
        <v>31.4921580565596</v>
      </c>
      <c r="I992">
        <v>70.530541438019199</v>
      </c>
      <c r="J992">
        <v>66.334187744516001</v>
      </c>
      <c r="K992">
        <v>125324.242960526</v>
      </c>
      <c r="L992">
        <v>747.76688528801299</v>
      </c>
      <c r="M992">
        <v>0.30918122499834899</v>
      </c>
      <c r="N992">
        <v>2.6248183164741999E-2</v>
      </c>
      <c r="O992">
        <v>0.79614516637921895</v>
      </c>
      <c r="P992">
        <v>1.27455708123527E-2</v>
      </c>
      <c r="Q992">
        <v>0.887622667839427</v>
      </c>
      <c r="R992">
        <v>0</v>
      </c>
      <c r="S992">
        <v>240</v>
      </c>
      <c r="T992">
        <v>130</v>
      </c>
      <c r="U992">
        <v>19049284.93</v>
      </c>
      <c r="V992">
        <v>152</v>
      </c>
    </row>
    <row r="993" spans="1:22" x14ac:dyDescent="0.25">
      <c r="A993">
        <v>0.97845311241163802</v>
      </c>
      <c r="B993">
        <v>23.001861009999299</v>
      </c>
      <c r="C993">
        <v>32.906134530117598</v>
      </c>
      <c r="D993">
        <v>0</v>
      </c>
      <c r="E993">
        <v>5.9529815777781101</v>
      </c>
      <c r="F993">
        <v>3.77530618324095</v>
      </c>
      <c r="G993">
        <v>237.845156490363</v>
      </c>
      <c r="H993">
        <v>31.464787666582399</v>
      </c>
      <c r="I993">
        <v>67.323258801895605</v>
      </c>
      <c r="J993">
        <v>63.990539176131698</v>
      </c>
      <c r="K993">
        <v>134449.583766233</v>
      </c>
      <c r="L993">
        <v>742.34253060115998</v>
      </c>
      <c r="M993">
        <v>0.35254552448735899</v>
      </c>
      <c r="N993">
        <v>4.66527328964167E-2</v>
      </c>
      <c r="O993">
        <v>0.83735973131317898</v>
      </c>
      <c r="P993">
        <v>4.4493627334137198E-2</v>
      </c>
      <c r="Q993">
        <v>0.92920952665890599</v>
      </c>
      <c r="R993">
        <v>0</v>
      </c>
      <c r="S993">
        <v>240</v>
      </c>
      <c r="T993">
        <v>140</v>
      </c>
      <c r="U993">
        <v>20705235.899999999</v>
      </c>
      <c r="V993">
        <v>154</v>
      </c>
    </row>
    <row r="994" spans="1:22" x14ac:dyDescent="0.25">
      <c r="A994">
        <v>0.977002885032492</v>
      </c>
      <c r="B994">
        <v>24.3602379420775</v>
      </c>
      <c r="C994">
        <v>10.2751682126631</v>
      </c>
      <c r="D994">
        <v>0</v>
      </c>
      <c r="E994">
        <v>5.9892427609463903</v>
      </c>
      <c r="F994">
        <v>3.7916066557902899</v>
      </c>
      <c r="G994">
        <v>237.64352610376901</v>
      </c>
      <c r="H994">
        <v>31.463069806187601</v>
      </c>
      <c r="I994">
        <v>65.811682693260494</v>
      </c>
      <c r="J994">
        <v>62.6838244481945</v>
      </c>
      <c r="K994">
        <v>145175.84318965499</v>
      </c>
      <c r="L994">
        <v>744.469704557412</v>
      </c>
      <c r="M994">
        <v>0.26682465941105898</v>
      </c>
      <c r="N994">
        <v>3.4106621261579297E-2</v>
      </c>
      <c r="O994">
        <v>0.69024229006618598</v>
      </c>
      <c r="P994">
        <v>0.111434723286979</v>
      </c>
      <c r="Q994">
        <v>0.87075539992840501</v>
      </c>
      <c r="R994">
        <v>0</v>
      </c>
      <c r="S994">
        <v>240</v>
      </c>
      <c r="T994">
        <v>150</v>
      </c>
      <c r="U994">
        <v>16840397.809999999</v>
      </c>
      <c r="V994">
        <v>116</v>
      </c>
    </row>
    <row r="995" spans="1:22" x14ac:dyDescent="0.25">
      <c r="A995">
        <v>0.978021045688236</v>
      </c>
      <c r="B995">
        <v>23.4088829095564</v>
      </c>
      <c r="C995">
        <v>12.445391030184201</v>
      </c>
      <c r="D995">
        <v>0</v>
      </c>
      <c r="E995">
        <v>5.8859080215126598</v>
      </c>
      <c r="F995">
        <v>3.7376678766937101</v>
      </c>
      <c r="G995">
        <v>237.85258602852701</v>
      </c>
      <c r="H995">
        <v>31.962607692807801</v>
      </c>
      <c r="I995">
        <v>69.376684489696103</v>
      </c>
      <c r="J995">
        <v>65.203464770955193</v>
      </c>
      <c r="K995">
        <v>155174.475777777</v>
      </c>
      <c r="L995">
        <v>743.05524922518703</v>
      </c>
      <c r="M995">
        <v>0.343374504083855</v>
      </c>
      <c r="N995">
        <v>3.3115162620938499E-2</v>
      </c>
      <c r="O995">
        <v>0.88858635544129305</v>
      </c>
      <c r="P995">
        <v>5.5337976896747298E-2</v>
      </c>
      <c r="Q995">
        <v>0.98922544737351004</v>
      </c>
      <c r="R995">
        <v>0</v>
      </c>
      <c r="S995">
        <v>240</v>
      </c>
      <c r="T995">
        <v>160</v>
      </c>
      <c r="U995">
        <v>13965702.82</v>
      </c>
      <c r="V995">
        <v>90</v>
      </c>
    </row>
    <row r="996" spans="1:22" x14ac:dyDescent="0.25">
      <c r="A996">
        <v>0.97640090794961998</v>
      </c>
      <c r="B996">
        <v>24.9176088556518</v>
      </c>
      <c r="C996">
        <v>36.031012883792101</v>
      </c>
      <c r="D996">
        <v>0</v>
      </c>
      <c r="E996">
        <v>5.9809792752827997</v>
      </c>
      <c r="F996">
        <v>3.7475575455023602</v>
      </c>
      <c r="G996">
        <v>237.93148618913099</v>
      </c>
      <c r="H996">
        <v>31.993843934401301</v>
      </c>
      <c r="I996">
        <v>67.704273245347807</v>
      </c>
      <c r="J996">
        <v>64.731320053599703</v>
      </c>
      <c r="K996">
        <v>164982.736</v>
      </c>
      <c r="L996">
        <v>742.41042085430399</v>
      </c>
      <c r="M996">
        <v>0.30931964024074898</v>
      </c>
      <c r="N996">
        <v>0</v>
      </c>
      <c r="O996">
        <v>0.74553280091516505</v>
      </c>
      <c r="P996">
        <v>5.48599350529511E-2</v>
      </c>
      <c r="Q996">
        <v>0.94551417240958502</v>
      </c>
      <c r="R996">
        <v>0</v>
      </c>
      <c r="S996">
        <v>240</v>
      </c>
      <c r="T996">
        <v>170</v>
      </c>
      <c r="U996">
        <v>9074050.4800000004</v>
      </c>
      <c r="V996">
        <v>55</v>
      </c>
    </row>
    <row r="997" spans="1:22" x14ac:dyDescent="0.25">
      <c r="A997">
        <v>0.96815902893407402</v>
      </c>
      <c r="B997">
        <v>32.179591724464103</v>
      </c>
      <c r="C997">
        <v>46.875994629265001</v>
      </c>
      <c r="D997">
        <v>0</v>
      </c>
      <c r="E997">
        <v>5.9003590994908501</v>
      </c>
      <c r="F997">
        <v>3.7177671066183802</v>
      </c>
      <c r="G997">
        <v>237.84256688052</v>
      </c>
      <c r="H997">
        <v>30.5101323348674</v>
      </c>
      <c r="I997">
        <v>69.098112941213699</v>
      </c>
      <c r="J997">
        <v>64.400607182323895</v>
      </c>
      <c r="K997">
        <v>269724.77514986298</v>
      </c>
      <c r="L997">
        <v>727.01085532919399</v>
      </c>
      <c r="M997">
        <v>0.32814115576095798</v>
      </c>
      <c r="N997">
        <v>2.9626146670727199E-2</v>
      </c>
      <c r="O997">
        <v>0.72074915869473999</v>
      </c>
      <c r="P997">
        <v>0.101019736128947</v>
      </c>
      <c r="Q997">
        <v>0.93031371693783305</v>
      </c>
      <c r="R997">
        <v>0</v>
      </c>
      <c r="S997">
        <v>240</v>
      </c>
      <c r="T997">
        <v>175</v>
      </c>
      <c r="U997">
        <v>98988992.480000004</v>
      </c>
      <c r="V997">
        <v>367</v>
      </c>
    </row>
    <row r="998" spans="1:22" x14ac:dyDescent="0.25">
      <c r="A998">
        <v>0.97654728758409504</v>
      </c>
      <c r="B998">
        <v>24.782423405276599</v>
      </c>
      <c r="C998">
        <v>19.570538787408999</v>
      </c>
      <c r="D998">
        <v>0</v>
      </c>
      <c r="E998">
        <v>5.8228134341886602</v>
      </c>
      <c r="F998">
        <v>3.7003523818866202</v>
      </c>
      <c r="G998">
        <v>238.05095868111201</v>
      </c>
      <c r="H998">
        <v>31.910847289931102</v>
      </c>
      <c r="I998">
        <v>70.507926971217103</v>
      </c>
      <c r="J998">
        <v>65.094712977892698</v>
      </c>
      <c r="K998">
        <v>172594.22509090899</v>
      </c>
      <c r="L998">
        <v>749.54292941064296</v>
      </c>
      <c r="M998">
        <v>0.36449933870008999</v>
      </c>
      <c r="N998">
        <v>0</v>
      </c>
      <c r="O998">
        <v>0.85497883897385796</v>
      </c>
      <c r="P998">
        <v>0.109493696132704</v>
      </c>
      <c r="Q998">
        <v>0.92804016687220003</v>
      </c>
      <c r="R998">
        <v>0</v>
      </c>
      <c r="S998">
        <v>240</v>
      </c>
      <c r="T998">
        <v>180</v>
      </c>
      <c r="U998">
        <v>9492682.3800000008</v>
      </c>
      <c r="V998">
        <v>55</v>
      </c>
    </row>
    <row r="999" spans="1:22" x14ac:dyDescent="0.25">
      <c r="A999">
        <v>0.98847133287466205</v>
      </c>
      <c r="B999">
        <v>12.990045043768401</v>
      </c>
      <c r="C999">
        <v>9.9829846116693606</v>
      </c>
      <c r="D999">
        <v>0</v>
      </c>
      <c r="E999">
        <v>6.0546415320968503</v>
      </c>
      <c r="F999">
        <v>3.90800328128062</v>
      </c>
      <c r="G999">
        <v>242.12064276027201</v>
      </c>
      <c r="H999">
        <v>28.675872841756899</v>
      </c>
      <c r="I999">
        <v>37.728714506278799</v>
      </c>
      <c r="J999">
        <v>31.5585485760366</v>
      </c>
      <c r="K999">
        <v>25244.661259842502</v>
      </c>
      <c r="L999">
        <v>759.50780065767503</v>
      </c>
      <c r="M999">
        <v>5.1696690228395903E-2</v>
      </c>
      <c r="N999">
        <v>0</v>
      </c>
      <c r="O999">
        <v>0.89767150829844999</v>
      </c>
      <c r="P999">
        <v>1.55366879816591E-2</v>
      </c>
      <c r="Q999">
        <v>0.82339329449490395</v>
      </c>
      <c r="R999">
        <v>0</v>
      </c>
      <c r="S999">
        <v>245</v>
      </c>
      <c r="T999">
        <v>30</v>
      </c>
      <c r="U999">
        <v>3206071.98</v>
      </c>
      <c r="V999">
        <v>127</v>
      </c>
    </row>
    <row r="1000" spans="1:22" x14ac:dyDescent="0.25">
      <c r="A1000">
        <v>0.986508488126143</v>
      </c>
      <c r="B1000">
        <v>15.0408974086764</v>
      </c>
      <c r="C1000">
        <v>18.816016209799201</v>
      </c>
      <c r="D1000">
        <v>0</v>
      </c>
      <c r="E1000">
        <v>6.0252988498010103</v>
      </c>
      <c r="F1000">
        <v>3.8591503934690898</v>
      </c>
      <c r="G1000">
        <v>242.32969377652799</v>
      </c>
      <c r="H1000">
        <v>28.503174699703699</v>
      </c>
      <c r="I1000">
        <v>46.398021373543003</v>
      </c>
      <c r="J1000">
        <v>41.754368324765103</v>
      </c>
      <c r="K1000">
        <v>35281.381014492697</v>
      </c>
      <c r="L1000">
        <v>752.98795628559299</v>
      </c>
      <c r="M1000">
        <v>8.4795532154252895E-2</v>
      </c>
      <c r="N1000">
        <v>1.48919681653823E-2</v>
      </c>
      <c r="O1000">
        <v>0.87295140181279396</v>
      </c>
      <c r="P1000">
        <v>2.4950246882486499E-2</v>
      </c>
      <c r="Q1000">
        <v>0.89935358564068102</v>
      </c>
      <c r="R1000">
        <v>0</v>
      </c>
      <c r="S1000">
        <v>245</v>
      </c>
      <c r="T1000">
        <v>40</v>
      </c>
      <c r="U1000">
        <v>9737661.1600000001</v>
      </c>
      <c r="V1000">
        <v>276</v>
      </c>
    </row>
    <row r="1001" spans="1:22" x14ac:dyDescent="0.25">
      <c r="A1001">
        <v>0.98516908360672895</v>
      </c>
      <c r="B1001">
        <v>16.414817856282902</v>
      </c>
      <c r="C1001">
        <v>16.006750539046301</v>
      </c>
      <c r="D1001">
        <v>0</v>
      </c>
      <c r="E1001">
        <v>5.9972073476960599</v>
      </c>
      <c r="F1001">
        <v>3.8420826853635299</v>
      </c>
      <c r="G1001">
        <v>242.461161911028</v>
      </c>
      <c r="H1001">
        <v>29.014335376504899</v>
      </c>
      <c r="I1001">
        <v>48.875936525478103</v>
      </c>
      <c r="J1001">
        <v>44.936963083473003</v>
      </c>
      <c r="K1001">
        <v>45752.594793926197</v>
      </c>
      <c r="L1001">
        <v>754.22668572708506</v>
      </c>
      <c r="M1001">
        <v>0.13796330847838001</v>
      </c>
      <c r="N1001">
        <v>1.59577739677716E-2</v>
      </c>
      <c r="O1001">
        <v>0.86988778683685397</v>
      </c>
      <c r="P1001">
        <v>3.3612988734059997E-2</v>
      </c>
      <c r="Q1001">
        <v>0.89164978905550196</v>
      </c>
      <c r="R1001">
        <v>0</v>
      </c>
      <c r="S1001">
        <v>245</v>
      </c>
      <c r="T1001">
        <v>50</v>
      </c>
      <c r="U1001">
        <v>21091946.199999999</v>
      </c>
      <c r="V1001">
        <v>461</v>
      </c>
    </row>
    <row r="1002" spans="1:22" x14ac:dyDescent="0.25">
      <c r="A1002">
        <v>0.98440020730690103</v>
      </c>
      <c r="B1002">
        <v>17.194276159478601</v>
      </c>
      <c r="C1002">
        <v>15.6967179755193</v>
      </c>
      <c r="D1002">
        <v>0</v>
      </c>
      <c r="E1002">
        <v>5.9851317934851096</v>
      </c>
      <c r="F1002">
        <v>3.83221802328445</v>
      </c>
      <c r="G1002">
        <v>242.45155346272799</v>
      </c>
      <c r="H1002">
        <v>28.361974158550002</v>
      </c>
      <c r="I1002">
        <v>50.432227044217001</v>
      </c>
      <c r="J1002">
        <v>46.446812879282902</v>
      </c>
      <c r="K1002">
        <v>55273.909770554397</v>
      </c>
      <c r="L1002">
        <v>756.959212043143</v>
      </c>
      <c r="M1002">
        <v>0.21998800521849901</v>
      </c>
      <c r="N1002">
        <v>1.3347486817728099E-2</v>
      </c>
      <c r="O1002">
        <v>0.91762209252506499</v>
      </c>
      <c r="P1002">
        <v>2.61930799689114E-2</v>
      </c>
      <c r="Q1002">
        <v>0.95430721679044095</v>
      </c>
      <c r="R1002">
        <v>0</v>
      </c>
      <c r="S1002">
        <v>245</v>
      </c>
      <c r="T1002">
        <v>60</v>
      </c>
      <c r="U1002">
        <v>28908254.809999999</v>
      </c>
      <c r="V1002">
        <v>523</v>
      </c>
    </row>
    <row r="1003" spans="1:22" x14ac:dyDescent="0.25">
      <c r="A1003">
        <v>0.98340757806301604</v>
      </c>
      <c r="B1003">
        <v>18.1907130657384</v>
      </c>
      <c r="C1003">
        <v>13.070557830655799</v>
      </c>
      <c r="D1003">
        <v>0</v>
      </c>
      <c r="E1003">
        <v>5.9957013144725302</v>
      </c>
      <c r="F1003">
        <v>3.8119225060178499</v>
      </c>
      <c r="G1003">
        <v>242.46433530842901</v>
      </c>
      <c r="H1003">
        <v>28.817951571836598</v>
      </c>
      <c r="I1003">
        <v>56.129688401142502</v>
      </c>
      <c r="J1003">
        <v>52.508728520161803</v>
      </c>
      <c r="K1003">
        <v>64793.002299465203</v>
      </c>
      <c r="L1003">
        <v>748.278592140961</v>
      </c>
      <c r="M1003">
        <v>0.211930472964311</v>
      </c>
      <c r="N1003">
        <v>1.0597763136394499E-2</v>
      </c>
      <c r="O1003">
        <v>0.90206504659267095</v>
      </c>
      <c r="P1003">
        <v>4.1175534297406099E-2</v>
      </c>
      <c r="Q1003">
        <v>0.93582399357435497</v>
      </c>
      <c r="R1003">
        <v>0</v>
      </c>
      <c r="S1003">
        <v>245</v>
      </c>
      <c r="T1003">
        <v>70</v>
      </c>
      <c r="U1003">
        <v>36348874.289999999</v>
      </c>
      <c r="V1003">
        <v>561</v>
      </c>
    </row>
    <row r="1004" spans="1:22" x14ac:dyDescent="0.25">
      <c r="A1004">
        <v>0.98228421803029398</v>
      </c>
      <c r="B1004">
        <v>19.305116748809301</v>
      </c>
      <c r="C1004">
        <v>23.971627767142099</v>
      </c>
      <c r="D1004">
        <v>0</v>
      </c>
      <c r="E1004">
        <v>5.9509384203618403</v>
      </c>
      <c r="F1004">
        <v>3.7858805411583201</v>
      </c>
      <c r="G1004">
        <v>242.39897289457201</v>
      </c>
      <c r="H1004">
        <v>29.952598635363799</v>
      </c>
      <c r="I1004">
        <v>62.7933279362909</v>
      </c>
      <c r="J1004">
        <v>58.408634652471598</v>
      </c>
      <c r="K1004">
        <v>74274.977912087896</v>
      </c>
      <c r="L1004">
        <v>740.61841855144598</v>
      </c>
      <c r="M1004">
        <v>0.18488228774811899</v>
      </c>
      <c r="N1004">
        <v>2.2566921317721301E-2</v>
      </c>
      <c r="O1004">
        <v>0.91005647153943603</v>
      </c>
      <c r="P1004">
        <v>4.5497446468467498E-2</v>
      </c>
      <c r="Q1004">
        <v>0.91094269380492199</v>
      </c>
      <c r="R1004">
        <v>0</v>
      </c>
      <c r="S1004">
        <v>245</v>
      </c>
      <c r="T1004">
        <v>80</v>
      </c>
      <c r="U1004">
        <v>20277068.969999999</v>
      </c>
      <c r="V1004">
        <v>273</v>
      </c>
    </row>
    <row r="1005" spans="1:22" x14ac:dyDescent="0.25">
      <c r="A1005">
        <v>0.98047829383271501</v>
      </c>
      <c r="B1005">
        <v>21.067510120760801</v>
      </c>
      <c r="C1005">
        <v>1.2026243830304799</v>
      </c>
      <c r="D1005">
        <v>0</v>
      </c>
      <c r="E1005">
        <v>6.0576459532773397</v>
      </c>
      <c r="F1005">
        <v>3.81827006239793</v>
      </c>
      <c r="G1005">
        <v>242.226248816843</v>
      </c>
      <c r="H1005">
        <v>30.0138537669323</v>
      </c>
      <c r="I1005">
        <v>64.411997566917805</v>
      </c>
      <c r="J1005">
        <v>60.1253936715244</v>
      </c>
      <c r="K1005">
        <v>84801.310137930996</v>
      </c>
      <c r="L1005">
        <v>741.69412906687501</v>
      </c>
      <c r="M1005">
        <v>0.13708670605387499</v>
      </c>
      <c r="N1005">
        <v>3.36198164641726E-2</v>
      </c>
      <c r="O1005">
        <v>0.80065624587938899</v>
      </c>
      <c r="P1005">
        <v>6.21396523528173E-2</v>
      </c>
      <c r="Q1005">
        <v>0.89817666829687004</v>
      </c>
      <c r="R1005">
        <v>0</v>
      </c>
      <c r="S1005">
        <v>245</v>
      </c>
      <c r="T1005">
        <v>90</v>
      </c>
      <c r="U1005">
        <v>12296189.970000001</v>
      </c>
      <c r="V1005">
        <v>145</v>
      </c>
    </row>
    <row r="1006" spans="1:22" x14ac:dyDescent="0.25">
      <c r="A1006">
        <v>0.98011243253442404</v>
      </c>
      <c r="B1006">
        <v>21.420225524976502</v>
      </c>
      <c r="C1006">
        <v>8.3419562775070109</v>
      </c>
      <c r="D1006">
        <v>0</v>
      </c>
      <c r="E1006">
        <v>5.9491924620077503</v>
      </c>
      <c r="F1006">
        <v>3.7642758537716201</v>
      </c>
      <c r="G1006">
        <v>242.34049372037899</v>
      </c>
      <c r="H1006">
        <v>30.8318169497499</v>
      </c>
      <c r="I1006">
        <v>62.750955541699803</v>
      </c>
      <c r="J1006">
        <v>59.385648868408303</v>
      </c>
      <c r="K1006">
        <v>94917.271914893601</v>
      </c>
      <c r="L1006">
        <v>737.167213705937</v>
      </c>
      <c r="M1006">
        <v>0.184709108544238</v>
      </c>
      <c r="N1006">
        <v>7.2005458693079399E-3</v>
      </c>
      <c r="O1006">
        <v>0.76579166326112502</v>
      </c>
      <c r="P1006">
        <v>4.9581815978019098E-2</v>
      </c>
      <c r="Q1006">
        <v>0.922135384526649</v>
      </c>
      <c r="R1006">
        <v>0</v>
      </c>
      <c r="S1006">
        <v>245</v>
      </c>
      <c r="T1006">
        <v>100</v>
      </c>
      <c r="U1006">
        <v>13383335.34</v>
      </c>
      <c r="V1006">
        <v>141</v>
      </c>
    </row>
    <row r="1007" spans="1:22" x14ac:dyDescent="0.25">
      <c r="A1007">
        <v>0.98102625676774902</v>
      </c>
      <c r="B1007">
        <v>20.536521005685099</v>
      </c>
      <c r="C1007">
        <v>37.720878238765302</v>
      </c>
      <c r="D1007">
        <v>0</v>
      </c>
      <c r="E1007">
        <v>5.99330654623681</v>
      </c>
      <c r="F1007">
        <v>3.8218132500443902</v>
      </c>
      <c r="G1007">
        <v>242.35398489167599</v>
      </c>
      <c r="H1007">
        <v>30.1804276553652</v>
      </c>
      <c r="I1007">
        <v>66.098125354289806</v>
      </c>
      <c r="J1007">
        <v>62.206994214737698</v>
      </c>
      <c r="K1007">
        <v>104543.62447619</v>
      </c>
      <c r="L1007">
        <v>739.34971362153306</v>
      </c>
      <c r="M1007">
        <v>0.35313568715110499</v>
      </c>
      <c r="N1007">
        <v>2.9040791671988201E-2</v>
      </c>
      <c r="O1007">
        <v>0.84624715567702102</v>
      </c>
      <c r="P1007">
        <v>0.14166641941665101</v>
      </c>
      <c r="Q1007">
        <v>0.98106398521223503</v>
      </c>
      <c r="R1007">
        <v>0</v>
      </c>
      <c r="S1007">
        <v>245</v>
      </c>
      <c r="T1007">
        <v>110</v>
      </c>
      <c r="U1007">
        <v>10977080.57</v>
      </c>
      <c r="V1007">
        <v>105</v>
      </c>
    </row>
    <row r="1008" spans="1:22" x14ac:dyDescent="0.25">
      <c r="A1008">
        <v>0.97957119020642502</v>
      </c>
      <c r="B1008">
        <v>21.939371211200601</v>
      </c>
      <c r="C1008">
        <v>11.195344734926101</v>
      </c>
      <c r="D1008">
        <v>0</v>
      </c>
      <c r="E1008">
        <v>6.04449918714558</v>
      </c>
      <c r="F1008">
        <v>3.78702947859668</v>
      </c>
      <c r="G1008">
        <v>242.39431254111301</v>
      </c>
      <c r="H1008">
        <v>30.586886407138401</v>
      </c>
      <c r="I1008">
        <v>69.312925471628802</v>
      </c>
      <c r="J1008">
        <v>64.068909457734094</v>
      </c>
      <c r="K1008">
        <v>114222.75509803899</v>
      </c>
      <c r="L1008">
        <v>740.97617169190403</v>
      </c>
      <c r="M1008">
        <v>0.37235198770556399</v>
      </c>
      <c r="N1008">
        <v>3.86207101884583E-2</v>
      </c>
      <c r="O1008">
        <v>0.78482582788682997</v>
      </c>
      <c r="P1008">
        <v>5.8852809952529402E-2</v>
      </c>
      <c r="Q1008">
        <v>0.88264741575624805</v>
      </c>
      <c r="R1008">
        <v>0</v>
      </c>
      <c r="S1008">
        <v>245</v>
      </c>
      <c r="T1008">
        <v>120</v>
      </c>
      <c r="U1008">
        <v>11650721.02</v>
      </c>
      <c r="V1008">
        <v>102</v>
      </c>
    </row>
    <row r="1009" spans="1:22" x14ac:dyDescent="0.25">
      <c r="A1009">
        <v>0.97903324998315899</v>
      </c>
      <c r="B1009">
        <v>22.452232589542</v>
      </c>
      <c r="C1009">
        <v>36.830902793086402</v>
      </c>
      <c r="D1009">
        <v>0</v>
      </c>
      <c r="E1009">
        <v>5.9080343947394596</v>
      </c>
      <c r="F1009">
        <v>3.75176292844978</v>
      </c>
      <c r="G1009">
        <v>241.96067200854401</v>
      </c>
      <c r="H1009">
        <v>31.000780053378801</v>
      </c>
      <c r="I1009">
        <v>68.815754233568697</v>
      </c>
      <c r="J1009">
        <v>64.756709926191903</v>
      </c>
      <c r="K1009">
        <v>125021.142405063</v>
      </c>
      <c r="L1009">
        <v>734.679954877505</v>
      </c>
      <c r="M1009">
        <v>0.31849940216440797</v>
      </c>
      <c r="N1009">
        <v>7.4582161938635094E-2</v>
      </c>
      <c r="O1009">
        <v>0.82461775617141797</v>
      </c>
      <c r="P1009">
        <v>8.8207768200016495E-2</v>
      </c>
      <c r="Q1009">
        <v>0.86062096585638204</v>
      </c>
      <c r="R1009">
        <v>0</v>
      </c>
      <c r="S1009">
        <v>245</v>
      </c>
      <c r="T1009">
        <v>130</v>
      </c>
      <c r="U1009">
        <v>9876670.25</v>
      </c>
      <c r="V1009">
        <v>79</v>
      </c>
    </row>
    <row r="1010" spans="1:22" x14ac:dyDescent="0.25">
      <c r="A1010">
        <v>0.978863870778515</v>
      </c>
      <c r="B1010">
        <v>22.613074783151099</v>
      </c>
      <c r="C1010">
        <v>14.67108844593</v>
      </c>
      <c r="D1010">
        <v>0</v>
      </c>
      <c r="E1010">
        <v>5.9150797025750901</v>
      </c>
      <c r="F1010">
        <v>3.7555218640100101</v>
      </c>
      <c r="G1010">
        <v>241.93174499368899</v>
      </c>
      <c r="H1010">
        <v>30.7308033257071</v>
      </c>
      <c r="I1010">
        <v>66.657189187775899</v>
      </c>
      <c r="J1010">
        <v>62.572494175423998</v>
      </c>
      <c r="K1010">
        <v>134625.681153846</v>
      </c>
      <c r="L1010">
        <v>733.61655072758197</v>
      </c>
      <c r="M1010">
        <v>0.33333336952104098</v>
      </c>
      <c r="N1010">
        <v>9.1646360576993297E-2</v>
      </c>
      <c r="O1010">
        <v>0.806941175365126</v>
      </c>
      <c r="P1010">
        <v>3.8123381139895697E-2</v>
      </c>
      <c r="Q1010">
        <v>0.97484819049264404</v>
      </c>
      <c r="R1010">
        <v>0</v>
      </c>
      <c r="S1010">
        <v>245</v>
      </c>
      <c r="T1010">
        <v>140</v>
      </c>
      <c r="U1010">
        <v>10500803.130000001</v>
      </c>
      <c r="V1010">
        <v>78</v>
      </c>
    </row>
    <row r="1011" spans="1:22" x14ac:dyDescent="0.25">
      <c r="A1011">
        <v>0.97761126911833196</v>
      </c>
      <c r="B1011">
        <v>23.793083493172499</v>
      </c>
      <c r="C1011">
        <v>20.9321175602078</v>
      </c>
      <c r="D1011">
        <v>0</v>
      </c>
      <c r="E1011">
        <v>5.9751961159905296</v>
      </c>
      <c r="F1011">
        <v>3.76784251696228</v>
      </c>
      <c r="G1011">
        <v>241.835606553015</v>
      </c>
      <c r="H1011">
        <v>31.461518330151499</v>
      </c>
      <c r="I1011">
        <v>61.549865797060498</v>
      </c>
      <c r="J1011">
        <v>57.495392351923101</v>
      </c>
      <c r="K1011">
        <v>144753.480555555</v>
      </c>
      <c r="L1011">
        <v>743.42953128760803</v>
      </c>
      <c r="M1011">
        <v>0.35066113647276898</v>
      </c>
      <c r="N1011">
        <v>1.82397469250387E-2</v>
      </c>
      <c r="O1011">
        <v>0.74044653528736504</v>
      </c>
      <c r="P1011">
        <v>0.16750489828623599</v>
      </c>
      <c r="Q1011">
        <v>0.87023631153140701</v>
      </c>
      <c r="R1011">
        <v>0</v>
      </c>
      <c r="S1011">
        <v>245</v>
      </c>
      <c r="T1011">
        <v>150</v>
      </c>
      <c r="U1011">
        <v>7816687.9500000002</v>
      </c>
      <c r="V1011">
        <v>54</v>
      </c>
    </row>
    <row r="1012" spans="1:22" x14ac:dyDescent="0.25">
      <c r="A1012">
        <v>0.97815976822237205</v>
      </c>
      <c r="B1012">
        <v>23.278416925843999</v>
      </c>
      <c r="C1012">
        <v>35.182185922706303</v>
      </c>
      <c r="D1012">
        <v>0</v>
      </c>
      <c r="E1012">
        <v>5.8465643633981399</v>
      </c>
      <c r="F1012">
        <v>3.71052270168058</v>
      </c>
      <c r="G1012">
        <v>242.150001121727</v>
      </c>
      <c r="H1012">
        <v>30.3125525256279</v>
      </c>
      <c r="I1012">
        <v>67.936319748973503</v>
      </c>
      <c r="J1012">
        <v>61.260530045225302</v>
      </c>
      <c r="K1012">
        <v>155172.58157894699</v>
      </c>
      <c r="L1012">
        <v>731.74080061496602</v>
      </c>
      <c r="M1012">
        <v>0.33199043240722598</v>
      </c>
      <c r="N1012">
        <v>1.6966548671842899E-2</v>
      </c>
      <c r="O1012">
        <v>0.96534164340154005</v>
      </c>
      <c r="P1012">
        <v>8.7307420917297401E-2</v>
      </c>
      <c r="Q1012">
        <v>0.96554707510923399</v>
      </c>
      <c r="R1012">
        <v>0</v>
      </c>
      <c r="S1012">
        <v>245</v>
      </c>
      <c r="T1012">
        <v>160</v>
      </c>
      <c r="U1012">
        <v>8844837.1500000004</v>
      </c>
      <c r="V1012">
        <v>57</v>
      </c>
    </row>
    <row r="1013" spans="1:22" x14ac:dyDescent="0.25">
      <c r="A1013">
        <v>0.97721199741860099</v>
      </c>
      <c r="B1013">
        <v>24.165734799542701</v>
      </c>
      <c r="C1013">
        <v>51.020575991415001</v>
      </c>
      <c r="D1013">
        <v>0</v>
      </c>
      <c r="E1013">
        <v>5.9572025759085196</v>
      </c>
      <c r="F1013">
        <v>3.7530923874511202</v>
      </c>
      <c r="G1013">
        <v>241.96412655609399</v>
      </c>
      <c r="H1013">
        <v>31.416113261420399</v>
      </c>
      <c r="I1013">
        <v>66.109306423541994</v>
      </c>
      <c r="J1013">
        <v>61.268235346973597</v>
      </c>
      <c r="K1013">
        <v>165672.87485714199</v>
      </c>
      <c r="L1013">
        <v>743.39999901906504</v>
      </c>
      <c r="M1013">
        <v>0.22911942260495399</v>
      </c>
      <c r="N1013">
        <v>2.8375366670507701E-2</v>
      </c>
      <c r="O1013">
        <v>0.68602543992277798</v>
      </c>
      <c r="P1013">
        <v>5.69918125505645E-2</v>
      </c>
      <c r="Q1013">
        <v>0.97171628899222995</v>
      </c>
      <c r="R1013">
        <v>0</v>
      </c>
      <c r="S1013">
        <v>245</v>
      </c>
      <c r="T1013">
        <v>170</v>
      </c>
      <c r="U1013">
        <v>5798550.6200000001</v>
      </c>
      <c r="V1013">
        <v>35</v>
      </c>
    </row>
    <row r="1014" spans="1:22" x14ac:dyDescent="0.25">
      <c r="A1014">
        <v>0.96770213155720497</v>
      </c>
      <c r="B1014">
        <v>32.562669250884497</v>
      </c>
      <c r="C1014">
        <v>43.317682907666502</v>
      </c>
      <c r="D1014">
        <v>0</v>
      </c>
      <c r="E1014">
        <v>5.9020685543314597</v>
      </c>
      <c r="F1014">
        <v>3.7211616194595099</v>
      </c>
      <c r="G1014">
        <v>242.416300769603</v>
      </c>
      <c r="H1014">
        <v>30.529055948299899</v>
      </c>
      <c r="I1014">
        <v>67.469348532839007</v>
      </c>
      <c r="J1014">
        <v>62.341457398856399</v>
      </c>
      <c r="K1014">
        <v>271286.38967078098</v>
      </c>
      <c r="L1014">
        <v>722.75135077033303</v>
      </c>
      <c r="M1014">
        <v>0.23955955834843201</v>
      </c>
      <c r="N1014">
        <v>4.7954159431589503E-2</v>
      </c>
      <c r="O1014">
        <v>0.65176085355207203</v>
      </c>
      <c r="P1014">
        <v>0.147642892107858</v>
      </c>
      <c r="Q1014">
        <v>0.93551279331516801</v>
      </c>
      <c r="R1014">
        <v>0</v>
      </c>
      <c r="S1014">
        <v>245</v>
      </c>
      <c r="T1014">
        <v>175</v>
      </c>
      <c r="U1014">
        <v>65922592.689999998</v>
      </c>
      <c r="V1014">
        <v>243</v>
      </c>
    </row>
    <row r="1015" spans="1:22" x14ac:dyDescent="0.25">
      <c r="A1015">
        <v>0.97677688426680398</v>
      </c>
      <c r="B1015">
        <v>24.569935321131702</v>
      </c>
      <c r="C1015">
        <v>47.718023744900101</v>
      </c>
      <c r="D1015">
        <v>0</v>
      </c>
      <c r="E1015">
        <v>5.8880994236977502</v>
      </c>
      <c r="F1015">
        <v>3.7456237933423102</v>
      </c>
      <c r="G1015">
        <v>241.97313859579799</v>
      </c>
      <c r="H1015">
        <v>32.159849894915403</v>
      </c>
      <c r="I1015">
        <v>68.643083040930904</v>
      </c>
      <c r="J1015">
        <v>62.0833969898123</v>
      </c>
      <c r="K1015">
        <v>172788.35421052601</v>
      </c>
      <c r="L1015">
        <v>730.752295570005</v>
      </c>
      <c r="M1015">
        <v>0.31662098523556298</v>
      </c>
      <c r="N1015">
        <v>0</v>
      </c>
      <c r="O1015">
        <v>0.73702794443630104</v>
      </c>
      <c r="P1015">
        <v>0.10563508889989</v>
      </c>
      <c r="Q1015">
        <v>1</v>
      </c>
      <c r="R1015">
        <v>0</v>
      </c>
      <c r="S1015">
        <v>245</v>
      </c>
      <c r="T1015">
        <v>180</v>
      </c>
      <c r="U1015">
        <v>6565957.46</v>
      </c>
      <c r="V1015">
        <v>38</v>
      </c>
    </row>
    <row r="1016" spans="1:22" x14ac:dyDescent="0.25">
      <c r="A1016">
        <v>0.98962922964836297</v>
      </c>
      <c r="B1016">
        <v>11.759051155559799</v>
      </c>
      <c r="C1016">
        <v>47.669231315930801</v>
      </c>
      <c r="D1016">
        <v>0</v>
      </c>
      <c r="E1016">
        <v>6.1666909147437998</v>
      </c>
      <c r="F1016">
        <v>3.79727461790571</v>
      </c>
      <c r="G1016">
        <v>264.67714118831702</v>
      </c>
      <c r="H1016">
        <v>30.575731194630698</v>
      </c>
      <c r="I1016">
        <v>30.453726959819701</v>
      </c>
      <c r="J1016">
        <v>19.292959838356701</v>
      </c>
      <c r="K1016">
        <v>16021.2143703703</v>
      </c>
      <c r="L1016">
        <v>767.83206759182406</v>
      </c>
      <c r="M1016">
        <v>6.4351491291680593E-2</v>
      </c>
      <c r="N1016">
        <v>4.4769228525766598E-3</v>
      </c>
      <c r="O1016">
        <v>0.98553567821746502</v>
      </c>
      <c r="P1016">
        <v>1.27322132893851E-2</v>
      </c>
      <c r="Q1016">
        <v>0.88640190422704002</v>
      </c>
      <c r="R1016">
        <v>0</v>
      </c>
      <c r="S1016">
        <v>250</v>
      </c>
      <c r="T1016">
        <v>20</v>
      </c>
      <c r="U1016">
        <v>4325727.88</v>
      </c>
      <c r="V1016">
        <v>270</v>
      </c>
    </row>
    <row r="1017" spans="1:22" x14ac:dyDescent="0.25">
      <c r="A1017">
        <v>0.98799929316817303</v>
      </c>
      <c r="B1017">
        <v>13.4873517171135</v>
      </c>
      <c r="C1017">
        <v>20.6903771114895</v>
      </c>
      <c r="D1017">
        <v>0</v>
      </c>
      <c r="E1017">
        <v>6.2241255395748896</v>
      </c>
      <c r="F1017">
        <v>3.85762151808466</v>
      </c>
      <c r="G1017">
        <v>262.15224716905601</v>
      </c>
      <c r="H1017">
        <v>30.2787289428707</v>
      </c>
      <c r="I1017">
        <v>36.091721766059599</v>
      </c>
      <c r="J1017">
        <v>29.946647745379799</v>
      </c>
      <c r="K1017">
        <v>25292.088899082501</v>
      </c>
      <c r="L1017">
        <v>762.50673897369199</v>
      </c>
      <c r="M1017">
        <v>0.143751840416352</v>
      </c>
      <c r="N1017">
        <v>3.53040249774975E-3</v>
      </c>
      <c r="O1017">
        <v>0.89596336615184102</v>
      </c>
      <c r="P1017">
        <v>3.3598413743876697E-2</v>
      </c>
      <c r="Q1017">
        <v>0.88565600924683596</v>
      </c>
      <c r="R1017">
        <v>0</v>
      </c>
      <c r="S1017">
        <v>250</v>
      </c>
      <c r="T1017">
        <v>30</v>
      </c>
      <c r="U1017">
        <v>16541026.140000001</v>
      </c>
      <c r="V1017">
        <v>654</v>
      </c>
    </row>
    <row r="1018" spans="1:22" x14ac:dyDescent="0.25">
      <c r="A1018">
        <v>0.986536948226582</v>
      </c>
      <c r="B1018">
        <v>15.0114805918851</v>
      </c>
      <c r="C1018">
        <v>9.7337259086499195</v>
      </c>
      <c r="D1018">
        <v>0</v>
      </c>
      <c r="E1018">
        <v>6.16513422850882</v>
      </c>
      <c r="F1018">
        <v>3.8083364627812002</v>
      </c>
      <c r="G1018">
        <v>261.26479497928898</v>
      </c>
      <c r="H1018">
        <v>29.990908426013402</v>
      </c>
      <c r="I1018">
        <v>44.4140348152699</v>
      </c>
      <c r="J1018">
        <v>40.187674181367797</v>
      </c>
      <c r="K1018">
        <v>35561.184535519104</v>
      </c>
      <c r="L1018">
        <v>761.35118890381204</v>
      </c>
      <c r="M1018">
        <v>0.13174842989291</v>
      </c>
      <c r="N1018">
        <v>2.7659737337966499E-3</v>
      </c>
      <c r="O1018">
        <v>0.92819659220231299</v>
      </c>
      <c r="P1018">
        <v>4.5459048025066402E-2</v>
      </c>
      <c r="Q1018">
        <v>0.93013730288890895</v>
      </c>
      <c r="R1018">
        <v>0</v>
      </c>
      <c r="S1018">
        <v>250</v>
      </c>
      <c r="T1018">
        <v>40</v>
      </c>
      <c r="U1018">
        <v>39046180.619999997</v>
      </c>
      <c r="V1018">
        <v>1098</v>
      </c>
    </row>
    <row r="1019" spans="1:22" x14ac:dyDescent="0.25">
      <c r="A1019">
        <v>0.98512819233919602</v>
      </c>
      <c r="B1019">
        <v>16.456440647061399</v>
      </c>
      <c r="C1019">
        <v>16.688280593224398</v>
      </c>
      <c r="D1019">
        <v>0</v>
      </c>
      <c r="E1019">
        <v>6.1096346608644199</v>
      </c>
      <c r="F1019">
        <v>3.7851627737689899</v>
      </c>
      <c r="G1019">
        <v>259.34138312255402</v>
      </c>
      <c r="H1019">
        <v>29.936414610845301</v>
      </c>
      <c r="I1019">
        <v>47.202609012475399</v>
      </c>
      <c r="J1019">
        <v>43.5170934220546</v>
      </c>
      <c r="K1019">
        <v>45427.078976520097</v>
      </c>
      <c r="L1019">
        <v>757.81717623254201</v>
      </c>
      <c r="M1019">
        <v>0.14366292309958001</v>
      </c>
      <c r="N1019">
        <v>5.0075568722949297E-3</v>
      </c>
      <c r="O1019">
        <v>0.920136613072012</v>
      </c>
      <c r="P1019">
        <v>4.3683266094076197E-2</v>
      </c>
      <c r="Q1019">
        <v>0.935226419090741</v>
      </c>
      <c r="R1019">
        <v>0</v>
      </c>
      <c r="S1019">
        <v>250</v>
      </c>
      <c r="T1019">
        <v>50</v>
      </c>
      <c r="U1019">
        <v>75454378.180000007</v>
      </c>
      <c r="V1019">
        <v>1661</v>
      </c>
    </row>
    <row r="1020" spans="1:22" x14ac:dyDescent="0.25">
      <c r="A1020">
        <v>0.98433127887291905</v>
      </c>
      <c r="B1020">
        <v>17.2638267902406</v>
      </c>
      <c r="C1020">
        <v>18.044443724800502</v>
      </c>
      <c r="D1020">
        <v>0</v>
      </c>
      <c r="E1020">
        <v>6.1402400751015298</v>
      </c>
      <c r="F1020">
        <v>3.77790365749396</v>
      </c>
      <c r="G1020">
        <v>262.13640354044702</v>
      </c>
      <c r="H1020">
        <v>29.606069553831102</v>
      </c>
      <c r="I1020">
        <v>49.6048358445357</v>
      </c>
      <c r="J1020">
        <v>45.948986270593501</v>
      </c>
      <c r="K1020">
        <v>55251.391494140596</v>
      </c>
      <c r="L1020">
        <v>756.41476369109398</v>
      </c>
      <c r="M1020">
        <v>0.22139998664403601</v>
      </c>
      <c r="N1020">
        <v>5.0977324535492804E-3</v>
      </c>
      <c r="O1020">
        <v>0.932316994411726</v>
      </c>
      <c r="P1020">
        <v>4.3251926625464301E-2</v>
      </c>
      <c r="Q1020">
        <v>0.97360593420603003</v>
      </c>
      <c r="R1020">
        <v>0</v>
      </c>
      <c r="S1020">
        <v>250</v>
      </c>
      <c r="T1020">
        <v>60</v>
      </c>
      <c r="U1020">
        <v>113154849.78</v>
      </c>
      <c r="V1020">
        <v>2048</v>
      </c>
    </row>
    <row r="1021" spans="1:22" x14ac:dyDescent="0.25">
      <c r="A1021">
        <v>0.983770875443568</v>
      </c>
      <c r="B1021">
        <v>17.827304482908499</v>
      </c>
      <c r="C1021">
        <v>17.959927784477301</v>
      </c>
      <c r="D1021">
        <v>0</v>
      </c>
      <c r="E1021">
        <v>6.1201050905759704</v>
      </c>
      <c r="F1021">
        <v>3.7631889265704799</v>
      </c>
      <c r="G1021">
        <v>260.73770646875101</v>
      </c>
      <c r="H1021">
        <v>29.684671675359098</v>
      </c>
      <c r="I1021">
        <v>50.759067994729897</v>
      </c>
      <c r="J1021">
        <v>47.871793906609497</v>
      </c>
      <c r="K1021">
        <v>64824.6194189944</v>
      </c>
      <c r="L1021">
        <v>755.51476156084505</v>
      </c>
      <c r="M1021">
        <v>0.227723465491179</v>
      </c>
      <c r="N1021">
        <v>3.9574785229047598E-3</v>
      </c>
      <c r="O1021">
        <v>0.94688383167523604</v>
      </c>
      <c r="P1021">
        <v>3.4630815167578502E-2</v>
      </c>
      <c r="Q1021">
        <v>0.96242567801036205</v>
      </c>
      <c r="R1021">
        <v>0</v>
      </c>
      <c r="S1021">
        <v>250</v>
      </c>
      <c r="T1021">
        <v>70</v>
      </c>
      <c r="U1021">
        <v>116036068.76000001</v>
      </c>
      <c r="V1021">
        <v>1790</v>
      </c>
    </row>
    <row r="1022" spans="1:22" x14ac:dyDescent="0.25">
      <c r="A1022">
        <v>0.98228681202055701</v>
      </c>
      <c r="B1022">
        <v>19.302559548628199</v>
      </c>
      <c r="C1022">
        <v>20.273051644948101</v>
      </c>
      <c r="D1022">
        <v>0</v>
      </c>
      <c r="E1022">
        <v>6.1566845651125703</v>
      </c>
      <c r="F1022">
        <v>3.7920413854918</v>
      </c>
      <c r="G1022">
        <v>260.38838844197397</v>
      </c>
      <c r="H1022">
        <v>30.3086076931164</v>
      </c>
      <c r="I1022">
        <v>59.853271289819602</v>
      </c>
      <c r="J1022">
        <v>55.9209361446324</v>
      </c>
      <c r="K1022">
        <v>73594.483744855897</v>
      </c>
      <c r="L1022">
        <v>744.30147836654601</v>
      </c>
      <c r="M1022">
        <v>0.22648651856252999</v>
      </c>
      <c r="N1022">
        <v>0</v>
      </c>
      <c r="O1022">
        <v>0.93489378699846304</v>
      </c>
      <c r="P1022">
        <v>4.3920861497964397E-2</v>
      </c>
      <c r="Q1022">
        <v>0.932665391169611</v>
      </c>
      <c r="R1022">
        <v>0</v>
      </c>
      <c r="S1022">
        <v>250</v>
      </c>
      <c r="T1022">
        <v>80</v>
      </c>
      <c r="U1022">
        <v>53650378.649999999</v>
      </c>
      <c r="V1022">
        <v>729</v>
      </c>
    </row>
    <row r="1023" spans="1:22" x14ac:dyDescent="0.25">
      <c r="A1023">
        <v>0.98055588405469596</v>
      </c>
      <c r="B1023">
        <v>20.992521547326302</v>
      </c>
      <c r="C1023">
        <v>14.8763102553206</v>
      </c>
      <c r="D1023">
        <v>0</v>
      </c>
      <c r="E1023">
        <v>6.1810830929859701</v>
      </c>
      <c r="F1023">
        <v>3.8532312183062398</v>
      </c>
      <c r="G1023">
        <v>258.57790588766699</v>
      </c>
      <c r="H1023">
        <v>30.5012330920027</v>
      </c>
      <c r="I1023">
        <v>62.968718922846499</v>
      </c>
      <c r="J1023">
        <v>57.441514193890697</v>
      </c>
      <c r="K1023">
        <v>85183.436550308004</v>
      </c>
      <c r="L1023">
        <v>749.15671542907398</v>
      </c>
      <c r="M1023">
        <v>0.120288721475328</v>
      </c>
      <c r="N1023">
        <v>1.02055140642297E-2</v>
      </c>
      <c r="O1023">
        <v>0.860627629076823</v>
      </c>
      <c r="P1023">
        <v>3.0521911529512901E-2</v>
      </c>
      <c r="Q1023">
        <v>0.93447092518800801</v>
      </c>
      <c r="R1023">
        <v>0</v>
      </c>
      <c r="S1023">
        <v>250</v>
      </c>
      <c r="T1023">
        <v>90</v>
      </c>
      <c r="U1023">
        <v>41484333.600000001</v>
      </c>
      <c r="V1023">
        <v>487</v>
      </c>
    </row>
    <row r="1024" spans="1:22" x14ac:dyDescent="0.25">
      <c r="A1024">
        <v>0.97985229555365705</v>
      </c>
      <c r="B1024">
        <v>21.670135932632402</v>
      </c>
      <c r="C1024">
        <v>42.365330435133501</v>
      </c>
      <c r="D1024">
        <v>0</v>
      </c>
      <c r="E1024">
        <v>6.1629619468861696</v>
      </c>
      <c r="F1024">
        <v>3.7863208587645101</v>
      </c>
      <c r="G1024">
        <v>257.74070154086701</v>
      </c>
      <c r="H1024">
        <v>31.036571061745502</v>
      </c>
      <c r="I1024">
        <v>63.0641662010717</v>
      </c>
      <c r="J1024">
        <v>59.483802528988697</v>
      </c>
      <c r="K1024">
        <v>95076.280983050805</v>
      </c>
      <c r="L1024">
        <v>740.54916748633195</v>
      </c>
      <c r="M1024">
        <v>0.21803429003942901</v>
      </c>
      <c r="N1024">
        <v>0</v>
      </c>
      <c r="O1024">
        <v>0.85776309514447402</v>
      </c>
      <c r="P1024">
        <v>7.1478985771485107E-2</v>
      </c>
      <c r="Q1024">
        <v>0.93840396641456503</v>
      </c>
      <c r="R1024">
        <v>0</v>
      </c>
      <c r="S1024">
        <v>250</v>
      </c>
      <c r="T1024">
        <v>100</v>
      </c>
      <c r="U1024">
        <v>28047502.890000001</v>
      </c>
      <c r="V1024">
        <v>295</v>
      </c>
    </row>
    <row r="1025" spans="1:22" x14ac:dyDescent="0.25">
      <c r="A1025">
        <v>0.97967440000343697</v>
      </c>
      <c r="B1025">
        <v>21.840618302309199</v>
      </c>
      <c r="C1025">
        <v>8.8333865676342196</v>
      </c>
      <c r="D1025">
        <v>0</v>
      </c>
      <c r="E1025">
        <v>6.2046701686399697</v>
      </c>
      <c r="F1025">
        <v>3.8436101189001199</v>
      </c>
      <c r="G1025">
        <v>256.88272437676301</v>
      </c>
      <c r="H1025">
        <v>30.459350146608401</v>
      </c>
      <c r="I1025">
        <v>66.556342428947104</v>
      </c>
      <c r="J1025">
        <v>63.259306122598097</v>
      </c>
      <c r="K1025">
        <v>104495.433846153</v>
      </c>
      <c r="L1025">
        <v>730.61350929793502</v>
      </c>
      <c r="M1025">
        <v>0.27250121594601001</v>
      </c>
      <c r="N1025">
        <v>5.5267656359419902E-2</v>
      </c>
      <c r="O1025">
        <v>0.86038117134630099</v>
      </c>
      <c r="P1025">
        <v>0.119356641085739</v>
      </c>
      <c r="Q1025">
        <v>0.93138169701064599</v>
      </c>
      <c r="R1025">
        <v>0</v>
      </c>
      <c r="S1025">
        <v>250</v>
      </c>
      <c r="T1025">
        <v>110</v>
      </c>
      <c r="U1025">
        <v>28527253.440000001</v>
      </c>
      <c r="V1025">
        <v>273</v>
      </c>
    </row>
    <row r="1026" spans="1:22" x14ac:dyDescent="0.25">
      <c r="A1026">
        <v>0.97917472239632097</v>
      </c>
      <c r="B1026">
        <v>22.317655833694801</v>
      </c>
      <c r="C1026">
        <v>24.582954551734598</v>
      </c>
      <c r="D1026">
        <v>0</v>
      </c>
      <c r="E1026">
        <v>6.1725563086856399</v>
      </c>
      <c r="F1026">
        <v>3.7977506587233298</v>
      </c>
      <c r="G1026">
        <v>255.326631365249</v>
      </c>
      <c r="H1026">
        <v>31.423471147508302</v>
      </c>
      <c r="I1026">
        <v>66.167213876271902</v>
      </c>
      <c r="J1026">
        <v>61.339547820772601</v>
      </c>
      <c r="K1026">
        <v>114250.608363636</v>
      </c>
      <c r="L1026">
        <v>744.06842125213802</v>
      </c>
      <c r="M1026">
        <v>0.37199626266243102</v>
      </c>
      <c r="N1026">
        <v>4.5833447608966398E-2</v>
      </c>
      <c r="O1026">
        <v>0.84882521198462801</v>
      </c>
      <c r="P1026">
        <v>5.8581921201339399E-2</v>
      </c>
      <c r="Q1026">
        <v>0.87674164061662296</v>
      </c>
      <c r="R1026">
        <v>0</v>
      </c>
      <c r="S1026">
        <v>250</v>
      </c>
      <c r="T1026">
        <v>120</v>
      </c>
      <c r="U1026">
        <v>25135133.84</v>
      </c>
      <c r="V1026">
        <v>220</v>
      </c>
    </row>
    <row r="1027" spans="1:22" x14ac:dyDescent="0.25">
      <c r="A1027">
        <v>0.97826130904289499</v>
      </c>
      <c r="B1027">
        <v>23.18279056103</v>
      </c>
      <c r="C1027">
        <v>29.4859290920257</v>
      </c>
      <c r="D1027">
        <v>0</v>
      </c>
      <c r="E1027">
        <v>6.0983828026230196</v>
      </c>
      <c r="F1027">
        <v>3.7747172433585701</v>
      </c>
      <c r="G1027">
        <v>257.52306835675398</v>
      </c>
      <c r="H1027">
        <v>31.9834506865636</v>
      </c>
      <c r="I1027">
        <v>66.105406714450098</v>
      </c>
      <c r="J1027">
        <v>62.696307770803401</v>
      </c>
      <c r="K1027">
        <v>124948.17396551699</v>
      </c>
      <c r="L1027">
        <v>732.260949099242</v>
      </c>
      <c r="M1027">
        <v>0.30454047189653399</v>
      </c>
      <c r="N1027">
        <v>6.1472439625884397E-2</v>
      </c>
      <c r="O1027">
        <v>0.82845650745291699</v>
      </c>
      <c r="P1027">
        <v>8.0872661969196194E-2</v>
      </c>
      <c r="Q1027">
        <v>0.91867608289071101</v>
      </c>
      <c r="R1027">
        <v>0</v>
      </c>
      <c r="S1027">
        <v>250</v>
      </c>
      <c r="T1027">
        <v>130</v>
      </c>
      <c r="U1027">
        <v>21740982.27</v>
      </c>
      <c r="V1027">
        <v>174</v>
      </c>
    </row>
    <row r="1028" spans="1:22" x14ac:dyDescent="0.25">
      <c r="A1028">
        <v>0.97774696576739595</v>
      </c>
      <c r="B1028">
        <v>23.666052370255699</v>
      </c>
      <c r="C1028">
        <v>52.2289937640478</v>
      </c>
      <c r="D1028">
        <v>0</v>
      </c>
      <c r="E1028">
        <v>6.17909593190058</v>
      </c>
      <c r="F1028">
        <v>3.7636575686202298</v>
      </c>
      <c r="G1028">
        <v>256.84386953875901</v>
      </c>
      <c r="H1028">
        <v>30.7295846690897</v>
      </c>
      <c r="I1028">
        <v>67.129180203901996</v>
      </c>
      <c r="J1028">
        <v>62.922393621136798</v>
      </c>
      <c r="K1028">
        <v>134835.990714285</v>
      </c>
      <c r="L1028">
        <v>723.62994996314399</v>
      </c>
      <c r="M1028">
        <v>0.26183991763143</v>
      </c>
      <c r="N1028">
        <v>4.8023195767458997E-2</v>
      </c>
      <c r="O1028">
        <v>0.86271128823823395</v>
      </c>
      <c r="P1028">
        <v>6.5310046485204207E-2</v>
      </c>
      <c r="Q1028">
        <v>0.91795604395654795</v>
      </c>
      <c r="R1028">
        <v>0</v>
      </c>
      <c r="S1028">
        <v>250</v>
      </c>
      <c r="T1028">
        <v>140</v>
      </c>
      <c r="U1028">
        <v>22652446.440000001</v>
      </c>
      <c r="V1028">
        <v>168</v>
      </c>
    </row>
    <row r="1029" spans="1:22" x14ac:dyDescent="0.25">
      <c r="A1029">
        <v>0.97857687350789302</v>
      </c>
      <c r="B1029">
        <v>22.884908982930899</v>
      </c>
      <c r="C1029">
        <v>21.128194273821499</v>
      </c>
      <c r="D1029">
        <v>0</v>
      </c>
      <c r="E1029">
        <v>6.1138717514760499</v>
      </c>
      <c r="F1029">
        <v>3.7860385030455701</v>
      </c>
      <c r="G1029">
        <v>256.21140454062299</v>
      </c>
      <c r="H1029">
        <v>30.9213012473951</v>
      </c>
      <c r="I1029">
        <v>64.294247224594599</v>
      </c>
      <c r="J1029">
        <v>60.218731897987396</v>
      </c>
      <c r="K1029">
        <v>145425.28120253101</v>
      </c>
      <c r="L1029">
        <v>742.67645769536102</v>
      </c>
      <c r="M1029">
        <v>0.420606899133942</v>
      </c>
      <c r="N1029">
        <v>0</v>
      </c>
      <c r="O1029">
        <v>0.83781813696390395</v>
      </c>
      <c r="P1029">
        <v>8.1099246719478602E-2</v>
      </c>
      <c r="Q1029">
        <v>0.92453631424487104</v>
      </c>
      <c r="R1029">
        <v>0</v>
      </c>
      <c r="S1029">
        <v>250</v>
      </c>
      <c r="T1029">
        <v>150</v>
      </c>
      <c r="U1029">
        <v>22977194.43</v>
      </c>
      <c r="V1029">
        <v>158</v>
      </c>
    </row>
    <row r="1030" spans="1:22" x14ac:dyDescent="0.25">
      <c r="A1030">
        <v>0.97886368755129805</v>
      </c>
      <c r="B1030">
        <v>22.613248609688</v>
      </c>
      <c r="C1030">
        <v>51.821100141516098</v>
      </c>
      <c r="D1030">
        <v>0</v>
      </c>
      <c r="E1030">
        <v>5.95681734159841</v>
      </c>
      <c r="F1030">
        <v>3.7470159879886</v>
      </c>
      <c r="G1030">
        <v>255.525338448409</v>
      </c>
      <c r="H1030">
        <v>29.263527968806098</v>
      </c>
      <c r="I1030">
        <v>62.700960153820503</v>
      </c>
      <c r="J1030">
        <v>59.159206649809597</v>
      </c>
      <c r="K1030">
        <v>154646.32399999999</v>
      </c>
      <c r="L1030">
        <v>736.56857483021497</v>
      </c>
      <c r="M1030">
        <v>0.30627251196508898</v>
      </c>
      <c r="N1030">
        <v>0</v>
      </c>
      <c r="O1030">
        <v>1</v>
      </c>
      <c r="P1030">
        <v>0.16617415437334901</v>
      </c>
      <c r="Q1030">
        <v>0.96550457173187898</v>
      </c>
      <c r="R1030">
        <v>0</v>
      </c>
      <c r="S1030">
        <v>250</v>
      </c>
      <c r="T1030">
        <v>160</v>
      </c>
      <c r="U1030">
        <v>13144937.539999999</v>
      </c>
      <c r="V1030">
        <v>85</v>
      </c>
    </row>
    <row r="1031" spans="1:22" x14ac:dyDescent="0.25">
      <c r="A1031">
        <v>0.97585994958154498</v>
      </c>
      <c r="B1031">
        <v>25.415268086071102</v>
      </c>
      <c r="C1031">
        <v>0.238763084736027</v>
      </c>
      <c r="D1031">
        <v>0</v>
      </c>
      <c r="E1031">
        <v>6.0403223441741201</v>
      </c>
      <c r="F1031">
        <v>3.7002043079795</v>
      </c>
      <c r="G1031">
        <v>253.482599619056</v>
      </c>
      <c r="H1031">
        <v>32.098650490436903</v>
      </c>
      <c r="I1031">
        <v>61.874293396595299</v>
      </c>
      <c r="J1031">
        <v>56.795185445079298</v>
      </c>
      <c r="K1031">
        <v>164694.20442307601</v>
      </c>
      <c r="L1031">
        <v>731.36899502055303</v>
      </c>
      <c r="M1031">
        <v>0.17363118458153401</v>
      </c>
      <c r="N1031">
        <v>3.9025804633919699E-2</v>
      </c>
      <c r="O1031">
        <v>0.82437710085083404</v>
      </c>
      <c r="P1031">
        <v>7.6442087869788997E-2</v>
      </c>
      <c r="Q1031">
        <v>0.88343029043326105</v>
      </c>
      <c r="R1031">
        <v>0</v>
      </c>
      <c r="S1031">
        <v>250</v>
      </c>
      <c r="T1031">
        <v>170</v>
      </c>
      <c r="U1031">
        <v>8564098.6300000008</v>
      </c>
      <c r="V1031">
        <v>52</v>
      </c>
    </row>
    <row r="1032" spans="1:22" x14ac:dyDescent="0.25">
      <c r="A1032">
        <v>0.96683820792763997</v>
      </c>
      <c r="B1032">
        <v>33.281594813825699</v>
      </c>
      <c r="C1032">
        <v>19.275074728330999</v>
      </c>
      <c r="D1032">
        <v>0</v>
      </c>
      <c r="E1032">
        <v>6.1873383304414</v>
      </c>
      <c r="F1032">
        <v>3.8245641297266801</v>
      </c>
      <c r="G1032">
        <v>261.01322937294901</v>
      </c>
      <c r="H1032">
        <v>29.9176236318261</v>
      </c>
      <c r="I1032">
        <v>66.992014161138101</v>
      </c>
      <c r="J1032">
        <v>61.775881852704202</v>
      </c>
      <c r="K1032">
        <v>293178.46825065202</v>
      </c>
      <c r="L1032">
        <v>721.12493874183201</v>
      </c>
      <c r="M1032">
        <v>0.26798212608045002</v>
      </c>
      <c r="N1032">
        <v>6.8299590843308403E-2</v>
      </c>
      <c r="O1032">
        <v>0.70176526782494997</v>
      </c>
      <c r="P1032">
        <v>8.8033969774569801E-2</v>
      </c>
      <c r="Q1032">
        <v>0.803658043455314</v>
      </c>
      <c r="R1032">
        <v>0</v>
      </c>
      <c r="S1032">
        <v>250</v>
      </c>
      <c r="T1032">
        <v>175</v>
      </c>
      <c r="U1032">
        <v>112287353.34</v>
      </c>
      <c r="V1032">
        <v>383</v>
      </c>
    </row>
    <row r="1033" spans="1:22" x14ac:dyDescent="0.25">
      <c r="A1033">
        <v>0.97739568932590604</v>
      </c>
      <c r="B1033">
        <v>23.994498034954699</v>
      </c>
      <c r="C1033">
        <v>17.731050924537001</v>
      </c>
      <c r="D1033">
        <v>0</v>
      </c>
      <c r="E1033">
        <v>5.9509311758160504</v>
      </c>
      <c r="F1033">
        <v>3.71535072982104</v>
      </c>
      <c r="G1033">
        <v>253.59552305152701</v>
      </c>
      <c r="H1033">
        <v>31.283335036750898</v>
      </c>
      <c r="I1033">
        <v>61.844921016394601</v>
      </c>
      <c r="J1033">
        <v>58.020181628910699</v>
      </c>
      <c r="K1033">
        <v>173004.502580645</v>
      </c>
      <c r="L1033">
        <v>753.46232782272602</v>
      </c>
      <c r="M1033">
        <v>0.145516805661806</v>
      </c>
      <c r="N1033">
        <v>0</v>
      </c>
      <c r="O1033">
        <v>0.87225421886185495</v>
      </c>
      <c r="P1033">
        <v>0.209574145560462</v>
      </c>
      <c r="Q1033">
        <v>1</v>
      </c>
      <c r="R1033">
        <v>0</v>
      </c>
      <c r="S1033">
        <v>250</v>
      </c>
      <c r="T1033">
        <v>180</v>
      </c>
      <c r="U1033">
        <v>10726279.16</v>
      </c>
      <c r="V1033">
        <v>62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F37" sqref="F37"/>
    </sheetView>
  </sheetViews>
  <sheetFormatPr defaultRowHeight="15" x14ac:dyDescent="0.25"/>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3"/>
  <sheetViews>
    <sheetView tabSelected="1" workbookViewId="0">
      <selection activeCell="G22" sqref="G22"/>
    </sheetView>
  </sheetViews>
  <sheetFormatPr defaultRowHeight="15" x14ac:dyDescent="0.25"/>
  <sheetData>
    <row r="1" spans="1:16" x14ac:dyDescent="0.25">
      <c r="A1" t="s">
        <v>27</v>
      </c>
      <c r="B1" t="s">
        <v>28</v>
      </c>
      <c r="C1" t="s">
        <v>29</v>
      </c>
      <c r="D1" t="s">
        <v>30</v>
      </c>
      <c r="I1" t="s">
        <v>27</v>
      </c>
      <c r="J1" t="s">
        <v>28</v>
      </c>
      <c r="K1" t="s">
        <v>29</v>
      </c>
      <c r="L1" t="s">
        <v>30</v>
      </c>
    </row>
    <row r="2" spans="1:16" x14ac:dyDescent="0.25">
      <c r="A2">
        <f>-200--175</f>
        <v>-25</v>
      </c>
      <c r="B2">
        <v>189</v>
      </c>
      <c r="C2">
        <v>757</v>
      </c>
      <c r="D2">
        <v>4</v>
      </c>
    </row>
    <row r="3" spans="1:16" x14ac:dyDescent="0.25">
      <c r="A3">
        <f>-175--150</f>
        <v>-25</v>
      </c>
      <c r="B3" s="5">
        <v>1183</v>
      </c>
      <c r="C3" s="5">
        <v>4659</v>
      </c>
      <c r="D3">
        <v>4</v>
      </c>
      <c r="E3">
        <f>(1-(1-D3/100)^(1/12))</f>
        <v>3.3960531989175591E-3</v>
      </c>
      <c r="I3">
        <f>-175--150</f>
        <v>-25</v>
      </c>
      <c r="J3">
        <v>136</v>
      </c>
      <c r="K3" s="5">
        <v>2124</v>
      </c>
      <c r="L3">
        <v>5.3</v>
      </c>
      <c r="M3">
        <f>(1-(1-L3/100)^(1/12))</f>
        <v>4.5277342487558547E-3</v>
      </c>
    </row>
    <row r="4" spans="1:16" x14ac:dyDescent="0.25">
      <c r="A4">
        <f>-150--125</f>
        <v>-25</v>
      </c>
      <c r="B4" s="5">
        <v>9231</v>
      </c>
      <c r="C4" s="5">
        <v>34886</v>
      </c>
      <c r="D4">
        <v>3.8</v>
      </c>
      <c r="E4">
        <f t="shared" ref="E4:E19" si="0">(1-(1-D4/100)^(1/12))</f>
        <v>3.223196672329065E-3</v>
      </c>
      <c r="I4">
        <f>-150--125</f>
        <v>-25</v>
      </c>
      <c r="J4">
        <v>511</v>
      </c>
      <c r="K4" s="5">
        <v>7966</v>
      </c>
      <c r="L4">
        <v>3.5</v>
      </c>
      <c r="M4">
        <f t="shared" ref="M4:M19" si="1">(1-(1-L4/100)^(1/12))</f>
        <v>2.9645285516241016E-3</v>
      </c>
    </row>
    <row r="5" spans="1:16" x14ac:dyDescent="0.25">
      <c r="A5">
        <f>-125--100</f>
        <v>-25</v>
      </c>
      <c r="B5" s="5">
        <v>79949</v>
      </c>
      <c r="C5" s="5">
        <v>285333</v>
      </c>
      <c r="D5">
        <v>3.1</v>
      </c>
      <c r="E5">
        <f t="shared" si="0"/>
        <v>2.6207819963802725E-3</v>
      </c>
      <c r="I5">
        <f>-125--100</f>
        <v>-25</v>
      </c>
      <c r="J5" s="5">
        <v>2121</v>
      </c>
      <c r="K5" s="5">
        <v>32618</v>
      </c>
      <c r="L5">
        <v>4.4000000000000004</v>
      </c>
      <c r="M5">
        <f t="shared" si="1"/>
        <v>3.7427588466381057E-3</v>
      </c>
    </row>
    <row r="6" spans="1:16" x14ac:dyDescent="0.25">
      <c r="A6">
        <f>-100--75</f>
        <v>-25</v>
      </c>
      <c r="B6" s="5">
        <v>395215</v>
      </c>
      <c r="C6" s="5">
        <v>1393580</v>
      </c>
      <c r="D6">
        <v>3.9</v>
      </c>
      <c r="E6">
        <f t="shared" si="0"/>
        <v>3.3095837150599605E-3</v>
      </c>
      <c r="I6">
        <f>-100--75</f>
        <v>-25</v>
      </c>
      <c r="J6" s="5">
        <v>8100</v>
      </c>
      <c r="K6" s="5">
        <v>123470</v>
      </c>
      <c r="L6">
        <v>5.0999999999999996</v>
      </c>
      <c r="M6">
        <f t="shared" si="1"/>
        <v>4.3527060936007222E-3</v>
      </c>
    </row>
    <row r="7" spans="1:16" x14ac:dyDescent="0.25">
      <c r="A7">
        <f>-75--50</f>
        <v>-25</v>
      </c>
      <c r="B7" s="5">
        <v>950847</v>
      </c>
      <c r="C7" s="5">
        <v>3400336</v>
      </c>
      <c r="D7">
        <v>5</v>
      </c>
      <c r="E7">
        <f t="shared" si="0"/>
        <v>4.2653187775606449E-3</v>
      </c>
      <c r="I7">
        <f>-75--50</f>
        <v>-25</v>
      </c>
      <c r="J7" s="5">
        <v>19694</v>
      </c>
      <c r="K7" s="5">
        <v>301863</v>
      </c>
      <c r="L7">
        <v>6</v>
      </c>
      <c r="M7">
        <f t="shared" si="1"/>
        <v>5.1430128318229462E-3</v>
      </c>
    </row>
    <row r="8" spans="1:16" x14ac:dyDescent="0.25">
      <c r="A8">
        <f>-50--25</f>
        <v>-25</v>
      </c>
      <c r="B8" s="5">
        <v>1781403</v>
      </c>
      <c r="C8" s="5">
        <v>6450447</v>
      </c>
      <c r="D8">
        <v>6</v>
      </c>
      <c r="E8">
        <f t="shared" si="0"/>
        <v>5.1430128318229462E-3</v>
      </c>
      <c r="G8">
        <f>E8</f>
        <v>5.1430128318229462E-3</v>
      </c>
      <c r="I8">
        <f>-50--25</f>
        <v>-25</v>
      </c>
      <c r="J8" s="5">
        <v>39059</v>
      </c>
      <c r="K8" s="5">
        <v>604574</v>
      </c>
      <c r="L8">
        <v>6.8</v>
      </c>
      <c r="M8">
        <f t="shared" si="1"/>
        <v>5.8513524539940409E-3</v>
      </c>
    </row>
    <row r="9" spans="1:16" x14ac:dyDescent="0.25">
      <c r="A9">
        <f>-25-0</f>
        <v>-25</v>
      </c>
      <c r="B9" s="5">
        <v>2299556</v>
      </c>
      <c r="C9" s="5">
        <v>8431513</v>
      </c>
      <c r="D9">
        <v>7.6</v>
      </c>
      <c r="E9">
        <f t="shared" si="0"/>
        <v>6.5652876492899859E-3</v>
      </c>
      <c r="G9">
        <f>E9</f>
        <v>6.5652876492899859E-3</v>
      </c>
      <c r="I9">
        <f>-25-0</f>
        <v>-25</v>
      </c>
      <c r="J9" s="5">
        <v>55664</v>
      </c>
      <c r="K9" s="5">
        <v>867707</v>
      </c>
      <c r="L9">
        <v>7.2</v>
      </c>
      <c r="M9">
        <f t="shared" si="1"/>
        <v>6.2076148332157466E-3</v>
      </c>
    </row>
    <row r="10" spans="1:16" x14ac:dyDescent="0.25">
      <c r="A10" t="s">
        <v>31</v>
      </c>
      <c r="B10" s="5">
        <v>2138871</v>
      </c>
      <c r="C10" s="5">
        <v>7929716</v>
      </c>
      <c r="D10">
        <v>10.8</v>
      </c>
      <c r="E10">
        <f t="shared" si="0"/>
        <v>9.4788849793674412E-3</v>
      </c>
      <c r="F10">
        <f>E10-E$9</f>
        <v>2.9135973300774554E-3</v>
      </c>
      <c r="G10" s="7">
        <f>F10*$G$21+$E$9</f>
        <v>7.2354150352078005E-3</v>
      </c>
      <c r="I10" t="s">
        <v>31</v>
      </c>
      <c r="J10" s="5">
        <v>65266</v>
      </c>
      <c r="K10" s="5">
        <v>1022939</v>
      </c>
      <c r="L10">
        <v>7.7</v>
      </c>
      <c r="M10">
        <f t="shared" si="1"/>
        <v>6.6549276049625572E-3</v>
      </c>
      <c r="N10" s="7">
        <f>M10-M$9</f>
        <v>4.4731277174681061E-4</v>
      </c>
      <c r="O10">
        <f t="shared" ref="O10:O18" si="2">N10/F10</f>
        <v>0.15352594098338193</v>
      </c>
    </row>
    <row r="11" spans="1:16" x14ac:dyDescent="0.25">
      <c r="A11" t="s">
        <v>32</v>
      </c>
      <c r="B11" s="5">
        <v>2052820</v>
      </c>
      <c r="C11" s="5">
        <v>7621417</v>
      </c>
      <c r="D11">
        <v>16.3</v>
      </c>
      <c r="E11">
        <f t="shared" si="0"/>
        <v>1.4718213155383575E-2</v>
      </c>
      <c r="F11">
        <f t="shared" ref="F11:F19" si="3">E11-E$9</f>
        <v>8.152925506093589E-3</v>
      </c>
      <c r="G11" s="7">
        <f t="shared" ref="G11:G19" si="4">F11*$G$21+$E$9</f>
        <v>8.4404605156915107E-3</v>
      </c>
      <c r="I11" t="s">
        <v>32</v>
      </c>
      <c r="J11" s="5">
        <v>73767</v>
      </c>
      <c r="K11" s="5">
        <v>1157205</v>
      </c>
      <c r="L11">
        <v>8.3000000000000007</v>
      </c>
      <c r="M11">
        <f t="shared" si="1"/>
        <v>7.1946442949124556E-3</v>
      </c>
      <c r="N11" s="7">
        <f t="shared" ref="N11:N19" si="5">M11-M$9</f>
        <v>9.8702946169670902E-4</v>
      </c>
      <c r="O11">
        <f t="shared" si="2"/>
        <v>0.12106445238080392</v>
      </c>
    </row>
    <row r="12" spans="1:16" x14ac:dyDescent="0.25">
      <c r="A12" t="s">
        <v>33</v>
      </c>
      <c r="B12" s="5">
        <v>1699478</v>
      </c>
      <c r="C12" s="5">
        <v>6363252</v>
      </c>
      <c r="D12">
        <v>23.9</v>
      </c>
      <c r="E12">
        <f t="shared" si="0"/>
        <v>2.2503101573992157E-2</v>
      </c>
      <c r="F12">
        <f t="shared" si="3"/>
        <v>1.5937813924702171E-2</v>
      </c>
      <c r="G12" s="7">
        <f t="shared" si="4"/>
        <v>1.0230984851971485E-2</v>
      </c>
      <c r="I12" t="s">
        <v>33</v>
      </c>
      <c r="J12" s="5">
        <v>73285</v>
      </c>
      <c r="K12" s="5">
        <v>1150421</v>
      </c>
      <c r="L12">
        <v>9.1999999999999993</v>
      </c>
      <c r="M12">
        <f t="shared" si="1"/>
        <v>8.0103200541153941E-3</v>
      </c>
      <c r="N12" s="7">
        <f t="shared" si="5"/>
        <v>1.8027052208996475E-3</v>
      </c>
      <c r="O12">
        <f t="shared" si="2"/>
        <v>0.113108687892611</v>
      </c>
    </row>
    <row r="13" spans="1:16" x14ac:dyDescent="0.25">
      <c r="A13" t="s">
        <v>34</v>
      </c>
      <c r="B13" s="5">
        <v>1333973</v>
      </c>
      <c r="C13" s="5">
        <v>5048891</v>
      </c>
      <c r="D13">
        <v>31</v>
      </c>
      <c r="E13">
        <f t="shared" si="0"/>
        <v>3.0448779137727477E-2</v>
      </c>
      <c r="F13">
        <f t="shared" si="3"/>
        <v>2.3883491488437492E-2</v>
      </c>
      <c r="G13" s="7">
        <f t="shared" si="4"/>
        <v>1.2058490691630609E-2</v>
      </c>
      <c r="I13" t="s">
        <v>34</v>
      </c>
      <c r="J13" s="5">
        <v>68395</v>
      </c>
      <c r="K13" s="5">
        <v>1078356</v>
      </c>
      <c r="L13">
        <v>10.5</v>
      </c>
      <c r="M13">
        <f t="shared" si="1"/>
        <v>9.2016995759167663E-3</v>
      </c>
      <c r="N13" s="7">
        <f t="shared" si="5"/>
        <v>2.9940847427010198E-3</v>
      </c>
      <c r="O13">
        <f t="shared" si="2"/>
        <v>0.12536210395161529</v>
      </c>
    </row>
    <row r="14" spans="1:16" x14ac:dyDescent="0.25">
      <c r="A14" t="s">
        <v>35</v>
      </c>
      <c r="B14" s="5">
        <v>769976</v>
      </c>
      <c r="C14" s="5">
        <v>2968619</v>
      </c>
      <c r="D14">
        <v>34.1</v>
      </c>
      <c r="E14">
        <f t="shared" si="0"/>
        <v>3.415570723277106E-2</v>
      </c>
      <c r="F14">
        <f t="shared" si="3"/>
        <v>2.7590419583481074E-2</v>
      </c>
      <c r="G14" s="7">
        <f t="shared" si="4"/>
        <v>1.2911084153490633E-2</v>
      </c>
      <c r="I14" t="s">
        <v>35</v>
      </c>
      <c r="J14" s="5">
        <v>52639</v>
      </c>
      <c r="K14" s="5">
        <v>836515</v>
      </c>
      <c r="L14">
        <v>12.2</v>
      </c>
      <c r="M14">
        <f t="shared" si="1"/>
        <v>1.0783823589648245E-2</v>
      </c>
      <c r="N14" s="7">
        <f t="shared" si="5"/>
        <v>4.5762087564324982E-3</v>
      </c>
      <c r="O14">
        <f t="shared" si="2"/>
        <v>0.16586223861460825</v>
      </c>
      <c r="P14">
        <f>N10</f>
        <v>4.4731277174681061E-4</v>
      </c>
    </row>
    <row r="15" spans="1:16" x14ac:dyDescent="0.25">
      <c r="A15" t="s">
        <v>36</v>
      </c>
      <c r="B15" s="5">
        <v>458663</v>
      </c>
      <c r="C15" s="5">
        <v>1792792</v>
      </c>
      <c r="D15">
        <v>36.200000000000003</v>
      </c>
      <c r="E15">
        <f t="shared" si="0"/>
        <v>3.6758785596775034E-2</v>
      </c>
      <c r="F15">
        <f t="shared" si="3"/>
        <v>3.0193497947485048E-2</v>
      </c>
      <c r="G15" s="7">
        <f t="shared" si="4"/>
        <v>1.3509792177211547E-2</v>
      </c>
      <c r="I15" t="s">
        <v>36</v>
      </c>
      <c r="J15" s="5">
        <v>39978</v>
      </c>
      <c r="K15" s="5">
        <v>642010</v>
      </c>
      <c r="L15">
        <v>13.5</v>
      </c>
      <c r="M15">
        <f t="shared" si="1"/>
        <v>1.2012744890476657E-2</v>
      </c>
      <c r="N15" s="7">
        <f t="shared" si="5"/>
        <v>5.8051300572609099E-3</v>
      </c>
      <c r="O15">
        <f t="shared" si="2"/>
        <v>0.19226424402226125</v>
      </c>
      <c r="P15">
        <f t="shared" ref="P15:P23" si="6">N11</f>
        <v>9.8702946169670902E-4</v>
      </c>
    </row>
    <row r="16" spans="1:16" x14ac:dyDescent="0.25">
      <c r="A16" t="s">
        <v>37</v>
      </c>
      <c r="B16" s="5">
        <v>190469</v>
      </c>
      <c r="C16" s="5">
        <v>755223</v>
      </c>
      <c r="D16">
        <v>36.1</v>
      </c>
      <c r="E16">
        <f t="shared" si="0"/>
        <v>3.663306068521166E-2</v>
      </c>
      <c r="F16">
        <f t="shared" si="3"/>
        <v>3.0067773035921674E-2</v>
      </c>
      <c r="G16" s="7">
        <f t="shared" si="4"/>
        <v>1.3480875447551971E-2</v>
      </c>
      <c r="I16" t="s">
        <v>37</v>
      </c>
      <c r="J16" s="5">
        <v>23533</v>
      </c>
      <c r="K16" s="5">
        <v>385644</v>
      </c>
      <c r="L16">
        <v>15.3</v>
      </c>
      <c r="M16">
        <f t="shared" si="1"/>
        <v>1.3742578643456738E-2</v>
      </c>
      <c r="N16" s="7">
        <f t="shared" si="5"/>
        <v>7.534963810240991E-3</v>
      </c>
      <c r="O16">
        <f t="shared" si="2"/>
        <v>0.25059933109243054</v>
      </c>
      <c r="P16">
        <f t="shared" si="6"/>
        <v>1.8027052208996475E-3</v>
      </c>
    </row>
    <row r="17" spans="1:16" x14ac:dyDescent="0.25">
      <c r="A17" t="s">
        <v>38</v>
      </c>
      <c r="B17" s="5">
        <v>57995</v>
      </c>
      <c r="C17" s="5">
        <v>234034</v>
      </c>
      <c r="D17">
        <v>34.4</v>
      </c>
      <c r="E17">
        <f t="shared" si="0"/>
        <v>3.4522879236741799E-2</v>
      </c>
      <c r="F17">
        <f t="shared" si="3"/>
        <v>2.7957591587451813E-2</v>
      </c>
      <c r="G17" s="7">
        <f t="shared" si="4"/>
        <v>1.2995533714403904E-2</v>
      </c>
      <c r="I17" t="s">
        <v>38</v>
      </c>
      <c r="J17" s="5">
        <v>12171</v>
      </c>
      <c r="K17" s="5">
        <v>204138</v>
      </c>
      <c r="L17">
        <v>16</v>
      </c>
      <c r="M17">
        <f t="shared" si="1"/>
        <v>1.4424405840418708E-2</v>
      </c>
      <c r="N17" s="7">
        <f t="shared" si="5"/>
        <v>8.2167910072029615E-3</v>
      </c>
      <c r="O17">
        <f t="shared" si="2"/>
        <v>0.29390196152986575</v>
      </c>
      <c r="P17">
        <f t="shared" si="6"/>
        <v>2.9940847427010198E-3</v>
      </c>
    </row>
    <row r="18" spans="1:16" x14ac:dyDescent="0.25">
      <c r="A18" t="s">
        <v>39</v>
      </c>
      <c r="B18" s="5">
        <v>7396</v>
      </c>
      <c r="C18" s="5">
        <v>30861</v>
      </c>
      <c r="D18">
        <v>29.6</v>
      </c>
      <c r="E18">
        <f t="shared" si="0"/>
        <v>2.882449163140266E-2</v>
      </c>
      <c r="F18">
        <f t="shared" si="3"/>
        <v>2.2259203982112674E-2</v>
      </c>
      <c r="G18" s="7">
        <f t="shared" si="4"/>
        <v>1.1684904565175902E-2</v>
      </c>
      <c r="I18" t="s">
        <v>39</v>
      </c>
      <c r="J18" s="5">
        <v>3699</v>
      </c>
      <c r="K18" s="5">
        <v>64934</v>
      </c>
      <c r="L18">
        <v>16.8</v>
      </c>
      <c r="M18">
        <f t="shared" si="1"/>
        <v>1.5210043991127908E-2</v>
      </c>
      <c r="N18" s="7">
        <f t="shared" si="5"/>
        <v>9.0024291579121618E-3</v>
      </c>
      <c r="O18">
        <f t="shared" si="2"/>
        <v>0.40443625770025043</v>
      </c>
      <c r="P18">
        <f t="shared" si="6"/>
        <v>4.5762087564324982E-3</v>
      </c>
    </row>
    <row r="19" spans="1:16" x14ac:dyDescent="0.25">
      <c r="A19" t="s">
        <v>40</v>
      </c>
      <c r="B19">
        <v>715</v>
      </c>
      <c r="C19" s="5">
        <v>3158</v>
      </c>
      <c r="D19">
        <v>29.3</v>
      </c>
      <c r="E19">
        <f t="shared" si="0"/>
        <v>2.8480285726077748E-2</v>
      </c>
      <c r="F19">
        <f t="shared" si="3"/>
        <v>2.1914998076787762E-2</v>
      </c>
      <c r="G19" s="7">
        <f t="shared" si="4"/>
        <v>1.1605737206951171E-2</v>
      </c>
      <c r="I19" t="s">
        <v>40</v>
      </c>
      <c r="J19" s="5">
        <v>1080</v>
      </c>
      <c r="K19" s="5">
        <v>20293</v>
      </c>
      <c r="L19">
        <v>17.399999999999999</v>
      </c>
      <c r="M19">
        <f t="shared" si="1"/>
        <v>1.5803830077221748E-2</v>
      </c>
      <c r="N19" s="7">
        <f t="shared" si="5"/>
        <v>9.5962152440060011E-3</v>
      </c>
      <c r="O19">
        <f>N19/F19</f>
        <v>0.43788346274920537</v>
      </c>
      <c r="P19">
        <f t="shared" si="6"/>
        <v>5.8051300572609099E-3</v>
      </c>
    </row>
    <row r="20" spans="1:16" x14ac:dyDescent="0.25">
      <c r="I20" t="s">
        <v>41</v>
      </c>
      <c r="J20">
        <v>353</v>
      </c>
      <c r="K20" s="5">
        <v>7013</v>
      </c>
      <c r="L20">
        <v>15.9</v>
      </c>
      <c r="P20">
        <f t="shared" si="6"/>
        <v>7.534963810240991E-3</v>
      </c>
    </row>
    <row r="21" spans="1:16" x14ac:dyDescent="0.25">
      <c r="G21" s="6">
        <v>0.23</v>
      </c>
      <c r="H21" s="6"/>
      <c r="P21">
        <f t="shared" si="6"/>
        <v>8.2167910072029615E-3</v>
      </c>
    </row>
    <row r="22" spans="1:16" x14ac:dyDescent="0.25">
      <c r="P22">
        <f t="shared" si="6"/>
        <v>9.0024291579121618E-3</v>
      </c>
    </row>
    <row r="23" spans="1:16" x14ac:dyDescent="0.25">
      <c r="P23">
        <f t="shared" si="6"/>
        <v>9.5962152440060011E-3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Sheet6</vt:lpstr>
      <vt:lpstr>Sheet2</vt:lpstr>
      <vt:lpstr>Sheet4</vt:lpstr>
      <vt:lpstr>Sheet1</vt:lpstr>
      <vt:lpstr>Sheet5</vt:lpstr>
      <vt:lpstr>LLB</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Lien Chen</dc:creator>
  <cp:lastModifiedBy>Chunnip Lee</cp:lastModifiedBy>
  <dcterms:created xsi:type="dcterms:W3CDTF">2018-05-21T20:03:52Z</dcterms:created>
  <dcterms:modified xsi:type="dcterms:W3CDTF">2018-05-21T22:10:10Z</dcterms:modified>
</cp:coreProperties>
</file>