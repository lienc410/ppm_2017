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1635" windowHeight="19980" activeTab="1"/>
  </bookViews>
  <sheets>
    <sheet name="Shift" sheetId="2" r:id="rId1"/>
    <sheet name="standardized" sheetId="3" r:id="rId2"/>
    <sheet name="Raw" sheetId="1" r:id="rId3"/>
  </sheets>
  <calcPr calcId="145621"/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B5" i="3"/>
  <c r="B6" i="3"/>
  <c r="B7" i="3"/>
  <c r="B8" i="3"/>
  <c r="B9" i="3"/>
  <c r="B10" i="3"/>
  <c r="B11" i="3"/>
  <c r="B12" i="3"/>
  <c r="B4" i="3"/>
  <c r="G5" i="2" l="1"/>
  <c r="G6" i="2"/>
  <c r="G7" i="2"/>
  <c r="G8" i="2"/>
  <c r="G9" i="2"/>
  <c r="G10" i="2"/>
  <c r="G11" i="2"/>
  <c r="G12" i="2"/>
  <c r="G13" i="2"/>
  <c r="G14" i="2"/>
  <c r="C5" i="2"/>
  <c r="D5" i="2"/>
  <c r="E5" i="2"/>
  <c r="F5" i="2"/>
  <c r="C6" i="2"/>
  <c r="D6" i="2"/>
  <c r="E6" i="2"/>
  <c r="F6" i="2"/>
  <c r="L36" i="1"/>
  <c r="M36" i="1"/>
  <c r="N36" i="1"/>
  <c r="O36" i="1"/>
  <c r="P36" i="1"/>
  <c r="L37" i="1"/>
  <c r="M37" i="1"/>
  <c r="N37" i="1"/>
  <c r="O37" i="1"/>
  <c r="P37" i="1"/>
  <c r="L21" i="1"/>
  <c r="M21" i="1"/>
  <c r="N21" i="1"/>
  <c r="O21" i="1"/>
  <c r="P21" i="1"/>
  <c r="L22" i="1"/>
  <c r="M22" i="1"/>
  <c r="N22" i="1"/>
  <c r="O22" i="1"/>
  <c r="P22" i="1"/>
  <c r="K21" i="1"/>
  <c r="K22" i="1"/>
  <c r="K36" i="1"/>
  <c r="K37" i="1"/>
  <c r="B5" i="2"/>
  <c r="B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B8" i="2"/>
  <c r="B9" i="2"/>
  <c r="B10" i="2"/>
  <c r="B11" i="2"/>
  <c r="B12" i="2"/>
  <c r="B13" i="2"/>
  <c r="B14" i="2"/>
  <c r="B7" i="2"/>
  <c r="K23" i="1"/>
  <c r="L38" i="1"/>
  <c r="M38" i="1"/>
  <c r="N38" i="1"/>
  <c r="O38" i="1"/>
  <c r="P38" i="1"/>
  <c r="L39" i="1"/>
  <c r="M39" i="1"/>
  <c r="N39" i="1"/>
  <c r="O39" i="1"/>
  <c r="P39" i="1"/>
  <c r="L40" i="1"/>
  <c r="M40" i="1"/>
  <c r="N40" i="1"/>
  <c r="O40" i="1"/>
  <c r="P40" i="1"/>
  <c r="L41" i="1"/>
  <c r="M41" i="1"/>
  <c r="N41" i="1"/>
  <c r="O41" i="1"/>
  <c r="P41" i="1"/>
  <c r="L42" i="1"/>
  <c r="M42" i="1"/>
  <c r="N42" i="1"/>
  <c r="O42" i="1"/>
  <c r="P42" i="1"/>
  <c r="L43" i="1"/>
  <c r="M43" i="1"/>
  <c r="N43" i="1"/>
  <c r="O43" i="1"/>
  <c r="P43" i="1"/>
  <c r="L44" i="1"/>
  <c r="M44" i="1"/>
  <c r="N44" i="1"/>
  <c r="O44" i="1"/>
  <c r="P44" i="1"/>
  <c r="L45" i="1"/>
  <c r="M45" i="1"/>
  <c r="N45" i="1"/>
  <c r="O45" i="1"/>
  <c r="P45" i="1"/>
  <c r="K39" i="1"/>
  <c r="K40" i="1"/>
  <c r="K41" i="1"/>
  <c r="K42" i="1"/>
  <c r="K43" i="1"/>
  <c r="K44" i="1"/>
  <c r="K45" i="1"/>
  <c r="K38" i="1"/>
  <c r="L23" i="1"/>
  <c r="M23" i="1"/>
  <c r="N23" i="1"/>
  <c r="O23" i="1"/>
  <c r="P23" i="1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9" i="1"/>
  <c r="M29" i="1"/>
  <c r="N29" i="1"/>
  <c r="O29" i="1"/>
  <c r="P29" i="1"/>
  <c r="L30" i="1"/>
  <c r="M30" i="1"/>
  <c r="N30" i="1"/>
  <c r="O30" i="1"/>
  <c r="P30" i="1"/>
  <c r="K24" i="1"/>
  <c r="K25" i="1"/>
  <c r="K26" i="1"/>
  <c r="K27" i="1"/>
  <c r="K28" i="1"/>
  <c r="K29" i="1"/>
  <c r="K30" i="1"/>
  <c r="K3" i="1" l="1"/>
  <c r="L3" i="1"/>
  <c r="M3" i="1"/>
  <c r="N3" i="1"/>
  <c r="O3" i="1"/>
  <c r="P3" i="1"/>
  <c r="K4" i="1"/>
  <c r="L4" i="1"/>
  <c r="M4" i="1"/>
  <c r="N4" i="1"/>
  <c r="O4" i="1"/>
  <c r="P4" i="1"/>
  <c r="K5" i="1"/>
  <c r="L5" i="1"/>
  <c r="M5" i="1"/>
  <c r="N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K9" i="1"/>
  <c r="L9" i="1"/>
  <c r="M9" i="1"/>
  <c r="N9" i="1"/>
  <c r="O9" i="1"/>
  <c r="P9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L2" i="1"/>
  <c r="M2" i="1"/>
  <c r="N2" i="1"/>
  <c r="O2" i="1"/>
  <c r="P2" i="1"/>
  <c r="K2" i="1"/>
</calcChain>
</file>

<file path=xl/sharedStrings.xml><?xml version="1.0" encoding="utf-8"?>
<sst xmlns="http://schemas.openxmlformats.org/spreadsheetml/2006/main" count="43" uniqueCount="9">
  <si>
    <t>Row Labels</t>
  </si>
  <si>
    <t>417K</t>
  </si>
  <si>
    <t>HHLB</t>
  </si>
  <si>
    <t>HLB</t>
  </si>
  <si>
    <t>JUMBO</t>
  </si>
  <si>
    <t>LLB</t>
  </si>
  <si>
    <t>MLB</t>
  </si>
  <si>
    <t>Refi</t>
  </si>
  <si>
    <t>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</si>
</sst>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43" fontId="0" fillId="0" borderId="0" xfId="0" applyNumberFormat="1"/>
    <xf numFmtId="9" fontId="0" fillId="0" borderId="0" xfId="0" applyNumberFormat="1"/>
    <xf numFmtId="164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Shift!$B$3</c:f>
              <c:strCache>
                <c:ptCount val="1"/>
                <c:pt idx="0">
                  <c:v>LLB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Shift!$B$6:$B$14</c:f>
              <c:numCache>
                <c:formatCode>_(* #,##0.0000_);_(* \(#,##0.0000\);_(* "-"??_);_(@_)</c:formatCode>
                <c:ptCount val="9"/>
                <c:pt idx="0">
                  <c:v>5.7708999704769726E-3</c:v>
                </c:pt>
                <c:pt idx="1">
                  <c:v>6.4297483327760974E-3</c:v>
                </c:pt>
                <c:pt idx="2">
                  <c:v>7.098702721267669E-3</c:v>
                </c:pt>
                <c:pt idx="3">
                  <c:v>7.9743817160045083E-3</c:v>
                </c:pt>
                <c:pt idx="4">
                  <c:v>9.1693772221541625E-3</c:v>
                </c:pt>
                <c:pt idx="5">
                  <c:v>1.0623621208016298E-2</c:v>
                </c:pt>
                <c:pt idx="6">
                  <c:v>1.1826411790083258E-2</c:v>
                </c:pt>
                <c:pt idx="7">
                  <c:v>1.3451605282654988E-2</c:v>
                </c:pt>
                <c:pt idx="8">
                  <c:v>1.3955648104789775E-2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Shift!$C$3</c:f>
              <c:strCache>
                <c:ptCount val="1"/>
                <c:pt idx="0">
                  <c:v>MLB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Shift!$C$6:$C$14</c:f>
              <c:numCache>
                <c:formatCode>_(* #,##0.0000_);_(* \(#,##0.0000\);_(* "-"??_);_(@_)</c:formatCode>
                <c:ptCount val="9"/>
                <c:pt idx="0">
                  <c:v>5.5909030057442743E-3</c:v>
                </c:pt>
                <c:pt idx="1">
                  <c:v>6.5331177505362215E-3</c:v>
                </c:pt>
                <c:pt idx="2">
                  <c:v>7.5697380907752132E-3</c:v>
                </c:pt>
                <c:pt idx="3">
                  <c:v>8.8554257736795927E-3</c:v>
                </c:pt>
                <c:pt idx="4">
                  <c:v>1.0818607713761974E-2</c:v>
                </c:pt>
                <c:pt idx="5">
                  <c:v>1.3482408046243677E-2</c:v>
                </c:pt>
                <c:pt idx="6">
                  <c:v>1.6102721165466072E-2</c:v>
                </c:pt>
                <c:pt idx="7">
                  <c:v>1.7945579771857068E-2</c:v>
                </c:pt>
                <c:pt idx="8">
                  <c:v>1.9095029116086404E-2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Shift!$D$3</c:f>
              <c:strCache>
                <c:ptCount val="1"/>
                <c:pt idx="0">
                  <c:v>HLB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Shift!$D$6:$D$14</c:f>
              <c:numCache>
                <c:formatCode>_(* #,##0.0000_);_(* \(#,##0.0000\);_(* "-"??_);_(@_)</c:formatCode>
                <c:ptCount val="9"/>
                <c:pt idx="0">
                  <c:v>5.4780749347330682E-3</c:v>
                </c:pt>
                <c:pt idx="1">
                  <c:v>6.696124943456061E-3</c:v>
                </c:pt>
                <c:pt idx="2">
                  <c:v>8.4481057779010049E-3</c:v>
                </c:pt>
                <c:pt idx="3">
                  <c:v>1.0511287927163715E-2</c:v>
                </c:pt>
                <c:pt idx="4">
                  <c:v>1.3908402702885736E-2</c:v>
                </c:pt>
                <c:pt idx="5">
                  <c:v>1.7668141332570331E-2</c:v>
                </c:pt>
                <c:pt idx="6">
                  <c:v>2.0694948419602954E-2</c:v>
                </c:pt>
                <c:pt idx="7">
                  <c:v>2.2860070567178425E-2</c:v>
                </c:pt>
                <c:pt idx="8">
                  <c:v>2.355719228936326E-2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Shift!$E$3</c:f>
              <c:strCache>
                <c:ptCount val="1"/>
                <c:pt idx="0">
                  <c:v>HHLB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Shift!$E$6:$E$14</c:f>
              <c:numCache>
                <c:formatCode>_(* #,##0.0000_);_(* \(#,##0.0000\);_(* "-"??_);_(@_)</c:formatCode>
                <c:ptCount val="9"/>
                <c:pt idx="0">
                  <c:v>5.5120764248874909E-3</c:v>
                </c:pt>
                <c:pt idx="1">
                  <c:v>6.9947574602666762E-3</c:v>
                </c:pt>
                <c:pt idx="2">
                  <c:v>9.3466182387366148E-3</c:v>
                </c:pt>
                <c:pt idx="3">
                  <c:v>1.2488677473114107E-2</c:v>
                </c:pt>
                <c:pt idx="4">
                  <c:v>1.6907139578227537E-2</c:v>
                </c:pt>
                <c:pt idx="5">
                  <c:v>2.1856896304521589E-2</c:v>
                </c:pt>
                <c:pt idx="6">
                  <c:v>2.4878919151311796E-2</c:v>
                </c:pt>
                <c:pt idx="7">
                  <c:v>2.6319599043201025E-2</c:v>
                </c:pt>
                <c:pt idx="8">
                  <c:v>2.7526191470045536E-2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Shift!$F$3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Shift!$F$6:$F$14</c:f>
              <c:numCache>
                <c:formatCode>_(* #,##0.0000_);_(* \(#,##0.0000\);_(* "-"??_);_(@_)</c:formatCode>
                <c:ptCount val="9"/>
                <c:pt idx="0">
                  <c:v>5.0910900024860872E-3</c:v>
                </c:pt>
                <c:pt idx="1">
                  <c:v>6.769296867744079E-3</c:v>
                </c:pt>
                <c:pt idx="2">
                  <c:v>1.0624612658729649E-2</c:v>
                </c:pt>
                <c:pt idx="3">
                  <c:v>1.5043967562680916E-2</c:v>
                </c:pt>
                <c:pt idx="4">
                  <c:v>1.9543725346319717E-2</c:v>
                </c:pt>
                <c:pt idx="5">
                  <c:v>2.1738995827258689E-2</c:v>
                </c:pt>
                <c:pt idx="6">
                  <c:v>2.3313169603504002E-2</c:v>
                </c:pt>
                <c:pt idx="7">
                  <c:v>2.3168250082662989E-2</c:v>
                </c:pt>
                <c:pt idx="8">
                  <c:v>2.2253867315038933E-2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Shift!$G$3</c:f>
              <c:strCache>
                <c:ptCount val="1"/>
                <c:pt idx="0">
                  <c:v>JUMBO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Shift!$G$6:$G$14</c:f>
              <c:numCache>
                <c:formatCode>_(* #,##0.0000_);_(* \(#,##0.0000\);_(* "-"??_);_(@_)</c:formatCode>
                <c:ptCount val="9"/>
                <c:pt idx="0">
                  <c:v>5.0407671445176216E-3</c:v>
                </c:pt>
                <c:pt idx="1">
                  <c:v>9.2061332287401987E-3</c:v>
                </c:pt>
                <c:pt idx="2">
                  <c:v>2.0238379351825153E-2</c:v>
                </c:pt>
                <c:pt idx="3">
                  <c:v>3.3236861042292842E-2</c:v>
                </c:pt>
                <c:pt idx="4">
                  <c:v>4.3808761133785401E-2</c:v>
                </c:pt>
                <c:pt idx="5">
                  <c:v>4.9632892691048758E-2</c:v>
                </c:pt>
                <c:pt idx="6">
                  <c:v>5.0826249694578607E-2</c:v>
                </c:pt>
                <c:pt idx="7">
                  <c:v>5.0949982501981905E-2</c:v>
                </c:pt>
                <c:pt idx="8">
                  <c:v>4.5373105000075187E-2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24448"/>
        <c:axId val="64826368"/>
      </c:lineChart>
      <c:catAx>
        <c:axId val="6482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826368"/>
        <c:crosses val="autoZero"/>
        <c:auto val="1"/>
        <c:lblAlgn val="ctr"/>
        <c:lblOffset val="100"/>
        <c:noMultiLvlLbl val="0"/>
      </c:catAx>
      <c:valAx>
        <c:axId val="64826368"/>
        <c:scaling>
          <c:orientation val="minMax"/>
        </c:scaling>
        <c:delete val="0"/>
        <c:axPos val="l"/>
        <c:majorGridlines/>
        <c:numFmt formatCode="_(* #,##0.0000_);_(* \(#,##0.0000\);_(* &quot;-&quot;??_);_(@_)" sourceLinked="1"/>
        <c:majorTickMark val="out"/>
        <c:minorTickMark val="none"/>
        <c:tickLblPos val="nextTo"/>
        <c:crossAx val="64824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Shift!$B$3</c:f>
              <c:strCache>
                <c:ptCount val="1"/>
                <c:pt idx="0">
                  <c:v>LLB</c:v>
                </c:pt>
              </c:strCache>
            </c:strRef>
          </c:tx>
          <c:marker>
            <c:symbol val="none"/>
          </c:marker>
          <c:cat>
            <c:numRef>
              <c:f>Shift!$A$5:$A$14</c:f>
              <c:numCache>
                <c:formatCode>General</c:formatCode>
                <c:ptCount val="10"/>
                <c:pt idx="0">
                  <c:v>-25</c:v>
                </c:pt>
                <c:pt idx="1">
                  <c:v>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125</c:v>
                </c:pt>
                <c:pt idx="7">
                  <c:v>150</c:v>
                </c:pt>
                <c:pt idx="8">
                  <c:v>175</c:v>
                </c:pt>
                <c:pt idx="9">
                  <c:v>200</c:v>
                </c:pt>
              </c:numCache>
            </c:numRef>
          </c:cat>
          <c:val>
            <c:numRef>
              <c:f>Shift!$B$6:$B$15</c:f>
              <c:numCache>
                <c:formatCode>_(* #,##0.0000_);_(* \(#,##0.0000\);_(* "-"??_);_(@_)</c:formatCode>
                <c:ptCount val="10"/>
                <c:pt idx="0">
                  <c:v>5.7708999704769726E-3</c:v>
                </c:pt>
                <c:pt idx="1">
                  <c:v>6.4297483327760974E-3</c:v>
                </c:pt>
                <c:pt idx="2">
                  <c:v>7.098702721267669E-3</c:v>
                </c:pt>
                <c:pt idx="3">
                  <c:v>7.9743817160045083E-3</c:v>
                </c:pt>
                <c:pt idx="4">
                  <c:v>9.1693772221541625E-3</c:v>
                </c:pt>
                <c:pt idx="5">
                  <c:v>1.0623621208016298E-2</c:v>
                </c:pt>
                <c:pt idx="6">
                  <c:v>1.1826411790083258E-2</c:v>
                </c:pt>
                <c:pt idx="7">
                  <c:v>1.3451605282654988E-2</c:v>
                </c:pt>
                <c:pt idx="8">
                  <c:v>1.3955648104789775E-2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Shift!$F$3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Shift!$A$5:$A$14</c:f>
              <c:numCache>
                <c:formatCode>General</c:formatCode>
                <c:ptCount val="10"/>
                <c:pt idx="0">
                  <c:v>-25</c:v>
                </c:pt>
                <c:pt idx="1">
                  <c:v>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125</c:v>
                </c:pt>
                <c:pt idx="7">
                  <c:v>150</c:v>
                </c:pt>
                <c:pt idx="8">
                  <c:v>175</c:v>
                </c:pt>
                <c:pt idx="9">
                  <c:v>200</c:v>
                </c:pt>
              </c:numCache>
            </c:numRef>
          </c:cat>
          <c:val>
            <c:numRef>
              <c:f>Shift!$F$5:$F$14</c:f>
              <c:numCache>
                <c:formatCode>_(* #,##0.0000_);_(* \(#,##0.0000\);_(* "-"??_);_(@_)</c:formatCode>
                <c:ptCount val="10"/>
                <c:pt idx="0">
                  <c:v>4.5159690639447357E-3</c:v>
                </c:pt>
                <c:pt idx="1">
                  <c:v>5.0910900024860872E-3</c:v>
                </c:pt>
                <c:pt idx="2">
                  <c:v>6.769296867744079E-3</c:v>
                </c:pt>
                <c:pt idx="3">
                  <c:v>1.0624612658729649E-2</c:v>
                </c:pt>
                <c:pt idx="4">
                  <c:v>1.5043967562680916E-2</c:v>
                </c:pt>
                <c:pt idx="5">
                  <c:v>1.9543725346319717E-2</c:v>
                </c:pt>
                <c:pt idx="6">
                  <c:v>2.1738995827258689E-2</c:v>
                </c:pt>
                <c:pt idx="7">
                  <c:v>2.3313169603504002E-2</c:v>
                </c:pt>
                <c:pt idx="8">
                  <c:v>2.3168250082662989E-2</c:v>
                </c:pt>
                <c:pt idx="9">
                  <c:v>2.2253867315038933E-2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95648"/>
        <c:axId val="67197184"/>
      </c:lineChart>
      <c:catAx>
        <c:axId val="6719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7197184"/>
        <c:crosses val="autoZero"/>
        <c:auto val="1"/>
        <c:lblAlgn val="ctr"/>
        <c:lblOffset val="100"/>
        <c:noMultiLvlLbl val="0"/>
      </c:catAx>
      <c:valAx>
        <c:axId val="67197184"/>
        <c:scaling>
          <c:orientation val="minMax"/>
        </c:scaling>
        <c:delete val="0"/>
        <c:axPos val="l"/>
        <c:majorGridlines/>
        <c:numFmt formatCode="_(* #,##0.0000_);_(* \(#,##0.0000\);_(* &quot;-&quot;??_);_(@_)" sourceLinked="1"/>
        <c:majorTickMark val="out"/>
        <c:minorTickMark val="none"/>
        <c:tickLblPos val="nextTo"/>
        <c:crossAx val="67195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Shift!$C$3</c:f>
              <c:strCache>
                <c:ptCount val="1"/>
                <c:pt idx="0">
                  <c:v>MLB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Shift!$C$8:$C$16</c:f>
              <c:numCache>
                <c:formatCode>_(* #,##0.0000_);_(* \(#,##0.0000\);_(* "-"??_);_(@_)</c:formatCode>
                <c:ptCount val="9"/>
                <c:pt idx="0">
                  <c:v>7.5697380907752132E-3</c:v>
                </c:pt>
                <c:pt idx="1">
                  <c:v>8.8554257736795927E-3</c:v>
                </c:pt>
                <c:pt idx="2">
                  <c:v>1.0818607713761974E-2</c:v>
                </c:pt>
                <c:pt idx="3">
                  <c:v>1.3482408046243677E-2</c:v>
                </c:pt>
                <c:pt idx="4">
                  <c:v>1.6102721165466072E-2</c:v>
                </c:pt>
                <c:pt idx="5">
                  <c:v>1.7945579771857068E-2</c:v>
                </c:pt>
                <c:pt idx="6">
                  <c:v>1.9095029116086404E-2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Shift!$F$3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Shift!$F$6:$F$14</c:f>
              <c:numCache>
                <c:formatCode>_(* #,##0.0000_);_(* \(#,##0.0000\);_(* "-"??_);_(@_)</c:formatCode>
                <c:ptCount val="9"/>
                <c:pt idx="0">
                  <c:v>5.0910900024860872E-3</c:v>
                </c:pt>
                <c:pt idx="1">
                  <c:v>6.769296867744079E-3</c:v>
                </c:pt>
                <c:pt idx="2">
                  <c:v>1.0624612658729649E-2</c:v>
                </c:pt>
                <c:pt idx="3">
                  <c:v>1.5043967562680916E-2</c:v>
                </c:pt>
                <c:pt idx="4">
                  <c:v>1.9543725346319717E-2</c:v>
                </c:pt>
                <c:pt idx="5">
                  <c:v>2.1738995827258689E-2</c:v>
                </c:pt>
                <c:pt idx="6">
                  <c:v>2.3313169603504002E-2</c:v>
                </c:pt>
                <c:pt idx="7">
                  <c:v>2.3168250082662989E-2</c:v>
                </c:pt>
                <c:pt idx="8">
                  <c:v>2.2253867315038933E-2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94272"/>
        <c:axId val="77133312"/>
      </c:lineChart>
      <c:catAx>
        <c:axId val="7709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133312"/>
        <c:crosses val="autoZero"/>
        <c:auto val="1"/>
        <c:lblAlgn val="ctr"/>
        <c:lblOffset val="100"/>
        <c:noMultiLvlLbl val="0"/>
      </c:catAx>
      <c:valAx>
        <c:axId val="77133312"/>
        <c:scaling>
          <c:orientation val="minMax"/>
        </c:scaling>
        <c:delete val="0"/>
        <c:axPos val="l"/>
        <c:majorGridlines/>
        <c:numFmt formatCode="_(* #,##0.0000_);_(* \(#,##0.0000\);_(* &quot;-&quot;??_);_(@_)" sourceLinked="1"/>
        <c:majorTickMark val="out"/>
        <c:minorTickMark val="none"/>
        <c:tickLblPos val="nextTo"/>
        <c:crossAx val="77094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Shift!$D$3</c:f>
              <c:strCache>
                <c:ptCount val="1"/>
                <c:pt idx="0">
                  <c:v>HLB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Shift!$D$7:$D$15</c:f>
              <c:numCache>
                <c:formatCode>_(* #,##0.0000_);_(* \(#,##0.0000\);_(* "-"??_);_(@_)</c:formatCode>
                <c:ptCount val="9"/>
                <c:pt idx="0">
                  <c:v>6.696124943456061E-3</c:v>
                </c:pt>
                <c:pt idx="1">
                  <c:v>8.4481057779010049E-3</c:v>
                </c:pt>
                <c:pt idx="2">
                  <c:v>1.0511287927163715E-2</c:v>
                </c:pt>
                <c:pt idx="3">
                  <c:v>1.3908402702885736E-2</c:v>
                </c:pt>
                <c:pt idx="4">
                  <c:v>1.7668141332570331E-2</c:v>
                </c:pt>
                <c:pt idx="5">
                  <c:v>2.0694948419602954E-2</c:v>
                </c:pt>
                <c:pt idx="6">
                  <c:v>2.2860070567178425E-2</c:v>
                </c:pt>
                <c:pt idx="7">
                  <c:v>2.355719228936326E-2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Shift!$F$3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Shift!$F$6:$F$14</c:f>
              <c:numCache>
                <c:formatCode>_(* #,##0.0000_);_(* \(#,##0.0000\);_(* "-"??_);_(@_)</c:formatCode>
                <c:ptCount val="9"/>
                <c:pt idx="0">
                  <c:v>5.0910900024860872E-3</c:v>
                </c:pt>
                <c:pt idx="1">
                  <c:v>6.769296867744079E-3</c:v>
                </c:pt>
                <c:pt idx="2">
                  <c:v>1.0624612658729649E-2</c:v>
                </c:pt>
                <c:pt idx="3">
                  <c:v>1.5043967562680916E-2</c:v>
                </c:pt>
                <c:pt idx="4">
                  <c:v>1.9543725346319717E-2</c:v>
                </c:pt>
                <c:pt idx="5">
                  <c:v>2.1738995827258689E-2</c:v>
                </c:pt>
                <c:pt idx="6">
                  <c:v>2.3313169603504002E-2</c:v>
                </c:pt>
                <c:pt idx="7">
                  <c:v>2.3168250082662989E-2</c:v>
                </c:pt>
                <c:pt idx="8">
                  <c:v>2.2253867315038933E-2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55456"/>
        <c:axId val="82289024"/>
      </c:lineChart>
      <c:catAx>
        <c:axId val="8195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289024"/>
        <c:crosses val="autoZero"/>
        <c:auto val="1"/>
        <c:lblAlgn val="ctr"/>
        <c:lblOffset val="100"/>
        <c:noMultiLvlLbl val="0"/>
      </c:catAx>
      <c:valAx>
        <c:axId val="82289024"/>
        <c:scaling>
          <c:orientation val="minMax"/>
        </c:scaling>
        <c:delete val="0"/>
        <c:axPos val="l"/>
        <c:majorGridlines/>
        <c:numFmt formatCode="_(* #,##0.0000_);_(* \(#,##0.0000\);_(* &quot;-&quot;??_);_(@_)" sourceLinked="1"/>
        <c:majorTickMark val="out"/>
        <c:minorTickMark val="none"/>
        <c:tickLblPos val="nextTo"/>
        <c:crossAx val="81955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Shift!$E$3</c:f>
              <c:strCache>
                <c:ptCount val="1"/>
                <c:pt idx="0">
                  <c:v>HHLB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Shift!$E$6:$E$14</c:f>
              <c:numCache>
                <c:formatCode>_(* #,##0.0000_);_(* \(#,##0.0000\);_(* "-"??_);_(@_)</c:formatCode>
                <c:ptCount val="9"/>
                <c:pt idx="0">
                  <c:v>5.5120764248874909E-3</c:v>
                </c:pt>
                <c:pt idx="1">
                  <c:v>6.9947574602666762E-3</c:v>
                </c:pt>
                <c:pt idx="2">
                  <c:v>9.3466182387366148E-3</c:v>
                </c:pt>
                <c:pt idx="3">
                  <c:v>1.2488677473114107E-2</c:v>
                </c:pt>
                <c:pt idx="4">
                  <c:v>1.6907139578227537E-2</c:v>
                </c:pt>
                <c:pt idx="5">
                  <c:v>2.1856896304521589E-2</c:v>
                </c:pt>
                <c:pt idx="6">
                  <c:v>2.4878919151311796E-2</c:v>
                </c:pt>
                <c:pt idx="7">
                  <c:v>2.6319599043201025E-2</c:v>
                </c:pt>
                <c:pt idx="8">
                  <c:v>2.7526191470045536E-2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Shift!$F$3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Shift!$A$6:$A$14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cat>
          <c:val>
            <c:numRef>
              <c:f>Shift!$F$6:$F$14</c:f>
              <c:numCache>
                <c:formatCode>_(* #,##0.0000_);_(* \(#,##0.0000\);_(* "-"??_);_(@_)</c:formatCode>
                <c:ptCount val="9"/>
                <c:pt idx="0">
                  <c:v>5.0910900024860872E-3</c:v>
                </c:pt>
                <c:pt idx="1">
                  <c:v>6.769296867744079E-3</c:v>
                </c:pt>
                <c:pt idx="2">
                  <c:v>1.0624612658729649E-2</c:v>
                </c:pt>
                <c:pt idx="3">
                  <c:v>1.5043967562680916E-2</c:v>
                </c:pt>
                <c:pt idx="4">
                  <c:v>1.9543725346319717E-2</c:v>
                </c:pt>
                <c:pt idx="5">
                  <c:v>2.1738995827258689E-2</c:v>
                </c:pt>
                <c:pt idx="6">
                  <c:v>2.3313169603504002E-2</c:v>
                </c:pt>
                <c:pt idx="7">
                  <c:v>2.3168250082662989E-2</c:v>
                </c:pt>
                <c:pt idx="8">
                  <c:v>2.2253867315038933E-2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81280"/>
        <c:axId val="123014528"/>
      </c:lineChart>
      <c:catAx>
        <c:axId val="10208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014528"/>
        <c:crosses val="autoZero"/>
        <c:auto val="1"/>
        <c:lblAlgn val="ctr"/>
        <c:lblOffset val="100"/>
        <c:noMultiLvlLbl val="0"/>
      </c:catAx>
      <c:valAx>
        <c:axId val="123014528"/>
        <c:scaling>
          <c:orientation val="minMax"/>
        </c:scaling>
        <c:delete val="0"/>
        <c:axPos val="l"/>
        <c:majorGridlines/>
        <c:numFmt formatCode="_(* #,##0.0000_);_(* \(#,##0.0000\);_(* &quot;-&quot;??_);_(@_)" sourceLinked="1"/>
        <c:majorTickMark val="out"/>
        <c:minorTickMark val="none"/>
        <c:tickLblPos val="nextTo"/>
        <c:crossAx val="10208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standardized!$B$2</c:f>
              <c:strCache>
                <c:ptCount val="1"/>
                <c:pt idx="0">
                  <c:v>LLB</c:v>
                </c:pt>
              </c:strCache>
            </c:strRef>
          </c:tx>
          <c:marker>
            <c:symbol val="none"/>
          </c:marker>
          <c:cat>
            <c:numRef>
              <c:f>standardized!$A$6:$A$13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cat>
          <c:val>
            <c:numRef>
              <c:f>standardized!$B$6:$B$13</c:f>
              <c:numCache>
                <c:formatCode>General</c:formatCode>
                <c:ptCount val="8"/>
                <c:pt idx="0">
                  <c:v>0.16794825702820149</c:v>
                </c:pt>
                <c:pt idx="1">
                  <c:v>0.24721570278877708</c:v>
                </c:pt>
                <c:pt idx="2">
                  <c:v>0.35097888666667509</c:v>
                </c:pt>
                <c:pt idx="3">
                  <c:v>0.4925793352136133</c:v>
                </c:pt>
                <c:pt idx="4">
                  <c:v>0.66489931435584226</c:v>
                </c:pt>
                <c:pt idx="5">
                  <c:v>0.80742343687533313</c:v>
                </c:pt>
                <c:pt idx="6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standardized!$C$2</c:f>
              <c:strCache>
                <c:ptCount val="1"/>
                <c:pt idx="0">
                  <c:v>MLB</c:v>
                </c:pt>
              </c:strCache>
            </c:strRef>
          </c:tx>
          <c:marker>
            <c:symbol val="none"/>
          </c:marker>
          <c:cat>
            <c:numRef>
              <c:f>standardized!$A$6:$A$13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cat>
          <c:val>
            <c:numRef>
              <c:f>standardized!$C$6:$C$13</c:f>
              <c:numCache>
                <c:formatCode>General</c:formatCode>
                <c:ptCount val="8"/>
                <c:pt idx="0">
                  <c:v>0.11326359564694616</c:v>
                </c:pt>
                <c:pt idx="1">
                  <c:v>0.193807915660059</c:v>
                </c:pt>
                <c:pt idx="2">
                  <c:v>0.29370450860641528</c:v>
                </c:pt>
                <c:pt idx="3">
                  <c:v>0.44624169921325202</c:v>
                </c:pt>
                <c:pt idx="4">
                  <c:v>0.65321620868600405</c:v>
                </c:pt>
                <c:pt idx="5">
                  <c:v>0.85681180701330373</c:v>
                </c:pt>
                <c:pt idx="6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standardized!$D$2</c:f>
              <c:strCache>
                <c:ptCount val="1"/>
                <c:pt idx="0">
                  <c:v>HLB</c:v>
                </c:pt>
              </c:strCache>
            </c:strRef>
          </c:tx>
          <c:marker>
            <c:symbol val="none"/>
          </c:marker>
          <c:cat>
            <c:numRef>
              <c:f>standardized!$A$6:$A$13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cat>
          <c:val>
            <c:numRef>
              <c:f>standardized!$D$6:$D$13</c:f>
              <c:numCache>
                <c:formatCode>General</c:formatCode>
                <c:ptCount val="8"/>
                <c:pt idx="0">
                  <c:v>0.11258629470335307</c:v>
                </c:pt>
                <c:pt idx="1">
                  <c:v>0.20877146137588626</c:v>
                </c:pt>
                <c:pt idx="2">
                  <c:v>0.32204183226182143</c:v>
                </c:pt>
                <c:pt idx="3">
                  <c:v>0.50854618464080636</c:v>
                </c:pt>
                <c:pt idx="4">
                  <c:v>0.71495888027736842</c:v>
                </c:pt>
                <c:pt idx="5">
                  <c:v>0.88113304064943299</c:v>
                </c:pt>
                <c:pt idx="6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standardized!$E$2</c:f>
              <c:strCache>
                <c:ptCount val="1"/>
                <c:pt idx="0">
                  <c:v>HHLB</c:v>
                </c:pt>
              </c:strCache>
            </c:strRef>
          </c:tx>
          <c:marker>
            <c:symbol val="none"/>
          </c:marker>
          <c:cat>
            <c:numRef>
              <c:f>standardized!$A$6:$A$13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cat>
          <c:val>
            <c:numRef>
              <c:f>standardized!$E$6:$E$13</c:f>
              <c:numCache>
                <c:formatCode>General</c:formatCode>
                <c:ptCount val="8"/>
                <c:pt idx="0">
                  <c:v>0.11231571392476761</c:v>
                </c:pt>
                <c:pt idx="1">
                  <c:v>0.22034815740560171</c:v>
                </c:pt>
                <c:pt idx="2">
                  <c:v>0.36467827241868223</c:v>
                </c:pt>
                <c:pt idx="3">
                  <c:v>0.5676398005893325</c:v>
                </c:pt>
                <c:pt idx="4">
                  <c:v>0.79500628361947401</c:v>
                </c:pt>
                <c:pt idx="5">
                  <c:v>0.93382254152996547</c:v>
                </c:pt>
                <c:pt idx="6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standardized!$F$2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standardized!$A$6:$A$13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cat>
          <c:val>
            <c:numRef>
              <c:f>standardized!$F$6:$F$13</c:f>
              <c:numCache>
                <c:formatCode>General</c:formatCode>
                <c:ptCount val="8"/>
                <c:pt idx="0">
                  <c:v>0.1198757122932826</c:v>
                </c:pt>
                <c:pt idx="1">
                  <c:v>0.32497624217654597</c:v>
                </c:pt>
                <c:pt idx="2">
                  <c:v>0.56008332073596245</c:v>
                </c:pt>
                <c:pt idx="3">
                  <c:v>0.79946778514963557</c:v>
                </c:pt>
                <c:pt idx="4">
                  <c:v>0.91625488205371763</c:v>
                </c:pt>
                <c:pt idx="5">
                  <c:v>1</c:v>
                </c:pt>
                <c:pt idx="6">
                  <c:v>0.99229036682690985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standardized!$G$2</c:f>
              <c:strCache>
                <c:ptCount val="1"/>
                <c:pt idx="0">
                  <c:v>JUMBO</c:v>
                </c:pt>
              </c:strCache>
            </c:strRef>
          </c:tx>
          <c:marker>
            <c:symbol val="none"/>
          </c:marker>
          <c:cat>
            <c:numRef>
              <c:f>standardized!$A$6:$A$13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cat>
          <c:val>
            <c:numRef>
              <c:f>standardized!$G$6:$G$13</c:f>
              <c:numCache>
                <c:formatCode>General</c:formatCode>
                <c:ptCount val="8"/>
                <c:pt idx="0">
                  <c:v>0.11551417847853833</c:v>
                </c:pt>
                <c:pt idx="1">
                  <c:v>0.34926993999281397</c:v>
                </c:pt>
                <c:pt idx="2">
                  <c:v>0.62468710819092466</c:v>
                </c:pt>
                <c:pt idx="3">
                  <c:v>0.84868886893560314</c:v>
                </c:pt>
                <c:pt idx="4">
                  <c:v>0.97209296019120361</c:v>
                </c:pt>
                <c:pt idx="5">
                  <c:v>0.99737829846287285</c:v>
                </c:pt>
                <c:pt idx="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271232"/>
        <c:axId val="341201664"/>
      </c:lineChart>
      <c:catAx>
        <c:axId val="33827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1201664"/>
        <c:crosses val="autoZero"/>
        <c:auto val="1"/>
        <c:lblAlgn val="ctr"/>
        <c:lblOffset val="100"/>
        <c:noMultiLvlLbl val="0"/>
      </c:catAx>
      <c:valAx>
        <c:axId val="341201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8271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standardized!$C$2</c:f>
              <c:strCache>
                <c:ptCount val="1"/>
                <c:pt idx="0">
                  <c:v>MLB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standardized!$C$4:$C$14</c:f>
              <c:numCache>
                <c:formatCode>General</c:formatCode>
                <c:ptCount val="11"/>
                <c:pt idx="0">
                  <c:v>0</c:v>
                </c:pt>
                <c:pt idx="1">
                  <c:v>4.0054492005298856E-2</c:v>
                </c:pt>
                <c:pt idx="2">
                  <c:v>0.11326359564694616</c:v>
                </c:pt>
                <c:pt idx="3">
                  <c:v>0.193807915660059</c:v>
                </c:pt>
                <c:pt idx="4">
                  <c:v>0.29370450860641528</c:v>
                </c:pt>
                <c:pt idx="5">
                  <c:v>0.44624169921325202</c:v>
                </c:pt>
                <c:pt idx="6">
                  <c:v>0.65321620868600405</c:v>
                </c:pt>
                <c:pt idx="7">
                  <c:v>0.85681180701330373</c:v>
                </c:pt>
                <c:pt idx="8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standardized!$F$2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standardized!$F$3:$F$13</c:f>
              <c:numCache>
                <c:formatCode>General</c:formatCode>
                <c:ptCount val="11"/>
                <c:pt idx="1">
                  <c:v>0</c:v>
                </c:pt>
                <c:pt idx="2">
                  <c:v>3.0596095271260861E-2</c:v>
                </c:pt>
                <c:pt idx="3">
                  <c:v>0.1198757122932826</c:v>
                </c:pt>
                <c:pt idx="4">
                  <c:v>0.32497624217654597</c:v>
                </c:pt>
                <c:pt idx="5">
                  <c:v>0.56008332073596245</c:v>
                </c:pt>
                <c:pt idx="6">
                  <c:v>0.79946778514963557</c:v>
                </c:pt>
                <c:pt idx="7">
                  <c:v>0.91625488205371763</c:v>
                </c:pt>
                <c:pt idx="8">
                  <c:v>1</c:v>
                </c:pt>
                <c:pt idx="9">
                  <c:v>0.99229036682690985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741120"/>
        <c:axId val="274742656"/>
      </c:lineChart>
      <c:catAx>
        <c:axId val="27474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742656"/>
        <c:crosses val="autoZero"/>
        <c:auto val="1"/>
        <c:lblAlgn val="ctr"/>
        <c:lblOffset val="100"/>
        <c:noMultiLvlLbl val="0"/>
      </c:catAx>
      <c:valAx>
        <c:axId val="27474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4741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standardized!$D$2</c:f>
              <c:strCache>
                <c:ptCount val="1"/>
                <c:pt idx="0">
                  <c:v>HLB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standardized!$D$4:$D$14</c:f>
              <c:numCache>
                <c:formatCode>General</c:formatCode>
                <c:ptCount val="11"/>
                <c:pt idx="0">
                  <c:v>0</c:v>
                </c:pt>
                <c:pt idx="1">
                  <c:v>4.5714362772876653E-2</c:v>
                </c:pt>
                <c:pt idx="2">
                  <c:v>0.11258629470335307</c:v>
                </c:pt>
                <c:pt idx="3">
                  <c:v>0.20877146137588626</c:v>
                </c:pt>
                <c:pt idx="4">
                  <c:v>0.32204183226182143</c:v>
                </c:pt>
                <c:pt idx="5">
                  <c:v>0.50854618464080636</c:v>
                </c:pt>
                <c:pt idx="6">
                  <c:v>0.71495888027736842</c:v>
                </c:pt>
                <c:pt idx="7">
                  <c:v>0.88113304064943299</c:v>
                </c:pt>
                <c:pt idx="8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standardized!$F$2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standardized!$F$3:$F$13</c:f>
              <c:numCache>
                <c:formatCode>General</c:formatCode>
                <c:ptCount val="11"/>
                <c:pt idx="1">
                  <c:v>0</c:v>
                </c:pt>
                <c:pt idx="2">
                  <c:v>3.0596095271260861E-2</c:v>
                </c:pt>
                <c:pt idx="3">
                  <c:v>0.1198757122932826</c:v>
                </c:pt>
                <c:pt idx="4">
                  <c:v>0.32497624217654597</c:v>
                </c:pt>
                <c:pt idx="5">
                  <c:v>0.56008332073596245</c:v>
                </c:pt>
                <c:pt idx="6">
                  <c:v>0.79946778514963557</c:v>
                </c:pt>
                <c:pt idx="7">
                  <c:v>0.91625488205371763</c:v>
                </c:pt>
                <c:pt idx="8">
                  <c:v>1</c:v>
                </c:pt>
                <c:pt idx="9">
                  <c:v>0.99229036682690985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857728"/>
        <c:axId val="274489728"/>
      </c:lineChart>
      <c:catAx>
        <c:axId val="2728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489728"/>
        <c:crosses val="autoZero"/>
        <c:auto val="1"/>
        <c:lblAlgn val="ctr"/>
        <c:lblOffset val="100"/>
        <c:noMultiLvlLbl val="0"/>
      </c:catAx>
      <c:valAx>
        <c:axId val="274489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2857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standardized!$B$2</c:f>
              <c:strCache>
                <c:ptCount val="1"/>
                <c:pt idx="0">
                  <c:v>LLB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standardized!$B$5:$B$15</c:f>
              <c:numCache>
                <c:formatCode>General</c:formatCode>
                <c:ptCount val="11"/>
                <c:pt idx="0">
                  <c:v>8.9878320241101775E-2</c:v>
                </c:pt>
                <c:pt idx="1">
                  <c:v>0.16794825702820149</c:v>
                </c:pt>
                <c:pt idx="2">
                  <c:v>0.24721570278877708</c:v>
                </c:pt>
                <c:pt idx="3">
                  <c:v>0.35097888666667509</c:v>
                </c:pt>
                <c:pt idx="4">
                  <c:v>0.4925793352136133</c:v>
                </c:pt>
                <c:pt idx="5">
                  <c:v>0.66489931435584226</c:v>
                </c:pt>
                <c:pt idx="6">
                  <c:v>0.80742343687533313</c:v>
                </c:pt>
                <c:pt idx="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standardized!$F$2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standardized!$F$3:$F$13</c:f>
              <c:numCache>
                <c:formatCode>General</c:formatCode>
                <c:ptCount val="11"/>
                <c:pt idx="1">
                  <c:v>0</c:v>
                </c:pt>
                <c:pt idx="2">
                  <c:v>3.0596095271260861E-2</c:v>
                </c:pt>
                <c:pt idx="3">
                  <c:v>0.1198757122932826</c:v>
                </c:pt>
                <c:pt idx="4">
                  <c:v>0.32497624217654597</c:v>
                </c:pt>
                <c:pt idx="5">
                  <c:v>0.56008332073596245</c:v>
                </c:pt>
                <c:pt idx="6">
                  <c:v>0.79946778514963557</c:v>
                </c:pt>
                <c:pt idx="7">
                  <c:v>0.91625488205371763</c:v>
                </c:pt>
                <c:pt idx="8">
                  <c:v>1</c:v>
                </c:pt>
                <c:pt idx="9">
                  <c:v>0.99229036682690985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545344"/>
        <c:axId val="319546880"/>
      </c:lineChart>
      <c:catAx>
        <c:axId val="31954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9546880"/>
        <c:crosses val="autoZero"/>
        <c:auto val="1"/>
        <c:lblAlgn val="ctr"/>
        <c:lblOffset val="100"/>
        <c:noMultiLvlLbl val="0"/>
      </c:catAx>
      <c:valAx>
        <c:axId val="31954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545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standardized!$E$2</c:f>
              <c:strCache>
                <c:ptCount val="1"/>
                <c:pt idx="0">
                  <c:v>HHLB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standardized!$E$4:$E$14</c:f>
              <c:numCache>
                <c:formatCode>General</c:formatCode>
                <c:ptCount val="11"/>
                <c:pt idx="0">
                  <c:v>0</c:v>
                </c:pt>
                <c:pt idx="1">
                  <c:v>4.4208937953566632E-2</c:v>
                </c:pt>
                <c:pt idx="2">
                  <c:v>0.11231571392476761</c:v>
                </c:pt>
                <c:pt idx="3">
                  <c:v>0.22034815740560171</c:v>
                </c:pt>
                <c:pt idx="4">
                  <c:v>0.36467827241868223</c:v>
                </c:pt>
                <c:pt idx="5">
                  <c:v>0.5676398005893325</c:v>
                </c:pt>
                <c:pt idx="6">
                  <c:v>0.79500628361947401</c:v>
                </c:pt>
                <c:pt idx="7">
                  <c:v>0.93382254152996547</c:v>
                </c:pt>
                <c:pt idx="8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standardized!$F$2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standardized!$F$3:$F$13</c:f>
              <c:numCache>
                <c:formatCode>General</c:formatCode>
                <c:ptCount val="11"/>
                <c:pt idx="1">
                  <c:v>0</c:v>
                </c:pt>
                <c:pt idx="2">
                  <c:v>3.0596095271260861E-2</c:v>
                </c:pt>
                <c:pt idx="3">
                  <c:v>0.1198757122932826</c:v>
                </c:pt>
                <c:pt idx="4">
                  <c:v>0.32497624217654597</c:v>
                </c:pt>
                <c:pt idx="5">
                  <c:v>0.56008332073596245</c:v>
                </c:pt>
                <c:pt idx="6">
                  <c:v>0.79946778514963557</c:v>
                </c:pt>
                <c:pt idx="7">
                  <c:v>0.91625488205371763</c:v>
                </c:pt>
                <c:pt idx="8">
                  <c:v>1</c:v>
                </c:pt>
                <c:pt idx="9">
                  <c:v>0.99229036682690985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85312"/>
        <c:axId val="301602688"/>
      </c:lineChart>
      <c:catAx>
        <c:axId val="8268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602688"/>
        <c:crosses val="autoZero"/>
        <c:auto val="1"/>
        <c:lblAlgn val="ctr"/>
        <c:lblOffset val="100"/>
        <c:noMultiLvlLbl val="0"/>
      </c:catAx>
      <c:valAx>
        <c:axId val="30160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685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standardized!$G$2</c:f>
              <c:strCache>
                <c:ptCount val="1"/>
                <c:pt idx="0">
                  <c:v>JUMBO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standardized!$G$3:$G$13</c:f>
              <c:numCache>
                <c:formatCode>General</c:formatCode>
                <c:ptCount val="11"/>
                <c:pt idx="1">
                  <c:v>0</c:v>
                </c:pt>
                <c:pt idx="2">
                  <c:v>2.7256691277834501E-2</c:v>
                </c:pt>
                <c:pt idx="3">
                  <c:v>0.11551417847853833</c:v>
                </c:pt>
                <c:pt idx="4">
                  <c:v>0.34926993999281397</c:v>
                </c:pt>
                <c:pt idx="5">
                  <c:v>0.62468710819092466</c:v>
                </c:pt>
                <c:pt idx="6">
                  <c:v>0.84868886893560314</c:v>
                </c:pt>
                <c:pt idx="7">
                  <c:v>0.97209296019120361</c:v>
                </c:pt>
                <c:pt idx="8">
                  <c:v>0.99737829846287285</c:v>
                </c:pt>
                <c:pt idx="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standardized!$F$2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standardized!$A$3:$A$13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standardized!$F$3:$F$13</c:f>
              <c:numCache>
                <c:formatCode>General</c:formatCode>
                <c:ptCount val="11"/>
                <c:pt idx="1">
                  <c:v>0</c:v>
                </c:pt>
                <c:pt idx="2">
                  <c:v>3.0596095271260861E-2</c:v>
                </c:pt>
                <c:pt idx="3">
                  <c:v>0.1198757122932826</c:v>
                </c:pt>
                <c:pt idx="4">
                  <c:v>0.32497624217654597</c:v>
                </c:pt>
                <c:pt idx="5">
                  <c:v>0.56008332073596245</c:v>
                </c:pt>
                <c:pt idx="6">
                  <c:v>0.79946778514963557</c:v>
                </c:pt>
                <c:pt idx="7">
                  <c:v>0.91625488205371763</c:v>
                </c:pt>
                <c:pt idx="8">
                  <c:v>1</c:v>
                </c:pt>
                <c:pt idx="9">
                  <c:v>0.99229036682690985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12736"/>
        <c:axId val="124214272"/>
      </c:lineChart>
      <c:catAx>
        <c:axId val="12421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214272"/>
        <c:crosses val="autoZero"/>
        <c:auto val="1"/>
        <c:lblAlgn val="ctr"/>
        <c:lblOffset val="100"/>
        <c:noMultiLvlLbl val="0"/>
      </c:catAx>
      <c:valAx>
        <c:axId val="12421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212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Raw!$K$1</c:f>
              <c:strCache>
                <c:ptCount val="1"/>
                <c:pt idx="0">
                  <c:v>LLB</c:v>
                </c:pt>
              </c:strCache>
            </c:strRef>
          </c:tx>
          <c:marker>
            <c:symbol val="none"/>
          </c:marker>
          <c:cat>
            <c:numRef>
              <c:f>Raw!$J$2:$J$12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Raw!$K$2:$K$12</c:f>
              <c:numCache>
                <c:formatCode>_(* #,##0.0000_);_(* \(#,##0.0000\);_(* "-"??_);_(@_)</c:formatCode>
                <c:ptCount val="11"/>
                <c:pt idx="0">
                  <c:v>4.2551582170970992E-3</c:v>
                </c:pt>
                <c:pt idx="1">
                  <c:v>5.0123982150761526E-3</c:v>
                </c:pt>
                <c:pt idx="2">
                  <c:v>5.7708999704769726E-3</c:v>
                </c:pt>
                <c:pt idx="3">
                  <c:v>6.4297483327760974E-3</c:v>
                </c:pt>
                <c:pt idx="4">
                  <c:v>7.098702721267669E-3</c:v>
                </c:pt>
                <c:pt idx="5">
                  <c:v>7.9743817160045083E-3</c:v>
                </c:pt>
                <c:pt idx="6">
                  <c:v>9.1693772221541625E-3</c:v>
                </c:pt>
                <c:pt idx="7">
                  <c:v>1.0623621208016298E-2</c:v>
                </c:pt>
                <c:pt idx="8">
                  <c:v>1.1826411790083258E-2</c:v>
                </c:pt>
                <c:pt idx="9">
                  <c:v>1.3451605282654988E-2</c:v>
                </c:pt>
                <c:pt idx="10">
                  <c:v>1.3955648104789775E-2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Raw!$L$1</c:f>
              <c:strCache>
                <c:ptCount val="1"/>
                <c:pt idx="0">
                  <c:v>MLB</c:v>
                </c:pt>
              </c:strCache>
            </c:strRef>
          </c:tx>
          <c:marker>
            <c:symbol val="none"/>
          </c:marker>
          <c:cat>
            <c:numRef>
              <c:f>Raw!$J$2:$J$12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Raw!$L$2:$L$12</c:f>
              <c:numCache>
                <c:formatCode>_(* #,##0.0000_);_(* \(#,##0.0000\);_(* "-"??_);_(@_)</c:formatCode>
                <c:ptCount val="11"/>
                <c:pt idx="0">
                  <c:v>4.1221472589416663E-3</c:v>
                </c:pt>
                <c:pt idx="1">
                  <c:v>5.0753942631802662E-3</c:v>
                </c:pt>
                <c:pt idx="2">
                  <c:v>5.5909030057442743E-3</c:v>
                </c:pt>
                <c:pt idx="3">
                  <c:v>6.5331177505362215E-3</c:v>
                </c:pt>
                <c:pt idx="4">
                  <c:v>7.5697380907752132E-3</c:v>
                </c:pt>
                <c:pt idx="5">
                  <c:v>8.8554257736795927E-3</c:v>
                </c:pt>
                <c:pt idx="6">
                  <c:v>1.0818607713761974E-2</c:v>
                </c:pt>
                <c:pt idx="7">
                  <c:v>1.3482408046243677E-2</c:v>
                </c:pt>
                <c:pt idx="8">
                  <c:v>1.6102721165466072E-2</c:v>
                </c:pt>
                <c:pt idx="9">
                  <c:v>1.7945579771857068E-2</c:v>
                </c:pt>
                <c:pt idx="10">
                  <c:v>1.9095029116086404E-2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Raw!$M$1</c:f>
              <c:strCache>
                <c:ptCount val="1"/>
                <c:pt idx="0">
                  <c:v>HLB</c:v>
                </c:pt>
              </c:strCache>
            </c:strRef>
          </c:tx>
          <c:marker>
            <c:symbol val="none"/>
          </c:marker>
          <c:cat>
            <c:numRef>
              <c:f>Raw!$J$2:$J$12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Raw!$M$2:$M$12</c:f>
              <c:numCache>
                <c:formatCode>_(* #,##0.0000_);_(* \(#,##0.0000\);_(* "-"??_);_(@_)</c:formatCode>
                <c:ptCount val="11"/>
                <c:pt idx="0">
                  <c:v>3.8997891931692452E-3</c:v>
                </c:pt>
                <c:pt idx="1">
                  <c:v>4.6454030144398306E-3</c:v>
                </c:pt>
                <c:pt idx="2">
                  <c:v>5.4780749347330682E-3</c:v>
                </c:pt>
                <c:pt idx="3">
                  <c:v>6.696124943456061E-3</c:v>
                </c:pt>
                <c:pt idx="4">
                  <c:v>8.4481057779010049E-3</c:v>
                </c:pt>
                <c:pt idx="5">
                  <c:v>1.0511287927163715E-2</c:v>
                </c:pt>
                <c:pt idx="6">
                  <c:v>1.3908402702885736E-2</c:v>
                </c:pt>
                <c:pt idx="7">
                  <c:v>1.7668141332570331E-2</c:v>
                </c:pt>
                <c:pt idx="8">
                  <c:v>2.0694948419602954E-2</c:v>
                </c:pt>
                <c:pt idx="9">
                  <c:v>2.2860070567178425E-2</c:v>
                </c:pt>
                <c:pt idx="10">
                  <c:v>2.355719228936326E-2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Raw!$N$1</c:f>
              <c:strCache>
                <c:ptCount val="1"/>
                <c:pt idx="0">
                  <c:v>HHLB</c:v>
                </c:pt>
              </c:strCache>
            </c:strRef>
          </c:tx>
          <c:marker>
            <c:symbol val="none"/>
          </c:marker>
          <c:cat>
            <c:numRef>
              <c:f>Raw!$J$2:$J$12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Raw!$N$2:$N$12</c:f>
              <c:numCache>
                <c:formatCode>_(* #,##0.0000_);_(* \(#,##0.0000\);_(* "-"??_);_(@_)</c:formatCode>
                <c:ptCount val="11"/>
                <c:pt idx="0">
                  <c:v>3.6863002819388369E-3</c:v>
                </c:pt>
                <c:pt idx="1">
                  <c:v>4.5496501029349545E-3</c:v>
                </c:pt>
                <c:pt idx="2">
                  <c:v>5.5120764248874909E-3</c:v>
                </c:pt>
                <c:pt idx="3">
                  <c:v>6.9947574602666762E-3</c:v>
                </c:pt>
                <c:pt idx="4">
                  <c:v>9.3466182387366148E-3</c:v>
                </c:pt>
                <c:pt idx="5">
                  <c:v>1.2488677473114107E-2</c:v>
                </c:pt>
                <c:pt idx="6">
                  <c:v>1.6907139578227537E-2</c:v>
                </c:pt>
                <c:pt idx="7">
                  <c:v>2.1856896304521589E-2</c:v>
                </c:pt>
                <c:pt idx="8">
                  <c:v>2.4878919151311796E-2</c:v>
                </c:pt>
                <c:pt idx="9">
                  <c:v>2.6319599043201025E-2</c:v>
                </c:pt>
                <c:pt idx="10">
                  <c:v>2.7526191470045536E-2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Raw!$O$1</c:f>
              <c:strCache>
                <c:ptCount val="1"/>
                <c:pt idx="0">
                  <c:v>417K</c:v>
                </c:pt>
              </c:strCache>
            </c:strRef>
          </c:tx>
          <c:marker>
            <c:symbol val="none"/>
          </c:marker>
          <c:cat>
            <c:numRef>
              <c:f>Raw!$J$2:$J$12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Raw!$O$2:$O$12</c:f>
              <c:numCache>
                <c:formatCode>_(* #,##0.0000_);_(* \(#,##0.0000\);_(* "-"??_);_(@_)</c:formatCode>
                <c:ptCount val="11"/>
                <c:pt idx="0">
                  <c:v>3.263144634513937E-3</c:v>
                </c:pt>
                <c:pt idx="1">
                  <c:v>4.1325551049171683E-3</c:v>
                </c:pt>
                <c:pt idx="2">
                  <c:v>5.0910900024860872E-3</c:v>
                </c:pt>
                <c:pt idx="3">
                  <c:v>7.8881014445827402E-3</c:v>
                </c:pt>
                <c:pt idx="4">
                  <c:v>1.4313627762892023E-2</c:v>
                </c:pt>
                <c:pt idx="5">
                  <c:v>2.1679219269477468E-2</c:v>
                </c:pt>
                <c:pt idx="6">
                  <c:v>2.9178815575542139E-2</c:v>
                </c:pt>
                <c:pt idx="7">
                  <c:v>3.2837599710440424E-2</c:v>
                </c:pt>
                <c:pt idx="8">
                  <c:v>3.5461222670849279E-2</c:v>
                </c:pt>
                <c:pt idx="9">
                  <c:v>3.5219690136114257E-2</c:v>
                </c:pt>
                <c:pt idx="10">
                  <c:v>3.3695718856740831E-2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Raw!$P$1</c:f>
              <c:strCache>
                <c:ptCount val="1"/>
                <c:pt idx="0">
                  <c:v>JUMBO</c:v>
                </c:pt>
              </c:strCache>
            </c:strRef>
          </c:tx>
          <c:marker>
            <c:symbol val="none"/>
          </c:marker>
          <c:cat>
            <c:numRef>
              <c:f>Raw!$J$2:$J$12</c:f>
              <c:numCache>
                <c:formatCode>General</c:formatCode>
                <c:ptCount val="11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  <c:pt idx="10">
                  <c:v>200</c:v>
                </c:pt>
              </c:numCache>
            </c:numRef>
          </c:cat>
          <c:val>
            <c:numRef>
              <c:f>Raw!$P$2:$P$12</c:f>
              <c:numCache>
                <c:formatCode>_(* #,##0.0000_);_(* \(#,##0.0000\);_(* "-"??_);_(@_)</c:formatCode>
                <c:ptCount val="11"/>
                <c:pt idx="0">
                  <c:v>2.6591738664554221E-3</c:v>
                </c:pt>
                <c:pt idx="1">
                  <c:v>3.7543709302380046E-3</c:v>
                </c:pt>
                <c:pt idx="2">
                  <c:v>5.0407671445176216E-3</c:v>
                </c:pt>
                <c:pt idx="3">
                  <c:v>9.2061332287401987E-3</c:v>
                </c:pt>
                <c:pt idx="4">
                  <c:v>2.0238379351825153E-2</c:v>
                </c:pt>
                <c:pt idx="5">
                  <c:v>3.3236861042292842E-2</c:v>
                </c:pt>
                <c:pt idx="6">
                  <c:v>4.3808761133785401E-2</c:v>
                </c:pt>
                <c:pt idx="7">
                  <c:v>4.9632892691048758E-2</c:v>
                </c:pt>
                <c:pt idx="8">
                  <c:v>5.0826249694578607E-2</c:v>
                </c:pt>
                <c:pt idx="9">
                  <c:v>5.0949982501981905E-2</c:v>
                </c:pt>
                <c:pt idx="10">
                  <c:v>4.5373105000075187E-2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95392"/>
        <c:axId val="125196928"/>
      </c:lineChart>
      <c:catAx>
        <c:axId val="12519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196928"/>
        <c:crosses val="autoZero"/>
        <c:auto val="1"/>
        <c:lblAlgn val="ctr"/>
        <c:lblOffset val="100"/>
        <c:noMultiLvlLbl val="0"/>
      </c:catAx>
      <c:valAx>
        <c:axId val="125196928"/>
        <c:scaling>
          <c:orientation val="minMax"/>
        </c:scaling>
        <c:delete val="0"/>
        <c:axPos val="l"/>
        <c:majorGridlines/>
        <c:numFmt formatCode="_(* #,##0.0000_);_(* \(#,##0.0000\);_(* &quot;-&quot;??_);_(@_)" sourceLinked="1"/>
        <c:majorTickMark val="out"/>
        <c:minorTickMark val="none"/>
        <c:tickLblPos val="nextTo"/>
        <c:crossAx val="125195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5</xdr:row>
      <xdr:rowOff>0</xdr:rowOff>
    </xdr:from>
    <xdr:to>
      <xdr:col>19</xdr:col>
      <xdr:colOff>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22</xdr:row>
      <xdr:rowOff>0</xdr:rowOff>
    </xdr:from>
    <xdr:to>
      <xdr:col>8</xdr:col>
      <xdr:colOff>123825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304800</xdr:colOff>
      <xdr:row>36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22</xdr:row>
      <xdr:rowOff>47625</xdr:rowOff>
    </xdr:from>
    <xdr:to>
      <xdr:col>24</xdr:col>
      <xdr:colOff>304800</xdr:colOff>
      <xdr:row>36</xdr:row>
      <xdr:rowOff>123825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39</xdr:row>
      <xdr:rowOff>114300</xdr:rowOff>
    </xdr:from>
    <xdr:to>
      <xdr:col>8</xdr:col>
      <xdr:colOff>0</xdr:colOff>
      <xdr:row>54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</xdr:row>
      <xdr:rowOff>66675</xdr:rowOff>
    </xdr:from>
    <xdr:to>
      <xdr:col>17</xdr:col>
      <xdr:colOff>0</xdr:colOff>
      <xdr:row>15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304800</xdr:colOff>
      <xdr:row>34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20</xdr:row>
      <xdr:rowOff>0</xdr:rowOff>
    </xdr:from>
    <xdr:to>
      <xdr:col>24</xdr:col>
      <xdr:colOff>304800</xdr:colOff>
      <xdr:row>34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50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16</xdr:col>
      <xdr:colOff>304800</xdr:colOff>
      <xdr:row>50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114300</xdr:rowOff>
    </xdr:from>
    <xdr:to>
      <xdr:col>25</xdr:col>
      <xdr:colOff>304800</xdr:colOff>
      <xdr:row>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F16" sqref="F16"/>
    </sheetView>
  </sheetViews>
  <sheetFormatPr defaultRowHeight="15" x14ac:dyDescent="0.25"/>
  <sheetData>
    <row r="1" spans="1:7" x14ac:dyDescent="0.25">
      <c r="B1" s="4">
        <v>0.23</v>
      </c>
    </row>
    <row r="2" spans="1:7" x14ac:dyDescent="0.25">
      <c r="B2" s="4">
        <v>1</v>
      </c>
      <c r="C2" s="6">
        <v>1</v>
      </c>
      <c r="D2" s="6">
        <v>1</v>
      </c>
      <c r="E2" s="6">
        <v>1</v>
      </c>
      <c r="F2" s="6">
        <v>0.6</v>
      </c>
      <c r="G2" s="4">
        <v>1</v>
      </c>
    </row>
    <row r="3" spans="1:7" x14ac:dyDescent="0.25">
      <c r="A3" s="1" t="s">
        <v>0</v>
      </c>
      <c r="B3" s="1" t="s">
        <v>5</v>
      </c>
      <c r="C3" s="1" t="s">
        <v>6</v>
      </c>
      <c r="D3" s="1" t="s">
        <v>3</v>
      </c>
      <c r="E3" s="1" t="s">
        <v>2</v>
      </c>
      <c r="F3" s="1" t="s">
        <v>1</v>
      </c>
      <c r="G3" s="1" t="s">
        <v>4</v>
      </c>
    </row>
    <row r="4" spans="1:7" x14ac:dyDescent="0.25">
      <c r="A4" s="2">
        <v>-50</v>
      </c>
      <c r="B4" s="5"/>
      <c r="C4" s="5"/>
      <c r="D4" s="5"/>
      <c r="E4" s="5"/>
      <c r="F4" s="5"/>
      <c r="G4" s="5"/>
    </row>
    <row r="5" spans="1:7" x14ac:dyDescent="0.25">
      <c r="A5" s="2">
        <v>-25</v>
      </c>
      <c r="B5" s="5">
        <f>Raw!K21*Shift!B$2+Raw!K$4</f>
        <v>5.0123982150761526E-3</v>
      </c>
      <c r="C5" s="5">
        <f>Raw!L21*Shift!C$2+Raw!L$4</f>
        <v>5.0753942631802662E-3</v>
      </c>
      <c r="D5" s="5">
        <f>Raw!M21*Shift!D$2+Raw!M$4</f>
        <v>4.6454030144398306E-3</v>
      </c>
      <c r="E5" s="5">
        <f>Raw!N21*Shift!E$2+Raw!N$4</f>
        <v>4.5496501029349545E-3</v>
      </c>
      <c r="F5" s="5">
        <f>Raw!O21*Shift!F$2+Raw!O$4</f>
        <v>4.5159690639447357E-3</v>
      </c>
      <c r="G5" s="5">
        <f>Raw!P21*Shift!G$2+Raw!P$4</f>
        <v>3.7543709302380046E-3</v>
      </c>
    </row>
    <row r="6" spans="1:7" x14ac:dyDescent="0.25">
      <c r="A6" s="2">
        <v>0</v>
      </c>
      <c r="B6" s="5">
        <f>Raw!K22*Shift!B$2+Raw!K$4</f>
        <v>5.7708999704769726E-3</v>
      </c>
      <c r="C6" s="5">
        <f>Raw!L22*Shift!C$2+Raw!L$4</f>
        <v>5.5909030057442743E-3</v>
      </c>
      <c r="D6" s="5">
        <f>Raw!M22*Shift!D$2+Raw!M$4</f>
        <v>5.4780749347330682E-3</v>
      </c>
      <c r="E6" s="5">
        <f>Raw!N22*Shift!E$2+Raw!N$4</f>
        <v>5.5120764248874909E-3</v>
      </c>
      <c r="F6" s="5">
        <f>Raw!O22*Shift!F$2+Raw!O$4</f>
        <v>5.0910900024860872E-3</v>
      </c>
      <c r="G6" s="5">
        <f>Raw!P22*Shift!G$2+Raw!P$4</f>
        <v>5.0407671445176216E-3</v>
      </c>
    </row>
    <row r="7" spans="1:7" x14ac:dyDescent="0.25">
      <c r="A7" s="2">
        <v>25</v>
      </c>
      <c r="B7" s="5">
        <f>Raw!K23*Shift!B$2+Raw!K$4</f>
        <v>6.4297483327760974E-3</v>
      </c>
      <c r="C7" s="5">
        <f>Raw!L23*Shift!C$2+Raw!L$4</f>
        <v>6.5331177505362215E-3</v>
      </c>
      <c r="D7" s="5">
        <f>Raw!M23*Shift!D$2+Raw!M$4</f>
        <v>6.696124943456061E-3</v>
      </c>
      <c r="E7" s="5">
        <f>Raw!N23*Shift!E$2+Raw!N$4</f>
        <v>6.9947574602666762E-3</v>
      </c>
      <c r="F7" s="5">
        <f>Raw!O23*Shift!F$2+Raw!O$4</f>
        <v>6.769296867744079E-3</v>
      </c>
      <c r="G7" s="5">
        <f>Raw!P23*Shift!G$2+Raw!P$4</f>
        <v>9.2061332287401987E-3</v>
      </c>
    </row>
    <row r="8" spans="1:7" x14ac:dyDescent="0.25">
      <c r="A8" s="2">
        <v>50</v>
      </c>
      <c r="B8" s="5">
        <f>Raw!K24*Shift!B$2+Raw!K$4</f>
        <v>7.098702721267669E-3</v>
      </c>
      <c r="C8" s="5">
        <f>Raw!L24*Shift!C$2+Raw!L$4</f>
        <v>7.5697380907752132E-3</v>
      </c>
      <c r="D8" s="5">
        <f>Raw!M24*Shift!D$2+Raw!M$4</f>
        <v>8.4481057779010049E-3</v>
      </c>
      <c r="E8" s="5">
        <f>Raw!N24*Shift!E$2+Raw!N$4</f>
        <v>9.3466182387366148E-3</v>
      </c>
      <c r="F8" s="5">
        <f>Raw!O24*Shift!F$2+Raw!O$4</f>
        <v>1.0624612658729649E-2</v>
      </c>
      <c r="G8" s="5">
        <f>Raw!P24*Shift!G$2+Raw!P$4</f>
        <v>2.0238379351825153E-2</v>
      </c>
    </row>
    <row r="9" spans="1:7" x14ac:dyDescent="0.25">
      <c r="A9" s="2">
        <v>75</v>
      </c>
      <c r="B9" s="5">
        <f>Raw!K25*Shift!B$2+Raw!K$4</f>
        <v>7.9743817160045083E-3</v>
      </c>
      <c r="C9" s="5">
        <f>Raw!L25*Shift!C$2+Raw!L$4</f>
        <v>8.8554257736795927E-3</v>
      </c>
      <c r="D9" s="5">
        <f>Raw!M25*Shift!D$2+Raw!M$4</f>
        <v>1.0511287927163715E-2</v>
      </c>
      <c r="E9" s="5">
        <f>Raw!N25*Shift!E$2+Raw!N$4</f>
        <v>1.2488677473114107E-2</v>
      </c>
      <c r="F9" s="5">
        <f>Raw!O25*Shift!F$2+Raw!O$4</f>
        <v>1.5043967562680916E-2</v>
      </c>
      <c r="G9" s="5">
        <f>Raw!P25*Shift!G$2+Raw!P$4</f>
        <v>3.3236861042292842E-2</v>
      </c>
    </row>
    <row r="10" spans="1:7" x14ac:dyDescent="0.25">
      <c r="A10" s="2">
        <v>100</v>
      </c>
      <c r="B10" s="5">
        <f>Raw!K26*Shift!B$2+Raw!K$4</f>
        <v>9.1693772221541625E-3</v>
      </c>
      <c r="C10" s="5">
        <f>Raw!L26*Shift!C$2+Raw!L$4</f>
        <v>1.0818607713761974E-2</v>
      </c>
      <c r="D10" s="5">
        <f>Raw!M26*Shift!D$2+Raw!M$4</f>
        <v>1.3908402702885736E-2</v>
      </c>
      <c r="E10" s="5">
        <f>Raw!N26*Shift!E$2+Raw!N$4</f>
        <v>1.6907139578227537E-2</v>
      </c>
      <c r="F10" s="5">
        <f>Raw!O26*Shift!F$2+Raw!O$4</f>
        <v>1.9543725346319717E-2</v>
      </c>
      <c r="G10" s="5">
        <f>Raw!P26*Shift!G$2+Raw!P$4</f>
        <v>4.3808761133785401E-2</v>
      </c>
    </row>
    <row r="11" spans="1:7" x14ac:dyDescent="0.25">
      <c r="A11" s="2">
        <v>125</v>
      </c>
      <c r="B11" s="5">
        <f>Raw!K27*Shift!B$2+Raw!K$4</f>
        <v>1.0623621208016298E-2</v>
      </c>
      <c r="C11" s="5">
        <f>Raw!L27*Shift!C$2+Raw!L$4</f>
        <v>1.3482408046243677E-2</v>
      </c>
      <c r="D11" s="5">
        <f>Raw!M27*Shift!D$2+Raw!M$4</f>
        <v>1.7668141332570331E-2</v>
      </c>
      <c r="E11" s="5">
        <f>Raw!N27*Shift!E$2+Raw!N$4</f>
        <v>2.1856896304521589E-2</v>
      </c>
      <c r="F11" s="5">
        <f>Raw!O27*Shift!F$2+Raw!O$4</f>
        <v>2.1738995827258689E-2</v>
      </c>
      <c r="G11" s="5">
        <f>Raw!P27*Shift!G$2+Raw!P$4</f>
        <v>4.9632892691048758E-2</v>
      </c>
    </row>
    <row r="12" spans="1:7" x14ac:dyDescent="0.25">
      <c r="A12" s="2">
        <v>150</v>
      </c>
      <c r="B12" s="5">
        <f>Raw!K28*Shift!B$2+Raw!K$4</f>
        <v>1.1826411790083258E-2</v>
      </c>
      <c r="C12" s="5">
        <f>Raw!L28*Shift!C$2+Raw!L$4</f>
        <v>1.6102721165466072E-2</v>
      </c>
      <c r="D12" s="5">
        <f>Raw!M28*Shift!D$2+Raw!M$4</f>
        <v>2.0694948419602954E-2</v>
      </c>
      <c r="E12" s="5">
        <f>Raw!N28*Shift!E$2+Raw!N$4</f>
        <v>2.4878919151311796E-2</v>
      </c>
      <c r="F12" s="5">
        <f>Raw!O28*Shift!F$2+Raw!O$4</f>
        <v>2.3313169603504002E-2</v>
      </c>
      <c r="G12" s="5">
        <f>Raw!P28*Shift!G$2+Raw!P$4</f>
        <v>5.0826249694578607E-2</v>
      </c>
    </row>
    <row r="13" spans="1:7" x14ac:dyDescent="0.25">
      <c r="A13" s="2">
        <v>175</v>
      </c>
      <c r="B13" s="5">
        <f>Raw!K29*Shift!B$2+Raw!K$4</f>
        <v>1.3451605282654988E-2</v>
      </c>
      <c r="C13" s="5">
        <f>Raw!L29*Shift!C$2+Raw!L$4</f>
        <v>1.7945579771857068E-2</v>
      </c>
      <c r="D13" s="5">
        <f>Raw!M29*Shift!D$2+Raw!M$4</f>
        <v>2.2860070567178425E-2</v>
      </c>
      <c r="E13" s="5">
        <f>Raw!N29*Shift!E$2+Raw!N$4</f>
        <v>2.6319599043201025E-2</v>
      </c>
      <c r="F13" s="5">
        <f>Raw!O29*Shift!F$2+Raw!O$4</f>
        <v>2.3168250082662989E-2</v>
      </c>
      <c r="G13" s="5">
        <f>Raw!P29*Shift!G$2+Raw!P$4</f>
        <v>5.0949982501981905E-2</v>
      </c>
    </row>
    <row r="14" spans="1:7" x14ac:dyDescent="0.25">
      <c r="A14" s="2">
        <v>200</v>
      </c>
      <c r="B14" s="5">
        <f>Raw!K30*Shift!B$2+Raw!K$4</f>
        <v>1.3955648104789775E-2</v>
      </c>
      <c r="C14" s="5">
        <f>Raw!L30*Shift!C$2+Raw!L$4</f>
        <v>1.9095029116086404E-2</v>
      </c>
      <c r="D14" s="5">
        <f>Raw!M30*Shift!D$2+Raw!M$4</f>
        <v>2.355719228936326E-2</v>
      </c>
      <c r="E14" s="5">
        <f>Raw!N30*Shift!E$2+Raw!N$4</f>
        <v>2.7526191470045536E-2</v>
      </c>
      <c r="F14" s="5">
        <f>Raw!O30*Shift!F$2+Raw!O$4</f>
        <v>2.2253867315038933E-2</v>
      </c>
      <c r="G14" s="5">
        <f>Raw!P30*Shift!G$2+Raw!P$4</f>
        <v>4.5373105000075187E-2</v>
      </c>
    </row>
    <row r="16" spans="1:7" x14ac:dyDescent="0.25">
      <c r="B16">
        <v>50</v>
      </c>
      <c r="D16">
        <v>50</v>
      </c>
      <c r="E16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2" sqref="E2"/>
    </sheetView>
  </sheetViews>
  <sheetFormatPr defaultRowHeight="15" x14ac:dyDescent="0.25"/>
  <sheetData>
    <row r="1" spans="1:7" x14ac:dyDescent="0.25">
      <c r="B1">
        <v>50</v>
      </c>
      <c r="C1">
        <v>30</v>
      </c>
      <c r="D1">
        <v>28</v>
      </c>
      <c r="E1">
        <v>20</v>
      </c>
      <c r="G1">
        <v>-5</v>
      </c>
    </row>
    <row r="2" spans="1:7" x14ac:dyDescent="0.25">
      <c r="A2" s="1"/>
      <c r="B2" s="1" t="s">
        <v>5</v>
      </c>
      <c r="C2" s="1" t="s">
        <v>6</v>
      </c>
      <c r="D2" s="1" t="s">
        <v>3</v>
      </c>
      <c r="E2" s="1" t="s">
        <v>2</v>
      </c>
      <c r="F2" s="1" t="s">
        <v>1</v>
      </c>
      <c r="G2" s="1" t="s">
        <v>4</v>
      </c>
    </row>
    <row r="3" spans="1:7" x14ac:dyDescent="0.25">
      <c r="A3" s="2">
        <v>-50</v>
      </c>
    </row>
    <row r="4" spans="1:7" x14ac:dyDescent="0.25">
      <c r="A4" s="2">
        <v>-25</v>
      </c>
      <c r="B4">
        <f>(Raw!K21-MIN(Raw!K$21:K$29))/(MAX(Raw!K$21:K$29)-MIN(Raw!K$21:K$29))</f>
        <v>0</v>
      </c>
      <c r="C4">
        <f>(Raw!L21-MIN(Raw!L$21:L$29))/(MAX(Raw!L$21:L$29)-MIN(Raw!L$21:L$29))</f>
        <v>0</v>
      </c>
      <c r="D4">
        <f>(Raw!M21-MIN(Raw!M$21:M$29))/(MAX(Raw!M$21:M$29)-MIN(Raw!M$21:M$29))</f>
        <v>0</v>
      </c>
      <c r="E4">
        <f>(Raw!N21-MIN(Raw!N$21:N$29))/(MAX(Raw!N$21:N$29)-MIN(Raw!N$21:N$29))</f>
        <v>0</v>
      </c>
      <c r="F4">
        <f>(Raw!O21-MIN(Raw!O$21:O$29))/(MAX(Raw!O$21:O$29)-MIN(Raw!O$21:O$29))</f>
        <v>0</v>
      </c>
      <c r="G4">
        <f>(Raw!P21-MIN(Raw!P$21:P$29))/(MAX(Raw!P$21:P$29)-MIN(Raw!P$21:P$29))</f>
        <v>0</v>
      </c>
    </row>
    <row r="5" spans="1:7" x14ac:dyDescent="0.25">
      <c r="A5" s="2">
        <v>0</v>
      </c>
      <c r="B5">
        <f>(Raw!K22-MIN(Raw!K$21:K$29))/(MAX(Raw!K$21:K$29)-MIN(Raw!K$21:K$29))</f>
        <v>8.9878320241101775E-2</v>
      </c>
      <c r="C5">
        <f>(Raw!L22-MIN(Raw!L$21:L$29))/(MAX(Raw!L$21:L$29)-MIN(Raw!L$21:L$29))</f>
        <v>4.0054492005298856E-2</v>
      </c>
      <c r="D5">
        <f>(Raw!M22-MIN(Raw!M$21:M$29))/(MAX(Raw!M$21:M$29)-MIN(Raw!M$21:M$29))</f>
        <v>4.5714362772876653E-2</v>
      </c>
      <c r="E5">
        <f>(Raw!N22-MIN(Raw!N$21:N$29))/(MAX(Raw!N$21:N$29)-MIN(Raw!N$21:N$29))</f>
        <v>4.4208937953566632E-2</v>
      </c>
      <c r="F5">
        <f>(Raw!O22-MIN(Raw!O$21:O$29))/(MAX(Raw!O$21:O$29)-MIN(Raw!O$21:O$29))</f>
        <v>3.0596095271260861E-2</v>
      </c>
      <c r="G5">
        <f>(Raw!P22-MIN(Raw!P$21:P$29))/(MAX(Raw!P$21:P$29)-MIN(Raw!P$21:P$29))</f>
        <v>2.7256691277834501E-2</v>
      </c>
    </row>
    <row r="6" spans="1:7" x14ac:dyDescent="0.25">
      <c r="A6" s="2">
        <v>25</v>
      </c>
      <c r="B6">
        <f>(Raw!K23-MIN(Raw!K$21:K$29))/(MAX(Raw!K$21:K$29)-MIN(Raw!K$21:K$29))</f>
        <v>0.16794825702820149</v>
      </c>
      <c r="C6">
        <f>(Raw!L23-MIN(Raw!L$21:L$29))/(MAX(Raw!L$21:L$29)-MIN(Raw!L$21:L$29))</f>
        <v>0.11326359564694616</v>
      </c>
      <c r="D6">
        <f>(Raw!M23-MIN(Raw!M$21:M$29))/(MAX(Raw!M$21:M$29)-MIN(Raw!M$21:M$29))</f>
        <v>0.11258629470335307</v>
      </c>
      <c r="E6">
        <f>(Raw!N23-MIN(Raw!N$21:N$29))/(MAX(Raw!N$21:N$29)-MIN(Raw!N$21:N$29))</f>
        <v>0.11231571392476761</v>
      </c>
      <c r="F6">
        <f>(Raw!O23-MIN(Raw!O$21:O$29))/(MAX(Raw!O$21:O$29)-MIN(Raw!O$21:O$29))</f>
        <v>0.1198757122932826</v>
      </c>
      <c r="G6">
        <f>(Raw!P23-MIN(Raw!P$21:P$29))/(MAX(Raw!P$21:P$29)-MIN(Raw!P$21:P$29))</f>
        <v>0.11551417847853833</v>
      </c>
    </row>
    <row r="7" spans="1:7" x14ac:dyDescent="0.25">
      <c r="A7" s="2">
        <v>50</v>
      </c>
      <c r="B7">
        <f>(Raw!K24-MIN(Raw!K$21:K$29))/(MAX(Raw!K$21:K$29)-MIN(Raw!K$21:K$29))</f>
        <v>0.24721570278877708</v>
      </c>
      <c r="C7">
        <f>(Raw!L24-MIN(Raw!L$21:L$29))/(MAX(Raw!L$21:L$29)-MIN(Raw!L$21:L$29))</f>
        <v>0.193807915660059</v>
      </c>
      <c r="D7">
        <f>(Raw!M24-MIN(Raw!M$21:M$29))/(MAX(Raw!M$21:M$29)-MIN(Raw!M$21:M$29))</f>
        <v>0.20877146137588626</v>
      </c>
      <c r="E7">
        <f>(Raw!N24-MIN(Raw!N$21:N$29))/(MAX(Raw!N$21:N$29)-MIN(Raw!N$21:N$29))</f>
        <v>0.22034815740560171</v>
      </c>
      <c r="F7">
        <f>(Raw!O24-MIN(Raw!O$21:O$29))/(MAX(Raw!O$21:O$29)-MIN(Raw!O$21:O$29))</f>
        <v>0.32497624217654597</v>
      </c>
      <c r="G7">
        <f>(Raw!P24-MIN(Raw!P$21:P$29))/(MAX(Raw!P$21:P$29)-MIN(Raw!P$21:P$29))</f>
        <v>0.34926993999281397</v>
      </c>
    </row>
    <row r="8" spans="1:7" x14ac:dyDescent="0.25">
      <c r="A8" s="2">
        <v>75</v>
      </c>
      <c r="B8">
        <f>(Raw!K25-MIN(Raw!K$21:K$29))/(MAX(Raw!K$21:K$29)-MIN(Raw!K$21:K$29))</f>
        <v>0.35097888666667509</v>
      </c>
      <c r="C8">
        <f>(Raw!L25-MIN(Raw!L$21:L$29))/(MAX(Raw!L$21:L$29)-MIN(Raw!L$21:L$29))</f>
        <v>0.29370450860641528</v>
      </c>
      <c r="D8">
        <f>(Raw!M25-MIN(Raw!M$21:M$29))/(MAX(Raw!M$21:M$29)-MIN(Raw!M$21:M$29))</f>
        <v>0.32204183226182143</v>
      </c>
      <c r="E8">
        <f>(Raw!N25-MIN(Raw!N$21:N$29))/(MAX(Raw!N$21:N$29)-MIN(Raw!N$21:N$29))</f>
        <v>0.36467827241868223</v>
      </c>
      <c r="F8">
        <f>(Raw!O25-MIN(Raw!O$21:O$29))/(MAX(Raw!O$21:O$29)-MIN(Raw!O$21:O$29))</f>
        <v>0.56008332073596245</v>
      </c>
      <c r="G8">
        <f>(Raw!P25-MIN(Raw!P$21:P$29))/(MAX(Raw!P$21:P$29)-MIN(Raw!P$21:P$29))</f>
        <v>0.62468710819092466</v>
      </c>
    </row>
    <row r="9" spans="1:7" x14ac:dyDescent="0.25">
      <c r="A9" s="2">
        <v>100</v>
      </c>
      <c r="B9">
        <f>(Raw!K26-MIN(Raw!K$21:K$29))/(MAX(Raw!K$21:K$29)-MIN(Raw!K$21:K$29))</f>
        <v>0.4925793352136133</v>
      </c>
      <c r="C9">
        <f>(Raw!L26-MIN(Raw!L$21:L$29))/(MAX(Raw!L$21:L$29)-MIN(Raw!L$21:L$29))</f>
        <v>0.44624169921325202</v>
      </c>
      <c r="D9">
        <f>(Raw!M26-MIN(Raw!M$21:M$29))/(MAX(Raw!M$21:M$29)-MIN(Raw!M$21:M$29))</f>
        <v>0.50854618464080636</v>
      </c>
      <c r="E9">
        <f>(Raw!N26-MIN(Raw!N$21:N$29))/(MAX(Raw!N$21:N$29)-MIN(Raw!N$21:N$29))</f>
        <v>0.5676398005893325</v>
      </c>
      <c r="F9">
        <f>(Raw!O26-MIN(Raw!O$21:O$29))/(MAX(Raw!O$21:O$29)-MIN(Raw!O$21:O$29))</f>
        <v>0.79946778514963557</v>
      </c>
      <c r="G9">
        <f>(Raw!P26-MIN(Raw!P$21:P$29))/(MAX(Raw!P$21:P$29)-MIN(Raw!P$21:P$29))</f>
        <v>0.84868886893560314</v>
      </c>
    </row>
    <row r="10" spans="1:7" x14ac:dyDescent="0.25">
      <c r="A10" s="2">
        <v>125</v>
      </c>
      <c r="B10">
        <f>(Raw!K27-MIN(Raw!K$21:K$29))/(MAX(Raw!K$21:K$29)-MIN(Raw!K$21:K$29))</f>
        <v>0.66489931435584226</v>
      </c>
      <c r="C10">
        <f>(Raw!L27-MIN(Raw!L$21:L$29))/(MAX(Raw!L$21:L$29)-MIN(Raw!L$21:L$29))</f>
        <v>0.65321620868600405</v>
      </c>
      <c r="D10">
        <f>(Raw!M27-MIN(Raw!M$21:M$29))/(MAX(Raw!M$21:M$29)-MIN(Raw!M$21:M$29))</f>
        <v>0.71495888027736842</v>
      </c>
      <c r="E10">
        <f>(Raw!N27-MIN(Raw!N$21:N$29))/(MAX(Raw!N$21:N$29)-MIN(Raw!N$21:N$29))</f>
        <v>0.79500628361947401</v>
      </c>
      <c r="F10">
        <f>(Raw!O27-MIN(Raw!O$21:O$29))/(MAX(Raw!O$21:O$29)-MIN(Raw!O$21:O$29))</f>
        <v>0.91625488205371763</v>
      </c>
      <c r="G10">
        <f>(Raw!P27-MIN(Raw!P$21:P$29))/(MAX(Raw!P$21:P$29)-MIN(Raw!P$21:P$29))</f>
        <v>0.97209296019120361</v>
      </c>
    </row>
    <row r="11" spans="1:7" x14ac:dyDescent="0.25">
      <c r="A11" s="2">
        <v>150</v>
      </c>
      <c r="B11">
        <f>(Raw!K28-MIN(Raw!K$21:K$29))/(MAX(Raw!K$21:K$29)-MIN(Raw!K$21:K$29))</f>
        <v>0.80742343687533313</v>
      </c>
      <c r="C11">
        <f>(Raw!L28-MIN(Raw!L$21:L$29))/(MAX(Raw!L$21:L$29)-MIN(Raw!L$21:L$29))</f>
        <v>0.85681180701330373</v>
      </c>
      <c r="D11">
        <f>(Raw!M28-MIN(Raw!M$21:M$29))/(MAX(Raw!M$21:M$29)-MIN(Raw!M$21:M$29))</f>
        <v>0.88113304064943299</v>
      </c>
      <c r="E11">
        <f>(Raw!N28-MIN(Raw!N$21:N$29))/(MAX(Raw!N$21:N$29)-MIN(Raw!N$21:N$29))</f>
        <v>0.93382254152996547</v>
      </c>
      <c r="F11">
        <f>(Raw!O28-MIN(Raw!O$21:O$29))/(MAX(Raw!O$21:O$29)-MIN(Raw!O$21:O$29))</f>
        <v>1</v>
      </c>
      <c r="G11">
        <f>(Raw!P28-MIN(Raw!P$21:P$29))/(MAX(Raw!P$21:P$29)-MIN(Raw!P$21:P$29))</f>
        <v>0.99737829846287285</v>
      </c>
    </row>
    <row r="12" spans="1:7" x14ac:dyDescent="0.25">
      <c r="A12" s="2">
        <v>175</v>
      </c>
      <c r="B12">
        <f>(Raw!K29-MIN(Raw!K$21:K$29))/(MAX(Raw!K$21:K$29)-MIN(Raw!K$21:K$29))</f>
        <v>1</v>
      </c>
      <c r="C12">
        <f>(Raw!L29-MIN(Raw!L$21:L$29))/(MAX(Raw!L$21:L$29)-MIN(Raw!L$21:L$29))</f>
        <v>1</v>
      </c>
      <c r="D12">
        <f>(Raw!M29-MIN(Raw!M$21:M$29))/(MAX(Raw!M$21:M$29)-MIN(Raw!M$21:M$29))</f>
        <v>1</v>
      </c>
      <c r="E12">
        <f>(Raw!N29-MIN(Raw!N$21:N$29))/(MAX(Raw!N$21:N$29)-MIN(Raw!N$21:N$29))</f>
        <v>1</v>
      </c>
      <c r="F12">
        <f>(Raw!O29-MIN(Raw!O$21:O$29))/(MAX(Raw!O$21:O$29)-MIN(Raw!O$21:O$29))</f>
        <v>0.99229036682690985</v>
      </c>
      <c r="G12">
        <f>(Raw!P29-MIN(Raw!P$21:P$29))/(MAX(Raw!P$21:P$29)-MIN(Raw!P$21:P$29))</f>
        <v>1</v>
      </c>
    </row>
    <row r="13" spans="1:7" x14ac:dyDescent="0.25">
      <c r="A13" s="2">
        <v>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J20" sqref="J20:J30"/>
    </sheetView>
  </sheetViews>
  <sheetFormatPr defaultRowHeight="15" x14ac:dyDescent="0.25"/>
  <sheetData>
    <row r="1" spans="1:16" x14ac:dyDescent="0.25">
      <c r="A1" s="1" t="s">
        <v>0</v>
      </c>
      <c r="B1" s="1" t="s">
        <v>5</v>
      </c>
      <c r="C1" s="1" t="s">
        <v>6</v>
      </c>
      <c r="D1" s="1" t="s">
        <v>3</v>
      </c>
      <c r="E1" s="1" t="s">
        <v>2</v>
      </c>
      <c r="F1" s="1" t="s">
        <v>1</v>
      </c>
      <c r="G1" s="1" t="s">
        <v>4</v>
      </c>
      <c r="J1" s="1"/>
      <c r="K1" s="1" t="s">
        <v>5</v>
      </c>
      <c r="L1" s="1" t="s">
        <v>6</v>
      </c>
      <c r="M1" s="1" t="s">
        <v>3</v>
      </c>
      <c r="N1" s="1" t="s">
        <v>2</v>
      </c>
      <c r="O1" s="1" t="s">
        <v>1</v>
      </c>
      <c r="P1" s="1" t="s">
        <v>4</v>
      </c>
    </row>
    <row r="2" spans="1:16" x14ac:dyDescent="0.25">
      <c r="A2" s="2">
        <v>-50</v>
      </c>
      <c r="B2" s="3">
        <v>4.9883666912103202</v>
      </c>
      <c r="C2" s="3">
        <v>4.8359556318429497</v>
      </c>
      <c r="D2" s="3">
        <v>4.5806653122934504</v>
      </c>
      <c r="E2" s="3">
        <v>4.3349671406062598</v>
      </c>
      <c r="F2" s="3">
        <v>3.84625485232077</v>
      </c>
      <c r="G2" s="3">
        <v>3.1447498962807301</v>
      </c>
      <c r="J2" s="2">
        <v>-50</v>
      </c>
      <c r="K2" s="5">
        <f>(1-(1-B2/100)^(1/12))</f>
        <v>4.2551582170970992E-3</v>
      </c>
      <c r="L2" s="5">
        <f t="shared" ref="L2:P2" si="0">(1-(1-C2/100)^(1/12))</f>
        <v>4.1221472589416663E-3</v>
      </c>
      <c r="M2" s="5">
        <f t="shared" si="0"/>
        <v>3.8997891931692452E-3</v>
      </c>
      <c r="N2" s="5">
        <f t="shared" si="0"/>
        <v>3.6863002819388369E-3</v>
      </c>
      <c r="O2" s="5">
        <f t="shared" si="0"/>
        <v>3.263144634513937E-3</v>
      </c>
      <c r="P2" s="5">
        <f t="shared" si="0"/>
        <v>2.6591738664554221E-3</v>
      </c>
    </row>
    <row r="3" spans="1:16" x14ac:dyDescent="0.25">
      <c r="A3" s="2">
        <v>-25</v>
      </c>
      <c r="B3" s="3">
        <v>5.8517980728211603</v>
      </c>
      <c r="C3" s="3">
        <v>5.92330328289896</v>
      </c>
      <c r="D3" s="3">
        <v>5.4342396877025996</v>
      </c>
      <c r="E3" s="3">
        <v>5.32501542445016</v>
      </c>
      <c r="F3" s="3">
        <v>4.8478895747553103</v>
      </c>
      <c r="G3" s="3">
        <v>4.4133705711767703</v>
      </c>
      <c r="J3" s="2">
        <v>-25</v>
      </c>
      <c r="K3" s="5">
        <f t="shared" ref="K3:K12" si="1">(1-(1-B3/100)^(1/12))</f>
        <v>5.0123982150761526E-3</v>
      </c>
      <c r="L3" s="5">
        <f t="shared" ref="L3:L12" si="2">(1-(1-C3/100)^(1/12))</f>
        <v>5.0753942631802662E-3</v>
      </c>
      <c r="M3" s="5">
        <f t="shared" ref="M3:M12" si="3">(1-(1-D3/100)^(1/12))</f>
        <v>4.6454030144398306E-3</v>
      </c>
      <c r="N3" s="5">
        <f t="shared" ref="N3:N12" si="4">(1-(1-E3/100)^(1/12))</f>
        <v>4.5496501029349545E-3</v>
      </c>
      <c r="O3" s="5">
        <f t="shared" ref="O3:O12" si="5">(1-(1-F3/100)^(1/12))</f>
        <v>4.1325551049171683E-3</v>
      </c>
      <c r="P3" s="5">
        <f t="shared" ref="P3:P12" si="6">(1-(1-G3/100)^(1/12))</f>
        <v>3.7543709302380046E-3</v>
      </c>
    </row>
    <row r="4" spans="1:16" x14ac:dyDescent="0.25">
      <c r="A4" s="2">
        <v>0</v>
      </c>
      <c r="B4" s="3">
        <v>6.7094520550810302</v>
      </c>
      <c r="C4" s="3">
        <v>6.50657632913342</v>
      </c>
      <c r="D4" s="3">
        <v>6.3792009702084496</v>
      </c>
      <c r="E4" s="3">
        <v>6.4176031181215096</v>
      </c>
      <c r="F4" s="3">
        <v>5.9411113682669603</v>
      </c>
      <c r="G4" s="3">
        <v>5.8840050860247102</v>
      </c>
      <c r="J4" s="2">
        <v>0</v>
      </c>
      <c r="K4" s="5">
        <f t="shared" si="1"/>
        <v>5.7708999704769726E-3</v>
      </c>
      <c r="L4" s="5">
        <f t="shared" si="2"/>
        <v>5.5909030057442743E-3</v>
      </c>
      <c r="M4" s="5">
        <f t="shared" si="3"/>
        <v>5.4780749347330682E-3</v>
      </c>
      <c r="N4" s="5">
        <f t="shared" si="4"/>
        <v>5.5120764248874909E-3</v>
      </c>
      <c r="O4" s="5">
        <f t="shared" si="5"/>
        <v>5.0910900024860872E-3</v>
      </c>
      <c r="P4" s="5">
        <f t="shared" si="6"/>
        <v>5.0407671445176216E-3</v>
      </c>
    </row>
    <row r="5" spans="1:16" x14ac:dyDescent="0.25">
      <c r="A5" s="2">
        <v>25</v>
      </c>
      <c r="B5" s="3">
        <v>7.4486072440294198</v>
      </c>
      <c r="C5" s="3">
        <v>7.5640878892813896</v>
      </c>
      <c r="D5" s="3">
        <v>7.7459253953391398</v>
      </c>
      <c r="E5" s="3">
        <v>8.0782050614384708</v>
      </c>
      <c r="F5" s="3">
        <v>9.0656642540327894</v>
      </c>
      <c r="G5" s="3">
        <v>10.5048058479089</v>
      </c>
      <c r="J5" s="2">
        <v>25</v>
      </c>
      <c r="K5" s="5">
        <f t="shared" si="1"/>
        <v>6.4297483327760974E-3</v>
      </c>
      <c r="L5" s="5">
        <f t="shared" si="2"/>
        <v>6.5331177505362215E-3</v>
      </c>
      <c r="M5" s="5">
        <f t="shared" si="3"/>
        <v>6.696124943456061E-3</v>
      </c>
      <c r="N5" s="5">
        <f t="shared" si="4"/>
        <v>6.9947574602666762E-3</v>
      </c>
      <c r="O5" s="5">
        <f t="shared" si="5"/>
        <v>7.8881014445827402E-3</v>
      </c>
      <c r="P5" s="5">
        <f t="shared" si="6"/>
        <v>9.2061332287401987E-3</v>
      </c>
    </row>
    <row r="6" spans="1:16" x14ac:dyDescent="0.25">
      <c r="A6" s="2">
        <v>50</v>
      </c>
      <c r="B6" s="3">
        <v>8.1936042820211306</v>
      </c>
      <c r="C6" s="3">
        <v>8.7148815300453908</v>
      </c>
      <c r="D6" s="3">
        <v>9.6796977257871699</v>
      </c>
      <c r="E6" s="3">
        <v>10.656961812836901</v>
      </c>
      <c r="F6" s="3">
        <v>15.886631366315701</v>
      </c>
      <c r="G6" s="3">
        <v>21.7570748217654</v>
      </c>
      <c r="J6" s="2">
        <v>50</v>
      </c>
      <c r="K6" s="5">
        <f t="shared" si="1"/>
        <v>7.098702721267669E-3</v>
      </c>
      <c r="L6" s="5">
        <f t="shared" si="2"/>
        <v>7.5697380907752132E-3</v>
      </c>
      <c r="M6" s="5">
        <f t="shared" si="3"/>
        <v>8.4481057779010049E-3</v>
      </c>
      <c r="N6" s="5">
        <f t="shared" si="4"/>
        <v>9.3466182387366148E-3</v>
      </c>
      <c r="O6" s="5">
        <f t="shared" si="5"/>
        <v>1.4313627762892023E-2</v>
      </c>
      <c r="P6" s="5">
        <f t="shared" si="6"/>
        <v>2.0238379351825153E-2</v>
      </c>
    </row>
    <row r="7" spans="1:16" x14ac:dyDescent="0.25">
      <c r="A7" s="2">
        <v>75</v>
      </c>
      <c r="B7" s="3">
        <v>9.1605175159313301</v>
      </c>
      <c r="C7" s="3">
        <v>10.123925720428099</v>
      </c>
      <c r="D7" s="3">
        <v>11.9092859118894</v>
      </c>
      <c r="E7" s="3">
        <v>13.9987020211349</v>
      </c>
      <c r="F7" s="3">
        <v>23.1267322027409</v>
      </c>
      <c r="G7" s="3">
        <v>33.3437315019209</v>
      </c>
      <c r="J7" s="2">
        <v>75</v>
      </c>
      <c r="K7" s="5">
        <f t="shared" si="1"/>
        <v>7.9743817160045083E-3</v>
      </c>
      <c r="L7" s="5">
        <f t="shared" si="2"/>
        <v>8.8554257736795927E-3</v>
      </c>
      <c r="M7" s="5">
        <f t="shared" si="3"/>
        <v>1.0511287927163715E-2</v>
      </c>
      <c r="N7" s="5">
        <f t="shared" si="4"/>
        <v>1.2488677473114107E-2</v>
      </c>
      <c r="O7" s="5">
        <f t="shared" si="5"/>
        <v>2.1679219269477468E-2</v>
      </c>
      <c r="P7" s="5">
        <f t="shared" si="6"/>
        <v>3.3236861042292842E-2</v>
      </c>
    </row>
    <row r="8" spans="1:16" x14ac:dyDescent="0.25">
      <c r="A8" s="2">
        <v>100</v>
      </c>
      <c r="B8" s="3">
        <v>10.464957108662899</v>
      </c>
      <c r="C8" s="3">
        <v>12.237040908857299</v>
      </c>
      <c r="D8" s="3">
        <v>15.4707341294286</v>
      </c>
      <c r="E8" s="3">
        <v>18.504335490851499</v>
      </c>
      <c r="F8" s="3">
        <v>29.907599344839198</v>
      </c>
      <c r="G8" s="3">
        <v>41.583286286427303</v>
      </c>
      <c r="J8" s="2">
        <v>100</v>
      </c>
      <c r="K8" s="5">
        <f t="shared" si="1"/>
        <v>9.1693772221541625E-3</v>
      </c>
      <c r="L8" s="5">
        <f t="shared" si="2"/>
        <v>1.0818607713761974E-2</v>
      </c>
      <c r="M8" s="5">
        <f t="shared" si="3"/>
        <v>1.3908402702885736E-2</v>
      </c>
      <c r="N8" s="5">
        <f t="shared" si="4"/>
        <v>1.6907139578227537E-2</v>
      </c>
      <c r="O8" s="5">
        <f t="shared" si="5"/>
        <v>2.9178815575542139E-2</v>
      </c>
      <c r="P8" s="5">
        <f t="shared" si="6"/>
        <v>4.3808761133785401E-2</v>
      </c>
    </row>
    <row r="9" spans="1:16" x14ac:dyDescent="0.25">
      <c r="A9" s="2">
        <v>125</v>
      </c>
      <c r="B9" s="3">
        <v>12.029218670108399</v>
      </c>
      <c r="C9" s="3">
        <v>15.031488561715101</v>
      </c>
      <c r="D9" s="3">
        <v>19.258139942395498</v>
      </c>
      <c r="E9" s="3">
        <v>23.294100364884901</v>
      </c>
      <c r="F9" s="3">
        <v>33.012641459190398</v>
      </c>
      <c r="G9" s="3">
        <v>45.712885184764097</v>
      </c>
      <c r="J9" s="2">
        <v>125</v>
      </c>
      <c r="K9" s="5">
        <f t="shared" si="1"/>
        <v>1.0623621208016298E-2</v>
      </c>
      <c r="L9" s="5">
        <f t="shared" si="2"/>
        <v>1.3482408046243677E-2</v>
      </c>
      <c r="M9" s="5">
        <f t="shared" si="3"/>
        <v>1.7668141332570331E-2</v>
      </c>
      <c r="N9" s="5">
        <f t="shared" si="4"/>
        <v>2.1856896304521589E-2</v>
      </c>
      <c r="O9" s="5">
        <f t="shared" si="5"/>
        <v>3.2837599710440424E-2</v>
      </c>
      <c r="P9" s="5">
        <f t="shared" si="6"/>
        <v>4.9632892691048758E-2</v>
      </c>
    </row>
    <row r="10" spans="1:16" x14ac:dyDescent="0.25">
      <c r="A10" s="2">
        <v>150</v>
      </c>
      <c r="B10" s="3">
        <v>13.304031367729699</v>
      </c>
      <c r="C10" s="3">
        <v>17.700515804032399</v>
      </c>
      <c r="D10" s="3">
        <v>22.193489744130598</v>
      </c>
      <c r="E10" s="3">
        <v>26.0901118490066</v>
      </c>
      <c r="F10" s="3">
        <v>35.161000156272401</v>
      </c>
      <c r="G10" s="3">
        <v>46.525266366938297</v>
      </c>
      <c r="J10" s="2">
        <v>150</v>
      </c>
      <c r="K10" s="5">
        <f t="shared" si="1"/>
        <v>1.1826411790083258E-2</v>
      </c>
      <c r="L10" s="5">
        <f t="shared" si="2"/>
        <v>1.6102721165466072E-2</v>
      </c>
      <c r="M10" s="5">
        <f t="shared" si="3"/>
        <v>2.0694948419602954E-2</v>
      </c>
      <c r="N10" s="5">
        <f t="shared" si="4"/>
        <v>2.4878919151311796E-2</v>
      </c>
      <c r="O10" s="5">
        <f t="shared" si="5"/>
        <v>3.5461222670849279E-2</v>
      </c>
      <c r="P10" s="5">
        <f t="shared" si="6"/>
        <v>5.0826249694578607E-2</v>
      </c>
    </row>
    <row r="11" spans="1:16" x14ac:dyDescent="0.25">
      <c r="A11" s="2">
        <v>175</v>
      </c>
      <c r="B11" s="3">
        <v>14.9996466827326</v>
      </c>
      <c r="C11" s="3">
        <v>19.531360829288101</v>
      </c>
      <c r="D11" s="3">
        <v>24.2328196063294</v>
      </c>
      <c r="E11" s="3">
        <v>27.389882578796701</v>
      </c>
      <c r="F11" s="3">
        <v>34.965893661110798</v>
      </c>
      <c r="G11" s="3">
        <v>46.608857010842399</v>
      </c>
      <c r="J11" s="2">
        <v>175</v>
      </c>
      <c r="K11" s="5">
        <f t="shared" si="1"/>
        <v>1.3451605282654988E-2</v>
      </c>
      <c r="L11" s="5">
        <f t="shared" si="2"/>
        <v>1.7945579771857068E-2</v>
      </c>
      <c r="M11" s="5">
        <f t="shared" si="3"/>
        <v>2.2860070567178425E-2</v>
      </c>
      <c r="N11" s="5">
        <f t="shared" si="4"/>
        <v>2.6319599043201025E-2</v>
      </c>
      <c r="O11" s="5">
        <f t="shared" si="5"/>
        <v>3.5219690136114257E-2</v>
      </c>
      <c r="P11" s="5">
        <f t="shared" si="6"/>
        <v>5.0949982501981905E-2</v>
      </c>
    </row>
    <row r="12" spans="1:16" x14ac:dyDescent="0.25">
      <c r="A12" s="2">
        <v>200</v>
      </c>
      <c r="B12" s="3">
        <v>15.519320694084801</v>
      </c>
      <c r="C12" s="3">
        <v>20.654331277901399</v>
      </c>
      <c r="D12" s="3">
        <v>24.8789360913213</v>
      </c>
      <c r="E12" s="3">
        <v>28.462302070354902</v>
      </c>
      <c r="F12" s="3">
        <v>33.722389285826203</v>
      </c>
      <c r="G12" s="3">
        <v>42.719870839175698</v>
      </c>
      <c r="J12" s="2">
        <v>200</v>
      </c>
      <c r="K12" s="5">
        <f t="shared" si="1"/>
        <v>1.3955648104789775E-2</v>
      </c>
      <c r="L12" s="5">
        <f t="shared" si="2"/>
        <v>1.9095029116086404E-2</v>
      </c>
      <c r="M12" s="5">
        <f t="shared" si="3"/>
        <v>2.355719228936326E-2</v>
      </c>
      <c r="N12" s="5">
        <f t="shared" si="4"/>
        <v>2.7526191470045536E-2</v>
      </c>
      <c r="O12" s="5">
        <f t="shared" si="5"/>
        <v>3.3695718856740831E-2</v>
      </c>
      <c r="P12" s="5">
        <f t="shared" si="6"/>
        <v>4.5373105000075187E-2</v>
      </c>
    </row>
    <row r="18" spans="10:16" x14ac:dyDescent="0.25">
      <c r="J18" t="s">
        <v>7</v>
      </c>
    </row>
    <row r="19" spans="10:16" x14ac:dyDescent="0.25">
      <c r="J19" s="1" t="s">
        <v>0</v>
      </c>
      <c r="K19" s="1" t="s">
        <v>5</v>
      </c>
      <c r="L19" s="1" t="s">
        <v>6</v>
      </c>
      <c r="M19" s="1" t="s">
        <v>3</v>
      </c>
      <c r="N19" s="1" t="s">
        <v>2</v>
      </c>
      <c r="O19" s="1" t="s">
        <v>1</v>
      </c>
      <c r="P19" s="1" t="s">
        <v>4</v>
      </c>
    </row>
    <row r="20" spans="10:16" x14ac:dyDescent="0.25">
      <c r="J20" s="2">
        <v>-50</v>
      </c>
    </row>
    <row r="21" spans="10:16" x14ac:dyDescent="0.25">
      <c r="J21" s="2">
        <v>-25</v>
      </c>
      <c r="K21" s="5">
        <f t="shared" ref="K21:P22" si="7">K3-K$4</f>
        <v>-7.5850175540081999E-4</v>
      </c>
      <c r="L21" s="5">
        <f t="shared" si="7"/>
        <v>-5.1550874256400814E-4</v>
      </c>
      <c r="M21" s="5">
        <f t="shared" si="7"/>
        <v>-8.3267192029323756E-4</v>
      </c>
      <c r="N21" s="5">
        <f t="shared" si="7"/>
        <v>-9.6242632195253641E-4</v>
      </c>
      <c r="O21" s="5">
        <f t="shared" si="7"/>
        <v>-9.5853489756891896E-4</v>
      </c>
      <c r="P21" s="5">
        <f t="shared" si="7"/>
        <v>-1.286396214279617E-3</v>
      </c>
    </row>
    <row r="22" spans="10:16" x14ac:dyDescent="0.25">
      <c r="J22" s="2">
        <v>0</v>
      </c>
      <c r="K22" s="5">
        <f t="shared" si="7"/>
        <v>0</v>
      </c>
      <c r="L22" s="5">
        <f t="shared" si="7"/>
        <v>0</v>
      </c>
      <c r="M22" s="5">
        <f t="shared" si="7"/>
        <v>0</v>
      </c>
      <c r="N22" s="5">
        <f t="shared" si="7"/>
        <v>0</v>
      </c>
      <c r="O22" s="5">
        <f t="shared" si="7"/>
        <v>0</v>
      </c>
      <c r="P22" s="5">
        <f t="shared" si="7"/>
        <v>0</v>
      </c>
    </row>
    <row r="23" spans="10:16" x14ac:dyDescent="0.25">
      <c r="J23" s="2">
        <v>25</v>
      </c>
      <c r="K23" s="5">
        <f>K5-K$4</f>
        <v>6.588483622991248E-4</v>
      </c>
      <c r="L23" s="5">
        <f t="shared" ref="L23:P23" si="8">L5-L$4</f>
        <v>9.4221474479194711E-4</v>
      </c>
      <c r="M23" s="5">
        <f t="shared" si="8"/>
        <v>1.2180500087229928E-3</v>
      </c>
      <c r="N23" s="5">
        <f t="shared" si="8"/>
        <v>1.4826810353791853E-3</v>
      </c>
      <c r="O23" s="5">
        <f t="shared" si="8"/>
        <v>2.797011442096653E-3</v>
      </c>
      <c r="P23" s="5">
        <f t="shared" si="8"/>
        <v>4.165366084222577E-3</v>
      </c>
    </row>
    <row r="24" spans="10:16" x14ac:dyDescent="0.25">
      <c r="J24" s="2">
        <v>50</v>
      </c>
      <c r="K24" s="5">
        <f t="shared" ref="K24:P30" si="9">K6-K$4</f>
        <v>1.3278027507906964E-3</v>
      </c>
      <c r="L24" s="5">
        <f t="shared" si="9"/>
        <v>1.9788350850309389E-3</v>
      </c>
      <c r="M24" s="5">
        <f t="shared" si="9"/>
        <v>2.9700308431679368E-3</v>
      </c>
      <c r="N24" s="5">
        <f t="shared" si="9"/>
        <v>3.8345418138491238E-3</v>
      </c>
      <c r="O24" s="5">
        <f t="shared" si="9"/>
        <v>9.2225377604059355E-3</v>
      </c>
      <c r="P24" s="5">
        <f t="shared" si="9"/>
        <v>1.5197612207307531E-2</v>
      </c>
    </row>
    <row r="25" spans="10:16" x14ac:dyDescent="0.25">
      <c r="J25" s="2">
        <v>75</v>
      </c>
      <c r="K25" s="5">
        <f t="shared" si="9"/>
        <v>2.2034817455275357E-3</v>
      </c>
      <c r="L25" s="5">
        <f t="shared" si="9"/>
        <v>3.2645227679353184E-3</v>
      </c>
      <c r="M25" s="5">
        <f t="shared" si="9"/>
        <v>5.0332129924306468E-3</v>
      </c>
      <c r="N25" s="5">
        <f t="shared" si="9"/>
        <v>6.9766010482266161E-3</v>
      </c>
      <c r="O25" s="5">
        <f t="shared" si="9"/>
        <v>1.658812926699138E-2</v>
      </c>
      <c r="P25" s="5">
        <f t="shared" si="9"/>
        <v>2.8196093897775221E-2</v>
      </c>
    </row>
    <row r="26" spans="10:16" x14ac:dyDescent="0.25">
      <c r="J26" s="2">
        <v>100</v>
      </c>
      <c r="K26" s="5">
        <f t="shared" si="9"/>
        <v>3.3984772516771899E-3</v>
      </c>
      <c r="L26" s="5">
        <f t="shared" si="9"/>
        <v>5.2277047080176997E-3</v>
      </c>
      <c r="M26" s="5">
        <f t="shared" si="9"/>
        <v>8.4303277681526678E-3</v>
      </c>
      <c r="N26" s="5">
        <f t="shared" si="9"/>
        <v>1.1395063153340046E-2</v>
      </c>
      <c r="O26" s="5">
        <f t="shared" si="9"/>
        <v>2.4087725573056051E-2</v>
      </c>
      <c r="P26" s="5">
        <f t="shared" si="9"/>
        <v>3.8767993989267779E-2</v>
      </c>
    </row>
    <row r="27" spans="10:16" x14ac:dyDescent="0.25">
      <c r="J27" s="2">
        <v>125</v>
      </c>
      <c r="K27" s="5">
        <f t="shared" si="9"/>
        <v>4.8527212375393258E-3</v>
      </c>
      <c r="L27" s="5">
        <f t="shared" si="9"/>
        <v>7.8915050404994025E-3</v>
      </c>
      <c r="M27" s="5">
        <f t="shared" si="9"/>
        <v>1.2190066397837263E-2</v>
      </c>
      <c r="N27" s="5">
        <f t="shared" si="9"/>
        <v>1.6344819879634098E-2</v>
      </c>
      <c r="O27" s="5">
        <f t="shared" si="9"/>
        <v>2.7746509707954337E-2</v>
      </c>
      <c r="P27" s="5">
        <f t="shared" si="9"/>
        <v>4.4592125546531136E-2</v>
      </c>
    </row>
    <row r="28" spans="10:16" x14ac:dyDescent="0.25">
      <c r="J28" s="2">
        <v>150</v>
      </c>
      <c r="K28" s="5">
        <f t="shared" si="9"/>
        <v>6.0555118196062852E-3</v>
      </c>
      <c r="L28" s="5">
        <f t="shared" si="9"/>
        <v>1.0511818159721797E-2</v>
      </c>
      <c r="M28" s="5">
        <f t="shared" si="9"/>
        <v>1.5216873484869886E-2</v>
      </c>
      <c r="N28" s="5">
        <f t="shared" si="9"/>
        <v>1.9366842726424305E-2</v>
      </c>
      <c r="O28" s="5">
        <f t="shared" si="9"/>
        <v>3.0370132668363192E-2</v>
      </c>
      <c r="P28" s="5">
        <f t="shared" si="9"/>
        <v>4.5785482550060985E-2</v>
      </c>
    </row>
    <row r="29" spans="10:16" x14ac:dyDescent="0.25">
      <c r="J29" s="2">
        <v>175</v>
      </c>
      <c r="K29" s="5">
        <f t="shared" si="9"/>
        <v>7.6807053121780156E-3</v>
      </c>
      <c r="L29" s="5">
        <f t="shared" si="9"/>
        <v>1.2354676766112793E-2</v>
      </c>
      <c r="M29" s="5">
        <f t="shared" si="9"/>
        <v>1.7381995632445357E-2</v>
      </c>
      <c r="N29" s="5">
        <f t="shared" si="9"/>
        <v>2.0807522618313534E-2</v>
      </c>
      <c r="O29" s="5">
        <f t="shared" si="9"/>
        <v>3.0128600133628169E-2</v>
      </c>
      <c r="P29" s="5">
        <f t="shared" si="9"/>
        <v>4.5909215357464284E-2</v>
      </c>
    </row>
    <row r="30" spans="10:16" x14ac:dyDescent="0.25">
      <c r="J30" s="2">
        <v>200</v>
      </c>
      <c r="K30" s="5">
        <f t="shared" si="9"/>
        <v>8.1847481343128026E-3</v>
      </c>
      <c r="L30" s="5">
        <f t="shared" si="9"/>
        <v>1.350412611034213E-2</v>
      </c>
      <c r="M30" s="5">
        <f t="shared" si="9"/>
        <v>1.8079117354630192E-2</v>
      </c>
      <c r="N30" s="5">
        <f t="shared" si="9"/>
        <v>2.2014115045158045E-2</v>
      </c>
      <c r="O30" s="5">
        <f t="shared" si="9"/>
        <v>2.8604628854254743E-2</v>
      </c>
      <c r="P30" s="5">
        <f t="shared" si="9"/>
        <v>4.0332337855557565E-2</v>
      </c>
    </row>
    <row r="33" spans="9:16" x14ac:dyDescent="0.25">
      <c r="I33" t="s">
        <v>8</v>
      </c>
      <c r="J33" s="4">
        <v>1</v>
      </c>
      <c r="K33" t="s">
        <v>7</v>
      </c>
    </row>
    <row r="34" spans="9:16" x14ac:dyDescent="0.25">
      <c r="J34" s="1" t="s">
        <v>0</v>
      </c>
      <c r="K34" s="1" t="s">
        <v>5</v>
      </c>
      <c r="L34" s="1" t="s">
        <v>6</v>
      </c>
      <c r="M34" s="1" t="s">
        <v>3</v>
      </c>
      <c r="N34" s="1" t="s">
        <v>2</v>
      </c>
      <c r="O34" s="1" t="s">
        <v>1</v>
      </c>
      <c r="P34" s="1" t="s">
        <v>4</v>
      </c>
    </row>
    <row r="35" spans="9:16" x14ac:dyDescent="0.25">
      <c r="J35" s="2">
        <v>-50</v>
      </c>
      <c r="K35" s="5"/>
      <c r="L35" s="5"/>
      <c r="M35" s="5"/>
      <c r="N35" s="5"/>
      <c r="O35" s="5"/>
      <c r="P35" s="5"/>
    </row>
    <row r="36" spans="9:16" x14ac:dyDescent="0.25">
      <c r="J36" s="2">
        <v>-25</v>
      </c>
      <c r="K36" s="5">
        <f>K21*$J$33+K$4</f>
        <v>5.0123982150761526E-3</v>
      </c>
      <c r="L36" s="5">
        <f t="shared" ref="L36:P36" si="10">L21*$J$33+L$4</f>
        <v>5.0753942631802662E-3</v>
      </c>
      <c r="M36" s="5">
        <f t="shared" si="10"/>
        <v>4.6454030144398306E-3</v>
      </c>
      <c r="N36" s="5">
        <f t="shared" si="10"/>
        <v>4.5496501029349545E-3</v>
      </c>
      <c r="O36" s="5">
        <f t="shared" si="10"/>
        <v>4.1325551049171683E-3</v>
      </c>
      <c r="P36" s="5">
        <f t="shared" si="10"/>
        <v>3.7543709302380046E-3</v>
      </c>
    </row>
    <row r="37" spans="9:16" x14ac:dyDescent="0.25">
      <c r="J37" s="2">
        <v>0</v>
      </c>
      <c r="K37" s="5">
        <f t="shared" ref="K37:P37" si="11">K22*$J$33+K$4</f>
        <v>5.7708999704769726E-3</v>
      </c>
      <c r="L37" s="5">
        <f t="shared" si="11"/>
        <v>5.5909030057442743E-3</v>
      </c>
      <c r="M37" s="5">
        <f t="shared" si="11"/>
        <v>5.4780749347330682E-3</v>
      </c>
      <c r="N37" s="5">
        <f t="shared" si="11"/>
        <v>5.5120764248874909E-3</v>
      </c>
      <c r="O37" s="5">
        <f t="shared" si="11"/>
        <v>5.0910900024860872E-3</v>
      </c>
      <c r="P37" s="5">
        <f t="shared" si="11"/>
        <v>5.0407671445176216E-3</v>
      </c>
    </row>
    <row r="38" spans="9:16" x14ac:dyDescent="0.25">
      <c r="J38" s="2">
        <v>25</v>
      </c>
      <c r="K38" s="5">
        <f>K23*$J$33+K$4</f>
        <v>6.4297483327760974E-3</v>
      </c>
      <c r="L38" s="5">
        <f t="shared" ref="L38:P38" si="12">L23*$J$33+L$4</f>
        <v>6.5331177505362215E-3</v>
      </c>
      <c r="M38" s="5">
        <f t="shared" si="12"/>
        <v>6.696124943456061E-3</v>
      </c>
      <c r="N38" s="5">
        <f t="shared" si="12"/>
        <v>6.9947574602666762E-3</v>
      </c>
      <c r="O38" s="5">
        <f t="shared" si="12"/>
        <v>7.8881014445827402E-3</v>
      </c>
      <c r="P38" s="5">
        <f t="shared" si="12"/>
        <v>9.2061332287401987E-3</v>
      </c>
    </row>
    <row r="39" spans="9:16" x14ac:dyDescent="0.25">
      <c r="J39" s="2">
        <v>50</v>
      </c>
      <c r="K39" s="5">
        <f t="shared" ref="K39:P45" si="13">K24*$J$33+K$4</f>
        <v>7.098702721267669E-3</v>
      </c>
      <c r="L39" s="5">
        <f t="shared" si="13"/>
        <v>7.5697380907752132E-3</v>
      </c>
      <c r="M39" s="5">
        <f t="shared" si="13"/>
        <v>8.4481057779010049E-3</v>
      </c>
      <c r="N39" s="5">
        <f t="shared" si="13"/>
        <v>9.3466182387366148E-3</v>
      </c>
      <c r="O39" s="5">
        <f t="shared" si="13"/>
        <v>1.4313627762892023E-2</v>
      </c>
      <c r="P39" s="5">
        <f t="shared" si="13"/>
        <v>2.0238379351825153E-2</v>
      </c>
    </row>
    <row r="40" spans="9:16" x14ac:dyDescent="0.25">
      <c r="J40" s="2">
        <v>75</v>
      </c>
      <c r="K40" s="5">
        <f t="shared" si="13"/>
        <v>7.9743817160045083E-3</v>
      </c>
      <c r="L40" s="5">
        <f t="shared" si="13"/>
        <v>8.8554257736795927E-3</v>
      </c>
      <c r="M40" s="5">
        <f t="shared" si="13"/>
        <v>1.0511287927163715E-2</v>
      </c>
      <c r="N40" s="5">
        <f t="shared" si="13"/>
        <v>1.2488677473114107E-2</v>
      </c>
      <c r="O40" s="5">
        <f t="shared" si="13"/>
        <v>2.1679219269477468E-2</v>
      </c>
      <c r="P40" s="5">
        <f t="shared" si="13"/>
        <v>3.3236861042292842E-2</v>
      </c>
    </row>
    <row r="41" spans="9:16" x14ac:dyDescent="0.25">
      <c r="J41" s="2">
        <v>100</v>
      </c>
      <c r="K41" s="5">
        <f t="shared" si="13"/>
        <v>9.1693772221541625E-3</v>
      </c>
      <c r="L41" s="5">
        <f t="shared" si="13"/>
        <v>1.0818607713761974E-2</v>
      </c>
      <c r="M41" s="5">
        <f t="shared" si="13"/>
        <v>1.3908402702885736E-2</v>
      </c>
      <c r="N41" s="5">
        <f t="shared" si="13"/>
        <v>1.6907139578227537E-2</v>
      </c>
      <c r="O41" s="5">
        <f t="shared" si="13"/>
        <v>2.9178815575542139E-2</v>
      </c>
      <c r="P41" s="5">
        <f t="shared" si="13"/>
        <v>4.3808761133785401E-2</v>
      </c>
    </row>
    <row r="42" spans="9:16" x14ac:dyDescent="0.25">
      <c r="J42" s="2">
        <v>125</v>
      </c>
      <c r="K42" s="5">
        <f t="shared" si="13"/>
        <v>1.0623621208016298E-2</v>
      </c>
      <c r="L42" s="5">
        <f t="shared" si="13"/>
        <v>1.3482408046243677E-2</v>
      </c>
      <c r="M42" s="5">
        <f t="shared" si="13"/>
        <v>1.7668141332570331E-2</v>
      </c>
      <c r="N42" s="5">
        <f t="shared" si="13"/>
        <v>2.1856896304521589E-2</v>
      </c>
      <c r="O42" s="5">
        <f t="shared" si="13"/>
        <v>3.2837599710440424E-2</v>
      </c>
      <c r="P42" s="5">
        <f t="shared" si="13"/>
        <v>4.9632892691048758E-2</v>
      </c>
    </row>
    <row r="43" spans="9:16" x14ac:dyDescent="0.25">
      <c r="J43" s="2">
        <v>150</v>
      </c>
      <c r="K43" s="5">
        <f t="shared" si="13"/>
        <v>1.1826411790083258E-2</v>
      </c>
      <c r="L43" s="5">
        <f t="shared" si="13"/>
        <v>1.6102721165466072E-2</v>
      </c>
      <c r="M43" s="5">
        <f t="shared" si="13"/>
        <v>2.0694948419602954E-2</v>
      </c>
      <c r="N43" s="5">
        <f t="shared" si="13"/>
        <v>2.4878919151311796E-2</v>
      </c>
      <c r="O43" s="5">
        <f t="shared" si="13"/>
        <v>3.5461222670849279E-2</v>
      </c>
      <c r="P43" s="5">
        <f t="shared" si="13"/>
        <v>5.0826249694578607E-2</v>
      </c>
    </row>
    <row r="44" spans="9:16" x14ac:dyDescent="0.25">
      <c r="J44" s="2">
        <v>175</v>
      </c>
      <c r="K44" s="5">
        <f t="shared" si="13"/>
        <v>1.3451605282654988E-2</v>
      </c>
      <c r="L44" s="5">
        <f t="shared" si="13"/>
        <v>1.7945579771857068E-2</v>
      </c>
      <c r="M44" s="5">
        <f t="shared" si="13"/>
        <v>2.2860070567178425E-2</v>
      </c>
      <c r="N44" s="5">
        <f t="shared" si="13"/>
        <v>2.6319599043201025E-2</v>
      </c>
      <c r="O44" s="5">
        <f t="shared" si="13"/>
        <v>3.5219690136114257E-2</v>
      </c>
      <c r="P44" s="5">
        <f t="shared" si="13"/>
        <v>5.0949982501981905E-2</v>
      </c>
    </row>
    <row r="45" spans="9:16" x14ac:dyDescent="0.25">
      <c r="J45" s="2">
        <v>200</v>
      </c>
      <c r="K45" s="5">
        <f t="shared" si="13"/>
        <v>1.3955648104789775E-2</v>
      </c>
      <c r="L45" s="5">
        <f t="shared" si="13"/>
        <v>1.9095029116086404E-2</v>
      </c>
      <c r="M45" s="5">
        <f t="shared" si="13"/>
        <v>2.355719228936326E-2</v>
      </c>
      <c r="N45" s="5">
        <f t="shared" si="13"/>
        <v>2.7526191470045536E-2</v>
      </c>
      <c r="O45" s="5">
        <f t="shared" si="13"/>
        <v>3.3695718856740831E-2</v>
      </c>
      <c r="P45" s="5">
        <f t="shared" si="13"/>
        <v>4.5373105000075187E-2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</vt:lpstr>
      <vt:lpstr>standardized</vt:lpstr>
      <vt:lpstr>Raw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2018-05-21T22:44:40Z</dcterms:created>
  <dcterms:modified xsi:type="dcterms:W3CDTF">2018-05-22T14:36:09Z</dcterms:modified>
</cp:coreProperties>
</file>