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5875" windowHeight="19980"/>
  </bookViews>
  <sheets>
    <sheet name="Symph" sheetId="1" r:id="rId1"/>
    <sheet name="Model" sheetId="2" r:id="rId2"/>
  </sheets>
  <calcPr calcId="145621"/>
</workbook>
</file>

<file path=xl/calcChain.xml><?xml version="1.0" encoding="utf-8"?>
<calcChain xmlns="http://schemas.openxmlformats.org/spreadsheetml/2006/main">
  <c r="I4" i="2" l="1"/>
  <c r="E2" i="2" s="1"/>
  <c r="W7" i="1"/>
  <c r="W6" i="1"/>
  <c r="W5" i="1"/>
  <c r="W4" i="1"/>
  <c r="W3" i="1"/>
  <c r="X7" i="1"/>
  <c r="X6" i="1"/>
  <c r="X5" i="1"/>
  <c r="X4" i="1"/>
  <c r="X3" i="1"/>
  <c r="H4" i="2"/>
  <c r="B8" i="2" s="1"/>
  <c r="B33" i="2" l="1"/>
  <c r="B22" i="2"/>
  <c r="H7" i="2"/>
  <c r="B12" i="2"/>
  <c r="B20" i="2"/>
  <c r="D20" i="2" s="1"/>
  <c r="B27" i="2"/>
  <c r="B23" i="2"/>
  <c r="B14" i="2"/>
  <c r="D14" i="2" s="1"/>
  <c r="B5" i="2"/>
  <c r="B31" i="2"/>
  <c r="B13" i="2"/>
  <c r="B21" i="2"/>
  <c r="B2" i="2"/>
  <c r="B11" i="2"/>
  <c r="B28" i="2"/>
  <c r="B10" i="2"/>
  <c r="B18" i="2"/>
  <c r="B35" i="2"/>
  <c r="B26" i="2"/>
  <c r="D26" i="2" s="1"/>
  <c r="B17" i="2"/>
  <c r="B7" i="2"/>
  <c r="B4" i="2"/>
  <c r="B30" i="2"/>
  <c r="B3" i="2"/>
  <c r="B29" i="2"/>
  <c r="B37" i="2"/>
  <c r="B19" i="2"/>
  <c r="B36" i="2"/>
  <c r="B9" i="2"/>
  <c r="B34" i="2"/>
  <c r="B25" i="2"/>
  <c r="B15" i="2"/>
  <c r="B6" i="2"/>
  <c r="E3" i="2"/>
  <c r="E33" i="2"/>
  <c r="E34" i="2"/>
  <c r="E18" i="2"/>
  <c r="E25" i="2"/>
  <c r="E32" i="2"/>
  <c r="E8" i="2"/>
  <c r="E31" i="2"/>
  <c r="E7" i="2"/>
  <c r="E30" i="2"/>
  <c r="E6" i="2"/>
  <c r="E37" i="2"/>
  <c r="E29" i="2"/>
  <c r="E21" i="2"/>
  <c r="E13" i="2"/>
  <c r="E5" i="2"/>
  <c r="E17" i="2"/>
  <c r="E16" i="2"/>
  <c r="E23" i="2"/>
  <c r="E14" i="2"/>
  <c r="E36" i="2"/>
  <c r="E28" i="2"/>
  <c r="E20" i="2"/>
  <c r="E12" i="2"/>
  <c r="E4" i="2"/>
  <c r="E26" i="2"/>
  <c r="E10" i="2"/>
  <c r="E9" i="2"/>
  <c r="E24" i="2"/>
  <c r="I7" i="2"/>
  <c r="E15" i="2"/>
  <c r="E22" i="2"/>
  <c r="E35" i="2"/>
  <c r="E27" i="2"/>
  <c r="E19" i="2"/>
  <c r="E11" i="2"/>
  <c r="B32" i="2"/>
  <c r="B24" i="2"/>
  <c r="B16" i="2"/>
</calcChain>
</file>

<file path=xl/sharedStrings.xml><?xml version="1.0" encoding="utf-8"?>
<sst xmlns="http://schemas.openxmlformats.org/spreadsheetml/2006/main" count="61" uniqueCount="22">
  <si>
    <t>Row Labels</t>
  </si>
  <si>
    <t>act</t>
  </si>
  <si>
    <t>mdl</t>
  </si>
  <si>
    <t>LLB</t>
  </si>
  <si>
    <t>AVG_LOANSIZE_SCHAMBALANCE</t>
  </si>
  <si>
    <t>MLB</t>
  </si>
  <si>
    <t>HLB</t>
  </si>
  <si>
    <t>HHLB</t>
  </si>
  <si>
    <t>417K</t>
  </si>
  <si>
    <t>Loan Size</t>
  </si>
  <si>
    <t>minWACLS</t>
  </si>
  <si>
    <t>conv30WACLS</t>
  </si>
  <si>
    <t>conversionFact</t>
  </si>
  <si>
    <t>fixedRefiCosts</t>
  </si>
  <si>
    <t>Prod</t>
  </si>
  <si>
    <t>costMaxWACLS</t>
  </si>
  <si>
    <t>LS</t>
  </si>
  <si>
    <t>Adj</t>
  </si>
  <si>
    <t>Symph</t>
  </si>
  <si>
    <t>Target</t>
  </si>
  <si>
    <t>Dev</t>
  </si>
  <si>
    <t>half of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</si>
</sst>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horizontal="left"/>
    </xf>
    <xf numFmtId="43" fontId="0" fillId="0" borderId="0" xfId="0" applyNumberFormat="1"/>
    <xf numFmtId="164" fontId="0" fillId="0" borderId="0" xfId="0" applyNumberFormat="1"/>
    <xf numFmtId="1" fontId="0" fillId="0" borderId="0" xfId="0" applyNumberFormat="1"/>
    <xf numFmtId="166" fontId="0" fillId="0" borderId="0" xfId="1" applyNumberFormat="1" applyFont="1"/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Symph!$G$2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Symph!$F$3:$F$18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Symph!$G$3:$G$18</c:f>
              <c:numCache>
                <c:formatCode>_(* #,##0.00_);_(* \(#,##0.00\);_(* "-"??_);_(@_)</c:formatCode>
                <c:ptCount val="16"/>
                <c:pt idx="0">
                  <c:v>0.19055956495843701</c:v>
                </c:pt>
                <c:pt idx="1">
                  <c:v>0.489711521941183</c:v>
                </c:pt>
                <c:pt idx="2">
                  <c:v>7.9249402775772451</c:v>
                </c:pt>
                <c:pt idx="3">
                  <c:v>2.80221960137112</c:v>
                </c:pt>
                <c:pt idx="4">
                  <c:v>4.3278325805657953</c:v>
                </c:pt>
                <c:pt idx="5">
                  <c:v>6.4205887115967695</c:v>
                </c:pt>
                <c:pt idx="6">
                  <c:v>7.1066821577339603</c:v>
                </c:pt>
                <c:pt idx="7">
                  <c:v>7.6363952888494699</c:v>
                </c:pt>
                <c:pt idx="8">
                  <c:v>8.251168911620109</c:v>
                </c:pt>
                <c:pt idx="9">
                  <c:v>9.0175549401829862</c:v>
                </c:pt>
                <c:pt idx="10">
                  <c:v>9.873932263795016</c:v>
                </c:pt>
                <c:pt idx="11">
                  <c:v>10.880292847015999</c:v>
                </c:pt>
                <c:pt idx="12">
                  <c:v>12.151226826776899</c:v>
                </c:pt>
                <c:pt idx="13">
                  <c:v>13.416459503678549</c:v>
                </c:pt>
                <c:pt idx="14">
                  <c:v>14.843112810355549</c:v>
                </c:pt>
                <c:pt idx="15">
                  <c:v>15.78318466318315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Symph!$H$2</c:f>
              <c:strCache>
                <c:ptCount val="1"/>
                <c:pt idx="0">
                  <c:v>mdl</c:v>
                </c:pt>
              </c:strCache>
            </c:strRef>
          </c:tx>
          <c:marker>
            <c:symbol val="none"/>
          </c:marker>
          <c:cat>
            <c:numRef>
              <c:f>Symph!$F$3:$F$18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Symph!$H$3:$H$18</c:f>
              <c:numCache>
                <c:formatCode>_(* #,##0.00_);_(* \(#,##0.00\);_(* "-"??_);_(@_)</c:formatCode>
                <c:ptCount val="16"/>
                <c:pt idx="2">
                  <c:v>6.7680867093393102</c:v>
                </c:pt>
                <c:pt idx="3">
                  <c:v>8.5066155247943414</c:v>
                </c:pt>
                <c:pt idx="4">
                  <c:v>8.3560869292166249</c:v>
                </c:pt>
                <c:pt idx="5">
                  <c:v>8.8453147282222808</c:v>
                </c:pt>
                <c:pt idx="6">
                  <c:v>8.3765216274042196</c:v>
                </c:pt>
                <c:pt idx="7">
                  <c:v>7.8967072190559602</c:v>
                </c:pt>
                <c:pt idx="8">
                  <c:v>8.2478943911881011</c:v>
                </c:pt>
                <c:pt idx="9">
                  <c:v>9.0657624507707801</c:v>
                </c:pt>
                <c:pt idx="10">
                  <c:v>9.8566750757448141</c:v>
                </c:pt>
                <c:pt idx="11">
                  <c:v>10.692662754417821</c:v>
                </c:pt>
                <c:pt idx="12">
                  <c:v>11.79372207650135</c:v>
                </c:pt>
                <c:pt idx="13">
                  <c:v>13.7728613619042</c:v>
                </c:pt>
                <c:pt idx="14">
                  <c:v>15.891420956737651</c:v>
                </c:pt>
                <c:pt idx="15">
                  <c:v>17.48482704080585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409600"/>
        <c:axId val="66411136"/>
      </c:lineChart>
      <c:catAx>
        <c:axId val="66409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6411136"/>
        <c:crosses val="autoZero"/>
        <c:auto val="1"/>
        <c:lblAlgn val="ctr"/>
        <c:lblOffset val="100"/>
        <c:noMultiLvlLbl val="0"/>
      </c:catAx>
      <c:valAx>
        <c:axId val="66411136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664096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Symph!$G$2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Symph!$F$25:$F$40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Symph!$G$25:$G$40</c:f>
              <c:numCache>
                <c:formatCode>_(* #,##0.00_);_(* \(#,##0.00\);_(* "-"??_);_(@_)</c:formatCode>
                <c:ptCount val="16"/>
                <c:pt idx="0">
                  <c:v>4.5822204178392001E-2</c:v>
                </c:pt>
                <c:pt idx="1">
                  <c:v>1.46768257544531</c:v>
                </c:pt>
                <c:pt idx="2">
                  <c:v>1.6870261661926214</c:v>
                </c:pt>
                <c:pt idx="3">
                  <c:v>1.769024216477826</c:v>
                </c:pt>
                <c:pt idx="4">
                  <c:v>4.9850650278326549</c:v>
                </c:pt>
                <c:pt idx="5">
                  <c:v>5.9355574544613701</c:v>
                </c:pt>
                <c:pt idx="6">
                  <c:v>6.8495287413133452</c:v>
                </c:pt>
                <c:pt idx="7">
                  <c:v>7.2841305800828051</c:v>
                </c:pt>
                <c:pt idx="8">
                  <c:v>8.4448432659290749</c:v>
                </c:pt>
                <c:pt idx="9">
                  <c:v>9.4599395967324966</c:v>
                </c:pt>
                <c:pt idx="10">
                  <c:v>10.6416546430693</c:v>
                </c:pt>
                <c:pt idx="11">
                  <c:v>12.355023858274549</c:v>
                </c:pt>
                <c:pt idx="12">
                  <c:v>14.590864375895549</c:v>
                </c:pt>
                <c:pt idx="13">
                  <c:v>17.014848148192101</c:v>
                </c:pt>
                <c:pt idx="14">
                  <c:v>18.8781282731644</c:v>
                </c:pt>
                <c:pt idx="15">
                  <c:v>20.372877785402899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Symph!$H$2</c:f>
              <c:strCache>
                <c:ptCount val="1"/>
                <c:pt idx="0">
                  <c:v>mdl</c:v>
                </c:pt>
              </c:strCache>
            </c:strRef>
          </c:tx>
          <c:marker>
            <c:symbol val="none"/>
          </c:marker>
          <c:cat>
            <c:numRef>
              <c:f>Symph!$F$25:$F$40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Symph!$H$25:$H$40</c:f>
              <c:numCache>
                <c:formatCode>_(* #,##0.00_);_(* \(#,##0.00\);_(* "-"??_);_(@_)</c:formatCode>
                <c:ptCount val="16"/>
                <c:pt idx="1">
                  <c:v>6.0053622643464903</c:v>
                </c:pt>
                <c:pt idx="2">
                  <c:v>6.5781111941189305</c:v>
                </c:pt>
                <c:pt idx="3">
                  <c:v>6.5772494805115507</c:v>
                </c:pt>
                <c:pt idx="4">
                  <c:v>7.5528188606523408</c:v>
                </c:pt>
                <c:pt idx="5">
                  <c:v>7.2856476234367102</c:v>
                </c:pt>
                <c:pt idx="6">
                  <c:v>7.1043312653135207</c:v>
                </c:pt>
                <c:pt idx="7">
                  <c:v>7.5833799714117998</c:v>
                </c:pt>
                <c:pt idx="8">
                  <c:v>8.4734838312490499</c:v>
                </c:pt>
                <c:pt idx="9">
                  <c:v>9.4873898448060299</c:v>
                </c:pt>
                <c:pt idx="10">
                  <c:v>10.73753150264702</c:v>
                </c:pt>
                <c:pt idx="11">
                  <c:v>12.6776528123782</c:v>
                </c:pt>
                <c:pt idx="12">
                  <c:v>15.50688915690305</c:v>
                </c:pt>
                <c:pt idx="13">
                  <c:v>17.884013905937948</c:v>
                </c:pt>
                <c:pt idx="14">
                  <c:v>19.674228115845001</c:v>
                </c:pt>
                <c:pt idx="15">
                  <c:v>20.756401236678698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309312"/>
        <c:axId val="257315200"/>
      </c:lineChart>
      <c:catAx>
        <c:axId val="257309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7315200"/>
        <c:crosses val="autoZero"/>
        <c:auto val="1"/>
        <c:lblAlgn val="ctr"/>
        <c:lblOffset val="100"/>
        <c:noMultiLvlLbl val="0"/>
      </c:catAx>
      <c:valAx>
        <c:axId val="257315200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573093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Symph!$G$2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Symph!$F$46:$F$61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Symph!$G$46:$G$61</c:f>
              <c:numCache>
                <c:formatCode>_(* #,##0.00_);_(* \(#,##0.00\);_(* "-"??_);_(@_)</c:formatCode>
                <c:ptCount val="16"/>
                <c:pt idx="0">
                  <c:v>1.29006406477615E-2</c:v>
                </c:pt>
                <c:pt idx="1">
                  <c:v>0.15606026930797851</c:v>
                </c:pt>
                <c:pt idx="2">
                  <c:v>2.2452427229904481</c:v>
                </c:pt>
                <c:pt idx="3">
                  <c:v>3.6206050728714949</c:v>
                </c:pt>
                <c:pt idx="4">
                  <c:v>4.39015330242984</c:v>
                </c:pt>
                <c:pt idx="5">
                  <c:v>5.7104961901599598</c:v>
                </c:pt>
                <c:pt idx="6">
                  <c:v>6.59011819062321</c:v>
                </c:pt>
                <c:pt idx="7">
                  <c:v>7.3068581040427301</c:v>
                </c:pt>
                <c:pt idx="8">
                  <c:v>8.6038944275325644</c:v>
                </c:pt>
                <c:pt idx="9">
                  <c:v>10.278402950905384</c:v>
                </c:pt>
                <c:pt idx="10">
                  <c:v>12.09764786539945</c:v>
                </c:pt>
                <c:pt idx="11">
                  <c:v>14.675029029511649</c:v>
                </c:pt>
                <c:pt idx="12">
                  <c:v>17.697044974124097</c:v>
                </c:pt>
                <c:pt idx="13">
                  <c:v>20.6878455585246</c:v>
                </c:pt>
                <c:pt idx="14">
                  <c:v>22.791932067207149</c:v>
                </c:pt>
                <c:pt idx="15">
                  <c:v>24.07489016409885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Symph!$H$2</c:f>
              <c:strCache>
                <c:ptCount val="1"/>
                <c:pt idx="0">
                  <c:v>mdl</c:v>
                </c:pt>
              </c:strCache>
            </c:strRef>
          </c:tx>
          <c:marker>
            <c:symbol val="none"/>
          </c:marker>
          <c:cat>
            <c:numRef>
              <c:f>Symph!$F$46:$F$61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Symph!$H$46:$H$61</c:f>
              <c:numCache>
                <c:formatCode>_(* #,##0.00_);_(* \(#,##0.00\);_(* "-"??_);_(@_)</c:formatCode>
                <c:ptCount val="16"/>
                <c:pt idx="1">
                  <c:v>6.6995527572650904</c:v>
                </c:pt>
                <c:pt idx="2">
                  <c:v>6.9997836596876954</c:v>
                </c:pt>
                <c:pt idx="3">
                  <c:v>6.2953439823075446</c:v>
                </c:pt>
                <c:pt idx="4">
                  <c:v>6.6480020399815754</c:v>
                </c:pt>
                <c:pt idx="5">
                  <c:v>6.3896863987952752</c:v>
                </c:pt>
                <c:pt idx="6">
                  <c:v>6.382757032402985</c:v>
                </c:pt>
                <c:pt idx="7">
                  <c:v>6.9729239699430652</c:v>
                </c:pt>
                <c:pt idx="8">
                  <c:v>7.9115599614460352</c:v>
                </c:pt>
                <c:pt idx="9">
                  <c:v>9.1519094745012453</c:v>
                </c:pt>
                <c:pt idx="10">
                  <c:v>10.92302118565755</c:v>
                </c:pt>
                <c:pt idx="11">
                  <c:v>13.6431578779037</c:v>
                </c:pt>
                <c:pt idx="12">
                  <c:v>17.011789152776451</c:v>
                </c:pt>
                <c:pt idx="13">
                  <c:v>19.535935923664802</c:v>
                </c:pt>
                <c:pt idx="14">
                  <c:v>21.5797358422166</c:v>
                </c:pt>
                <c:pt idx="15">
                  <c:v>22.656877929662951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541376"/>
        <c:axId val="275575936"/>
      </c:lineChart>
      <c:catAx>
        <c:axId val="27554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5575936"/>
        <c:crosses val="autoZero"/>
        <c:auto val="1"/>
        <c:lblAlgn val="ctr"/>
        <c:lblOffset val="100"/>
        <c:noMultiLvlLbl val="0"/>
      </c:catAx>
      <c:valAx>
        <c:axId val="275575936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755413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Symph!$G$2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Symph!$F$67:$F$82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Symph!$G$67:$G$82</c:f>
              <c:numCache>
                <c:formatCode>_(* #,##0.00_);_(* \(#,##0.00\);_(* "-"??_);_(@_)</c:formatCode>
                <c:ptCount val="16"/>
                <c:pt idx="0">
                  <c:v>0.121346516273213</c:v>
                </c:pt>
                <c:pt idx="1">
                  <c:v>0.18583828720350998</c:v>
                </c:pt>
                <c:pt idx="2">
                  <c:v>2.6726145730301774</c:v>
                </c:pt>
                <c:pt idx="3">
                  <c:v>1.680380255345072</c:v>
                </c:pt>
                <c:pt idx="4">
                  <c:v>4.6116134102958402</c:v>
                </c:pt>
                <c:pt idx="5">
                  <c:v>5.6108464588010403</c:v>
                </c:pt>
                <c:pt idx="6">
                  <c:v>6.4970357675743706</c:v>
                </c:pt>
                <c:pt idx="7">
                  <c:v>7.4058349421979592</c:v>
                </c:pt>
                <c:pt idx="8">
                  <c:v>8.7459751488305955</c:v>
                </c:pt>
                <c:pt idx="9">
                  <c:v>10.964516175749552</c:v>
                </c:pt>
                <c:pt idx="10">
                  <c:v>13.480185792576201</c:v>
                </c:pt>
                <c:pt idx="11">
                  <c:v>16.695733260262699</c:v>
                </c:pt>
                <c:pt idx="12">
                  <c:v>20.440609095827401</c:v>
                </c:pt>
                <c:pt idx="13">
                  <c:v>23.922155462174302</c:v>
                </c:pt>
                <c:pt idx="14">
                  <c:v>25.677167017769598</c:v>
                </c:pt>
                <c:pt idx="15">
                  <c:v>27.435871093074351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Symph!$H$2</c:f>
              <c:strCache>
                <c:ptCount val="1"/>
                <c:pt idx="0">
                  <c:v>mdl</c:v>
                </c:pt>
              </c:strCache>
            </c:strRef>
          </c:tx>
          <c:marker>
            <c:symbol val="none"/>
          </c:marker>
          <c:cat>
            <c:numRef>
              <c:f>Symph!$F$67:$F$82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Symph!$H$67:$H$82</c:f>
              <c:numCache>
                <c:formatCode>_(* #,##0.00_);_(* \(#,##0.00\);_(* "-"??_);_(@_)</c:formatCode>
                <c:ptCount val="16"/>
                <c:pt idx="0">
                  <c:v>5.2935947949256201</c:v>
                </c:pt>
                <c:pt idx="1">
                  <c:v>5.3498756155593892</c:v>
                </c:pt>
                <c:pt idx="2">
                  <c:v>5.7067047068633601</c:v>
                </c:pt>
                <c:pt idx="3">
                  <c:v>6.3300920647555801</c:v>
                </c:pt>
                <c:pt idx="4">
                  <c:v>6.0226047529474602</c:v>
                </c:pt>
                <c:pt idx="5">
                  <c:v>5.9801330944226496</c:v>
                </c:pt>
                <c:pt idx="6">
                  <c:v>6.5695713022577653</c:v>
                </c:pt>
                <c:pt idx="7">
                  <c:v>7.5136150175838008</c:v>
                </c:pt>
                <c:pt idx="8">
                  <c:v>8.9417052632068703</c:v>
                </c:pt>
                <c:pt idx="9">
                  <c:v>11.214233146841149</c:v>
                </c:pt>
                <c:pt idx="10">
                  <c:v>14.589310171413452</c:v>
                </c:pt>
                <c:pt idx="11">
                  <c:v>18.380887190883698</c:v>
                </c:pt>
                <c:pt idx="12">
                  <c:v>21.0464986564943</c:v>
                </c:pt>
                <c:pt idx="13">
                  <c:v>23.348933028241451</c:v>
                </c:pt>
                <c:pt idx="14">
                  <c:v>24.494005585480949</c:v>
                </c:pt>
                <c:pt idx="15">
                  <c:v>24.9748792897988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020416"/>
        <c:axId val="255288064"/>
      </c:lineChart>
      <c:catAx>
        <c:axId val="253020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5288064"/>
        <c:crosses val="autoZero"/>
        <c:auto val="1"/>
        <c:lblAlgn val="ctr"/>
        <c:lblOffset val="100"/>
        <c:noMultiLvlLbl val="0"/>
      </c:catAx>
      <c:valAx>
        <c:axId val="25528806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530204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Symph!$G$2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Symph!$F$88:$F$103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Symph!$G$88:$G$103</c:f>
              <c:numCache>
                <c:formatCode>_(* #,##0.00_);_(* \(#,##0.00\);_(* "-"??_);_(@_)</c:formatCode>
                <c:ptCount val="16"/>
                <c:pt idx="0">
                  <c:v>1.776161323827455</c:v>
                </c:pt>
                <c:pt idx="1">
                  <c:v>2.0966878910230693</c:v>
                </c:pt>
                <c:pt idx="2">
                  <c:v>11.274984470710059</c:v>
                </c:pt>
                <c:pt idx="3">
                  <c:v>5.5985534501260457</c:v>
                </c:pt>
                <c:pt idx="4">
                  <c:v>3.5466871238070201</c:v>
                </c:pt>
                <c:pt idx="5">
                  <c:v>4.4716656127322949</c:v>
                </c:pt>
                <c:pt idx="6">
                  <c:v>5.6446282282277505</c:v>
                </c:pt>
                <c:pt idx="7">
                  <c:v>6.6942611860063455</c:v>
                </c:pt>
                <c:pt idx="8">
                  <c:v>9.2815054718753487</c:v>
                </c:pt>
                <c:pt idx="9">
                  <c:v>14.369746815013151</c:v>
                </c:pt>
                <c:pt idx="10">
                  <c:v>19.52683904609485</c:v>
                </c:pt>
                <c:pt idx="11">
                  <c:v>24.314549513352048</c:v>
                </c:pt>
                <c:pt idx="12">
                  <c:v>27.789747629531</c:v>
                </c:pt>
                <c:pt idx="13">
                  <c:v>31.326222104979202</c:v>
                </c:pt>
                <c:pt idx="14">
                  <c:v>32.318240280840946</c:v>
                </c:pt>
                <c:pt idx="15">
                  <c:v>32.325286769212099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Symph!$H$2</c:f>
              <c:strCache>
                <c:ptCount val="1"/>
                <c:pt idx="0">
                  <c:v>mdl</c:v>
                </c:pt>
              </c:strCache>
            </c:strRef>
          </c:tx>
          <c:marker>
            <c:symbol val="none"/>
          </c:marker>
          <c:cat>
            <c:numRef>
              <c:f>Symph!$F$88:$F$103</c:f>
              <c:numCache>
                <c:formatCode>General</c:formatCode>
                <c:ptCount val="16"/>
                <c:pt idx="0">
                  <c:v>-200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  <c:pt idx="15">
                  <c:v>200</c:v>
                </c:pt>
              </c:numCache>
            </c:numRef>
          </c:cat>
          <c:val>
            <c:numRef>
              <c:f>Symph!$H$88:$H$103</c:f>
              <c:numCache>
                <c:formatCode>_(* #,##0.00_);_(* \(#,##0.00\);_(* "-"??_);_(@_)</c:formatCode>
                <c:ptCount val="16"/>
                <c:pt idx="0">
                  <c:v>6.9549009292574855</c:v>
                </c:pt>
                <c:pt idx="1">
                  <c:v>5.7831832892474653</c:v>
                </c:pt>
                <c:pt idx="2">
                  <c:v>5.8877015449539902</c:v>
                </c:pt>
                <c:pt idx="3">
                  <c:v>5.8828646856118203</c:v>
                </c:pt>
                <c:pt idx="4">
                  <c:v>5.3273431392796349</c:v>
                </c:pt>
                <c:pt idx="5">
                  <c:v>5.3368477267456349</c:v>
                </c:pt>
                <c:pt idx="6">
                  <c:v>6.1712747457206945</c:v>
                </c:pt>
                <c:pt idx="7">
                  <c:v>7.3022817943167349</c:v>
                </c:pt>
                <c:pt idx="8">
                  <c:v>9.438508188910756</c:v>
                </c:pt>
                <c:pt idx="9">
                  <c:v>13.42475227907175</c:v>
                </c:pt>
                <c:pt idx="10">
                  <c:v>18.454633704660353</c:v>
                </c:pt>
                <c:pt idx="11">
                  <c:v>23.089898452836401</c:v>
                </c:pt>
                <c:pt idx="12">
                  <c:v>26.08405712371605</c:v>
                </c:pt>
                <c:pt idx="13">
                  <c:v>28.995565418630651</c:v>
                </c:pt>
                <c:pt idx="14">
                  <c:v>30.0424127126747</c:v>
                </c:pt>
                <c:pt idx="15">
                  <c:v>30.096866711390351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4127616"/>
        <c:axId val="284129152"/>
      </c:lineChart>
      <c:catAx>
        <c:axId val="284127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4129152"/>
        <c:crosses val="autoZero"/>
        <c:auto val="1"/>
        <c:lblAlgn val="ctr"/>
        <c:lblOffset val="100"/>
        <c:noMultiLvlLbl val="0"/>
      </c:catAx>
      <c:valAx>
        <c:axId val="284129152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84127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Model!$B$1</c:f>
              <c:strCache>
                <c:ptCount val="1"/>
                <c:pt idx="0">
                  <c:v>Prod</c:v>
                </c:pt>
              </c:strCache>
            </c:strRef>
          </c:tx>
          <c:cat>
            <c:numRef>
              <c:f>Model!$A$2:$A$38</c:f>
              <c:numCache>
                <c:formatCode>General</c:formatCode>
                <c:ptCount val="3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</c:numCache>
            </c:numRef>
          </c:cat>
          <c:val>
            <c:numRef>
              <c:f>Model!$B$2:$B$38</c:f>
              <c:numCache>
                <c:formatCode>_(* #,##0_);_(* \(#,##0\);_(* "-"??_);_(@_)</c:formatCode>
                <c:ptCount val="37"/>
                <c:pt idx="0">
                  <c:v>2485.7142857142858</c:v>
                </c:pt>
                <c:pt idx="1">
                  <c:v>485.71428571428572</c:v>
                </c:pt>
                <c:pt idx="2">
                  <c:v>235.71428571428572</c:v>
                </c:pt>
                <c:pt idx="3">
                  <c:v>152.38095238095238</c:v>
                </c:pt>
                <c:pt idx="4">
                  <c:v>110.71428571428572</c:v>
                </c:pt>
                <c:pt idx="5">
                  <c:v>85.714285714285722</c:v>
                </c:pt>
                <c:pt idx="6">
                  <c:v>69.047619047619051</c:v>
                </c:pt>
                <c:pt idx="7">
                  <c:v>57.142857142857146</c:v>
                </c:pt>
                <c:pt idx="8">
                  <c:v>48.214285714285722</c:v>
                </c:pt>
                <c:pt idx="9">
                  <c:v>41.269841269841272</c:v>
                </c:pt>
                <c:pt idx="10">
                  <c:v>35.714285714285715</c:v>
                </c:pt>
                <c:pt idx="11">
                  <c:v>31.168831168831169</c:v>
                </c:pt>
                <c:pt idx="12">
                  <c:v>27.380952380952383</c:v>
                </c:pt>
                <c:pt idx="13">
                  <c:v>24.175824175824179</c:v>
                </c:pt>
                <c:pt idx="14">
                  <c:v>21.428571428571427</c:v>
                </c:pt>
                <c:pt idx="15">
                  <c:v>19.047619047619051</c:v>
                </c:pt>
                <c:pt idx="16">
                  <c:v>16.964285714285715</c:v>
                </c:pt>
                <c:pt idx="17">
                  <c:v>15.126050420168067</c:v>
                </c:pt>
                <c:pt idx="18">
                  <c:v>13.492063492063494</c:v>
                </c:pt>
                <c:pt idx="19">
                  <c:v>12.030075187969924</c:v>
                </c:pt>
                <c:pt idx="20">
                  <c:v>10.714285714285715</c:v>
                </c:pt>
                <c:pt idx="21">
                  <c:v>9.5238095238095255</c:v>
                </c:pt>
                <c:pt idx="22">
                  <c:v>8.4415584415584402</c:v>
                </c:pt>
                <c:pt idx="23">
                  <c:v>7.4534161490683228</c:v>
                </c:pt>
                <c:pt idx="24">
                  <c:v>6.5476190476190474</c:v>
                </c:pt>
                <c:pt idx="25">
                  <c:v>5.7142857142857144</c:v>
                </c:pt>
                <c:pt idx="26">
                  <c:v>4.9450549450549461</c:v>
                </c:pt>
                <c:pt idx="27">
                  <c:v>4.2328042328042335</c:v>
                </c:pt>
                <c:pt idx="28">
                  <c:v>3.5714285714285707</c:v>
                </c:pt>
                <c:pt idx="29">
                  <c:v>2.9556650246305418</c:v>
                </c:pt>
                <c:pt idx="30">
                  <c:v>2.3809523809523818</c:v>
                </c:pt>
                <c:pt idx="31">
                  <c:v>1.8433179723502304</c:v>
                </c:pt>
                <c:pt idx="32">
                  <c:v>1.3392857142857151</c:v>
                </c:pt>
                <c:pt idx="33">
                  <c:v>0.86580086580086579</c:v>
                </c:pt>
                <c:pt idx="34">
                  <c:v>0.42016806722689054</c:v>
                </c:pt>
                <c:pt idx="3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Model!$E$1</c:f>
              <c:strCache>
                <c:ptCount val="1"/>
                <c:pt idx="0">
                  <c:v>Dev</c:v>
                </c:pt>
              </c:strCache>
            </c:strRef>
          </c:tx>
          <c:cat>
            <c:numRef>
              <c:f>Model!$A$2:$A$38</c:f>
              <c:numCache>
                <c:formatCode>General</c:formatCode>
                <c:ptCount val="37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</c:numCache>
            </c:numRef>
          </c:cat>
          <c:val>
            <c:numRef>
              <c:f>Model!$E$2:$E$38</c:f>
              <c:numCache>
                <c:formatCode>_(* #,##0_);_(* \(#,##0\);_(* "-"??_);_(@_)</c:formatCode>
                <c:ptCount val="37"/>
                <c:pt idx="0">
                  <c:v>7457.1428571428578</c:v>
                </c:pt>
                <c:pt idx="1">
                  <c:v>1457.1428571428571</c:v>
                </c:pt>
                <c:pt idx="2">
                  <c:v>707.14285714285722</c:v>
                </c:pt>
                <c:pt idx="3">
                  <c:v>457.14285714285717</c:v>
                </c:pt>
                <c:pt idx="4">
                  <c:v>332.14285714285717</c:v>
                </c:pt>
                <c:pt idx="5">
                  <c:v>257.14285714285717</c:v>
                </c:pt>
                <c:pt idx="6">
                  <c:v>207.14285714285714</c:v>
                </c:pt>
                <c:pt idx="7">
                  <c:v>171.42857142857142</c:v>
                </c:pt>
                <c:pt idx="8">
                  <c:v>144.64285714285717</c:v>
                </c:pt>
                <c:pt idx="9">
                  <c:v>123.80952380952382</c:v>
                </c:pt>
                <c:pt idx="10">
                  <c:v>107.14285714285715</c:v>
                </c:pt>
                <c:pt idx="11">
                  <c:v>93.506493506493513</c:v>
                </c:pt>
                <c:pt idx="12">
                  <c:v>82.142857142857153</c:v>
                </c:pt>
                <c:pt idx="13">
                  <c:v>72.52747252747254</c:v>
                </c:pt>
                <c:pt idx="14">
                  <c:v>64.285714285714278</c:v>
                </c:pt>
                <c:pt idx="15">
                  <c:v>57.142857142857146</c:v>
                </c:pt>
                <c:pt idx="16">
                  <c:v>50.892857142857146</c:v>
                </c:pt>
                <c:pt idx="17">
                  <c:v>45.378151260504204</c:v>
                </c:pt>
                <c:pt idx="18">
                  <c:v>40.476190476190482</c:v>
                </c:pt>
                <c:pt idx="19">
                  <c:v>36.090225563909776</c:v>
                </c:pt>
                <c:pt idx="20">
                  <c:v>32.142857142857146</c:v>
                </c:pt>
                <c:pt idx="21">
                  <c:v>28.571428571428577</c:v>
                </c:pt>
                <c:pt idx="22">
                  <c:v>25.324675324675322</c:v>
                </c:pt>
                <c:pt idx="23">
                  <c:v>22.36024844720497</c:v>
                </c:pt>
                <c:pt idx="24">
                  <c:v>19.642857142857142</c:v>
                </c:pt>
                <c:pt idx="25">
                  <c:v>17.142857142857146</c:v>
                </c:pt>
                <c:pt idx="26">
                  <c:v>14.835164835164838</c:v>
                </c:pt>
                <c:pt idx="27">
                  <c:v>12.698412698412701</c:v>
                </c:pt>
                <c:pt idx="28">
                  <c:v>10.714285714285714</c:v>
                </c:pt>
                <c:pt idx="29">
                  <c:v>8.8669950738916246</c:v>
                </c:pt>
                <c:pt idx="30">
                  <c:v>7.1428571428571459</c:v>
                </c:pt>
                <c:pt idx="31">
                  <c:v>5.5299539170506913</c:v>
                </c:pt>
                <c:pt idx="32">
                  <c:v>4.0178571428571459</c:v>
                </c:pt>
                <c:pt idx="33">
                  <c:v>2.5974025974025974</c:v>
                </c:pt>
                <c:pt idx="34">
                  <c:v>1.2605042016806718</c:v>
                </c:pt>
                <c:pt idx="3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81984"/>
        <c:axId val="129883520"/>
      </c:lineChart>
      <c:catAx>
        <c:axId val="129881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883520"/>
        <c:crosses val="autoZero"/>
        <c:auto val="1"/>
        <c:lblAlgn val="ctr"/>
        <c:lblOffset val="100"/>
        <c:noMultiLvlLbl val="0"/>
      </c:catAx>
      <c:valAx>
        <c:axId val="12988352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1298819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590549</xdr:colOff>
      <xdr:row>1</xdr:row>
      <xdr:rowOff>47625</xdr:rowOff>
    </xdr:from>
    <xdr:to>
      <xdr:col>20</xdr:col>
      <xdr:colOff>276224</xdr:colOff>
      <xdr:row>17</xdr:row>
      <xdr:rowOff>171451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590549</xdr:colOff>
      <xdr:row>23</xdr:row>
      <xdr:rowOff>47625</xdr:rowOff>
    </xdr:from>
    <xdr:to>
      <xdr:col>20</xdr:col>
      <xdr:colOff>276224</xdr:colOff>
      <xdr:row>40</xdr:row>
      <xdr:rowOff>19051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590549</xdr:colOff>
      <xdr:row>44</xdr:row>
      <xdr:rowOff>47625</xdr:rowOff>
    </xdr:from>
    <xdr:to>
      <xdr:col>20</xdr:col>
      <xdr:colOff>276224</xdr:colOff>
      <xdr:row>61</xdr:row>
      <xdr:rowOff>19051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590549</xdr:colOff>
      <xdr:row>65</xdr:row>
      <xdr:rowOff>47625</xdr:rowOff>
    </xdr:from>
    <xdr:to>
      <xdr:col>20</xdr:col>
      <xdr:colOff>276224</xdr:colOff>
      <xdr:row>82</xdr:row>
      <xdr:rowOff>19051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590549</xdr:colOff>
      <xdr:row>86</xdr:row>
      <xdr:rowOff>47625</xdr:rowOff>
    </xdr:from>
    <xdr:to>
      <xdr:col>20</xdr:col>
      <xdr:colOff>276224</xdr:colOff>
      <xdr:row>103</xdr:row>
      <xdr:rowOff>19051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8</xdr:row>
      <xdr:rowOff>85725</xdr:rowOff>
    </xdr:from>
    <xdr:to>
      <xdr:col>20</xdr:col>
      <xdr:colOff>323850</xdr:colOff>
      <xdr:row>29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3"/>
  <sheetViews>
    <sheetView tabSelected="1" workbookViewId="0">
      <selection activeCell="W32" sqref="W32"/>
    </sheetView>
  </sheetViews>
  <sheetFormatPr defaultRowHeight="15" x14ac:dyDescent="0.25"/>
  <cols>
    <col min="4" max="4" width="27" customWidth="1"/>
    <col min="23" max="23" width="11.5703125" bestFit="1" customWidth="1"/>
  </cols>
  <sheetData>
    <row r="1" spans="1:24" x14ac:dyDescent="0.25">
      <c r="A1" t="s">
        <v>3</v>
      </c>
    </row>
    <row r="2" spans="1:24" x14ac:dyDescent="0.25">
      <c r="A2" s="1" t="s">
        <v>0</v>
      </c>
      <c r="B2" s="1" t="s">
        <v>1</v>
      </c>
      <c r="C2" s="1" t="s">
        <v>2</v>
      </c>
      <c r="D2" s="1" t="s">
        <v>4</v>
      </c>
      <c r="F2" s="1"/>
      <c r="G2" s="1" t="s">
        <v>1</v>
      </c>
      <c r="H2" s="1" t="s">
        <v>2</v>
      </c>
      <c r="I2">
        <v>50</v>
      </c>
      <c r="W2" t="s">
        <v>16</v>
      </c>
      <c r="X2" t="s">
        <v>17</v>
      </c>
    </row>
    <row r="3" spans="1:24" x14ac:dyDescent="0.25">
      <c r="A3" s="2">
        <v>-200</v>
      </c>
      <c r="B3" s="3">
        <v>0.19055956495843701</v>
      </c>
      <c r="C3" s="3">
        <v>6.7680867093393102</v>
      </c>
      <c r="D3" s="3">
        <v>61809.436699999998</v>
      </c>
      <c r="F3" s="2">
        <v>-200</v>
      </c>
      <c r="G3" s="3">
        <v>0.19055956495843701</v>
      </c>
      <c r="H3" s="3"/>
      <c r="V3" t="s">
        <v>3</v>
      </c>
      <c r="W3" s="3">
        <f>AVERAGE(D3:D18)/1000</f>
        <v>60.123267126991912</v>
      </c>
      <c r="X3">
        <f>I2</f>
        <v>50</v>
      </c>
    </row>
    <row r="4" spans="1:24" x14ac:dyDescent="0.25">
      <c r="A4" s="2">
        <v>-150</v>
      </c>
      <c r="B4" s="3">
        <v>0.489711521941183</v>
      </c>
      <c r="C4" s="3">
        <v>8.5066155247943414</v>
      </c>
      <c r="D4" s="3">
        <v>54465.017900390594</v>
      </c>
      <c r="F4" s="2">
        <v>-150</v>
      </c>
      <c r="G4" s="3">
        <v>0.489711521941183</v>
      </c>
      <c r="H4" s="3"/>
      <c r="V4" t="s">
        <v>5</v>
      </c>
      <c r="W4" s="3">
        <f>AVERAGE(D25:D40)/1000</f>
        <v>90.732464091503218</v>
      </c>
      <c r="X4">
        <f>I24</f>
        <v>30</v>
      </c>
    </row>
    <row r="5" spans="1:24" x14ac:dyDescent="0.25">
      <c r="A5" s="2">
        <v>-125</v>
      </c>
      <c r="B5" s="3">
        <v>7.9249402775772451</v>
      </c>
      <c r="C5" s="3">
        <v>8.3560869292166249</v>
      </c>
      <c r="D5" s="3">
        <v>56822.625310307201</v>
      </c>
      <c r="F5" s="2">
        <v>-125</v>
      </c>
      <c r="G5" s="3">
        <v>7.9249402775772451</v>
      </c>
      <c r="H5" s="3">
        <v>6.7680867093393102</v>
      </c>
      <c r="V5" t="s">
        <v>6</v>
      </c>
      <c r="W5" s="3">
        <f>AVERAGE(D46:D61)/1000</f>
        <v>118.82012412325578</v>
      </c>
      <c r="X5">
        <f>I45</f>
        <v>12</v>
      </c>
    </row>
    <row r="6" spans="1:24" x14ac:dyDescent="0.25">
      <c r="A6" s="2">
        <v>-100</v>
      </c>
      <c r="B6" s="3">
        <v>2.80221960137112</v>
      </c>
      <c r="C6" s="3">
        <v>8.8453147282222808</v>
      </c>
      <c r="D6" s="3">
        <v>60323.6555576916</v>
      </c>
      <c r="F6" s="2">
        <v>-100</v>
      </c>
      <c r="G6" s="3">
        <v>2.80221960137112</v>
      </c>
      <c r="H6" s="3">
        <v>8.5066155247943414</v>
      </c>
      <c r="V6" t="s">
        <v>7</v>
      </c>
      <c r="W6" s="3">
        <f>AVERAGE(D67:D82)/1000</f>
        <v>149.91229751869457</v>
      </c>
      <c r="X6">
        <f>I66</f>
        <v>0</v>
      </c>
    </row>
    <row r="7" spans="1:24" x14ac:dyDescent="0.25">
      <c r="A7" s="2">
        <v>-75</v>
      </c>
      <c r="B7" s="3">
        <v>4.3278325805657953</v>
      </c>
      <c r="C7" s="3">
        <v>8.3765216274042196</v>
      </c>
      <c r="D7" s="3">
        <v>61526.474836482404</v>
      </c>
      <c r="F7" s="2">
        <v>-75</v>
      </c>
      <c r="G7" s="3">
        <v>4.3278325805657953</v>
      </c>
      <c r="H7" s="3">
        <v>8.3560869292166249</v>
      </c>
      <c r="V7" t="s">
        <v>8</v>
      </c>
      <c r="W7" s="3">
        <f>AVERAGE(D88:D103)/1000</f>
        <v>242.69755188820932</v>
      </c>
      <c r="X7">
        <f>I87</f>
        <v>0</v>
      </c>
    </row>
    <row r="8" spans="1:24" x14ac:dyDescent="0.25">
      <c r="A8" s="2">
        <v>-50</v>
      </c>
      <c r="B8" s="3">
        <v>6.4205887115967695</v>
      </c>
      <c r="C8" s="3">
        <v>7.8967072190559602</v>
      </c>
      <c r="D8" s="3">
        <v>61869.175873865199</v>
      </c>
      <c r="F8" s="2">
        <v>-50</v>
      </c>
      <c r="G8" s="3">
        <v>6.4205887115967695</v>
      </c>
      <c r="H8" s="3">
        <v>8.8453147282222808</v>
      </c>
    </row>
    <row r="9" spans="1:24" x14ac:dyDescent="0.25">
      <c r="A9" s="2">
        <v>-25</v>
      </c>
      <c r="B9" s="3">
        <v>7.1066821577339603</v>
      </c>
      <c r="C9" s="3">
        <v>8.2478943911881011</v>
      </c>
      <c r="D9" s="3">
        <v>62090.523659861705</v>
      </c>
      <c r="F9" s="2">
        <v>-25</v>
      </c>
      <c r="G9" s="3">
        <v>7.1066821577339603</v>
      </c>
      <c r="H9" s="3">
        <v>8.3765216274042196</v>
      </c>
    </row>
    <row r="10" spans="1:24" x14ac:dyDescent="0.25">
      <c r="A10" s="2">
        <v>0</v>
      </c>
      <c r="B10" s="3">
        <v>7.6363952888494699</v>
      </c>
      <c r="C10" s="3">
        <v>9.0657624507707801</v>
      </c>
      <c r="D10" s="3">
        <v>62081.121198545545</v>
      </c>
      <c r="F10" s="2">
        <v>0</v>
      </c>
      <c r="G10" s="3">
        <v>7.6363952888494699</v>
      </c>
      <c r="H10" s="3">
        <v>7.8967072190559602</v>
      </c>
    </row>
    <row r="11" spans="1:24" x14ac:dyDescent="0.25">
      <c r="A11" s="2">
        <v>25</v>
      </c>
      <c r="B11" s="3">
        <v>8.251168911620109</v>
      </c>
      <c r="C11" s="3">
        <v>9.8566750757448141</v>
      </c>
      <c r="D11" s="3">
        <v>61747.704708179299</v>
      </c>
      <c r="F11" s="2">
        <v>25</v>
      </c>
      <c r="G11" s="3">
        <v>8.251168911620109</v>
      </c>
      <c r="H11" s="3">
        <v>8.2478943911881011</v>
      </c>
    </row>
    <row r="12" spans="1:24" x14ac:dyDescent="0.25">
      <c r="A12" s="2">
        <v>50</v>
      </c>
      <c r="B12" s="3">
        <v>9.0175549401829862</v>
      </c>
      <c r="C12" s="3">
        <v>10.692662754417821</v>
      </c>
      <c r="D12" s="3">
        <v>61498.603548454004</v>
      </c>
      <c r="F12" s="2">
        <v>50</v>
      </c>
      <c r="G12" s="3">
        <v>9.0175549401829862</v>
      </c>
      <c r="H12" s="3">
        <v>9.0657624507707801</v>
      </c>
    </row>
    <row r="13" spans="1:24" x14ac:dyDescent="0.25">
      <c r="A13" s="2">
        <v>75</v>
      </c>
      <c r="B13" s="3">
        <v>9.873932263795016</v>
      </c>
      <c r="C13" s="3">
        <v>11.79372207650135</v>
      </c>
      <c r="D13" s="3">
        <v>61250.835673434747</v>
      </c>
      <c r="F13" s="2">
        <v>75</v>
      </c>
      <c r="G13" s="3">
        <v>9.873932263795016</v>
      </c>
      <c r="H13" s="3">
        <v>9.8566750757448141</v>
      </c>
    </row>
    <row r="14" spans="1:24" x14ac:dyDescent="0.25">
      <c r="A14" s="2">
        <v>100</v>
      </c>
      <c r="B14" s="3">
        <v>10.880292847015999</v>
      </c>
      <c r="C14" s="3">
        <v>13.7728613619042</v>
      </c>
      <c r="D14" s="3">
        <v>60740.037165635251</v>
      </c>
      <c r="F14" s="2">
        <v>100</v>
      </c>
      <c r="G14" s="3">
        <v>10.880292847015999</v>
      </c>
      <c r="H14" s="3">
        <v>10.692662754417821</v>
      </c>
    </row>
    <row r="15" spans="1:24" x14ac:dyDescent="0.25">
      <c r="A15" s="2">
        <v>125</v>
      </c>
      <c r="B15" s="3">
        <v>12.151226826776899</v>
      </c>
      <c r="C15" s="3">
        <v>15.891420956737651</v>
      </c>
      <c r="D15" s="3">
        <v>60135.225824838199</v>
      </c>
      <c r="F15" s="2">
        <v>125</v>
      </c>
      <c r="G15" s="3">
        <v>12.151226826776899</v>
      </c>
      <c r="H15" s="3">
        <v>11.79372207650135</v>
      </c>
    </row>
    <row r="16" spans="1:24" x14ac:dyDescent="0.25">
      <c r="A16" s="2">
        <v>150</v>
      </c>
      <c r="B16" s="3">
        <v>13.416459503678549</v>
      </c>
      <c r="C16" s="3">
        <v>17.48482704080585</v>
      </c>
      <c r="D16" s="3">
        <v>59469.479909020301</v>
      </c>
      <c r="F16" s="2">
        <v>150</v>
      </c>
      <c r="G16" s="3">
        <v>13.416459503678549</v>
      </c>
      <c r="H16" s="3">
        <v>13.7728613619042</v>
      </c>
    </row>
    <row r="17" spans="1:9" x14ac:dyDescent="0.25">
      <c r="A17" s="2">
        <v>175</v>
      </c>
      <c r="B17" s="3">
        <v>14.843112810355549</v>
      </c>
      <c r="C17" s="3">
        <v>18.398826504074648</v>
      </c>
      <c r="D17" s="3">
        <v>58572.361894445748</v>
      </c>
      <c r="F17" s="2">
        <v>175</v>
      </c>
      <c r="G17" s="3">
        <v>14.843112810355549</v>
      </c>
      <c r="H17" s="3">
        <v>15.891420956737651</v>
      </c>
    </row>
    <row r="18" spans="1:9" x14ac:dyDescent="0.25">
      <c r="A18" s="2">
        <v>200</v>
      </c>
      <c r="B18" s="3">
        <v>15.78318466318315</v>
      </c>
      <c r="C18" s="3">
        <v>19.02782373653725</v>
      </c>
      <c r="D18" s="3">
        <v>57569.994270718802</v>
      </c>
      <c r="F18" s="2">
        <v>200</v>
      </c>
      <c r="G18" s="3">
        <v>15.78318466318315</v>
      </c>
      <c r="H18" s="3">
        <v>17.48482704080585</v>
      </c>
    </row>
    <row r="19" spans="1:9" x14ac:dyDescent="0.25">
      <c r="H19" s="3">
        <v>18.398826504074648</v>
      </c>
    </row>
    <row r="20" spans="1:9" x14ac:dyDescent="0.25">
      <c r="H20" s="3">
        <v>19.02782373653725</v>
      </c>
    </row>
    <row r="23" spans="1:9" x14ac:dyDescent="0.25">
      <c r="A23" t="s">
        <v>5</v>
      </c>
    </row>
    <row r="24" spans="1:9" x14ac:dyDescent="0.25">
      <c r="A24" s="1" t="s">
        <v>0</v>
      </c>
      <c r="B24" s="1" t="s">
        <v>1</v>
      </c>
      <c r="C24" s="1" t="s">
        <v>2</v>
      </c>
      <c r="D24" s="1" t="s">
        <v>4</v>
      </c>
      <c r="F24" s="1"/>
      <c r="G24" s="1" t="s">
        <v>1</v>
      </c>
      <c r="H24" s="1" t="s">
        <v>2</v>
      </c>
      <c r="I24">
        <v>30</v>
      </c>
    </row>
    <row r="25" spans="1:9" x14ac:dyDescent="0.25">
      <c r="A25" s="2">
        <v>-200</v>
      </c>
      <c r="B25" s="3">
        <v>4.5822204178392001E-2</v>
      </c>
      <c r="C25" s="3">
        <v>6.0053622643464903</v>
      </c>
      <c r="D25" s="3">
        <v>94239.176600000006</v>
      </c>
      <c r="F25" s="2">
        <v>-200</v>
      </c>
      <c r="G25" s="3">
        <v>4.5822204178392001E-2</v>
      </c>
      <c r="H25" s="3"/>
    </row>
    <row r="26" spans="1:9" x14ac:dyDescent="0.25">
      <c r="A26" s="2">
        <v>-150</v>
      </c>
      <c r="B26" s="3">
        <v>1.46768257544531</v>
      </c>
      <c r="C26" s="3">
        <v>6.5781111941189305</v>
      </c>
      <c r="D26" s="3">
        <v>93736.976822784811</v>
      </c>
      <c r="F26" s="2">
        <v>-150</v>
      </c>
      <c r="G26" s="3">
        <v>1.46768257544531</v>
      </c>
      <c r="H26" s="3">
        <v>6.0053622643464903</v>
      </c>
    </row>
    <row r="27" spans="1:9" x14ac:dyDescent="0.25">
      <c r="A27" s="2">
        <v>-125</v>
      </c>
      <c r="B27" s="3">
        <v>1.6870261661926214</v>
      </c>
      <c r="C27" s="3">
        <v>6.5772494805115507</v>
      </c>
      <c r="D27" s="3">
        <v>92887.813188972592</v>
      </c>
      <c r="F27" s="2">
        <v>-125</v>
      </c>
      <c r="G27" s="3">
        <v>1.6870261661926214</v>
      </c>
      <c r="H27" s="3">
        <v>6.5781111941189305</v>
      </c>
    </row>
    <row r="28" spans="1:9" x14ac:dyDescent="0.25">
      <c r="A28" s="2">
        <v>-100</v>
      </c>
      <c r="B28" s="3">
        <v>1.769024216477826</v>
      </c>
      <c r="C28" s="3">
        <v>7.5528188606523408</v>
      </c>
      <c r="D28" s="3">
        <v>91953.006124654697</v>
      </c>
      <c r="F28" s="2">
        <v>-100</v>
      </c>
      <c r="G28" s="3">
        <v>1.769024216477826</v>
      </c>
      <c r="H28" s="3">
        <v>6.5772494805115507</v>
      </c>
    </row>
    <row r="29" spans="1:9" x14ac:dyDescent="0.25">
      <c r="A29" s="2">
        <v>-75</v>
      </c>
      <c r="B29" s="3">
        <v>4.9850650278326549</v>
      </c>
      <c r="C29" s="3">
        <v>7.2856476234367102</v>
      </c>
      <c r="D29" s="3">
        <v>90736.058134456704</v>
      </c>
      <c r="F29" s="2">
        <v>-75</v>
      </c>
      <c r="G29" s="3">
        <v>4.9850650278326549</v>
      </c>
      <c r="H29" s="3">
        <v>7.5528188606523408</v>
      </c>
    </row>
    <row r="30" spans="1:9" x14ac:dyDescent="0.25">
      <c r="A30" s="2">
        <v>-50</v>
      </c>
      <c r="B30" s="3">
        <v>5.9355574544613701</v>
      </c>
      <c r="C30" s="3">
        <v>7.1043312653135207</v>
      </c>
      <c r="D30" s="3">
        <v>90327.751130770703</v>
      </c>
      <c r="F30" s="2">
        <v>-50</v>
      </c>
      <c r="G30" s="3">
        <v>5.9355574544613701</v>
      </c>
      <c r="H30" s="3">
        <v>7.2856476234367102</v>
      </c>
    </row>
    <row r="31" spans="1:9" x14ac:dyDescent="0.25">
      <c r="A31" s="2">
        <v>-25</v>
      </c>
      <c r="B31" s="3">
        <v>6.8495287413133452</v>
      </c>
      <c r="C31" s="3">
        <v>7.5833799714117998</v>
      </c>
      <c r="D31" s="3">
        <v>90059.160958888504</v>
      </c>
      <c r="F31" s="2">
        <v>-25</v>
      </c>
      <c r="G31" s="3">
        <v>6.8495287413133452</v>
      </c>
      <c r="H31" s="3">
        <v>7.1043312653135207</v>
      </c>
    </row>
    <row r="32" spans="1:9" x14ac:dyDescent="0.25">
      <c r="A32" s="2">
        <v>0</v>
      </c>
      <c r="B32" s="3">
        <v>7.2841305800828051</v>
      </c>
      <c r="C32" s="3">
        <v>8.4734838312490499</v>
      </c>
      <c r="D32" s="3">
        <v>90044.150656242549</v>
      </c>
      <c r="F32" s="2">
        <v>0</v>
      </c>
      <c r="G32" s="3">
        <v>7.2841305800828051</v>
      </c>
      <c r="H32" s="3">
        <v>7.5833799714117998</v>
      </c>
    </row>
    <row r="33" spans="1:9" x14ac:dyDescent="0.25">
      <c r="A33" s="2">
        <v>25</v>
      </c>
      <c r="B33" s="3">
        <v>8.4448432659290749</v>
      </c>
      <c r="C33" s="3">
        <v>9.4873898448060299</v>
      </c>
      <c r="D33" s="3">
        <v>90357.943292192009</v>
      </c>
      <c r="F33" s="2">
        <v>25</v>
      </c>
      <c r="G33" s="3">
        <v>8.4448432659290749</v>
      </c>
      <c r="H33" s="3">
        <v>8.4734838312490499</v>
      </c>
    </row>
    <row r="34" spans="1:9" x14ac:dyDescent="0.25">
      <c r="A34" s="2">
        <v>50</v>
      </c>
      <c r="B34" s="3">
        <v>9.4599395967324966</v>
      </c>
      <c r="C34" s="3">
        <v>10.73753150264702</v>
      </c>
      <c r="D34" s="3">
        <v>90576.500275057246</v>
      </c>
      <c r="F34" s="2">
        <v>50</v>
      </c>
      <c r="G34" s="3">
        <v>9.4599395967324966</v>
      </c>
      <c r="H34" s="3">
        <v>9.4873898448060299</v>
      </c>
    </row>
    <row r="35" spans="1:9" x14ac:dyDescent="0.25">
      <c r="A35" s="2">
        <v>75</v>
      </c>
      <c r="B35" s="3">
        <v>10.6416546430693</v>
      </c>
      <c r="C35" s="3">
        <v>12.6776528123782</v>
      </c>
      <c r="D35" s="3">
        <v>90456.356226092801</v>
      </c>
      <c r="F35" s="2">
        <v>75</v>
      </c>
      <c r="G35" s="3">
        <v>10.6416546430693</v>
      </c>
      <c r="H35" s="3">
        <v>10.73753150264702</v>
      </c>
    </row>
    <row r="36" spans="1:9" x14ac:dyDescent="0.25">
      <c r="A36" s="2">
        <v>100</v>
      </c>
      <c r="B36" s="3">
        <v>12.355023858274549</v>
      </c>
      <c r="C36" s="3">
        <v>15.50688915690305</v>
      </c>
      <c r="D36" s="3">
        <v>89914.112028084695</v>
      </c>
      <c r="F36" s="2">
        <v>100</v>
      </c>
      <c r="G36" s="3">
        <v>12.355023858274549</v>
      </c>
      <c r="H36" s="3">
        <v>12.6776528123782</v>
      </c>
    </row>
    <row r="37" spans="1:9" x14ac:dyDescent="0.25">
      <c r="A37" s="2">
        <v>125</v>
      </c>
      <c r="B37" s="3">
        <v>14.590864375895549</v>
      </c>
      <c r="C37" s="3">
        <v>17.884013905937948</v>
      </c>
      <c r="D37" s="3">
        <v>89417.68304473476</v>
      </c>
      <c r="F37" s="2">
        <v>125</v>
      </c>
      <c r="G37" s="3">
        <v>14.590864375895549</v>
      </c>
      <c r="H37" s="3">
        <v>15.50688915690305</v>
      </c>
    </row>
    <row r="38" spans="1:9" x14ac:dyDescent="0.25">
      <c r="A38" s="2">
        <v>150</v>
      </c>
      <c r="B38" s="3">
        <v>17.014848148192101</v>
      </c>
      <c r="C38" s="3">
        <v>19.674228115845001</v>
      </c>
      <c r="D38" s="3">
        <v>89148.741722682607</v>
      </c>
      <c r="F38" s="2">
        <v>150</v>
      </c>
      <c r="G38" s="3">
        <v>17.014848148192101</v>
      </c>
      <c r="H38" s="3">
        <v>17.884013905937948</v>
      </c>
    </row>
    <row r="39" spans="1:9" x14ac:dyDescent="0.25">
      <c r="A39" s="2">
        <v>175</v>
      </c>
      <c r="B39" s="3">
        <v>18.8781282731644</v>
      </c>
      <c r="C39" s="3">
        <v>20.756401236678698</v>
      </c>
      <c r="D39" s="3">
        <v>88963.112089822156</v>
      </c>
      <c r="F39" s="2">
        <v>175</v>
      </c>
      <c r="G39" s="3">
        <v>18.8781282731644</v>
      </c>
      <c r="H39" s="3">
        <v>19.674228115845001</v>
      </c>
    </row>
    <row r="40" spans="1:9" x14ac:dyDescent="0.25">
      <c r="A40" s="2">
        <v>200</v>
      </c>
      <c r="B40" s="3">
        <v>20.372877785402899</v>
      </c>
      <c r="C40" s="3">
        <v>21.408369667023251</v>
      </c>
      <c r="D40" s="3">
        <v>88900.883168614702</v>
      </c>
      <c r="F40" s="2">
        <v>200</v>
      </c>
      <c r="G40" s="3">
        <v>20.372877785402899</v>
      </c>
      <c r="H40" s="3">
        <v>20.756401236678698</v>
      </c>
    </row>
    <row r="41" spans="1:9" x14ac:dyDescent="0.25">
      <c r="H41" s="3">
        <v>21.408369667023251</v>
      </c>
    </row>
    <row r="42" spans="1:9" x14ac:dyDescent="0.25">
      <c r="H42" s="3"/>
    </row>
    <row r="44" spans="1:9" x14ac:dyDescent="0.25">
      <c r="A44" t="s">
        <v>6</v>
      </c>
      <c r="I44" t="s">
        <v>21</v>
      </c>
    </row>
    <row r="45" spans="1:9" x14ac:dyDescent="0.25">
      <c r="A45" s="1" t="s">
        <v>0</v>
      </c>
      <c r="B45" s="1" t="s">
        <v>1</v>
      </c>
      <c r="C45" s="1" t="s">
        <v>2</v>
      </c>
      <c r="D45" s="1" t="s">
        <v>4</v>
      </c>
      <c r="F45" s="1"/>
      <c r="G45" s="1" t="s">
        <v>1</v>
      </c>
      <c r="H45" s="1" t="s">
        <v>2</v>
      </c>
      <c r="I45">
        <v>12</v>
      </c>
    </row>
    <row r="46" spans="1:9" x14ac:dyDescent="0.25">
      <c r="A46" s="2">
        <v>-200</v>
      </c>
      <c r="B46" s="3">
        <v>1.29006406477615E-2</v>
      </c>
      <c r="C46" s="3">
        <v>6.6995527572650904</v>
      </c>
      <c r="D46" s="3">
        <v>116158.16203125</v>
      </c>
      <c r="F46" s="2">
        <v>-200</v>
      </c>
      <c r="G46" s="3">
        <v>1.29006406477615E-2</v>
      </c>
      <c r="H46" s="3"/>
    </row>
    <row r="47" spans="1:9" x14ac:dyDescent="0.25">
      <c r="A47" s="2">
        <v>-150</v>
      </c>
      <c r="B47" s="3">
        <v>0.15606026930797851</v>
      </c>
      <c r="C47" s="3">
        <v>6.9997836596876954</v>
      </c>
      <c r="D47" s="3">
        <v>117182.012213394</v>
      </c>
      <c r="F47" s="2">
        <v>-150</v>
      </c>
      <c r="G47" s="3">
        <v>0.15606026930797851</v>
      </c>
      <c r="H47" s="3">
        <v>6.6995527572650904</v>
      </c>
    </row>
    <row r="48" spans="1:9" x14ac:dyDescent="0.25">
      <c r="A48" s="2">
        <v>-125</v>
      </c>
      <c r="B48" s="3">
        <v>2.2452427229904481</v>
      </c>
      <c r="C48" s="3">
        <v>6.2953439823075446</v>
      </c>
      <c r="D48" s="3">
        <v>118403.6831653745</v>
      </c>
      <c r="F48" s="2">
        <v>-125</v>
      </c>
      <c r="G48" s="3">
        <v>2.2452427229904481</v>
      </c>
      <c r="H48" s="3">
        <v>6.9997836596876954</v>
      </c>
    </row>
    <row r="49" spans="1:8" x14ac:dyDescent="0.25">
      <c r="A49" s="2">
        <v>-100</v>
      </c>
      <c r="B49" s="3">
        <v>3.6206050728714949</v>
      </c>
      <c r="C49" s="3">
        <v>6.6480020399815754</v>
      </c>
      <c r="D49" s="3">
        <v>120243.57982327949</v>
      </c>
      <c r="F49" s="2">
        <v>-100</v>
      </c>
      <c r="G49" s="3">
        <v>3.6206050728714949</v>
      </c>
      <c r="H49" s="3">
        <v>6.2953439823075446</v>
      </c>
    </row>
    <row r="50" spans="1:8" x14ac:dyDescent="0.25">
      <c r="A50" s="2">
        <v>-75</v>
      </c>
      <c r="B50" s="3">
        <v>4.39015330242984</v>
      </c>
      <c r="C50" s="3">
        <v>6.3896863987952752</v>
      </c>
      <c r="D50" s="3">
        <v>119935.3835599155</v>
      </c>
      <c r="F50" s="2">
        <v>-75</v>
      </c>
      <c r="G50" s="3">
        <v>4.39015330242984</v>
      </c>
      <c r="H50" s="3">
        <v>6.6480020399815754</v>
      </c>
    </row>
    <row r="51" spans="1:8" x14ac:dyDescent="0.25">
      <c r="A51" s="2">
        <v>-50</v>
      </c>
      <c r="B51" s="3">
        <v>5.7104961901599598</v>
      </c>
      <c r="C51" s="3">
        <v>6.382757032402985</v>
      </c>
      <c r="D51" s="3">
        <v>119798.276817718</v>
      </c>
      <c r="F51" s="2">
        <v>-50</v>
      </c>
      <c r="G51" s="3">
        <v>5.7104961901599598</v>
      </c>
      <c r="H51" s="3">
        <v>6.3896863987952752</v>
      </c>
    </row>
    <row r="52" spans="1:8" x14ac:dyDescent="0.25">
      <c r="A52" s="2">
        <v>-25</v>
      </c>
      <c r="B52" s="3">
        <v>6.59011819062321</v>
      </c>
      <c r="C52" s="3">
        <v>6.9729239699430652</v>
      </c>
      <c r="D52" s="3">
        <v>119498.74525772</v>
      </c>
      <c r="F52" s="2">
        <v>-25</v>
      </c>
      <c r="G52" s="3">
        <v>6.59011819062321</v>
      </c>
      <c r="H52" s="3">
        <v>6.382757032402985</v>
      </c>
    </row>
    <row r="53" spans="1:8" x14ac:dyDescent="0.25">
      <c r="A53" s="2">
        <v>0</v>
      </c>
      <c r="B53" s="3">
        <v>7.3068581040427301</v>
      </c>
      <c r="C53" s="3">
        <v>7.9115599614460352</v>
      </c>
      <c r="D53" s="3">
        <v>119454.59484017349</v>
      </c>
      <c r="F53" s="2">
        <v>0</v>
      </c>
      <c r="G53" s="3">
        <v>7.3068581040427301</v>
      </c>
      <c r="H53" s="3">
        <v>6.9729239699430652</v>
      </c>
    </row>
    <row r="54" spans="1:8" x14ac:dyDescent="0.25">
      <c r="A54" s="2">
        <v>25</v>
      </c>
      <c r="B54" s="3">
        <v>8.6038944275325644</v>
      </c>
      <c r="C54" s="3">
        <v>9.1519094745012453</v>
      </c>
      <c r="D54" s="3">
        <v>119764.9005055665</v>
      </c>
      <c r="F54" s="2">
        <v>25</v>
      </c>
      <c r="G54" s="3">
        <v>8.6038944275325644</v>
      </c>
      <c r="H54" s="3">
        <v>7.9115599614460352</v>
      </c>
    </row>
    <row r="55" spans="1:8" x14ac:dyDescent="0.25">
      <c r="A55" s="2">
        <v>50</v>
      </c>
      <c r="B55" s="3">
        <v>10.278402950905384</v>
      </c>
      <c r="C55" s="3">
        <v>10.92302118565755</v>
      </c>
      <c r="D55" s="3">
        <v>119976.51848565351</v>
      </c>
      <c r="F55" s="2">
        <v>50</v>
      </c>
      <c r="G55" s="3">
        <v>10.278402950905384</v>
      </c>
      <c r="H55" s="3">
        <v>9.1519094745012453</v>
      </c>
    </row>
    <row r="56" spans="1:8" x14ac:dyDescent="0.25">
      <c r="A56" s="2">
        <v>75</v>
      </c>
      <c r="B56" s="3">
        <v>12.09764786539945</v>
      </c>
      <c r="C56" s="3">
        <v>13.6431578779037</v>
      </c>
      <c r="D56" s="3">
        <v>119737.86250209401</v>
      </c>
      <c r="F56" s="2">
        <v>75</v>
      </c>
      <c r="G56" s="3">
        <v>12.09764786539945</v>
      </c>
      <c r="H56" s="3">
        <v>10.92302118565755</v>
      </c>
    </row>
    <row r="57" spans="1:8" x14ac:dyDescent="0.25">
      <c r="A57" s="2">
        <v>100</v>
      </c>
      <c r="B57" s="3">
        <v>14.675029029511649</v>
      </c>
      <c r="C57" s="3">
        <v>17.011789152776451</v>
      </c>
      <c r="D57" s="3">
        <v>118918.35682268301</v>
      </c>
      <c r="F57" s="2">
        <v>100</v>
      </c>
      <c r="G57" s="3">
        <v>14.675029029511649</v>
      </c>
      <c r="H57" s="3">
        <v>13.6431578779037</v>
      </c>
    </row>
    <row r="58" spans="1:8" x14ac:dyDescent="0.25">
      <c r="A58" s="2">
        <v>125</v>
      </c>
      <c r="B58" s="3">
        <v>17.697044974124097</v>
      </c>
      <c r="C58" s="3">
        <v>19.535935923664802</v>
      </c>
      <c r="D58" s="3">
        <v>118311.943706035</v>
      </c>
      <c r="F58" s="2">
        <v>125</v>
      </c>
      <c r="G58" s="3">
        <v>17.697044974124097</v>
      </c>
      <c r="H58" s="3">
        <v>17.011789152776451</v>
      </c>
    </row>
    <row r="59" spans="1:8" x14ac:dyDescent="0.25">
      <c r="A59" s="2">
        <v>150</v>
      </c>
      <c r="B59" s="3">
        <v>20.6878455585246</v>
      </c>
      <c r="C59" s="3">
        <v>21.5797358422166</v>
      </c>
      <c r="D59" s="3">
        <v>118098.80953752549</v>
      </c>
      <c r="F59" s="2">
        <v>150</v>
      </c>
      <c r="G59" s="3">
        <v>20.6878455585246</v>
      </c>
      <c r="H59" s="3">
        <v>19.535935923664802</v>
      </c>
    </row>
    <row r="60" spans="1:8" x14ac:dyDescent="0.25">
      <c r="A60" s="2">
        <v>175</v>
      </c>
      <c r="B60" s="3">
        <v>22.791932067207149</v>
      </c>
      <c r="C60" s="3">
        <v>22.656877929662951</v>
      </c>
      <c r="D60" s="3">
        <v>117854.1854746395</v>
      </c>
      <c r="F60" s="2">
        <v>175</v>
      </c>
      <c r="G60" s="3">
        <v>22.791932067207149</v>
      </c>
      <c r="H60" s="3">
        <v>21.5797358422166</v>
      </c>
    </row>
    <row r="61" spans="1:8" x14ac:dyDescent="0.25">
      <c r="A61" s="2">
        <v>200</v>
      </c>
      <c r="B61" s="3">
        <v>24.07489016409885</v>
      </c>
      <c r="C61" s="3">
        <v>23.209836476006551</v>
      </c>
      <c r="D61" s="3">
        <v>117784.97122907051</v>
      </c>
      <c r="F61" s="2">
        <v>200</v>
      </c>
      <c r="G61" s="3">
        <v>24.07489016409885</v>
      </c>
      <c r="H61" s="3">
        <v>22.656877929662951</v>
      </c>
    </row>
    <row r="62" spans="1:8" x14ac:dyDescent="0.25">
      <c r="H62" s="3">
        <v>23.209836476006551</v>
      </c>
    </row>
    <row r="63" spans="1:8" x14ac:dyDescent="0.25">
      <c r="H63" s="3"/>
    </row>
    <row r="65" spans="1:9" x14ac:dyDescent="0.25">
      <c r="A65" t="s">
        <v>7</v>
      </c>
    </row>
    <row r="66" spans="1:9" x14ac:dyDescent="0.25">
      <c r="A66" s="1" t="s">
        <v>0</v>
      </c>
      <c r="B66" s="1" t="s">
        <v>1</v>
      </c>
      <c r="C66" s="1" t="s">
        <v>2</v>
      </c>
      <c r="D66" s="1" t="s">
        <v>4</v>
      </c>
      <c r="F66" s="1"/>
      <c r="G66" s="1" t="s">
        <v>1</v>
      </c>
      <c r="H66" s="1" t="s">
        <v>2</v>
      </c>
      <c r="I66">
        <v>0</v>
      </c>
    </row>
    <row r="67" spans="1:9" x14ac:dyDescent="0.25">
      <c r="A67" s="2">
        <v>-200</v>
      </c>
      <c r="B67" s="3">
        <v>0.121346516273213</v>
      </c>
      <c r="C67" s="3">
        <v>5.2935947949256201</v>
      </c>
      <c r="D67" s="3">
        <v>159217.7524</v>
      </c>
      <c r="F67" s="2">
        <v>-200</v>
      </c>
      <c r="G67" s="3">
        <v>0.121346516273213</v>
      </c>
      <c r="H67" s="3">
        <v>5.2935947949256201</v>
      </c>
    </row>
    <row r="68" spans="1:9" x14ac:dyDescent="0.25">
      <c r="A68" s="2">
        <v>-150</v>
      </c>
      <c r="B68" s="3">
        <v>0.18583828720350998</v>
      </c>
      <c r="C68" s="3">
        <v>5.3498756155593892</v>
      </c>
      <c r="D68" s="3">
        <v>151225.516538461</v>
      </c>
      <c r="F68" s="2">
        <v>-150</v>
      </c>
      <c r="G68" s="3">
        <v>0.18583828720350998</v>
      </c>
      <c r="H68" s="3">
        <v>5.3498756155593892</v>
      </c>
    </row>
    <row r="69" spans="1:9" x14ac:dyDescent="0.25">
      <c r="A69" s="2">
        <v>-125</v>
      </c>
      <c r="B69" s="3">
        <v>2.6726145730301774</v>
      </c>
      <c r="C69" s="3">
        <v>5.7067047068633601</v>
      </c>
      <c r="D69" s="3">
        <v>150583.55154347251</v>
      </c>
      <c r="F69" s="2">
        <v>-125</v>
      </c>
      <c r="G69" s="3">
        <v>2.6726145730301774</v>
      </c>
      <c r="H69" s="3">
        <v>5.7067047068633601</v>
      </c>
    </row>
    <row r="70" spans="1:9" x14ac:dyDescent="0.25">
      <c r="A70" s="2">
        <v>-100</v>
      </c>
      <c r="B70" s="3">
        <v>1.680380255345072</v>
      </c>
      <c r="C70" s="3">
        <v>6.3300920647555801</v>
      </c>
      <c r="D70" s="3">
        <v>151416.23026673499</v>
      </c>
      <c r="F70" s="2">
        <v>-100</v>
      </c>
      <c r="G70" s="3">
        <v>1.680380255345072</v>
      </c>
      <c r="H70" s="3">
        <v>6.3300920647555801</v>
      </c>
    </row>
    <row r="71" spans="1:9" x14ac:dyDescent="0.25">
      <c r="A71" s="2">
        <v>-75</v>
      </c>
      <c r="B71" s="3">
        <v>4.6116134102958402</v>
      </c>
      <c r="C71" s="3">
        <v>6.0226047529474602</v>
      </c>
      <c r="D71" s="3">
        <v>150071.91381153499</v>
      </c>
      <c r="F71" s="2">
        <v>-75</v>
      </c>
      <c r="G71" s="3">
        <v>4.6116134102958402</v>
      </c>
      <c r="H71" s="3">
        <v>6.0226047529474602</v>
      </c>
    </row>
    <row r="72" spans="1:9" x14ac:dyDescent="0.25">
      <c r="A72" s="2">
        <v>-50</v>
      </c>
      <c r="B72" s="3">
        <v>5.6108464588010403</v>
      </c>
      <c r="C72" s="3">
        <v>5.9801330944226496</v>
      </c>
      <c r="D72" s="3">
        <v>149035.12808476001</v>
      </c>
      <c r="F72" s="2">
        <v>-50</v>
      </c>
      <c r="G72" s="3">
        <v>5.6108464588010403</v>
      </c>
      <c r="H72" s="3">
        <v>5.9801330944226496</v>
      </c>
    </row>
    <row r="73" spans="1:9" x14ac:dyDescent="0.25">
      <c r="A73" s="2">
        <v>-25</v>
      </c>
      <c r="B73" s="3">
        <v>6.4970357675743706</v>
      </c>
      <c r="C73" s="3">
        <v>6.5695713022577653</v>
      </c>
      <c r="D73" s="3">
        <v>148684.58237234602</v>
      </c>
      <c r="F73" s="2">
        <v>-25</v>
      </c>
      <c r="G73" s="3">
        <v>6.4970357675743706</v>
      </c>
      <c r="H73" s="3">
        <v>6.5695713022577653</v>
      </c>
    </row>
    <row r="74" spans="1:9" x14ac:dyDescent="0.25">
      <c r="A74" s="2">
        <v>0</v>
      </c>
      <c r="B74" s="3">
        <v>7.4058349421979592</v>
      </c>
      <c r="C74" s="3">
        <v>7.5136150175838008</v>
      </c>
      <c r="D74" s="3">
        <v>148705.98256024549</v>
      </c>
      <c r="F74" s="2">
        <v>0</v>
      </c>
      <c r="G74" s="3">
        <v>7.4058349421979592</v>
      </c>
      <c r="H74" s="3">
        <v>7.5136150175838008</v>
      </c>
    </row>
    <row r="75" spans="1:9" x14ac:dyDescent="0.25">
      <c r="A75" s="2">
        <v>25</v>
      </c>
      <c r="B75" s="3">
        <v>8.7459751488305955</v>
      </c>
      <c r="C75" s="3">
        <v>8.9417052632068703</v>
      </c>
      <c r="D75" s="3">
        <v>149353.57475554899</v>
      </c>
      <c r="F75" s="2">
        <v>25</v>
      </c>
      <c r="G75" s="3">
        <v>8.7459751488305955</v>
      </c>
      <c r="H75" s="3">
        <v>8.9417052632068703</v>
      </c>
    </row>
    <row r="76" spans="1:9" x14ac:dyDescent="0.25">
      <c r="A76" s="2">
        <v>50</v>
      </c>
      <c r="B76" s="3">
        <v>10.964516175749552</v>
      </c>
      <c r="C76" s="3">
        <v>11.214233146841149</v>
      </c>
      <c r="D76" s="3">
        <v>149843.10489382251</v>
      </c>
      <c r="F76" s="2">
        <v>50</v>
      </c>
      <c r="G76" s="3">
        <v>10.964516175749552</v>
      </c>
      <c r="H76" s="3">
        <v>11.214233146841149</v>
      </c>
    </row>
    <row r="77" spans="1:9" x14ac:dyDescent="0.25">
      <c r="A77" s="2">
        <v>75</v>
      </c>
      <c r="B77" s="3">
        <v>13.480185792576201</v>
      </c>
      <c r="C77" s="3">
        <v>14.589310171413452</v>
      </c>
      <c r="D77" s="3">
        <v>149617.8417060565</v>
      </c>
      <c r="F77" s="2">
        <v>75</v>
      </c>
      <c r="G77" s="3">
        <v>13.480185792576201</v>
      </c>
      <c r="H77" s="3">
        <v>14.589310171413452</v>
      </c>
    </row>
    <row r="78" spans="1:9" x14ac:dyDescent="0.25">
      <c r="A78" s="2">
        <v>100</v>
      </c>
      <c r="B78" s="3">
        <v>16.695733260262699</v>
      </c>
      <c r="C78" s="3">
        <v>18.380887190883698</v>
      </c>
      <c r="D78" s="3">
        <v>148626.156356944</v>
      </c>
      <c r="F78" s="2">
        <v>100</v>
      </c>
      <c r="G78" s="3">
        <v>16.695733260262699</v>
      </c>
      <c r="H78" s="3">
        <v>18.380887190883698</v>
      </c>
    </row>
    <row r="79" spans="1:9" x14ac:dyDescent="0.25">
      <c r="A79" s="2">
        <v>125</v>
      </c>
      <c r="B79" s="3">
        <v>20.440609095827401</v>
      </c>
      <c r="C79" s="3">
        <v>21.0464986564943</v>
      </c>
      <c r="D79" s="3">
        <v>148066.04002460901</v>
      </c>
      <c r="F79" s="2">
        <v>125</v>
      </c>
      <c r="G79" s="3">
        <v>20.440609095827401</v>
      </c>
      <c r="H79" s="3">
        <v>21.0464986564943</v>
      </c>
    </row>
    <row r="80" spans="1:9" x14ac:dyDescent="0.25">
      <c r="A80" s="2">
        <v>150</v>
      </c>
      <c r="B80" s="3">
        <v>23.922155462174302</v>
      </c>
      <c r="C80" s="3">
        <v>23.348933028241451</v>
      </c>
      <c r="D80" s="3">
        <v>147947.23146686301</v>
      </c>
      <c r="F80" s="2">
        <v>150</v>
      </c>
      <c r="G80" s="3">
        <v>23.922155462174302</v>
      </c>
      <c r="H80" s="3">
        <v>23.348933028241451</v>
      </c>
    </row>
    <row r="81" spans="1:9" x14ac:dyDescent="0.25">
      <c r="A81" s="2">
        <v>175</v>
      </c>
      <c r="B81" s="3">
        <v>25.677167017769598</v>
      </c>
      <c r="C81" s="3">
        <v>24.494005585480949</v>
      </c>
      <c r="D81" s="3">
        <v>147970.88471159048</v>
      </c>
      <c r="F81" s="2">
        <v>175</v>
      </c>
      <c r="G81" s="3">
        <v>25.677167017769598</v>
      </c>
      <c r="H81" s="3">
        <v>24.494005585480949</v>
      </c>
    </row>
    <row r="82" spans="1:9" x14ac:dyDescent="0.25">
      <c r="A82" s="2">
        <v>200</v>
      </c>
      <c r="B82" s="3">
        <v>27.435871093074351</v>
      </c>
      <c r="C82" s="3">
        <v>24.9748792897988</v>
      </c>
      <c r="D82" s="3">
        <v>148231.26880612352</v>
      </c>
      <c r="F82" s="2">
        <v>200</v>
      </c>
      <c r="G82" s="3">
        <v>27.435871093074351</v>
      </c>
      <c r="H82" s="3">
        <v>24.9748792897988</v>
      </c>
    </row>
    <row r="83" spans="1:9" x14ac:dyDescent="0.25">
      <c r="H83" s="3"/>
    </row>
    <row r="86" spans="1:9" x14ac:dyDescent="0.25">
      <c r="A86" t="s">
        <v>8</v>
      </c>
    </row>
    <row r="87" spans="1:9" x14ac:dyDescent="0.25">
      <c r="A87" s="1" t="s">
        <v>0</v>
      </c>
      <c r="B87" s="1" t="s">
        <v>1</v>
      </c>
      <c r="C87" s="1" t="s">
        <v>2</v>
      </c>
      <c r="D87" s="1" t="s">
        <v>4</v>
      </c>
      <c r="F87" s="1"/>
      <c r="G87" s="1" t="s">
        <v>1</v>
      </c>
      <c r="H87" s="1" t="s">
        <v>2</v>
      </c>
      <c r="I87">
        <v>0</v>
      </c>
    </row>
    <row r="88" spans="1:9" x14ac:dyDescent="0.25">
      <c r="A88" s="2">
        <v>-200</v>
      </c>
      <c r="B88" s="3">
        <v>1.776161323827455</v>
      </c>
      <c r="C88" s="3">
        <v>6.9549009292574855</v>
      </c>
      <c r="D88" s="3">
        <v>213424.9289840635</v>
      </c>
      <c r="F88" s="2">
        <v>-200</v>
      </c>
      <c r="G88" s="3">
        <v>1.776161323827455</v>
      </c>
      <c r="H88" s="3">
        <v>6.9549009292574855</v>
      </c>
    </row>
    <row r="89" spans="1:9" x14ac:dyDescent="0.25">
      <c r="A89" s="2">
        <v>-150</v>
      </c>
      <c r="B89" s="3">
        <v>2.0966878910230693</v>
      </c>
      <c r="C89" s="3">
        <v>5.7831832892474653</v>
      </c>
      <c r="D89" s="3">
        <v>222676.98803378351</v>
      </c>
      <c r="F89" s="2">
        <v>-150</v>
      </c>
      <c r="G89" s="3">
        <v>2.0966878910230693</v>
      </c>
      <c r="H89" s="3">
        <v>5.7831832892474653</v>
      </c>
    </row>
    <row r="90" spans="1:9" x14ac:dyDescent="0.25">
      <c r="A90" s="2">
        <v>-125</v>
      </c>
      <c r="B90" s="3">
        <v>11.274984470710059</v>
      </c>
      <c r="C90" s="3">
        <v>5.8877015449539902</v>
      </c>
      <c r="D90" s="3">
        <v>221050.495572635</v>
      </c>
      <c r="F90" s="2">
        <v>-125</v>
      </c>
      <c r="G90" s="3">
        <v>11.274984470710059</v>
      </c>
      <c r="H90" s="3">
        <v>5.8877015449539902</v>
      </c>
    </row>
    <row r="91" spans="1:9" x14ac:dyDescent="0.25">
      <c r="A91" s="2">
        <v>-100</v>
      </c>
      <c r="B91" s="3">
        <v>5.5985534501260457</v>
      </c>
      <c r="C91" s="3">
        <v>5.8828646856118203</v>
      </c>
      <c r="D91" s="3">
        <v>241892.92694121902</v>
      </c>
      <c r="F91" s="2">
        <v>-100</v>
      </c>
      <c r="G91" s="3">
        <v>5.5985534501260457</v>
      </c>
      <c r="H91" s="3">
        <v>5.8828646856118203</v>
      </c>
    </row>
    <row r="92" spans="1:9" x14ac:dyDescent="0.25">
      <c r="A92" s="2">
        <v>-75</v>
      </c>
      <c r="B92" s="3">
        <v>3.5466871238070201</v>
      </c>
      <c r="C92" s="3">
        <v>5.3273431392796349</v>
      </c>
      <c r="D92" s="3">
        <v>254281.44984091999</v>
      </c>
      <c r="F92" s="2">
        <v>-75</v>
      </c>
      <c r="G92" s="3">
        <v>3.5466871238070201</v>
      </c>
      <c r="H92" s="3">
        <v>5.3273431392796349</v>
      </c>
    </row>
    <row r="93" spans="1:9" x14ac:dyDescent="0.25">
      <c r="A93" s="2">
        <v>-50</v>
      </c>
      <c r="B93" s="3">
        <v>4.4716656127322949</v>
      </c>
      <c r="C93" s="3">
        <v>5.3368477267456349</v>
      </c>
      <c r="D93" s="3">
        <v>263773.64175813203</v>
      </c>
      <c r="F93" s="2">
        <v>-50</v>
      </c>
      <c r="G93" s="3">
        <v>4.4716656127322949</v>
      </c>
      <c r="H93" s="3">
        <v>5.3368477267456349</v>
      </c>
    </row>
    <row r="94" spans="1:9" x14ac:dyDescent="0.25">
      <c r="A94" s="2">
        <v>-25</v>
      </c>
      <c r="B94" s="3">
        <v>5.6446282282277505</v>
      </c>
      <c r="C94" s="3">
        <v>6.1712747457206945</v>
      </c>
      <c r="D94" s="3">
        <v>262979.89747571701</v>
      </c>
      <c r="F94" s="2">
        <v>-25</v>
      </c>
      <c r="G94" s="3">
        <v>5.6446282282277505</v>
      </c>
      <c r="H94" s="3">
        <v>6.1712747457206945</v>
      </c>
    </row>
    <row r="95" spans="1:9" x14ac:dyDescent="0.25">
      <c r="A95" s="2">
        <v>0</v>
      </c>
      <c r="B95" s="3">
        <v>6.6942611860063455</v>
      </c>
      <c r="C95" s="3">
        <v>7.3022817943167349</v>
      </c>
      <c r="D95" s="3">
        <v>260309.38644192449</v>
      </c>
      <c r="F95" s="2">
        <v>0</v>
      </c>
      <c r="G95" s="3">
        <v>6.6942611860063455</v>
      </c>
      <c r="H95" s="3">
        <v>7.3022817943167349</v>
      </c>
    </row>
    <row r="96" spans="1:9" x14ac:dyDescent="0.25">
      <c r="A96" s="2">
        <v>25</v>
      </c>
      <c r="B96" s="3">
        <v>9.2815054718753487</v>
      </c>
      <c r="C96" s="3">
        <v>9.438508188910756</v>
      </c>
      <c r="D96" s="3">
        <v>255436.37328796898</v>
      </c>
      <c r="F96" s="2">
        <v>25</v>
      </c>
      <c r="G96" s="3">
        <v>9.2815054718753487</v>
      </c>
      <c r="H96" s="3">
        <v>9.438508188910756</v>
      </c>
    </row>
    <row r="97" spans="1:8" x14ac:dyDescent="0.25">
      <c r="A97" s="2">
        <v>50</v>
      </c>
      <c r="B97" s="3">
        <v>14.369746815013151</v>
      </c>
      <c r="C97" s="3">
        <v>13.42475227907175</v>
      </c>
      <c r="D97" s="3">
        <v>250813.19185747899</v>
      </c>
      <c r="F97" s="2">
        <v>50</v>
      </c>
      <c r="G97" s="3">
        <v>14.369746815013151</v>
      </c>
      <c r="H97" s="3">
        <v>13.42475227907175</v>
      </c>
    </row>
    <row r="98" spans="1:8" x14ac:dyDescent="0.25">
      <c r="A98" s="2">
        <v>75</v>
      </c>
      <c r="B98" s="3">
        <v>19.52683904609485</v>
      </c>
      <c r="C98" s="3">
        <v>18.454633704660353</v>
      </c>
      <c r="D98" s="3">
        <v>247006.74274493201</v>
      </c>
      <c r="F98" s="2">
        <v>75</v>
      </c>
      <c r="G98" s="3">
        <v>19.52683904609485</v>
      </c>
      <c r="H98" s="3">
        <v>18.454633704660353</v>
      </c>
    </row>
    <row r="99" spans="1:8" x14ac:dyDescent="0.25">
      <c r="A99" s="2">
        <v>100</v>
      </c>
      <c r="B99" s="3">
        <v>24.314549513352048</v>
      </c>
      <c r="C99" s="3">
        <v>23.089898452836401</v>
      </c>
      <c r="D99" s="3">
        <v>242536.00618674551</v>
      </c>
      <c r="F99" s="2">
        <v>100</v>
      </c>
      <c r="G99" s="3">
        <v>24.314549513352048</v>
      </c>
      <c r="H99" s="3">
        <v>23.089898452836401</v>
      </c>
    </row>
    <row r="100" spans="1:8" x14ac:dyDescent="0.25">
      <c r="A100" s="2">
        <v>125</v>
      </c>
      <c r="B100" s="3">
        <v>27.789747629531</v>
      </c>
      <c r="C100" s="3">
        <v>26.08405712371605</v>
      </c>
      <c r="D100" s="3">
        <v>239423.73479037499</v>
      </c>
      <c r="F100" s="2">
        <v>125</v>
      </c>
      <c r="G100" s="3">
        <v>27.789747629531</v>
      </c>
      <c r="H100" s="3">
        <v>26.08405712371605</v>
      </c>
    </row>
    <row r="101" spans="1:8" x14ac:dyDescent="0.25">
      <c r="A101" s="2">
        <v>150</v>
      </c>
      <c r="B101" s="3">
        <v>31.326222104979202</v>
      </c>
      <c r="C101" s="3">
        <v>28.995565418630651</v>
      </c>
      <c r="D101" s="3">
        <v>237802.20093622402</v>
      </c>
      <c r="F101" s="2">
        <v>150</v>
      </c>
      <c r="G101" s="3">
        <v>31.326222104979202</v>
      </c>
      <c r="H101" s="3">
        <v>28.995565418630651</v>
      </c>
    </row>
    <row r="102" spans="1:8" x14ac:dyDescent="0.25">
      <c r="A102" s="2">
        <v>175</v>
      </c>
      <c r="B102" s="3">
        <v>32.318240280840946</v>
      </c>
      <c r="C102" s="3">
        <v>30.0424127126747</v>
      </c>
      <c r="D102" s="3">
        <v>235977.97914322052</v>
      </c>
      <c r="F102" s="2">
        <v>175</v>
      </c>
      <c r="G102" s="3">
        <v>32.318240280840946</v>
      </c>
      <c r="H102" s="3">
        <v>30.0424127126747</v>
      </c>
    </row>
    <row r="103" spans="1:8" x14ac:dyDescent="0.25">
      <c r="A103" s="2">
        <v>200</v>
      </c>
      <c r="B103" s="3">
        <v>32.325286769212099</v>
      </c>
      <c r="C103" s="3">
        <v>30.096866711390351</v>
      </c>
      <c r="D103" s="3">
        <v>233774.88621601</v>
      </c>
      <c r="F103" s="2">
        <v>200</v>
      </c>
      <c r="G103" s="3">
        <v>32.325286769212099</v>
      </c>
      <c r="H103" s="3">
        <v>30.096866711390351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selection activeCell="J13" sqref="J13"/>
    </sheetView>
  </sheetViews>
  <sheetFormatPr defaultRowHeight="15" x14ac:dyDescent="0.25"/>
  <cols>
    <col min="2" max="2" width="9.5703125" bestFit="1" customWidth="1"/>
    <col min="7" max="7" width="14.42578125" bestFit="1" customWidth="1"/>
  </cols>
  <sheetData>
    <row r="1" spans="1:13" x14ac:dyDescent="0.25">
      <c r="B1" t="s">
        <v>14</v>
      </c>
      <c r="C1" t="s">
        <v>18</v>
      </c>
      <c r="D1" t="s">
        <v>19</v>
      </c>
      <c r="E1" t="s">
        <v>20</v>
      </c>
      <c r="H1" t="s">
        <v>14</v>
      </c>
      <c r="I1" t="s">
        <v>20</v>
      </c>
    </row>
    <row r="2" spans="1:13" x14ac:dyDescent="0.25">
      <c r="A2">
        <v>1</v>
      </c>
      <c r="B2" s="6">
        <f>$H$4*($H$5/$H$3-$H$5/A2)</f>
        <v>2485.7142857142858</v>
      </c>
      <c r="E2" s="6">
        <f>$I$4*($I$5/$I$3-$I$5/A2)</f>
        <v>7457.1428571428578</v>
      </c>
      <c r="G2" t="s">
        <v>10</v>
      </c>
      <c r="H2">
        <v>1</v>
      </c>
      <c r="I2">
        <v>1</v>
      </c>
      <c r="L2" t="s">
        <v>9</v>
      </c>
      <c r="M2" t="s">
        <v>17</v>
      </c>
    </row>
    <row r="3" spans="1:13" x14ac:dyDescent="0.25">
      <c r="A3">
        <v>5</v>
      </c>
      <c r="B3" s="6">
        <f t="shared" ref="B3:B37" si="0">$H$4*($H$5/$H$3-$H$5/A3)</f>
        <v>485.71428571428572</v>
      </c>
      <c r="E3" s="6">
        <f t="shared" ref="E3:E37" si="1">$I$4*($I$5/$I$3-$I$5/A3)</f>
        <v>1457.1428571428571</v>
      </c>
      <c r="G3" t="s">
        <v>11</v>
      </c>
      <c r="H3">
        <v>175</v>
      </c>
      <c r="I3">
        <v>175</v>
      </c>
      <c r="K3" t="s">
        <v>3</v>
      </c>
      <c r="L3" s="4">
        <v>60.123267126991912</v>
      </c>
      <c r="M3">
        <v>50</v>
      </c>
    </row>
    <row r="4" spans="1:13" x14ac:dyDescent="0.25">
      <c r="A4">
        <v>10</v>
      </c>
      <c r="B4" s="6">
        <f t="shared" si="0"/>
        <v>235.71428571428572</v>
      </c>
      <c r="E4" s="6">
        <f t="shared" si="1"/>
        <v>707.14285714285722</v>
      </c>
      <c r="G4" t="s">
        <v>12</v>
      </c>
      <c r="H4">
        <f>-10000/4 * 1</f>
        <v>-2500</v>
      </c>
      <c r="I4">
        <f>-10000/4* 1*3</f>
        <v>-7500</v>
      </c>
      <c r="K4" t="s">
        <v>5</v>
      </c>
      <c r="L4" s="4">
        <v>90.732464091503218</v>
      </c>
      <c r="M4">
        <v>30</v>
      </c>
    </row>
    <row r="5" spans="1:13" x14ac:dyDescent="0.25">
      <c r="A5">
        <v>15</v>
      </c>
      <c r="B5" s="6">
        <f t="shared" si="0"/>
        <v>152.38095238095238</v>
      </c>
      <c r="E5" s="6">
        <f t="shared" si="1"/>
        <v>457.14285714285717</v>
      </c>
      <c r="G5" t="s">
        <v>13</v>
      </c>
      <c r="H5">
        <v>1</v>
      </c>
      <c r="I5">
        <v>1</v>
      </c>
      <c r="K5" t="s">
        <v>6</v>
      </c>
      <c r="L5" s="4">
        <v>118.82012412325578</v>
      </c>
      <c r="M5">
        <v>12</v>
      </c>
    </row>
    <row r="6" spans="1:13" x14ac:dyDescent="0.25">
      <c r="A6">
        <v>20</v>
      </c>
      <c r="B6" s="6">
        <f t="shared" si="0"/>
        <v>110.71428571428572</v>
      </c>
      <c r="E6" s="6">
        <f t="shared" si="1"/>
        <v>332.14285714285717</v>
      </c>
      <c r="K6" t="s">
        <v>7</v>
      </c>
      <c r="L6" s="4">
        <v>149.91229751869457</v>
      </c>
      <c r="M6">
        <v>0</v>
      </c>
    </row>
    <row r="7" spans="1:13" x14ac:dyDescent="0.25">
      <c r="A7">
        <v>25</v>
      </c>
      <c r="B7" s="6">
        <f t="shared" si="0"/>
        <v>85.714285714285722</v>
      </c>
      <c r="E7" s="6">
        <f t="shared" si="1"/>
        <v>257.14285714285717</v>
      </c>
      <c r="G7" t="s">
        <v>15</v>
      </c>
      <c r="H7" s="5">
        <f>H4*(H5/H3-H5/H2)</f>
        <v>2485.7142857142858</v>
      </c>
      <c r="I7" s="5">
        <f>I4*(I5/I3-I5/I2)</f>
        <v>7457.1428571428578</v>
      </c>
      <c r="K7" t="s">
        <v>8</v>
      </c>
      <c r="L7" s="4">
        <v>242.69755188820932</v>
      </c>
      <c r="M7">
        <v>0</v>
      </c>
    </row>
    <row r="8" spans="1:13" x14ac:dyDescent="0.25">
      <c r="A8">
        <v>30</v>
      </c>
      <c r="B8" s="6">
        <f t="shared" si="0"/>
        <v>69.047619047619051</v>
      </c>
      <c r="E8" s="6">
        <f t="shared" si="1"/>
        <v>207.14285714285714</v>
      </c>
    </row>
    <row r="9" spans="1:13" x14ac:dyDescent="0.25">
      <c r="A9">
        <v>35</v>
      </c>
      <c r="B9" s="6">
        <f t="shared" si="0"/>
        <v>57.142857142857146</v>
      </c>
      <c r="E9" s="6">
        <f t="shared" si="1"/>
        <v>171.42857142857142</v>
      </c>
    </row>
    <row r="10" spans="1:13" x14ac:dyDescent="0.25">
      <c r="A10">
        <v>40</v>
      </c>
      <c r="B10" s="6">
        <f t="shared" si="0"/>
        <v>48.214285714285722</v>
      </c>
      <c r="E10" s="6">
        <f t="shared" si="1"/>
        <v>144.64285714285717</v>
      </c>
    </row>
    <row r="11" spans="1:13" x14ac:dyDescent="0.25">
      <c r="A11">
        <v>45</v>
      </c>
      <c r="B11" s="6">
        <f t="shared" si="0"/>
        <v>41.269841269841272</v>
      </c>
      <c r="E11" s="6">
        <f t="shared" si="1"/>
        <v>123.80952380952382</v>
      </c>
    </row>
    <row r="12" spans="1:13" x14ac:dyDescent="0.25">
      <c r="A12">
        <v>50</v>
      </c>
      <c r="B12" s="6">
        <f t="shared" si="0"/>
        <v>35.714285714285715</v>
      </c>
      <c r="E12" s="6">
        <f t="shared" si="1"/>
        <v>107.14285714285715</v>
      </c>
    </row>
    <row r="13" spans="1:13" x14ac:dyDescent="0.25">
      <c r="A13">
        <v>55</v>
      </c>
      <c r="B13" s="6">
        <f t="shared" si="0"/>
        <v>31.168831168831169</v>
      </c>
      <c r="E13" s="6">
        <f t="shared" si="1"/>
        <v>93.506493506493513</v>
      </c>
    </row>
    <row r="14" spans="1:13" x14ac:dyDescent="0.25">
      <c r="A14">
        <v>60</v>
      </c>
      <c r="B14" s="6">
        <f t="shared" si="0"/>
        <v>27.380952380952383</v>
      </c>
      <c r="C14">
        <v>50</v>
      </c>
      <c r="D14" s="7">
        <f>B14+C14</f>
        <v>77.38095238095238</v>
      </c>
      <c r="E14" s="6">
        <f t="shared" si="1"/>
        <v>82.142857142857153</v>
      </c>
    </row>
    <row r="15" spans="1:13" x14ac:dyDescent="0.25">
      <c r="A15">
        <v>65</v>
      </c>
      <c r="B15" s="6">
        <f t="shared" si="0"/>
        <v>24.175824175824179</v>
      </c>
      <c r="E15" s="6">
        <f t="shared" si="1"/>
        <v>72.52747252747254</v>
      </c>
    </row>
    <row r="16" spans="1:13" x14ac:dyDescent="0.25">
      <c r="A16">
        <v>70</v>
      </c>
      <c r="B16" s="6">
        <f t="shared" si="0"/>
        <v>21.428571428571427</v>
      </c>
      <c r="E16" s="6">
        <f t="shared" si="1"/>
        <v>64.285714285714278</v>
      </c>
    </row>
    <row r="17" spans="1:5" x14ac:dyDescent="0.25">
      <c r="A17">
        <v>75</v>
      </c>
      <c r="B17" s="6">
        <f t="shared" si="0"/>
        <v>19.047619047619051</v>
      </c>
      <c r="E17" s="6">
        <f t="shared" si="1"/>
        <v>57.142857142857146</v>
      </c>
    </row>
    <row r="18" spans="1:5" x14ac:dyDescent="0.25">
      <c r="A18">
        <v>80</v>
      </c>
      <c r="B18" s="6">
        <f t="shared" si="0"/>
        <v>16.964285714285715</v>
      </c>
      <c r="E18" s="6">
        <f t="shared" si="1"/>
        <v>50.892857142857146</v>
      </c>
    </row>
    <row r="19" spans="1:5" x14ac:dyDescent="0.25">
      <c r="A19">
        <v>85</v>
      </c>
      <c r="B19" s="6">
        <f t="shared" si="0"/>
        <v>15.126050420168067</v>
      </c>
      <c r="E19" s="6">
        <f t="shared" si="1"/>
        <v>45.378151260504204</v>
      </c>
    </row>
    <row r="20" spans="1:5" x14ac:dyDescent="0.25">
      <c r="A20">
        <v>90</v>
      </c>
      <c r="B20" s="6">
        <f t="shared" si="0"/>
        <v>13.492063492063494</v>
      </c>
      <c r="C20">
        <v>30</v>
      </c>
      <c r="D20" s="7">
        <f>B20+C20</f>
        <v>43.492063492063494</v>
      </c>
      <c r="E20" s="6">
        <f t="shared" si="1"/>
        <v>40.476190476190482</v>
      </c>
    </row>
    <row r="21" spans="1:5" x14ac:dyDescent="0.25">
      <c r="A21">
        <v>95</v>
      </c>
      <c r="B21" s="6">
        <f t="shared" si="0"/>
        <v>12.030075187969924</v>
      </c>
      <c r="E21" s="6">
        <f t="shared" si="1"/>
        <v>36.090225563909776</v>
      </c>
    </row>
    <row r="22" spans="1:5" x14ac:dyDescent="0.25">
      <c r="A22">
        <v>100</v>
      </c>
      <c r="B22" s="6">
        <f t="shared" si="0"/>
        <v>10.714285714285715</v>
      </c>
      <c r="E22" s="6">
        <f t="shared" si="1"/>
        <v>32.142857142857146</v>
      </c>
    </row>
    <row r="23" spans="1:5" x14ac:dyDescent="0.25">
      <c r="A23">
        <v>105</v>
      </c>
      <c r="B23" s="6">
        <f t="shared" si="0"/>
        <v>9.5238095238095255</v>
      </c>
      <c r="E23" s="6">
        <f t="shared" si="1"/>
        <v>28.571428571428577</v>
      </c>
    </row>
    <row r="24" spans="1:5" x14ac:dyDescent="0.25">
      <c r="A24">
        <v>110</v>
      </c>
      <c r="B24" s="6">
        <f t="shared" si="0"/>
        <v>8.4415584415584402</v>
      </c>
      <c r="E24" s="6">
        <f t="shared" si="1"/>
        <v>25.324675324675322</v>
      </c>
    </row>
    <row r="25" spans="1:5" x14ac:dyDescent="0.25">
      <c r="A25">
        <v>115</v>
      </c>
      <c r="B25" s="6">
        <f t="shared" si="0"/>
        <v>7.4534161490683228</v>
      </c>
      <c r="E25" s="6">
        <f t="shared" si="1"/>
        <v>22.36024844720497</v>
      </c>
    </row>
    <row r="26" spans="1:5" x14ac:dyDescent="0.25">
      <c r="A26">
        <v>120</v>
      </c>
      <c r="B26" s="6">
        <f t="shared" si="0"/>
        <v>6.5476190476190474</v>
      </c>
      <c r="C26">
        <v>12</v>
      </c>
      <c r="D26" s="7">
        <f>B26+C26</f>
        <v>18.547619047619047</v>
      </c>
      <c r="E26" s="6">
        <f t="shared" si="1"/>
        <v>19.642857142857142</v>
      </c>
    </row>
    <row r="27" spans="1:5" x14ac:dyDescent="0.25">
      <c r="A27">
        <v>125</v>
      </c>
      <c r="B27" s="6">
        <f t="shared" si="0"/>
        <v>5.7142857142857144</v>
      </c>
      <c r="E27" s="6">
        <f t="shared" si="1"/>
        <v>17.142857142857146</v>
      </c>
    </row>
    <row r="28" spans="1:5" x14ac:dyDescent="0.25">
      <c r="A28">
        <v>130</v>
      </c>
      <c r="B28" s="6">
        <f t="shared" si="0"/>
        <v>4.9450549450549461</v>
      </c>
      <c r="E28" s="6">
        <f t="shared" si="1"/>
        <v>14.835164835164838</v>
      </c>
    </row>
    <row r="29" spans="1:5" x14ac:dyDescent="0.25">
      <c r="A29">
        <v>135</v>
      </c>
      <c r="B29" s="6">
        <f t="shared" si="0"/>
        <v>4.2328042328042335</v>
      </c>
      <c r="E29" s="6">
        <f t="shared" si="1"/>
        <v>12.698412698412701</v>
      </c>
    </row>
    <row r="30" spans="1:5" x14ac:dyDescent="0.25">
      <c r="A30">
        <v>140</v>
      </c>
      <c r="B30" s="6">
        <f t="shared" si="0"/>
        <v>3.5714285714285707</v>
      </c>
      <c r="E30" s="6">
        <f t="shared" si="1"/>
        <v>10.714285714285714</v>
      </c>
    </row>
    <row r="31" spans="1:5" x14ac:dyDescent="0.25">
      <c r="A31">
        <v>145</v>
      </c>
      <c r="B31" s="6">
        <f t="shared" si="0"/>
        <v>2.9556650246305418</v>
      </c>
      <c r="E31" s="6">
        <f t="shared" si="1"/>
        <v>8.8669950738916246</v>
      </c>
    </row>
    <row r="32" spans="1:5" x14ac:dyDescent="0.25">
      <c r="A32">
        <v>150</v>
      </c>
      <c r="B32" s="6">
        <f t="shared" si="0"/>
        <v>2.3809523809523818</v>
      </c>
      <c r="E32" s="6">
        <f t="shared" si="1"/>
        <v>7.1428571428571459</v>
      </c>
    </row>
    <row r="33" spans="1:5" x14ac:dyDescent="0.25">
      <c r="A33">
        <v>155</v>
      </c>
      <c r="B33" s="6">
        <f t="shared" si="0"/>
        <v>1.8433179723502304</v>
      </c>
      <c r="E33" s="6">
        <f t="shared" si="1"/>
        <v>5.5299539170506913</v>
      </c>
    </row>
    <row r="34" spans="1:5" x14ac:dyDescent="0.25">
      <c r="A34">
        <v>160</v>
      </c>
      <c r="B34" s="6">
        <f t="shared" si="0"/>
        <v>1.3392857142857151</v>
      </c>
      <c r="E34" s="6">
        <f t="shared" si="1"/>
        <v>4.0178571428571459</v>
      </c>
    </row>
    <row r="35" spans="1:5" x14ac:dyDescent="0.25">
      <c r="A35">
        <v>165</v>
      </c>
      <c r="B35" s="6">
        <f t="shared" si="0"/>
        <v>0.86580086580086579</v>
      </c>
      <c r="E35" s="6">
        <f t="shared" si="1"/>
        <v>2.5974025974025974</v>
      </c>
    </row>
    <row r="36" spans="1:5" x14ac:dyDescent="0.25">
      <c r="A36">
        <v>170</v>
      </c>
      <c r="B36" s="6">
        <f t="shared" si="0"/>
        <v>0.42016806722689054</v>
      </c>
      <c r="E36" s="6">
        <f t="shared" si="1"/>
        <v>1.2605042016806718</v>
      </c>
    </row>
    <row r="37" spans="1:5" x14ac:dyDescent="0.25">
      <c r="A37">
        <v>175</v>
      </c>
      <c r="B37" s="6">
        <f t="shared" si="0"/>
        <v>0</v>
      </c>
      <c r="E37" s="6">
        <f t="shared" si="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Symph</vt:lpstr>
      <vt:lpstr>Model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2018-05-21T13:53:03Z</dcterms:created>
  <dcterms:modified xsi:type="dcterms:W3CDTF">2018-05-21T15:21:45Z</dcterms:modified>
</cp:coreProperties>
</file>