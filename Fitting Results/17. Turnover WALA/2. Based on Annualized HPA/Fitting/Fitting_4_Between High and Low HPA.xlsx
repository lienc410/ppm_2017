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75" windowWidth="30435" windowHeight="19185"/>
  </bookViews>
  <sheets>
    <sheet name="0 to 11 step 0.5" sheetId="8" r:id="rId1"/>
    <sheet name="5 to 8 step 0.2" sheetId="6" r:id="rId2"/>
    <sheet name="5 to 8 step 0.1" sheetId="1" r:id="rId3"/>
  </sheets>
  <definedNames>
    <definedName name="solver_adj" localSheetId="0" hidden="1">'0 to 11 step 0.5'!$J$78</definedName>
    <definedName name="solver_adj" localSheetId="1" hidden="1">'5 to 8 step 0.2'!$J$53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'0 to 11 step 0.5'!$N$78</definedName>
    <definedName name="solver_opt" localSheetId="1" hidden="1">'5 to 8 step 0.2'!$N$53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1</definedName>
    <definedName name="solver_val" localSheetId="1" hidden="1">1</definedName>
    <definedName name="solver_ver" localSheetId="0" hidden="1">3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U62" i="8" l="1"/>
  <c r="U63" i="8"/>
  <c r="U64" i="8"/>
  <c r="U65" i="8"/>
  <c r="U66" i="8"/>
  <c r="U67" i="8"/>
  <c r="U68" i="8"/>
  <c r="U69" i="8"/>
  <c r="U70" i="8"/>
  <c r="U71" i="8"/>
  <c r="U72" i="8"/>
  <c r="Q60" i="8" l="1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57" i="8"/>
  <c r="Q58" i="8"/>
  <c r="Q59" i="8"/>
  <c r="Q56" i="8"/>
  <c r="S63" i="8"/>
  <c r="S64" i="8"/>
  <c r="S65" i="8"/>
  <c r="S66" i="8"/>
  <c r="S67" i="8"/>
  <c r="S68" i="8"/>
  <c r="S69" i="8"/>
  <c r="S70" i="8"/>
  <c r="S71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55" i="8"/>
  <c r="B70" i="8" l="1"/>
  <c r="C70" i="8"/>
  <c r="F70" i="8" s="1"/>
  <c r="D70" i="8"/>
  <c r="E70" i="8"/>
  <c r="K70" i="8" s="1"/>
  <c r="M70" i="8" s="1"/>
  <c r="N70" i="8" s="1"/>
  <c r="L70" i="8"/>
  <c r="B71" i="8"/>
  <c r="C71" i="8"/>
  <c r="F71" i="8" s="1"/>
  <c r="K71" i="8" s="1"/>
  <c r="D71" i="8"/>
  <c r="L71" i="8" s="1"/>
  <c r="M71" i="8" s="1"/>
  <c r="N71" i="8" s="1"/>
  <c r="E71" i="8"/>
  <c r="B72" i="8"/>
  <c r="C72" i="8"/>
  <c r="I72" i="8" s="1"/>
  <c r="D72" i="8"/>
  <c r="E72" i="8"/>
  <c r="K72" i="8" s="1"/>
  <c r="F72" i="8"/>
  <c r="L72" i="8"/>
  <c r="B73" i="8"/>
  <c r="C73" i="8"/>
  <c r="F73" i="8" s="1"/>
  <c r="K73" i="8" s="1"/>
  <c r="D73" i="8"/>
  <c r="L73" i="8" s="1"/>
  <c r="E73" i="8"/>
  <c r="I73" i="8"/>
  <c r="B74" i="8"/>
  <c r="C74" i="8"/>
  <c r="D74" i="8"/>
  <c r="E74" i="8"/>
  <c r="K74" i="8" s="1"/>
  <c r="M74" i="8" s="1"/>
  <c r="N74" i="8" s="1"/>
  <c r="F74" i="8"/>
  <c r="I74" i="8"/>
  <c r="L74" i="8"/>
  <c r="B75" i="8"/>
  <c r="C75" i="8"/>
  <c r="I75" i="8" s="1"/>
  <c r="D75" i="8"/>
  <c r="L75" i="8" s="1"/>
  <c r="E75" i="8"/>
  <c r="B76" i="8"/>
  <c r="C76" i="8"/>
  <c r="I76" i="8" s="1"/>
  <c r="D76" i="8"/>
  <c r="E76" i="8"/>
  <c r="K76" i="8" s="1"/>
  <c r="F76" i="8"/>
  <c r="L76" i="8"/>
  <c r="B77" i="8"/>
  <c r="C77" i="8"/>
  <c r="F77" i="8" s="1"/>
  <c r="K77" i="8" s="1"/>
  <c r="D77" i="8"/>
  <c r="L77" i="8" s="1"/>
  <c r="M77" i="8" s="1"/>
  <c r="N77" i="8" s="1"/>
  <c r="E77" i="8"/>
  <c r="I77" i="8"/>
  <c r="B78" i="8"/>
  <c r="C78" i="8"/>
  <c r="D78" i="8"/>
  <c r="E78" i="8"/>
  <c r="K78" i="8" s="1"/>
  <c r="M78" i="8" s="1"/>
  <c r="N78" i="8" s="1"/>
  <c r="F78" i="8"/>
  <c r="I78" i="8"/>
  <c r="L78" i="8"/>
  <c r="D55" i="8"/>
  <c r="L55" i="8" s="1"/>
  <c r="B56" i="8"/>
  <c r="C56" i="8"/>
  <c r="D56" i="8"/>
  <c r="E56" i="8"/>
  <c r="F56" i="8"/>
  <c r="K56" i="8" s="1"/>
  <c r="I56" i="8"/>
  <c r="L56" i="8"/>
  <c r="E69" i="8"/>
  <c r="D69" i="8"/>
  <c r="L69" i="8" s="1"/>
  <c r="C69" i="8"/>
  <c r="F69" i="8" s="1"/>
  <c r="B69" i="8"/>
  <c r="E68" i="8"/>
  <c r="D68" i="8"/>
  <c r="L68" i="8" s="1"/>
  <c r="C68" i="8"/>
  <c r="I68" i="8" s="1"/>
  <c r="B68" i="8"/>
  <c r="E67" i="8"/>
  <c r="D67" i="8"/>
  <c r="L67" i="8" s="1"/>
  <c r="C67" i="8"/>
  <c r="F67" i="8" s="1"/>
  <c r="B67" i="8"/>
  <c r="E66" i="8"/>
  <c r="D66" i="8"/>
  <c r="L66" i="8" s="1"/>
  <c r="C66" i="8"/>
  <c r="F66" i="8" s="1"/>
  <c r="B66" i="8"/>
  <c r="E65" i="8"/>
  <c r="D65" i="8"/>
  <c r="L65" i="8" s="1"/>
  <c r="C65" i="8"/>
  <c r="F65" i="8" s="1"/>
  <c r="B65" i="8"/>
  <c r="E64" i="8"/>
  <c r="D64" i="8"/>
  <c r="L64" i="8" s="1"/>
  <c r="C64" i="8"/>
  <c r="I64" i="8" s="1"/>
  <c r="B64" i="8"/>
  <c r="L63" i="8"/>
  <c r="E63" i="8"/>
  <c r="D63" i="8"/>
  <c r="C63" i="8"/>
  <c r="F63" i="8" s="1"/>
  <c r="B63" i="8"/>
  <c r="I62" i="8"/>
  <c r="E62" i="8"/>
  <c r="D62" i="8"/>
  <c r="L62" i="8" s="1"/>
  <c r="C62" i="8"/>
  <c r="F62" i="8" s="1"/>
  <c r="B62" i="8"/>
  <c r="I61" i="8"/>
  <c r="E61" i="8"/>
  <c r="D61" i="8"/>
  <c r="L61" i="8" s="1"/>
  <c r="C61" i="8"/>
  <c r="F61" i="8" s="1"/>
  <c r="B61" i="8"/>
  <c r="E60" i="8"/>
  <c r="D60" i="8"/>
  <c r="L60" i="8" s="1"/>
  <c r="C60" i="8"/>
  <c r="I60" i="8" s="1"/>
  <c r="B60" i="8"/>
  <c r="L59" i="8"/>
  <c r="E59" i="8"/>
  <c r="D59" i="8"/>
  <c r="C59" i="8"/>
  <c r="F59" i="8" s="1"/>
  <c r="B59" i="8"/>
  <c r="E58" i="8"/>
  <c r="D58" i="8"/>
  <c r="L58" i="8" s="1"/>
  <c r="C58" i="8"/>
  <c r="F58" i="8" s="1"/>
  <c r="B58" i="8"/>
  <c r="E57" i="8"/>
  <c r="D57" i="8"/>
  <c r="L57" i="8" s="1"/>
  <c r="C57" i="8"/>
  <c r="F57" i="8" s="1"/>
  <c r="B57" i="8"/>
  <c r="K40" i="6"/>
  <c r="K41" i="6"/>
  <c r="M41" i="6" s="1"/>
  <c r="N41" i="6" s="1"/>
  <c r="K42" i="6"/>
  <c r="M42" i="6" s="1"/>
  <c r="N42" i="6" s="1"/>
  <c r="K43" i="6"/>
  <c r="M43" i="6" s="1"/>
  <c r="N43" i="6" s="1"/>
  <c r="K44" i="6"/>
  <c r="M44" i="6" s="1"/>
  <c r="N44" i="6" s="1"/>
  <c r="K45" i="6"/>
  <c r="M45" i="6" s="1"/>
  <c r="N45" i="6" s="1"/>
  <c r="K46" i="6"/>
  <c r="M46" i="6" s="1"/>
  <c r="N46" i="6" s="1"/>
  <c r="K47" i="6"/>
  <c r="M47" i="6" s="1"/>
  <c r="N47" i="6" s="1"/>
  <c r="K48" i="6"/>
  <c r="M48" i="6" s="1"/>
  <c r="N48" i="6" s="1"/>
  <c r="K49" i="6"/>
  <c r="M49" i="6" s="1"/>
  <c r="N49" i="6" s="1"/>
  <c r="K50" i="6"/>
  <c r="K51" i="6"/>
  <c r="M51" i="6" s="1"/>
  <c r="N51" i="6" s="1"/>
  <c r="K52" i="6"/>
  <c r="M52" i="6" s="1"/>
  <c r="N52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38" i="6"/>
  <c r="M40" i="6"/>
  <c r="N40" i="6" s="1"/>
  <c r="M50" i="6"/>
  <c r="N50" i="6" s="1"/>
  <c r="K39" i="6"/>
  <c r="M39" i="6" s="1"/>
  <c r="N39" i="6" s="1"/>
  <c r="E52" i="6"/>
  <c r="D52" i="6"/>
  <c r="C52" i="6"/>
  <c r="F52" i="6" s="1"/>
  <c r="B52" i="6"/>
  <c r="E51" i="6"/>
  <c r="D51" i="6"/>
  <c r="C51" i="6"/>
  <c r="F51" i="6" s="1"/>
  <c r="B51" i="6"/>
  <c r="E50" i="6"/>
  <c r="D50" i="6"/>
  <c r="C50" i="6"/>
  <c r="F50" i="6" s="1"/>
  <c r="B50" i="6"/>
  <c r="E49" i="6"/>
  <c r="D49" i="6"/>
  <c r="C49" i="6"/>
  <c r="F49" i="6" s="1"/>
  <c r="B49" i="6"/>
  <c r="E48" i="6"/>
  <c r="D48" i="6"/>
  <c r="C48" i="6"/>
  <c r="F48" i="6" s="1"/>
  <c r="B48" i="6"/>
  <c r="E47" i="6"/>
  <c r="D47" i="6"/>
  <c r="C47" i="6"/>
  <c r="F47" i="6" s="1"/>
  <c r="B47" i="6"/>
  <c r="E46" i="6"/>
  <c r="D46" i="6"/>
  <c r="C46" i="6"/>
  <c r="F46" i="6" s="1"/>
  <c r="B46" i="6"/>
  <c r="E45" i="6"/>
  <c r="D45" i="6"/>
  <c r="C45" i="6"/>
  <c r="F45" i="6" s="1"/>
  <c r="B45" i="6"/>
  <c r="E44" i="6"/>
  <c r="D44" i="6"/>
  <c r="C44" i="6"/>
  <c r="F44" i="6" s="1"/>
  <c r="B44" i="6"/>
  <c r="E43" i="6"/>
  <c r="D43" i="6"/>
  <c r="C43" i="6"/>
  <c r="F43" i="6" s="1"/>
  <c r="B43" i="6"/>
  <c r="E42" i="6"/>
  <c r="D42" i="6"/>
  <c r="C42" i="6"/>
  <c r="F42" i="6" s="1"/>
  <c r="B42" i="6"/>
  <c r="E41" i="6"/>
  <c r="D41" i="6"/>
  <c r="C41" i="6"/>
  <c r="F41" i="6" s="1"/>
  <c r="B41" i="6"/>
  <c r="E40" i="6"/>
  <c r="D40" i="6"/>
  <c r="C40" i="6"/>
  <c r="F40" i="6" s="1"/>
  <c r="B40" i="6"/>
  <c r="E39" i="6"/>
  <c r="D39" i="6"/>
  <c r="C39" i="6"/>
  <c r="F39" i="6" s="1"/>
  <c r="B39" i="6"/>
  <c r="D38" i="6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69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69" i="1"/>
  <c r="D70" i="1"/>
  <c r="D68" i="1"/>
  <c r="C98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69" i="1"/>
  <c r="M72" i="8" l="1"/>
  <c r="N72" i="8" s="1"/>
  <c r="M76" i="8"/>
  <c r="N76" i="8" s="1"/>
  <c r="M73" i="8"/>
  <c r="N73" i="8" s="1"/>
  <c r="I71" i="8"/>
  <c r="F75" i="8"/>
  <c r="K75" i="8" s="1"/>
  <c r="M75" i="8" s="1"/>
  <c r="N75" i="8" s="1"/>
  <c r="I70" i="8"/>
  <c r="I58" i="8"/>
  <c r="I65" i="8"/>
  <c r="I57" i="8"/>
  <c r="I66" i="8"/>
  <c r="I69" i="8"/>
  <c r="K57" i="8"/>
  <c r="M57" i="8" s="1"/>
  <c r="N57" i="8" s="1"/>
  <c r="M56" i="8"/>
  <c r="N56" i="8" s="1"/>
  <c r="K67" i="8"/>
  <c r="M67" i="8" s="1"/>
  <c r="N67" i="8" s="1"/>
  <c r="K59" i="8"/>
  <c r="M59" i="8" s="1"/>
  <c r="N59" i="8" s="1"/>
  <c r="M62" i="8"/>
  <c r="N62" i="8" s="1"/>
  <c r="K58" i="8"/>
  <c r="M58" i="8" s="1"/>
  <c r="N58" i="8" s="1"/>
  <c r="K61" i="8"/>
  <c r="M61" i="8" s="1"/>
  <c r="N61" i="8" s="1"/>
  <c r="K66" i="8"/>
  <c r="M66" i="8" s="1"/>
  <c r="N66" i="8" s="1"/>
  <c r="K69" i="8"/>
  <c r="M69" i="8" s="1"/>
  <c r="N69" i="8" s="1"/>
  <c r="K63" i="8"/>
  <c r="M63" i="8" s="1"/>
  <c r="N63" i="8" s="1"/>
  <c r="K65" i="8"/>
  <c r="M65" i="8" s="1"/>
  <c r="N65" i="8" s="1"/>
  <c r="I59" i="8"/>
  <c r="I63" i="8"/>
  <c r="I67" i="8"/>
  <c r="F60" i="8"/>
  <c r="K60" i="8" s="1"/>
  <c r="M60" i="8" s="1"/>
  <c r="N60" i="8" s="1"/>
  <c r="F64" i="8"/>
  <c r="K64" i="8" s="1"/>
  <c r="M64" i="8" s="1"/>
  <c r="N64" i="8" s="1"/>
  <c r="F68" i="8"/>
  <c r="K68" i="8" s="1"/>
  <c r="M68" i="8" s="1"/>
  <c r="N68" i="8" s="1"/>
</calcChain>
</file>

<file path=xl/sharedStrings.xml><?xml version="1.0" encoding="utf-8"?>
<sst xmlns="http://schemas.openxmlformats.org/spreadsheetml/2006/main" count="327" uniqueCount="63">
  <si>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</si>
  <si>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</si>
  <si>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</si>
  <si>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</si>
  <si>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</si>
  <si>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</si>
  <si>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</si>
  <si>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</si>
  <si>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</si>
  <si>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</si>
  <si>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</si>
  <si>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</si>
  <si>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</si>
  <si>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</si>
  <si>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</si>
  <si>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</si>
  <si>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</si>
  <si>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</si>
  <si>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</si>
  <si>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</si>
  <si>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</si>
  <si>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</si>
  <si>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</si>
  <si>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</si>
  <si>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</si>
  <si>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</si>
  <si>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</si>
  <si>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</si>
  <si>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</si>
  <si>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</si>
  <si>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</si>
  <si>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</si>
  <si>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</si>
  <si>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</si>
  <si>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</si>
  <si>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</si>
  <si>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</si>
  <si>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</si>
  <si>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</si>
  <si>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</si>
  <si>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</si>
  <si>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</si>
  <si>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</si>
  <si>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</si>
  <si>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</si>
  <si>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</si>
  <si>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</si>
  <si>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</si>
  <si>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</si>
  <si>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</si>
  <si>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</si>
  <si>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</si>
  <si>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</si>
  <si>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</si>
  <si>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</si>
  <si>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</si>
  <si>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High HPA</t>
  </si>
  <si>
    <t>Low HPA</t>
  </si>
  <si>
    <t>HPA</t>
  </si>
  <si>
    <t>% High HPA Model</t>
  </si>
  <si>
    <t>Model</t>
  </si>
  <si>
    <t>Optim</t>
  </si>
  <si>
    <t>Smoonthed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</si>
</sst>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43" fontId="0" fillId="0" borderId="0" xfId="0" applyNumberFormat="1"/>
    <xf numFmtId="43" fontId="0" fillId="0" borderId="0" xfId="1" applyFont="1"/>
    <xf numFmtId="164" fontId="0" fillId="0" borderId="0" xfId="0" applyNumberFormat="1"/>
    <xf numFmtId="43" fontId="14" fillId="0" borderId="0" xfId="0" applyNumberFormat="1" applyFont="1"/>
    <xf numFmtId="0" fontId="14" fillId="0" borderId="0" xfId="0" applyFont="1"/>
    <xf numFmtId="43" fontId="18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 to 11 step 0.5'!$D$55</c:f>
              <c:strCache>
                <c:ptCount val="1"/>
                <c:pt idx="0">
                  <c:v>actual.smm</c:v>
                </c:pt>
              </c:strCache>
            </c:strRef>
          </c:tx>
          <c:cat>
            <c:numRef>
              <c:f>'0 to 11 step 0.5'!$C$60:$C$78</c:f>
              <c:numCache>
                <c:formatCode>General</c:formatCode>
                <c:ptCount val="19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</c:numCache>
            </c:numRef>
          </c:cat>
          <c:val>
            <c:numRef>
              <c:f>'0 to 11 step 0.5'!$D$60:$D$78</c:f>
              <c:numCache>
                <c:formatCode>_(* #,##0.00_);_(* \(#,##0.00\);_(* "-"??_);_(@_)</c:formatCode>
                <c:ptCount val="19"/>
                <c:pt idx="0">
                  <c:v>0.26110840015515802</c:v>
                </c:pt>
                <c:pt idx="1">
                  <c:v>0.325317864974561</c:v>
                </c:pt>
                <c:pt idx="2">
                  <c:v>0.31513522174966502</c:v>
                </c:pt>
                <c:pt idx="3">
                  <c:v>0.38801294067523001</c:v>
                </c:pt>
                <c:pt idx="4">
                  <c:v>0.39799054445677201</c:v>
                </c:pt>
                <c:pt idx="5">
                  <c:v>0.50092387716456799</c:v>
                </c:pt>
                <c:pt idx="6">
                  <c:v>0.54430110490041295</c:v>
                </c:pt>
                <c:pt idx="7">
                  <c:v>0.420963255203259</c:v>
                </c:pt>
                <c:pt idx="8">
                  <c:v>0.46900255339407898</c:v>
                </c:pt>
                <c:pt idx="9">
                  <c:v>0.44114341613827601</c:v>
                </c:pt>
                <c:pt idx="10">
                  <c:v>0.51825911909326905</c:v>
                </c:pt>
                <c:pt idx="11">
                  <c:v>0.52227785105093005</c:v>
                </c:pt>
                <c:pt idx="12">
                  <c:v>0.55213354809030601</c:v>
                </c:pt>
                <c:pt idx="13">
                  <c:v>0.68806782509345199</c:v>
                </c:pt>
                <c:pt idx="14">
                  <c:v>0.56827828020295101</c:v>
                </c:pt>
                <c:pt idx="15">
                  <c:v>0.58566498466514805</c:v>
                </c:pt>
                <c:pt idx="16">
                  <c:v>0.60876212253380801</c:v>
                </c:pt>
                <c:pt idx="17">
                  <c:v>0.53473907063923798</c:v>
                </c:pt>
                <c:pt idx="18">
                  <c:v>0.48596579328994699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 to 11 step 0.5'!$E$55</c:f>
              <c:strCache>
                <c:ptCount val="1"/>
                <c:pt idx="0">
                  <c:v>High HPA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'0 to 11 step 0.5'!$C$60:$C$78</c:f>
              <c:numCache>
                <c:formatCode>General</c:formatCode>
                <c:ptCount val="19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</c:numCache>
            </c:numRef>
          </c:cat>
          <c:val>
            <c:numRef>
              <c:f>'0 to 11 step 0.5'!$E$60:$E$78</c:f>
              <c:numCache>
                <c:formatCode>_(* #,##0.00_);_(* \(#,##0.00\);_(* "-"??_);_(@_)</c:formatCode>
                <c:ptCount val="19"/>
                <c:pt idx="0">
                  <c:v>0.32522649550609101</c:v>
                </c:pt>
                <c:pt idx="1">
                  <c:v>0.36793293653824899</c:v>
                </c:pt>
                <c:pt idx="2">
                  <c:v>0.443099616745323</c:v>
                </c:pt>
                <c:pt idx="3">
                  <c:v>0.50971464219289597</c:v>
                </c:pt>
                <c:pt idx="4">
                  <c:v>0.54026310425635804</c:v>
                </c:pt>
                <c:pt idx="5">
                  <c:v>0.58919398184139005</c:v>
                </c:pt>
                <c:pt idx="6">
                  <c:v>0.63349406799876795</c:v>
                </c:pt>
                <c:pt idx="7">
                  <c:v>0.62316930423839301</c:v>
                </c:pt>
                <c:pt idx="8">
                  <c:v>0.550467241853831</c:v>
                </c:pt>
                <c:pt idx="9">
                  <c:v>0.53769071868438201</c:v>
                </c:pt>
                <c:pt idx="10">
                  <c:v>0.57556657744540196</c:v>
                </c:pt>
                <c:pt idx="11">
                  <c:v>0.53173287851036999</c:v>
                </c:pt>
                <c:pt idx="12">
                  <c:v>0.53466436735785605</c:v>
                </c:pt>
                <c:pt idx="13">
                  <c:v>0.59204940442082199</c:v>
                </c:pt>
                <c:pt idx="14">
                  <c:v>0.54993556281907996</c:v>
                </c:pt>
                <c:pt idx="15">
                  <c:v>0.56527827498852301</c:v>
                </c:pt>
                <c:pt idx="16">
                  <c:v>0.58414904861162897</c:v>
                </c:pt>
                <c:pt idx="17">
                  <c:v>0.57486199920394698</c:v>
                </c:pt>
                <c:pt idx="18">
                  <c:v>0.54025277821787399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 to 11 step 0.5'!$F$55</c:f>
              <c:strCache>
                <c:ptCount val="1"/>
                <c:pt idx="0">
                  <c:v>Low HPA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'0 to 11 step 0.5'!$C$60:$C$78</c:f>
              <c:numCache>
                <c:formatCode>General</c:formatCode>
                <c:ptCount val="19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</c:numCache>
            </c:numRef>
          </c:cat>
          <c:val>
            <c:numRef>
              <c:f>'0 to 11 step 0.5'!$F$60:$F$78</c:f>
              <c:numCache>
                <c:formatCode>_(* #,##0.00_);_(* \(#,##0.00\);_(* "-"??_);_(@_)</c:formatCode>
                <c:ptCount val="19"/>
                <c:pt idx="0">
                  <c:v>0.23406505699799399</c:v>
                </c:pt>
                <c:pt idx="1">
                  <c:v>0.26199086507055303</c:v>
                </c:pt>
                <c:pt idx="2">
                  <c:v>0.316880245954205</c:v>
                </c:pt>
                <c:pt idx="3">
                  <c:v>0.37047628518826597</c:v>
                </c:pt>
                <c:pt idx="4">
                  <c:v>0.39360456459382098</c:v>
                </c:pt>
                <c:pt idx="5">
                  <c:v>0.44655472452920703</c:v>
                </c:pt>
                <c:pt idx="6">
                  <c:v>0.48847013906729397</c:v>
                </c:pt>
                <c:pt idx="7">
                  <c:v>0.47208962399293403</c:v>
                </c:pt>
                <c:pt idx="8">
                  <c:v>0.40548119397078802</c:v>
                </c:pt>
                <c:pt idx="9">
                  <c:v>0.38507526037951501</c:v>
                </c:pt>
                <c:pt idx="10">
                  <c:v>0.42500775290753001</c:v>
                </c:pt>
                <c:pt idx="11">
                  <c:v>0.39663894567170399</c:v>
                </c:pt>
                <c:pt idx="12">
                  <c:v>0.40452768208248802</c:v>
                </c:pt>
                <c:pt idx="13">
                  <c:v>0.45693953663241399</c:v>
                </c:pt>
                <c:pt idx="14">
                  <c:v>0.41144025851441901</c:v>
                </c:pt>
                <c:pt idx="15">
                  <c:v>0.41530046680524202</c:v>
                </c:pt>
                <c:pt idx="16">
                  <c:v>0.41903987221386002</c:v>
                </c:pt>
                <c:pt idx="17">
                  <c:v>0.40887376641938999</c:v>
                </c:pt>
                <c:pt idx="18">
                  <c:v>0.37892270670575801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307584"/>
        <c:axId val="362309504"/>
      </c:lineChart>
      <c:catAx>
        <c:axId val="36230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n-US"/>
          </a:p>
        </c:txPr>
        <c:crossAx val="362309504"/>
        <c:crosses val="autoZero"/>
        <c:auto val="1"/>
        <c:lblAlgn val="ctr"/>
        <c:lblOffset val="100"/>
        <c:noMultiLvlLbl val="0"/>
      </c:catAx>
      <c:valAx>
        <c:axId val="3623095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623075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 to 11 step 0.5'!$J$55</c:f>
              <c:strCache>
                <c:ptCount val="1"/>
                <c:pt idx="0">
                  <c:v>% High HPA Model</c:v>
                </c:pt>
              </c:strCache>
            </c:strRef>
          </c:tx>
          <c:marker>
            <c:symbol val="none"/>
          </c:marker>
          <c:cat>
            <c:numRef>
              <c:f>'0 to 11 step 0.5'!$I$60:$I$78</c:f>
              <c:numCache>
                <c:formatCode>0.0</c:formatCode>
                <c:ptCount val="19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</c:numCache>
            </c:numRef>
          </c:cat>
          <c:val>
            <c:numRef>
              <c:f>'0 to 11 step 0.5'!$J$60:$J$78</c:f>
              <c:numCache>
                <c:formatCode>_(* #,##0.00_);_(* \(#,##0.00\);_(* "-"??_);_(@_)</c:formatCode>
                <c:ptCount val="19"/>
                <c:pt idx="0">
                  <c:v>0.29665328449025474</c:v>
                </c:pt>
                <c:pt idx="1">
                  <c:v>0.59775116909241566</c:v>
                </c:pt>
                <c:pt idx="2">
                  <c:v>0.200187889272708</c:v>
                </c:pt>
                <c:pt idx="3">
                  <c:v>0.12594701534955102</c:v>
                </c:pt>
                <c:pt idx="4">
                  <c:v>2.9906057773487683E-2</c:v>
                </c:pt>
                <c:pt idx="5">
                  <c:v>0.38116538808258521</c:v>
                </c:pt>
                <c:pt idx="6">
                  <c:v>0.38497755096251346</c:v>
                </c:pt>
                <c:pt idx="7">
                  <c:v>0</c:v>
                </c:pt>
                <c:pt idx="8">
                  <c:v>0.43812045360960084</c:v>
                </c:pt>
                <c:pt idx="9">
                  <c:v>0.36738182778891754</c:v>
                </c:pt>
                <c:pt idx="10">
                  <c:v>0.6193683116928741</c:v>
                </c:pt>
                <c:pt idx="11">
                  <c:v>0.9300113543071894</c:v>
                </c:pt>
                <c:pt idx="12">
                  <c:v>1.1342363917888303</c:v>
                </c:pt>
                <c:pt idx="13">
                  <c:v>1.7106684855857739</c:v>
                </c:pt>
                <c:pt idx="14">
                  <c:v>1.1324428759006593</c:v>
                </c:pt>
                <c:pt idx="15">
                  <c:v>1.1359314601064614</c:v>
                </c:pt>
                <c:pt idx="16">
                  <c:v>1.1490715154636792</c:v>
                </c:pt>
                <c:pt idx="17">
                  <c:v>0.75827779571593568</c:v>
                </c:pt>
                <c:pt idx="18">
                  <c:v>0.66350290513029309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606400"/>
        <c:axId val="365607936"/>
      </c:lineChart>
      <c:catAx>
        <c:axId val="36560640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365607936"/>
        <c:crosses val="autoZero"/>
        <c:auto val="1"/>
        <c:lblAlgn val="ctr"/>
        <c:lblOffset val="100"/>
        <c:noMultiLvlLbl val="0"/>
      </c:catAx>
      <c:valAx>
        <c:axId val="365607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65606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 to 11 step 0.5'!$S$55:$S$59</c:f>
              <c:strCache>
                <c:ptCount val="1"/>
                <c:pt idx="0">
                  <c:v>Smoonthed</c:v>
                </c:pt>
              </c:strCache>
            </c:strRef>
          </c:tx>
          <c:marker>
            <c:symbol val="none"/>
          </c:marke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8.4518898224970204E-2"/>
                  <c:y val="-9.407563289998401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3.5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cat>
            <c:numRef>
              <c:f>'0 to 11 step 0.5'!$Q$62:$Q$72</c:f>
              <c:numCache>
                <c:formatCode>0.0</c:formatCode>
                <c:ptCount val="11"/>
                <c:pt idx="0">
                  <c:v>2.7976050908997099</c:v>
                </c:pt>
                <c:pt idx="1">
                  <c:v>3.2813580377172702</c:v>
                </c:pt>
                <c:pt idx="2">
                  <c:v>3.74459035008964</c:v>
                </c:pt>
                <c:pt idx="3">
                  <c:v>4.1570647409444197</c:v>
                </c:pt>
                <c:pt idx="4">
                  <c:v>4.68607571507488</c:v>
                </c:pt>
                <c:pt idx="5">
                  <c:v>5.3471548206444401</c:v>
                </c:pt>
                <c:pt idx="6">
                  <c:v>5.7849592781724999</c:v>
                </c:pt>
                <c:pt idx="7">
                  <c:v>6.3478955420492502</c:v>
                </c:pt>
                <c:pt idx="8">
                  <c:v>6.7333653206622399</c:v>
                </c:pt>
                <c:pt idx="9">
                  <c:v>7.1838027800934796</c:v>
                </c:pt>
                <c:pt idx="10">
                  <c:v>7.6509436474597896</c:v>
                </c:pt>
              </c:numCache>
            </c:numRef>
          </c:cat>
          <c:val>
            <c:numRef>
              <c:f>'0 to 11 step 0.5'!$S$62:$S$72</c:f>
              <c:numCache>
                <c:formatCode>_(* #,##0.00_);_(* \(#,##0.00\);_(* "-"??_);_(@_)</c:formatCode>
                <c:ptCount val="11"/>
                <c:pt idx="0" formatCode="General">
                  <c:v>0</c:v>
                </c:pt>
                <c:pt idx="1">
                  <c:v>0.12594701534955102</c:v>
                </c:pt>
                <c:pt idx="2">
                  <c:v>2.9906057773487683E-2</c:v>
                </c:pt>
                <c:pt idx="3">
                  <c:v>0.38116538808258521</c:v>
                </c:pt>
                <c:pt idx="4">
                  <c:v>0.38497755096251346</c:v>
                </c:pt>
                <c:pt idx="5">
                  <c:v>0</c:v>
                </c:pt>
                <c:pt idx="6">
                  <c:v>0.43812045360960084</c:v>
                </c:pt>
                <c:pt idx="7">
                  <c:v>0.36738182778891754</c:v>
                </c:pt>
                <c:pt idx="8">
                  <c:v>0.6193683116928741</c:v>
                </c:pt>
                <c:pt idx="9">
                  <c:v>0.9300113543071894</c:v>
                </c:pt>
                <c:pt idx="10" formatCode="General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720704"/>
        <c:axId val="365722240"/>
      </c:lineChart>
      <c:catAx>
        <c:axId val="365720704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365722240"/>
        <c:crosses val="autoZero"/>
        <c:auto val="1"/>
        <c:lblAlgn val="ctr"/>
        <c:lblOffset val="100"/>
        <c:noMultiLvlLbl val="0"/>
      </c:catAx>
      <c:valAx>
        <c:axId val="365722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65720704"/>
        <c:crosses val="autoZero"/>
        <c:crossBetween val="midCat"/>
        <c:majorUnit val="5.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to 8 step 0.2'!$D$38</c:f>
              <c:strCache>
                <c:ptCount val="1"/>
                <c:pt idx="0">
                  <c:v>actual.smm</c:v>
                </c:pt>
              </c:strCache>
            </c:strRef>
          </c:tx>
          <c:cat>
            <c:numRef>
              <c:f>'5 to 8 step 0.2'!$C$39:$C$52</c:f>
              <c:numCache>
                <c:formatCode>General</c:formatCode>
                <c:ptCount val="14"/>
                <c:pt idx="0">
                  <c:v>5.2</c:v>
                </c:pt>
                <c:pt idx="1">
                  <c:v>5.4</c:v>
                </c:pt>
                <c:pt idx="2">
                  <c:v>5.6</c:v>
                </c:pt>
                <c:pt idx="3">
                  <c:v>5.8</c:v>
                </c:pt>
                <c:pt idx="4">
                  <c:v>6</c:v>
                </c:pt>
                <c:pt idx="5">
                  <c:v>6.2</c:v>
                </c:pt>
                <c:pt idx="6">
                  <c:v>6.4</c:v>
                </c:pt>
                <c:pt idx="7">
                  <c:v>6.6</c:v>
                </c:pt>
                <c:pt idx="8">
                  <c:v>6.8</c:v>
                </c:pt>
                <c:pt idx="9">
                  <c:v>7</c:v>
                </c:pt>
                <c:pt idx="10">
                  <c:v>7.2</c:v>
                </c:pt>
                <c:pt idx="11">
                  <c:v>7.4</c:v>
                </c:pt>
                <c:pt idx="12">
                  <c:v>7.6</c:v>
                </c:pt>
                <c:pt idx="13">
                  <c:v>7.8</c:v>
                </c:pt>
              </c:numCache>
            </c:numRef>
          </c:cat>
          <c:val>
            <c:numRef>
              <c:f>'5 to 8 step 0.2'!$D$39:$D$52</c:f>
              <c:numCache>
                <c:formatCode>_(* #,##0.00_);_(* \(#,##0.00\);_(* "-"??_);_(@_)</c:formatCode>
                <c:ptCount val="14"/>
                <c:pt idx="0">
                  <c:v>0.55788943546803205</c:v>
                </c:pt>
                <c:pt idx="1">
                  <c:v>0.44527121448865398</c:v>
                </c:pt>
                <c:pt idx="2">
                  <c:v>0.35830259151903099</c:v>
                </c:pt>
                <c:pt idx="3">
                  <c:v>0.44266188436632797</c:v>
                </c:pt>
                <c:pt idx="4">
                  <c:v>0.51889020945515596</c:v>
                </c:pt>
                <c:pt idx="5">
                  <c:v>0.46088523509278101</c:v>
                </c:pt>
                <c:pt idx="6">
                  <c:v>0.41215412159475101</c:v>
                </c:pt>
                <c:pt idx="7">
                  <c:v>0.48630309823839901</c:v>
                </c:pt>
                <c:pt idx="8">
                  <c:v>0.51823930731979695</c:v>
                </c:pt>
                <c:pt idx="9">
                  <c:v>0.52592853235612702</c:v>
                </c:pt>
                <c:pt idx="10">
                  <c:v>0.49625789601251402</c:v>
                </c:pt>
                <c:pt idx="11">
                  <c:v>0.55070251976820095</c:v>
                </c:pt>
                <c:pt idx="12">
                  <c:v>0.55450366853095301</c:v>
                </c:pt>
                <c:pt idx="13">
                  <c:v>0.46014634247767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 to 8 step 0.2'!$E$38</c:f>
              <c:strCache>
                <c:ptCount val="1"/>
                <c:pt idx="0">
                  <c:v>High HPA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'5 to 8 step 0.2'!$C$39:$C$52</c:f>
              <c:numCache>
                <c:formatCode>General</c:formatCode>
                <c:ptCount val="14"/>
                <c:pt idx="0">
                  <c:v>5.2</c:v>
                </c:pt>
                <c:pt idx="1">
                  <c:v>5.4</c:v>
                </c:pt>
                <c:pt idx="2">
                  <c:v>5.6</c:v>
                </c:pt>
                <c:pt idx="3">
                  <c:v>5.8</c:v>
                </c:pt>
                <c:pt idx="4">
                  <c:v>6</c:v>
                </c:pt>
                <c:pt idx="5">
                  <c:v>6.2</c:v>
                </c:pt>
                <c:pt idx="6">
                  <c:v>6.4</c:v>
                </c:pt>
                <c:pt idx="7">
                  <c:v>6.6</c:v>
                </c:pt>
                <c:pt idx="8">
                  <c:v>6.8</c:v>
                </c:pt>
                <c:pt idx="9">
                  <c:v>7</c:v>
                </c:pt>
                <c:pt idx="10">
                  <c:v>7.2</c:v>
                </c:pt>
                <c:pt idx="11">
                  <c:v>7.4</c:v>
                </c:pt>
                <c:pt idx="12">
                  <c:v>7.6</c:v>
                </c:pt>
                <c:pt idx="13">
                  <c:v>7.8</c:v>
                </c:pt>
              </c:numCache>
            </c:numRef>
          </c:cat>
          <c:val>
            <c:numRef>
              <c:f>'5 to 8 step 0.2'!$E$39:$E$52</c:f>
              <c:numCache>
                <c:formatCode>_(* #,##0.00_);_(* \(#,##0.00\);_(* "-"??_);_(@_)</c:formatCode>
                <c:ptCount val="14"/>
                <c:pt idx="0">
                  <c:v>0.63645194931734805</c:v>
                </c:pt>
                <c:pt idx="1">
                  <c:v>0.61752942792655696</c:v>
                </c:pt>
                <c:pt idx="2">
                  <c:v>0.63249926352056496</c:v>
                </c:pt>
                <c:pt idx="3">
                  <c:v>0.57976035164490203</c:v>
                </c:pt>
                <c:pt idx="4">
                  <c:v>0.50296368759933796</c:v>
                </c:pt>
                <c:pt idx="5">
                  <c:v>0.507104874003385</c:v>
                </c:pt>
                <c:pt idx="6">
                  <c:v>0.53446316535235605</c:v>
                </c:pt>
                <c:pt idx="7">
                  <c:v>0.55835456515974602</c:v>
                </c:pt>
                <c:pt idx="8">
                  <c:v>0.58327622728418804</c:v>
                </c:pt>
                <c:pt idx="9">
                  <c:v>0.57037105532627297</c:v>
                </c:pt>
                <c:pt idx="10">
                  <c:v>0.53603139121729604</c:v>
                </c:pt>
                <c:pt idx="11">
                  <c:v>0.52861821439572099</c:v>
                </c:pt>
                <c:pt idx="12">
                  <c:v>0.51391561358655902</c:v>
                </c:pt>
                <c:pt idx="13">
                  <c:v>0.53638459641066405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 to 8 step 0.2'!$F$38</c:f>
              <c:strCache>
                <c:ptCount val="1"/>
                <c:pt idx="0">
                  <c:v>Low HPA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'5 to 8 step 0.2'!$C$39:$C$52</c:f>
              <c:numCache>
                <c:formatCode>General</c:formatCode>
                <c:ptCount val="14"/>
                <c:pt idx="0">
                  <c:v>5.2</c:v>
                </c:pt>
                <c:pt idx="1">
                  <c:v>5.4</c:v>
                </c:pt>
                <c:pt idx="2">
                  <c:v>5.6</c:v>
                </c:pt>
                <c:pt idx="3">
                  <c:v>5.8</c:v>
                </c:pt>
                <c:pt idx="4">
                  <c:v>6</c:v>
                </c:pt>
                <c:pt idx="5">
                  <c:v>6.2</c:v>
                </c:pt>
                <c:pt idx="6">
                  <c:v>6.4</c:v>
                </c:pt>
                <c:pt idx="7">
                  <c:v>6.6</c:v>
                </c:pt>
                <c:pt idx="8">
                  <c:v>6.8</c:v>
                </c:pt>
                <c:pt idx="9">
                  <c:v>7</c:v>
                </c:pt>
                <c:pt idx="10">
                  <c:v>7.2</c:v>
                </c:pt>
                <c:pt idx="11">
                  <c:v>7.4</c:v>
                </c:pt>
                <c:pt idx="12">
                  <c:v>7.6</c:v>
                </c:pt>
                <c:pt idx="13">
                  <c:v>7.8</c:v>
                </c:pt>
              </c:numCache>
            </c:numRef>
          </c:cat>
          <c:val>
            <c:numRef>
              <c:f>'5 to 8 step 0.2'!$F$39:$F$52</c:f>
              <c:numCache>
                <c:formatCode>_(* #,##0.00_);_(* \(#,##0.00\);_(* "-"??_);_(@_)</c:formatCode>
                <c:ptCount val="14"/>
                <c:pt idx="0">
                  <c:v>0.48873689026085099</c:v>
                </c:pt>
                <c:pt idx="1">
                  <c:v>0.46814387799573298</c:v>
                </c:pt>
                <c:pt idx="2">
                  <c:v>0.47609461448214502</c:v>
                </c:pt>
                <c:pt idx="3">
                  <c:v>0.42907024835607699</c:v>
                </c:pt>
                <c:pt idx="4">
                  <c:v>0.365753883815855</c:v>
                </c:pt>
                <c:pt idx="5">
                  <c:v>0.365216349869245</c:v>
                </c:pt>
                <c:pt idx="6">
                  <c:v>0.381540941965827</c:v>
                </c:pt>
                <c:pt idx="7">
                  <c:v>0.40324456482459198</c:v>
                </c:pt>
                <c:pt idx="8">
                  <c:v>0.43072591639748897</c:v>
                </c:pt>
                <c:pt idx="9">
                  <c:v>0.42536334640839601</c:v>
                </c:pt>
                <c:pt idx="10">
                  <c:v>0.39850966834519902</c:v>
                </c:pt>
                <c:pt idx="11">
                  <c:v>0.39589456203881102</c:v>
                </c:pt>
                <c:pt idx="12">
                  <c:v>0.386570029929659</c:v>
                </c:pt>
                <c:pt idx="13">
                  <c:v>0.407016428356124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908160"/>
        <c:axId val="366909696"/>
      </c:lineChart>
      <c:catAx>
        <c:axId val="36690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n-US"/>
          </a:p>
        </c:txPr>
        <c:crossAx val="366909696"/>
        <c:crosses val="autoZero"/>
        <c:auto val="1"/>
        <c:lblAlgn val="ctr"/>
        <c:lblOffset val="100"/>
        <c:noMultiLvlLbl val="0"/>
      </c:catAx>
      <c:valAx>
        <c:axId val="366909696"/>
        <c:scaling>
          <c:orientation val="minMax"/>
          <c:min val="0.30000000000000004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66908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to 8 step 0.2'!$J$38</c:f>
              <c:strCache>
                <c:ptCount val="1"/>
                <c:pt idx="0">
                  <c:v>% High HPA Model</c:v>
                </c:pt>
              </c:strCache>
            </c:strRef>
          </c:tx>
          <c:marker>
            <c:symbol val="none"/>
          </c:marker>
          <c:trendline>
            <c:trendlineType val="poly"/>
            <c:order val="2"/>
            <c:dispRSqr val="0"/>
            <c:dispEq val="0"/>
          </c:trendline>
          <c:cat>
            <c:numRef>
              <c:f>'5 to 8 step 0.2'!$I$39:$I$52</c:f>
              <c:numCache>
                <c:formatCode>0.0</c:formatCode>
                <c:ptCount val="14"/>
                <c:pt idx="0">
                  <c:v>5.2</c:v>
                </c:pt>
                <c:pt idx="1">
                  <c:v>5.4</c:v>
                </c:pt>
                <c:pt idx="2">
                  <c:v>5.6</c:v>
                </c:pt>
                <c:pt idx="3">
                  <c:v>5.8</c:v>
                </c:pt>
                <c:pt idx="4">
                  <c:v>6</c:v>
                </c:pt>
                <c:pt idx="5">
                  <c:v>6.2</c:v>
                </c:pt>
                <c:pt idx="6">
                  <c:v>6.4</c:v>
                </c:pt>
                <c:pt idx="7">
                  <c:v>6.6</c:v>
                </c:pt>
                <c:pt idx="8">
                  <c:v>6.8</c:v>
                </c:pt>
                <c:pt idx="9">
                  <c:v>7</c:v>
                </c:pt>
                <c:pt idx="10">
                  <c:v>7.2</c:v>
                </c:pt>
                <c:pt idx="11">
                  <c:v>7.4</c:v>
                </c:pt>
                <c:pt idx="12">
                  <c:v>7.6</c:v>
                </c:pt>
                <c:pt idx="13">
                  <c:v>7.8</c:v>
                </c:pt>
              </c:numCache>
            </c:numRef>
          </c:cat>
          <c:val>
            <c:numRef>
              <c:f>'5 to 8 step 0.2'!$J$39:$J$52</c:f>
              <c:numCache>
                <c:formatCode>_(* #,##0.00_);_(* \(#,##0.00\);_(* "-"??_);_(@_)</c:formatCode>
                <c:ptCount val="14"/>
                <c:pt idx="0">
                  <c:v>0.46814808564303378</c:v>
                </c:pt>
                <c:pt idx="1">
                  <c:v>0</c:v>
                </c:pt>
                <c:pt idx="2">
                  <c:v>0</c:v>
                </c:pt>
                <c:pt idx="3">
                  <c:v>9.0195867933130447E-2</c:v>
                </c:pt>
                <c:pt idx="4">
                  <c:v>1.116073784417233</c:v>
                </c:pt>
                <c:pt idx="5">
                  <c:v>0.67425385282230899</c:v>
                </c:pt>
                <c:pt idx="6">
                  <c:v>0.200187889272708</c:v>
                </c:pt>
                <c:pt idx="7">
                  <c:v>0.5354814661284325</c:v>
                </c:pt>
                <c:pt idx="8">
                  <c:v>0.57366900030457846</c:v>
                </c:pt>
                <c:pt idx="9">
                  <c:v>0.69351613105216148</c:v>
                </c:pt>
                <c:pt idx="10">
                  <c:v>0.71078390381692336</c:v>
                </c:pt>
                <c:pt idx="11">
                  <c:v>1.1663930475737792</c:v>
                </c:pt>
                <c:pt idx="12">
                  <c:v>1.3187234362120297</c:v>
                </c:pt>
                <c:pt idx="13">
                  <c:v>0.41068739777961583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929408"/>
        <c:axId val="366930944"/>
      </c:lineChart>
      <c:catAx>
        <c:axId val="366929408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366930944"/>
        <c:crosses val="autoZero"/>
        <c:auto val="1"/>
        <c:lblAlgn val="ctr"/>
        <c:lblOffset val="100"/>
        <c:noMultiLvlLbl val="0"/>
      </c:catAx>
      <c:valAx>
        <c:axId val="36693094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66929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to 8 step 0.1'!$D$68</c:f>
              <c:strCache>
                <c:ptCount val="1"/>
                <c:pt idx="0">
                  <c:v>actual.smm</c:v>
                </c:pt>
              </c:strCache>
            </c:strRef>
          </c:tx>
          <c:marker>
            <c:symbol val="none"/>
          </c:marker>
          <c:cat>
            <c:numRef>
              <c:f>'5 to 8 step 0.1'!$C$69:$C$98</c:f>
              <c:numCache>
                <c:formatCode>General</c:formatCode>
                <c:ptCount val="30"/>
                <c:pt idx="0">
                  <c:v>5.0999999999999996</c:v>
                </c:pt>
                <c:pt idx="1">
                  <c:v>5.2</c:v>
                </c:pt>
                <c:pt idx="2">
                  <c:v>5.3</c:v>
                </c:pt>
                <c:pt idx="3">
                  <c:v>5.4</c:v>
                </c:pt>
                <c:pt idx="4">
                  <c:v>5.5</c:v>
                </c:pt>
                <c:pt idx="5">
                  <c:v>5.6</c:v>
                </c:pt>
                <c:pt idx="6">
                  <c:v>5.7</c:v>
                </c:pt>
                <c:pt idx="7">
                  <c:v>5.8</c:v>
                </c:pt>
                <c:pt idx="8">
                  <c:v>5.9</c:v>
                </c:pt>
                <c:pt idx="9">
                  <c:v>6</c:v>
                </c:pt>
                <c:pt idx="10">
                  <c:v>6.1</c:v>
                </c:pt>
                <c:pt idx="11">
                  <c:v>6.2</c:v>
                </c:pt>
                <c:pt idx="12">
                  <c:v>6.3</c:v>
                </c:pt>
                <c:pt idx="13">
                  <c:v>6.4</c:v>
                </c:pt>
                <c:pt idx="14">
                  <c:v>6.5</c:v>
                </c:pt>
                <c:pt idx="15">
                  <c:v>6.6</c:v>
                </c:pt>
                <c:pt idx="16">
                  <c:v>6.7</c:v>
                </c:pt>
                <c:pt idx="17">
                  <c:v>6.8</c:v>
                </c:pt>
                <c:pt idx="18">
                  <c:v>6.9</c:v>
                </c:pt>
                <c:pt idx="19">
                  <c:v>7</c:v>
                </c:pt>
                <c:pt idx="20">
                  <c:v>7.1</c:v>
                </c:pt>
                <c:pt idx="21">
                  <c:v>7.2</c:v>
                </c:pt>
                <c:pt idx="22">
                  <c:v>7.3</c:v>
                </c:pt>
                <c:pt idx="23">
                  <c:v>7.4</c:v>
                </c:pt>
                <c:pt idx="24">
                  <c:v>7.5</c:v>
                </c:pt>
                <c:pt idx="25">
                  <c:v>7.6</c:v>
                </c:pt>
                <c:pt idx="26">
                  <c:v>7.7</c:v>
                </c:pt>
                <c:pt idx="27">
                  <c:v>7.8</c:v>
                </c:pt>
                <c:pt idx="28">
                  <c:v>7.9</c:v>
                </c:pt>
                <c:pt idx="29">
                  <c:v>8</c:v>
                </c:pt>
              </c:numCache>
            </c:numRef>
          </c:cat>
          <c:val>
            <c:numRef>
              <c:f>'5 to 8 step 0.1'!$D$69:$D$98</c:f>
              <c:numCache>
                <c:formatCode>_(* #,##0.00_);_(* \(#,##0.00\);_(* "-"??_);_(@_)</c:formatCode>
                <c:ptCount val="30"/>
                <c:pt idx="0">
                  <c:v>0.76827756169828798</c:v>
                </c:pt>
                <c:pt idx="1">
                  <c:v>0.40285676021571298</c:v>
                </c:pt>
                <c:pt idx="2">
                  <c:v>0.51439464516750499</c:v>
                </c:pt>
                <c:pt idx="3">
                  <c:v>0.40551712338328499</c:v>
                </c:pt>
                <c:pt idx="4">
                  <c:v>0.34678948676197902</c:v>
                </c:pt>
                <c:pt idx="5">
                  <c:v>0.37083564252763201</c:v>
                </c:pt>
                <c:pt idx="6">
                  <c:v>0.46143127927155397</c:v>
                </c:pt>
                <c:pt idx="7">
                  <c:v>0.42617889720711399</c:v>
                </c:pt>
                <c:pt idx="8">
                  <c:v>0.347997227612933</c:v>
                </c:pt>
                <c:pt idx="9">
                  <c:v>0.62848353525072698</c:v>
                </c:pt>
                <c:pt idx="10">
                  <c:v>0.50896751323434197</c:v>
                </c:pt>
                <c:pt idx="11">
                  <c:v>0.43426131817283697</c:v>
                </c:pt>
                <c:pt idx="12">
                  <c:v>0.36712157793447298</c:v>
                </c:pt>
                <c:pt idx="13">
                  <c:v>0.44757631052333302</c:v>
                </c:pt>
                <c:pt idx="14">
                  <c:v>0.46338789161558702</c:v>
                </c:pt>
                <c:pt idx="15">
                  <c:v>0.50588713509962902</c:v>
                </c:pt>
                <c:pt idx="16">
                  <c:v>0.48328828646673</c:v>
                </c:pt>
                <c:pt idx="17">
                  <c:v>0.55655211073743405</c:v>
                </c:pt>
                <c:pt idx="18">
                  <c:v>0.54292176046000196</c:v>
                </c:pt>
                <c:pt idx="19">
                  <c:v>0.50673417016379996</c:v>
                </c:pt>
                <c:pt idx="20">
                  <c:v>0.49467048750505099</c:v>
                </c:pt>
                <c:pt idx="21">
                  <c:v>0.498149362254793</c:v>
                </c:pt>
                <c:pt idx="22">
                  <c:v>0.546454230620258</c:v>
                </c:pt>
                <c:pt idx="23">
                  <c:v>0.55680173640182395</c:v>
                </c:pt>
                <c:pt idx="24">
                  <c:v>0.60075308240533298</c:v>
                </c:pt>
                <c:pt idx="25">
                  <c:v>0.482266595485286</c:v>
                </c:pt>
                <c:pt idx="26">
                  <c:v>0.51207770977187805</c:v>
                </c:pt>
                <c:pt idx="27">
                  <c:v>0.36955255735578302</c:v>
                </c:pt>
                <c:pt idx="28">
                  <c:v>0.965712844794546</c:v>
                </c:pt>
                <c:pt idx="29">
                  <c:v>1.0950452517581799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 to 8 step 0.1'!$E$68</c:f>
              <c:strCache>
                <c:ptCount val="1"/>
                <c:pt idx="0">
                  <c:v>High HPA</c:v>
                </c:pt>
              </c:strCache>
            </c:strRef>
          </c:tx>
          <c:marker>
            <c:symbol val="none"/>
          </c:marker>
          <c:cat>
            <c:numRef>
              <c:f>'5 to 8 step 0.1'!$C$69:$C$98</c:f>
              <c:numCache>
                <c:formatCode>General</c:formatCode>
                <c:ptCount val="30"/>
                <c:pt idx="0">
                  <c:v>5.0999999999999996</c:v>
                </c:pt>
                <c:pt idx="1">
                  <c:v>5.2</c:v>
                </c:pt>
                <c:pt idx="2">
                  <c:v>5.3</c:v>
                </c:pt>
                <c:pt idx="3">
                  <c:v>5.4</c:v>
                </c:pt>
                <c:pt idx="4">
                  <c:v>5.5</c:v>
                </c:pt>
                <c:pt idx="5">
                  <c:v>5.6</c:v>
                </c:pt>
                <c:pt idx="6">
                  <c:v>5.7</c:v>
                </c:pt>
                <c:pt idx="7">
                  <c:v>5.8</c:v>
                </c:pt>
                <c:pt idx="8">
                  <c:v>5.9</c:v>
                </c:pt>
                <c:pt idx="9">
                  <c:v>6</c:v>
                </c:pt>
                <c:pt idx="10">
                  <c:v>6.1</c:v>
                </c:pt>
                <c:pt idx="11">
                  <c:v>6.2</c:v>
                </c:pt>
                <c:pt idx="12">
                  <c:v>6.3</c:v>
                </c:pt>
                <c:pt idx="13">
                  <c:v>6.4</c:v>
                </c:pt>
                <c:pt idx="14">
                  <c:v>6.5</c:v>
                </c:pt>
                <c:pt idx="15">
                  <c:v>6.6</c:v>
                </c:pt>
                <c:pt idx="16">
                  <c:v>6.7</c:v>
                </c:pt>
                <c:pt idx="17">
                  <c:v>6.8</c:v>
                </c:pt>
                <c:pt idx="18">
                  <c:v>6.9</c:v>
                </c:pt>
                <c:pt idx="19">
                  <c:v>7</c:v>
                </c:pt>
                <c:pt idx="20">
                  <c:v>7.1</c:v>
                </c:pt>
                <c:pt idx="21">
                  <c:v>7.2</c:v>
                </c:pt>
                <c:pt idx="22">
                  <c:v>7.3</c:v>
                </c:pt>
                <c:pt idx="23">
                  <c:v>7.4</c:v>
                </c:pt>
                <c:pt idx="24">
                  <c:v>7.5</c:v>
                </c:pt>
                <c:pt idx="25">
                  <c:v>7.6</c:v>
                </c:pt>
                <c:pt idx="26">
                  <c:v>7.7</c:v>
                </c:pt>
                <c:pt idx="27">
                  <c:v>7.8</c:v>
                </c:pt>
                <c:pt idx="28">
                  <c:v>7.9</c:v>
                </c:pt>
                <c:pt idx="29">
                  <c:v>8</c:v>
                </c:pt>
              </c:numCache>
            </c:numRef>
          </c:cat>
          <c:val>
            <c:numRef>
              <c:f>'5 to 8 step 0.1'!$E$69:$E$98</c:f>
              <c:numCache>
                <c:formatCode>_(* #,##0.00_);_(* \(#,##0.00\);_(* "-"??_);_(@_)</c:formatCode>
                <c:ptCount val="30"/>
                <c:pt idx="0">
                  <c:v>0.62322354623679099</c:v>
                </c:pt>
                <c:pt idx="1">
                  <c:v>0.64619981273360505</c:v>
                </c:pt>
                <c:pt idx="2">
                  <c:v>0.60888551296750004</c:v>
                </c:pt>
                <c:pt idx="3">
                  <c:v>0.62250069424558396</c:v>
                </c:pt>
                <c:pt idx="4">
                  <c:v>0.62565679143128705</c:v>
                </c:pt>
                <c:pt idx="5">
                  <c:v>0.63994791039119503</c:v>
                </c:pt>
                <c:pt idx="6">
                  <c:v>0.60791731310191999</c:v>
                </c:pt>
                <c:pt idx="7">
                  <c:v>0.55503335130834297</c:v>
                </c:pt>
                <c:pt idx="8">
                  <c:v>0.50194147384563104</c:v>
                </c:pt>
                <c:pt idx="9">
                  <c:v>0.50361923122514995</c:v>
                </c:pt>
                <c:pt idx="10">
                  <c:v>0.51815088745793003</c:v>
                </c:pt>
                <c:pt idx="11">
                  <c:v>0.500988521869558</c:v>
                </c:pt>
                <c:pt idx="12">
                  <c:v>0.532063757655308</c:v>
                </c:pt>
                <c:pt idx="13">
                  <c:v>0.536350517605933</c:v>
                </c:pt>
                <c:pt idx="14">
                  <c:v>0.54952373303644797</c:v>
                </c:pt>
                <c:pt idx="15">
                  <c:v>0.56590166454508695</c:v>
                </c:pt>
                <c:pt idx="16">
                  <c:v>0.57892291527756601</c:v>
                </c:pt>
                <c:pt idx="17">
                  <c:v>0.58804826492585005</c:v>
                </c:pt>
                <c:pt idx="18">
                  <c:v>0.57690734735469795</c:v>
                </c:pt>
                <c:pt idx="19">
                  <c:v>0.56298811690977402</c:v>
                </c:pt>
                <c:pt idx="20">
                  <c:v>0.53828948501648899</c:v>
                </c:pt>
                <c:pt idx="21">
                  <c:v>0.53334077429481197</c:v>
                </c:pt>
                <c:pt idx="22">
                  <c:v>0.534180215674951</c:v>
                </c:pt>
                <c:pt idx="23">
                  <c:v>0.52063291736505002</c:v>
                </c:pt>
                <c:pt idx="24">
                  <c:v>0.51293550520286002</c:v>
                </c:pt>
                <c:pt idx="25">
                  <c:v>0.51544644727665201</c:v>
                </c:pt>
                <c:pt idx="26">
                  <c:v>0.52355657476053796</c:v>
                </c:pt>
                <c:pt idx="27">
                  <c:v>0.55876296034486395</c:v>
                </c:pt>
                <c:pt idx="28">
                  <c:v>0.58065140258543402</c:v>
                </c:pt>
                <c:pt idx="29">
                  <c:v>0.59781767786318096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 to 8 step 0.1'!$F$68</c:f>
              <c:strCache>
                <c:ptCount val="1"/>
                <c:pt idx="0">
                  <c:v>Low HPA</c:v>
                </c:pt>
              </c:strCache>
            </c:strRef>
          </c:tx>
          <c:marker>
            <c:symbol val="none"/>
          </c:marker>
          <c:cat>
            <c:numRef>
              <c:f>'5 to 8 step 0.1'!$C$69:$C$98</c:f>
              <c:numCache>
                <c:formatCode>General</c:formatCode>
                <c:ptCount val="30"/>
                <c:pt idx="0">
                  <c:v>5.0999999999999996</c:v>
                </c:pt>
                <c:pt idx="1">
                  <c:v>5.2</c:v>
                </c:pt>
                <c:pt idx="2">
                  <c:v>5.3</c:v>
                </c:pt>
                <c:pt idx="3">
                  <c:v>5.4</c:v>
                </c:pt>
                <c:pt idx="4">
                  <c:v>5.5</c:v>
                </c:pt>
                <c:pt idx="5">
                  <c:v>5.6</c:v>
                </c:pt>
                <c:pt idx="6">
                  <c:v>5.7</c:v>
                </c:pt>
                <c:pt idx="7">
                  <c:v>5.8</c:v>
                </c:pt>
                <c:pt idx="8">
                  <c:v>5.9</c:v>
                </c:pt>
                <c:pt idx="9">
                  <c:v>6</c:v>
                </c:pt>
                <c:pt idx="10">
                  <c:v>6.1</c:v>
                </c:pt>
                <c:pt idx="11">
                  <c:v>6.2</c:v>
                </c:pt>
                <c:pt idx="12">
                  <c:v>6.3</c:v>
                </c:pt>
                <c:pt idx="13">
                  <c:v>6.4</c:v>
                </c:pt>
                <c:pt idx="14">
                  <c:v>6.5</c:v>
                </c:pt>
                <c:pt idx="15">
                  <c:v>6.6</c:v>
                </c:pt>
                <c:pt idx="16">
                  <c:v>6.7</c:v>
                </c:pt>
                <c:pt idx="17">
                  <c:v>6.8</c:v>
                </c:pt>
                <c:pt idx="18">
                  <c:v>6.9</c:v>
                </c:pt>
                <c:pt idx="19">
                  <c:v>7</c:v>
                </c:pt>
                <c:pt idx="20">
                  <c:v>7.1</c:v>
                </c:pt>
                <c:pt idx="21">
                  <c:v>7.2</c:v>
                </c:pt>
                <c:pt idx="22">
                  <c:v>7.3</c:v>
                </c:pt>
                <c:pt idx="23">
                  <c:v>7.4</c:v>
                </c:pt>
                <c:pt idx="24">
                  <c:v>7.5</c:v>
                </c:pt>
                <c:pt idx="25">
                  <c:v>7.6</c:v>
                </c:pt>
                <c:pt idx="26">
                  <c:v>7.7</c:v>
                </c:pt>
                <c:pt idx="27">
                  <c:v>7.8</c:v>
                </c:pt>
                <c:pt idx="28">
                  <c:v>7.9</c:v>
                </c:pt>
                <c:pt idx="29">
                  <c:v>8</c:v>
                </c:pt>
              </c:numCache>
            </c:numRef>
          </c:cat>
          <c:val>
            <c:numRef>
              <c:f>'5 to 8 step 0.1'!$F$69:$F$98</c:f>
              <c:numCache>
                <c:formatCode>_(* #,##0.00_);_(* \(#,##0.00\);_(* "-"??_);_(@_)</c:formatCode>
                <c:ptCount val="30"/>
                <c:pt idx="0">
                  <c:v>0.47905467979423499</c:v>
                </c:pt>
                <c:pt idx="1">
                  <c:v>0.49587160369687799</c:v>
                </c:pt>
                <c:pt idx="2">
                  <c:v>0.461237607328915</c:v>
                </c:pt>
                <c:pt idx="3">
                  <c:v>0.47211579476246002</c:v>
                </c:pt>
                <c:pt idx="4">
                  <c:v>0.47142658856327802</c:v>
                </c:pt>
                <c:pt idx="5">
                  <c:v>0.48117618093925602</c:v>
                </c:pt>
                <c:pt idx="6">
                  <c:v>0.45179061021495398</c:v>
                </c:pt>
                <c:pt idx="7">
                  <c:v>0.40911758420981298</c:v>
                </c:pt>
                <c:pt idx="8">
                  <c:v>0.365323343861781</c:v>
                </c:pt>
                <c:pt idx="9">
                  <c:v>0.36602998822310601</c:v>
                </c:pt>
                <c:pt idx="10">
                  <c:v>0.37524064871394203</c:v>
                </c:pt>
                <c:pt idx="11">
                  <c:v>0.35966573725400702</c:v>
                </c:pt>
                <c:pt idx="12">
                  <c:v>0.37810554127225798</c:v>
                </c:pt>
                <c:pt idx="13">
                  <c:v>0.38424319688020597</c:v>
                </c:pt>
                <c:pt idx="14">
                  <c:v>0.39414185349740199</c:v>
                </c:pt>
                <c:pt idx="15">
                  <c:v>0.41102402049798598</c:v>
                </c:pt>
                <c:pt idx="16">
                  <c:v>0.42622847199302299</c:v>
                </c:pt>
                <c:pt idx="17">
                  <c:v>0.435655949888483</c:v>
                </c:pt>
                <c:pt idx="18">
                  <c:v>0.42598011258482399</c:v>
                </c:pt>
                <c:pt idx="19">
                  <c:v>0.42466669046368799</c:v>
                </c:pt>
                <c:pt idx="20">
                  <c:v>0.40257591909972501</c:v>
                </c:pt>
                <c:pt idx="21">
                  <c:v>0.393664553808724</c:v>
                </c:pt>
                <c:pt idx="22">
                  <c:v>0.40086289573811801</c:v>
                </c:pt>
                <c:pt idx="23">
                  <c:v>0.388761586272586</c:v>
                </c:pt>
                <c:pt idx="24">
                  <c:v>0.386203648118428</c:v>
                </c:pt>
                <c:pt idx="25">
                  <c:v>0.38714228257987499</c:v>
                </c:pt>
                <c:pt idx="26">
                  <c:v>0.39710884548666098</c:v>
                </c:pt>
                <c:pt idx="27">
                  <c:v>0.42430011411907498</c:v>
                </c:pt>
                <c:pt idx="28">
                  <c:v>0.44152094439172601</c:v>
                </c:pt>
                <c:pt idx="29">
                  <c:v>0.46143764019765998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287360"/>
        <c:axId val="392288896"/>
      </c:lineChart>
      <c:catAx>
        <c:axId val="39228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n-US"/>
          </a:p>
        </c:txPr>
        <c:crossAx val="392288896"/>
        <c:crosses val="autoZero"/>
        <c:auto val="1"/>
        <c:lblAlgn val="ctr"/>
        <c:lblOffset val="100"/>
        <c:noMultiLvlLbl val="0"/>
      </c:catAx>
      <c:valAx>
        <c:axId val="39228889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92287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1038224</xdr:colOff>
      <xdr:row>85</xdr:row>
      <xdr:rowOff>52387</xdr:rowOff>
    </xdr:from>
    <xdr:to>
      <xdr:col>8</xdr:col>
      <xdr:colOff>95250</xdr:colOff>
      <xdr:row>103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84</xdr:row>
      <xdr:rowOff>157161</xdr:rowOff>
    </xdr:from>
    <xdr:to>
      <xdr:col>15</xdr:col>
      <xdr:colOff>514350</xdr:colOff>
      <xdr:row>103</xdr:row>
      <xdr:rowOff>180974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333375</xdr:colOff>
      <xdr:row>84</xdr:row>
      <xdr:rowOff>185736</xdr:rowOff>
    </xdr:from>
    <xdr:to>
      <xdr:col>23</xdr:col>
      <xdr:colOff>323850</xdr:colOff>
      <xdr:row>111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1000124</xdr:colOff>
      <xdr:row>55</xdr:row>
      <xdr:rowOff>138112</xdr:rowOff>
    </xdr:from>
    <xdr:to>
      <xdr:col>8</xdr:col>
      <xdr:colOff>57150</xdr:colOff>
      <xdr:row>74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590549</xdr:colOff>
      <xdr:row>55</xdr:row>
      <xdr:rowOff>42862</xdr:rowOff>
    </xdr:from>
    <xdr:to>
      <xdr:col>17</xdr:col>
      <xdr:colOff>352424</xdr:colOff>
      <xdr:row>74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228599</xdr:colOff>
      <xdr:row>70</xdr:row>
      <xdr:rowOff>33337</xdr:rowOff>
    </xdr:from>
    <xdr:to>
      <xdr:col>22</xdr:col>
      <xdr:colOff>333374</xdr:colOff>
      <xdr:row>84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6"/>
  </sheetPr>
  <dimension ref="A1:BE78"/>
  <sheetViews>
    <sheetView tabSelected="1" topLeftCell="A64" workbookViewId="0">
      <selection activeCell="J116" sqref="J116"/>
    </sheetView>
  </sheetViews>
  <sheetFormatPr defaultRowHeight="15" x14ac:dyDescent="0.25"/>
  <cols>
    <col min="1" max="2" width="16.28515625" bestFit="1" customWidth="1"/>
    <col min="3" max="3" width="12.7109375" customWidth="1"/>
    <col min="4" max="4" width="11.140625" customWidth="1"/>
    <col min="5" max="5" width="12" bestFit="1" customWidth="1"/>
    <col min="14" max="14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 t="s">
        <v>56</v>
      </c>
      <c r="C2">
        <v>0</v>
      </c>
      <c r="D2">
        <v>0.38177619513190603</v>
      </c>
      <c r="E2">
        <v>0.317385449792422</v>
      </c>
      <c r="F2">
        <v>4.4863310591801397</v>
      </c>
      <c r="G2">
        <v>3.7428396441726202</v>
      </c>
      <c r="H2">
        <v>1.2028786933414799</v>
      </c>
      <c r="I2">
        <v>-6.4390745339483801E-2</v>
      </c>
      <c r="J2">
        <v>3.6092160064616997E-2</v>
      </c>
      <c r="K2">
        <v>2.87508843131218E-3</v>
      </c>
      <c r="L2">
        <v>0</v>
      </c>
      <c r="M2">
        <v>0.27623945670636901</v>
      </c>
      <c r="N2">
        <v>2.1787445901240801E-3</v>
      </c>
      <c r="O2">
        <v>0</v>
      </c>
      <c r="P2">
        <v>9.3815759516250701</v>
      </c>
      <c r="Q2">
        <v>90.618424048374905</v>
      </c>
      <c r="R2">
        <v>77.863635685568198</v>
      </c>
      <c r="S2">
        <v>10.626915271188199</v>
      </c>
      <c r="T2">
        <v>11.509449043243601</v>
      </c>
      <c r="U2">
        <v>0</v>
      </c>
      <c r="V2">
        <v>22.136364314431798</v>
      </c>
      <c r="W2">
        <v>0.20650630978215601</v>
      </c>
      <c r="X2">
        <v>-52.640004164118501</v>
      </c>
      <c r="Y2">
        <v>49.517448087945297</v>
      </c>
      <c r="Z2">
        <v>100</v>
      </c>
      <c r="AA2">
        <v>76.425305430401096</v>
      </c>
      <c r="AB2">
        <v>291.85201266936099</v>
      </c>
      <c r="AC2">
        <v>289.90229354131799</v>
      </c>
      <c r="AD2">
        <v>7.2917584736455296</v>
      </c>
      <c r="AE2">
        <v>350.81472911767497</v>
      </c>
      <c r="AF2">
        <v>3.6600069051698201</v>
      </c>
      <c r="AG2">
        <v>778.47116194635203</v>
      </c>
      <c r="AH2">
        <v>2.0449913149859702</v>
      </c>
      <c r="AI2">
        <v>43.299837892221603</v>
      </c>
      <c r="AJ2">
        <v>170.82717137033899</v>
      </c>
      <c r="AK2">
        <v>24.412985631729502</v>
      </c>
      <c r="AL2">
        <v>-21.1889332178594</v>
      </c>
      <c r="AM2">
        <v>-2.3071784527100698</v>
      </c>
      <c r="AN2">
        <v>-1.33112017527402</v>
      </c>
      <c r="AO2">
        <v>0.9</v>
      </c>
      <c r="AP2">
        <v>0.89337</v>
      </c>
      <c r="AQ2">
        <v>0.91550096883050702</v>
      </c>
      <c r="AR2">
        <v>1.26187944820463</v>
      </c>
      <c r="AS2">
        <v>0.98963001528981398</v>
      </c>
      <c r="AT2">
        <v>0.86611772316555002</v>
      </c>
      <c r="AU2">
        <v>0.84268190910091001</v>
      </c>
      <c r="AV2">
        <v>1</v>
      </c>
      <c r="AW2">
        <v>1.0082747971558299</v>
      </c>
      <c r="AX2">
        <v>1</v>
      </c>
      <c r="AY2">
        <v>1</v>
      </c>
      <c r="AZ2">
        <v>0.97122272639123897</v>
      </c>
      <c r="BA2">
        <v>1</v>
      </c>
      <c r="BB2">
        <v>0.99396674988243106</v>
      </c>
      <c r="BC2">
        <v>422637831.89999998</v>
      </c>
      <c r="BD2">
        <v>3.3889743532168601E-2</v>
      </c>
      <c r="BE2">
        <v>335</v>
      </c>
    </row>
    <row r="3" spans="1:57" x14ac:dyDescent="0.25">
      <c r="A3">
        <v>2</v>
      </c>
      <c r="B3" t="s">
        <v>56</v>
      </c>
      <c r="C3">
        <v>0.5</v>
      </c>
      <c r="D3">
        <v>0.13885509836067</v>
      </c>
      <c r="E3">
        <v>0.34771211805374103</v>
      </c>
      <c r="F3">
        <v>1.6535946084506099</v>
      </c>
      <c r="G3">
        <v>4.0936666408500697</v>
      </c>
      <c r="H3">
        <v>0.399339255525195</v>
      </c>
      <c r="I3">
        <v>0.20885701969307199</v>
      </c>
      <c r="J3">
        <v>3.89009292623732E-2</v>
      </c>
      <c r="K3">
        <v>2.9888516305759398E-3</v>
      </c>
      <c r="L3">
        <v>0</v>
      </c>
      <c r="M3">
        <v>0.30107810963958698</v>
      </c>
      <c r="N3">
        <v>4.7442275212050298E-3</v>
      </c>
      <c r="O3">
        <v>0</v>
      </c>
      <c r="P3">
        <v>22.2868541305081</v>
      </c>
      <c r="Q3">
        <v>77.713145869491896</v>
      </c>
      <c r="R3">
        <v>30.1933601608355</v>
      </c>
      <c r="S3">
        <v>47.605417862945103</v>
      </c>
      <c r="T3">
        <v>22.201221976219401</v>
      </c>
      <c r="U3">
        <v>0</v>
      </c>
      <c r="V3">
        <v>69.806639839164504</v>
      </c>
      <c r="W3">
        <v>0.20026470600062801</v>
      </c>
      <c r="X3">
        <v>-52.577947760131899</v>
      </c>
      <c r="Y3">
        <v>60.272217831834297</v>
      </c>
      <c r="Z3">
        <v>100</v>
      </c>
      <c r="AA3">
        <v>59.501186990154103</v>
      </c>
      <c r="AB3">
        <v>326.26725308546401</v>
      </c>
      <c r="AC3">
        <v>325.323611588228</v>
      </c>
      <c r="AD3">
        <v>9.4965024643808196</v>
      </c>
      <c r="AE3">
        <v>343.36423015441602</v>
      </c>
      <c r="AF3">
        <v>3.5338454997595101</v>
      </c>
      <c r="AG3">
        <v>773.02905153869904</v>
      </c>
      <c r="AH3">
        <v>6.0186438314182702</v>
      </c>
      <c r="AI3">
        <v>50.892043837302801</v>
      </c>
      <c r="AJ3">
        <v>170.851891915279</v>
      </c>
      <c r="AK3">
        <v>24.8856939163785</v>
      </c>
      <c r="AL3">
        <v>-31.776125709647498</v>
      </c>
      <c r="AM3">
        <v>0.27195522190403099</v>
      </c>
      <c r="AN3">
        <v>0.218680289877455</v>
      </c>
      <c r="AO3">
        <v>0.9</v>
      </c>
      <c r="AP3">
        <v>0.89337</v>
      </c>
      <c r="AQ3">
        <v>0.97072660060947102</v>
      </c>
      <c r="AR3">
        <v>1.25453412083557</v>
      </c>
      <c r="AS3">
        <v>0.99796776665753095</v>
      </c>
      <c r="AT3">
        <v>0.834255507154955</v>
      </c>
      <c r="AU3">
        <v>0.85322706376131996</v>
      </c>
      <c r="AV3">
        <v>1</v>
      </c>
      <c r="AW3">
        <v>0.98851009903522002</v>
      </c>
      <c r="AX3">
        <v>1</v>
      </c>
      <c r="AY3">
        <v>1</v>
      </c>
      <c r="AZ3">
        <v>0.90925136820908603</v>
      </c>
      <c r="BA3">
        <v>1</v>
      </c>
      <c r="BB3">
        <v>1.0987912210097299</v>
      </c>
      <c r="BC3">
        <v>73507551.599999994</v>
      </c>
      <c r="BD3">
        <v>8.4069085651355194E-2</v>
      </c>
      <c r="BE3">
        <v>146</v>
      </c>
    </row>
    <row r="4" spans="1:57" x14ac:dyDescent="0.25">
      <c r="A4">
        <v>3</v>
      </c>
      <c r="B4" t="s">
        <v>56</v>
      </c>
      <c r="C4">
        <v>1</v>
      </c>
      <c r="D4">
        <v>0.79872946076038498</v>
      </c>
      <c r="E4">
        <v>0.31580088885803398</v>
      </c>
      <c r="F4">
        <v>9.1747056545648498</v>
      </c>
      <c r="G4">
        <v>3.7244767223267901</v>
      </c>
      <c r="H4">
        <v>2.5292185327554502</v>
      </c>
      <c r="I4">
        <v>-0.48292857190235</v>
      </c>
      <c r="J4">
        <v>3.82467816768449E-2</v>
      </c>
      <c r="K4">
        <v>2.7839654329054999E-3</v>
      </c>
      <c r="L4">
        <v>0</v>
      </c>
      <c r="M4">
        <v>0.26791532225966902</v>
      </c>
      <c r="N4">
        <v>6.8548194886152601E-3</v>
      </c>
      <c r="O4">
        <v>0</v>
      </c>
      <c r="P4">
        <v>18.050698459629601</v>
      </c>
      <c r="Q4">
        <v>81.949301540370399</v>
      </c>
      <c r="R4">
        <v>27.321709223122099</v>
      </c>
      <c r="S4">
        <v>49.894125115090603</v>
      </c>
      <c r="T4">
        <v>22.784165661787299</v>
      </c>
      <c r="U4">
        <v>0</v>
      </c>
      <c r="V4">
        <v>72.678290776877901</v>
      </c>
      <c r="W4">
        <v>0.19805115017050801</v>
      </c>
      <c r="X4">
        <v>-56.504269720865402</v>
      </c>
      <c r="Y4">
        <v>65.504139645785799</v>
      </c>
      <c r="Z4">
        <v>100</v>
      </c>
      <c r="AA4">
        <v>64.034358947723703</v>
      </c>
      <c r="AB4">
        <v>323.88629801428198</v>
      </c>
      <c r="AC4">
        <v>322.85384891119003</v>
      </c>
      <c r="AD4">
        <v>8.87853028557325</v>
      </c>
      <c r="AE4">
        <v>343.15109036077899</v>
      </c>
      <c r="AF4">
        <v>3.4874122329692998</v>
      </c>
      <c r="AG4">
        <v>775.85317154131496</v>
      </c>
      <c r="AH4">
        <v>6.0406468805523001</v>
      </c>
      <c r="AI4">
        <v>42.111650288031598</v>
      </c>
      <c r="AJ4">
        <v>169.85216148229799</v>
      </c>
      <c r="AK4">
        <v>25.514551723870301</v>
      </c>
      <c r="AL4">
        <v>-35.210849288798101</v>
      </c>
      <c r="AM4">
        <v>0.78850743218217001</v>
      </c>
      <c r="AN4">
        <v>0.59435822356495704</v>
      </c>
      <c r="AO4">
        <v>0.9</v>
      </c>
      <c r="AP4">
        <v>0.89337</v>
      </c>
      <c r="AQ4">
        <v>0.95542481919180999</v>
      </c>
      <c r="AR4">
        <v>1.22859183621489</v>
      </c>
      <c r="AS4">
        <v>0.99562824378454196</v>
      </c>
      <c r="AT4">
        <v>0.83633424816906299</v>
      </c>
      <c r="AU4">
        <v>0.84790299807343505</v>
      </c>
      <c r="AV4">
        <v>1</v>
      </c>
      <c r="AW4">
        <v>0.98069480540438003</v>
      </c>
      <c r="AX4">
        <v>1</v>
      </c>
      <c r="AY4">
        <v>1</v>
      </c>
      <c r="AZ4">
        <v>0.90551822199005905</v>
      </c>
      <c r="BA4">
        <v>1</v>
      </c>
      <c r="BB4">
        <v>1.0283817629280101</v>
      </c>
      <c r="BC4">
        <v>204945252.30000001</v>
      </c>
      <c r="BD4">
        <v>0.10844233075576799</v>
      </c>
      <c r="BE4">
        <v>269</v>
      </c>
    </row>
    <row r="5" spans="1:57" x14ac:dyDescent="0.25">
      <c r="A5">
        <v>4</v>
      </c>
      <c r="B5" t="s">
        <v>56</v>
      </c>
      <c r="C5">
        <v>1.5</v>
      </c>
      <c r="D5">
        <v>0.27971520429528901</v>
      </c>
      <c r="E5">
        <v>0.32749105530116401</v>
      </c>
      <c r="F5">
        <v>3.3054221136856499</v>
      </c>
      <c r="G5">
        <v>3.8598744592298302</v>
      </c>
      <c r="H5">
        <v>0.85411555450899301</v>
      </c>
      <c r="I5">
        <v>4.77758510058751E-2</v>
      </c>
      <c r="J5">
        <v>3.6798986254355501E-2</v>
      </c>
      <c r="K5">
        <v>3.2505270593144201E-3</v>
      </c>
      <c r="L5">
        <v>0</v>
      </c>
      <c r="M5">
        <v>0.28183227952580497</v>
      </c>
      <c r="N5">
        <v>5.6092624616895098E-3</v>
      </c>
      <c r="O5">
        <v>0</v>
      </c>
      <c r="P5">
        <v>16.636432510372501</v>
      </c>
      <c r="Q5">
        <v>83.363567489627499</v>
      </c>
      <c r="R5">
        <v>33.985396932408797</v>
      </c>
      <c r="S5">
        <v>40.896387793382999</v>
      </c>
      <c r="T5">
        <v>25.1182152742082</v>
      </c>
      <c r="U5">
        <v>0</v>
      </c>
      <c r="V5">
        <v>66.014603067591196</v>
      </c>
      <c r="W5">
        <v>0.21222777117769001</v>
      </c>
      <c r="X5">
        <v>-51.483650582886703</v>
      </c>
      <c r="Y5">
        <v>63.830805449233701</v>
      </c>
      <c r="Z5">
        <v>100</v>
      </c>
      <c r="AA5">
        <v>64.084410525640806</v>
      </c>
      <c r="AB5">
        <v>308.39067109098102</v>
      </c>
      <c r="AC5">
        <v>307.17923466626797</v>
      </c>
      <c r="AD5">
        <v>9.3112839303030395</v>
      </c>
      <c r="AE5">
        <v>345.24881611639398</v>
      </c>
      <c r="AF5">
        <v>3.55871843781977</v>
      </c>
      <c r="AG5">
        <v>776.50696945934305</v>
      </c>
      <c r="AH5">
        <v>5.5930202639675999</v>
      </c>
      <c r="AI5">
        <v>46.112098001864801</v>
      </c>
      <c r="AJ5">
        <v>171.36102990370699</v>
      </c>
      <c r="AK5">
        <v>24.803794590590002</v>
      </c>
      <c r="AL5">
        <v>-33.290829527949299</v>
      </c>
      <c r="AM5">
        <v>1.27153376437664</v>
      </c>
      <c r="AN5">
        <v>1.0139669448378199</v>
      </c>
      <c r="AO5">
        <v>0.9</v>
      </c>
      <c r="AP5">
        <v>0.90981110708846902</v>
      </c>
      <c r="AQ5">
        <v>0.96268747923057296</v>
      </c>
      <c r="AR5">
        <v>1.2533135594496201</v>
      </c>
      <c r="AS5">
        <v>0.996180788448085</v>
      </c>
      <c r="AT5">
        <v>0.85149367270431497</v>
      </c>
      <c r="AU5">
        <v>0.84654417425297801</v>
      </c>
      <c r="AV5">
        <v>1</v>
      </c>
      <c r="AW5">
        <v>0.98419102382732804</v>
      </c>
      <c r="AX5">
        <v>1</v>
      </c>
      <c r="AY5">
        <v>1</v>
      </c>
      <c r="AZ5">
        <v>0.91418101601213098</v>
      </c>
      <c r="BA5">
        <v>1</v>
      </c>
      <c r="BB5">
        <v>1.0215345492766901</v>
      </c>
      <c r="BC5">
        <v>488981397.60000002</v>
      </c>
      <c r="BD5">
        <v>7.1807778858785101E-2</v>
      </c>
      <c r="BE5">
        <v>460</v>
      </c>
    </row>
    <row r="6" spans="1:57" x14ac:dyDescent="0.25">
      <c r="A6">
        <v>5</v>
      </c>
      <c r="B6" t="s">
        <v>56</v>
      </c>
      <c r="C6">
        <v>2</v>
      </c>
      <c r="D6">
        <v>0.26110840015515802</v>
      </c>
      <c r="E6">
        <v>0.32522649550609101</v>
      </c>
      <c r="F6">
        <v>3.08869293516684</v>
      </c>
      <c r="G6">
        <v>3.8336595352106402</v>
      </c>
      <c r="H6">
        <v>0.80285094776439603</v>
      </c>
      <c r="I6">
        <v>6.41180953509327E-2</v>
      </c>
      <c r="J6">
        <v>3.5443012812573303E-2</v>
      </c>
      <c r="K6">
        <v>2.8710179081285901E-3</v>
      </c>
      <c r="L6">
        <v>0</v>
      </c>
      <c r="M6">
        <v>0.28106229496275098</v>
      </c>
      <c r="N6">
        <v>5.8501698226379002E-3</v>
      </c>
      <c r="O6">
        <v>0</v>
      </c>
      <c r="P6">
        <v>3.8398522295677702</v>
      </c>
      <c r="Q6">
        <v>96.160147770432204</v>
      </c>
      <c r="R6">
        <v>55.263201735019798</v>
      </c>
      <c r="S6">
        <v>31.5566313263684</v>
      </c>
      <c r="T6">
        <v>13.1801669386118</v>
      </c>
      <c r="U6">
        <v>0</v>
      </c>
      <c r="V6">
        <v>44.736798264980202</v>
      </c>
      <c r="W6">
        <v>0.22373566925636801</v>
      </c>
      <c r="X6">
        <v>-45.228290518353802</v>
      </c>
      <c r="Y6">
        <v>34.799052773917701</v>
      </c>
      <c r="Z6">
        <v>100</v>
      </c>
      <c r="AA6">
        <v>72.529935616869693</v>
      </c>
      <c r="AB6">
        <v>301.45015744542201</v>
      </c>
      <c r="AC6">
        <v>299.20427610049302</v>
      </c>
      <c r="AD6">
        <v>7.3051518928595103</v>
      </c>
      <c r="AE6">
        <v>349.93958671226102</v>
      </c>
      <c r="AF6">
        <v>3.6856181603513201</v>
      </c>
      <c r="AG6">
        <v>780.09371728192104</v>
      </c>
      <c r="AH6">
        <v>5.7895895912209099</v>
      </c>
      <c r="AI6">
        <v>48.474272064039198</v>
      </c>
      <c r="AJ6">
        <v>173.449043967866</v>
      </c>
      <c r="AK6">
        <v>23.674632059604399</v>
      </c>
      <c r="AL6">
        <v>-30.4580461010978</v>
      </c>
      <c r="AM6">
        <v>1.8032949512770999</v>
      </c>
      <c r="AN6">
        <v>1.11774705357478</v>
      </c>
      <c r="AO6">
        <v>0.9</v>
      </c>
      <c r="AP6">
        <v>0.98639384549726705</v>
      </c>
      <c r="AQ6">
        <v>0.91667297327863095</v>
      </c>
      <c r="AR6">
        <v>1.2720035152699001</v>
      </c>
      <c r="AS6">
        <v>0.99118911421846101</v>
      </c>
      <c r="AT6">
        <v>0.85619356929550505</v>
      </c>
      <c r="AU6">
        <v>0.83966559811619301</v>
      </c>
      <c r="AV6">
        <v>1</v>
      </c>
      <c r="AW6">
        <v>0.98819476282128804</v>
      </c>
      <c r="AX6">
        <v>1</v>
      </c>
      <c r="AY6">
        <v>1</v>
      </c>
      <c r="AZ6">
        <v>0.94184216225552597</v>
      </c>
      <c r="BA6">
        <v>1</v>
      </c>
      <c r="BB6">
        <v>0.98062348396896704</v>
      </c>
      <c r="BC6">
        <v>5008785619.8999996</v>
      </c>
      <c r="BD6">
        <v>6.9679448410762804E-2</v>
      </c>
      <c r="BE6">
        <v>871</v>
      </c>
    </row>
    <row r="7" spans="1:57" x14ac:dyDescent="0.25">
      <c r="A7">
        <v>6</v>
      </c>
      <c r="B7" t="s">
        <v>56</v>
      </c>
      <c r="C7">
        <v>2.5</v>
      </c>
      <c r="D7">
        <v>0.325317864974561</v>
      </c>
      <c r="E7">
        <v>0.36793293653824899</v>
      </c>
      <c r="F7">
        <v>3.8347173703443098</v>
      </c>
      <c r="G7">
        <v>4.3269347472978401</v>
      </c>
      <c r="H7">
        <v>0.88417706779762995</v>
      </c>
      <c r="I7">
        <v>4.26150715636886E-2</v>
      </c>
      <c r="J7">
        <v>3.5422758695393103E-2</v>
      </c>
      <c r="K7">
        <v>2.5090461734205102E-3</v>
      </c>
      <c r="L7">
        <v>0</v>
      </c>
      <c r="M7">
        <v>0.32587108750108501</v>
      </c>
      <c r="N7">
        <v>4.1300441683512603E-3</v>
      </c>
      <c r="O7">
        <v>0</v>
      </c>
      <c r="P7">
        <v>6.15370101644963</v>
      </c>
      <c r="Q7">
        <v>93.846298983550398</v>
      </c>
      <c r="R7">
        <v>61.378468512309702</v>
      </c>
      <c r="S7">
        <v>21.970370736147601</v>
      </c>
      <c r="T7">
        <v>16.6511607515428</v>
      </c>
      <c r="U7">
        <v>0</v>
      </c>
      <c r="V7">
        <v>38.621531487690298</v>
      </c>
      <c r="W7">
        <v>0.18082003142285499</v>
      </c>
      <c r="X7">
        <v>-46.269619761611203</v>
      </c>
      <c r="Y7">
        <v>73.871201805674204</v>
      </c>
      <c r="Z7">
        <v>100</v>
      </c>
      <c r="AA7">
        <v>70.834999656298095</v>
      </c>
      <c r="AB7">
        <v>293.85558376892402</v>
      </c>
      <c r="AC7">
        <v>291.56784515812598</v>
      </c>
      <c r="AD7">
        <v>7.9734360837059404</v>
      </c>
      <c r="AE7">
        <v>349.05705849413602</v>
      </c>
      <c r="AF7">
        <v>3.6095969916907999</v>
      </c>
      <c r="AG7">
        <v>779.63684489439197</v>
      </c>
      <c r="AH7">
        <v>4.3445270320592302</v>
      </c>
      <c r="AI7">
        <v>47.455891291676302</v>
      </c>
      <c r="AJ7">
        <v>169.23612287235599</v>
      </c>
      <c r="AK7">
        <v>25.831149292480902</v>
      </c>
      <c r="AL7">
        <v>-23.023882980213799</v>
      </c>
      <c r="AM7">
        <v>2.24143210551793</v>
      </c>
      <c r="AN7">
        <v>1.5027422947995901</v>
      </c>
      <c r="AO7">
        <v>0.9</v>
      </c>
      <c r="AP7">
        <v>1.0581889856395601</v>
      </c>
      <c r="AQ7">
        <v>0.94303584616529101</v>
      </c>
      <c r="AR7">
        <v>1.27680374219277</v>
      </c>
      <c r="AS7">
        <v>0.99243348893857197</v>
      </c>
      <c r="AT7">
        <v>0.86415328112536105</v>
      </c>
      <c r="AU7">
        <v>0.84056685945672205</v>
      </c>
      <c r="AV7">
        <v>1</v>
      </c>
      <c r="AW7">
        <v>1.0048536597086799</v>
      </c>
      <c r="AX7">
        <v>1</v>
      </c>
      <c r="AY7">
        <v>1</v>
      </c>
      <c r="AZ7">
        <v>0.94979200906600203</v>
      </c>
      <c r="BA7">
        <v>1</v>
      </c>
      <c r="BB7">
        <v>0.98249465538951397</v>
      </c>
      <c r="BC7">
        <v>7819947142.6000004</v>
      </c>
      <c r="BD7">
        <v>6.0531229515019699E-2</v>
      </c>
      <c r="BE7">
        <v>1370</v>
      </c>
    </row>
    <row r="8" spans="1:57" x14ac:dyDescent="0.25">
      <c r="A8">
        <v>7</v>
      </c>
      <c r="B8" t="s">
        <v>56</v>
      </c>
      <c r="C8">
        <v>3</v>
      </c>
      <c r="D8">
        <v>0.31513522174966502</v>
      </c>
      <c r="E8">
        <v>0.443099616745323</v>
      </c>
      <c r="F8">
        <v>3.7167615814807502</v>
      </c>
      <c r="G8">
        <v>5.1895077889924899</v>
      </c>
      <c r="H8">
        <v>0.71120626116630803</v>
      </c>
      <c r="I8">
        <v>0.12796439499565801</v>
      </c>
      <c r="J8">
        <v>3.5600330793431598E-2</v>
      </c>
      <c r="K8">
        <v>3.5550273797324301E-3</v>
      </c>
      <c r="L8">
        <v>0</v>
      </c>
      <c r="M8">
        <v>0.39997751242032398</v>
      </c>
      <c r="N8">
        <v>3.9667461518345304E-3</v>
      </c>
      <c r="O8">
        <v>0</v>
      </c>
      <c r="P8">
        <v>5.8362586649117496</v>
      </c>
      <c r="Q8">
        <v>94.163741335088204</v>
      </c>
      <c r="R8">
        <v>65.541839588215197</v>
      </c>
      <c r="S8">
        <v>19.376440813102999</v>
      </c>
      <c r="T8">
        <v>15.081719598681801</v>
      </c>
      <c r="U8">
        <v>0</v>
      </c>
      <c r="V8">
        <v>34.458160411784803</v>
      </c>
      <c r="W8">
        <v>0.23776612916973799</v>
      </c>
      <c r="X8">
        <v>-48.203529666949599</v>
      </c>
      <c r="Y8">
        <v>72.558130798385704</v>
      </c>
      <c r="Z8">
        <v>100</v>
      </c>
      <c r="AA8">
        <v>71.222199406181005</v>
      </c>
      <c r="AB8">
        <v>300.06255548834002</v>
      </c>
      <c r="AC8">
        <v>297.80849538805899</v>
      </c>
      <c r="AD8">
        <v>9.89559428930081</v>
      </c>
      <c r="AE8">
        <v>347.24084718228403</v>
      </c>
      <c r="AF8">
        <v>3.64992735650242</v>
      </c>
      <c r="AG8">
        <v>779.47873159429798</v>
      </c>
      <c r="AH8">
        <v>3.2015120788112399</v>
      </c>
      <c r="AI8">
        <v>48.527417556665398</v>
      </c>
      <c r="AJ8">
        <v>171.68538192212799</v>
      </c>
      <c r="AK8">
        <v>22.764598340089002</v>
      </c>
      <c r="AL8">
        <v>-25.515488344932798</v>
      </c>
      <c r="AM8">
        <v>2.7976050908997099</v>
      </c>
      <c r="AN8">
        <v>2.32662710418695</v>
      </c>
      <c r="AO8">
        <v>0.9</v>
      </c>
      <c r="AP8">
        <v>1.1343156447318501</v>
      </c>
      <c r="AQ8">
        <v>0.99256325235231102</v>
      </c>
      <c r="AR8">
        <v>1.27118530900837</v>
      </c>
      <c r="AS8">
        <v>0.99195231269680095</v>
      </c>
      <c r="AT8">
        <v>0.85782253874512704</v>
      </c>
      <c r="AU8">
        <v>0.84089997653891202</v>
      </c>
      <c r="AV8">
        <v>1</v>
      </c>
      <c r="AW8">
        <v>0.99906911678113797</v>
      </c>
      <c r="AX8">
        <v>1</v>
      </c>
      <c r="AY8">
        <v>1</v>
      </c>
      <c r="AZ8">
        <v>0.95520439146467995</v>
      </c>
      <c r="BA8">
        <v>1</v>
      </c>
      <c r="BB8">
        <v>0.98927279062054096</v>
      </c>
      <c r="BC8">
        <v>14518948289.5</v>
      </c>
      <c r="BD8">
        <v>5.0980667963737701E-2</v>
      </c>
      <c r="BE8">
        <v>2731</v>
      </c>
    </row>
    <row r="9" spans="1:57" x14ac:dyDescent="0.25">
      <c r="A9">
        <v>8</v>
      </c>
      <c r="B9" t="s">
        <v>56</v>
      </c>
      <c r="C9">
        <v>3.5</v>
      </c>
      <c r="D9">
        <v>0.38801294067523001</v>
      </c>
      <c r="E9">
        <v>0.50971464219289597</v>
      </c>
      <c r="F9">
        <v>4.55806364187581</v>
      </c>
      <c r="G9">
        <v>5.9479820395884104</v>
      </c>
      <c r="H9">
        <v>0.76123561804290996</v>
      </c>
      <c r="I9">
        <v>0.121701701517666</v>
      </c>
      <c r="J9">
        <v>3.6001464599609199E-2</v>
      </c>
      <c r="K9">
        <v>5.3313301936310301E-3</v>
      </c>
      <c r="L9">
        <v>0</v>
      </c>
      <c r="M9">
        <v>0.46413755321820199</v>
      </c>
      <c r="N9">
        <v>4.2442941814541998E-3</v>
      </c>
      <c r="O9">
        <v>0</v>
      </c>
      <c r="P9">
        <v>5.2129735431773501</v>
      </c>
      <c r="Q9">
        <v>94.787026456822701</v>
      </c>
      <c r="R9">
        <v>60.199327650847003</v>
      </c>
      <c r="S9">
        <v>24.5219154528892</v>
      </c>
      <c r="T9">
        <v>15.278756896263801</v>
      </c>
      <c r="U9">
        <v>0</v>
      </c>
      <c r="V9">
        <v>39.800672349152997</v>
      </c>
      <c r="W9">
        <v>0.29115440875851401</v>
      </c>
      <c r="X9">
        <v>-45.852942833676003</v>
      </c>
      <c r="Y9">
        <v>94.207980598880596</v>
      </c>
      <c r="Z9">
        <v>100</v>
      </c>
      <c r="AA9">
        <v>69.339437091101402</v>
      </c>
      <c r="AB9">
        <v>289.50580536556402</v>
      </c>
      <c r="AC9">
        <v>287.22721818660301</v>
      </c>
      <c r="AD9">
        <v>13.8047889090806</v>
      </c>
      <c r="AE9">
        <v>342.78506499059301</v>
      </c>
      <c r="AF9">
        <v>3.6485986553307801</v>
      </c>
      <c r="AG9">
        <v>780.01954888110504</v>
      </c>
      <c r="AH9">
        <v>3.8566801089883298</v>
      </c>
      <c r="AI9">
        <v>48.047604141914299</v>
      </c>
      <c r="AJ9">
        <v>173.59732447917099</v>
      </c>
      <c r="AK9">
        <v>22.8426300007776</v>
      </c>
      <c r="AL9">
        <v>-28.2150236854973</v>
      </c>
      <c r="AM9">
        <v>3.2813580377172702</v>
      </c>
      <c r="AN9">
        <v>3.8384042848320101</v>
      </c>
      <c r="AO9">
        <v>0.9</v>
      </c>
      <c r="AP9">
        <v>1.1923912806004799</v>
      </c>
      <c r="AQ9">
        <v>1.09110359068325</v>
      </c>
      <c r="AR9">
        <v>1.2740447993556401</v>
      </c>
      <c r="AS9">
        <v>0.99308449092208195</v>
      </c>
      <c r="AT9">
        <v>0.86881704491204703</v>
      </c>
      <c r="AU9">
        <v>0.83982883593921598</v>
      </c>
      <c r="AV9">
        <v>1</v>
      </c>
      <c r="AW9">
        <v>0.992795646104911</v>
      </c>
      <c r="AX9">
        <v>1</v>
      </c>
      <c r="AY9">
        <v>1</v>
      </c>
      <c r="AZ9">
        <v>0.94825912594610096</v>
      </c>
      <c r="BA9">
        <v>1</v>
      </c>
      <c r="BB9">
        <v>0.98400976253176298</v>
      </c>
      <c r="BC9">
        <v>26816000496.099998</v>
      </c>
      <c r="BD9">
        <v>4.9435956143870301E-2</v>
      </c>
      <c r="BE9">
        <v>4963</v>
      </c>
    </row>
    <row r="10" spans="1:57" x14ac:dyDescent="0.25">
      <c r="A10">
        <v>9</v>
      </c>
      <c r="B10" t="s">
        <v>56</v>
      </c>
      <c r="C10">
        <v>4</v>
      </c>
      <c r="D10">
        <v>0.39799054445677201</v>
      </c>
      <c r="E10">
        <v>0.54026310425635804</v>
      </c>
      <c r="F10">
        <v>4.67271940700215</v>
      </c>
      <c r="G10">
        <v>6.29394112878229</v>
      </c>
      <c r="H10">
        <v>0.73666060354905005</v>
      </c>
      <c r="I10">
        <v>0.142272559799586</v>
      </c>
      <c r="J10">
        <v>3.6421031556242003E-2</v>
      </c>
      <c r="K10">
        <v>8.3468783569973608E-3</v>
      </c>
      <c r="L10" s="1">
        <v>6.1476980486505603E-10</v>
      </c>
      <c r="M10">
        <v>0.49078985084464</v>
      </c>
      <c r="N10">
        <v>4.7053428837087203E-3</v>
      </c>
      <c r="O10">
        <v>0</v>
      </c>
      <c r="P10">
        <v>4.3871277766780299</v>
      </c>
      <c r="Q10">
        <v>95.612872223322</v>
      </c>
      <c r="R10">
        <v>54.8738854077098</v>
      </c>
      <c r="S10">
        <v>30.204731533755801</v>
      </c>
      <c r="T10">
        <v>14.921383058534399</v>
      </c>
      <c r="U10">
        <v>0</v>
      </c>
      <c r="V10">
        <v>45.1261145922902</v>
      </c>
      <c r="W10">
        <v>0.45344478675125799</v>
      </c>
      <c r="X10">
        <v>-46.065492443439801</v>
      </c>
      <c r="Y10">
        <v>68.008800888707697</v>
      </c>
      <c r="Z10">
        <v>100</v>
      </c>
      <c r="AA10">
        <v>67.130605249258195</v>
      </c>
      <c r="AB10">
        <v>289.38111824520598</v>
      </c>
      <c r="AC10">
        <v>287.07869718936098</v>
      </c>
      <c r="AD10">
        <v>16.469924333632001</v>
      </c>
      <c r="AE10">
        <v>339.17081463445697</v>
      </c>
      <c r="AF10">
        <v>3.5775872780380298</v>
      </c>
      <c r="AG10">
        <v>780.88478276602996</v>
      </c>
      <c r="AH10">
        <v>4.6446795979253901</v>
      </c>
      <c r="AI10">
        <v>48.461315477515598</v>
      </c>
      <c r="AJ10">
        <v>176.43248885251001</v>
      </c>
      <c r="AK10">
        <v>24.428242894854201</v>
      </c>
      <c r="AL10">
        <v>-26.655419467560499</v>
      </c>
      <c r="AM10">
        <v>3.74459035008964</v>
      </c>
      <c r="AN10">
        <v>5.2090002345326702</v>
      </c>
      <c r="AO10">
        <v>0.9</v>
      </c>
      <c r="AP10">
        <v>1.2281263446867099</v>
      </c>
      <c r="AQ10">
        <v>1.17257494186358</v>
      </c>
      <c r="AR10">
        <v>1.2689357762596101</v>
      </c>
      <c r="AS10">
        <v>0.99470913822525797</v>
      </c>
      <c r="AT10">
        <v>0.86904223204008202</v>
      </c>
      <c r="AU10">
        <v>0.83812578477668198</v>
      </c>
      <c r="AV10">
        <v>1</v>
      </c>
      <c r="AW10">
        <v>0.99620291512312198</v>
      </c>
      <c r="AX10">
        <v>1</v>
      </c>
      <c r="AY10">
        <v>1</v>
      </c>
      <c r="AZ10">
        <v>0.94133605103002305</v>
      </c>
      <c r="BA10">
        <v>1</v>
      </c>
      <c r="BB10">
        <v>0.98469944980927704</v>
      </c>
      <c r="BC10">
        <v>54537542952.800003</v>
      </c>
      <c r="BD10">
        <v>4.49100256120116E-2</v>
      </c>
      <c r="BE10">
        <v>8248</v>
      </c>
    </row>
    <row r="11" spans="1:57" x14ac:dyDescent="0.25">
      <c r="A11">
        <v>10</v>
      </c>
      <c r="B11" t="s">
        <v>56</v>
      </c>
      <c r="C11">
        <v>4.5</v>
      </c>
      <c r="D11">
        <v>0.50092387716456799</v>
      </c>
      <c r="E11">
        <v>0.58919398184139005</v>
      </c>
      <c r="F11">
        <v>5.8482105574089198</v>
      </c>
      <c r="G11">
        <v>6.8456498302775204</v>
      </c>
      <c r="H11">
        <v>0.85018498593459202</v>
      </c>
      <c r="I11">
        <v>8.8270104676821698E-2</v>
      </c>
      <c r="J11">
        <v>3.7625514423951303E-2</v>
      </c>
      <c r="K11">
        <v>8.4260476280485705E-3</v>
      </c>
      <c r="L11" s="1">
        <v>3.9610939698255604E-6</v>
      </c>
      <c r="M11">
        <v>0.53722449148366203</v>
      </c>
      <c r="N11">
        <v>5.9139672117582802E-3</v>
      </c>
      <c r="O11">
        <v>0</v>
      </c>
      <c r="P11">
        <v>6.3961471439933302</v>
      </c>
      <c r="Q11">
        <v>93.603852856006696</v>
      </c>
      <c r="R11">
        <v>38.825834307591698</v>
      </c>
      <c r="S11">
        <v>43.251629149460904</v>
      </c>
      <c r="T11">
        <v>17.922536542947402</v>
      </c>
      <c r="U11">
        <v>0</v>
      </c>
      <c r="V11">
        <v>61.174165692408302</v>
      </c>
      <c r="W11">
        <v>0.437248518572733</v>
      </c>
      <c r="X11">
        <v>-50.980064366418702</v>
      </c>
      <c r="Y11">
        <v>102.33555390726499</v>
      </c>
      <c r="Z11">
        <v>100</v>
      </c>
      <c r="AA11">
        <v>61.9612421132286</v>
      </c>
      <c r="AB11">
        <v>309.14848829184501</v>
      </c>
      <c r="AC11">
        <v>307.19183613020198</v>
      </c>
      <c r="AD11">
        <v>18.7477173193449</v>
      </c>
      <c r="AE11">
        <v>335.26895194144299</v>
      </c>
      <c r="AF11">
        <v>3.58291304487545</v>
      </c>
      <c r="AG11">
        <v>779.96584301675102</v>
      </c>
      <c r="AH11">
        <v>6.1613271183094103</v>
      </c>
      <c r="AI11">
        <v>49.022845410007498</v>
      </c>
      <c r="AJ11">
        <v>176.612022397338</v>
      </c>
      <c r="AK11">
        <v>22.0046376747033</v>
      </c>
      <c r="AL11">
        <v>-27.561519036569599</v>
      </c>
      <c r="AM11">
        <v>4.1570647409444197</v>
      </c>
      <c r="AN11">
        <v>6.6300109043929103</v>
      </c>
      <c r="AO11">
        <v>0.9</v>
      </c>
      <c r="AP11">
        <v>1.2500984935141899</v>
      </c>
      <c r="AQ11">
        <v>1.19325589816129</v>
      </c>
      <c r="AR11">
        <v>1.2526714638351899</v>
      </c>
      <c r="AS11">
        <v>0.99816324435081405</v>
      </c>
      <c r="AT11">
        <v>0.84924272965505998</v>
      </c>
      <c r="AU11">
        <v>0.83988450424139705</v>
      </c>
      <c r="AV11">
        <v>1</v>
      </c>
      <c r="AW11">
        <v>0.994603658756117</v>
      </c>
      <c r="AX11">
        <v>1</v>
      </c>
      <c r="AY11">
        <v>1</v>
      </c>
      <c r="AZ11">
        <v>0.92047358459986905</v>
      </c>
      <c r="BA11">
        <v>1</v>
      </c>
      <c r="BB11">
        <v>1.00280433612705</v>
      </c>
      <c r="BC11">
        <v>15972284802.1</v>
      </c>
      <c r="BD11">
        <v>6.1307498673943701E-2</v>
      </c>
      <c r="BE11">
        <v>6568</v>
      </c>
    </row>
    <row r="12" spans="1:57" x14ac:dyDescent="0.25">
      <c r="A12">
        <v>11</v>
      </c>
      <c r="B12" t="s">
        <v>56</v>
      </c>
      <c r="C12">
        <v>5</v>
      </c>
      <c r="D12">
        <v>0.54430110490041295</v>
      </c>
      <c r="E12">
        <v>0.63349406799876795</v>
      </c>
      <c r="F12">
        <v>6.3395837967324198</v>
      </c>
      <c r="G12">
        <v>7.3425752431165003</v>
      </c>
      <c r="H12">
        <v>0.85920473828568</v>
      </c>
      <c r="I12">
        <v>8.9192963098355504E-2</v>
      </c>
      <c r="J12">
        <v>4.0739570837578003E-2</v>
      </c>
      <c r="K12">
        <v>7.7623349691942701E-3</v>
      </c>
      <c r="L12">
        <v>1.95896017845737E-4</v>
      </c>
      <c r="M12">
        <v>0.57695243674388696</v>
      </c>
      <c r="N12">
        <v>7.8438294302630492E-3</v>
      </c>
      <c r="O12">
        <v>0</v>
      </c>
      <c r="P12">
        <v>21.942525499121501</v>
      </c>
      <c r="Q12">
        <v>78.057474500878499</v>
      </c>
      <c r="R12">
        <v>38.6703996425532</v>
      </c>
      <c r="S12">
        <v>37.928587898027899</v>
      </c>
      <c r="T12">
        <v>23.401012459418901</v>
      </c>
      <c r="U12">
        <v>0</v>
      </c>
      <c r="V12">
        <v>61.3296003574468</v>
      </c>
      <c r="W12">
        <v>0.40330875735777899</v>
      </c>
      <c r="X12">
        <v>-45.918408211910403</v>
      </c>
      <c r="Y12">
        <v>136.21196306000201</v>
      </c>
      <c r="Z12">
        <v>100</v>
      </c>
      <c r="AA12">
        <v>53.924522597747298</v>
      </c>
      <c r="AB12">
        <v>322.97585090197299</v>
      </c>
      <c r="AC12">
        <v>322.35095722279999</v>
      </c>
      <c r="AD12">
        <v>18.734264589805601</v>
      </c>
      <c r="AE12">
        <v>332.09294736120501</v>
      </c>
      <c r="AF12">
        <v>3.5907055254691</v>
      </c>
      <c r="AG12">
        <v>773.38285401884104</v>
      </c>
      <c r="AH12">
        <v>4.6660877327898698</v>
      </c>
      <c r="AI12">
        <v>49.492432589969297</v>
      </c>
      <c r="AJ12">
        <v>175.29710856741301</v>
      </c>
      <c r="AK12">
        <v>23.424808540144902</v>
      </c>
      <c r="AL12">
        <v>-31.791253917373801</v>
      </c>
      <c r="AM12">
        <v>4.68607571507488</v>
      </c>
      <c r="AN12">
        <v>7.4567490742520004</v>
      </c>
      <c r="AO12">
        <v>0.9</v>
      </c>
      <c r="AP12">
        <v>1.2699072110821901</v>
      </c>
      <c r="AQ12">
        <v>1.1727144194229999</v>
      </c>
      <c r="AR12">
        <v>1.2676880215109001</v>
      </c>
      <c r="AS12">
        <v>1.0016470572009699</v>
      </c>
      <c r="AT12">
        <v>0.83787880554159799</v>
      </c>
      <c r="AU12">
        <v>0.85236911109969604</v>
      </c>
      <c r="AV12">
        <v>1</v>
      </c>
      <c r="AW12">
        <v>0.987202503067516</v>
      </c>
      <c r="AX12">
        <v>1</v>
      </c>
      <c r="AY12">
        <v>1</v>
      </c>
      <c r="AZ12">
        <v>0.92027151953531905</v>
      </c>
      <c r="BA12">
        <v>1</v>
      </c>
      <c r="BB12">
        <v>1.0730643720431401</v>
      </c>
      <c r="BC12">
        <v>1499685194</v>
      </c>
      <c r="BD12">
        <v>7.39341048828078E-2</v>
      </c>
      <c r="BE12">
        <v>3218</v>
      </c>
    </row>
    <row r="13" spans="1:57" x14ac:dyDescent="0.25">
      <c r="A13">
        <v>12</v>
      </c>
      <c r="B13" t="s">
        <v>56</v>
      </c>
      <c r="C13">
        <v>5.5</v>
      </c>
      <c r="D13">
        <v>0.420963255203259</v>
      </c>
      <c r="E13">
        <v>0.62316930423839301</v>
      </c>
      <c r="F13">
        <v>4.9362261572102097</v>
      </c>
      <c r="G13">
        <v>7.2269773861452498</v>
      </c>
      <c r="H13">
        <v>0.675519882542577</v>
      </c>
      <c r="I13">
        <v>0.20220604903513401</v>
      </c>
      <c r="J13">
        <v>3.77942109306285E-2</v>
      </c>
      <c r="K13">
        <v>9.9834887920858106E-3</v>
      </c>
      <c r="L13">
        <v>1.8922802674278499E-4</v>
      </c>
      <c r="M13">
        <v>0.571186527290243</v>
      </c>
      <c r="N13">
        <v>4.0158491986929902E-3</v>
      </c>
      <c r="O13">
        <v>0</v>
      </c>
      <c r="P13">
        <v>11.7729814191324</v>
      </c>
      <c r="Q13">
        <v>88.227018580867593</v>
      </c>
      <c r="R13">
        <v>68.048392983335503</v>
      </c>
      <c r="S13">
        <v>18.2775873852414</v>
      </c>
      <c r="T13">
        <v>13.674019631423</v>
      </c>
      <c r="U13">
        <v>0</v>
      </c>
      <c r="V13">
        <v>31.9516070166645</v>
      </c>
      <c r="W13">
        <v>0.48209334132147802</v>
      </c>
      <c r="X13">
        <v>-50.512569976606798</v>
      </c>
      <c r="Y13">
        <v>106.372195515333</v>
      </c>
      <c r="Z13">
        <v>100</v>
      </c>
      <c r="AA13">
        <v>66.349791501084496</v>
      </c>
      <c r="AB13">
        <v>286.59816194227898</v>
      </c>
      <c r="AC13">
        <v>284.75839066447998</v>
      </c>
      <c r="AD13">
        <v>19.8795127782839</v>
      </c>
      <c r="AE13">
        <v>336.290676184662</v>
      </c>
      <c r="AF13">
        <v>3.62950054651794</v>
      </c>
      <c r="AG13">
        <v>778.31943678501295</v>
      </c>
      <c r="AH13">
        <v>2.7977454641033201</v>
      </c>
      <c r="AI13">
        <v>46.094382710933097</v>
      </c>
      <c r="AJ13">
        <v>176.67727348487401</v>
      </c>
      <c r="AK13">
        <v>21.003267976103601</v>
      </c>
      <c r="AL13">
        <v>-26.472901819622301</v>
      </c>
      <c r="AM13">
        <v>5.3471548206444401</v>
      </c>
      <c r="AN13">
        <v>9.0483009081802308</v>
      </c>
      <c r="AO13">
        <v>0.9</v>
      </c>
      <c r="AP13">
        <v>1.2842537375691501</v>
      </c>
      <c r="AQ13">
        <v>1.22500524574804</v>
      </c>
      <c r="AR13">
        <v>1.2597156902631199</v>
      </c>
      <c r="AS13">
        <v>0.99450162074295001</v>
      </c>
      <c r="AT13">
        <v>0.87329251834736998</v>
      </c>
      <c r="AU13">
        <v>0.84292182899804702</v>
      </c>
      <c r="AV13">
        <v>1</v>
      </c>
      <c r="AW13">
        <v>0.99700407894121101</v>
      </c>
      <c r="AX13">
        <v>1</v>
      </c>
      <c r="AY13">
        <v>1</v>
      </c>
      <c r="AZ13">
        <v>0.95846291087833602</v>
      </c>
      <c r="BA13">
        <v>1</v>
      </c>
      <c r="BB13">
        <v>1.0136617654365301</v>
      </c>
      <c r="BC13">
        <v>2304929638.8000002</v>
      </c>
      <c r="BD13">
        <v>6.9666820544091193E-2</v>
      </c>
      <c r="BE13">
        <v>2253</v>
      </c>
    </row>
    <row r="14" spans="1:57" x14ac:dyDescent="0.25">
      <c r="A14">
        <v>13</v>
      </c>
      <c r="B14" t="s">
        <v>56</v>
      </c>
      <c r="C14">
        <v>6</v>
      </c>
      <c r="D14">
        <v>0.46900255339407898</v>
      </c>
      <c r="E14">
        <v>0.550467241853831</v>
      </c>
      <c r="F14">
        <v>5.4851006233507897</v>
      </c>
      <c r="G14">
        <v>6.4092420750115604</v>
      </c>
      <c r="H14">
        <v>0.85200810826562601</v>
      </c>
      <c r="I14">
        <v>8.1464688459751897E-2</v>
      </c>
      <c r="J14">
        <v>3.7404859512085699E-2</v>
      </c>
      <c r="K14">
        <v>6.45909587222701E-3</v>
      </c>
      <c r="L14">
        <v>3.4503591211768698E-4</v>
      </c>
      <c r="M14">
        <v>0.499718689476644</v>
      </c>
      <c r="N14">
        <v>6.5395610807557902E-3</v>
      </c>
      <c r="O14">
        <v>0</v>
      </c>
      <c r="P14">
        <v>12.506578608197801</v>
      </c>
      <c r="Q14">
        <v>87.493421391802201</v>
      </c>
      <c r="R14">
        <v>38.121968209426903</v>
      </c>
      <c r="S14">
        <v>36.151100681779397</v>
      </c>
      <c r="T14">
        <v>25.7269311087937</v>
      </c>
      <c r="U14">
        <v>0</v>
      </c>
      <c r="V14">
        <v>61.878031790573097</v>
      </c>
      <c r="W14">
        <v>0.35473896539574001</v>
      </c>
      <c r="X14">
        <v>-50.728392144137999</v>
      </c>
      <c r="Y14">
        <v>85.389577255666495</v>
      </c>
      <c r="Z14">
        <v>100</v>
      </c>
      <c r="AA14">
        <v>58.223152964347697</v>
      </c>
      <c r="AB14">
        <v>315.37992404846398</v>
      </c>
      <c r="AC14">
        <v>313.90278380917601</v>
      </c>
      <c r="AD14">
        <v>14.608157415605</v>
      </c>
      <c r="AE14">
        <v>340.57751697476698</v>
      </c>
      <c r="AF14">
        <v>3.5795763731860002</v>
      </c>
      <c r="AG14">
        <v>776.79628139556996</v>
      </c>
      <c r="AH14">
        <v>5.0890366202200203</v>
      </c>
      <c r="AI14">
        <v>48.815256479263603</v>
      </c>
      <c r="AJ14">
        <v>174.12883786197699</v>
      </c>
      <c r="AK14">
        <v>22.675534404237201</v>
      </c>
      <c r="AL14">
        <v>-26.9289770274824</v>
      </c>
      <c r="AM14">
        <v>5.7849592781724999</v>
      </c>
      <c r="AN14">
        <v>7.1106258228193697</v>
      </c>
      <c r="AO14">
        <v>0.9</v>
      </c>
      <c r="AP14">
        <v>1.2887675468653601</v>
      </c>
      <c r="AQ14">
        <v>1.1066216332079399</v>
      </c>
      <c r="AR14">
        <v>1.2573430069545199</v>
      </c>
      <c r="AS14">
        <v>0.99858673069402903</v>
      </c>
      <c r="AT14">
        <v>0.844505833299107</v>
      </c>
      <c r="AU14">
        <v>0.84603595803311404</v>
      </c>
      <c r="AV14">
        <v>1</v>
      </c>
      <c r="AW14">
        <v>0.99635363515298203</v>
      </c>
      <c r="AX14">
        <v>1</v>
      </c>
      <c r="AY14">
        <v>1</v>
      </c>
      <c r="AZ14">
        <v>0.919558558672255</v>
      </c>
      <c r="BA14">
        <v>1</v>
      </c>
      <c r="BB14">
        <v>1.0311070263759901</v>
      </c>
      <c r="BC14">
        <v>3685949105.1999998</v>
      </c>
      <c r="BD14">
        <v>7.5594128789159304E-2</v>
      </c>
      <c r="BE14">
        <v>3066</v>
      </c>
    </row>
    <row r="15" spans="1:57" x14ac:dyDescent="0.25">
      <c r="A15">
        <v>14</v>
      </c>
      <c r="B15" t="s">
        <v>56</v>
      </c>
      <c r="C15">
        <v>6.5</v>
      </c>
      <c r="D15">
        <v>0.44114341613827601</v>
      </c>
      <c r="E15">
        <v>0.53769071868438201</v>
      </c>
      <c r="F15">
        <v>5.1671501157551996</v>
      </c>
      <c r="G15">
        <v>6.26485409356295</v>
      </c>
      <c r="H15">
        <v>0.82044082370933002</v>
      </c>
      <c r="I15">
        <v>9.6547302546106203E-2</v>
      </c>
      <c r="J15">
        <v>3.5992744894615201E-2</v>
      </c>
      <c r="K15">
        <v>6.3175249946135796E-3</v>
      </c>
      <c r="L15">
        <v>5.3783841333319895E-4</v>
      </c>
      <c r="M15">
        <v>0.49015060051209802</v>
      </c>
      <c r="N15">
        <v>4.6920098697228697E-3</v>
      </c>
      <c r="O15">
        <v>0</v>
      </c>
      <c r="P15">
        <v>5.9201982426001196</v>
      </c>
      <c r="Q15">
        <v>94.079801757399906</v>
      </c>
      <c r="R15">
        <v>54.891298677046201</v>
      </c>
      <c r="S15">
        <v>29.571757574993601</v>
      </c>
      <c r="T15">
        <v>15.5369437479602</v>
      </c>
      <c r="U15">
        <v>0</v>
      </c>
      <c r="V15">
        <v>45.108701322953799</v>
      </c>
      <c r="W15">
        <v>0.37042781366677202</v>
      </c>
      <c r="X15">
        <v>-47.289451526503797</v>
      </c>
      <c r="Y15">
        <v>57.765519951609697</v>
      </c>
      <c r="Z15">
        <v>100</v>
      </c>
      <c r="AA15">
        <v>67.866024507115</v>
      </c>
      <c r="AB15">
        <v>288.30522081791702</v>
      </c>
      <c r="AC15">
        <v>286.14734580288803</v>
      </c>
      <c r="AD15">
        <v>13.3772540862526</v>
      </c>
      <c r="AE15">
        <v>343.37779877278803</v>
      </c>
      <c r="AF15">
        <v>3.5905674702561399</v>
      </c>
      <c r="AG15">
        <v>779.71888795907898</v>
      </c>
      <c r="AH15">
        <v>4.8507340228017899</v>
      </c>
      <c r="AI15">
        <v>48.050882171512399</v>
      </c>
      <c r="AJ15">
        <v>175.23841799810901</v>
      </c>
      <c r="AK15">
        <v>23.8783894580367</v>
      </c>
      <c r="AL15">
        <v>-26.981458623571001</v>
      </c>
      <c r="AM15">
        <v>6.3478955420492502</v>
      </c>
      <c r="AN15">
        <v>7.1733934893852496</v>
      </c>
      <c r="AO15">
        <v>0.9</v>
      </c>
      <c r="AP15">
        <v>1.2909373817335601</v>
      </c>
      <c r="AQ15">
        <v>1.0950849232329301</v>
      </c>
      <c r="AR15">
        <v>1.2650103960344501</v>
      </c>
      <c r="AS15">
        <v>0.99407803559805996</v>
      </c>
      <c r="AT15">
        <v>0.87082380086967404</v>
      </c>
      <c r="AU15">
        <v>0.840390043607945</v>
      </c>
      <c r="AV15">
        <v>1</v>
      </c>
      <c r="AW15">
        <v>0.99576578470560395</v>
      </c>
      <c r="AX15">
        <v>1</v>
      </c>
      <c r="AY15">
        <v>1</v>
      </c>
      <c r="AZ15">
        <v>0.94135868828016001</v>
      </c>
      <c r="BA15">
        <v>1</v>
      </c>
      <c r="BB15">
        <v>0.99339909967974604</v>
      </c>
      <c r="BC15">
        <v>51427747023.599998</v>
      </c>
      <c r="BD15">
        <v>5.30403278915762E-2</v>
      </c>
      <c r="BE15">
        <v>7200</v>
      </c>
    </row>
    <row r="16" spans="1:57" x14ac:dyDescent="0.25">
      <c r="A16">
        <v>15</v>
      </c>
      <c r="B16" t="s">
        <v>56</v>
      </c>
      <c r="C16">
        <v>7</v>
      </c>
      <c r="D16">
        <v>0.51825911909326905</v>
      </c>
      <c r="E16">
        <v>0.57556657744540196</v>
      </c>
      <c r="F16">
        <v>6.0448653650456601</v>
      </c>
      <c r="G16">
        <v>6.6922971405216298</v>
      </c>
      <c r="H16">
        <v>0.90043296362605696</v>
      </c>
      <c r="I16">
        <v>5.7307458352132197E-2</v>
      </c>
      <c r="J16">
        <v>3.6426123522650102E-2</v>
      </c>
      <c r="K16">
        <v>6.8052495609497799E-3</v>
      </c>
      <c r="L16">
        <v>1.41521154895385E-3</v>
      </c>
      <c r="M16">
        <v>0.52521536317883999</v>
      </c>
      <c r="N16">
        <v>5.7046296340074101E-3</v>
      </c>
      <c r="O16">
        <v>0</v>
      </c>
      <c r="P16">
        <v>5.3136147252874704</v>
      </c>
      <c r="Q16">
        <v>94.686385274712507</v>
      </c>
      <c r="R16">
        <v>52.317094097533797</v>
      </c>
      <c r="S16">
        <v>32.620609627401301</v>
      </c>
      <c r="T16">
        <v>15.062296275064901</v>
      </c>
      <c r="U16">
        <v>0</v>
      </c>
      <c r="V16">
        <v>47.682905902466203</v>
      </c>
      <c r="W16">
        <v>0.37190162692496698</v>
      </c>
      <c r="X16">
        <v>-45.627384719762603</v>
      </c>
      <c r="Y16">
        <v>95.069572416911896</v>
      </c>
      <c r="Z16">
        <v>100</v>
      </c>
      <c r="AA16">
        <v>64.166986415821995</v>
      </c>
      <c r="AB16">
        <v>296.56194143853497</v>
      </c>
      <c r="AC16">
        <v>294.22233725594299</v>
      </c>
      <c r="AD16">
        <v>15.9608139754534</v>
      </c>
      <c r="AE16">
        <v>339.79740362125602</v>
      </c>
      <c r="AF16">
        <v>3.5894772602064902</v>
      </c>
      <c r="AG16">
        <v>780.54191171991602</v>
      </c>
      <c r="AH16">
        <v>5.1558504235044698</v>
      </c>
      <c r="AI16">
        <v>48.815861276862798</v>
      </c>
      <c r="AJ16">
        <v>174.76202257730799</v>
      </c>
      <c r="AK16">
        <v>23.845213318363498</v>
      </c>
      <c r="AL16">
        <v>-26.356807239927001</v>
      </c>
      <c r="AM16">
        <v>6.7333653206622399</v>
      </c>
      <c r="AN16">
        <v>9.1623636299793407</v>
      </c>
      <c r="AO16">
        <v>0.9</v>
      </c>
      <c r="AP16">
        <v>1.29086811932329</v>
      </c>
      <c r="AQ16">
        <v>1.13928225409928</v>
      </c>
      <c r="AR16">
        <v>1.2696227935192701</v>
      </c>
      <c r="AS16">
        <v>0.99697361660392703</v>
      </c>
      <c r="AT16">
        <v>0.86138991657759201</v>
      </c>
      <c r="AU16">
        <v>0.83882961820093005</v>
      </c>
      <c r="AV16">
        <v>1</v>
      </c>
      <c r="AW16">
        <v>0.99685481805139697</v>
      </c>
      <c r="AX16">
        <v>1</v>
      </c>
      <c r="AY16">
        <v>1</v>
      </c>
      <c r="AZ16">
        <v>0.93801222232679404</v>
      </c>
      <c r="BA16">
        <v>1</v>
      </c>
      <c r="BB16">
        <v>0.98725533881210203</v>
      </c>
      <c r="BC16">
        <v>132932835653</v>
      </c>
      <c r="BD16">
        <v>5.0061696327242597E-2</v>
      </c>
      <c r="BE16">
        <v>12214</v>
      </c>
    </row>
    <row r="17" spans="1:57" x14ac:dyDescent="0.25">
      <c r="A17">
        <v>16</v>
      </c>
      <c r="B17" t="s">
        <v>56</v>
      </c>
      <c r="C17">
        <v>7.5</v>
      </c>
      <c r="D17">
        <v>0.52227785105093005</v>
      </c>
      <c r="E17">
        <v>0.53173287851036999</v>
      </c>
      <c r="F17">
        <v>6.0904009520114197</v>
      </c>
      <c r="G17">
        <v>6.1974545274869097</v>
      </c>
      <c r="H17">
        <v>0.98221846374080202</v>
      </c>
      <c r="I17">
        <v>9.45502745943997E-3</v>
      </c>
      <c r="J17">
        <v>3.6775045625081201E-2</v>
      </c>
      <c r="K17">
        <v>6.91523025870592E-3</v>
      </c>
      <c r="L17">
        <v>3.0738092262880801E-3</v>
      </c>
      <c r="M17">
        <v>0.477310932322693</v>
      </c>
      <c r="N17">
        <v>7.6578610776015304E-3</v>
      </c>
      <c r="O17">
        <v>0</v>
      </c>
      <c r="P17">
        <v>3.8507993803963299</v>
      </c>
      <c r="Q17">
        <v>96.149200619603704</v>
      </c>
      <c r="R17">
        <v>24.081591334687399</v>
      </c>
      <c r="S17">
        <v>47.074487201448697</v>
      </c>
      <c r="T17">
        <v>28.8439214638639</v>
      </c>
      <c r="U17">
        <v>0</v>
      </c>
      <c r="V17">
        <v>75.918408665312597</v>
      </c>
      <c r="W17">
        <v>0.39762840709257602</v>
      </c>
      <c r="X17">
        <v>-43.541480202379397</v>
      </c>
      <c r="Y17">
        <v>113.093096985014</v>
      </c>
      <c r="Z17">
        <v>100</v>
      </c>
      <c r="AA17">
        <v>53.138814029070602</v>
      </c>
      <c r="AB17">
        <v>331.10602791385298</v>
      </c>
      <c r="AC17">
        <v>329.025210949957</v>
      </c>
      <c r="AD17">
        <v>16.9875458467186</v>
      </c>
      <c r="AE17">
        <v>338.19803774492902</v>
      </c>
      <c r="AF17">
        <v>3.5756302042785699</v>
      </c>
      <c r="AG17">
        <v>780.49953004326903</v>
      </c>
      <c r="AH17">
        <v>5.2442831732983901</v>
      </c>
      <c r="AI17">
        <v>52.403900893794798</v>
      </c>
      <c r="AJ17">
        <v>174.87510914064299</v>
      </c>
      <c r="AK17">
        <v>24.0980030127498</v>
      </c>
      <c r="AL17">
        <v>-28.553903370608801</v>
      </c>
      <c r="AM17">
        <v>7.1838027800934796</v>
      </c>
      <c r="AN17">
        <v>10.4322779072427</v>
      </c>
      <c r="AO17">
        <v>0.9</v>
      </c>
      <c r="AP17">
        <v>1.2903112716874601</v>
      </c>
      <c r="AQ17">
        <v>1.16639805422896</v>
      </c>
      <c r="AR17">
        <v>1.2760936387019699</v>
      </c>
      <c r="AS17">
        <v>1.0028391683469</v>
      </c>
      <c r="AT17">
        <v>0.82600336337924096</v>
      </c>
      <c r="AU17">
        <v>0.83890824109873696</v>
      </c>
      <c r="AV17">
        <v>1</v>
      </c>
      <c r="AW17">
        <v>0.99222943725525203</v>
      </c>
      <c r="AX17">
        <v>1</v>
      </c>
      <c r="AY17">
        <v>1</v>
      </c>
      <c r="AZ17">
        <v>0.901306068735094</v>
      </c>
      <c r="BA17">
        <v>1</v>
      </c>
      <c r="BB17">
        <v>0.986822190061032</v>
      </c>
      <c r="BC17">
        <v>40481928820.699997</v>
      </c>
      <c r="BD17">
        <v>5.3230847470660397E-2</v>
      </c>
      <c r="BE17">
        <v>7571</v>
      </c>
    </row>
    <row r="18" spans="1:57" x14ac:dyDescent="0.25">
      <c r="A18">
        <v>17</v>
      </c>
      <c r="B18" t="s">
        <v>56</v>
      </c>
      <c r="C18">
        <v>8</v>
      </c>
      <c r="D18">
        <v>0.55213354809030601</v>
      </c>
      <c r="E18">
        <v>0.53466436735785605</v>
      </c>
      <c r="F18">
        <v>6.4280580298263699</v>
      </c>
      <c r="G18">
        <v>6.2306232823698</v>
      </c>
      <c r="H18">
        <v>1.0326731718045401</v>
      </c>
      <c r="I18">
        <v>-1.7469180732449699E-2</v>
      </c>
      <c r="J18">
        <v>3.8315626264402602E-2</v>
      </c>
      <c r="K18">
        <v>7.5448273154E-3</v>
      </c>
      <c r="L18">
        <v>4.4001632080591796E-3</v>
      </c>
      <c r="M18">
        <v>0.47603316317956601</v>
      </c>
      <c r="N18">
        <v>8.3705873904277705E-3</v>
      </c>
      <c r="O18">
        <v>0</v>
      </c>
      <c r="P18">
        <v>8.6191578413397707</v>
      </c>
      <c r="Q18">
        <v>91.380842158660201</v>
      </c>
      <c r="R18">
        <v>14.646657626439699</v>
      </c>
      <c r="S18">
        <v>46.465249538715</v>
      </c>
      <c r="T18">
        <v>38.888092834845303</v>
      </c>
      <c r="U18">
        <v>0</v>
      </c>
      <c r="V18">
        <v>85.353342373560295</v>
      </c>
      <c r="W18">
        <v>0.43656072274973101</v>
      </c>
      <c r="X18">
        <v>-45.3237142264433</v>
      </c>
      <c r="Y18">
        <v>110.47787596436601</v>
      </c>
      <c r="Z18">
        <v>100</v>
      </c>
      <c r="AA18">
        <v>40.160419433821403</v>
      </c>
      <c r="AB18">
        <v>345.56349015181002</v>
      </c>
      <c r="AC18">
        <v>344.36363769270901</v>
      </c>
      <c r="AD18">
        <v>18.427973982526701</v>
      </c>
      <c r="AE18">
        <v>335.226519903846</v>
      </c>
      <c r="AF18">
        <v>3.55460038106609</v>
      </c>
      <c r="AG18">
        <v>778.76408948782205</v>
      </c>
      <c r="AH18">
        <v>5.0165023243856099</v>
      </c>
      <c r="AI18">
        <v>54.106694760219099</v>
      </c>
      <c r="AJ18">
        <v>176.47005082953399</v>
      </c>
      <c r="AK18">
        <v>23.981543133383202</v>
      </c>
      <c r="AL18">
        <v>-33.358651922661302</v>
      </c>
      <c r="AM18">
        <v>7.6509436474597896</v>
      </c>
      <c r="AN18">
        <v>12.0800326845784</v>
      </c>
      <c r="AO18">
        <v>0.9</v>
      </c>
      <c r="AP18">
        <v>1.29012534548855</v>
      </c>
      <c r="AQ18">
        <v>1.1942292575414</v>
      </c>
      <c r="AR18">
        <v>1.27230090788039</v>
      </c>
      <c r="AS18">
        <v>1.00612379519799</v>
      </c>
      <c r="AT18">
        <v>0.81231673434223595</v>
      </c>
      <c r="AU18">
        <v>0.84207215807131297</v>
      </c>
      <c r="AV18">
        <v>1</v>
      </c>
      <c r="AW18">
        <v>0.98367667620185995</v>
      </c>
      <c r="AX18">
        <v>1</v>
      </c>
      <c r="AY18">
        <v>1</v>
      </c>
      <c r="AZ18">
        <v>0.88904065491437201</v>
      </c>
      <c r="BA18">
        <v>1</v>
      </c>
      <c r="BB18">
        <v>1.00952225003093</v>
      </c>
      <c r="BC18">
        <v>4972874264.3999996</v>
      </c>
      <c r="BD18">
        <v>8.0185189409830201E-2</v>
      </c>
      <c r="BE18">
        <v>5089</v>
      </c>
    </row>
    <row r="19" spans="1:57" x14ac:dyDescent="0.25">
      <c r="A19">
        <v>18</v>
      </c>
      <c r="B19" t="s">
        <v>56</v>
      </c>
      <c r="C19">
        <v>8.5</v>
      </c>
      <c r="D19">
        <v>0.68806782509345199</v>
      </c>
      <c r="E19">
        <v>0.59204940442082199</v>
      </c>
      <c r="F19">
        <v>7.9514021769242804</v>
      </c>
      <c r="G19">
        <v>6.8777533443176697</v>
      </c>
      <c r="H19">
        <v>1.1621797437100101</v>
      </c>
      <c r="I19">
        <v>-9.6018420672630403E-2</v>
      </c>
      <c r="J19">
        <v>3.8973710523806999E-2</v>
      </c>
      <c r="K19">
        <v>7.3525624004356898E-3</v>
      </c>
      <c r="L19">
        <v>7.5653171319606197E-3</v>
      </c>
      <c r="M19">
        <v>0.53075253721652704</v>
      </c>
      <c r="N19">
        <v>7.40527714809222E-3</v>
      </c>
      <c r="O19">
        <v>0</v>
      </c>
      <c r="P19">
        <v>14.304570923483199</v>
      </c>
      <c r="Q19">
        <v>85.695429076516803</v>
      </c>
      <c r="R19">
        <v>25.833648135151201</v>
      </c>
      <c r="S19">
        <v>41.908135502506198</v>
      </c>
      <c r="T19">
        <v>32.258216362342601</v>
      </c>
      <c r="U19">
        <v>0</v>
      </c>
      <c r="V19">
        <v>74.166351864848806</v>
      </c>
      <c r="W19">
        <v>0.40588865019960402</v>
      </c>
      <c r="X19">
        <v>-49.117767074363996</v>
      </c>
      <c r="Y19">
        <v>123.20757066868801</v>
      </c>
      <c r="Z19">
        <v>100</v>
      </c>
      <c r="AA19">
        <v>46.588336369736801</v>
      </c>
      <c r="AB19">
        <v>332.57088361593901</v>
      </c>
      <c r="AC19">
        <v>331.533523175798</v>
      </c>
      <c r="AD19">
        <v>18.666279434139302</v>
      </c>
      <c r="AE19">
        <v>334.85082125538003</v>
      </c>
      <c r="AF19">
        <v>3.59298138322939</v>
      </c>
      <c r="AG19">
        <v>776.82728450008096</v>
      </c>
      <c r="AH19">
        <v>4.86481185781291</v>
      </c>
      <c r="AI19">
        <v>52.232690582816801</v>
      </c>
      <c r="AJ19">
        <v>175.89168866261599</v>
      </c>
      <c r="AK19">
        <v>21.962917833968699</v>
      </c>
      <c r="AL19">
        <v>-31.171907158455198</v>
      </c>
      <c r="AM19">
        <v>8.3262362180178808</v>
      </c>
      <c r="AN19">
        <v>13.3791415136448</v>
      </c>
      <c r="AO19">
        <v>0.9</v>
      </c>
      <c r="AP19">
        <v>1.2901894764838</v>
      </c>
      <c r="AQ19">
        <v>1.1741318222216499</v>
      </c>
      <c r="AR19">
        <v>1.25930818411472</v>
      </c>
      <c r="AS19">
        <v>1.00292480289023</v>
      </c>
      <c r="AT19">
        <v>0.82616432469511403</v>
      </c>
      <c r="AU19">
        <v>0.84586604538516297</v>
      </c>
      <c r="AV19">
        <v>1</v>
      </c>
      <c r="AW19">
        <v>0.98823690851576895</v>
      </c>
      <c r="AX19">
        <v>1</v>
      </c>
      <c r="AY19">
        <v>1</v>
      </c>
      <c r="AZ19">
        <v>0.90358374257569696</v>
      </c>
      <c r="BA19">
        <v>1</v>
      </c>
      <c r="BB19">
        <v>1.0315648889894899</v>
      </c>
      <c r="BC19">
        <v>3822666405.1999998</v>
      </c>
      <c r="BD19">
        <v>8.2782827848036006E-2</v>
      </c>
      <c r="BE19">
        <v>5229</v>
      </c>
    </row>
    <row r="20" spans="1:57" x14ac:dyDescent="0.25">
      <c r="A20">
        <v>19</v>
      </c>
      <c r="B20" t="s">
        <v>56</v>
      </c>
      <c r="C20">
        <v>9</v>
      </c>
      <c r="D20">
        <v>0.56827828020295101</v>
      </c>
      <c r="E20">
        <v>0.54993556281907996</v>
      </c>
      <c r="F20">
        <v>6.6101851083929599</v>
      </c>
      <c r="G20">
        <v>6.4032376175977799</v>
      </c>
      <c r="H20">
        <v>1.0333543029838701</v>
      </c>
      <c r="I20">
        <v>-1.8342717383870801E-2</v>
      </c>
      <c r="J20">
        <v>3.65616363421358E-2</v>
      </c>
      <c r="K20">
        <v>7.8965642166718107E-3</v>
      </c>
      <c r="L20">
        <v>3.7420590730604698E-3</v>
      </c>
      <c r="M20">
        <v>0.49460410658994602</v>
      </c>
      <c r="N20">
        <v>7.1311965972658403E-3</v>
      </c>
      <c r="O20">
        <v>0</v>
      </c>
      <c r="P20">
        <v>6.4009228657783304</v>
      </c>
      <c r="Q20">
        <v>93.599077134221702</v>
      </c>
      <c r="R20">
        <v>25.815236189653302</v>
      </c>
      <c r="S20">
        <v>45.401630305602801</v>
      </c>
      <c r="T20">
        <v>28.783133504743802</v>
      </c>
      <c r="U20">
        <v>0</v>
      </c>
      <c r="V20">
        <v>74.184763810346695</v>
      </c>
      <c r="W20">
        <v>0.45149557506151</v>
      </c>
      <c r="X20">
        <v>-47.792614335359502</v>
      </c>
      <c r="Y20">
        <v>98.036197990986196</v>
      </c>
      <c r="Z20">
        <v>100</v>
      </c>
      <c r="AA20">
        <v>53.187057173017898</v>
      </c>
      <c r="AB20">
        <v>330.77779495287098</v>
      </c>
      <c r="AC20">
        <v>328.84517188928601</v>
      </c>
      <c r="AD20">
        <v>17.119378587610601</v>
      </c>
      <c r="AE20">
        <v>339.290915096177</v>
      </c>
      <c r="AF20">
        <v>3.5645743008049</v>
      </c>
      <c r="AG20">
        <v>779.96986412508898</v>
      </c>
      <c r="AH20">
        <v>5.5252532001472501</v>
      </c>
      <c r="AI20">
        <v>50.819274619190203</v>
      </c>
      <c r="AJ20">
        <v>176.70240442345099</v>
      </c>
      <c r="AK20">
        <v>22.995650821680201</v>
      </c>
      <c r="AL20">
        <v>-28.3886533578161</v>
      </c>
      <c r="AM20">
        <v>8.8166009423200293</v>
      </c>
      <c r="AN20">
        <v>12.935038414673</v>
      </c>
      <c r="AO20">
        <v>0.9</v>
      </c>
      <c r="AP20">
        <v>1.2901993177746101</v>
      </c>
      <c r="AQ20">
        <v>1.16547735698074</v>
      </c>
      <c r="AR20">
        <v>1.2625322721486401</v>
      </c>
      <c r="AS20">
        <v>1.0012509825737601</v>
      </c>
      <c r="AT20">
        <v>0.82673519144621899</v>
      </c>
      <c r="AU20">
        <v>0.839895237480209</v>
      </c>
      <c r="AV20">
        <v>1</v>
      </c>
      <c r="AW20">
        <v>0.99256315286493402</v>
      </c>
      <c r="AX20">
        <v>1</v>
      </c>
      <c r="AY20">
        <v>1</v>
      </c>
      <c r="AZ20">
        <v>0.90355980704654904</v>
      </c>
      <c r="BA20">
        <v>1</v>
      </c>
      <c r="BB20">
        <v>0.99063666718696697</v>
      </c>
      <c r="BC20">
        <v>30167174310.5</v>
      </c>
      <c r="BD20">
        <v>5.7208209675374801E-2</v>
      </c>
      <c r="BE20">
        <v>7363</v>
      </c>
    </row>
    <row r="21" spans="1:57" x14ac:dyDescent="0.25">
      <c r="A21">
        <v>20</v>
      </c>
      <c r="B21" t="s">
        <v>56</v>
      </c>
      <c r="C21">
        <v>9.5</v>
      </c>
      <c r="D21">
        <v>0.58566498466514805</v>
      </c>
      <c r="E21">
        <v>0.56527827498852301</v>
      </c>
      <c r="F21">
        <v>6.8059593002843304</v>
      </c>
      <c r="G21">
        <v>6.5763669557386404</v>
      </c>
      <c r="H21">
        <v>1.0360649092290699</v>
      </c>
      <c r="I21">
        <v>-2.0386709676624301E-2</v>
      </c>
      <c r="J21">
        <v>3.60783377495629E-2</v>
      </c>
      <c r="K21">
        <v>7.30630976931402E-3</v>
      </c>
      <c r="L21">
        <v>2.63141370485153E-3</v>
      </c>
      <c r="M21">
        <v>0.51193240146808905</v>
      </c>
      <c r="N21">
        <v>7.3298122967057396E-3</v>
      </c>
      <c r="O21">
        <v>0</v>
      </c>
      <c r="P21">
        <v>5.34473950868838</v>
      </c>
      <c r="Q21">
        <v>94.655260491311594</v>
      </c>
      <c r="R21">
        <v>37.482867025694901</v>
      </c>
      <c r="S21">
        <v>39.983344375783197</v>
      </c>
      <c r="T21">
        <v>22.533788598521902</v>
      </c>
      <c r="U21">
        <v>0</v>
      </c>
      <c r="V21">
        <v>62.517132974305099</v>
      </c>
      <c r="W21">
        <v>0.41813827900005002</v>
      </c>
      <c r="X21">
        <v>-45.044716941407003</v>
      </c>
      <c r="Y21">
        <v>86.738723798447296</v>
      </c>
      <c r="Z21">
        <v>100</v>
      </c>
      <c r="AA21">
        <v>59.1361453681426</v>
      </c>
      <c r="AB21">
        <v>311.248603872827</v>
      </c>
      <c r="AC21">
        <v>308.97696045310698</v>
      </c>
      <c r="AD21">
        <v>16.011821427132901</v>
      </c>
      <c r="AE21">
        <v>340.68991773241402</v>
      </c>
      <c r="AF21">
        <v>3.5561160098709799</v>
      </c>
      <c r="AG21">
        <v>781.03033889390304</v>
      </c>
      <c r="AH21">
        <v>5.9646779185618399</v>
      </c>
      <c r="AI21">
        <v>49.576917236177501</v>
      </c>
      <c r="AJ21">
        <v>176.04956736758001</v>
      </c>
      <c r="AK21">
        <v>24.3641112279483</v>
      </c>
      <c r="AL21">
        <v>-25.946032868196198</v>
      </c>
      <c r="AM21">
        <v>9.2526377233538</v>
      </c>
      <c r="AN21">
        <v>12.6528914707261</v>
      </c>
      <c r="AO21">
        <v>0.9</v>
      </c>
      <c r="AP21">
        <v>1.2902003460709599</v>
      </c>
      <c r="AQ21">
        <v>1.1498298991929401</v>
      </c>
      <c r="AR21">
        <v>1.26912364830904</v>
      </c>
      <c r="AS21">
        <v>0.99993493453188798</v>
      </c>
      <c r="AT21">
        <v>0.84593045939001199</v>
      </c>
      <c r="AU21">
        <v>0.83782511534109805</v>
      </c>
      <c r="AV21">
        <v>1</v>
      </c>
      <c r="AW21">
        <v>0.99758928316464701</v>
      </c>
      <c r="AX21">
        <v>1</v>
      </c>
      <c r="AY21">
        <v>1</v>
      </c>
      <c r="AZ21">
        <v>0.918727727133403</v>
      </c>
      <c r="BA21">
        <v>1</v>
      </c>
      <c r="BB21">
        <v>0.98183658151005504</v>
      </c>
      <c r="BC21">
        <v>99173880275.800003</v>
      </c>
      <c r="BD21">
        <v>4.0434765673994899E-2</v>
      </c>
      <c r="BE21">
        <v>8553</v>
      </c>
    </row>
    <row r="22" spans="1:57" x14ac:dyDescent="0.25">
      <c r="A22">
        <v>21</v>
      </c>
      <c r="B22" t="s">
        <v>56</v>
      </c>
      <c r="C22">
        <v>10</v>
      </c>
      <c r="D22">
        <v>0.60876212253380801</v>
      </c>
      <c r="E22">
        <v>0.58414904861162897</v>
      </c>
      <c r="F22">
        <v>7.0654511163173401</v>
      </c>
      <c r="G22">
        <v>6.7889048517052801</v>
      </c>
      <c r="H22">
        <v>1.0421349208402899</v>
      </c>
      <c r="I22">
        <v>-2.4613073922179301E-2</v>
      </c>
      <c r="J22">
        <v>3.61195458436286E-2</v>
      </c>
      <c r="K22">
        <v>7.3690201013442E-3</v>
      </c>
      <c r="L22">
        <v>2.5548917231735099E-3</v>
      </c>
      <c r="M22">
        <v>0.53452583792952801</v>
      </c>
      <c r="N22">
        <v>3.5797530139546202E-3</v>
      </c>
      <c r="O22">
        <v>0</v>
      </c>
      <c r="P22">
        <v>5.7948704371325803</v>
      </c>
      <c r="Q22">
        <v>94.205129562867398</v>
      </c>
      <c r="R22">
        <v>47.883590127260298</v>
      </c>
      <c r="S22">
        <v>28.7210196839861</v>
      </c>
      <c r="T22">
        <v>23.395390188753499</v>
      </c>
      <c r="U22">
        <v>0</v>
      </c>
      <c r="V22">
        <v>52.116409872739702</v>
      </c>
      <c r="W22">
        <v>0.43093006600671502</v>
      </c>
      <c r="X22">
        <v>-50.921514010454104</v>
      </c>
      <c r="Y22">
        <v>76.124190939118193</v>
      </c>
      <c r="Z22">
        <v>100</v>
      </c>
      <c r="AA22">
        <v>60.357898604299301</v>
      </c>
      <c r="AB22">
        <v>296.10638812800403</v>
      </c>
      <c r="AC22">
        <v>293.83590338708501</v>
      </c>
      <c r="AD22">
        <v>15.197913324242</v>
      </c>
      <c r="AE22">
        <v>341.13110351092701</v>
      </c>
      <c r="AF22">
        <v>3.60507275909869</v>
      </c>
      <c r="AG22">
        <v>780.14091517131499</v>
      </c>
      <c r="AH22">
        <v>5.6731104398738701</v>
      </c>
      <c r="AI22">
        <v>45.931035488294498</v>
      </c>
      <c r="AJ22">
        <v>175.97759183198701</v>
      </c>
      <c r="AK22">
        <v>20.564865522773299</v>
      </c>
      <c r="AL22">
        <v>-21.291111816205099</v>
      </c>
      <c r="AM22">
        <v>9.7167889717754594</v>
      </c>
      <c r="AN22">
        <v>12.5910966270144</v>
      </c>
      <c r="AO22">
        <v>0.9</v>
      </c>
      <c r="AP22">
        <v>1.29020098187967</v>
      </c>
      <c r="AQ22">
        <v>1.14640908907566</v>
      </c>
      <c r="AR22">
        <v>1.2579450359348401</v>
      </c>
      <c r="AS22">
        <v>0.99945833531671202</v>
      </c>
      <c r="AT22">
        <v>0.86184283476967005</v>
      </c>
      <c r="AU22">
        <v>0.83959690530742503</v>
      </c>
      <c r="AV22">
        <v>1</v>
      </c>
      <c r="AW22">
        <v>1.0078881142013301</v>
      </c>
      <c r="AX22">
        <v>1</v>
      </c>
      <c r="AY22">
        <v>1</v>
      </c>
      <c r="AZ22">
        <v>0.93224866716543797</v>
      </c>
      <c r="BA22">
        <v>1</v>
      </c>
      <c r="BB22">
        <v>0.98365491341695899</v>
      </c>
      <c r="BC22">
        <v>64012013313.199997</v>
      </c>
      <c r="BD22">
        <v>5.1470037475626201E-2</v>
      </c>
      <c r="BE22">
        <v>6341</v>
      </c>
    </row>
    <row r="23" spans="1:57" x14ac:dyDescent="0.25">
      <c r="A23">
        <v>22</v>
      </c>
      <c r="B23" t="s">
        <v>56</v>
      </c>
      <c r="C23">
        <v>10.5</v>
      </c>
      <c r="D23">
        <v>0.53473907063923798</v>
      </c>
      <c r="E23">
        <v>0.57486199920394698</v>
      </c>
      <c r="F23">
        <v>6.2314683829653701</v>
      </c>
      <c r="G23">
        <v>6.6843620520468798</v>
      </c>
      <c r="H23">
        <v>0.93020424272213098</v>
      </c>
      <c r="I23">
        <v>4.0122928564709302E-2</v>
      </c>
      <c r="J23">
        <v>3.5943022490985799E-2</v>
      </c>
      <c r="K23">
        <v>4.7612084082895197E-3</v>
      </c>
      <c r="L23">
        <v>2.4811339982822901E-3</v>
      </c>
      <c r="M23">
        <v>0.52673054531466101</v>
      </c>
      <c r="N23">
        <v>4.9460889917284402E-3</v>
      </c>
      <c r="O23">
        <v>0</v>
      </c>
      <c r="P23">
        <v>6.97664518098982</v>
      </c>
      <c r="Q23">
        <v>93.023354819010194</v>
      </c>
      <c r="R23">
        <v>49.921778472091702</v>
      </c>
      <c r="S23">
        <v>31.3404122735244</v>
      </c>
      <c r="T23">
        <v>18.737809254383901</v>
      </c>
      <c r="U23">
        <v>0</v>
      </c>
      <c r="V23">
        <v>50.078221527908298</v>
      </c>
      <c r="W23">
        <v>0.30337700262055101</v>
      </c>
      <c r="X23">
        <v>-46.2346989745648</v>
      </c>
      <c r="Y23">
        <v>51.727132423706799</v>
      </c>
      <c r="Z23">
        <v>100</v>
      </c>
      <c r="AA23">
        <v>62.040489459096896</v>
      </c>
      <c r="AB23">
        <v>295.256550583962</v>
      </c>
      <c r="AC23">
        <v>293.036676800294</v>
      </c>
      <c r="AD23">
        <v>11.7984558917729</v>
      </c>
      <c r="AE23">
        <v>344.803833337387</v>
      </c>
      <c r="AF23">
        <v>3.63890304550082</v>
      </c>
      <c r="AG23">
        <v>779.17467873289502</v>
      </c>
      <c r="AH23">
        <v>5.4595341995799496</v>
      </c>
      <c r="AI23">
        <v>45.496787198206903</v>
      </c>
      <c r="AJ23">
        <v>175.73764058484099</v>
      </c>
      <c r="AK23">
        <v>21.600490767322899</v>
      </c>
      <c r="AL23">
        <v>-25.063547101177999</v>
      </c>
      <c r="AM23">
        <v>10.215295781427301</v>
      </c>
      <c r="AN23">
        <v>10.1613622243121</v>
      </c>
      <c r="AO23">
        <v>0.9</v>
      </c>
      <c r="AP23">
        <v>1.2902016647496899</v>
      </c>
      <c r="AQ23">
        <v>1.0494729241277401</v>
      </c>
      <c r="AR23">
        <v>1.2731608984290299</v>
      </c>
      <c r="AS23">
        <v>0.99799981917987401</v>
      </c>
      <c r="AT23">
        <v>0.86287066557830405</v>
      </c>
      <c r="AU23">
        <v>0.84149211056252804</v>
      </c>
      <c r="AV23">
        <v>1</v>
      </c>
      <c r="AW23">
        <v>1.0001852465891099</v>
      </c>
      <c r="AX23">
        <v>1</v>
      </c>
      <c r="AY23">
        <v>1</v>
      </c>
      <c r="AZ23">
        <v>0.93489831201371898</v>
      </c>
      <c r="BA23">
        <v>1</v>
      </c>
      <c r="BB23">
        <v>0.99138042379798696</v>
      </c>
      <c r="BC23">
        <v>21751881681.400002</v>
      </c>
      <c r="BD23">
        <v>5.9475016470266102E-2</v>
      </c>
      <c r="BE23">
        <v>3486</v>
      </c>
    </row>
    <row r="24" spans="1:57" x14ac:dyDescent="0.25">
      <c r="A24">
        <v>23</v>
      </c>
      <c r="B24" t="s">
        <v>56</v>
      </c>
      <c r="C24">
        <v>11</v>
      </c>
      <c r="D24">
        <v>0.48596579328994699</v>
      </c>
      <c r="E24">
        <v>0.54025277821787399</v>
      </c>
      <c r="F24">
        <v>5.6782195833097102</v>
      </c>
      <c r="G24">
        <v>6.2938243845053501</v>
      </c>
      <c r="H24">
        <v>0.89951558396978004</v>
      </c>
      <c r="I24">
        <v>5.4286984927927301E-2</v>
      </c>
      <c r="J24">
        <v>3.5372217156348203E-2</v>
      </c>
      <c r="K24">
        <v>2.4921106889973402E-3</v>
      </c>
      <c r="L24">
        <v>2.9538318812751999E-4</v>
      </c>
      <c r="M24">
        <v>0.49294465413784599</v>
      </c>
      <c r="N24">
        <v>9.1484130465546206E-3</v>
      </c>
      <c r="O24">
        <v>0</v>
      </c>
      <c r="P24">
        <v>6.1979941138187398</v>
      </c>
      <c r="Q24">
        <v>93.802005886181306</v>
      </c>
      <c r="R24">
        <v>37.800904919982798</v>
      </c>
      <c r="S24">
        <v>38.259496323361702</v>
      </c>
      <c r="T24">
        <v>23.939598756655499</v>
      </c>
      <c r="U24">
        <v>0</v>
      </c>
      <c r="V24">
        <v>62.199095080017202</v>
      </c>
      <c r="W24">
        <v>0.198393080959338</v>
      </c>
      <c r="X24">
        <v>-36.4389173368005</v>
      </c>
      <c r="Y24">
        <v>16.708912173412902</v>
      </c>
      <c r="Z24">
        <v>100</v>
      </c>
      <c r="AA24">
        <v>61.970858513834301</v>
      </c>
      <c r="AB24">
        <v>313.48452974798698</v>
      </c>
      <c r="AC24">
        <v>311.25021696671598</v>
      </c>
      <c r="AD24">
        <v>8.0548434705814191</v>
      </c>
      <c r="AE24">
        <v>349.05270378179199</v>
      </c>
      <c r="AF24">
        <v>3.5118828647729101</v>
      </c>
      <c r="AG24">
        <v>779.94257967333704</v>
      </c>
      <c r="AH24">
        <v>6.49522700830427</v>
      </c>
      <c r="AI24">
        <v>48.613526214782397</v>
      </c>
      <c r="AJ24">
        <v>172.725451816961</v>
      </c>
      <c r="AK24">
        <v>29.208696801027301</v>
      </c>
      <c r="AL24">
        <v>-24.149199957121599</v>
      </c>
      <c r="AM24">
        <v>10.9596895731171</v>
      </c>
      <c r="AN24">
        <v>7.2307010033912604</v>
      </c>
      <c r="AO24">
        <v>0.9</v>
      </c>
      <c r="AP24">
        <v>1.2902026844433001</v>
      </c>
      <c r="AQ24">
        <v>0.95291126917994695</v>
      </c>
      <c r="AR24">
        <v>1.2853327266254799</v>
      </c>
      <c r="AS24">
        <v>0.99763367378430001</v>
      </c>
      <c r="AT24">
        <v>0.84361401507684597</v>
      </c>
      <c r="AU24">
        <v>0.83999799899149297</v>
      </c>
      <c r="AV24">
        <v>1</v>
      </c>
      <c r="AW24">
        <v>1.00232864553389</v>
      </c>
      <c r="AX24">
        <v>1</v>
      </c>
      <c r="AY24">
        <v>1</v>
      </c>
      <c r="AZ24">
        <v>0.91914117639597803</v>
      </c>
      <c r="BA24">
        <v>1</v>
      </c>
      <c r="BB24">
        <v>0.98729580030167696</v>
      </c>
      <c r="BC24">
        <v>37603772449.599998</v>
      </c>
      <c r="BD24">
        <v>7.8737653647918002E-2</v>
      </c>
      <c r="BE24">
        <v>4631</v>
      </c>
    </row>
    <row r="25" spans="1:57" x14ac:dyDescent="0.25">
      <c r="A25">
        <v>1</v>
      </c>
      <c r="B25" t="s">
        <v>57</v>
      </c>
      <c r="C25">
        <v>0</v>
      </c>
      <c r="D25">
        <v>0.38177619513190603</v>
      </c>
      <c r="E25">
        <v>0.22737463403146599</v>
      </c>
      <c r="F25">
        <v>4.4863310591801397</v>
      </c>
      <c r="G25">
        <v>2.69463141419262</v>
      </c>
      <c r="H25">
        <v>1.67906238423708</v>
      </c>
      <c r="I25">
        <v>-0.15440156110044001</v>
      </c>
      <c r="J25">
        <v>3.6092160064616997E-2</v>
      </c>
      <c r="K25">
        <v>2.87508843131218E-3</v>
      </c>
      <c r="L25">
        <v>0</v>
      </c>
      <c r="M25">
        <v>0.186228640945412</v>
      </c>
      <c r="N25">
        <v>2.1787445901240801E-3</v>
      </c>
      <c r="O25">
        <v>0</v>
      </c>
      <c r="P25">
        <v>9.3815759516250701</v>
      </c>
      <c r="Q25">
        <v>90.618424048374905</v>
      </c>
      <c r="R25">
        <v>77.863635685568198</v>
      </c>
      <c r="S25">
        <v>10.626915271188199</v>
      </c>
      <c r="T25">
        <v>11.509449043243601</v>
      </c>
      <c r="U25">
        <v>0</v>
      </c>
      <c r="V25">
        <v>22.136364314431798</v>
      </c>
      <c r="W25">
        <v>0.20650630978215601</v>
      </c>
      <c r="X25">
        <v>-52.640004164118501</v>
      </c>
      <c r="Y25">
        <v>49.517448087945297</v>
      </c>
      <c r="Z25">
        <v>100</v>
      </c>
      <c r="AA25">
        <v>76.425305430401096</v>
      </c>
      <c r="AB25">
        <v>291.85201266936099</v>
      </c>
      <c r="AC25">
        <v>289.90229354131799</v>
      </c>
      <c r="AD25">
        <v>7.2917584736455296</v>
      </c>
      <c r="AE25">
        <v>350.81472911767497</v>
      </c>
      <c r="AF25">
        <v>3.6600069051698201</v>
      </c>
      <c r="AG25">
        <v>778.47116194635203</v>
      </c>
      <c r="AH25">
        <v>2.0449913149859702</v>
      </c>
      <c r="AI25">
        <v>43.299837892221603</v>
      </c>
      <c r="AJ25">
        <v>170.82717137033899</v>
      </c>
      <c r="AK25">
        <v>24.412985631729502</v>
      </c>
      <c r="AL25">
        <v>-21.1889332178594</v>
      </c>
      <c r="AM25">
        <v>-2.3071784527100698</v>
      </c>
      <c r="AN25">
        <v>-1.33112017527402</v>
      </c>
      <c r="AO25">
        <v>0.9</v>
      </c>
      <c r="AP25">
        <v>0.89337</v>
      </c>
      <c r="AQ25">
        <v>0.61724317158100805</v>
      </c>
      <c r="AR25">
        <v>1.26187944820463</v>
      </c>
      <c r="AS25">
        <v>0.98963001528981398</v>
      </c>
      <c r="AT25">
        <v>0.86611772316555002</v>
      </c>
      <c r="AU25">
        <v>0.84268190910091001</v>
      </c>
      <c r="AV25">
        <v>1</v>
      </c>
      <c r="AW25">
        <v>1.0082747971558299</v>
      </c>
      <c r="AX25">
        <v>1</v>
      </c>
      <c r="AY25">
        <v>1</v>
      </c>
      <c r="AZ25">
        <v>0.97122272639123897</v>
      </c>
      <c r="BA25">
        <v>1</v>
      </c>
      <c r="BB25">
        <v>0.99396674988243106</v>
      </c>
      <c r="BC25">
        <v>422637831.89999998</v>
      </c>
      <c r="BD25">
        <v>3.3889743532168601E-2</v>
      </c>
      <c r="BE25">
        <v>335</v>
      </c>
    </row>
    <row r="26" spans="1:57" x14ac:dyDescent="0.25">
      <c r="A26">
        <v>2</v>
      </c>
      <c r="B26" t="s">
        <v>57</v>
      </c>
      <c r="C26">
        <v>0.5</v>
      </c>
      <c r="D26">
        <v>0.13885509836067</v>
      </c>
      <c r="E26">
        <v>0.253535588847914</v>
      </c>
      <c r="F26">
        <v>1.6535946084506099</v>
      </c>
      <c r="G26">
        <v>3.0003585760855298</v>
      </c>
      <c r="H26">
        <v>0.54767497924705</v>
      </c>
      <c r="I26">
        <v>0.11468049048724401</v>
      </c>
      <c r="J26">
        <v>3.89009292623732E-2</v>
      </c>
      <c r="K26">
        <v>2.9888516305759398E-3</v>
      </c>
      <c r="L26">
        <v>0</v>
      </c>
      <c r="M26">
        <v>0.20690158043376</v>
      </c>
      <c r="N26">
        <v>4.7442275212050298E-3</v>
      </c>
      <c r="O26">
        <v>0</v>
      </c>
      <c r="P26">
        <v>22.2868541305081</v>
      </c>
      <c r="Q26">
        <v>77.713145869491896</v>
      </c>
      <c r="R26">
        <v>30.1933601608355</v>
      </c>
      <c r="S26">
        <v>47.605417862945103</v>
      </c>
      <c r="T26">
        <v>22.201221976219401</v>
      </c>
      <c r="U26">
        <v>0</v>
      </c>
      <c r="V26">
        <v>69.806639839164504</v>
      </c>
      <c r="W26">
        <v>0.20026470600062801</v>
      </c>
      <c r="X26">
        <v>-52.577947760131899</v>
      </c>
      <c r="Y26">
        <v>60.272217831834297</v>
      </c>
      <c r="Z26">
        <v>100</v>
      </c>
      <c r="AA26">
        <v>59.501186990154103</v>
      </c>
      <c r="AB26">
        <v>326.26725308546401</v>
      </c>
      <c r="AC26">
        <v>325.323611588228</v>
      </c>
      <c r="AD26">
        <v>9.4965024643808196</v>
      </c>
      <c r="AE26">
        <v>343.36423015441602</v>
      </c>
      <c r="AF26">
        <v>3.5338454997595101</v>
      </c>
      <c r="AG26">
        <v>773.02905153869904</v>
      </c>
      <c r="AH26">
        <v>6.0186438314182702</v>
      </c>
      <c r="AI26">
        <v>50.892043837302801</v>
      </c>
      <c r="AJ26">
        <v>170.851891915279</v>
      </c>
      <c r="AK26">
        <v>24.8856939163785</v>
      </c>
      <c r="AL26">
        <v>-31.776125709647498</v>
      </c>
      <c r="AM26">
        <v>0.27195522190403099</v>
      </c>
      <c r="AN26">
        <v>0.218680289877455</v>
      </c>
      <c r="AO26">
        <v>0.9</v>
      </c>
      <c r="AP26">
        <v>0.89337</v>
      </c>
      <c r="AQ26">
        <v>0.66612935049479405</v>
      </c>
      <c r="AR26">
        <v>1.25453412083557</v>
      </c>
      <c r="AS26">
        <v>0.99796776665753095</v>
      </c>
      <c r="AT26">
        <v>0.834255507154955</v>
      </c>
      <c r="AU26">
        <v>0.85322706376131996</v>
      </c>
      <c r="AV26">
        <v>1</v>
      </c>
      <c r="AW26">
        <v>0.98851009903522002</v>
      </c>
      <c r="AX26">
        <v>1</v>
      </c>
      <c r="AY26">
        <v>1</v>
      </c>
      <c r="AZ26">
        <v>0.90925136820908603</v>
      </c>
      <c r="BA26">
        <v>1</v>
      </c>
      <c r="BB26">
        <v>1.0987912210097299</v>
      </c>
      <c r="BC26">
        <v>73507551.599999994</v>
      </c>
      <c r="BD26">
        <v>8.4069085651355194E-2</v>
      </c>
      <c r="BE26">
        <v>146</v>
      </c>
    </row>
    <row r="27" spans="1:57" x14ac:dyDescent="0.25">
      <c r="A27">
        <v>3</v>
      </c>
      <c r="B27" t="s">
        <v>57</v>
      </c>
      <c r="C27">
        <v>1</v>
      </c>
      <c r="D27">
        <v>0.79872946076038498</v>
      </c>
      <c r="E27">
        <v>0.230764785358714</v>
      </c>
      <c r="F27">
        <v>9.1747056545648498</v>
      </c>
      <c r="G27">
        <v>2.7342998039378199</v>
      </c>
      <c r="H27">
        <v>3.4612276717991999</v>
      </c>
      <c r="I27">
        <v>-0.56796467540167095</v>
      </c>
      <c r="J27">
        <v>3.82467816768449E-2</v>
      </c>
      <c r="K27">
        <v>2.7839654329054999E-3</v>
      </c>
      <c r="L27">
        <v>0</v>
      </c>
      <c r="M27">
        <v>0.18287921876034799</v>
      </c>
      <c r="N27">
        <v>6.8548194886152601E-3</v>
      </c>
      <c r="O27">
        <v>0</v>
      </c>
      <c r="P27">
        <v>18.050698459629601</v>
      </c>
      <c r="Q27">
        <v>81.949301540370399</v>
      </c>
      <c r="R27">
        <v>27.321709223122099</v>
      </c>
      <c r="S27">
        <v>49.894125115090603</v>
      </c>
      <c r="T27">
        <v>22.784165661787299</v>
      </c>
      <c r="U27">
        <v>0</v>
      </c>
      <c r="V27">
        <v>72.678290776877901</v>
      </c>
      <c r="W27">
        <v>0.19805115017050801</v>
      </c>
      <c r="X27">
        <v>-56.504269720865402</v>
      </c>
      <c r="Y27">
        <v>65.504139645785799</v>
      </c>
      <c r="Z27">
        <v>100</v>
      </c>
      <c r="AA27">
        <v>64.034358947723703</v>
      </c>
      <c r="AB27">
        <v>323.88629801428198</v>
      </c>
      <c r="AC27">
        <v>322.85384891119003</v>
      </c>
      <c r="AD27">
        <v>8.87853028557325</v>
      </c>
      <c r="AE27">
        <v>343.15109036077899</v>
      </c>
      <c r="AF27">
        <v>3.4874122329692998</v>
      </c>
      <c r="AG27">
        <v>775.85317154131496</v>
      </c>
      <c r="AH27">
        <v>6.0406468805523001</v>
      </c>
      <c r="AI27">
        <v>42.111650288031598</v>
      </c>
      <c r="AJ27">
        <v>169.85216148229799</v>
      </c>
      <c r="AK27">
        <v>25.514551723870301</v>
      </c>
      <c r="AL27">
        <v>-35.210849288798101</v>
      </c>
      <c r="AM27">
        <v>0.78850743218217001</v>
      </c>
      <c r="AN27">
        <v>0.59435822356495704</v>
      </c>
      <c r="AO27">
        <v>0.9</v>
      </c>
      <c r="AP27">
        <v>0.89337</v>
      </c>
      <c r="AQ27">
        <v>0.65079260273071704</v>
      </c>
      <c r="AR27">
        <v>1.22859183621489</v>
      </c>
      <c r="AS27">
        <v>0.99562824378454196</v>
      </c>
      <c r="AT27">
        <v>0.83633424816906299</v>
      </c>
      <c r="AU27">
        <v>0.84790299807343505</v>
      </c>
      <c r="AV27">
        <v>1</v>
      </c>
      <c r="AW27">
        <v>0.98069480540438003</v>
      </c>
      <c r="AX27">
        <v>1</v>
      </c>
      <c r="AY27">
        <v>1</v>
      </c>
      <c r="AZ27">
        <v>0.90551822199005905</v>
      </c>
      <c r="BA27">
        <v>1</v>
      </c>
      <c r="BB27">
        <v>1.0283817629280101</v>
      </c>
      <c r="BC27">
        <v>204945252.30000001</v>
      </c>
      <c r="BD27">
        <v>0.10844233075576799</v>
      </c>
      <c r="BE27">
        <v>269</v>
      </c>
    </row>
    <row r="28" spans="1:57" x14ac:dyDescent="0.25">
      <c r="A28">
        <v>4</v>
      </c>
      <c r="B28" t="s">
        <v>57</v>
      </c>
      <c r="C28">
        <v>1.5</v>
      </c>
      <c r="D28">
        <v>0.27971520429528901</v>
      </c>
      <c r="E28">
        <v>0.23999607031450099</v>
      </c>
      <c r="F28">
        <v>3.3054221136856499</v>
      </c>
      <c r="G28">
        <v>2.8422405658539298</v>
      </c>
      <c r="H28">
        <v>1.16549910141753</v>
      </c>
      <c r="I28">
        <v>-3.9719133980788003E-2</v>
      </c>
      <c r="J28">
        <v>3.6798986254355501E-2</v>
      </c>
      <c r="K28">
        <v>3.2505270593144201E-3</v>
      </c>
      <c r="L28">
        <v>0</v>
      </c>
      <c r="M28">
        <v>0.194337294539142</v>
      </c>
      <c r="N28">
        <v>5.6092624616895098E-3</v>
      </c>
      <c r="O28">
        <v>0</v>
      </c>
      <c r="P28">
        <v>16.636432510372501</v>
      </c>
      <c r="Q28">
        <v>83.363567489627499</v>
      </c>
      <c r="R28">
        <v>33.985396932408797</v>
      </c>
      <c r="S28">
        <v>40.896387793382999</v>
      </c>
      <c r="T28">
        <v>25.1182152742082</v>
      </c>
      <c r="U28">
        <v>0</v>
      </c>
      <c r="V28">
        <v>66.014603067591196</v>
      </c>
      <c r="W28">
        <v>0.21222777117769001</v>
      </c>
      <c r="X28">
        <v>-51.483650582886703</v>
      </c>
      <c r="Y28">
        <v>63.830805449233701</v>
      </c>
      <c r="Z28">
        <v>100</v>
      </c>
      <c r="AA28">
        <v>64.084410525640806</v>
      </c>
      <c r="AB28">
        <v>308.39067109098102</v>
      </c>
      <c r="AC28">
        <v>307.17923466626797</v>
      </c>
      <c r="AD28">
        <v>9.3112839303030395</v>
      </c>
      <c r="AE28">
        <v>345.24881611639398</v>
      </c>
      <c r="AF28">
        <v>3.55871843781977</v>
      </c>
      <c r="AG28">
        <v>776.50696945934305</v>
      </c>
      <c r="AH28">
        <v>5.5930202639675999</v>
      </c>
      <c r="AI28">
        <v>46.112098001864801</v>
      </c>
      <c r="AJ28">
        <v>171.36102990370699</v>
      </c>
      <c r="AK28">
        <v>24.803794590590002</v>
      </c>
      <c r="AL28">
        <v>-33.290829527949299</v>
      </c>
      <c r="AM28">
        <v>1.27153376437664</v>
      </c>
      <c r="AN28">
        <v>1.0139669448378199</v>
      </c>
      <c r="AO28">
        <v>0.9</v>
      </c>
      <c r="AP28">
        <v>0.90981110708846902</v>
      </c>
      <c r="AQ28">
        <v>0.66215855002722102</v>
      </c>
      <c r="AR28">
        <v>1.2533135594496201</v>
      </c>
      <c r="AS28">
        <v>0.996180788448085</v>
      </c>
      <c r="AT28">
        <v>0.85149367270431497</v>
      </c>
      <c r="AU28">
        <v>0.84654417425297801</v>
      </c>
      <c r="AV28">
        <v>1</v>
      </c>
      <c r="AW28">
        <v>0.98419102382732804</v>
      </c>
      <c r="AX28">
        <v>1</v>
      </c>
      <c r="AY28">
        <v>1</v>
      </c>
      <c r="AZ28">
        <v>0.91418101601213098</v>
      </c>
      <c r="BA28">
        <v>1</v>
      </c>
      <c r="BB28">
        <v>1.0215345492766901</v>
      </c>
      <c r="BC28">
        <v>488981397.60000002</v>
      </c>
      <c r="BD28">
        <v>7.1807778858785101E-2</v>
      </c>
      <c r="BE28">
        <v>460</v>
      </c>
    </row>
    <row r="29" spans="1:57" x14ac:dyDescent="0.25">
      <c r="A29">
        <v>5</v>
      </c>
      <c r="B29" t="s">
        <v>57</v>
      </c>
      <c r="C29">
        <v>2</v>
      </c>
      <c r="D29">
        <v>0.26110840015515802</v>
      </c>
      <c r="E29">
        <v>0.23406505699799399</v>
      </c>
      <c r="F29">
        <v>3.08869293516684</v>
      </c>
      <c r="G29">
        <v>2.7729022652188502</v>
      </c>
      <c r="H29">
        <v>1.11553772059789</v>
      </c>
      <c r="I29">
        <v>-2.7043343157164099E-2</v>
      </c>
      <c r="J29">
        <v>3.5443012812573303E-2</v>
      </c>
      <c r="K29">
        <v>2.8710179081285901E-3</v>
      </c>
      <c r="L29">
        <v>0</v>
      </c>
      <c r="M29">
        <v>0.18990085645465399</v>
      </c>
      <c r="N29">
        <v>5.8501698226379002E-3</v>
      </c>
      <c r="O29">
        <v>0</v>
      </c>
      <c r="P29">
        <v>3.8398522295677702</v>
      </c>
      <c r="Q29">
        <v>96.160147770432204</v>
      </c>
      <c r="R29">
        <v>55.263201735019798</v>
      </c>
      <c r="S29">
        <v>31.5566313263684</v>
      </c>
      <c r="T29">
        <v>13.1801669386118</v>
      </c>
      <c r="U29">
        <v>0</v>
      </c>
      <c r="V29">
        <v>44.736798264980202</v>
      </c>
      <c r="W29">
        <v>0.22373566925636801</v>
      </c>
      <c r="X29">
        <v>-45.228290518353802</v>
      </c>
      <c r="Y29">
        <v>34.799052773917701</v>
      </c>
      <c r="Z29">
        <v>100</v>
      </c>
      <c r="AA29">
        <v>72.529935616869693</v>
      </c>
      <c r="AB29">
        <v>301.45015744542201</v>
      </c>
      <c r="AC29">
        <v>299.20427610049302</v>
      </c>
      <c r="AD29">
        <v>7.3051518928595103</v>
      </c>
      <c r="AE29">
        <v>349.93958671226102</v>
      </c>
      <c r="AF29">
        <v>3.6856181603513201</v>
      </c>
      <c r="AG29">
        <v>780.09371728192104</v>
      </c>
      <c r="AH29">
        <v>5.7895895912209099</v>
      </c>
      <c r="AI29">
        <v>48.474272064039198</v>
      </c>
      <c r="AJ29">
        <v>173.449043967866</v>
      </c>
      <c r="AK29">
        <v>23.674632059604399</v>
      </c>
      <c r="AL29">
        <v>-30.4580461010978</v>
      </c>
      <c r="AM29">
        <v>1.8032949512770999</v>
      </c>
      <c r="AN29">
        <v>1.11774705357478</v>
      </c>
      <c r="AO29">
        <v>0.9</v>
      </c>
      <c r="AP29">
        <v>0.98639384549726705</v>
      </c>
      <c r="AQ29">
        <v>0.61886218559241801</v>
      </c>
      <c r="AR29">
        <v>1.2720035152699001</v>
      </c>
      <c r="AS29">
        <v>0.99118911421846101</v>
      </c>
      <c r="AT29">
        <v>0.85619356929550505</v>
      </c>
      <c r="AU29">
        <v>0.83966559811619301</v>
      </c>
      <c r="AV29">
        <v>1</v>
      </c>
      <c r="AW29">
        <v>0.98819476282128804</v>
      </c>
      <c r="AX29">
        <v>1</v>
      </c>
      <c r="AY29">
        <v>1</v>
      </c>
      <c r="AZ29">
        <v>0.94184216225552597</v>
      </c>
      <c r="BA29">
        <v>1</v>
      </c>
      <c r="BB29">
        <v>0.98062348396896704</v>
      </c>
      <c r="BC29">
        <v>5008785619.8999996</v>
      </c>
      <c r="BD29">
        <v>6.9679448410762804E-2</v>
      </c>
      <c r="BE29">
        <v>871</v>
      </c>
    </row>
    <row r="30" spans="1:57" x14ac:dyDescent="0.25">
      <c r="A30">
        <v>6</v>
      </c>
      <c r="B30" t="s">
        <v>57</v>
      </c>
      <c r="C30">
        <v>2.5</v>
      </c>
      <c r="D30">
        <v>0.325317864974561</v>
      </c>
      <c r="E30">
        <v>0.26199086507055303</v>
      </c>
      <c r="F30">
        <v>3.8347173703443098</v>
      </c>
      <c r="G30">
        <v>3.0989818002790699</v>
      </c>
      <c r="H30">
        <v>1.2417145341573399</v>
      </c>
      <c r="I30">
        <v>-6.3326999904007503E-2</v>
      </c>
      <c r="J30">
        <v>3.5422758695393103E-2</v>
      </c>
      <c r="K30">
        <v>2.5090461734205102E-3</v>
      </c>
      <c r="L30">
        <v>0</v>
      </c>
      <c r="M30">
        <v>0.21992901603338799</v>
      </c>
      <c r="N30">
        <v>4.1300441683512603E-3</v>
      </c>
      <c r="O30">
        <v>0</v>
      </c>
      <c r="P30">
        <v>6.15370101644963</v>
      </c>
      <c r="Q30">
        <v>93.846298983550398</v>
      </c>
      <c r="R30">
        <v>61.378468512309702</v>
      </c>
      <c r="S30">
        <v>21.970370736147601</v>
      </c>
      <c r="T30">
        <v>16.6511607515428</v>
      </c>
      <c r="U30">
        <v>0</v>
      </c>
      <c r="V30">
        <v>38.621531487690298</v>
      </c>
      <c r="W30">
        <v>0.18082003142285499</v>
      </c>
      <c r="X30">
        <v>-46.269619761611203</v>
      </c>
      <c r="Y30">
        <v>73.871201805674204</v>
      </c>
      <c r="Z30">
        <v>100</v>
      </c>
      <c r="AA30">
        <v>70.834999656298095</v>
      </c>
      <c r="AB30">
        <v>293.85558376892402</v>
      </c>
      <c r="AC30">
        <v>291.56784515812598</v>
      </c>
      <c r="AD30">
        <v>7.9734360837059404</v>
      </c>
      <c r="AE30">
        <v>349.05705849413602</v>
      </c>
      <c r="AF30">
        <v>3.6095969916907999</v>
      </c>
      <c r="AG30">
        <v>779.63684489439197</v>
      </c>
      <c r="AH30">
        <v>4.3445270320592302</v>
      </c>
      <c r="AI30">
        <v>47.455891291676302</v>
      </c>
      <c r="AJ30">
        <v>169.23612287235599</v>
      </c>
      <c r="AK30">
        <v>25.831149292480902</v>
      </c>
      <c r="AL30">
        <v>-23.023882980213799</v>
      </c>
      <c r="AM30">
        <v>2.24143210551793</v>
      </c>
      <c r="AN30">
        <v>1.5027422947995901</v>
      </c>
      <c r="AO30">
        <v>0.9</v>
      </c>
      <c r="AP30">
        <v>1.0581889856395601</v>
      </c>
      <c r="AQ30">
        <v>0.63595345792281199</v>
      </c>
      <c r="AR30">
        <v>1.27680374219277</v>
      </c>
      <c r="AS30">
        <v>0.99243348893857197</v>
      </c>
      <c r="AT30">
        <v>0.86415328112536105</v>
      </c>
      <c r="AU30">
        <v>0.84056685945672205</v>
      </c>
      <c r="AV30">
        <v>1</v>
      </c>
      <c r="AW30">
        <v>1.0048536597086799</v>
      </c>
      <c r="AX30">
        <v>1</v>
      </c>
      <c r="AY30">
        <v>1</v>
      </c>
      <c r="AZ30">
        <v>0.94979200906600203</v>
      </c>
      <c r="BA30">
        <v>1</v>
      </c>
      <c r="BB30">
        <v>0.98249465538951397</v>
      </c>
      <c r="BC30">
        <v>7819947142.6000004</v>
      </c>
      <c r="BD30">
        <v>6.0531229515019699E-2</v>
      </c>
      <c r="BE30">
        <v>1370</v>
      </c>
    </row>
    <row r="31" spans="1:57" x14ac:dyDescent="0.25">
      <c r="A31">
        <v>7</v>
      </c>
      <c r="B31" t="s">
        <v>57</v>
      </c>
      <c r="C31">
        <v>3</v>
      </c>
      <c r="D31">
        <v>0.31513522174966502</v>
      </c>
      <c r="E31">
        <v>0.316880245954205</v>
      </c>
      <c r="F31">
        <v>3.7167615814807502</v>
      </c>
      <c r="G31">
        <v>3.7369853624437099</v>
      </c>
      <c r="H31">
        <v>0.99449311142988694</v>
      </c>
      <c r="I31">
        <v>1.7450242045396901E-3</v>
      </c>
      <c r="J31">
        <v>3.5600330793431598E-2</v>
      </c>
      <c r="K31">
        <v>3.5550273797324301E-3</v>
      </c>
      <c r="L31">
        <v>0</v>
      </c>
      <c r="M31">
        <v>0.27375814162920598</v>
      </c>
      <c r="N31">
        <v>3.9667461518345304E-3</v>
      </c>
      <c r="O31">
        <v>0</v>
      </c>
      <c r="P31">
        <v>5.8362586649117496</v>
      </c>
      <c r="Q31">
        <v>94.163741335088204</v>
      </c>
      <c r="R31">
        <v>65.541839588215197</v>
      </c>
      <c r="S31">
        <v>19.376440813102999</v>
      </c>
      <c r="T31">
        <v>15.081719598681801</v>
      </c>
      <c r="U31">
        <v>0</v>
      </c>
      <c r="V31">
        <v>34.458160411784803</v>
      </c>
      <c r="W31">
        <v>0.23776612916973799</v>
      </c>
      <c r="X31">
        <v>-48.203529666949599</v>
      </c>
      <c r="Y31">
        <v>72.558130798385704</v>
      </c>
      <c r="Z31">
        <v>100</v>
      </c>
      <c r="AA31">
        <v>71.222199406181005</v>
      </c>
      <c r="AB31">
        <v>300.06255548834002</v>
      </c>
      <c r="AC31">
        <v>297.80849538805899</v>
      </c>
      <c r="AD31">
        <v>9.89559428930081</v>
      </c>
      <c r="AE31">
        <v>347.24084718228403</v>
      </c>
      <c r="AF31">
        <v>3.64992735650242</v>
      </c>
      <c r="AG31">
        <v>779.47873159429798</v>
      </c>
      <c r="AH31">
        <v>3.2015120788112399</v>
      </c>
      <c r="AI31">
        <v>48.527417556665398</v>
      </c>
      <c r="AJ31">
        <v>171.68538192212799</v>
      </c>
      <c r="AK31">
        <v>22.764598340089002</v>
      </c>
      <c r="AL31">
        <v>-25.515488344932798</v>
      </c>
      <c r="AM31">
        <v>2.7976050908997099</v>
      </c>
      <c r="AN31">
        <v>2.32662710418695</v>
      </c>
      <c r="AO31">
        <v>0.9</v>
      </c>
      <c r="AP31">
        <v>1.1343156447318501</v>
      </c>
      <c r="AQ31">
        <v>0.679542411257683</v>
      </c>
      <c r="AR31">
        <v>1.27118530900837</v>
      </c>
      <c r="AS31">
        <v>0.99195231269680095</v>
      </c>
      <c r="AT31">
        <v>0.85782253874512704</v>
      </c>
      <c r="AU31">
        <v>0.84089997653891202</v>
      </c>
      <c r="AV31">
        <v>1</v>
      </c>
      <c r="AW31">
        <v>0.99906911678113797</v>
      </c>
      <c r="AX31">
        <v>1</v>
      </c>
      <c r="AY31">
        <v>1</v>
      </c>
      <c r="AZ31">
        <v>0.95520439146467995</v>
      </c>
      <c r="BA31">
        <v>1</v>
      </c>
      <c r="BB31">
        <v>0.98927279062054096</v>
      </c>
      <c r="BC31">
        <v>14518948289.5</v>
      </c>
      <c r="BD31">
        <v>5.0980667963737701E-2</v>
      </c>
      <c r="BE31">
        <v>2731</v>
      </c>
    </row>
    <row r="32" spans="1:57" x14ac:dyDescent="0.25">
      <c r="A32">
        <v>8</v>
      </c>
      <c r="B32" t="s">
        <v>57</v>
      </c>
      <c r="C32">
        <v>3.5</v>
      </c>
      <c r="D32">
        <v>0.38801294067523001</v>
      </c>
      <c r="E32">
        <v>0.37047628518826597</v>
      </c>
      <c r="F32">
        <v>4.55806364187581</v>
      </c>
      <c r="G32">
        <v>4.3562380599024397</v>
      </c>
      <c r="H32">
        <v>1.04733543330055</v>
      </c>
      <c r="I32">
        <v>-1.7536655486963901E-2</v>
      </c>
      <c r="J32">
        <v>3.6001464599609199E-2</v>
      </c>
      <c r="K32">
        <v>5.3313301936310301E-3</v>
      </c>
      <c r="L32">
        <v>0</v>
      </c>
      <c r="M32">
        <v>0.32489919621357199</v>
      </c>
      <c r="N32">
        <v>4.2442941814541998E-3</v>
      </c>
      <c r="O32">
        <v>0</v>
      </c>
      <c r="P32">
        <v>5.2129735431773501</v>
      </c>
      <c r="Q32">
        <v>94.787026456822701</v>
      </c>
      <c r="R32">
        <v>60.199327650847003</v>
      </c>
      <c r="S32">
        <v>24.5219154528892</v>
      </c>
      <c r="T32">
        <v>15.278756896263801</v>
      </c>
      <c r="U32">
        <v>0</v>
      </c>
      <c r="V32">
        <v>39.800672349152997</v>
      </c>
      <c r="W32">
        <v>0.29115440875851401</v>
      </c>
      <c r="X32">
        <v>-45.852942833676003</v>
      </c>
      <c r="Y32">
        <v>94.207980598880596</v>
      </c>
      <c r="Z32">
        <v>100</v>
      </c>
      <c r="AA32">
        <v>69.339437091101402</v>
      </c>
      <c r="AB32">
        <v>289.50580536556402</v>
      </c>
      <c r="AC32">
        <v>287.22721818660301</v>
      </c>
      <c r="AD32">
        <v>13.8047889090806</v>
      </c>
      <c r="AE32">
        <v>342.78506499059301</v>
      </c>
      <c r="AF32">
        <v>3.6485986553307801</v>
      </c>
      <c r="AG32">
        <v>780.01954888110504</v>
      </c>
      <c r="AH32">
        <v>3.8566801089883298</v>
      </c>
      <c r="AI32">
        <v>48.047604141914299</v>
      </c>
      <c r="AJ32">
        <v>173.59732447917099</v>
      </c>
      <c r="AK32">
        <v>22.8426300007776</v>
      </c>
      <c r="AL32">
        <v>-28.2150236854973</v>
      </c>
      <c r="AM32">
        <v>3.2813580377172702</v>
      </c>
      <c r="AN32">
        <v>3.8384042848320101</v>
      </c>
      <c r="AO32">
        <v>0.9</v>
      </c>
      <c r="AP32">
        <v>1.1923912806004799</v>
      </c>
      <c r="AQ32">
        <v>0.76393663569192105</v>
      </c>
      <c r="AR32">
        <v>1.2740447993556401</v>
      </c>
      <c r="AS32">
        <v>0.99308449092208195</v>
      </c>
      <c r="AT32">
        <v>0.86881704491204703</v>
      </c>
      <c r="AU32">
        <v>0.83982883593921598</v>
      </c>
      <c r="AV32">
        <v>1</v>
      </c>
      <c r="AW32">
        <v>0.992795646104911</v>
      </c>
      <c r="AX32">
        <v>1</v>
      </c>
      <c r="AY32">
        <v>1</v>
      </c>
      <c r="AZ32">
        <v>0.94825912594610096</v>
      </c>
      <c r="BA32">
        <v>1</v>
      </c>
      <c r="BB32">
        <v>0.98400976253176298</v>
      </c>
      <c r="BC32">
        <v>26816000496.099998</v>
      </c>
      <c r="BD32">
        <v>4.9435956143870301E-2</v>
      </c>
      <c r="BE32">
        <v>4963</v>
      </c>
    </row>
    <row r="33" spans="1:57" x14ac:dyDescent="0.25">
      <c r="A33">
        <v>9</v>
      </c>
      <c r="B33" t="s">
        <v>57</v>
      </c>
      <c r="C33">
        <v>4</v>
      </c>
      <c r="D33">
        <v>0.39799054445677201</v>
      </c>
      <c r="E33">
        <v>0.39360456459382098</v>
      </c>
      <c r="F33">
        <v>4.67271940700215</v>
      </c>
      <c r="G33">
        <v>4.6223343018960303</v>
      </c>
      <c r="H33">
        <v>1.0111431122946399</v>
      </c>
      <c r="I33">
        <v>-4.3859798629512503E-3</v>
      </c>
      <c r="J33">
        <v>3.6421031556242003E-2</v>
      </c>
      <c r="K33">
        <v>8.3468783569973608E-3</v>
      </c>
      <c r="L33" s="1">
        <v>6.1476980486505603E-10</v>
      </c>
      <c r="M33">
        <v>0.34413131118210299</v>
      </c>
      <c r="N33">
        <v>4.7053428837087203E-3</v>
      </c>
      <c r="O33">
        <v>0</v>
      </c>
      <c r="P33">
        <v>4.3871277766780299</v>
      </c>
      <c r="Q33">
        <v>95.612872223322</v>
      </c>
      <c r="R33">
        <v>54.8738854077098</v>
      </c>
      <c r="S33">
        <v>30.204731533755801</v>
      </c>
      <c r="T33">
        <v>14.921383058534399</v>
      </c>
      <c r="U33">
        <v>0</v>
      </c>
      <c r="V33">
        <v>45.1261145922902</v>
      </c>
      <c r="W33">
        <v>0.45344478675125799</v>
      </c>
      <c r="X33">
        <v>-46.065492443439801</v>
      </c>
      <c r="Y33">
        <v>68.008800888707697</v>
      </c>
      <c r="Z33">
        <v>100</v>
      </c>
      <c r="AA33">
        <v>67.130605249258195</v>
      </c>
      <c r="AB33">
        <v>289.38111824520598</v>
      </c>
      <c r="AC33">
        <v>287.07869718936098</v>
      </c>
      <c r="AD33">
        <v>16.469924333632001</v>
      </c>
      <c r="AE33">
        <v>339.17081463445697</v>
      </c>
      <c r="AF33">
        <v>3.5775872780380298</v>
      </c>
      <c r="AG33">
        <v>780.88478276602996</v>
      </c>
      <c r="AH33">
        <v>4.6446795979253901</v>
      </c>
      <c r="AI33">
        <v>48.461315477515598</v>
      </c>
      <c r="AJ33">
        <v>176.43248885251001</v>
      </c>
      <c r="AK33">
        <v>24.428242894854201</v>
      </c>
      <c r="AL33">
        <v>-26.655419467560499</v>
      </c>
      <c r="AM33">
        <v>3.74459035008964</v>
      </c>
      <c r="AN33">
        <v>5.2090002345326702</v>
      </c>
      <c r="AO33">
        <v>0.9</v>
      </c>
      <c r="AP33">
        <v>1.2281263446867099</v>
      </c>
      <c r="AQ33">
        <v>0.82020057992036399</v>
      </c>
      <c r="AR33">
        <v>1.2689357762596101</v>
      </c>
      <c r="AS33">
        <v>0.99470913822525797</v>
      </c>
      <c r="AT33">
        <v>0.86904223204008202</v>
      </c>
      <c r="AU33">
        <v>0.83812578477668198</v>
      </c>
      <c r="AV33">
        <v>1</v>
      </c>
      <c r="AW33">
        <v>0.99620291512312198</v>
      </c>
      <c r="AX33">
        <v>1</v>
      </c>
      <c r="AY33">
        <v>1</v>
      </c>
      <c r="AZ33">
        <v>0.94133605103002305</v>
      </c>
      <c r="BA33">
        <v>1</v>
      </c>
      <c r="BB33">
        <v>0.98469944980927704</v>
      </c>
      <c r="BC33">
        <v>54537542952.800003</v>
      </c>
      <c r="BD33">
        <v>4.49100256120116E-2</v>
      </c>
      <c r="BE33">
        <v>8248</v>
      </c>
    </row>
    <row r="34" spans="1:57" x14ac:dyDescent="0.25">
      <c r="A34">
        <v>10</v>
      </c>
      <c r="B34" t="s">
        <v>57</v>
      </c>
      <c r="C34">
        <v>4.5</v>
      </c>
      <c r="D34">
        <v>0.50092387716456799</v>
      </c>
      <c r="E34">
        <v>0.44655472452920703</v>
      </c>
      <c r="F34">
        <v>5.8482105574089198</v>
      </c>
      <c r="G34">
        <v>5.2289848656942102</v>
      </c>
      <c r="H34">
        <v>1.12175249672407</v>
      </c>
      <c r="I34">
        <v>-5.4369152635361198E-2</v>
      </c>
      <c r="J34">
        <v>3.7625514423951303E-2</v>
      </c>
      <c r="K34">
        <v>8.4260476280485705E-3</v>
      </c>
      <c r="L34" s="1">
        <v>3.9610939698255604E-6</v>
      </c>
      <c r="M34">
        <v>0.394585234171479</v>
      </c>
      <c r="N34">
        <v>5.9139672117582802E-3</v>
      </c>
      <c r="O34">
        <v>0</v>
      </c>
      <c r="P34">
        <v>6.3961471439933302</v>
      </c>
      <c r="Q34">
        <v>93.603852856006696</v>
      </c>
      <c r="R34">
        <v>38.825834307591698</v>
      </c>
      <c r="S34">
        <v>43.251629149460904</v>
      </c>
      <c r="T34">
        <v>17.922536542947402</v>
      </c>
      <c r="U34">
        <v>0</v>
      </c>
      <c r="V34">
        <v>61.174165692408302</v>
      </c>
      <c r="W34">
        <v>0.437248518572733</v>
      </c>
      <c r="X34">
        <v>-50.980064366418702</v>
      </c>
      <c r="Y34">
        <v>102.33555390726499</v>
      </c>
      <c r="Z34">
        <v>100</v>
      </c>
      <c r="AA34">
        <v>61.9612421132286</v>
      </c>
      <c r="AB34">
        <v>309.14848829184501</v>
      </c>
      <c r="AC34">
        <v>307.19183613020198</v>
      </c>
      <c r="AD34">
        <v>18.7477173193449</v>
      </c>
      <c r="AE34">
        <v>335.26895194144299</v>
      </c>
      <c r="AF34">
        <v>3.58291304487545</v>
      </c>
      <c r="AG34">
        <v>779.96584301675102</v>
      </c>
      <c r="AH34">
        <v>6.1613271183094103</v>
      </c>
      <c r="AI34">
        <v>49.022845410007498</v>
      </c>
      <c r="AJ34">
        <v>176.612022397338</v>
      </c>
      <c r="AK34">
        <v>22.0046376747033</v>
      </c>
      <c r="AL34">
        <v>-27.561519036569599</v>
      </c>
      <c r="AM34">
        <v>4.1570647409444197</v>
      </c>
      <c r="AN34">
        <v>6.6300109043929103</v>
      </c>
      <c r="AO34">
        <v>0.9</v>
      </c>
      <c r="AP34">
        <v>1.2500984935141899</v>
      </c>
      <c r="AQ34">
        <v>0.87244338779678998</v>
      </c>
      <c r="AR34">
        <v>1.2526714638351899</v>
      </c>
      <c r="AS34">
        <v>0.99816324435081405</v>
      </c>
      <c r="AT34">
        <v>0.84924272965505998</v>
      </c>
      <c r="AU34">
        <v>0.83988450424139705</v>
      </c>
      <c r="AV34">
        <v>1</v>
      </c>
      <c r="AW34">
        <v>0.994603658756117</v>
      </c>
      <c r="AX34">
        <v>1</v>
      </c>
      <c r="AY34">
        <v>1</v>
      </c>
      <c r="AZ34">
        <v>0.92047358459986905</v>
      </c>
      <c r="BA34">
        <v>1</v>
      </c>
      <c r="BB34">
        <v>1.00280433612705</v>
      </c>
      <c r="BC34">
        <v>15972284802.1</v>
      </c>
      <c r="BD34">
        <v>6.1307498673943701E-2</v>
      </c>
      <c r="BE34">
        <v>6568</v>
      </c>
    </row>
    <row r="35" spans="1:57" x14ac:dyDescent="0.25">
      <c r="A35">
        <v>11</v>
      </c>
      <c r="B35" t="s">
        <v>57</v>
      </c>
      <c r="C35">
        <v>5</v>
      </c>
      <c r="D35">
        <v>0.54430110490041295</v>
      </c>
      <c r="E35">
        <v>0.48847013906729397</v>
      </c>
      <c r="F35">
        <v>6.3395837967324198</v>
      </c>
      <c r="G35">
        <v>5.70669978660636</v>
      </c>
      <c r="H35">
        <v>1.11429760259189</v>
      </c>
      <c r="I35">
        <v>-5.5830965833118799E-2</v>
      </c>
      <c r="J35">
        <v>4.0739570837578003E-2</v>
      </c>
      <c r="K35">
        <v>7.7623349691942701E-3</v>
      </c>
      <c r="L35">
        <v>1.95896017845737E-4</v>
      </c>
      <c r="M35">
        <v>0.43192850781241299</v>
      </c>
      <c r="N35">
        <v>7.8438294302630492E-3</v>
      </c>
      <c r="O35">
        <v>0</v>
      </c>
      <c r="P35">
        <v>21.942525499121501</v>
      </c>
      <c r="Q35">
        <v>78.057474500878499</v>
      </c>
      <c r="R35">
        <v>38.6703996425532</v>
      </c>
      <c r="S35">
        <v>37.928587898027899</v>
      </c>
      <c r="T35">
        <v>23.401012459418901</v>
      </c>
      <c r="U35">
        <v>0</v>
      </c>
      <c r="V35">
        <v>61.3296003574468</v>
      </c>
      <c r="W35">
        <v>0.40330875735777899</v>
      </c>
      <c r="X35">
        <v>-45.918408211910403</v>
      </c>
      <c r="Y35">
        <v>136.21196306000201</v>
      </c>
      <c r="Z35">
        <v>100</v>
      </c>
      <c r="AA35">
        <v>53.924522597747298</v>
      </c>
      <c r="AB35">
        <v>322.97585090197299</v>
      </c>
      <c r="AC35">
        <v>322.35095722279999</v>
      </c>
      <c r="AD35">
        <v>18.734264589805601</v>
      </c>
      <c r="AE35">
        <v>332.09294736120501</v>
      </c>
      <c r="AF35">
        <v>3.5907055254691</v>
      </c>
      <c r="AG35">
        <v>773.38285401884104</v>
      </c>
      <c r="AH35">
        <v>4.6660877327898698</v>
      </c>
      <c r="AI35">
        <v>49.492432589969297</v>
      </c>
      <c r="AJ35">
        <v>175.29710856741301</v>
      </c>
      <c r="AK35">
        <v>23.424808540144902</v>
      </c>
      <c r="AL35">
        <v>-31.791253917373801</v>
      </c>
      <c r="AM35">
        <v>4.68607571507488</v>
      </c>
      <c r="AN35">
        <v>7.4567490742520004</v>
      </c>
      <c r="AO35">
        <v>0.9</v>
      </c>
      <c r="AP35">
        <v>1.2699072110821901</v>
      </c>
      <c r="AQ35">
        <v>0.872165748246434</v>
      </c>
      <c r="AR35">
        <v>1.2676880215109001</v>
      </c>
      <c r="AS35">
        <v>1.0016470572009699</v>
      </c>
      <c r="AT35">
        <v>0.83787880554159799</v>
      </c>
      <c r="AU35">
        <v>0.85236911109969604</v>
      </c>
      <c r="AV35">
        <v>1</v>
      </c>
      <c r="AW35">
        <v>0.987202503067516</v>
      </c>
      <c r="AX35">
        <v>1</v>
      </c>
      <c r="AY35">
        <v>1</v>
      </c>
      <c r="AZ35">
        <v>0.92027151953531905</v>
      </c>
      <c r="BA35">
        <v>1</v>
      </c>
      <c r="BB35">
        <v>1.0730643720431401</v>
      </c>
      <c r="BC35">
        <v>1499685194</v>
      </c>
      <c r="BD35">
        <v>7.39341048828078E-2</v>
      </c>
      <c r="BE35">
        <v>3218</v>
      </c>
    </row>
    <row r="36" spans="1:57" x14ac:dyDescent="0.25">
      <c r="A36">
        <v>12</v>
      </c>
      <c r="B36" t="s">
        <v>57</v>
      </c>
      <c r="C36">
        <v>5.5</v>
      </c>
      <c r="D36">
        <v>0.420963255203259</v>
      </c>
      <c r="E36">
        <v>0.47208962399293403</v>
      </c>
      <c r="F36">
        <v>4.9362261572102097</v>
      </c>
      <c r="G36">
        <v>5.5202725082348998</v>
      </c>
      <c r="H36">
        <v>0.89170198582792803</v>
      </c>
      <c r="I36">
        <v>5.1126368789674699E-2</v>
      </c>
      <c r="J36">
        <v>3.77942109306285E-2</v>
      </c>
      <c r="K36">
        <v>9.9834887920858106E-3</v>
      </c>
      <c r="L36">
        <v>1.8922802674278499E-4</v>
      </c>
      <c r="M36">
        <v>0.42010684704478402</v>
      </c>
      <c r="N36">
        <v>4.0158491986929902E-3</v>
      </c>
      <c r="O36">
        <v>0</v>
      </c>
      <c r="P36">
        <v>11.7729814191324</v>
      </c>
      <c r="Q36">
        <v>88.227018580867593</v>
      </c>
      <c r="R36">
        <v>68.048392983335503</v>
      </c>
      <c r="S36">
        <v>18.2775873852414</v>
      </c>
      <c r="T36">
        <v>13.674019631423</v>
      </c>
      <c r="U36">
        <v>0</v>
      </c>
      <c r="V36">
        <v>31.9516070166645</v>
      </c>
      <c r="W36">
        <v>0.48209334132147802</v>
      </c>
      <c r="X36">
        <v>-50.512569976606798</v>
      </c>
      <c r="Y36">
        <v>106.372195515333</v>
      </c>
      <c r="Z36">
        <v>100</v>
      </c>
      <c r="AA36">
        <v>66.349791501084496</v>
      </c>
      <c r="AB36">
        <v>286.59816194227898</v>
      </c>
      <c r="AC36">
        <v>284.75839066447998</v>
      </c>
      <c r="AD36">
        <v>19.8795127782839</v>
      </c>
      <c r="AE36">
        <v>336.290676184662</v>
      </c>
      <c r="AF36">
        <v>3.62950054651794</v>
      </c>
      <c r="AG36">
        <v>778.31943678501295</v>
      </c>
      <c r="AH36">
        <v>2.7977454641033201</v>
      </c>
      <c r="AI36">
        <v>46.094382710933097</v>
      </c>
      <c r="AJ36">
        <v>176.67727348487401</v>
      </c>
      <c r="AK36">
        <v>21.003267976103601</v>
      </c>
      <c r="AL36">
        <v>-26.472901819622301</v>
      </c>
      <c r="AM36">
        <v>5.3471548206444401</v>
      </c>
      <c r="AN36">
        <v>9.0483009081802308</v>
      </c>
      <c r="AO36">
        <v>0.9</v>
      </c>
      <c r="AP36">
        <v>1.2842537375691501</v>
      </c>
      <c r="AQ36">
        <v>0.89979503874185296</v>
      </c>
      <c r="AR36">
        <v>1.2597156902631199</v>
      </c>
      <c r="AS36">
        <v>0.99450162074295001</v>
      </c>
      <c r="AT36">
        <v>0.87329251834736998</v>
      </c>
      <c r="AU36">
        <v>0.84292182899804702</v>
      </c>
      <c r="AV36">
        <v>1</v>
      </c>
      <c r="AW36">
        <v>0.99700407894121101</v>
      </c>
      <c r="AX36">
        <v>1</v>
      </c>
      <c r="AY36">
        <v>1</v>
      </c>
      <c r="AZ36">
        <v>0.95846291087833602</v>
      </c>
      <c r="BA36">
        <v>1</v>
      </c>
      <c r="BB36">
        <v>1.0136617654365301</v>
      </c>
      <c r="BC36">
        <v>2304929638.8000002</v>
      </c>
      <c r="BD36">
        <v>6.9666820544091193E-2</v>
      </c>
      <c r="BE36">
        <v>2253</v>
      </c>
    </row>
    <row r="37" spans="1:57" x14ac:dyDescent="0.25">
      <c r="A37">
        <v>13</v>
      </c>
      <c r="B37" t="s">
        <v>57</v>
      </c>
      <c r="C37">
        <v>6</v>
      </c>
      <c r="D37">
        <v>0.46900255339407898</v>
      </c>
      <c r="E37">
        <v>0.40548119397078802</v>
      </c>
      <c r="F37">
        <v>5.4851006233507897</v>
      </c>
      <c r="G37">
        <v>4.7587138121286596</v>
      </c>
      <c r="H37">
        <v>1.1566567336976601</v>
      </c>
      <c r="I37">
        <v>-6.3521359423290596E-2</v>
      </c>
      <c r="J37">
        <v>3.7404859512085699E-2</v>
      </c>
      <c r="K37">
        <v>6.45909587222701E-3</v>
      </c>
      <c r="L37">
        <v>3.4503591211768698E-4</v>
      </c>
      <c r="M37">
        <v>0.35473264159360202</v>
      </c>
      <c r="N37">
        <v>6.5395610807557902E-3</v>
      </c>
      <c r="O37">
        <v>0</v>
      </c>
      <c r="P37">
        <v>12.506578608197801</v>
      </c>
      <c r="Q37">
        <v>87.493421391802201</v>
      </c>
      <c r="R37">
        <v>38.121968209426903</v>
      </c>
      <c r="S37">
        <v>36.151100681779397</v>
      </c>
      <c r="T37">
        <v>25.7269311087937</v>
      </c>
      <c r="U37">
        <v>0</v>
      </c>
      <c r="V37">
        <v>61.878031790573097</v>
      </c>
      <c r="W37">
        <v>0.35473896539574001</v>
      </c>
      <c r="X37">
        <v>-50.728392144137999</v>
      </c>
      <c r="Y37">
        <v>85.389577255666495</v>
      </c>
      <c r="Z37">
        <v>100</v>
      </c>
      <c r="AA37">
        <v>58.223152964347697</v>
      </c>
      <c r="AB37">
        <v>315.37992404846398</v>
      </c>
      <c r="AC37">
        <v>313.90278380917601</v>
      </c>
      <c r="AD37">
        <v>14.608157415605</v>
      </c>
      <c r="AE37">
        <v>340.57751697476698</v>
      </c>
      <c r="AF37">
        <v>3.5795763731860002</v>
      </c>
      <c r="AG37">
        <v>776.79628139556996</v>
      </c>
      <c r="AH37">
        <v>5.0890366202200203</v>
      </c>
      <c r="AI37">
        <v>48.815256479263603</v>
      </c>
      <c r="AJ37">
        <v>174.12883786197699</v>
      </c>
      <c r="AK37">
        <v>22.675534404237201</v>
      </c>
      <c r="AL37">
        <v>-26.9289770274824</v>
      </c>
      <c r="AM37">
        <v>5.7849592781724999</v>
      </c>
      <c r="AN37">
        <v>7.1106258228193697</v>
      </c>
      <c r="AO37">
        <v>0.9</v>
      </c>
      <c r="AP37">
        <v>1.2887675468653601</v>
      </c>
      <c r="AQ37">
        <v>0.78124996719225803</v>
      </c>
      <c r="AR37">
        <v>1.2573430069545199</v>
      </c>
      <c r="AS37">
        <v>0.99858673069402903</v>
      </c>
      <c r="AT37">
        <v>0.844505833299107</v>
      </c>
      <c r="AU37">
        <v>0.84603595803311404</v>
      </c>
      <c r="AV37">
        <v>1</v>
      </c>
      <c r="AW37">
        <v>0.99635363515298203</v>
      </c>
      <c r="AX37">
        <v>1</v>
      </c>
      <c r="AY37">
        <v>1</v>
      </c>
      <c r="AZ37">
        <v>0.919558558672255</v>
      </c>
      <c r="BA37">
        <v>1</v>
      </c>
      <c r="BB37">
        <v>1.0311070263759901</v>
      </c>
      <c r="BC37">
        <v>3685949105.1999998</v>
      </c>
      <c r="BD37">
        <v>7.5594128789159304E-2</v>
      </c>
      <c r="BE37">
        <v>3066</v>
      </c>
    </row>
    <row r="38" spans="1:57" x14ac:dyDescent="0.25">
      <c r="A38">
        <v>14</v>
      </c>
      <c r="B38" t="s">
        <v>57</v>
      </c>
      <c r="C38">
        <v>6.5</v>
      </c>
      <c r="D38">
        <v>0.44114341613827601</v>
      </c>
      <c r="E38">
        <v>0.38507526037951501</v>
      </c>
      <c r="F38">
        <v>5.1671501157551996</v>
      </c>
      <c r="G38">
        <v>4.5242817584257704</v>
      </c>
      <c r="H38">
        <v>1.14560311068414</v>
      </c>
      <c r="I38">
        <v>-5.6068155758761201E-2</v>
      </c>
      <c r="J38">
        <v>3.5992744894615201E-2</v>
      </c>
      <c r="K38">
        <v>6.3175249946135796E-3</v>
      </c>
      <c r="L38">
        <v>5.3783841333319895E-4</v>
      </c>
      <c r="M38">
        <v>0.33753514220723002</v>
      </c>
      <c r="N38">
        <v>4.6920098697228697E-3</v>
      </c>
      <c r="O38">
        <v>0</v>
      </c>
      <c r="P38">
        <v>5.9201982426001196</v>
      </c>
      <c r="Q38">
        <v>94.079801757399906</v>
      </c>
      <c r="R38">
        <v>54.891298677046201</v>
      </c>
      <c r="S38">
        <v>29.571757574993601</v>
      </c>
      <c r="T38">
        <v>15.5369437479602</v>
      </c>
      <c r="U38">
        <v>0</v>
      </c>
      <c r="V38">
        <v>45.108701322953799</v>
      </c>
      <c r="W38">
        <v>0.37042781366677202</v>
      </c>
      <c r="X38">
        <v>-47.289451526503797</v>
      </c>
      <c r="Y38">
        <v>57.765519951609697</v>
      </c>
      <c r="Z38">
        <v>100</v>
      </c>
      <c r="AA38">
        <v>67.866024507115</v>
      </c>
      <c r="AB38">
        <v>288.30522081791702</v>
      </c>
      <c r="AC38">
        <v>286.14734580288803</v>
      </c>
      <c r="AD38">
        <v>13.3772540862526</v>
      </c>
      <c r="AE38">
        <v>343.37779877278803</v>
      </c>
      <c r="AF38">
        <v>3.5905674702561399</v>
      </c>
      <c r="AG38">
        <v>779.71888795907898</v>
      </c>
      <c r="AH38">
        <v>4.8507340228017899</v>
      </c>
      <c r="AI38">
        <v>48.050882171512399</v>
      </c>
      <c r="AJ38">
        <v>175.23841799810901</v>
      </c>
      <c r="AK38">
        <v>23.8783894580367</v>
      </c>
      <c r="AL38">
        <v>-26.981458623571001</v>
      </c>
      <c r="AM38">
        <v>6.3478955420492502</v>
      </c>
      <c r="AN38">
        <v>7.1733934893852496</v>
      </c>
      <c r="AO38">
        <v>0.9</v>
      </c>
      <c r="AP38">
        <v>1.2909373817335601</v>
      </c>
      <c r="AQ38">
        <v>0.75157226493850104</v>
      </c>
      <c r="AR38">
        <v>1.2650103960344501</v>
      </c>
      <c r="AS38">
        <v>0.99407803559805996</v>
      </c>
      <c r="AT38">
        <v>0.87082380086967404</v>
      </c>
      <c r="AU38">
        <v>0.840390043607945</v>
      </c>
      <c r="AV38">
        <v>1</v>
      </c>
      <c r="AW38">
        <v>0.99576578470560395</v>
      </c>
      <c r="AX38">
        <v>1</v>
      </c>
      <c r="AY38">
        <v>1</v>
      </c>
      <c r="AZ38">
        <v>0.94135868828016001</v>
      </c>
      <c r="BA38">
        <v>1</v>
      </c>
      <c r="BB38">
        <v>0.99339909967974604</v>
      </c>
      <c r="BC38">
        <v>51427747023.599998</v>
      </c>
      <c r="BD38">
        <v>5.30403278915762E-2</v>
      </c>
      <c r="BE38">
        <v>7200</v>
      </c>
    </row>
    <row r="39" spans="1:57" x14ac:dyDescent="0.25">
      <c r="A39">
        <v>15</v>
      </c>
      <c r="B39" t="s">
        <v>57</v>
      </c>
      <c r="C39">
        <v>7</v>
      </c>
      <c r="D39">
        <v>0.51825911909326905</v>
      </c>
      <c r="E39">
        <v>0.42500775290753001</v>
      </c>
      <c r="F39">
        <v>6.0448653650456601</v>
      </c>
      <c r="G39">
        <v>4.9825490801834</v>
      </c>
      <c r="H39">
        <v>1.2194109767358201</v>
      </c>
      <c r="I39">
        <v>-9.3251366185738899E-2</v>
      </c>
      <c r="J39">
        <v>3.6426123522650102E-2</v>
      </c>
      <c r="K39">
        <v>6.8052495609497799E-3</v>
      </c>
      <c r="L39">
        <v>1.41521154895385E-3</v>
      </c>
      <c r="M39">
        <v>0.37465653864096898</v>
      </c>
      <c r="N39">
        <v>5.7046296340074101E-3</v>
      </c>
      <c r="O39">
        <v>0</v>
      </c>
      <c r="P39">
        <v>5.3136147252874704</v>
      </c>
      <c r="Q39">
        <v>94.686385274712507</v>
      </c>
      <c r="R39">
        <v>52.317094097533797</v>
      </c>
      <c r="S39">
        <v>32.620609627401301</v>
      </c>
      <c r="T39">
        <v>15.062296275064901</v>
      </c>
      <c r="U39">
        <v>0</v>
      </c>
      <c r="V39">
        <v>47.682905902466203</v>
      </c>
      <c r="W39">
        <v>0.37190162692496698</v>
      </c>
      <c r="X39">
        <v>-45.627384719762603</v>
      </c>
      <c r="Y39">
        <v>95.069572416911896</v>
      </c>
      <c r="Z39">
        <v>100</v>
      </c>
      <c r="AA39">
        <v>64.166986415821995</v>
      </c>
      <c r="AB39">
        <v>296.56194143853497</v>
      </c>
      <c r="AC39">
        <v>294.22233725594299</v>
      </c>
      <c r="AD39">
        <v>15.9608139754534</v>
      </c>
      <c r="AE39">
        <v>339.79740362125602</v>
      </c>
      <c r="AF39">
        <v>3.5894772602064902</v>
      </c>
      <c r="AG39">
        <v>780.54191171991602</v>
      </c>
      <c r="AH39">
        <v>5.1558504235044698</v>
      </c>
      <c r="AI39">
        <v>48.815861276862798</v>
      </c>
      <c r="AJ39">
        <v>174.76202257730799</v>
      </c>
      <c r="AK39">
        <v>23.845213318363498</v>
      </c>
      <c r="AL39">
        <v>-26.356807239927001</v>
      </c>
      <c r="AM39">
        <v>6.7333653206622399</v>
      </c>
      <c r="AN39">
        <v>9.1623636299793407</v>
      </c>
      <c r="AO39">
        <v>0.9</v>
      </c>
      <c r="AP39">
        <v>1.29086811932329</v>
      </c>
      <c r="AQ39">
        <v>0.81081430341025995</v>
      </c>
      <c r="AR39">
        <v>1.2696227935192701</v>
      </c>
      <c r="AS39">
        <v>0.99697361660392703</v>
      </c>
      <c r="AT39">
        <v>0.86138991657759201</v>
      </c>
      <c r="AU39">
        <v>0.83882961820093005</v>
      </c>
      <c r="AV39">
        <v>1</v>
      </c>
      <c r="AW39">
        <v>0.99685481805139697</v>
      </c>
      <c r="AX39">
        <v>1</v>
      </c>
      <c r="AY39">
        <v>1</v>
      </c>
      <c r="AZ39">
        <v>0.93801222232679404</v>
      </c>
      <c r="BA39">
        <v>1</v>
      </c>
      <c r="BB39">
        <v>0.98725533881210203</v>
      </c>
      <c r="BC39">
        <v>132932835653</v>
      </c>
      <c r="BD39">
        <v>5.0061696327242597E-2</v>
      </c>
      <c r="BE39">
        <v>12214</v>
      </c>
    </row>
    <row r="40" spans="1:57" x14ac:dyDescent="0.25">
      <c r="A40">
        <v>16</v>
      </c>
      <c r="B40" t="s">
        <v>57</v>
      </c>
      <c r="C40">
        <v>7.5</v>
      </c>
      <c r="D40">
        <v>0.52227785105093005</v>
      </c>
      <c r="E40">
        <v>0.39663894567170399</v>
      </c>
      <c r="F40">
        <v>6.0904009520114197</v>
      </c>
      <c r="G40">
        <v>4.6571951595626997</v>
      </c>
      <c r="H40">
        <v>1.3167588729000299</v>
      </c>
      <c r="I40">
        <v>-0.12563890537922601</v>
      </c>
      <c r="J40">
        <v>3.6775045625081201E-2</v>
      </c>
      <c r="K40">
        <v>6.91523025870592E-3</v>
      </c>
      <c r="L40">
        <v>3.0738092262880801E-3</v>
      </c>
      <c r="M40">
        <v>0.34221699948402701</v>
      </c>
      <c r="N40">
        <v>7.6578610776015304E-3</v>
      </c>
      <c r="O40">
        <v>0</v>
      </c>
      <c r="P40">
        <v>3.8507993803963299</v>
      </c>
      <c r="Q40">
        <v>96.149200619603704</v>
      </c>
      <c r="R40">
        <v>24.081591334687399</v>
      </c>
      <c r="S40">
        <v>47.074487201448697</v>
      </c>
      <c r="T40">
        <v>28.8439214638639</v>
      </c>
      <c r="U40">
        <v>0</v>
      </c>
      <c r="V40">
        <v>75.918408665312597</v>
      </c>
      <c r="W40">
        <v>0.39762840709257602</v>
      </c>
      <c r="X40">
        <v>-43.541480202379397</v>
      </c>
      <c r="Y40">
        <v>113.093096985014</v>
      </c>
      <c r="Z40">
        <v>100</v>
      </c>
      <c r="AA40">
        <v>53.138814029070602</v>
      </c>
      <c r="AB40">
        <v>331.10602791385298</v>
      </c>
      <c r="AC40">
        <v>329.025210949957</v>
      </c>
      <c r="AD40">
        <v>16.9875458467186</v>
      </c>
      <c r="AE40">
        <v>338.19803774492902</v>
      </c>
      <c r="AF40">
        <v>3.5756302042785699</v>
      </c>
      <c r="AG40">
        <v>780.49953004326903</v>
      </c>
      <c r="AH40">
        <v>5.2442831732983901</v>
      </c>
      <c r="AI40">
        <v>52.403900893794798</v>
      </c>
      <c r="AJ40">
        <v>174.87510914064299</v>
      </c>
      <c r="AK40">
        <v>24.0980030127498</v>
      </c>
      <c r="AL40">
        <v>-28.553903370608801</v>
      </c>
      <c r="AM40">
        <v>7.1838027800934796</v>
      </c>
      <c r="AN40">
        <v>10.4322779072427</v>
      </c>
      <c r="AO40">
        <v>0.9</v>
      </c>
      <c r="AP40">
        <v>1.2903112716874601</v>
      </c>
      <c r="AQ40">
        <v>0.83347049448031096</v>
      </c>
      <c r="AR40">
        <v>1.2760936387019699</v>
      </c>
      <c r="AS40">
        <v>1.0028391683469</v>
      </c>
      <c r="AT40">
        <v>0.82600336337924096</v>
      </c>
      <c r="AU40">
        <v>0.83890824109873696</v>
      </c>
      <c r="AV40">
        <v>1</v>
      </c>
      <c r="AW40">
        <v>0.99222943725525203</v>
      </c>
      <c r="AX40">
        <v>1</v>
      </c>
      <c r="AY40">
        <v>1</v>
      </c>
      <c r="AZ40">
        <v>0.901306068735094</v>
      </c>
      <c r="BA40">
        <v>1</v>
      </c>
      <c r="BB40">
        <v>0.986822190061032</v>
      </c>
      <c r="BC40">
        <v>40481928820.699997</v>
      </c>
      <c r="BD40">
        <v>5.3230847470660397E-2</v>
      </c>
      <c r="BE40">
        <v>7571</v>
      </c>
    </row>
    <row r="41" spans="1:57" x14ac:dyDescent="0.25">
      <c r="A41">
        <v>17</v>
      </c>
      <c r="B41" t="s">
        <v>57</v>
      </c>
      <c r="C41">
        <v>8</v>
      </c>
      <c r="D41">
        <v>0.55213354809030601</v>
      </c>
      <c r="E41">
        <v>0.40452768208248802</v>
      </c>
      <c r="F41">
        <v>6.4280580298263699</v>
      </c>
      <c r="G41">
        <v>4.7477712243044596</v>
      </c>
      <c r="H41">
        <v>1.36488446290734</v>
      </c>
      <c r="I41">
        <v>-0.147605866007818</v>
      </c>
      <c r="J41">
        <v>3.8315626264402602E-2</v>
      </c>
      <c r="K41">
        <v>7.5448273154E-3</v>
      </c>
      <c r="L41">
        <v>4.4001632080591796E-3</v>
      </c>
      <c r="M41">
        <v>0.34589647790419797</v>
      </c>
      <c r="N41">
        <v>8.3705873904277705E-3</v>
      </c>
      <c r="O41">
        <v>0</v>
      </c>
      <c r="P41">
        <v>8.6191578413397707</v>
      </c>
      <c r="Q41">
        <v>91.380842158660201</v>
      </c>
      <c r="R41">
        <v>14.646657626439699</v>
      </c>
      <c r="S41">
        <v>46.465249538715</v>
      </c>
      <c r="T41">
        <v>38.888092834845303</v>
      </c>
      <c r="U41">
        <v>0</v>
      </c>
      <c r="V41">
        <v>85.353342373560295</v>
      </c>
      <c r="W41">
        <v>0.43656072274973101</v>
      </c>
      <c r="X41">
        <v>-45.3237142264433</v>
      </c>
      <c r="Y41">
        <v>110.47787596436601</v>
      </c>
      <c r="Z41">
        <v>100</v>
      </c>
      <c r="AA41">
        <v>40.160419433821403</v>
      </c>
      <c r="AB41">
        <v>345.56349015181002</v>
      </c>
      <c r="AC41">
        <v>344.36363769270901</v>
      </c>
      <c r="AD41">
        <v>18.427973982526701</v>
      </c>
      <c r="AE41">
        <v>335.226519903846</v>
      </c>
      <c r="AF41">
        <v>3.55460038106609</v>
      </c>
      <c r="AG41">
        <v>778.76408948782205</v>
      </c>
      <c r="AH41">
        <v>5.0165023243856099</v>
      </c>
      <c r="AI41">
        <v>54.106694760219099</v>
      </c>
      <c r="AJ41">
        <v>176.47005082953399</v>
      </c>
      <c r="AK41">
        <v>23.981543133383202</v>
      </c>
      <c r="AL41">
        <v>-33.358651922661302</v>
      </c>
      <c r="AM41">
        <v>7.6509436474597896</v>
      </c>
      <c r="AN41">
        <v>12.0800326845784</v>
      </c>
      <c r="AO41">
        <v>0.9</v>
      </c>
      <c r="AP41">
        <v>1.29012534548855</v>
      </c>
      <c r="AQ41">
        <v>0.86614445312840804</v>
      </c>
      <c r="AR41">
        <v>1.27230090788039</v>
      </c>
      <c r="AS41">
        <v>1.00612379519799</v>
      </c>
      <c r="AT41">
        <v>0.81231673434223595</v>
      </c>
      <c r="AU41">
        <v>0.84207215807131297</v>
      </c>
      <c r="AV41">
        <v>1</v>
      </c>
      <c r="AW41">
        <v>0.98367667620185995</v>
      </c>
      <c r="AX41">
        <v>1</v>
      </c>
      <c r="AY41">
        <v>1</v>
      </c>
      <c r="AZ41">
        <v>0.88904065491437201</v>
      </c>
      <c r="BA41">
        <v>1</v>
      </c>
      <c r="BB41">
        <v>1.00952225003093</v>
      </c>
      <c r="BC41">
        <v>4972874264.3999996</v>
      </c>
      <c r="BD41">
        <v>8.0185189409830201E-2</v>
      </c>
      <c r="BE41">
        <v>5089</v>
      </c>
    </row>
    <row r="42" spans="1:57" x14ac:dyDescent="0.25">
      <c r="A42">
        <v>18</v>
      </c>
      <c r="B42" t="s">
        <v>57</v>
      </c>
      <c r="C42">
        <v>8.5</v>
      </c>
      <c r="D42">
        <v>0.68806782509345199</v>
      </c>
      <c r="E42">
        <v>0.45693953663241399</v>
      </c>
      <c r="F42">
        <v>7.9514021769242804</v>
      </c>
      <c r="G42">
        <v>5.3475480831165898</v>
      </c>
      <c r="H42">
        <v>1.5058181004962401</v>
      </c>
      <c r="I42">
        <v>-0.231128288461039</v>
      </c>
      <c r="J42">
        <v>3.8973710523806999E-2</v>
      </c>
      <c r="K42">
        <v>7.3525624004356898E-3</v>
      </c>
      <c r="L42">
        <v>7.5653171319606197E-3</v>
      </c>
      <c r="M42">
        <v>0.39564266942811799</v>
      </c>
      <c r="N42">
        <v>7.40527714809222E-3</v>
      </c>
      <c r="O42">
        <v>0</v>
      </c>
      <c r="P42">
        <v>14.304570923483199</v>
      </c>
      <c r="Q42">
        <v>85.695429076516803</v>
      </c>
      <c r="R42">
        <v>25.833648135151201</v>
      </c>
      <c r="S42">
        <v>41.908135502506198</v>
      </c>
      <c r="T42">
        <v>32.258216362342601</v>
      </c>
      <c r="U42">
        <v>0</v>
      </c>
      <c r="V42">
        <v>74.166351864848806</v>
      </c>
      <c r="W42">
        <v>0.40588865019960402</v>
      </c>
      <c r="X42">
        <v>-49.117767074363996</v>
      </c>
      <c r="Y42">
        <v>123.20757066868801</v>
      </c>
      <c r="Z42">
        <v>100</v>
      </c>
      <c r="AA42">
        <v>46.588336369736801</v>
      </c>
      <c r="AB42">
        <v>332.57088361593901</v>
      </c>
      <c r="AC42">
        <v>331.533523175798</v>
      </c>
      <c r="AD42">
        <v>18.666279434139302</v>
      </c>
      <c r="AE42">
        <v>334.85082125538003</v>
      </c>
      <c r="AF42">
        <v>3.59298138322939</v>
      </c>
      <c r="AG42">
        <v>776.82728450008096</v>
      </c>
      <c r="AH42">
        <v>4.86481185781291</v>
      </c>
      <c r="AI42">
        <v>52.232690582816801</v>
      </c>
      <c r="AJ42">
        <v>175.89168866261599</v>
      </c>
      <c r="AK42">
        <v>21.962917833968699</v>
      </c>
      <c r="AL42">
        <v>-31.171907158455198</v>
      </c>
      <c r="AM42">
        <v>8.3262362180178808</v>
      </c>
      <c r="AN42">
        <v>13.3791415136448</v>
      </c>
      <c r="AO42">
        <v>0.9</v>
      </c>
      <c r="AP42">
        <v>1.2901894764838</v>
      </c>
      <c r="AQ42">
        <v>0.87157112846211005</v>
      </c>
      <c r="AR42">
        <v>1.25930818411472</v>
      </c>
      <c r="AS42">
        <v>1.00292480289023</v>
      </c>
      <c r="AT42">
        <v>0.82616432469511403</v>
      </c>
      <c r="AU42">
        <v>0.84586604538516297</v>
      </c>
      <c r="AV42">
        <v>1</v>
      </c>
      <c r="AW42">
        <v>0.98823690851576895</v>
      </c>
      <c r="AX42">
        <v>1</v>
      </c>
      <c r="AY42">
        <v>1</v>
      </c>
      <c r="AZ42">
        <v>0.90358374257569696</v>
      </c>
      <c r="BA42">
        <v>1</v>
      </c>
      <c r="BB42">
        <v>1.0315648889894899</v>
      </c>
      <c r="BC42">
        <v>3822666405.1999998</v>
      </c>
      <c r="BD42">
        <v>8.2782827848036006E-2</v>
      </c>
      <c r="BE42">
        <v>5229</v>
      </c>
    </row>
    <row r="43" spans="1:57" x14ac:dyDescent="0.25">
      <c r="A43">
        <v>19</v>
      </c>
      <c r="B43" t="s">
        <v>57</v>
      </c>
      <c r="C43">
        <v>9</v>
      </c>
      <c r="D43">
        <v>0.56827828020295101</v>
      </c>
      <c r="E43">
        <v>0.41144025851441901</v>
      </c>
      <c r="F43">
        <v>6.6101851083929599</v>
      </c>
      <c r="G43">
        <v>4.8270744703238</v>
      </c>
      <c r="H43">
        <v>1.38119269673518</v>
      </c>
      <c r="I43">
        <v>-0.156838021688531</v>
      </c>
      <c r="J43">
        <v>3.65616363421358E-2</v>
      </c>
      <c r="K43">
        <v>7.8965642166718107E-3</v>
      </c>
      <c r="L43">
        <v>3.7420590730604698E-3</v>
      </c>
      <c r="M43">
        <v>0.35610880228528502</v>
      </c>
      <c r="N43">
        <v>7.1311965972658403E-3</v>
      </c>
      <c r="O43">
        <v>0</v>
      </c>
      <c r="P43">
        <v>6.4009228657783304</v>
      </c>
      <c r="Q43">
        <v>93.599077134221702</v>
      </c>
      <c r="R43">
        <v>25.815236189653302</v>
      </c>
      <c r="S43">
        <v>45.401630305602801</v>
      </c>
      <c r="T43">
        <v>28.783133504743802</v>
      </c>
      <c r="U43">
        <v>0</v>
      </c>
      <c r="V43">
        <v>74.184763810346695</v>
      </c>
      <c r="W43">
        <v>0.45149557506151</v>
      </c>
      <c r="X43">
        <v>-47.792614335359502</v>
      </c>
      <c r="Y43">
        <v>98.036197990986196</v>
      </c>
      <c r="Z43">
        <v>100</v>
      </c>
      <c r="AA43">
        <v>53.187057173017898</v>
      </c>
      <c r="AB43">
        <v>330.77779495287098</v>
      </c>
      <c r="AC43">
        <v>328.84517188928601</v>
      </c>
      <c r="AD43">
        <v>17.119378587610601</v>
      </c>
      <c r="AE43">
        <v>339.290915096177</v>
      </c>
      <c r="AF43">
        <v>3.5645743008049</v>
      </c>
      <c r="AG43">
        <v>779.96986412508898</v>
      </c>
      <c r="AH43">
        <v>5.5252532001472501</v>
      </c>
      <c r="AI43">
        <v>50.819274619190203</v>
      </c>
      <c r="AJ43">
        <v>176.70240442345099</v>
      </c>
      <c r="AK43">
        <v>22.995650821680201</v>
      </c>
      <c r="AL43">
        <v>-28.3886533578161</v>
      </c>
      <c r="AM43">
        <v>8.8166009423200293</v>
      </c>
      <c r="AN43">
        <v>12.935038414673</v>
      </c>
      <c r="AO43">
        <v>0.9</v>
      </c>
      <c r="AP43">
        <v>1.2901993177746101</v>
      </c>
      <c r="AQ43">
        <v>0.83522120561102398</v>
      </c>
      <c r="AR43">
        <v>1.2625322721486401</v>
      </c>
      <c r="AS43">
        <v>1.0012509825737601</v>
      </c>
      <c r="AT43">
        <v>0.82673519144621899</v>
      </c>
      <c r="AU43">
        <v>0.839895237480209</v>
      </c>
      <c r="AV43">
        <v>1</v>
      </c>
      <c r="AW43">
        <v>0.99256315286493402</v>
      </c>
      <c r="AX43">
        <v>1</v>
      </c>
      <c r="AY43">
        <v>1</v>
      </c>
      <c r="AZ43">
        <v>0.90355980704654904</v>
      </c>
      <c r="BA43">
        <v>1</v>
      </c>
      <c r="BB43">
        <v>0.99063666718696697</v>
      </c>
      <c r="BC43">
        <v>30167174310.5</v>
      </c>
      <c r="BD43">
        <v>5.7208209675374801E-2</v>
      </c>
      <c r="BE43">
        <v>7363</v>
      </c>
    </row>
    <row r="44" spans="1:57" x14ac:dyDescent="0.25">
      <c r="A44">
        <v>20</v>
      </c>
      <c r="B44" t="s">
        <v>57</v>
      </c>
      <c r="C44">
        <v>9.5</v>
      </c>
      <c r="D44">
        <v>0.58566498466514805</v>
      </c>
      <c r="E44">
        <v>0.41530046680524202</v>
      </c>
      <c r="F44">
        <v>6.8059593002843304</v>
      </c>
      <c r="G44">
        <v>4.8713336508333303</v>
      </c>
      <c r="H44">
        <v>1.4102199045680299</v>
      </c>
      <c r="I44">
        <v>-0.170364517859906</v>
      </c>
      <c r="J44">
        <v>3.60783377495629E-2</v>
      </c>
      <c r="K44">
        <v>7.30630976931402E-3</v>
      </c>
      <c r="L44">
        <v>2.63141370485153E-3</v>
      </c>
      <c r="M44">
        <v>0.361954593284808</v>
      </c>
      <c r="N44">
        <v>7.3298122967057396E-3</v>
      </c>
      <c r="O44">
        <v>0</v>
      </c>
      <c r="P44">
        <v>5.34473950868838</v>
      </c>
      <c r="Q44">
        <v>94.655260491311594</v>
      </c>
      <c r="R44">
        <v>37.482867025694901</v>
      </c>
      <c r="S44">
        <v>39.983344375783197</v>
      </c>
      <c r="T44">
        <v>22.533788598521902</v>
      </c>
      <c r="U44">
        <v>0</v>
      </c>
      <c r="V44">
        <v>62.517132974305099</v>
      </c>
      <c r="W44">
        <v>0.41813827900005002</v>
      </c>
      <c r="X44">
        <v>-45.044716941407003</v>
      </c>
      <c r="Y44">
        <v>86.738723798447296</v>
      </c>
      <c r="Z44">
        <v>100</v>
      </c>
      <c r="AA44">
        <v>59.1361453681426</v>
      </c>
      <c r="AB44">
        <v>311.248603872827</v>
      </c>
      <c r="AC44">
        <v>308.97696045310698</v>
      </c>
      <c r="AD44">
        <v>16.011821427132901</v>
      </c>
      <c r="AE44">
        <v>340.68991773241402</v>
      </c>
      <c r="AF44">
        <v>3.5561160098709799</v>
      </c>
      <c r="AG44">
        <v>781.03033889390304</v>
      </c>
      <c r="AH44">
        <v>5.9646779185618399</v>
      </c>
      <c r="AI44">
        <v>49.576917236177501</v>
      </c>
      <c r="AJ44">
        <v>176.04956736758001</v>
      </c>
      <c r="AK44">
        <v>24.3641112279483</v>
      </c>
      <c r="AL44">
        <v>-25.946032868196198</v>
      </c>
      <c r="AM44">
        <v>9.2526377233538</v>
      </c>
      <c r="AN44">
        <v>12.6528914707261</v>
      </c>
      <c r="AO44">
        <v>0.9</v>
      </c>
      <c r="AP44">
        <v>1.2902003460709599</v>
      </c>
      <c r="AQ44">
        <v>0.80931017471209199</v>
      </c>
      <c r="AR44">
        <v>1.26912364830904</v>
      </c>
      <c r="AS44">
        <v>0.99993493453188798</v>
      </c>
      <c r="AT44">
        <v>0.84593045939001199</v>
      </c>
      <c r="AU44">
        <v>0.83782511534109805</v>
      </c>
      <c r="AV44">
        <v>1</v>
      </c>
      <c r="AW44">
        <v>0.99758928316464701</v>
      </c>
      <c r="AX44">
        <v>1</v>
      </c>
      <c r="AY44">
        <v>1</v>
      </c>
      <c r="AZ44">
        <v>0.918727727133403</v>
      </c>
      <c r="BA44">
        <v>1</v>
      </c>
      <c r="BB44">
        <v>0.98183658151005504</v>
      </c>
      <c r="BC44">
        <v>99173880275.800003</v>
      </c>
      <c r="BD44">
        <v>4.0434765673994899E-2</v>
      </c>
      <c r="BE44">
        <v>8553</v>
      </c>
    </row>
    <row r="45" spans="1:57" x14ac:dyDescent="0.25">
      <c r="A45">
        <v>21</v>
      </c>
      <c r="B45" t="s">
        <v>57</v>
      </c>
      <c r="C45">
        <v>10</v>
      </c>
      <c r="D45">
        <v>0.60876212253380801</v>
      </c>
      <c r="E45">
        <v>0.41903987221386002</v>
      </c>
      <c r="F45">
        <v>7.0654511163173401</v>
      </c>
      <c r="G45">
        <v>4.9141897756343598</v>
      </c>
      <c r="H45">
        <v>1.4527546491402199</v>
      </c>
      <c r="I45">
        <v>-0.18972225031994899</v>
      </c>
      <c r="J45">
        <v>3.61195458436286E-2</v>
      </c>
      <c r="K45">
        <v>7.3690201013442E-3</v>
      </c>
      <c r="L45">
        <v>2.5548917231735099E-3</v>
      </c>
      <c r="M45">
        <v>0.36941666153175901</v>
      </c>
      <c r="N45">
        <v>3.5797530139546202E-3</v>
      </c>
      <c r="O45">
        <v>0</v>
      </c>
      <c r="P45">
        <v>5.7948704371325803</v>
      </c>
      <c r="Q45">
        <v>94.205129562867398</v>
      </c>
      <c r="R45">
        <v>47.883590127260298</v>
      </c>
      <c r="S45">
        <v>28.7210196839861</v>
      </c>
      <c r="T45">
        <v>23.395390188753499</v>
      </c>
      <c r="U45">
        <v>0</v>
      </c>
      <c r="V45">
        <v>52.116409872739702</v>
      </c>
      <c r="W45">
        <v>0.43093006600671502</v>
      </c>
      <c r="X45">
        <v>-50.921514010454104</v>
      </c>
      <c r="Y45">
        <v>76.124190939118193</v>
      </c>
      <c r="Z45">
        <v>100</v>
      </c>
      <c r="AA45">
        <v>60.357898604299301</v>
      </c>
      <c r="AB45">
        <v>296.10638812800403</v>
      </c>
      <c r="AC45">
        <v>293.83590338708501</v>
      </c>
      <c r="AD45">
        <v>15.197913324242</v>
      </c>
      <c r="AE45">
        <v>341.13110351092701</v>
      </c>
      <c r="AF45">
        <v>3.60507275909869</v>
      </c>
      <c r="AG45">
        <v>780.14091517131499</v>
      </c>
      <c r="AH45">
        <v>5.6731104398738701</v>
      </c>
      <c r="AI45">
        <v>45.931035488294498</v>
      </c>
      <c r="AJ45">
        <v>175.97759183198701</v>
      </c>
      <c r="AK45">
        <v>20.564865522773299</v>
      </c>
      <c r="AL45">
        <v>-21.291111816205099</v>
      </c>
      <c r="AM45">
        <v>9.7167889717754594</v>
      </c>
      <c r="AN45">
        <v>12.5910966270144</v>
      </c>
      <c r="AO45">
        <v>0.9</v>
      </c>
      <c r="AP45">
        <v>1.29020098187967</v>
      </c>
      <c r="AQ45">
        <v>0.79107359582883796</v>
      </c>
      <c r="AR45">
        <v>1.2579450359348401</v>
      </c>
      <c r="AS45">
        <v>0.99945833531671202</v>
      </c>
      <c r="AT45">
        <v>0.86184283476967005</v>
      </c>
      <c r="AU45">
        <v>0.83959690530742503</v>
      </c>
      <c r="AV45">
        <v>1</v>
      </c>
      <c r="AW45">
        <v>1.0078881142013301</v>
      </c>
      <c r="AX45">
        <v>1</v>
      </c>
      <c r="AY45">
        <v>1</v>
      </c>
      <c r="AZ45">
        <v>0.93224866716543797</v>
      </c>
      <c r="BA45">
        <v>1</v>
      </c>
      <c r="BB45">
        <v>0.98365491341695899</v>
      </c>
      <c r="BC45">
        <v>64012013313.199997</v>
      </c>
      <c r="BD45">
        <v>5.1470037475626201E-2</v>
      </c>
      <c r="BE45">
        <v>6341</v>
      </c>
    </row>
    <row r="46" spans="1:57" x14ac:dyDescent="0.25">
      <c r="A46">
        <v>22</v>
      </c>
      <c r="B46" t="s">
        <v>57</v>
      </c>
      <c r="C46">
        <v>10.5</v>
      </c>
      <c r="D46">
        <v>0.53473907063923798</v>
      </c>
      <c r="E46">
        <v>0.40887376641938999</v>
      </c>
      <c r="F46">
        <v>6.2314683829653701</v>
      </c>
      <c r="G46">
        <v>4.7976379342969802</v>
      </c>
      <c r="H46">
        <v>1.3078341399158</v>
      </c>
      <c r="I46">
        <v>-0.12586530421984801</v>
      </c>
      <c r="J46">
        <v>3.5943022490985799E-2</v>
      </c>
      <c r="K46">
        <v>4.7612084082895197E-3</v>
      </c>
      <c r="L46">
        <v>2.4811339982822901E-3</v>
      </c>
      <c r="M46">
        <v>0.36074231253010403</v>
      </c>
      <c r="N46">
        <v>4.9460889917284402E-3</v>
      </c>
      <c r="O46">
        <v>0</v>
      </c>
      <c r="P46">
        <v>6.97664518098982</v>
      </c>
      <c r="Q46">
        <v>93.023354819010194</v>
      </c>
      <c r="R46">
        <v>49.921778472091702</v>
      </c>
      <c r="S46">
        <v>31.3404122735244</v>
      </c>
      <c r="T46">
        <v>18.737809254383901</v>
      </c>
      <c r="U46">
        <v>0</v>
      </c>
      <c r="V46">
        <v>50.078221527908298</v>
      </c>
      <c r="W46">
        <v>0.30337700262055101</v>
      </c>
      <c r="X46">
        <v>-46.2346989745648</v>
      </c>
      <c r="Y46">
        <v>51.727132423706799</v>
      </c>
      <c r="Z46">
        <v>100</v>
      </c>
      <c r="AA46">
        <v>62.040489459096896</v>
      </c>
      <c r="AB46">
        <v>295.256550583962</v>
      </c>
      <c r="AC46">
        <v>293.036676800294</v>
      </c>
      <c r="AD46">
        <v>11.7984558917729</v>
      </c>
      <c r="AE46">
        <v>344.803833337387</v>
      </c>
      <c r="AF46">
        <v>3.63890304550082</v>
      </c>
      <c r="AG46">
        <v>779.17467873289502</v>
      </c>
      <c r="AH46">
        <v>5.4595341995799496</v>
      </c>
      <c r="AI46">
        <v>45.496787198206903</v>
      </c>
      <c r="AJ46">
        <v>175.73764058484099</v>
      </c>
      <c r="AK46">
        <v>21.600490767322899</v>
      </c>
      <c r="AL46">
        <v>-25.063547101177999</v>
      </c>
      <c r="AM46">
        <v>10.215295781427301</v>
      </c>
      <c r="AN46">
        <v>10.1613622243121</v>
      </c>
      <c r="AO46">
        <v>0.9</v>
      </c>
      <c r="AP46">
        <v>1.2902016647496899</v>
      </c>
      <c r="AQ46">
        <v>0.71971550599136302</v>
      </c>
      <c r="AR46">
        <v>1.2731608984290299</v>
      </c>
      <c r="AS46">
        <v>0.99799981917987401</v>
      </c>
      <c r="AT46">
        <v>0.86287066557830405</v>
      </c>
      <c r="AU46">
        <v>0.84149211056252804</v>
      </c>
      <c r="AV46">
        <v>1</v>
      </c>
      <c r="AW46">
        <v>1.0001852465891099</v>
      </c>
      <c r="AX46">
        <v>1</v>
      </c>
      <c r="AY46">
        <v>1</v>
      </c>
      <c r="AZ46">
        <v>0.93489831201371898</v>
      </c>
      <c r="BA46">
        <v>1</v>
      </c>
      <c r="BB46">
        <v>0.99138042379798696</v>
      </c>
      <c r="BC46">
        <v>21751881681.400002</v>
      </c>
      <c r="BD46">
        <v>5.9475016470266102E-2</v>
      </c>
      <c r="BE46">
        <v>3486</v>
      </c>
    </row>
    <row r="47" spans="1:57" x14ac:dyDescent="0.25">
      <c r="A47">
        <v>23</v>
      </c>
      <c r="B47" t="s">
        <v>57</v>
      </c>
      <c r="C47">
        <v>11</v>
      </c>
      <c r="D47">
        <v>0.48596579328994699</v>
      </c>
      <c r="E47">
        <v>0.37892270670575801</v>
      </c>
      <c r="F47">
        <v>5.6782195833097102</v>
      </c>
      <c r="G47">
        <v>4.4534948875799198</v>
      </c>
      <c r="H47">
        <v>1.2824931963428401</v>
      </c>
      <c r="I47">
        <v>-0.107043086584189</v>
      </c>
      <c r="J47">
        <v>3.5372217156348203E-2</v>
      </c>
      <c r="K47">
        <v>2.4921106889973402E-3</v>
      </c>
      <c r="L47">
        <v>2.9538318812751999E-4</v>
      </c>
      <c r="M47">
        <v>0.33161458262573001</v>
      </c>
      <c r="N47">
        <v>9.1484130465546206E-3</v>
      </c>
      <c r="O47">
        <v>0</v>
      </c>
      <c r="P47">
        <v>6.1979941138187398</v>
      </c>
      <c r="Q47">
        <v>93.802005886181306</v>
      </c>
      <c r="R47">
        <v>37.800904919982798</v>
      </c>
      <c r="S47">
        <v>38.259496323361702</v>
      </c>
      <c r="T47">
        <v>23.939598756655499</v>
      </c>
      <c r="U47">
        <v>0</v>
      </c>
      <c r="V47">
        <v>62.199095080017202</v>
      </c>
      <c r="W47">
        <v>0.198393080959338</v>
      </c>
      <c r="X47">
        <v>-36.4389173368005</v>
      </c>
      <c r="Y47">
        <v>16.708912173412902</v>
      </c>
      <c r="Z47">
        <v>100</v>
      </c>
      <c r="AA47">
        <v>61.970858513834301</v>
      </c>
      <c r="AB47">
        <v>313.48452974798698</v>
      </c>
      <c r="AC47">
        <v>311.25021696671598</v>
      </c>
      <c r="AD47">
        <v>8.0548434705814191</v>
      </c>
      <c r="AE47">
        <v>349.05270378179199</v>
      </c>
      <c r="AF47">
        <v>3.5118828647729101</v>
      </c>
      <c r="AG47">
        <v>779.94257967333704</v>
      </c>
      <c r="AH47">
        <v>6.49522700830427</v>
      </c>
      <c r="AI47">
        <v>48.613526214782397</v>
      </c>
      <c r="AJ47">
        <v>172.725451816961</v>
      </c>
      <c r="AK47">
        <v>29.208696801027301</v>
      </c>
      <c r="AL47">
        <v>-24.149199957121599</v>
      </c>
      <c r="AM47">
        <v>10.9596895731171</v>
      </c>
      <c r="AN47">
        <v>7.2307010033912604</v>
      </c>
      <c r="AO47">
        <v>0.9</v>
      </c>
      <c r="AP47">
        <v>1.2902026844433001</v>
      </c>
      <c r="AQ47">
        <v>0.64103962154843097</v>
      </c>
      <c r="AR47">
        <v>1.2853327266254799</v>
      </c>
      <c r="AS47">
        <v>0.99763367378430001</v>
      </c>
      <c r="AT47">
        <v>0.84361401507684597</v>
      </c>
      <c r="AU47">
        <v>0.83999799899149297</v>
      </c>
      <c r="AV47">
        <v>1</v>
      </c>
      <c r="AW47">
        <v>1.00232864553389</v>
      </c>
      <c r="AX47">
        <v>1</v>
      </c>
      <c r="AY47">
        <v>1</v>
      </c>
      <c r="AZ47">
        <v>0.91914117639597803</v>
      </c>
      <c r="BA47">
        <v>1</v>
      </c>
      <c r="BB47">
        <v>0.98729580030167696</v>
      </c>
      <c r="BC47">
        <v>37603772449.599998</v>
      </c>
      <c r="BD47">
        <v>7.8737653647918002E-2</v>
      </c>
      <c r="BE47">
        <v>4631</v>
      </c>
    </row>
    <row r="55" spans="2:21" x14ac:dyDescent="0.25">
      <c r="B55" t="s">
        <v>53</v>
      </c>
      <c r="C55" t="s">
        <v>58</v>
      </c>
      <c r="D55" t="str">
        <f t="shared" ref="D55:D69" si="0">D1</f>
        <v>actual.smm</v>
      </c>
      <c r="E55" t="s">
        <v>56</v>
      </c>
      <c r="F55" t="s">
        <v>57</v>
      </c>
      <c r="J55" t="s">
        <v>59</v>
      </c>
      <c r="K55" t="s">
        <v>60</v>
      </c>
      <c r="L55" s="3" t="str">
        <f t="shared" ref="L55:L69" si="1">D55</f>
        <v>actual.smm</v>
      </c>
      <c r="M55" t="s">
        <v>6</v>
      </c>
      <c r="N55" t="s">
        <v>61</v>
      </c>
      <c r="Q55" t="s">
        <v>58</v>
      </c>
      <c r="R55" s="3" t="str">
        <f>J55</f>
        <v>% High HPA Model</v>
      </c>
      <c r="S55" t="s">
        <v>62</v>
      </c>
      <c r="T55" t="s">
        <v>53</v>
      </c>
    </row>
    <row r="56" spans="2:21" x14ac:dyDescent="0.25">
      <c r="B56" s="3">
        <f t="shared" ref="B56:B69" si="2">BC2/1000000000</f>
        <v>0.42263783189999998</v>
      </c>
      <c r="C56">
        <f t="shared" ref="C56:C69" si="3">C2</f>
        <v>0</v>
      </c>
      <c r="D56" s="3">
        <f t="shared" si="0"/>
        <v>0.38177619513190603</v>
      </c>
      <c r="E56" s="3">
        <f t="shared" ref="E56:E69" si="4">E2</f>
        <v>0.317385449792422</v>
      </c>
      <c r="F56" s="3">
        <f>VLOOKUP(C56,C25:E39,3,0)</f>
        <v>0.22737463403146599</v>
      </c>
      <c r="I56" s="4">
        <f t="shared" ref="I56:I69" si="5">C56</f>
        <v>0</v>
      </c>
      <c r="J56" s="3">
        <v>0.9</v>
      </c>
      <c r="K56" s="2">
        <f>J56*E56+(1-J56)*F56</f>
        <v>0.30838436821632642</v>
      </c>
      <c r="L56" s="3">
        <f t="shared" si="1"/>
        <v>0.38177619513190603</v>
      </c>
      <c r="M56" s="3">
        <f t="shared" ref="M56:M69" si="6">L56/K56</f>
        <v>1.2379881553013623</v>
      </c>
      <c r="N56" s="3">
        <f>ABS(M56-1)</f>
        <v>0.2379881553013623</v>
      </c>
      <c r="Q56" s="4">
        <f>AM2</f>
        <v>-2.3071784527100698</v>
      </c>
      <c r="R56" s="3"/>
      <c r="T56" s="3">
        <v>0.42263783189999998</v>
      </c>
    </row>
    <row r="57" spans="2:21" x14ac:dyDescent="0.25">
      <c r="B57" s="3">
        <f t="shared" si="2"/>
        <v>7.3507551599999998E-2</v>
      </c>
      <c r="C57">
        <f t="shared" si="3"/>
        <v>0.5</v>
      </c>
      <c r="D57" s="3">
        <f t="shared" si="0"/>
        <v>0.13885509836067</v>
      </c>
      <c r="E57" s="3">
        <f t="shared" si="4"/>
        <v>0.34771211805374103</v>
      </c>
      <c r="F57" s="3">
        <f>VLOOKUP(C57,C26:E40,3,0)</f>
        <v>0.253535588847914</v>
      </c>
      <c r="I57" s="4">
        <f t="shared" si="5"/>
        <v>0.5</v>
      </c>
      <c r="J57" s="3">
        <v>0</v>
      </c>
      <c r="K57" s="2">
        <f t="shared" ref="K57:K69" si="7">J57*E57+(1-J57)*F57</f>
        <v>0.253535588847914</v>
      </c>
      <c r="L57" s="3">
        <f t="shared" si="1"/>
        <v>0.13885509836067</v>
      </c>
      <c r="M57" s="3">
        <f t="shared" si="6"/>
        <v>0.54767497924705044</v>
      </c>
      <c r="N57" s="3">
        <f t="shared" ref="N57:N78" si="8">ABS(M57-1)</f>
        <v>0.45232502075294956</v>
      </c>
      <c r="Q57" s="4">
        <f t="shared" ref="Q57:Q78" si="9">AM3</f>
        <v>0.27195522190403099</v>
      </c>
      <c r="R57" s="3"/>
      <c r="T57" s="3">
        <v>7.3507551599999998E-2</v>
      </c>
    </row>
    <row r="58" spans="2:21" x14ac:dyDescent="0.25">
      <c r="B58" s="3">
        <f t="shared" si="2"/>
        <v>0.20494525230000002</v>
      </c>
      <c r="C58">
        <f t="shared" si="3"/>
        <v>1</v>
      </c>
      <c r="D58" s="3">
        <f t="shared" si="0"/>
        <v>0.79872946076038498</v>
      </c>
      <c r="E58" s="3">
        <f t="shared" si="4"/>
        <v>0.31580088885803398</v>
      </c>
      <c r="F58" s="3">
        <f>VLOOKUP(C58,C27:E47,3,0)</f>
        <v>0.230764785358714</v>
      </c>
      <c r="I58" s="4">
        <f t="shared" si="5"/>
        <v>1</v>
      </c>
      <c r="J58" s="3">
        <v>6.6791003993638745</v>
      </c>
      <c r="K58" s="2">
        <f t="shared" si="7"/>
        <v>0.79872945820136998</v>
      </c>
      <c r="L58" s="3">
        <f t="shared" si="1"/>
        <v>0.79872946076038498</v>
      </c>
      <c r="M58" s="3">
        <f t="shared" si="6"/>
        <v>1.000000003203857</v>
      </c>
      <c r="N58" s="3">
        <f t="shared" si="8"/>
        <v>3.2038569575121301E-9</v>
      </c>
      <c r="Q58" s="4">
        <f t="shared" si="9"/>
        <v>0.78850743218217001</v>
      </c>
      <c r="R58" s="3"/>
      <c r="T58" s="3">
        <v>0.20494525230000002</v>
      </c>
    </row>
    <row r="59" spans="2:21" x14ac:dyDescent="0.25">
      <c r="B59" s="3">
        <f t="shared" si="2"/>
        <v>0.48898139760000003</v>
      </c>
      <c r="C59">
        <f t="shared" si="3"/>
        <v>1.5</v>
      </c>
      <c r="D59" s="3">
        <f t="shared" si="0"/>
        <v>0.27971520429528901</v>
      </c>
      <c r="E59" s="3">
        <f t="shared" si="4"/>
        <v>0.32749105530116401</v>
      </c>
      <c r="F59" s="3">
        <f>VLOOKUP(C59,C28:E48,3,0)</f>
        <v>0.23999607031450099</v>
      </c>
      <c r="I59" s="4">
        <f t="shared" si="5"/>
        <v>1.5</v>
      </c>
      <c r="J59" s="3">
        <v>0.45395885726661167</v>
      </c>
      <c r="K59" s="2">
        <f t="shared" si="7"/>
        <v>0.27971519371560588</v>
      </c>
      <c r="L59" s="3">
        <f t="shared" si="1"/>
        <v>0.27971520429528901</v>
      </c>
      <c r="M59" s="3">
        <f t="shared" si="6"/>
        <v>1.0000000378230549</v>
      </c>
      <c r="N59" s="3">
        <f t="shared" si="8"/>
        <v>3.7823054910290921E-8</v>
      </c>
      <c r="Q59" s="4">
        <f t="shared" si="9"/>
        <v>1.27153376437664</v>
      </c>
      <c r="R59" s="3"/>
      <c r="T59" s="3">
        <v>0.48898139760000003</v>
      </c>
    </row>
    <row r="60" spans="2:21" x14ac:dyDescent="0.25">
      <c r="B60" s="3">
        <f t="shared" si="2"/>
        <v>5.0087856198999994</v>
      </c>
      <c r="C60">
        <f t="shared" si="3"/>
        <v>2</v>
      </c>
      <c r="D60" s="3">
        <f t="shared" si="0"/>
        <v>0.26110840015515802</v>
      </c>
      <c r="E60" s="3">
        <f t="shared" si="4"/>
        <v>0.32522649550609101</v>
      </c>
      <c r="F60" s="3">
        <f t="shared" ref="F60:F69" si="10">VLOOKUP(C60,C29:E52,3,0)</f>
        <v>0.23406505699799399</v>
      </c>
      <c r="I60" s="4">
        <f t="shared" si="5"/>
        <v>2</v>
      </c>
      <c r="J60" s="3">
        <v>0.29665328449025474</v>
      </c>
      <c r="K60" s="2">
        <f t="shared" si="7"/>
        <v>0.26110839715027734</v>
      </c>
      <c r="L60" s="3">
        <f t="shared" si="1"/>
        <v>0.26110840015515802</v>
      </c>
      <c r="M60" s="3">
        <f t="shared" si="6"/>
        <v>1.0000000115081733</v>
      </c>
      <c r="N60" s="3">
        <f t="shared" si="8"/>
        <v>1.1508173303198532E-8</v>
      </c>
      <c r="Q60" s="4">
        <f t="shared" si="9"/>
        <v>1.8032949512770999</v>
      </c>
      <c r="R60" s="3">
        <f t="shared" ref="R60:R78" si="11">J60</f>
        <v>0.29665328449025474</v>
      </c>
      <c r="S60">
        <v>0</v>
      </c>
      <c r="T60" s="3">
        <v>5.0087856198999994</v>
      </c>
    </row>
    <row r="61" spans="2:21" x14ac:dyDescent="0.25">
      <c r="B61" s="3">
        <f t="shared" si="2"/>
        <v>7.8199471426000002</v>
      </c>
      <c r="C61">
        <f t="shared" si="3"/>
        <v>2.5</v>
      </c>
      <c r="D61" s="3">
        <f t="shared" si="0"/>
        <v>0.325317864974561</v>
      </c>
      <c r="E61" s="3">
        <f t="shared" si="4"/>
        <v>0.36793293653824899</v>
      </c>
      <c r="F61" s="3">
        <f t="shared" si="10"/>
        <v>0.26199086507055303</v>
      </c>
      <c r="I61" s="4">
        <f t="shared" si="5"/>
        <v>2.5</v>
      </c>
      <c r="J61" s="3">
        <v>0.59775116909241566</v>
      </c>
      <c r="K61" s="2">
        <f t="shared" si="7"/>
        <v>0.32531786214644054</v>
      </c>
      <c r="L61" s="3">
        <f t="shared" si="1"/>
        <v>0.325317864974561</v>
      </c>
      <c r="M61" s="3">
        <f t="shared" si="6"/>
        <v>1.0000000086934067</v>
      </c>
      <c r="N61" s="3">
        <f t="shared" si="8"/>
        <v>8.693406661208769E-9</v>
      </c>
      <c r="Q61" s="4">
        <f t="shared" si="9"/>
        <v>2.24143210551793</v>
      </c>
      <c r="R61" s="3">
        <f t="shared" si="11"/>
        <v>0.59775116909241566</v>
      </c>
      <c r="S61">
        <v>0</v>
      </c>
      <c r="T61" s="3">
        <v>7.8199471426000002</v>
      </c>
    </row>
    <row r="62" spans="2:21" x14ac:dyDescent="0.25">
      <c r="B62" s="3">
        <f t="shared" si="2"/>
        <v>14.518948289500001</v>
      </c>
      <c r="C62">
        <f t="shared" si="3"/>
        <v>3</v>
      </c>
      <c r="D62" s="3">
        <f t="shared" si="0"/>
        <v>0.31513522174966502</v>
      </c>
      <c r="E62" s="3">
        <f t="shared" si="4"/>
        <v>0.443099616745323</v>
      </c>
      <c r="F62" s="3">
        <f t="shared" si="10"/>
        <v>0.316880245954205</v>
      </c>
      <c r="I62" s="4">
        <f t="shared" si="5"/>
        <v>3</v>
      </c>
      <c r="J62" s="3">
        <v>0.200187889272708</v>
      </c>
      <c r="K62" s="2">
        <v>0.31513505166915701</v>
      </c>
      <c r="L62" s="3">
        <f t="shared" si="1"/>
        <v>0.31513522174966502</v>
      </c>
      <c r="M62" s="3">
        <f t="shared" si="6"/>
        <v>1.0000005397067293</v>
      </c>
      <c r="N62" s="3">
        <f t="shared" si="8"/>
        <v>5.397067293078095E-7</v>
      </c>
      <c r="Q62" s="4">
        <f t="shared" si="9"/>
        <v>2.7976050908997099</v>
      </c>
      <c r="R62" s="3">
        <f t="shared" si="11"/>
        <v>0.200187889272708</v>
      </c>
      <c r="S62" s="6">
        <v>0</v>
      </c>
      <c r="T62" s="3">
        <v>14.518948289500001</v>
      </c>
      <c r="U62">
        <f>0.0023*Q62^3 - 0.0309*Q62^2 + 0.1745*Q62 - 0.1408</f>
        <v>0.1559004819803034</v>
      </c>
    </row>
    <row r="63" spans="2:21" x14ac:dyDescent="0.25">
      <c r="B63" s="3">
        <f t="shared" si="2"/>
        <v>26.816000496099999</v>
      </c>
      <c r="C63">
        <f t="shared" si="3"/>
        <v>3.5</v>
      </c>
      <c r="D63" s="3">
        <f t="shared" si="0"/>
        <v>0.38801294067523001</v>
      </c>
      <c r="E63" s="3">
        <f t="shared" si="4"/>
        <v>0.50971464219289597</v>
      </c>
      <c r="F63" s="3">
        <f t="shared" si="10"/>
        <v>0.37047628518826597</v>
      </c>
      <c r="I63" s="4">
        <f t="shared" si="5"/>
        <v>3.5</v>
      </c>
      <c r="J63" s="3">
        <v>0.12594701534955102</v>
      </c>
      <c r="K63" s="2">
        <f t="shared" si="7"/>
        <v>0.38801294067517439</v>
      </c>
      <c r="L63" s="3">
        <f t="shared" si="1"/>
        <v>0.38801294067523001</v>
      </c>
      <c r="M63" s="3">
        <f t="shared" si="6"/>
        <v>1.0000000000001434</v>
      </c>
      <c r="N63" s="3">
        <f t="shared" si="8"/>
        <v>1.4344081478157023E-13</v>
      </c>
      <c r="Q63" s="4">
        <f t="shared" si="9"/>
        <v>3.2813580377172702</v>
      </c>
      <c r="R63" s="3">
        <f t="shared" si="11"/>
        <v>0.12594701534955102</v>
      </c>
      <c r="S63" s="5">
        <f t="shared" ref="S63:S67" si="12">R63</f>
        <v>0.12594701534955102</v>
      </c>
      <c r="T63" s="3">
        <v>26.816000496099999</v>
      </c>
      <c r="U63">
        <f t="shared" ref="U63:U78" si="13">0.0023*Q63^3 - 0.0309*Q63^2 + 0.1745*Q63 - 0.1408</f>
        <v>0.18034930342113228</v>
      </c>
    </row>
    <row r="64" spans="2:21" x14ac:dyDescent="0.25">
      <c r="B64" s="3">
        <f t="shared" si="2"/>
        <v>54.537542952800003</v>
      </c>
      <c r="C64">
        <f t="shared" si="3"/>
        <v>4</v>
      </c>
      <c r="D64" s="3">
        <f t="shared" si="0"/>
        <v>0.39799054445677201</v>
      </c>
      <c r="E64" s="3">
        <f t="shared" si="4"/>
        <v>0.54026310425635804</v>
      </c>
      <c r="F64" s="3">
        <f t="shared" si="10"/>
        <v>0.39360456459382098</v>
      </c>
      <c r="I64" s="4">
        <f t="shared" si="5"/>
        <v>4</v>
      </c>
      <c r="J64" s="3">
        <v>2.9906057773487683E-2</v>
      </c>
      <c r="K64" s="2">
        <f t="shared" si="7"/>
        <v>0.39799054335394418</v>
      </c>
      <c r="L64" s="3">
        <f t="shared" si="1"/>
        <v>0.39799054445677201</v>
      </c>
      <c r="M64" s="3">
        <f t="shared" si="6"/>
        <v>1.0000000027709901</v>
      </c>
      <c r="N64" s="3">
        <f t="shared" si="8"/>
        <v>2.7709901040395835E-9</v>
      </c>
      <c r="Q64" s="4">
        <f t="shared" si="9"/>
        <v>3.74459035008964</v>
      </c>
      <c r="R64" s="3">
        <f t="shared" si="11"/>
        <v>2.9906057773487683E-2</v>
      </c>
      <c r="S64" s="5">
        <f t="shared" si="12"/>
        <v>2.9906057773487683E-2</v>
      </c>
      <c r="T64" s="3">
        <v>54.537542952800003</v>
      </c>
      <c r="U64">
        <f t="shared" si="13"/>
        <v>0.20011746244722259</v>
      </c>
    </row>
    <row r="65" spans="2:21" x14ac:dyDescent="0.25">
      <c r="B65" s="3">
        <f t="shared" si="2"/>
        <v>15.972284802100001</v>
      </c>
      <c r="C65">
        <f t="shared" si="3"/>
        <v>4.5</v>
      </c>
      <c r="D65" s="3">
        <f t="shared" si="0"/>
        <v>0.50092387716456799</v>
      </c>
      <c r="E65" s="3">
        <f t="shared" si="4"/>
        <v>0.58919398184139005</v>
      </c>
      <c r="F65" s="3">
        <f t="shared" si="10"/>
        <v>0.44655472452920703</v>
      </c>
      <c r="I65" s="4">
        <f t="shared" si="5"/>
        <v>4.5</v>
      </c>
      <c r="J65" s="3">
        <v>0.38116538808258521</v>
      </c>
      <c r="K65" s="2">
        <f t="shared" si="7"/>
        <v>0.50092387239841707</v>
      </c>
      <c r="L65" s="3">
        <f t="shared" si="1"/>
        <v>0.50092387716456799</v>
      </c>
      <c r="M65" s="3">
        <f t="shared" si="6"/>
        <v>1.000000009514721</v>
      </c>
      <c r="N65" s="3">
        <f t="shared" si="8"/>
        <v>9.5147210110724245E-9</v>
      </c>
      <c r="Q65" s="4">
        <f t="shared" si="9"/>
        <v>4.1570647409444197</v>
      </c>
      <c r="R65" s="3">
        <f t="shared" si="11"/>
        <v>0.38116538808258521</v>
      </c>
      <c r="S65" s="7">
        <f t="shared" si="12"/>
        <v>0.38116538808258521</v>
      </c>
      <c r="T65" s="3">
        <v>15.972284802100001</v>
      </c>
      <c r="U65">
        <f t="shared" si="13"/>
        <v>0.21584884370466431</v>
      </c>
    </row>
    <row r="66" spans="2:21" x14ac:dyDescent="0.25">
      <c r="B66" s="3">
        <f t="shared" si="2"/>
        <v>1.499685194</v>
      </c>
      <c r="C66">
        <f t="shared" si="3"/>
        <v>5</v>
      </c>
      <c r="D66" s="3">
        <f t="shared" si="0"/>
        <v>0.54430110490041295</v>
      </c>
      <c r="E66" s="3">
        <f t="shared" si="4"/>
        <v>0.63349406799876795</v>
      </c>
      <c r="F66" s="3">
        <f t="shared" si="10"/>
        <v>0.48847013906729397</v>
      </c>
      <c r="I66" s="4">
        <f t="shared" si="5"/>
        <v>5</v>
      </c>
      <c r="J66" s="3">
        <v>0.38497755096251346</v>
      </c>
      <c r="K66" s="2">
        <f t="shared" si="7"/>
        <v>0.54430109605829435</v>
      </c>
      <c r="L66" s="3">
        <f t="shared" si="1"/>
        <v>0.54430110490041295</v>
      </c>
      <c r="M66" s="3">
        <f t="shared" si="6"/>
        <v>1.0000000162449032</v>
      </c>
      <c r="N66" s="3">
        <f t="shared" si="8"/>
        <v>1.624490320040195E-8</v>
      </c>
      <c r="Q66" s="4">
        <f t="shared" si="9"/>
        <v>4.68607571507488</v>
      </c>
      <c r="R66" s="3">
        <f t="shared" si="11"/>
        <v>0.38497755096251346</v>
      </c>
      <c r="S66" s="2">
        <f t="shared" si="12"/>
        <v>0.38497755096251346</v>
      </c>
      <c r="T66" s="3">
        <v>1.499685194</v>
      </c>
      <c r="U66">
        <f t="shared" si="13"/>
        <v>0.23505449708312678</v>
      </c>
    </row>
    <row r="67" spans="2:21" x14ac:dyDescent="0.25">
      <c r="B67" s="3">
        <f t="shared" si="2"/>
        <v>2.3049296388</v>
      </c>
      <c r="C67">
        <f t="shared" si="3"/>
        <v>5.5</v>
      </c>
      <c r="D67" s="3">
        <f t="shared" si="0"/>
        <v>0.420963255203259</v>
      </c>
      <c r="E67" s="3">
        <f t="shared" si="4"/>
        <v>0.62316930423839301</v>
      </c>
      <c r="F67" s="3">
        <f t="shared" si="10"/>
        <v>0.47208962399293403</v>
      </c>
      <c r="I67" s="4">
        <f t="shared" si="5"/>
        <v>5.5</v>
      </c>
      <c r="J67" s="3">
        <v>0</v>
      </c>
      <c r="K67" s="2">
        <f t="shared" si="7"/>
        <v>0.47208962399293403</v>
      </c>
      <c r="L67" s="3">
        <f t="shared" si="1"/>
        <v>0.420963255203259</v>
      </c>
      <c r="M67" s="3">
        <f t="shared" si="6"/>
        <v>0.89170198582792781</v>
      </c>
      <c r="N67" s="3">
        <f t="shared" si="8"/>
        <v>0.10829801417207219</v>
      </c>
      <c r="Q67" s="4">
        <f t="shared" si="9"/>
        <v>5.3471548206444401</v>
      </c>
      <c r="R67" s="3">
        <f t="shared" si="11"/>
        <v>0</v>
      </c>
      <c r="S67" s="2">
        <f t="shared" si="12"/>
        <v>0</v>
      </c>
      <c r="T67" s="3">
        <v>2.3049296388</v>
      </c>
      <c r="U67">
        <f t="shared" si="13"/>
        <v>0.26042196958338815</v>
      </c>
    </row>
    <row r="68" spans="2:21" x14ac:dyDescent="0.25">
      <c r="B68" s="3">
        <f t="shared" si="2"/>
        <v>3.6859491051999997</v>
      </c>
      <c r="C68">
        <f t="shared" si="3"/>
        <v>6</v>
      </c>
      <c r="D68" s="3">
        <f t="shared" si="0"/>
        <v>0.46900255339407898</v>
      </c>
      <c r="E68" s="3">
        <f t="shared" si="4"/>
        <v>0.550467241853831</v>
      </c>
      <c r="F68" s="3">
        <f t="shared" si="10"/>
        <v>0.40548119397078802</v>
      </c>
      <c r="I68" s="4">
        <f t="shared" si="5"/>
        <v>6</v>
      </c>
      <c r="J68" s="3">
        <v>0.43812045360960084</v>
      </c>
      <c r="K68" s="2">
        <f t="shared" si="7"/>
        <v>0.46900254703637012</v>
      </c>
      <c r="L68" s="3">
        <f t="shared" si="1"/>
        <v>0.46900255339407898</v>
      </c>
      <c r="M68" s="3">
        <f t="shared" si="6"/>
        <v>1.0000000135558089</v>
      </c>
      <c r="N68" s="3">
        <f t="shared" si="8"/>
        <v>1.3555808919818446E-8</v>
      </c>
      <c r="Q68" s="4">
        <f t="shared" si="9"/>
        <v>5.7849592781724999</v>
      </c>
      <c r="R68" s="3">
        <f t="shared" si="11"/>
        <v>0.43812045360960084</v>
      </c>
      <c r="S68" s="2">
        <f t="shared" ref="S68:S70" si="14">R68</f>
        <v>0.43812045360960084</v>
      </c>
      <c r="T68" s="3">
        <v>3.6859491051999997</v>
      </c>
      <c r="U68">
        <f t="shared" si="13"/>
        <v>0.27985905351596119</v>
      </c>
    </row>
    <row r="69" spans="2:21" x14ac:dyDescent="0.25">
      <c r="B69" s="3">
        <f t="shared" si="2"/>
        <v>51.427747023599998</v>
      </c>
      <c r="C69">
        <f t="shared" si="3"/>
        <v>6.5</v>
      </c>
      <c r="D69" s="3">
        <f t="shared" si="0"/>
        <v>0.44114341613827601</v>
      </c>
      <c r="E69" s="3">
        <f t="shared" si="4"/>
        <v>0.53769071868438201</v>
      </c>
      <c r="F69" s="3">
        <f t="shared" si="10"/>
        <v>0.38507526037951501</v>
      </c>
      <c r="I69" s="4">
        <f t="shared" si="5"/>
        <v>6.5</v>
      </c>
      <c r="J69" s="3">
        <v>0.36738182778891754</v>
      </c>
      <c r="K69" s="2">
        <f t="shared" si="7"/>
        <v>0.4411434064004004</v>
      </c>
      <c r="L69" s="3">
        <f t="shared" si="1"/>
        <v>0.44114341613827601</v>
      </c>
      <c r="M69" s="3">
        <f t="shared" si="6"/>
        <v>1.0000000220741725</v>
      </c>
      <c r="N69" s="3">
        <f t="shared" si="8"/>
        <v>2.2074172489894295E-8</v>
      </c>
      <c r="Q69" s="4">
        <f t="shared" si="9"/>
        <v>6.3478955420492502</v>
      </c>
      <c r="R69" s="3">
        <f t="shared" si="11"/>
        <v>0.36738182778891754</v>
      </c>
      <c r="S69" s="5">
        <f t="shared" si="14"/>
        <v>0.36738182778891754</v>
      </c>
      <c r="T69" s="3">
        <v>51.427747023599998</v>
      </c>
      <c r="U69">
        <f t="shared" si="13"/>
        <v>0.31009303085752782</v>
      </c>
    </row>
    <row r="70" spans="2:21" x14ac:dyDescent="0.25">
      <c r="B70" s="3">
        <f t="shared" ref="B70:B78" si="15">BC16/1000000000</f>
        <v>132.93283565300001</v>
      </c>
      <c r="C70">
        <f t="shared" ref="C70:E70" si="16">C16</f>
        <v>7</v>
      </c>
      <c r="D70" s="3">
        <f t="shared" si="16"/>
        <v>0.51825911909326905</v>
      </c>
      <c r="E70" s="3">
        <f t="shared" si="16"/>
        <v>0.57556657744540196</v>
      </c>
      <c r="F70" s="3">
        <f t="shared" ref="F70:F78" si="17">VLOOKUP(C70,C39:E62,3,0)</f>
        <v>0.42500775290753001</v>
      </c>
      <c r="I70" s="4">
        <f t="shared" ref="I70:I78" si="18">C70</f>
        <v>7</v>
      </c>
      <c r="J70" s="3">
        <v>0.6193683116928741</v>
      </c>
      <c r="K70" s="2">
        <f t="shared" ref="K70:K78" si="19">J70*E70+(1-J70)*F70</f>
        <v>0.5182591178720154</v>
      </c>
      <c r="L70" s="3">
        <f t="shared" ref="L70:L78" si="20">D70</f>
        <v>0.51825911909326905</v>
      </c>
      <c r="M70" s="3">
        <f t="shared" ref="M70:M78" si="21">L70/K70</f>
        <v>1.0000000023564537</v>
      </c>
      <c r="N70" s="3">
        <f t="shared" si="8"/>
        <v>2.356453698837413E-9</v>
      </c>
      <c r="Q70" s="4">
        <f t="shared" si="9"/>
        <v>6.7333653206622399</v>
      </c>
      <c r="R70" s="3">
        <f t="shared" si="11"/>
        <v>0.6193683116928741</v>
      </c>
      <c r="S70" s="5">
        <f t="shared" si="14"/>
        <v>0.6193683116928741</v>
      </c>
      <c r="T70" s="3">
        <v>132.93283565300001</v>
      </c>
      <c r="U70">
        <f t="shared" si="13"/>
        <v>0.33536266304012208</v>
      </c>
    </row>
    <row r="71" spans="2:21" x14ac:dyDescent="0.25">
      <c r="B71" s="3">
        <f t="shared" si="15"/>
        <v>40.481928820699999</v>
      </c>
      <c r="C71">
        <f t="shared" ref="C71:E71" si="22">C17</f>
        <v>7.5</v>
      </c>
      <c r="D71" s="3">
        <f t="shared" si="22"/>
        <v>0.52227785105093005</v>
      </c>
      <c r="E71" s="3">
        <f t="shared" si="22"/>
        <v>0.53173287851036999</v>
      </c>
      <c r="F71" s="3">
        <f t="shared" si="17"/>
        <v>0.39663894567170399</v>
      </c>
      <c r="I71" s="4">
        <f t="shared" si="18"/>
        <v>7.5</v>
      </c>
      <c r="J71" s="3">
        <v>0.9300113543071894</v>
      </c>
      <c r="K71" s="2">
        <f t="shared" si="19"/>
        <v>0.52227783710967624</v>
      </c>
      <c r="L71" s="3">
        <f t="shared" si="20"/>
        <v>0.52227785105093005</v>
      </c>
      <c r="M71" s="3">
        <f t="shared" si="21"/>
        <v>1.0000000266931752</v>
      </c>
      <c r="N71" s="3">
        <f t="shared" si="8"/>
        <v>2.6693175225744881E-8</v>
      </c>
      <c r="Q71" s="4">
        <f t="shared" si="9"/>
        <v>7.1838027800934796</v>
      </c>
      <c r="R71" s="3">
        <f t="shared" si="11"/>
        <v>0.9300113543071894</v>
      </c>
      <c r="S71" s="5">
        <f>R71</f>
        <v>0.9300113543071894</v>
      </c>
      <c r="T71" s="3">
        <v>40.481928820699999</v>
      </c>
      <c r="U71">
        <f t="shared" si="13"/>
        <v>0.37080633648248984</v>
      </c>
    </row>
    <row r="72" spans="2:21" x14ac:dyDescent="0.25">
      <c r="B72" s="3">
        <f t="shared" si="15"/>
        <v>4.9728742643999997</v>
      </c>
      <c r="C72">
        <f t="shared" ref="C72:E72" si="23">C18</f>
        <v>8</v>
      </c>
      <c r="D72" s="3">
        <f t="shared" si="23"/>
        <v>0.55213354809030601</v>
      </c>
      <c r="E72" s="3">
        <f t="shared" si="23"/>
        <v>0.53466436735785605</v>
      </c>
      <c r="F72" s="3">
        <f t="shared" si="17"/>
        <v>0.40452768208248802</v>
      </c>
      <c r="I72" s="4">
        <f t="shared" si="18"/>
        <v>8</v>
      </c>
      <c r="J72" s="3">
        <v>1.1342363917888303</v>
      </c>
      <c r="K72" s="2">
        <f t="shared" si="19"/>
        <v>0.55213344642858009</v>
      </c>
      <c r="L72" s="3">
        <f t="shared" si="20"/>
        <v>0.55213354809030601</v>
      </c>
      <c r="M72" s="3">
        <f t="shared" si="21"/>
        <v>1.000000184125281</v>
      </c>
      <c r="N72" s="3">
        <f t="shared" si="8"/>
        <v>1.8412528102196291E-7</v>
      </c>
      <c r="Q72" s="4">
        <f t="shared" si="9"/>
        <v>7.6509436474597896</v>
      </c>
      <c r="R72" s="3">
        <f t="shared" si="11"/>
        <v>1.1342363917888303</v>
      </c>
      <c r="S72">
        <v>1</v>
      </c>
      <c r="T72" s="3">
        <v>4.9728742643999997</v>
      </c>
      <c r="U72">
        <f t="shared" si="13"/>
        <v>0.41558274506046056</v>
      </c>
    </row>
    <row r="73" spans="2:21" x14ac:dyDescent="0.25">
      <c r="B73" s="3">
        <f t="shared" si="15"/>
        <v>3.8226664051999997</v>
      </c>
      <c r="C73">
        <f t="shared" ref="C73:E73" si="24">C19</f>
        <v>8.5</v>
      </c>
      <c r="D73" s="3">
        <f t="shared" si="24"/>
        <v>0.68806782509345199</v>
      </c>
      <c r="E73" s="3">
        <f t="shared" si="24"/>
        <v>0.59204940442082199</v>
      </c>
      <c r="F73" s="3">
        <f t="shared" si="17"/>
        <v>0.45693953663241399</v>
      </c>
      <c r="I73" s="4">
        <f t="shared" si="18"/>
        <v>8.5</v>
      </c>
      <c r="J73" s="3">
        <v>1.7106684855857739</v>
      </c>
      <c r="K73" s="2">
        <f t="shared" si="19"/>
        <v>0.68806772954970419</v>
      </c>
      <c r="L73" s="3">
        <f t="shared" si="20"/>
        <v>0.68806782509345199</v>
      </c>
      <c r="M73" s="3">
        <f t="shared" si="21"/>
        <v>1.0000001388580566</v>
      </c>
      <c r="N73" s="3">
        <f t="shared" si="8"/>
        <v>1.3885805660862616E-7</v>
      </c>
      <c r="Q73" s="4">
        <f t="shared" si="9"/>
        <v>8.3262362180178808</v>
      </c>
      <c r="R73" s="3">
        <f t="shared" si="11"/>
        <v>1.7106684855857739</v>
      </c>
      <c r="S73">
        <v>1</v>
      </c>
      <c r="T73" s="3">
        <v>3.8226664051999997</v>
      </c>
    </row>
    <row r="74" spans="2:21" x14ac:dyDescent="0.25">
      <c r="B74" s="3">
        <f t="shared" si="15"/>
        <v>30.167174310499998</v>
      </c>
      <c r="C74">
        <f t="shared" ref="C74:E74" si="25">C20</f>
        <v>9</v>
      </c>
      <c r="D74" s="3">
        <f t="shared" si="25"/>
        <v>0.56827828020295101</v>
      </c>
      <c r="E74" s="3">
        <f t="shared" si="25"/>
        <v>0.54993556281907996</v>
      </c>
      <c r="F74" s="3">
        <f t="shared" si="17"/>
        <v>0.41144025851441901</v>
      </c>
      <c r="I74" s="4">
        <f t="shared" si="18"/>
        <v>9</v>
      </c>
      <c r="J74" s="3">
        <v>1.1324428759006593</v>
      </c>
      <c r="K74" s="2">
        <f t="shared" si="19"/>
        <v>0.56827827921992624</v>
      </c>
      <c r="L74" s="3">
        <f t="shared" si="20"/>
        <v>0.56827828020295101</v>
      </c>
      <c r="M74" s="3">
        <f t="shared" si="21"/>
        <v>1.0000000017298298</v>
      </c>
      <c r="N74" s="3">
        <f t="shared" si="8"/>
        <v>1.7298298349288643E-9</v>
      </c>
      <c r="Q74" s="4">
        <f t="shared" si="9"/>
        <v>8.8166009423200293</v>
      </c>
      <c r="R74" s="3">
        <f t="shared" si="11"/>
        <v>1.1324428759006593</v>
      </c>
      <c r="S74" s="6">
        <v>1</v>
      </c>
      <c r="T74" s="3">
        <v>30.167174310499998</v>
      </c>
    </row>
    <row r="75" spans="2:21" x14ac:dyDescent="0.25">
      <c r="B75" s="3">
        <f t="shared" si="15"/>
        <v>99.173880275800002</v>
      </c>
      <c r="C75">
        <f t="shared" ref="C75:E75" si="26">C21</f>
        <v>9.5</v>
      </c>
      <c r="D75" s="3">
        <f t="shared" si="26"/>
        <v>0.58566498466514805</v>
      </c>
      <c r="E75" s="3">
        <f t="shared" si="26"/>
        <v>0.56527827498852301</v>
      </c>
      <c r="F75" s="3">
        <f t="shared" si="17"/>
        <v>0.41530046680524202</v>
      </c>
      <c r="I75" s="4">
        <f t="shared" si="18"/>
        <v>9.5</v>
      </c>
      <c r="J75" s="3">
        <v>1.1359314601064614</v>
      </c>
      <c r="K75" s="2">
        <f t="shared" si="19"/>
        <v>0.58566497743844326</v>
      </c>
      <c r="L75" s="3">
        <f t="shared" si="20"/>
        <v>0.58566498466514805</v>
      </c>
      <c r="M75" s="3">
        <f t="shared" si="21"/>
        <v>1.0000000123393153</v>
      </c>
      <c r="N75" s="3">
        <f t="shared" si="8"/>
        <v>1.233931534727617E-8</v>
      </c>
      <c r="Q75" s="4">
        <f t="shared" si="9"/>
        <v>9.2526377233538</v>
      </c>
      <c r="R75" s="3">
        <f t="shared" si="11"/>
        <v>1.1359314601064614</v>
      </c>
      <c r="S75">
        <v>1</v>
      </c>
      <c r="T75" s="3">
        <v>99.173880275800002</v>
      </c>
    </row>
    <row r="76" spans="2:21" x14ac:dyDescent="0.25">
      <c r="B76" s="3">
        <f t="shared" si="15"/>
        <v>64.012013313200001</v>
      </c>
      <c r="C76">
        <f t="shared" ref="C76:E76" si="27">C22</f>
        <v>10</v>
      </c>
      <c r="D76" s="3">
        <f t="shared" si="27"/>
        <v>0.60876212253380801</v>
      </c>
      <c r="E76" s="3">
        <f t="shared" si="27"/>
        <v>0.58414904861162897</v>
      </c>
      <c r="F76" s="3">
        <f t="shared" si="17"/>
        <v>0.41903987221386002</v>
      </c>
      <c r="I76" s="4">
        <f t="shared" si="18"/>
        <v>10</v>
      </c>
      <c r="J76" s="3">
        <v>1.1490715154636792</v>
      </c>
      <c r="K76" s="2">
        <f t="shared" si="19"/>
        <v>0.60876212375420424</v>
      </c>
      <c r="L76" s="3">
        <f t="shared" si="20"/>
        <v>0.60876212253380801</v>
      </c>
      <c r="M76" s="3">
        <f t="shared" si="21"/>
        <v>0.99999999799528227</v>
      </c>
      <c r="N76" s="3">
        <f t="shared" si="8"/>
        <v>2.0047177251569792E-9</v>
      </c>
      <c r="Q76" s="4">
        <f t="shared" si="9"/>
        <v>9.7167889717754594</v>
      </c>
      <c r="R76" s="3">
        <f t="shared" si="11"/>
        <v>1.1490715154636792</v>
      </c>
      <c r="S76">
        <v>1</v>
      </c>
      <c r="T76" s="3">
        <v>64.012013313200001</v>
      </c>
    </row>
    <row r="77" spans="2:21" x14ac:dyDescent="0.25">
      <c r="B77" s="3">
        <f t="shared" si="15"/>
        <v>21.7518816814</v>
      </c>
      <c r="C77">
        <f t="shared" ref="C77:E77" si="28">C23</f>
        <v>10.5</v>
      </c>
      <c r="D77" s="3">
        <f t="shared" si="28"/>
        <v>0.53473907063923798</v>
      </c>
      <c r="E77" s="3">
        <f t="shared" si="28"/>
        <v>0.57486199920394698</v>
      </c>
      <c r="F77" s="3">
        <f t="shared" si="17"/>
        <v>0.40887376641938999</v>
      </c>
      <c r="I77" s="4">
        <f t="shared" si="18"/>
        <v>10.5</v>
      </c>
      <c r="J77" s="3">
        <v>0.75827779571593568</v>
      </c>
      <c r="K77" s="2">
        <f t="shared" si="19"/>
        <v>0.53473895769004753</v>
      </c>
      <c r="L77" s="3">
        <f t="shared" si="20"/>
        <v>0.53473907063923798</v>
      </c>
      <c r="M77" s="3">
        <f t="shared" si="21"/>
        <v>1.0000002112230442</v>
      </c>
      <c r="N77" s="3">
        <f t="shared" si="8"/>
        <v>2.112230441664309E-7</v>
      </c>
      <c r="Q77" s="4">
        <f t="shared" si="9"/>
        <v>10.215295781427301</v>
      </c>
      <c r="R77" s="3">
        <f t="shared" si="11"/>
        <v>0.75827779571593568</v>
      </c>
      <c r="S77">
        <v>1</v>
      </c>
      <c r="T77" s="3">
        <v>21.7518816814</v>
      </c>
    </row>
    <row r="78" spans="2:21" x14ac:dyDescent="0.25">
      <c r="B78" s="3">
        <f t="shared" si="15"/>
        <v>37.603772449600001</v>
      </c>
      <c r="C78">
        <f t="shared" ref="C78:E78" si="29">C24</f>
        <v>11</v>
      </c>
      <c r="D78" s="3">
        <f t="shared" si="29"/>
        <v>0.48596579328994699</v>
      </c>
      <c r="E78" s="3">
        <f t="shared" si="29"/>
        <v>0.54025277821787399</v>
      </c>
      <c r="F78" s="3">
        <f t="shared" si="17"/>
        <v>0.37892270670575801</v>
      </c>
      <c r="I78" s="4">
        <f t="shared" si="18"/>
        <v>11</v>
      </c>
      <c r="J78" s="3">
        <v>0.66350290513029309</v>
      </c>
      <c r="K78" s="2">
        <f t="shared" si="19"/>
        <v>0.48596567783892491</v>
      </c>
      <c r="L78" s="3">
        <f t="shared" si="20"/>
        <v>0.48596579328994699</v>
      </c>
      <c r="M78" s="3">
        <f t="shared" si="21"/>
        <v>1.000000237570321</v>
      </c>
      <c r="N78" s="3">
        <f t="shared" si="8"/>
        <v>2.3757032097115882E-7</v>
      </c>
      <c r="Q78" s="4">
        <f t="shared" si="9"/>
        <v>10.9596895731171</v>
      </c>
      <c r="R78" s="3">
        <f t="shared" si="11"/>
        <v>0.66350290513029309</v>
      </c>
      <c r="S78">
        <v>1</v>
      </c>
      <c r="T78" s="3">
        <v>37.603772449600001</v>
      </c>
    </row>
  </sheetData>
  <conditionalFormatting sqref="B56:B7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{9598B575-DE0D-4CE7-8E45-BF10F327AB4D}</x14:id>
        </ext>
      </extLst>
    </cfRule>
  </conditionalFormatting>
  <conditionalFormatting sqref="T56:T7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{0B9F4229-0DF9-40E2-BE0C-BA2763DE5388}</x14:id>
        </ext>
      </extLst>
    </cfRule>
  </conditionalFormatting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8B575-DE0D-4CE7-8E45-BF10F327AB4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B56:B78</xm:sqref>
        </x14:conditionalFormatting>
        <x14:conditionalFormatting xmlns:xm="http://schemas.microsoft.com/office/excel/2006/main">
          <x14:cfRule type="dataBar" id="{0B9F4229-0DF9-40E2-BE0C-BA2763DE53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T56:T78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54"/>
  <sheetViews>
    <sheetView workbookViewId="0">
      <selection activeCell="B3" sqref="B3"/>
    </sheetView>
  </sheetViews>
  <sheetFormatPr defaultRowHeight="15" x14ac:dyDescent="0.25"/>
  <cols>
    <col min="1" max="2" width="16.28515625" bestFit="1" customWidth="1"/>
    <col min="3" max="3" width="12.7109375" customWidth="1"/>
    <col min="4" max="4" width="11.140625" customWidth="1"/>
    <col min="5" max="5" width="12" bestFit="1" customWidth="1"/>
    <col min="14" max="14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 t="s">
        <v>56</v>
      </c>
      <c r="C2">
        <v>5.2</v>
      </c>
      <c r="D2">
        <v>0.55788943546803205</v>
      </c>
      <c r="E2">
        <v>0.63645194931734805</v>
      </c>
      <c r="F2">
        <v>6.4930269220105403</v>
      </c>
      <c r="G2">
        <v>7.3756678587909104</v>
      </c>
      <c r="H2">
        <v>0.87656175154529503</v>
      </c>
      <c r="I2">
        <v>7.8562513849316104E-2</v>
      </c>
      <c r="J2">
        <v>4.04826918828666E-2</v>
      </c>
      <c r="K2">
        <v>7.2855515813814199E-3</v>
      </c>
      <c r="L2">
        <v>5.2803007049440802E-4</v>
      </c>
      <c r="M2">
        <v>0.58200386473660704</v>
      </c>
      <c r="N2">
        <v>6.1518110459984699E-3</v>
      </c>
      <c r="O2">
        <v>0</v>
      </c>
      <c r="P2">
        <v>21.2110428187815</v>
      </c>
      <c r="Q2">
        <v>78.788957181218507</v>
      </c>
      <c r="R2">
        <v>45.998974285987003</v>
      </c>
      <c r="S2">
        <v>30.315053152552199</v>
      </c>
      <c r="T2">
        <v>23.685972561460702</v>
      </c>
      <c r="U2">
        <v>0</v>
      </c>
      <c r="V2">
        <v>54.001025714012997</v>
      </c>
      <c r="W2">
        <v>0.36072275727639602</v>
      </c>
      <c r="X2">
        <v>-46.715321021276203</v>
      </c>
      <c r="Y2">
        <v>124.841870290451</v>
      </c>
      <c r="Z2">
        <v>100</v>
      </c>
      <c r="AA2">
        <v>60.099422845670702</v>
      </c>
      <c r="AB2">
        <v>308.71521660943699</v>
      </c>
      <c r="AC2">
        <v>308.00378746574802</v>
      </c>
      <c r="AD2">
        <v>19.2373343038599</v>
      </c>
      <c r="AE2">
        <v>332.69233530989499</v>
      </c>
      <c r="AF2">
        <v>3.60700402534447</v>
      </c>
      <c r="AG2">
        <v>772.79392785856498</v>
      </c>
      <c r="AH2">
        <v>3.6802765639559798</v>
      </c>
      <c r="AI2">
        <v>45.4143824482395</v>
      </c>
      <c r="AJ2">
        <v>174.418962063734</v>
      </c>
      <c r="AK2">
        <v>23.114181695389298</v>
      </c>
      <c r="AL2">
        <v>-34.117854176792598</v>
      </c>
      <c r="AM2">
        <v>5.11156055533983</v>
      </c>
      <c r="AN2">
        <v>8.3666817645498295</v>
      </c>
      <c r="AO2">
        <v>0.9</v>
      </c>
      <c r="AP2">
        <v>1.2804263986870399</v>
      </c>
      <c r="AQ2">
        <v>1.18971476570083</v>
      </c>
      <c r="AR2">
        <v>1.27077149919562</v>
      </c>
      <c r="AS2">
        <v>0.99803588434464896</v>
      </c>
      <c r="AT2">
        <v>0.85190838046191497</v>
      </c>
      <c r="AU2">
        <v>0.85345508152870098</v>
      </c>
      <c r="AV2">
        <v>1</v>
      </c>
      <c r="AW2">
        <v>0.98256164403576995</v>
      </c>
      <c r="AX2">
        <v>1</v>
      </c>
      <c r="AY2">
        <v>1</v>
      </c>
      <c r="AZ2">
        <v>0.92979866657178301</v>
      </c>
      <c r="BA2">
        <v>1</v>
      </c>
      <c r="BB2">
        <v>1.0678019758655299</v>
      </c>
      <c r="BC2">
        <v>296836931.30000001</v>
      </c>
      <c r="BD2">
        <v>9.0414634225183102E-2</v>
      </c>
      <c r="BE2">
        <v>742</v>
      </c>
    </row>
    <row r="3" spans="1:57" x14ac:dyDescent="0.25">
      <c r="A3">
        <v>2</v>
      </c>
      <c r="B3" t="s">
        <v>56</v>
      </c>
      <c r="C3">
        <v>5.4</v>
      </c>
      <c r="D3">
        <v>0.44527121448865398</v>
      </c>
      <c r="E3">
        <v>0.61752942792655696</v>
      </c>
      <c r="F3">
        <v>5.2143216051788501</v>
      </c>
      <c r="G3">
        <v>7.1637765310374002</v>
      </c>
      <c r="H3">
        <v>0.72105262413763205</v>
      </c>
      <c r="I3">
        <v>0.17225821343790301</v>
      </c>
      <c r="J3">
        <v>3.7782595527614198E-2</v>
      </c>
      <c r="K3">
        <v>1.0314418786258901E-2</v>
      </c>
      <c r="L3">
        <v>1.41938308221912E-4</v>
      </c>
      <c r="M3">
        <v>0.56522952403704196</v>
      </c>
      <c r="N3">
        <v>4.0609512674193498E-3</v>
      </c>
      <c r="O3">
        <v>0</v>
      </c>
      <c r="P3">
        <v>10.567388064319999</v>
      </c>
      <c r="Q3">
        <v>89.432611935680001</v>
      </c>
      <c r="R3">
        <v>70.840991137756802</v>
      </c>
      <c r="S3">
        <v>17.700026906249199</v>
      </c>
      <c r="T3">
        <v>11.458981955994</v>
      </c>
      <c r="U3">
        <v>0</v>
      </c>
      <c r="V3">
        <v>29.159008862243201</v>
      </c>
      <c r="W3">
        <v>0.49782011024110301</v>
      </c>
      <c r="X3">
        <v>-47.683705782498997</v>
      </c>
      <c r="Y3">
        <v>106.493712184624</v>
      </c>
      <c r="Z3">
        <v>100</v>
      </c>
      <c r="AA3">
        <v>66.434939185209203</v>
      </c>
      <c r="AB3">
        <v>288.42782531418197</v>
      </c>
      <c r="AC3">
        <v>286.60531888493898</v>
      </c>
      <c r="AD3">
        <v>19.9724084056888</v>
      </c>
      <c r="AE3">
        <v>336.177807321996</v>
      </c>
      <c r="AF3">
        <v>3.6421001042498502</v>
      </c>
      <c r="AG3">
        <v>778.98474293689696</v>
      </c>
      <c r="AH3">
        <v>2.7937174934028102</v>
      </c>
      <c r="AI3">
        <v>47.793076952476703</v>
      </c>
      <c r="AJ3">
        <v>177.04393243023699</v>
      </c>
      <c r="AK3">
        <v>21.7178279336561</v>
      </c>
      <c r="AL3">
        <v>-27.293443306704798</v>
      </c>
      <c r="AM3">
        <v>5.32027965414939</v>
      </c>
      <c r="AN3">
        <v>9.0435409003279403</v>
      </c>
      <c r="AO3">
        <v>0.9</v>
      </c>
      <c r="AP3">
        <v>1.28397501315701</v>
      </c>
      <c r="AQ3">
        <v>1.22783931240449</v>
      </c>
      <c r="AR3">
        <v>1.2734093281643999</v>
      </c>
      <c r="AS3">
        <v>0.99439369177284398</v>
      </c>
      <c r="AT3">
        <v>0.87153982341471103</v>
      </c>
      <c r="AU3">
        <v>0.84167180854188595</v>
      </c>
      <c r="AV3">
        <v>1</v>
      </c>
      <c r="AW3">
        <v>0.99497350000173301</v>
      </c>
      <c r="AX3">
        <v>1</v>
      </c>
      <c r="AY3">
        <v>1</v>
      </c>
      <c r="AZ3">
        <v>0.96209328847908404</v>
      </c>
      <c r="BA3">
        <v>1</v>
      </c>
      <c r="BB3">
        <v>1.01333896995191</v>
      </c>
      <c r="BC3">
        <v>1099727419.8</v>
      </c>
      <c r="BD3">
        <v>6.0664980367533997E-2</v>
      </c>
      <c r="BE3">
        <v>999</v>
      </c>
    </row>
    <row r="4" spans="1:57" x14ac:dyDescent="0.25">
      <c r="A4">
        <v>3</v>
      </c>
      <c r="B4" t="s">
        <v>56</v>
      </c>
      <c r="C4">
        <v>5.6</v>
      </c>
      <c r="D4">
        <v>0.35830259151903099</v>
      </c>
      <c r="E4">
        <v>0.63249926352056496</v>
      </c>
      <c r="F4">
        <v>4.2159036747217504</v>
      </c>
      <c r="G4">
        <v>7.3314429893392301</v>
      </c>
      <c r="H4">
        <v>0.56648697031626005</v>
      </c>
      <c r="I4">
        <v>0.27419667200153403</v>
      </c>
      <c r="J4">
        <v>3.6916070816214001E-2</v>
      </c>
      <c r="K4">
        <v>1.08785901583869E-2</v>
      </c>
      <c r="L4">
        <v>1.5579096267084901E-4</v>
      </c>
      <c r="M4">
        <v>0.58169300989633699</v>
      </c>
      <c r="N4">
        <v>2.85580168695588E-3</v>
      </c>
      <c r="O4">
        <v>0</v>
      </c>
      <c r="P4">
        <v>9.5710905824575292</v>
      </c>
      <c r="Q4">
        <v>90.428909417542499</v>
      </c>
      <c r="R4">
        <v>72.0394928269492</v>
      </c>
      <c r="S4">
        <v>13.9397839524628</v>
      </c>
      <c r="T4">
        <v>14.020723220588</v>
      </c>
      <c r="U4">
        <v>0</v>
      </c>
      <c r="V4">
        <v>27.9605071730508</v>
      </c>
      <c r="W4">
        <v>0.52482649576673801</v>
      </c>
      <c r="X4">
        <v>-57.879208845597503</v>
      </c>
      <c r="Y4">
        <v>89.953881385011798</v>
      </c>
      <c r="Z4">
        <v>100</v>
      </c>
      <c r="AA4">
        <v>67.899963803411396</v>
      </c>
      <c r="AB4">
        <v>285.57455237315997</v>
      </c>
      <c r="AC4">
        <v>283.43525810785502</v>
      </c>
      <c r="AD4">
        <v>19.898632239057601</v>
      </c>
      <c r="AE4">
        <v>337.58686196505499</v>
      </c>
      <c r="AF4">
        <v>3.6142717532408102</v>
      </c>
      <c r="AG4">
        <v>777.84074953305696</v>
      </c>
      <c r="AH4">
        <v>2.36150865275382</v>
      </c>
      <c r="AI4">
        <v>46.081686191726803</v>
      </c>
      <c r="AJ4">
        <v>177.43310612165999</v>
      </c>
      <c r="AK4">
        <v>18.6700059570693</v>
      </c>
      <c r="AL4">
        <v>-22.339977913334799</v>
      </c>
      <c r="AM4">
        <v>5.4969553071861297</v>
      </c>
      <c r="AN4">
        <v>9.3070551835614896</v>
      </c>
      <c r="AO4">
        <v>0.9</v>
      </c>
      <c r="AP4">
        <v>1.2863055433364401</v>
      </c>
      <c r="AQ4">
        <v>1.2316330019662201</v>
      </c>
      <c r="AR4">
        <v>1.23471826187157</v>
      </c>
      <c r="AS4">
        <v>0.99374575865426895</v>
      </c>
      <c r="AT4">
        <v>0.87375928729443497</v>
      </c>
      <c r="AU4">
        <v>0.84398805962552903</v>
      </c>
      <c r="AV4">
        <v>1</v>
      </c>
      <c r="AW4">
        <v>1.00560735470413</v>
      </c>
      <c r="AX4">
        <v>1</v>
      </c>
      <c r="AY4">
        <v>1</v>
      </c>
      <c r="AZ4">
        <v>0.963651340675034</v>
      </c>
      <c r="BA4">
        <v>1</v>
      </c>
      <c r="BB4">
        <v>1.00048181445143</v>
      </c>
      <c r="BC4">
        <v>1742807332.8</v>
      </c>
      <c r="BD4">
        <v>7.2196615758626001E-2</v>
      </c>
      <c r="BE4">
        <v>1026</v>
      </c>
    </row>
    <row r="5" spans="1:57" x14ac:dyDescent="0.25">
      <c r="A5">
        <v>4</v>
      </c>
      <c r="B5" t="s">
        <v>56</v>
      </c>
      <c r="C5">
        <v>5.8</v>
      </c>
      <c r="D5">
        <v>0.44266188436632797</v>
      </c>
      <c r="E5">
        <v>0.57976035164490203</v>
      </c>
      <c r="F5">
        <v>5.1845053079058001</v>
      </c>
      <c r="G5">
        <v>6.7395153931831402</v>
      </c>
      <c r="H5">
        <v>0.76352562418317105</v>
      </c>
      <c r="I5">
        <v>0.137098467278574</v>
      </c>
      <c r="J5">
        <v>3.8013628758684297E-2</v>
      </c>
      <c r="K5">
        <v>6.7457163430697104E-3</v>
      </c>
      <c r="L5">
        <v>4.1985014345964102E-4</v>
      </c>
      <c r="M5">
        <v>0.526670200726016</v>
      </c>
      <c r="N5">
        <v>7.9109556736719506E-3</v>
      </c>
      <c r="O5">
        <v>0</v>
      </c>
      <c r="P5">
        <v>18.344726903461499</v>
      </c>
      <c r="Q5">
        <v>81.655273096538494</v>
      </c>
      <c r="R5">
        <v>39.301636172923203</v>
      </c>
      <c r="S5">
        <v>37.459339593288</v>
      </c>
      <c r="T5">
        <v>23.2390242337888</v>
      </c>
      <c r="U5">
        <v>0</v>
      </c>
      <c r="V5">
        <v>60.698363827076797</v>
      </c>
      <c r="W5">
        <v>0.366466820767688</v>
      </c>
      <c r="X5">
        <v>-48.039831934128799</v>
      </c>
      <c r="Y5">
        <v>95.803979696679903</v>
      </c>
      <c r="Z5">
        <v>100</v>
      </c>
      <c r="AA5">
        <v>60.201859075238403</v>
      </c>
      <c r="AB5">
        <v>321.26089510923902</v>
      </c>
      <c r="AC5">
        <v>320.11034749492399</v>
      </c>
      <c r="AD5">
        <v>15.3525136150415</v>
      </c>
      <c r="AE5">
        <v>339.40321119716799</v>
      </c>
      <c r="AF5">
        <v>3.61181754004234</v>
      </c>
      <c r="AG5">
        <v>774.03064964131602</v>
      </c>
      <c r="AH5">
        <v>5.6114542154338896</v>
      </c>
      <c r="AI5">
        <v>49.706406992882499</v>
      </c>
      <c r="AJ5">
        <v>174.49419504911401</v>
      </c>
      <c r="AK5">
        <v>22.591459388113801</v>
      </c>
      <c r="AL5">
        <v>-25.599270055881998</v>
      </c>
      <c r="AM5">
        <v>5.7027016792610699</v>
      </c>
      <c r="AN5">
        <v>7.4124140235171199</v>
      </c>
      <c r="AO5">
        <v>0.9</v>
      </c>
      <c r="AP5">
        <v>1.28831223765446</v>
      </c>
      <c r="AQ5">
        <v>1.12272705176231</v>
      </c>
      <c r="AR5">
        <v>1.26260869655476</v>
      </c>
      <c r="AS5">
        <v>0.99792340398023105</v>
      </c>
      <c r="AT5">
        <v>0.838772529120139</v>
      </c>
      <c r="AU5">
        <v>0.85141423949389305</v>
      </c>
      <c r="AV5">
        <v>1</v>
      </c>
      <c r="AW5">
        <v>0.99912405729213805</v>
      </c>
      <c r="AX5">
        <v>1</v>
      </c>
      <c r="AY5">
        <v>1</v>
      </c>
      <c r="AZ5">
        <v>0.92109212702480003</v>
      </c>
      <c r="BA5">
        <v>1</v>
      </c>
      <c r="BB5">
        <v>1.0526880396021101</v>
      </c>
      <c r="BC5">
        <v>791574595.60000002</v>
      </c>
      <c r="BD5">
        <v>6.2735567925261498E-2</v>
      </c>
      <c r="BE5">
        <v>992</v>
      </c>
    </row>
    <row r="6" spans="1:57" x14ac:dyDescent="0.25">
      <c r="A6">
        <v>5</v>
      </c>
      <c r="B6" t="s">
        <v>56</v>
      </c>
      <c r="C6">
        <v>6</v>
      </c>
      <c r="D6">
        <v>0.51889020945515596</v>
      </c>
      <c r="E6">
        <v>0.50296368759933796</v>
      </c>
      <c r="F6">
        <v>6.0520174848959298</v>
      </c>
      <c r="G6">
        <v>5.8713701874480098</v>
      </c>
      <c r="H6">
        <v>1.0316653512937199</v>
      </c>
      <c r="I6">
        <v>-1.5926521855817801E-2</v>
      </c>
      <c r="J6">
        <v>3.7374948292611197E-2</v>
      </c>
      <c r="K6">
        <v>4.3760869367509897E-3</v>
      </c>
      <c r="L6">
        <v>3.8411622595377597E-4</v>
      </c>
      <c r="M6">
        <v>0.45314406512446198</v>
      </c>
      <c r="N6">
        <v>7.6844710195601096E-3</v>
      </c>
      <c r="O6">
        <v>0</v>
      </c>
      <c r="P6">
        <v>11.706816876568499</v>
      </c>
      <c r="Q6">
        <v>88.293183123431504</v>
      </c>
      <c r="R6">
        <v>23.855774612459399</v>
      </c>
      <c r="S6">
        <v>45.132362420709804</v>
      </c>
      <c r="T6">
        <v>31.011862966830801</v>
      </c>
      <c r="U6">
        <v>0</v>
      </c>
      <c r="V6">
        <v>76.144225387540601</v>
      </c>
      <c r="W6">
        <v>0.27158242340522099</v>
      </c>
      <c r="X6">
        <v>-47.673825041995698</v>
      </c>
      <c r="Y6">
        <v>84.052293690655603</v>
      </c>
      <c r="Z6">
        <v>100</v>
      </c>
      <c r="AA6">
        <v>53.714532814233401</v>
      </c>
      <c r="AB6">
        <v>321.48116766105801</v>
      </c>
      <c r="AC6">
        <v>320.10702243693402</v>
      </c>
      <c r="AD6">
        <v>12.213557976439199</v>
      </c>
      <c r="AE6">
        <v>342.24743297425698</v>
      </c>
      <c r="AF6">
        <v>3.5563632111299199</v>
      </c>
      <c r="AG6">
        <v>778.08807048758001</v>
      </c>
      <c r="AH6">
        <v>6.0605032950147004</v>
      </c>
      <c r="AI6">
        <v>48.776845271933901</v>
      </c>
      <c r="AJ6">
        <v>172.44631929115801</v>
      </c>
      <c r="AK6">
        <v>24.673643062214101</v>
      </c>
      <c r="AL6">
        <v>-29.581658414549398</v>
      </c>
      <c r="AM6">
        <v>5.9154735192796997</v>
      </c>
      <c r="AN6">
        <v>6.09158278498602</v>
      </c>
      <c r="AO6">
        <v>0.9</v>
      </c>
      <c r="AP6">
        <v>1.28973536390299</v>
      </c>
      <c r="AQ6">
        <v>1.0504426122569399</v>
      </c>
      <c r="AR6">
        <v>1.26660379949457</v>
      </c>
      <c r="AS6">
        <v>1.00068426283566</v>
      </c>
      <c r="AT6">
        <v>0.83867026227295405</v>
      </c>
      <c r="AU6">
        <v>0.84347812567438296</v>
      </c>
      <c r="AV6">
        <v>1</v>
      </c>
      <c r="AW6">
        <v>0.99091196446106999</v>
      </c>
      <c r="AX6">
        <v>1</v>
      </c>
      <c r="AY6">
        <v>1</v>
      </c>
      <c r="AZ6">
        <v>0.90101250699619695</v>
      </c>
      <c r="BA6">
        <v>1</v>
      </c>
      <c r="BB6">
        <v>1.0334024248050799</v>
      </c>
      <c r="BC6">
        <v>2059932464.5</v>
      </c>
      <c r="BD6">
        <v>7.7913159991584005E-2</v>
      </c>
      <c r="BE6">
        <v>1560</v>
      </c>
    </row>
    <row r="7" spans="1:57" x14ac:dyDescent="0.25">
      <c r="A7">
        <v>6</v>
      </c>
      <c r="B7" t="s">
        <v>56</v>
      </c>
      <c r="C7">
        <v>6.2</v>
      </c>
      <c r="D7">
        <v>0.46088523509278101</v>
      </c>
      <c r="E7">
        <v>0.507104874003385</v>
      </c>
      <c r="F7">
        <v>5.3925603971164202</v>
      </c>
      <c r="G7">
        <v>5.9183723892630802</v>
      </c>
      <c r="H7">
        <v>0.90885585747634601</v>
      </c>
      <c r="I7">
        <v>4.6219638910603898E-2</v>
      </c>
      <c r="J7">
        <v>3.6345088705701599E-2</v>
      </c>
      <c r="K7">
        <v>5.4204667504198301E-3</v>
      </c>
      <c r="L7">
        <v>4.8789432891734302E-4</v>
      </c>
      <c r="M7">
        <v>0.45848166262067402</v>
      </c>
      <c r="N7">
        <v>6.36976159767174E-3</v>
      </c>
      <c r="O7">
        <v>0</v>
      </c>
      <c r="P7">
        <v>6.5587099307013697</v>
      </c>
      <c r="Q7">
        <v>93.441290069298603</v>
      </c>
      <c r="R7">
        <v>32.440580736211899</v>
      </c>
      <c r="S7">
        <v>44.071912023392997</v>
      </c>
      <c r="T7">
        <v>23.4875072403952</v>
      </c>
      <c r="U7">
        <v>0</v>
      </c>
      <c r="V7">
        <v>67.559419263788101</v>
      </c>
      <c r="W7">
        <v>0.32776324394649498</v>
      </c>
      <c r="X7">
        <v>-49.312158739565199</v>
      </c>
      <c r="Y7">
        <v>73.549044712249895</v>
      </c>
      <c r="Z7">
        <v>100</v>
      </c>
      <c r="AA7">
        <v>63.272777037983197</v>
      </c>
      <c r="AB7">
        <v>306.226225126016</v>
      </c>
      <c r="AC7">
        <v>304.373525615294</v>
      </c>
      <c r="AD7">
        <v>12.6187780900164</v>
      </c>
      <c r="AE7">
        <v>343.579695875982</v>
      </c>
      <c r="AF7">
        <v>3.58506849645764</v>
      </c>
      <c r="AG7">
        <v>779.809707917276</v>
      </c>
      <c r="AH7">
        <v>6.4891098414056101</v>
      </c>
      <c r="AI7">
        <v>47.5711305553274</v>
      </c>
      <c r="AJ7">
        <v>173.917447152016</v>
      </c>
      <c r="AK7">
        <v>23.409762865551698</v>
      </c>
      <c r="AL7">
        <v>-27.777419270693699</v>
      </c>
      <c r="AM7">
        <v>6.1157638619052603</v>
      </c>
      <c r="AN7">
        <v>6.5062072121017902</v>
      </c>
      <c r="AO7">
        <v>0.9</v>
      </c>
      <c r="AP7">
        <v>1.2905487943960301</v>
      </c>
      <c r="AQ7">
        <v>1.06914498385861</v>
      </c>
      <c r="AR7">
        <v>1.2582292372680199</v>
      </c>
      <c r="AS7">
        <v>0.99673394348457001</v>
      </c>
      <c r="AT7">
        <v>0.85312441601496003</v>
      </c>
      <c r="AU7">
        <v>0.84015479929710202</v>
      </c>
      <c r="AV7">
        <v>1</v>
      </c>
      <c r="AW7">
        <v>0.99417691807370101</v>
      </c>
      <c r="AX7">
        <v>1</v>
      </c>
      <c r="AY7">
        <v>1</v>
      </c>
      <c r="AZ7">
        <v>0.91217275495707595</v>
      </c>
      <c r="BA7">
        <v>1</v>
      </c>
      <c r="BB7">
        <v>1.0062440043566701</v>
      </c>
      <c r="BC7">
        <v>6531709272.5</v>
      </c>
      <c r="BD7">
        <v>6.8689821137691606E-2</v>
      </c>
      <c r="BE7">
        <v>1925</v>
      </c>
    </row>
    <row r="8" spans="1:57" x14ac:dyDescent="0.25">
      <c r="A8">
        <v>7</v>
      </c>
      <c r="B8" t="s">
        <v>56</v>
      </c>
      <c r="C8">
        <v>6.4</v>
      </c>
      <c r="D8">
        <v>0.41215412159475101</v>
      </c>
      <c r="E8">
        <v>0.53446316535235605</v>
      </c>
      <c r="F8">
        <v>4.8352606828157603</v>
      </c>
      <c r="G8">
        <v>6.2283470968304897</v>
      </c>
      <c r="H8">
        <v>0.77115533550947302</v>
      </c>
      <c r="I8">
        <v>0.122309043757605</v>
      </c>
      <c r="J8">
        <v>3.59697409072601E-2</v>
      </c>
      <c r="K8">
        <v>5.81141158678558E-3</v>
      </c>
      <c r="L8">
        <v>3.9262916976157602E-4</v>
      </c>
      <c r="M8">
        <v>0.48783953821162401</v>
      </c>
      <c r="N8">
        <v>4.44984547692531E-3</v>
      </c>
      <c r="O8">
        <v>0</v>
      </c>
      <c r="P8">
        <v>5.9976541076902201</v>
      </c>
      <c r="Q8">
        <v>94.002345892309805</v>
      </c>
      <c r="R8">
        <v>53.152914359698798</v>
      </c>
      <c r="S8">
        <v>30.282146006411399</v>
      </c>
      <c r="T8">
        <v>16.5649396338899</v>
      </c>
      <c r="U8">
        <v>0</v>
      </c>
      <c r="V8">
        <v>46.847085640301202</v>
      </c>
      <c r="W8">
        <v>0.347710741020548</v>
      </c>
      <c r="X8">
        <v>-47.3855433352985</v>
      </c>
      <c r="Y8">
        <v>56.1007009281916</v>
      </c>
      <c r="Z8">
        <v>100</v>
      </c>
      <c r="AA8">
        <v>68.361154376014596</v>
      </c>
      <c r="AB8">
        <v>283.77319685210603</v>
      </c>
      <c r="AC8">
        <v>281.66547183020202</v>
      </c>
      <c r="AD8">
        <v>12.7319575876258</v>
      </c>
      <c r="AE8">
        <v>343.992714431374</v>
      </c>
      <c r="AF8">
        <v>3.6159755011789301</v>
      </c>
      <c r="AG8">
        <v>779.90970943165701</v>
      </c>
      <c r="AH8">
        <v>5.2011806994580096</v>
      </c>
      <c r="AI8">
        <v>47.452551217236298</v>
      </c>
      <c r="AJ8">
        <v>175.224790528938</v>
      </c>
      <c r="AK8">
        <v>23.1337475129877</v>
      </c>
      <c r="AL8">
        <v>-27.1509284874572</v>
      </c>
      <c r="AM8">
        <v>6.3093909211142902</v>
      </c>
      <c r="AN8">
        <v>6.7751094167573802</v>
      </c>
      <c r="AO8">
        <v>0.9</v>
      </c>
      <c r="AP8">
        <v>1.29094137180642</v>
      </c>
      <c r="AQ8">
        <v>1.0772816066812301</v>
      </c>
      <c r="AR8">
        <v>1.2658732785796201</v>
      </c>
      <c r="AS8">
        <v>0.99378644895790602</v>
      </c>
      <c r="AT8">
        <v>0.875913327602722</v>
      </c>
      <c r="AU8">
        <v>0.84003305584294896</v>
      </c>
      <c r="AV8">
        <v>1</v>
      </c>
      <c r="AW8">
        <v>0.99546135779088596</v>
      </c>
      <c r="AX8">
        <v>1</v>
      </c>
      <c r="AY8">
        <v>1</v>
      </c>
      <c r="AZ8">
        <v>0.93909878866760799</v>
      </c>
      <c r="BA8">
        <v>1</v>
      </c>
      <c r="BB8">
        <v>0.99223032159589797</v>
      </c>
      <c r="BC8">
        <v>22009636071</v>
      </c>
      <c r="BD8">
        <v>3.78361900871318E-2</v>
      </c>
      <c r="BE8">
        <v>3172</v>
      </c>
    </row>
    <row r="9" spans="1:57" x14ac:dyDescent="0.25">
      <c r="A9">
        <v>8</v>
      </c>
      <c r="B9" t="s">
        <v>56</v>
      </c>
      <c r="C9">
        <v>6.6</v>
      </c>
      <c r="D9">
        <v>0.48630309823839901</v>
      </c>
      <c r="E9">
        <v>0.55835456515974602</v>
      </c>
      <c r="F9">
        <v>5.6820559801071697</v>
      </c>
      <c r="G9">
        <v>6.4982752117481102</v>
      </c>
      <c r="H9">
        <v>0.87095750367737601</v>
      </c>
      <c r="I9">
        <v>7.2051466921346896E-2</v>
      </c>
      <c r="J9">
        <v>3.6048321105945302E-2</v>
      </c>
      <c r="K9">
        <v>6.7925420269750901E-3</v>
      </c>
      <c r="L9">
        <v>6.5516835822870898E-4</v>
      </c>
      <c r="M9">
        <v>0.51014991600930903</v>
      </c>
      <c r="N9">
        <v>4.7086176592882299E-3</v>
      </c>
      <c r="O9">
        <v>0</v>
      </c>
      <c r="P9">
        <v>5.5236726412538504</v>
      </c>
      <c r="Q9">
        <v>94.476327358746104</v>
      </c>
      <c r="R9">
        <v>59.187797689316497</v>
      </c>
      <c r="S9">
        <v>27.301233616825101</v>
      </c>
      <c r="T9">
        <v>13.5109686938585</v>
      </c>
      <c r="U9">
        <v>0</v>
      </c>
      <c r="V9">
        <v>40.812202310683503</v>
      </c>
      <c r="W9">
        <v>0.38757240627959</v>
      </c>
      <c r="X9">
        <v>-46.102165278647597</v>
      </c>
      <c r="Y9">
        <v>66.056193088939594</v>
      </c>
      <c r="Z9">
        <v>100</v>
      </c>
      <c r="AA9">
        <v>67.814235922372504</v>
      </c>
      <c r="AB9">
        <v>285.01863667680402</v>
      </c>
      <c r="AC9">
        <v>282.74961884760103</v>
      </c>
      <c r="AD9">
        <v>14.437200877526401</v>
      </c>
      <c r="AE9">
        <v>342.11763305934301</v>
      </c>
      <c r="AF9">
        <v>3.5820071858677101</v>
      </c>
      <c r="AG9">
        <v>780.319369583666</v>
      </c>
      <c r="AH9">
        <v>4.6837124306404601</v>
      </c>
      <c r="AI9">
        <v>48.411321903439998</v>
      </c>
      <c r="AJ9">
        <v>175.20782268769</v>
      </c>
      <c r="AK9">
        <v>24.433379304617901</v>
      </c>
      <c r="AL9">
        <v>-26.469634005576399</v>
      </c>
      <c r="AM9">
        <v>6.5054868221689102</v>
      </c>
      <c r="AN9">
        <v>7.9517375025109898</v>
      </c>
      <c r="AO9">
        <v>0.9</v>
      </c>
      <c r="AP9">
        <v>1.29103831092176</v>
      </c>
      <c r="AQ9">
        <v>1.1173510228402499</v>
      </c>
      <c r="AR9">
        <v>1.2671005963166599</v>
      </c>
      <c r="AS9">
        <v>0.99432530911842698</v>
      </c>
      <c r="AT9">
        <v>0.87373667783184905</v>
      </c>
      <c r="AU9">
        <v>0.83921593739879996</v>
      </c>
      <c r="AV9">
        <v>1</v>
      </c>
      <c r="AW9">
        <v>0.99663575495804402</v>
      </c>
      <c r="AX9">
        <v>1</v>
      </c>
      <c r="AY9">
        <v>1</v>
      </c>
      <c r="AZ9">
        <v>0.94694413699611102</v>
      </c>
      <c r="BA9">
        <v>1</v>
      </c>
      <c r="BB9">
        <v>0.989629081796076</v>
      </c>
      <c r="BC9">
        <v>49665692746</v>
      </c>
      <c r="BD9">
        <v>5.62746669058687E-2</v>
      </c>
      <c r="BE9">
        <v>4487</v>
      </c>
    </row>
    <row r="10" spans="1:57" x14ac:dyDescent="0.25">
      <c r="A10">
        <v>9</v>
      </c>
      <c r="B10" t="s">
        <v>56</v>
      </c>
      <c r="C10">
        <v>6.8</v>
      </c>
      <c r="D10">
        <v>0.51823930731979695</v>
      </c>
      <c r="E10">
        <v>0.58327622728418804</v>
      </c>
      <c r="F10">
        <v>6.0446408309915798</v>
      </c>
      <c r="G10">
        <v>6.7790842173147698</v>
      </c>
      <c r="H10">
        <v>0.88849722151850397</v>
      </c>
      <c r="I10">
        <v>6.5036919964391399E-2</v>
      </c>
      <c r="J10">
        <v>3.6410295429988603E-2</v>
      </c>
      <c r="K10">
        <v>6.7573069900509503E-3</v>
      </c>
      <c r="L10">
        <v>1.1759022473539101E-3</v>
      </c>
      <c r="M10">
        <v>0.533987707556833</v>
      </c>
      <c r="N10">
        <v>4.9450150599618598E-3</v>
      </c>
      <c r="O10">
        <v>0</v>
      </c>
      <c r="P10">
        <v>5.2297034925003398</v>
      </c>
      <c r="Q10">
        <v>94.770296507499694</v>
      </c>
      <c r="R10">
        <v>53.5227686118291</v>
      </c>
      <c r="S10">
        <v>31.668116950352001</v>
      </c>
      <c r="T10">
        <v>14.8091144378189</v>
      </c>
      <c r="U10">
        <v>0</v>
      </c>
      <c r="V10">
        <v>46.4772313881709</v>
      </c>
      <c r="W10">
        <v>0.36614372236231402</v>
      </c>
      <c r="X10">
        <v>-47.033528882981997</v>
      </c>
      <c r="Y10">
        <v>90.971225672071</v>
      </c>
      <c r="Z10">
        <v>100</v>
      </c>
      <c r="AA10">
        <v>64.687858911101998</v>
      </c>
      <c r="AB10">
        <v>290.19257249024099</v>
      </c>
      <c r="AC10">
        <v>287.78746029135402</v>
      </c>
      <c r="AD10">
        <v>16.0066508566333</v>
      </c>
      <c r="AE10">
        <v>339.73168795668101</v>
      </c>
      <c r="AF10">
        <v>3.5816869629930999</v>
      </c>
      <c r="AG10">
        <v>780.47394352698302</v>
      </c>
      <c r="AH10">
        <v>5.29389691289796</v>
      </c>
      <c r="AI10">
        <v>48.497703334556697</v>
      </c>
      <c r="AJ10">
        <v>174.76545388097199</v>
      </c>
      <c r="AK10">
        <v>23.629629009910399</v>
      </c>
      <c r="AL10">
        <v>-26.170738976717601</v>
      </c>
      <c r="AM10">
        <v>6.6998408869647497</v>
      </c>
      <c r="AN10">
        <v>9.1353357887229798</v>
      </c>
      <c r="AO10">
        <v>0.9</v>
      </c>
      <c r="AP10">
        <v>1.29092358510429</v>
      </c>
      <c r="AQ10">
        <v>1.1400651062038001</v>
      </c>
      <c r="AR10">
        <v>1.2663325117709201</v>
      </c>
      <c r="AS10">
        <v>0.99670924664105998</v>
      </c>
      <c r="AT10">
        <v>0.86775493911327295</v>
      </c>
      <c r="AU10">
        <v>0.83897229271693097</v>
      </c>
      <c r="AV10">
        <v>1</v>
      </c>
      <c r="AW10">
        <v>0.99728761913766095</v>
      </c>
      <c r="AX10">
        <v>1</v>
      </c>
      <c r="AY10">
        <v>1</v>
      </c>
      <c r="AZ10">
        <v>0.93957959919537803</v>
      </c>
      <c r="BA10">
        <v>1</v>
      </c>
      <c r="BB10">
        <v>0.98614019381393703</v>
      </c>
      <c r="BC10">
        <v>62792081132.5</v>
      </c>
      <c r="BD10">
        <v>4.4191561373632803E-2</v>
      </c>
      <c r="BE10">
        <v>5127</v>
      </c>
    </row>
    <row r="11" spans="1:57" x14ac:dyDescent="0.25">
      <c r="A11">
        <v>10</v>
      </c>
      <c r="B11" t="s">
        <v>56</v>
      </c>
      <c r="C11">
        <v>7</v>
      </c>
      <c r="D11">
        <v>0.52592853235612702</v>
      </c>
      <c r="E11">
        <v>0.57037105532627297</v>
      </c>
      <c r="F11">
        <v>6.1317486813923301</v>
      </c>
      <c r="G11">
        <v>6.6337696854161701</v>
      </c>
      <c r="H11">
        <v>0.92208138446870702</v>
      </c>
      <c r="I11">
        <v>4.4442522970145497E-2</v>
      </c>
      <c r="J11">
        <v>3.66116366874642E-2</v>
      </c>
      <c r="K11">
        <v>7.02383022586546E-3</v>
      </c>
      <c r="L11">
        <v>2.2504487992668801E-3</v>
      </c>
      <c r="M11">
        <v>0.51720395927805296</v>
      </c>
      <c r="N11">
        <v>7.2811803356233997E-3</v>
      </c>
      <c r="O11">
        <v>0</v>
      </c>
      <c r="P11">
        <v>5.3791903473049301</v>
      </c>
      <c r="Q11">
        <v>94.620809652695101</v>
      </c>
      <c r="R11">
        <v>48.324424041497799</v>
      </c>
      <c r="S11">
        <v>35.938672342357997</v>
      </c>
      <c r="T11">
        <v>15.7369036161442</v>
      </c>
      <c r="U11">
        <v>0</v>
      </c>
      <c r="V11">
        <v>51.675575958502201</v>
      </c>
      <c r="W11">
        <v>0.37947027098700098</v>
      </c>
      <c r="X11">
        <v>-43.5711124153136</v>
      </c>
      <c r="Y11">
        <v>113.014226017761</v>
      </c>
      <c r="Z11">
        <v>100</v>
      </c>
      <c r="AA11">
        <v>61.628141272623999</v>
      </c>
      <c r="AB11">
        <v>314.24997319958601</v>
      </c>
      <c r="AC11">
        <v>311.94887533939698</v>
      </c>
      <c r="AD11">
        <v>16.717744222037101</v>
      </c>
      <c r="AE11">
        <v>338.78222062342797</v>
      </c>
      <c r="AF11">
        <v>3.5978215948324999</v>
      </c>
      <c r="AG11">
        <v>780.35029919573503</v>
      </c>
      <c r="AH11">
        <v>4.9110067333635898</v>
      </c>
      <c r="AI11">
        <v>49.712153745004102</v>
      </c>
      <c r="AJ11">
        <v>174.70378377065799</v>
      </c>
      <c r="AK11">
        <v>23.9497953412241</v>
      </c>
      <c r="AL11">
        <v>-26.6207988582672</v>
      </c>
      <c r="AM11">
        <v>6.893979955132</v>
      </c>
      <c r="AN11">
        <v>9.8410147190231907</v>
      </c>
      <c r="AO11">
        <v>0.9</v>
      </c>
      <c r="AP11">
        <v>1.2906859297009401</v>
      </c>
      <c r="AQ11">
        <v>1.15288492399789</v>
      </c>
      <c r="AR11">
        <v>1.27542541029025</v>
      </c>
      <c r="AS11">
        <v>0.99860942471657599</v>
      </c>
      <c r="AT11">
        <v>0.843092859033713</v>
      </c>
      <c r="AU11">
        <v>0.83922076276049495</v>
      </c>
      <c r="AV11">
        <v>1</v>
      </c>
      <c r="AW11">
        <v>0.99629805006451799</v>
      </c>
      <c r="AX11">
        <v>1</v>
      </c>
      <c r="AY11">
        <v>1</v>
      </c>
      <c r="AZ11">
        <v>0.93282175125394695</v>
      </c>
      <c r="BA11">
        <v>1</v>
      </c>
      <c r="BB11">
        <v>0.98805241665679899</v>
      </c>
      <c r="BC11">
        <v>43361463454.599998</v>
      </c>
      <c r="BD11">
        <v>5.2607431196750702E-2</v>
      </c>
      <c r="BE11">
        <v>4703</v>
      </c>
    </row>
    <row r="12" spans="1:57" x14ac:dyDescent="0.25">
      <c r="A12">
        <v>11</v>
      </c>
      <c r="B12" t="s">
        <v>56</v>
      </c>
      <c r="C12">
        <v>7.2</v>
      </c>
      <c r="D12">
        <v>0.49625789601251402</v>
      </c>
      <c r="E12">
        <v>0.53603139121729604</v>
      </c>
      <c r="F12">
        <v>5.7952142301443104</v>
      </c>
      <c r="G12">
        <v>6.2460869956714298</v>
      </c>
      <c r="H12">
        <v>0.925800063473039</v>
      </c>
      <c r="I12">
        <v>3.97734952047816E-2</v>
      </c>
      <c r="J12">
        <v>3.6671841405339703E-2</v>
      </c>
      <c r="K12">
        <v>6.9116662812518503E-3</v>
      </c>
      <c r="L12">
        <v>2.4637087064231099E-3</v>
      </c>
      <c r="M12">
        <v>0.48291287110415498</v>
      </c>
      <c r="N12">
        <v>7.0713037201261299E-3</v>
      </c>
      <c r="O12">
        <v>0</v>
      </c>
      <c r="P12">
        <v>4.2098587421929201</v>
      </c>
      <c r="Q12">
        <v>95.790141257807093</v>
      </c>
      <c r="R12">
        <v>29.758431918264399</v>
      </c>
      <c r="S12">
        <v>44.426249718493501</v>
      </c>
      <c r="T12">
        <v>25.815318363242099</v>
      </c>
      <c r="U12">
        <v>0</v>
      </c>
      <c r="V12">
        <v>70.241568081735593</v>
      </c>
      <c r="W12">
        <v>0.39291896264605602</v>
      </c>
      <c r="X12">
        <v>-43.668431892033702</v>
      </c>
      <c r="Y12">
        <v>108.751451446733</v>
      </c>
      <c r="Z12">
        <v>100</v>
      </c>
      <c r="AA12">
        <v>56.620982498571401</v>
      </c>
      <c r="AB12">
        <v>326.477320299903</v>
      </c>
      <c r="AC12">
        <v>324.33497240333003</v>
      </c>
      <c r="AD12">
        <v>16.688182726210101</v>
      </c>
      <c r="AE12">
        <v>338.574896758725</v>
      </c>
      <c r="AF12">
        <v>3.5784689486401899</v>
      </c>
      <c r="AG12">
        <v>780.10641950702495</v>
      </c>
      <c r="AH12">
        <v>5.1806826414340499</v>
      </c>
      <c r="AI12">
        <v>51.943930182441399</v>
      </c>
      <c r="AJ12">
        <v>174.67557155040501</v>
      </c>
      <c r="AK12">
        <v>24.098836003947898</v>
      </c>
      <c r="AL12">
        <v>-27.872983814180699</v>
      </c>
      <c r="AM12">
        <v>7.0926283635955798</v>
      </c>
      <c r="AN12">
        <v>10.105877924753599</v>
      </c>
      <c r="AO12">
        <v>0.9</v>
      </c>
      <c r="AP12">
        <v>1.2904068507509501</v>
      </c>
      <c r="AQ12">
        <v>1.1600369603090199</v>
      </c>
      <c r="AR12">
        <v>1.27637701213585</v>
      </c>
      <c r="AS12">
        <v>1.0015063311141299</v>
      </c>
      <c r="AT12">
        <v>0.83065168436487602</v>
      </c>
      <c r="AU12">
        <v>0.83970710119795</v>
      </c>
      <c r="AV12">
        <v>1</v>
      </c>
      <c r="AW12">
        <v>0.99366201598191894</v>
      </c>
      <c r="AX12">
        <v>1</v>
      </c>
      <c r="AY12">
        <v>1</v>
      </c>
      <c r="AZ12">
        <v>0.90868596149374403</v>
      </c>
      <c r="BA12">
        <v>1</v>
      </c>
      <c r="BB12">
        <v>0.98617688954121796</v>
      </c>
      <c r="BC12">
        <v>24306077979.400002</v>
      </c>
      <c r="BD12">
        <v>4.0986873301886002E-2</v>
      </c>
      <c r="BE12">
        <v>3657</v>
      </c>
    </row>
    <row r="13" spans="1:57" x14ac:dyDescent="0.25">
      <c r="A13">
        <v>12</v>
      </c>
      <c r="B13" t="s">
        <v>56</v>
      </c>
      <c r="C13">
        <v>7.4</v>
      </c>
      <c r="D13">
        <v>0.55070251976820095</v>
      </c>
      <c r="E13">
        <v>0.52861821439572099</v>
      </c>
      <c r="F13">
        <v>6.4118990469891699</v>
      </c>
      <c r="G13">
        <v>6.1622014258085098</v>
      </c>
      <c r="H13">
        <v>1.0417774203973</v>
      </c>
      <c r="I13">
        <v>-2.2084305372480299E-2</v>
      </c>
      <c r="J13">
        <v>3.6865620892448499E-2</v>
      </c>
      <c r="K13">
        <v>6.8021527694101403E-3</v>
      </c>
      <c r="L13">
        <v>4.0574550604574704E-3</v>
      </c>
      <c r="M13">
        <v>0.47238150073880403</v>
      </c>
      <c r="N13">
        <v>8.5114849346007108E-3</v>
      </c>
      <c r="O13">
        <v>0</v>
      </c>
      <c r="P13">
        <v>3.2595307717019599</v>
      </c>
      <c r="Q13">
        <v>96.740469228297997</v>
      </c>
      <c r="R13">
        <v>17.291565295113401</v>
      </c>
      <c r="S13">
        <v>50.369846760280801</v>
      </c>
      <c r="T13">
        <v>32.338587944605699</v>
      </c>
      <c r="U13">
        <v>0</v>
      </c>
      <c r="V13">
        <v>82.708434704886599</v>
      </c>
      <c r="W13">
        <v>0.39653097406109</v>
      </c>
      <c r="X13">
        <v>-43.463512610915402</v>
      </c>
      <c r="Y13">
        <v>121.488662180788</v>
      </c>
      <c r="Z13">
        <v>100</v>
      </c>
      <c r="AA13">
        <v>49.338412249228597</v>
      </c>
      <c r="AB13">
        <v>336.81590253953698</v>
      </c>
      <c r="AC13">
        <v>334.78457158754497</v>
      </c>
      <c r="AD13">
        <v>17.277806933578798</v>
      </c>
      <c r="AE13">
        <v>337.80317870768101</v>
      </c>
      <c r="AF13">
        <v>3.5756206440192102</v>
      </c>
      <c r="AG13">
        <v>780.67342822431203</v>
      </c>
      <c r="AH13">
        <v>5.2767486522450202</v>
      </c>
      <c r="AI13">
        <v>53.055043786555402</v>
      </c>
      <c r="AJ13">
        <v>174.932516234801</v>
      </c>
      <c r="AK13">
        <v>23.946784059783401</v>
      </c>
      <c r="AL13">
        <v>-29.0700290624339</v>
      </c>
      <c r="AM13">
        <v>7.2872030285826801</v>
      </c>
      <c r="AN13">
        <v>10.769360375012299</v>
      </c>
      <c r="AO13">
        <v>0.9</v>
      </c>
      <c r="AP13">
        <v>1.2901859385960699</v>
      </c>
      <c r="AQ13">
        <v>1.17220799243962</v>
      </c>
      <c r="AR13">
        <v>1.2747000703643101</v>
      </c>
      <c r="AS13">
        <v>1.00447514539974</v>
      </c>
      <c r="AT13">
        <v>0.82023635149573204</v>
      </c>
      <c r="AU13">
        <v>0.83855066830104397</v>
      </c>
      <c r="AV13">
        <v>1</v>
      </c>
      <c r="AW13">
        <v>0.99109541249923805</v>
      </c>
      <c r="AX13">
        <v>1</v>
      </c>
      <c r="AY13">
        <v>1</v>
      </c>
      <c r="AZ13">
        <v>0.89247903488364799</v>
      </c>
      <c r="BA13">
        <v>1</v>
      </c>
      <c r="BB13">
        <v>0.98782313629497498</v>
      </c>
      <c r="BC13">
        <v>12726342070.5</v>
      </c>
      <c r="BD13">
        <v>5.7276316705671397E-2</v>
      </c>
      <c r="BE13">
        <v>2734</v>
      </c>
    </row>
    <row r="14" spans="1:57" x14ac:dyDescent="0.25">
      <c r="A14">
        <v>13</v>
      </c>
      <c r="B14" t="s">
        <v>56</v>
      </c>
      <c r="C14">
        <v>7.6</v>
      </c>
      <c r="D14">
        <v>0.55450366853095301</v>
      </c>
      <c r="E14">
        <v>0.51391561358655902</v>
      </c>
      <c r="F14">
        <v>6.4548154912350402</v>
      </c>
      <c r="G14">
        <v>5.9956270641376497</v>
      </c>
      <c r="H14">
        <v>1.07897805373364</v>
      </c>
      <c r="I14">
        <v>-4.05880549443942E-2</v>
      </c>
      <c r="J14">
        <v>3.7239468297174699E-2</v>
      </c>
      <c r="K14">
        <v>7.3641242619815299E-3</v>
      </c>
      <c r="L14">
        <v>3.50854107402472E-3</v>
      </c>
      <c r="M14">
        <v>0.45751770565258298</v>
      </c>
      <c r="N14">
        <v>8.2857743007950391E-3</v>
      </c>
      <c r="O14">
        <v>0</v>
      </c>
      <c r="P14">
        <v>4.2666477874283197</v>
      </c>
      <c r="Q14">
        <v>95.733352212571702</v>
      </c>
      <c r="R14">
        <v>10.206958385576</v>
      </c>
      <c r="S14">
        <v>52.124534819428298</v>
      </c>
      <c r="T14">
        <v>37.6685067949957</v>
      </c>
      <c r="U14">
        <v>0</v>
      </c>
      <c r="V14">
        <v>89.793041614423998</v>
      </c>
      <c r="W14">
        <v>0.433290177712854</v>
      </c>
      <c r="X14">
        <v>-44.021585318004199</v>
      </c>
      <c r="Y14">
        <v>109.739447482226</v>
      </c>
      <c r="Z14">
        <v>100</v>
      </c>
      <c r="AA14">
        <v>42.164567428075898</v>
      </c>
      <c r="AB14">
        <v>343.528764464468</v>
      </c>
      <c r="AC14">
        <v>341.83304338110901</v>
      </c>
      <c r="AD14">
        <v>17.9770232998839</v>
      </c>
      <c r="AE14">
        <v>336.89424763336098</v>
      </c>
      <c r="AF14">
        <v>3.5557273104178702</v>
      </c>
      <c r="AG14">
        <v>782.03146158413995</v>
      </c>
      <c r="AH14">
        <v>5.4323795828055603</v>
      </c>
      <c r="AI14">
        <v>53.338115902564901</v>
      </c>
      <c r="AJ14">
        <v>176.232917816292</v>
      </c>
      <c r="AK14">
        <v>24.293716017026401</v>
      </c>
      <c r="AL14">
        <v>-32.114379203067799</v>
      </c>
      <c r="AM14">
        <v>7.4831671826641797</v>
      </c>
      <c r="AN14">
        <v>11.5115261161099</v>
      </c>
      <c r="AO14">
        <v>0.9</v>
      </c>
      <c r="AP14">
        <v>1.29010335287543</v>
      </c>
      <c r="AQ14">
        <v>1.1888244977967</v>
      </c>
      <c r="AR14">
        <v>1.2769886230655201</v>
      </c>
      <c r="AS14">
        <v>1.0061558920515801</v>
      </c>
      <c r="AT14">
        <v>0.81368804394234395</v>
      </c>
      <c r="AU14">
        <v>0.83576521388033898</v>
      </c>
      <c r="AV14">
        <v>1</v>
      </c>
      <c r="AW14">
        <v>0.98516017593204697</v>
      </c>
      <c r="AX14">
        <v>1</v>
      </c>
      <c r="AY14">
        <v>1</v>
      </c>
      <c r="AZ14">
        <v>0.88326904590124899</v>
      </c>
      <c r="BA14">
        <v>1</v>
      </c>
      <c r="BB14">
        <v>0.99076740407945096</v>
      </c>
      <c r="BC14">
        <v>5658038990.5</v>
      </c>
      <c r="BD14">
        <v>7.6497057319300593E-2</v>
      </c>
      <c r="BE14">
        <v>2404</v>
      </c>
    </row>
    <row r="15" spans="1:57" x14ac:dyDescent="0.25">
      <c r="A15">
        <v>14</v>
      </c>
      <c r="B15" t="s">
        <v>56</v>
      </c>
      <c r="C15">
        <v>7.8</v>
      </c>
      <c r="D15">
        <v>0.46014634247767</v>
      </c>
      <c r="E15">
        <v>0.53638459641066405</v>
      </c>
      <c r="F15">
        <v>5.38413264373989</v>
      </c>
      <c r="G15">
        <v>6.2500820571217401</v>
      </c>
      <c r="H15">
        <v>0.85786643680083396</v>
      </c>
      <c r="I15">
        <v>7.6238253932994104E-2</v>
      </c>
      <c r="J15">
        <v>3.8574593948520898E-2</v>
      </c>
      <c r="K15">
        <v>7.8180225959943294E-3</v>
      </c>
      <c r="L15">
        <v>5.0224484806366898E-3</v>
      </c>
      <c r="M15">
        <v>0.47594718073415498</v>
      </c>
      <c r="N15">
        <v>9.0223506513568801E-3</v>
      </c>
      <c r="O15">
        <v>0</v>
      </c>
      <c r="P15">
        <v>9.6351077753110808</v>
      </c>
      <c r="Q15">
        <v>90.364892224688901</v>
      </c>
      <c r="R15">
        <v>15.120280148198599</v>
      </c>
      <c r="S15">
        <v>46.091902089166801</v>
      </c>
      <c r="T15">
        <v>38.787817762634504</v>
      </c>
      <c r="U15">
        <v>0</v>
      </c>
      <c r="V15">
        <v>84.879719851801397</v>
      </c>
      <c r="W15">
        <v>0.45071776961016902</v>
      </c>
      <c r="X15">
        <v>-44.3879522857155</v>
      </c>
      <c r="Y15">
        <v>115.137135452048</v>
      </c>
      <c r="Z15">
        <v>100</v>
      </c>
      <c r="AA15">
        <v>39.293662485514901</v>
      </c>
      <c r="AB15">
        <v>345.509666730829</v>
      </c>
      <c r="AC15">
        <v>344.34026789514098</v>
      </c>
      <c r="AD15">
        <v>18.8008741240637</v>
      </c>
      <c r="AE15">
        <v>334.59402711238101</v>
      </c>
      <c r="AF15">
        <v>3.55105374257333</v>
      </c>
      <c r="AG15">
        <v>777.75242729175204</v>
      </c>
      <c r="AH15">
        <v>5.0839498075583798</v>
      </c>
      <c r="AI15">
        <v>54.174506436293903</v>
      </c>
      <c r="AJ15">
        <v>176.584197524714</v>
      </c>
      <c r="AK15">
        <v>24.3359770522312</v>
      </c>
      <c r="AL15">
        <v>-33.159018622234399</v>
      </c>
      <c r="AM15">
        <v>7.6819635331718201</v>
      </c>
      <c r="AN15">
        <v>12.378148773786201</v>
      </c>
      <c r="AO15">
        <v>0.9</v>
      </c>
      <c r="AP15">
        <v>1.29013176608949</v>
      </c>
      <c r="AQ15">
        <v>1.2024613779779201</v>
      </c>
      <c r="AR15">
        <v>1.2723863489968701</v>
      </c>
      <c r="AS15">
        <v>1.0062184887855199</v>
      </c>
      <c r="AT15">
        <v>0.81251643324144096</v>
      </c>
      <c r="AU15">
        <v>0.84404987349587801</v>
      </c>
      <c r="AV15">
        <v>1</v>
      </c>
      <c r="AW15">
        <v>0.98434186486962905</v>
      </c>
      <c r="AX15">
        <v>1</v>
      </c>
      <c r="AY15">
        <v>1</v>
      </c>
      <c r="AZ15">
        <v>0.88965636419265803</v>
      </c>
      <c r="BA15">
        <v>1</v>
      </c>
      <c r="BB15">
        <v>1.0149629077840301</v>
      </c>
      <c r="BC15">
        <v>2039916853.9000001</v>
      </c>
      <c r="BD15">
        <v>5.6389964708330201E-2</v>
      </c>
      <c r="BE15">
        <v>2251</v>
      </c>
    </row>
    <row r="16" spans="1:57" x14ac:dyDescent="0.25">
      <c r="A16">
        <v>15</v>
      </c>
      <c r="B16" t="s">
        <v>56</v>
      </c>
      <c r="C16">
        <v>8</v>
      </c>
      <c r="D16">
        <v>1.0241610086847801</v>
      </c>
      <c r="E16">
        <v>0.58840922055522304</v>
      </c>
      <c r="F16">
        <v>11.6207519773355</v>
      </c>
      <c r="G16">
        <v>6.8368249825975003</v>
      </c>
      <c r="H16">
        <v>1.7405590750572899</v>
      </c>
      <c r="I16">
        <v>-0.43575178812955701</v>
      </c>
      <c r="J16">
        <v>4.0527336102389497E-2</v>
      </c>
      <c r="K16">
        <v>7.29499933597856E-3</v>
      </c>
      <c r="L16">
        <v>6.4860737851732703E-3</v>
      </c>
      <c r="M16">
        <v>0.52561264565649501</v>
      </c>
      <c r="N16">
        <v>8.4881656751872592E-3</v>
      </c>
      <c r="O16">
        <v>0</v>
      </c>
      <c r="P16">
        <v>15.387381964073001</v>
      </c>
      <c r="Q16">
        <v>84.612618035926999</v>
      </c>
      <c r="R16">
        <v>21.728379069561601</v>
      </c>
      <c r="S16">
        <v>37.179437702022803</v>
      </c>
      <c r="T16">
        <v>41.0921832284156</v>
      </c>
      <c r="U16">
        <v>0</v>
      </c>
      <c r="V16">
        <v>78.271620930438402</v>
      </c>
      <c r="W16">
        <v>0.41414679410180999</v>
      </c>
      <c r="X16">
        <v>-46.752547068833699</v>
      </c>
      <c r="Y16">
        <v>113.760916030114</v>
      </c>
      <c r="Z16">
        <v>100</v>
      </c>
      <c r="AA16">
        <v>38.676495700608399</v>
      </c>
      <c r="AB16">
        <v>347.759874200887</v>
      </c>
      <c r="AC16">
        <v>347.34743848201202</v>
      </c>
      <c r="AD16">
        <v>18.986240221975901</v>
      </c>
      <c r="AE16">
        <v>332.423736707496</v>
      </c>
      <c r="AF16">
        <v>3.56084548397655</v>
      </c>
      <c r="AG16">
        <v>774.49187695321996</v>
      </c>
      <c r="AH16">
        <v>4.2266475594996402</v>
      </c>
      <c r="AI16">
        <v>55.804495988335802</v>
      </c>
      <c r="AJ16">
        <v>176.092492711788</v>
      </c>
      <c r="AK16">
        <v>23.728439267163999</v>
      </c>
      <c r="AL16">
        <v>-34.539513665822497</v>
      </c>
      <c r="AM16">
        <v>7.8922195403972299</v>
      </c>
      <c r="AN16">
        <v>12.864421209298699</v>
      </c>
      <c r="AO16">
        <v>0.9</v>
      </c>
      <c r="AP16">
        <v>1.2901592636627299</v>
      </c>
      <c r="AQ16">
        <v>1.1920999945528099</v>
      </c>
      <c r="AR16">
        <v>1.2684810909467501</v>
      </c>
      <c r="AS16">
        <v>1.0059456139980201</v>
      </c>
      <c r="AT16">
        <v>0.81156630444026501</v>
      </c>
      <c r="AU16">
        <v>0.85017516651252401</v>
      </c>
      <c r="AV16">
        <v>1</v>
      </c>
      <c r="AW16">
        <v>0.98279848180136498</v>
      </c>
      <c r="AX16">
        <v>1</v>
      </c>
      <c r="AY16">
        <v>1</v>
      </c>
      <c r="AZ16">
        <v>0.89824689279043002</v>
      </c>
      <c r="BA16">
        <v>1</v>
      </c>
      <c r="BB16">
        <v>1.0366601668301201</v>
      </c>
      <c r="BC16">
        <v>724427190.79999995</v>
      </c>
      <c r="BD16">
        <v>0.10494395890918599</v>
      </c>
      <c r="BE16">
        <v>1614</v>
      </c>
    </row>
    <row r="17" spans="1:57" x14ac:dyDescent="0.25">
      <c r="A17">
        <v>1</v>
      </c>
      <c r="B17" t="s">
        <v>57</v>
      </c>
      <c r="C17">
        <v>5.2</v>
      </c>
      <c r="D17">
        <v>0.55788943546803205</v>
      </c>
      <c r="E17">
        <v>0.48873689026085099</v>
      </c>
      <c r="F17">
        <v>6.4930269220105403</v>
      </c>
      <c r="G17">
        <v>5.7097329000047203</v>
      </c>
      <c r="H17">
        <v>1.14149237879357</v>
      </c>
      <c r="I17">
        <v>-6.9152545207181004E-2</v>
      </c>
      <c r="J17">
        <v>4.04826918828666E-2</v>
      </c>
      <c r="K17">
        <v>7.2855515813814199E-3</v>
      </c>
      <c r="L17">
        <v>5.2803007049440802E-4</v>
      </c>
      <c r="M17">
        <v>0.43428880568011002</v>
      </c>
      <c r="N17">
        <v>6.1518110459984699E-3</v>
      </c>
      <c r="O17">
        <v>0</v>
      </c>
      <c r="P17">
        <v>21.2110428187815</v>
      </c>
      <c r="Q17">
        <v>78.788957181218507</v>
      </c>
      <c r="R17">
        <v>45.998974285987003</v>
      </c>
      <c r="S17">
        <v>30.315053152552199</v>
      </c>
      <c r="T17">
        <v>23.685972561460702</v>
      </c>
      <c r="U17">
        <v>0</v>
      </c>
      <c r="V17">
        <v>54.001025714012997</v>
      </c>
      <c r="W17">
        <v>0.36072275727639602</v>
      </c>
      <c r="X17">
        <v>-46.715321021276203</v>
      </c>
      <c r="Y17">
        <v>124.841870290451</v>
      </c>
      <c r="Z17">
        <v>100</v>
      </c>
      <c r="AA17">
        <v>60.099422845670702</v>
      </c>
      <c r="AB17">
        <v>308.71521660943699</v>
      </c>
      <c r="AC17">
        <v>308.00378746574802</v>
      </c>
      <c r="AD17">
        <v>19.2373343038599</v>
      </c>
      <c r="AE17">
        <v>332.69233530989499</v>
      </c>
      <c r="AF17">
        <v>3.60700402534447</v>
      </c>
      <c r="AG17">
        <v>772.79392785856498</v>
      </c>
      <c r="AH17">
        <v>3.6802765639559798</v>
      </c>
      <c r="AI17">
        <v>45.4143824482395</v>
      </c>
      <c r="AJ17">
        <v>174.418962063734</v>
      </c>
      <c r="AK17">
        <v>23.114181695389298</v>
      </c>
      <c r="AL17">
        <v>-34.117854176792598</v>
      </c>
      <c r="AM17">
        <v>5.11156055533983</v>
      </c>
      <c r="AN17">
        <v>8.3666817645498295</v>
      </c>
      <c r="AO17">
        <v>0.9</v>
      </c>
      <c r="AP17">
        <v>1.2804263986870399</v>
      </c>
      <c r="AQ17">
        <v>0.885009478205244</v>
      </c>
      <c r="AR17">
        <v>1.27077149919562</v>
      </c>
      <c r="AS17">
        <v>0.99803588434464896</v>
      </c>
      <c r="AT17">
        <v>0.85190838046191497</v>
      </c>
      <c r="AU17">
        <v>0.85345508152870098</v>
      </c>
      <c r="AV17">
        <v>1</v>
      </c>
      <c r="AW17">
        <v>0.98256164403576995</v>
      </c>
      <c r="AX17">
        <v>1</v>
      </c>
      <c r="AY17">
        <v>1</v>
      </c>
      <c r="AZ17">
        <v>0.92979866657178301</v>
      </c>
      <c r="BA17">
        <v>1</v>
      </c>
      <c r="BB17">
        <v>1.0678019758655299</v>
      </c>
      <c r="BC17">
        <v>296836931.30000001</v>
      </c>
      <c r="BD17">
        <v>9.0414634225183102E-2</v>
      </c>
      <c r="BE17">
        <v>742</v>
      </c>
    </row>
    <row r="18" spans="1:57" x14ac:dyDescent="0.25">
      <c r="A18">
        <v>2</v>
      </c>
      <c r="B18" t="s">
        <v>57</v>
      </c>
      <c r="C18">
        <v>5.4</v>
      </c>
      <c r="D18">
        <v>0.44527121448865398</v>
      </c>
      <c r="E18">
        <v>0.46814387799573298</v>
      </c>
      <c r="F18">
        <v>5.2143216051788501</v>
      </c>
      <c r="G18">
        <v>5.4753153538003403</v>
      </c>
      <c r="H18">
        <v>0.95114180793092196</v>
      </c>
      <c r="I18">
        <v>2.2872663507078599E-2</v>
      </c>
      <c r="J18">
        <v>3.7782595527614198E-2</v>
      </c>
      <c r="K18">
        <v>1.0314418786258901E-2</v>
      </c>
      <c r="L18">
        <v>1.41938308221912E-4</v>
      </c>
      <c r="M18">
        <v>0.41584397410621798</v>
      </c>
      <c r="N18">
        <v>4.0609512674193498E-3</v>
      </c>
      <c r="O18">
        <v>0</v>
      </c>
      <c r="P18">
        <v>10.567388064319999</v>
      </c>
      <c r="Q18">
        <v>89.432611935680001</v>
      </c>
      <c r="R18">
        <v>70.840991137756802</v>
      </c>
      <c r="S18">
        <v>17.700026906249199</v>
      </c>
      <c r="T18">
        <v>11.458981955994</v>
      </c>
      <c r="U18">
        <v>0</v>
      </c>
      <c r="V18">
        <v>29.159008862243201</v>
      </c>
      <c r="W18">
        <v>0.49782011024110301</v>
      </c>
      <c r="X18">
        <v>-47.683705782498997</v>
      </c>
      <c r="Y18">
        <v>106.493712184624</v>
      </c>
      <c r="Z18">
        <v>100</v>
      </c>
      <c r="AA18">
        <v>66.434939185209203</v>
      </c>
      <c r="AB18">
        <v>288.42782531418197</v>
      </c>
      <c r="AC18">
        <v>286.60531888493898</v>
      </c>
      <c r="AD18">
        <v>19.9724084056888</v>
      </c>
      <c r="AE18">
        <v>336.177807321996</v>
      </c>
      <c r="AF18">
        <v>3.6421001042498502</v>
      </c>
      <c r="AG18">
        <v>778.98474293689696</v>
      </c>
      <c r="AH18">
        <v>2.7937174934028102</v>
      </c>
      <c r="AI18">
        <v>47.793076952476703</v>
      </c>
      <c r="AJ18">
        <v>177.04393243023699</v>
      </c>
      <c r="AK18">
        <v>21.7178279336561</v>
      </c>
      <c r="AL18">
        <v>-27.293443306704798</v>
      </c>
      <c r="AM18">
        <v>5.32027965414939</v>
      </c>
      <c r="AN18">
        <v>9.0435409003279403</v>
      </c>
      <c r="AO18">
        <v>0.9</v>
      </c>
      <c r="AP18">
        <v>1.28397501315701</v>
      </c>
      <c r="AQ18">
        <v>0.90206602745667896</v>
      </c>
      <c r="AR18">
        <v>1.2734093281643999</v>
      </c>
      <c r="AS18">
        <v>0.99439369177284398</v>
      </c>
      <c r="AT18">
        <v>0.87153982341471103</v>
      </c>
      <c r="AU18">
        <v>0.84167180854188595</v>
      </c>
      <c r="AV18">
        <v>1</v>
      </c>
      <c r="AW18">
        <v>0.99497350000173301</v>
      </c>
      <c r="AX18">
        <v>1</v>
      </c>
      <c r="AY18">
        <v>1</v>
      </c>
      <c r="AZ18">
        <v>0.96209328847908404</v>
      </c>
      <c r="BA18">
        <v>1</v>
      </c>
      <c r="BB18">
        <v>1.01333896995191</v>
      </c>
      <c r="BC18">
        <v>1099727419.8</v>
      </c>
      <c r="BD18">
        <v>6.0664980367533997E-2</v>
      </c>
      <c r="BE18">
        <v>999</v>
      </c>
    </row>
    <row r="19" spans="1:57" x14ac:dyDescent="0.25">
      <c r="A19">
        <v>3</v>
      </c>
      <c r="B19" t="s">
        <v>57</v>
      </c>
      <c r="C19">
        <v>5.6</v>
      </c>
      <c r="D19">
        <v>0.35830259151903099</v>
      </c>
      <c r="E19">
        <v>0.47609461448214502</v>
      </c>
      <c r="F19">
        <v>4.2159036747217504</v>
      </c>
      <c r="G19">
        <v>5.5658846395129498</v>
      </c>
      <c r="H19">
        <v>0.75258694515744895</v>
      </c>
      <c r="I19">
        <v>0.117792022963114</v>
      </c>
      <c r="J19">
        <v>3.6916070816214001E-2</v>
      </c>
      <c r="K19">
        <v>1.08785901583869E-2</v>
      </c>
      <c r="L19">
        <v>1.5579096267084901E-4</v>
      </c>
      <c r="M19">
        <v>0.42528836085791699</v>
      </c>
      <c r="N19">
        <v>2.85580168695588E-3</v>
      </c>
      <c r="O19">
        <v>0</v>
      </c>
      <c r="P19">
        <v>9.5710905824575292</v>
      </c>
      <c r="Q19">
        <v>90.428909417542499</v>
      </c>
      <c r="R19">
        <v>72.0394928269492</v>
      </c>
      <c r="S19">
        <v>13.9397839524628</v>
      </c>
      <c r="T19">
        <v>14.020723220588</v>
      </c>
      <c r="U19">
        <v>0</v>
      </c>
      <c r="V19">
        <v>27.9605071730508</v>
      </c>
      <c r="W19">
        <v>0.52482649576673801</v>
      </c>
      <c r="X19">
        <v>-57.879208845597503</v>
      </c>
      <c r="Y19">
        <v>89.953881385011798</v>
      </c>
      <c r="Z19">
        <v>100</v>
      </c>
      <c r="AA19">
        <v>67.899963803411396</v>
      </c>
      <c r="AB19">
        <v>285.57455237315997</v>
      </c>
      <c r="AC19">
        <v>283.43525810785502</v>
      </c>
      <c r="AD19">
        <v>19.898632239057601</v>
      </c>
      <c r="AE19">
        <v>337.58686196505499</v>
      </c>
      <c r="AF19">
        <v>3.6142717532408102</v>
      </c>
      <c r="AG19">
        <v>777.84074953305696</v>
      </c>
      <c r="AH19">
        <v>2.36150865275382</v>
      </c>
      <c r="AI19">
        <v>46.081686191726803</v>
      </c>
      <c r="AJ19">
        <v>177.43310612165999</v>
      </c>
      <c r="AK19">
        <v>18.6700059570693</v>
      </c>
      <c r="AL19">
        <v>-22.339977913334799</v>
      </c>
      <c r="AM19">
        <v>5.4969553071861297</v>
      </c>
      <c r="AN19">
        <v>9.3070551835614896</v>
      </c>
      <c r="AO19">
        <v>0.9</v>
      </c>
      <c r="AP19">
        <v>1.2863055433364401</v>
      </c>
      <c r="AQ19">
        <v>0.89989860034473501</v>
      </c>
      <c r="AR19">
        <v>1.23471826187157</v>
      </c>
      <c r="AS19">
        <v>0.99374575865426895</v>
      </c>
      <c r="AT19">
        <v>0.87375928729443497</v>
      </c>
      <c r="AU19">
        <v>0.84398805962552903</v>
      </c>
      <c r="AV19">
        <v>1</v>
      </c>
      <c r="AW19">
        <v>1.00560735470413</v>
      </c>
      <c r="AX19">
        <v>1</v>
      </c>
      <c r="AY19">
        <v>1</v>
      </c>
      <c r="AZ19">
        <v>0.963651340675034</v>
      </c>
      <c r="BA19">
        <v>1</v>
      </c>
      <c r="BB19">
        <v>1.00048181445143</v>
      </c>
      <c r="BC19">
        <v>1742807332.8</v>
      </c>
      <c r="BD19">
        <v>7.2196615758626001E-2</v>
      </c>
      <c r="BE19">
        <v>1026</v>
      </c>
    </row>
    <row r="20" spans="1:57" x14ac:dyDescent="0.25">
      <c r="A20">
        <v>4</v>
      </c>
      <c r="B20" t="s">
        <v>57</v>
      </c>
      <c r="C20">
        <v>5.8</v>
      </c>
      <c r="D20">
        <v>0.44266188436632797</v>
      </c>
      <c r="E20">
        <v>0.42907024835607699</v>
      </c>
      <c r="F20">
        <v>5.1845053079058001</v>
      </c>
      <c r="G20">
        <v>5.0290573065897801</v>
      </c>
      <c r="H20">
        <v>1.0316769481508601</v>
      </c>
      <c r="I20">
        <v>-1.35916360102512E-2</v>
      </c>
      <c r="J20">
        <v>3.8013628758684297E-2</v>
      </c>
      <c r="K20">
        <v>6.7457163430697104E-3</v>
      </c>
      <c r="L20">
        <v>4.1985014345964102E-4</v>
      </c>
      <c r="M20">
        <v>0.37598009743719102</v>
      </c>
      <c r="N20">
        <v>7.9109556736719506E-3</v>
      </c>
      <c r="O20">
        <v>0</v>
      </c>
      <c r="P20">
        <v>18.344726903461499</v>
      </c>
      <c r="Q20">
        <v>81.655273096538494</v>
      </c>
      <c r="R20">
        <v>39.301636172923203</v>
      </c>
      <c r="S20">
        <v>37.459339593288</v>
      </c>
      <c r="T20">
        <v>23.2390242337888</v>
      </c>
      <c r="U20">
        <v>0</v>
      </c>
      <c r="V20">
        <v>60.698363827076797</v>
      </c>
      <c r="W20">
        <v>0.366466820767688</v>
      </c>
      <c r="X20">
        <v>-48.039831934128799</v>
      </c>
      <c r="Y20">
        <v>95.803979696679903</v>
      </c>
      <c r="Z20">
        <v>100</v>
      </c>
      <c r="AA20">
        <v>60.201859075238403</v>
      </c>
      <c r="AB20">
        <v>321.26089510923902</v>
      </c>
      <c r="AC20">
        <v>320.11034749492399</v>
      </c>
      <c r="AD20">
        <v>15.3525136150415</v>
      </c>
      <c r="AE20">
        <v>339.40321119716799</v>
      </c>
      <c r="AF20">
        <v>3.61181754004234</v>
      </c>
      <c r="AG20">
        <v>774.03064964131602</v>
      </c>
      <c r="AH20">
        <v>5.6114542154338896</v>
      </c>
      <c r="AI20">
        <v>49.706406992882499</v>
      </c>
      <c r="AJ20">
        <v>174.49419504911401</v>
      </c>
      <c r="AK20">
        <v>22.591459388113801</v>
      </c>
      <c r="AL20">
        <v>-25.599270055881998</v>
      </c>
      <c r="AM20">
        <v>5.7027016792610699</v>
      </c>
      <c r="AN20">
        <v>7.4124140235171199</v>
      </c>
      <c r="AO20">
        <v>0.9</v>
      </c>
      <c r="AP20">
        <v>1.28831223765446</v>
      </c>
      <c r="AQ20">
        <v>0.79783547363693696</v>
      </c>
      <c r="AR20">
        <v>1.26260869655476</v>
      </c>
      <c r="AS20">
        <v>0.99792340398023105</v>
      </c>
      <c r="AT20">
        <v>0.838772529120139</v>
      </c>
      <c r="AU20">
        <v>0.85141423949389305</v>
      </c>
      <c r="AV20">
        <v>1</v>
      </c>
      <c r="AW20">
        <v>0.99912405729213805</v>
      </c>
      <c r="AX20">
        <v>1</v>
      </c>
      <c r="AY20">
        <v>1</v>
      </c>
      <c r="AZ20">
        <v>0.92109212702480003</v>
      </c>
      <c r="BA20">
        <v>1</v>
      </c>
      <c r="BB20">
        <v>1.0526880396021101</v>
      </c>
      <c r="BC20">
        <v>791574595.60000002</v>
      </c>
      <c r="BD20">
        <v>6.2735567925261498E-2</v>
      </c>
      <c r="BE20">
        <v>992</v>
      </c>
    </row>
    <row r="21" spans="1:57" x14ac:dyDescent="0.25">
      <c r="A21">
        <v>5</v>
      </c>
      <c r="B21" t="s">
        <v>57</v>
      </c>
      <c r="C21">
        <v>6</v>
      </c>
      <c r="D21">
        <v>0.51889020945515596</v>
      </c>
      <c r="E21">
        <v>0.365753883815855</v>
      </c>
      <c r="F21">
        <v>6.0520174848959298</v>
      </c>
      <c r="G21">
        <v>4.3018221418047302</v>
      </c>
      <c r="H21">
        <v>1.4186868066625899</v>
      </c>
      <c r="I21">
        <v>-0.15313632563929999</v>
      </c>
      <c r="J21">
        <v>3.7374948292611197E-2</v>
      </c>
      <c r="K21">
        <v>4.3760869367509897E-3</v>
      </c>
      <c r="L21">
        <v>3.8411622595377597E-4</v>
      </c>
      <c r="M21">
        <v>0.31593426134097902</v>
      </c>
      <c r="N21">
        <v>7.6844710195601096E-3</v>
      </c>
      <c r="O21">
        <v>0</v>
      </c>
      <c r="P21">
        <v>11.706816876568499</v>
      </c>
      <c r="Q21">
        <v>88.293183123431504</v>
      </c>
      <c r="R21">
        <v>23.855774612459399</v>
      </c>
      <c r="S21">
        <v>45.132362420709804</v>
      </c>
      <c r="T21">
        <v>31.011862966830801</v>
      </c>
      <c r="U21">
        <v>0</v>
      </c>
      <c r="V21">
        <v>76.144225387540601</v>
      </c>
      <c r="W21">
        <v>0.27158242340522099</v>
      </c>
      <c r="X21">
        <v>-47.673825041995698</v>
      </c>
      <c r="Y21">
        <v>84.052293690655603</v>
      </c>
      <c r="Z21">
        <v>100</v>
      </c>
      <c r="AA21">
        <v>53.714532814233401</v>
      </c>
      <c r="AB21">
        <v>321.48116766105801</v>
      </c>
      <c r="AC21">
        <v>320.10702243693402</v>
      </c>
      <c r="AD21">
        <v>12.213557976439199</v>
      </c>
      <c r="AE21">
        <v>342.24743297425698</v>
      </c>
      <c r="AF21">
        <v>3.5563632111299199</v>
      </c>
      <c r="AG21">
        <v>778.08807048758001</v>
      </c>
      <c r="AH21">
        <v>6.0605032950147004</v>
      </c>
      <c r="AI21">
        <v>48.776845271933901</v>
      </c>
      <c r="AJ21">
        <v>172.44631929115801</v>
      </c>
      <c r="AK21">
        <v>24.673643062214101</v>
      </c>
      <c r="AL21">
        <v>-29.581658414549398</v>
      </c>
      <c r="AM21">
        <v>5.9154735192796997</v>
      </c>
      <c r="AN21">
        <v>6.09158278498602</v>
      </c>
      <c r="AO21">
        <v>0.9</v>
      </c>
      <c r="AP21">
        <v>1.28973536390299</v>
      </c>
      <c r="AQ21">
        <v>0.72768669972497801</v>
      </c>
      <c r="AR21">
        <v>1.26660379949457</v>
      </c>
      <c r="AS21">
        <v>1.00068426283566</v>
      </c>
      <c r="AT21">
        <v>0.83867026227295405</v>
      </c>
      <c r="AU21">
        <v>0.84347812567438296</v>
      </c>
      <c r="AV21">
        <v>1</v>
      </c>
      <c r="AW21">
        <v>0.99091196446106999</v>
      </c>
      <c r="AX21">
        <v>1</v>
      </c>
      <c r="AY21">
        <v>1</v>
      </c>
      <c r="AZ21">
        <v>0.90101250699619695</v>
      </c>
      <c r="BA21">
        <v>1</v>
      </c>
      <c r="BB21">
        <v>1.0334024248050799</v>
      </c>
      <c r="BC21">
        <v>2059932464.5</v>
      </c>
      <c r="BD21">
        <v>7.7913159991584005E-2</v>
      </c>
      <c r="BE21">
        <v>1560</v>
      </c>
    </row>
    <row r="22" spans="1:57" x14ac:dyDescent="0.25">
      <c r="A22">
        <v>6</v>
      </c>
      <c r="B22" t="s">
        <v>57</v>
      </c>
      <c r="C22">
        <v>6.2</v>
      </c>
      <c r="D22">
        <v>0.46088523509278101</v>
      </c>
      <c r="E22">
        <v>0.365216349869245</v>
      </c>
      <c r="F22">
        <v>5.3925603971164202</v>
      </c>
      <c r="G22">
        <v>4.29562637506824</v>
      </c>
      <c r="H22">
        <v>1.26195126603118</v>
      </c>
      <c r="I22">
        <v>-9.5668885223536296E-2</v>
      </c>
      <c r="J22">
        <v>3.6345088705701599E-2</v>
      </c>
      <c r="K22">
        <v>5.4204667504198301E-3</v>
      </c>
      <c r="L22">
        <v>4.8789432891734302E-4</v>
      </c>
      <c r="M22">
        <v>0.31659313848653398</v>
      </c>
      <c r="N22">
        <v>6.36976159767174E-3</v>
      </c>
      <c r="O22">
        <v>0</v>
      </c>
      <c r="P22">
        <v>6.5587099307013697</v>
      </c>
      <c r="Q22">
        <v>93.441290069298603</v>
      </c>
      <c r="R22">
        <v>32.440580736211899</v>
      </c>
      <c r="S22">
        <v>44.071912023392997</v>
      </c>
      <c r="T22">
        <v>23.4875072403952</v>
      </c>
      <c r="U22">
        <v>0</v>
      </c>
      <c r="V22">
        <v>67.559419263788101</v>
      </c>
      <c r="W22">
        <v>0.32776324394649498</v>
      </c>
      <c r="X22">
        <v>-49.312158739565199</v>
      </c>
      <c r="Y22">
        <v>73.549044712249895</v>
      </c>
      <c r="Z22">
        <v>100</v>
      </c>
      <c r="AA22">
        <v>63.272777037983197</v>
      </c>
      <c r="AB22">
        <v>306.226225126016</v>
      </c>
      <c r="AC22">
        <v>304.373525615294</v>
      </c>
      <c r="AD22">
        <v>12.6187780900164</v>
      </c>
      <c r="AE22">
        <v>343.579695875982</v>
      </c>
      <c r="AF22">
        <v>3.58506849645764</v>
      </c>
      <c r="AG22">
        <v>779.809707917276</v>
      </c>
      <c r="AH22">
        <v>6.4891098414056101</v>
      </c>
      <c r="AI22">
        <v>47.5711305553274</v>
      </c>
      <c r="AJ22">
        <v>173.917447152016</v>
      </c>
      <c r="AK22">
        <v>23.409762865551698</v>
      </c>
      <c r="AL22">
        <v>-27.777419270693699</v>
      </c>
      <c r="AM22">
        <v>6.1157638619052603</v>
      </c>
      <c r="AN22">
        <v>6.5062072121017902</v>
      </c>
      <c r="AO22">
        <v>0.9</v>
      </c>
      <c r="AP22">
        <v>1.2905487943960301</v>
      </c>
      <c r="AQ22">
        <v>0.734849285925953</v>
      </c>
      <c r="AR22">
        <v>1.2582292372680199</v>
      </c>
      <c r="AS22">
        <v>0.99673394348457001</v>
      </c>
      <c r="AT22">
        <v>0.85312441601496003</v>
      </c>
      <c r="AU22">
        <v>0.84015479929710202</v>
      </c>
      <c r="AV22">
        <v>1</v>
      </c>
      <c r="AW22">
        <v>0.99417691807370101</v>
      </c>
      <c r="AX22">
        <v>1</v>
      </c>
      <c r="AY22">
        <v>1</v>
      </c>
      <c r="AZ22">
        <v>0.91217275495707595</v>
      </c>
      <c r="BA22">
        <v>1</v>
      </c>
      <c r="BB22">
        <v>1.0062440043566701</v>
      </c>
      <c r="BC22">
        <v>6531709272.5</v>
      </c>
      <c r="BD22">
        <v>6.8689821137691606E-2</v>
      </c>
      <c r="BE22">
        <v>1925</v>
      </c>
    </row>
    <row r="23" spans="1:57" x14ac:dyDescent="0.25">
      <c r="A23">
        <v>7</v>
      </c>
      <c r="B23" t="s">
        <v>57</v>
      </c>
      <c r="C23">
        <v>6.4</v>
      </c>
      <c r="D23">
        <v>0.41215412159475101</v>
      </c>
      <c r="E23">
        <v>0.381540941965827</v>
      </c>
      <c r="F23">
        <v>4.8352606828157603</v>
      </c>
      <c r="G23">
        <v>4.4836243032453096</v>
      </c>
      <c r="H23">
        <v>1.0802356346639901</v>
      </c>
      <c r="I23">
        <v>-3.0613179628924101E-2</v>
      </c>
      <c r="J23">
        <v>3.59697409072601E-2</v>
      </c>
      <c r="K23">
        <v>5.81141158678558E-3</v>
      </c>
      <c r="L23">
        <v>3.9262916976157602E-4</v>
      </c>
      <c r="M23">
        <v>0.33491731482509401</v>
      </c>
      <c r="N23">
        <v>4.44984547692531E-3</v>
      </c>
      <c r="O23">
        <v>0</v>
      </c>
      <c r="P23">
        <v>5.9976541076902201</v>
      </c>
      <c r="Q23">
        <v>94.002345892309805</v>
      </c>
      <c r="R23">
        <v>53.152914359698798</v>
      </c>
      <c r="S23">
        <v>30.282146006411399</v>
      </c>
      <c r="T23">
        <v>16.5649396338899</v>
      </c>
      <c r="U23">
        <v>0</v>
      </c>
      <c r="V23">
        <v>46.847085640301202</v>
      </c>
      <c r="W23">
        <v>0.347710741020548</v>
      </c>
      <c r="X23">
        <v>-47.3855433352985</v>
      </c>
      <c r="Y23">
        <v>56.1007009281916</v>
      </c>
      <c r="Z23">
        <v>100</v>
      </c>
      <c r="AA23">
        <v>68.361154376014596</v>
      </c>
      <c r="AB23">
        <v>283.77319685210603</v>
      </c>
      <c r="AC23">
        <v>281.66547183020202</v>
      </c>
      <c r="AD23">
        <v>12.7319575876258</v>
      </c>
      <c r="AE23">
        <v>343.992714431374</v>
      </c>
      <c r="AF23">
        <v>3.6159755011789301</v>
      </c>
      <c r="AG23">
        <v>779.90970943165701</v>
      </c>
      <c r="AH23">
        <v>5.2011806994580096</v>
      </c>
      <c r="AI23">
        <v>47.452551217236298</v>
      </c>
      <c r="AJ23">
        <v>175.224790528938</v>
      </c>
      <c r="AK23">
        <v>23.1337475129877</v>
      </c>
      <c r="AL23">
        <v>-27.1509284874572</v>
      </c>
      <c r="AM23">
        <v>6.3093909211142902</v>
      </c>
      <c r="AN23">
        <v>6.7751094167573802</v>
      </c>
      <c r="AO23">
        <v>0.9</v>
      </c>
      <c r="AP23">
        <v>1.29094137180642</v>
      </c>
      <c r="AQ23">
        <v>0.73757338907398495</v>
      </c>
      <c r="AR23">
        <v>1.2658732785796201</v>
      </c>
      <c r="AS23">
        <v>0.99378644895790602</v>
      </c>
      <c r="AT23">
        <v>0.875913327602722</v>
      </c>
      <c r="AU23">
        <v>0.84003305584294896</v>
      </c>
      <c r="AV23">
        <v>1</v>
      </c>
      <c r="AW23">
        <v>0.99546135779088596</v>
      </c>
      <c r="AX23">
        <v>1</v>
      </c>
      <c r="AY23">
        <v>1</v>
      </c>
      <c r="AZ23">
        <v>0.93909878866760799</v>
      </c>
      <c r="BA23">
        <v>1</v>
      </c>
      <c r="BB23">
        <v>0.99223032159589797</v>
      </c>
      <c r="BC23">
        <v>22009636071</v>
      </c>
      <c r="BD23">
        <v>3.78361900871318E-2</v>
      </c>
      <c r="BE23">
        <v>3172</v>
      </c>
    </row>
    <row r="24" spans="1:57" x14ac:dyDescent="0.25">
      <c r="A24">
        <v>8</v>
      </c>
      <c r="B24" t="s">
        <v>57</v>
      </c>
      <c r="C24">
        <v>6.6</v>
      </c>
      <c r="D24">
        <v>0.48630309823839901</v>
      </c>
      <c r="E24">
        <v>0.40324456482459198</v>
      </c>
      <c r="F24">
        <v>5.6820559801071697</v>
      </c>
      <c r="G24">
        <v>4.7330442368562098</v>
      </c>
      <c r="H24">
        <v>1.2059755807246599</v>
      </c>
      <c r="I24">
        <v>-8.3058533413806895E-2</v>
      </c>
      <c r="J24">
        <v>3.6048321105945302E-2</v>
      </c>
      <c r="K24">
        <v>6.7925420269750901E-3</v>
      </c>
      <c r="L24">
        <v>6.5516835822870898E-4</v>
      </c>
      <c r="M24">
        <v>0.35503991567415499</v>
      </c>
      <c r="N24">
        <v>4.7086176592882299E-3</v>
      </c>
      <c r="O24">
        <v>0</v>
      </c>
      <c r="P24">
        <v>5.5236726412538504</v>
      </c>
      <c r="Q24">
        <v>94.476327358746104</v>
      </c>
      <c r="R24">
        <v>59.187797689316497</v>
      </c>
      <c r="S24">
        <v>27.301233616825101</v>
      </c>
      <c r="T24">
        <v>13.5109686938585</v>
      </c>
      <c r="U24">
        <v>0</v>
      </c>
      <c r="V24">
        <v>40.812202310683503</v>
      </c>
      <c r="W24">
        <v>0.38757240627959</v>
      </c>
      <c r="X24">
        <v>-46.102165278647597</v>
      </c>
      <c r="Y24">
        <v>66.056193088939594</v>
      </c>
      <c r="Z24">
        <v>100</v>
      </c>
      <c r="AA24">
        <v>67.814235922372504</v>
      </c>
      <c r="AB24">
        <v>285.01863667680402</v>
      </c>
      <c r="AC24">
        <v>282.74961884760103</v>
      </c>
      <c r="AD24">
        <v>14.437200877526401</v>
      </c>
      <c r="AE24">
        <v>342.11763305934301</v>
      </c>
      <c r="AF24">
        <v>3.5820071858677101</v>
      </c>
      <c r="AG24">
        <v>780.319369583666</v>
      </c>
      <c r="AH24">
        <v>4.6837124306404601</v>
      </c>
      <c r="AI24">
        <v>48.411321903439998</v>
      </c>
      <c r="AJ24">
        <v>175.20782268769</v>
      </c>
      <c r="AK24">
        <v>24.433379304617901</v>
      </c>
      <c r="AL24">
        <v>-26.469634005576399</v>
      </c>
      <c r="AM24">
        <v>6.5054868221689102</v>
      </c>
      <c r="AN24">
        <v>7.9517375025109898</v>
      </c>
      <c r="AO24">
        <v>0.9</v>
      </c>
      <c r="AP24">
        <v>1.29103831092176</v>
      </c>
      <c r="AQ24">
        <v>0.77538438599498705</v>
      </c>
      <c r="AR24">
        <v>1.2671005963166599</v>
      </c>
      <c r="AS24">
        <v>0.99432530911842698</v>
      </c>
      <c r="AT24">
        <v>0.87373667783184905</v>
      </c>
      <c r="AU24">
        <v>0.83921593739879996</v>
      </c>
      <c r="AV24">
        <v>1</v>
      </c>
      <c r="AW24">
        <v>0.99663575495804402</v>
      </c>
      <c r="AX24">
        <v>1</v>
      </c>
      <c r="AY24">
        <v>1</v>
      </c>
      <c r="AZ24">
        <v>0.94694413699611102</v>
      </c>
      <c r="BA24">
        <v>1</v>
      </c>
      <c r="BB24">
        <v>0.989629081796076</v>
      </c>
      <c r="BC24">
        <v>49665692746</v>
      </c>
      <c r="BD24">
        <v>5.62746669058687E-2</v>
      </c>
      <c r="BE24">
        <v>4487</v>
      </c>
    </row>
    <row r="25" spans="1:57" x14ac:dyDescent="0.25">
      <c r="A25">
        <v>9</v>
      </c>
      <c r="B25" t="s">
        <v>57</v>
      </c>
      <c r="C25">
        <v>6.8</v>
      </c>
      <c r="D25">
        <v>0.51823930731979695</v>
      </c>
      <c r="E25">
        <v>0.43072591639748897</v>
      </c>
      <c r="F25">
        <v>6.0446408309915798</v>
      </c>
      <c r="G25">
        <v>5.0480057256418904</v>
      </c>
      <c r="H25">
        <v>1.2031765157162</v>
      </c>
      <c r="I25">
        <v>-8.7513390922307796E-2</v>
      </c>
      <c r="J25">
        <v>3.6410295429988603E-2</v>
      </c>
      <c r="K25">
        <v>6.7573069900509503E-3</v>
      </c>
      <c r="L25">
        <v>1.1759022473539101E-3</v>
      </c>
      <c r="M25">
        <v>0.38143739667013299</v>
      </c>
      <c r="N25">
        <v>4.9450150599618598E-3</v>
      </c>
      <c r="O25">
        <v>0</v>
      </c>
      <c r="P25">
        <v>5.2297034925003398</v>
      </c>
      <c r="Q25">
        <v>94.770296507499694</v>
      </c>
      <c r="R25">
        <v>53.5227686118291</v>
      </c>
      <c r="S25">
        <v>31.668116950352001</v>
      </c>
      <c r="T25">
        <v>14.8091144378189</v>
      </c>
      <c r="U25">
        <v>0</v>
      </c>
      <c r="V25">
        <v>46.4772313881709</v>
      </c>
      <c r="W25">
        <v>0.36614372236231402</v>
      </c>
      <c r="X25">
        <v>-47.033528882981997</v>
      </c>
      <c r="Y25">
        <v>90.971225672071</v>
      </c>
      <c r="Z25">
        <v>100</v>
      </c>
      <c r="AA25">
        <v>64.687858911101998</v>
      </c>
      <c r="AB25">
        <v>290.19257249024099</v>
      </c>
      <c r="AC25">
        <v>287.78746029135402</v>
      </c>
      <c r="AD25">
        <v>16.0066508566333</v>
      </c>
      <c r="AE25">
        <v>339.73168795668101</v>
      </c>
      <c r="AF25">
        <v>3.5816869629930999</v>
      </c>
      <c r="AG25">
        <v>780.47394352698302</v>
      </c>
      <c r="AH25">
        <v>5.29389691289796</v>
      </c>
      <c r="AI25">
        <v>48.497703334556697</v>
      </c>
      <c r="AJ25">
        <v>174.76545388097199</v>
      </c>
      <c r="AK25">
        <v>23.629629009910399</v>
      </c>
      <c r="AL25">
        <v>-26.170738976717601</v>
      </c>
      <c r="AM25">
        <v>6.6998408869647497</v>
      </c>
      <c r="AN25">
        <v>9.1353357887229798</v>
      </c>
      <c r="AO25">
        <v>0.9</v>
      </c>
      <c r="AP25">
        <v>1.29092358510429</v>
      </c>
      <c r="AQ25">
        <v>0.81205355561703096</v>
      </c>
      <c r="AR25">
        <v>1.2663325117709201</v>
      </c>
      <c r="AS25">
        <v>0.99670924664105998</v>
      </c>
      <c r="AT25">
        <v>0.86775493911327295</v>
      </c>
      <c r="AU25">
        <v>0.83897229271693097</v>
      </c>
      <c r="AV25">
        <v>1</v>
      </c>
      <c r="AW25">
        <v>0.99728761913766095</v>
      </c>
      <c r="AX25">
        <v>1</v>
      </c>
      <c r="AY25">
        <v>1</v>
      </c>
      <c r="AZ25">
        <v>0.93957959919537803</v>
      </c>
      <c r="BA25">
        <v>1</v>
      </c>
      <c r="BB25">
        <v>0.98614019381393703</v>
      </c>
      <c r="BC25">
        <v>62792081132.5</v>
      </c>
      <c r="BD25">
        <v>4.4191561373632803E-2</v>
      </c>
      <c r="BE25">
        <v>5127</v>
      </c>
    </row>
    <row r="26" spans="1:57" x14ac:dyDescent="0.25">
      <c r="A26">
        <v>10</v>
      </c>
      <c r="B26" t="s">
        <v>57</v>
      </c>
      <c r="C26">
        <v>7</v>
      </c>
      <c r="D26">
        <v>0.52592853235612702</v>
      </c>
      <c r="E26">
        <v>0.42536334640839601</v>
      </c>
      <c r="F26">
        <v>6.1317486813923301</v>
      </c>
      <c r="G26">
        <v>4.98662081630515</v>
      </c>
      <c r="H26">
        <v>1.2364218421659099</v>
      </c>
      <c r="I26">
        <v>-0.10056518594773101</v>
      </c>
      <c r="J26">
        <v>3.66116366874642E-2</v>
      </c>
      <c r="K26">
        <v>7.02383022586546E-3</v>
      </c>
      <c r="L26">
        <v>2.2504487992668801E-3</v>
      </c>
      <c r="M26">
        <v>0.37219625036017601</v>
      </c>
      <c r="N26">
        <v>7.2811803356233997E-3</v>
      </c>
      <c r="O26">
        <v>0</v>
      </c>
      <c r="P26">
        <v>5.3791903473049301</v>
      </c>
      <c r="Q26">
        <v>94.620809652695101</v>
      </c>
      <c r="R26">
        <v>48.324424041497799</v>
      </c>
      <c r="S26">
        <v>35.938672342357997</v>
      </c>
      <c r="T26">
        <v>15.7369036161442</v>
      </c>
      <c r="U26">
        <v>0</v>
      </c>
      <c r="V26">
        <v>51.675575958502201</v>
      </c>
      <c r="W26">
        <v>0.37947027098700098</v>
      </c>
      <c r="X26">
        <v>-43.5711124153136</v>
      </c>
      <c r="Y26">
        <v>113.014226017761</v>
      </c>
      <c r="Z26">
        <v>100</v>
      </c>
      <c r="AA26">
        <v>61.628141272623999</v>
      </c>
      <c r="AB26">
        <v>314.24997319958601</v>
      </c>
      <c r="AC26">
        <v>311.94887533939698</v>
      </c>
      <c r="AD26">
        <v>16.717744222037101</v>
      </c>
      <c r="AE26">
        <v>338.78222062342797</v>
      </c>
      <c r="AF26">
        <v>3.5978215948324999</v>
      </c>
      <c r="AG26">
        <v>780.35029919573503</v>
      </c>
      <c r="AH26">
        <v>4.9110067333635898</v>
      </c>
      <c r="AI26">
        <v>49.712153745004102</v>
      </c>
      <c r="AJ26">
        <v>174.70378377065799</v>
      </c>
      <c r="AK26">
        <v>23.9497953412241</v>
      </c>
      <c r="AL26">
        <v>-26.6207988582672</v>
      </c>
      <c r="AM26">
        <v>6.893979955132</v>
      </c>
      <c r="AN26">
        <v>9.8410147190231907</v>
      </c>
      <c r="AO26">
        <v>0.9</v>
      </c>
      <c r="AP26">
        <v>1.2906859297009401</v>
      </c>
      <c r="AQ26">
        <v>0.82795714914190299</v>
      </c>
      <c r="AR26">
        <v>1.27542541029025</v>
      </c>
      <c r="AS26">
        <v>0.99860942471657599</v>
      </c>
      <c r="AT26">
        <v>0.843092859033713</v>
      </c>
      <c r="AU26">
        <v>0.83922076276049495</v>
      </c>
      <c r="AV26">
        <v>1</v>
      </c>
      <c r="AW26">
        <v>0.99629805006451799</v>
      </c>
      <c r="AX26">
        <v>1</v>
      </c>
      <c r="AY26">
        <v>1</v>
      </c>
      <c r="AZ26">
        <v>0.93282175125394695</v>
      </c>
      <c r="BA26">
        <v>1</v>
      </c>
      <c r="BB26">
        <v>0.98805241665679899</v>
      </c>
      <c r="BC26">
        <v>43361463454.599998</v>
      </c>
      <c r="BD26">
        <v>5.2607431196750702E-2</v>
      </c>
      <c r="BE26">
        <v>4703</v>
      </c>
    </row>
    <row r="27" spans="1:57" x14ac:dyDescent="0.25">
      <c r="A27">
        <v>11</v>
      </c>
      <c r="B27" t="s">
        <v>57</v>
      </c>
      <c r="C27">
        <v>7.2</v>
      </c>
      <c r="D27">
        <v>0.49625789601251402</v>
      </c>
      <c r="E27">
        <v>0.39850966834519902</v>
      </c>
      <c r="F27">
        <v>5.7952142301443104</v>
      </c>
      <c r="G27">
        <v>4.67868136503375</v>
      </c>
      <c r="H27">
        <v>1.2452844571455799</v>
      </c>
      <c r="I27">
        <v>-9.7748227667315293E-2</v>
      </c>
      <c r="J27">
        <v>3.6671841405339703E-2</v>
      </c>
      <c r="K27">
        <v>6.9116662812518503E-3</v>
      </c>
      <c r="L27">
        <v>2.4637087064231099E-3</v>
      </c>
      <c r="M27">
        <v>0.34539114823205802</v>
      </c>
      <c r="N27">
        <v>7.0713037201261299E-3</v>
      </c>
      <c r="O27">
        <v>0</v>
      </c>
      <c r="P27">
        <v>4.2098587421929201</v>
      </c>
      <c r="Q27">
        <v>95.790141257807093</v>
      </c>
      <c r="R27">
        <v>29.758431918264399</v>
      </c>
      <c r="S27">
        <v>44.426249718493501</v>
      </c>
      <c r="T27">
        <v>25.815318363242099</v>
      </c>
      <c r="U27">
        <v>0</v>
      </c>
      <c r="V27">
        <v>70.241568081735593</v>
      </c>
      <c r="W27">
        <v>0.39291896264605602</v>
      </c>
      <c r="X27">
        <v>-43.668431892033702</v>
      </c>
      <c r="Y27">
        <v>108.751451446733</v>
      </c>
      <c r="Z27">
        <v>100</v>
      </c>
      <c r="AA27">
        <v>56.620982498571401</v>
      </c>
      <c r="AB27">
        <v>326.477320299903</v>
      </c>
      <c r="AC27">
        <v>324.33497240333003</v>
      </c>
      <c r="AD27">
        <v>16.688182726210101</v>
      </c>
      <c r="AE27">
        <v>338.574896758725</v>
      </c>
      <c r="AF27">
        <v>3.5784689486401899</v>
      </c>
      <c r="AG27">
        <v>780.10641950702495</v>
      </c>
      <c r="AH27">
        <v>5.1806826414340499</v>
      </c>
      <c r="AI27">
        <v>51.943930182441399</v>
      </c>
      <c r="AJ27">
        <v>174.67557155040501</v>
      </c>
      <c r="AK27">
        <v>24.098836003947898</v>
      </c>
      <c r="AL27">
        <v>-27.872983814180699</v>
      </c>
      <c r="AM27">
        <v>7.0926283635955798</v>
      </c>
      <c r="AN27">
        <v>10.105877924753599</v>
      </c>
      <c r="AO27">
        <v>0.9</v>
      </c>
      <c r="AP27">
        <v>1.2904068507509501</v>
      </c>
      <c r="AQ27">
        <v>0.82683336621748404</v>
      </c>
      <c r="AR27">
        <v>1.27637701213585</v>
      </c>
      <c r="AS27">
        <v>1.0015063311141299</v>
      </c>
      <c r="AT27">
        <v>0.83065168436487602</v>
      </c>
      <c r="AU27">
        <v>0.83970710119795</v>
      </c>
      <c r="AV27">
        <v>1</v>
      </c>
      <c r="AW27">
        <v>0.99366201598191894</v>
      </c>
      <c r="AX27">
        <v>1</v>
      </c>
      <c r="AY27">
        <v>1</v>
      </c>
      <c r="AZ27">
        <v>0.90868596149374403</v>
      </c>
      <c r="BA27">
        <v>1</v>
      </c>
      <c r="BB27">
        <v>0.98617688954121796</v>
      </c>
      <c r="BC27">
        <v>24306077979.400002</v>
      </c>
      <c r="BD27">
        <v>4.0986873301886002E-2</v>
      </c>
      <c r="BE27">
        <v>3657</v>
      </c>
    </row>
    <row r="28" spans="1:57" x14ac:dyDescent="0.25">
      <c r="A28">
        <v>12</v>
      </c>
      <c r="B28" t="s">
        <v>57</v>
      </c>
      <c r="C28">
        <v>7.4</v>
      </c>
      <c r="D28">
        <v>0.55070251976820095</v>
      </c>
      <c r="E28">
        <v>0.39589456203881102</v>
      </c>
      <c r="F28">
        <v>6.4118990469891699</v>
      </c>
      <c r="G28">
        <v>4.6486442986296197</v>
      </c>
      <c r="H28">
        <v>1.39103330172596</v>
      </c>
      <c r="I28">
        <v>-0.15480795772939099</v>
      </c>
      <c r="J28">
        <v>3.6865620892448499E-2</v>
      </c>
      <c r="K28">
        <v>6.8021527694101403E-3</v>
      </c>
      <c r="L28">
        <v>4.0574550604574704E-3</v>
      </c>
      <c r="M28">
        <v>0.339657848381894</v>
      </c>
      <c r="N28">
        <v>8.5114849346007108E-3</v>
      </c>
      <c r="O28">
        <v>0</v>
      </c>
      <c r="P28">
        <v>3.2595307717019599</v>
      </c>
      <c r="Q28">
        <v>96.740469228297997</v>
      </c>
      <c r="R28">
        <v>17.291565295113401</v>
      </c>
      <c r="S28">
        <v>50.369846760280801</v>
      </c>
      <c r="T28">
        <v>32.338587944605699</v>
      </c>
      <c r="U28">
        <v>0</v>
      </c>
      <c r="V28">
        <v>82.708434704886599</v>
      </c>
      <c r="W28">
        <v>0.39653097406109</v>
      </c>
      <c r="X28">
        <v>-43.463512610915402</v>
      </c>
      <c r="Y28">
        <v>121.488662180788</v>
      </c>
      <c r="Z28">
        <v>100</v>
      </c>
      <c r="AA28">
        <v>49.338412249228597</v>
      </c>
      <c r="AB28">
        <v>336.81590253953698</v>
      </c>
      <c r="AC28">
        <v>334.78457158754497</v>
      </c>
      <c r="AD28">
        <v>17.277806933578798</v>
      </c>
      <c r="AE28">
        <v>337.80317870768101</v>
      </c>
      <c r="AF28">
        <v>3.5756206440192102</v>
      </c>
      <c r="AG28">
        <v>780.67342822431203</v>
      </c>
      <c r="AH28">
        <v>5.2767486522450202</v>
      </c>
      <c r="AI28">
        <v>53.055043786555402</v>
      </c>
      <c r="AJ28">
        <v>174.932516234801</v>
      </c>
      <c r="AK28">
        <v>23.946784059783401</v>
      </c>
      <c r="AL28">
        <v>-29.0700290624339</v>
      </c>
      <c r="AM28">
        <v>7.2872030285826801</v>
      </c>
      <c r="AN28">
        <v>10.769360375012299</v>
      </c>
      <c r="AO28">
        <v>0.9</v>
      </c>
      <c r="AP28">
        <v>1.2901859385960699</v>
      </c>
      <c r="AQ28">
        <v>0.83977790926375495</v>
      </c>
      <c r="AR28">
        <v>1.2747000703643101</v>
      </c>
      <c r="AS28">
        <v>1.00447514539974</v>
      </c>
      <c r="AT28">
        <v>0.82023635149573204</v>
      </c>
      <c r="AU28">
        <v>0.83855066830104397</v>
      </c>
      <c r="AV28">
        <v>1</v>
      </c>
      <c r="AW28">
        <v>0.99109541249923805</v>
      </c>
      <c r="AX28">
        <v>1</v>
      </c>
      <c r="AY28">
        <v>1</v>
      </c>
      <c r="AZ28">
        <v>0.89247903488364799</v>
      </c>
      <c r="BA28">
        <v>1</v>
      </c>
      <c r="BB28">
        <v>0.98782313629497498</v>
      </c>
      <c r="BC28">
        <v>12726342070.5</v>
      </c>
      <c r="BD28">
        <v>5.7276316705671397E-2</v>
      </c>
      <c r="BE28">
        <v>2734</v>
      </c>
    </row>
    <row r="29" spans="1:57" x14ac:dyDescent="0.25">
      <c r="A29">
        <v>13</v>
      </c>
      <c r="B29" t="s">
        <v>57</v>
      </c>
      <c r="C29">
        <v>7.6</v>
      </c>
      <c r="D29">
        <v>0.55450366853095301</v>
      </c>
      <c r="E29">
        <v>0.386570029929659</v>
      </c>
      <c r="F29">
        <v>6.4548154912350402</v>
      </c>
      <c r="G29">
        <v>4.5414722449894303</v>
      </c>
      <c r="H29">
        <v>1.4344197056141501</v>
      </c>
      <c r="I29">
        <v>-0.16793363860129401</v>
      </c>
      <c r="J29">
        <v>3.7239468297174699E-2</v>
      </c>
      <c r="K29">
        <v>7.3641242619815299E-3</v>
      </c>
      <c r="L29">
        <v>3.50854107402472E-3</v>
      </c>
      <c r="M29">
        <v>0.33017212199568302</v>
      </c>
      <c r="N29">
        <v>8.2857743007950391E-3</v>
      </c>
      <c r="O29">
        <v>0</v>
      </c>
      <c r="P29">
        <v>4.2666477874283197</v>
      </c>
      <c r="Q29">
        <v>95.733352212571702</v>
      </c>
      <c r="R29">
        <v>10.206958385576</v>
      </c>
      <c r="S29">
        <v>52.124534819428298</v>
      </c>
      <c r="T29">
        <v>37.6685067949957</v>
      </c>
      <c r="U29">
        <v>0</v>
      </c>
      <c r="V29">
        <v>89.793041614423998</v>
      </c>
      <c r="W29">
        <v>0.433290177712854</v>
      </c>
      <c r="X29">
        <v>-44.021585318004199</v>
      </c>
      <c r="Y29">
        <v>109.739447482226</v>
      </c>
      <c r="Z29">
        <v>100</v>
      </c>
      <c r="AA29">
        <v>42.164567428075898</v>
      </c>
      <c r="AB29">
        <v>343.528764464468</v>
      </c>
      <c r="AC29">
        <v>341.83304338110901</v>
      </c>
      <c r="AD29">
        <v>17.9770232998839</v>
      </c>
      <c r="AE29">
        <v>336.89424763336098</v>
      </c>
      <c r="AF29">
        <v>3.5557273104178702</v>
      </c>
      <c r="AG29">
        <v>782.03146158413995</v>
      </c>
      <c r="AH29">
        <v>5.4323795828055603</v>
      </c>
      <c r="AI29">
        <v>53.338115902564901</v>
      </c>
      <c r="AJ29">
        <v>176.232917816292</v>
      </c>
      <c r="AK29">
        <v>24.293716017026401</v>
      </c>
      <c r="AL29">
        <v>-32.114379203067799</v>
      </c>
      <c r="AM29">
        <v>7.4831671826641797</v>
      </c>
      <c r="AN29">
        <v>11.5115261161099</v>
      </c>
      <c r="AO29">
        <v>0.9</v>
      </c>
      <c r="AP29">
        <v>1.29010335287543</v>
      </c>
      <c r="AQ29">
        <v>0.85589398371915104</v>
      </c>
      <c r="AR29">
        <v>1.2769886230655201</v>
      </c>
      <c r="AS29">
        <v>1.0061558920515801</v>
      </c>
      <c r="AT29">
        <v>0.81368804394234395</v>
      </c>
      <c r="AU29">
        <v>0.83576521388033898</v>
      </c>
      <c r="AV29">
        <v>1</v>
      </c>
      <c r="AW29">
        <v>0.98516017593204697</v>
      </c>
      <c r="AX29">
        <v>1</v>
      </c>
      <c r="AY29">
        <v>1</v>
      </c>
      <c r="AZ29">
        <v>0.88326904590124899</v>
      </c>
      <c r="BA29">
        <v>1</v>
      </c>
      <c r="BB29">
        <v>0.99076740407945096</v>
      </c>
      <c r="BC29">
        <v>5658038990.5</v>
      </c>
      <c r="BD29">
        <v>7.6497057319300593E-2</v>
      </c>
      <c r="BE29">
        <v>2404</v>
      </c>
    </row>
    <row r="30" spans="1:57" x14ac:dyDescent="0.25">
      <c r="A30">
        <v>14</v>
      </c>
      <c r="B30" t="s">
        <v>57</v>
      </c>
      <c r="C30">
        <v>7.8</v>
      </c>
      <c r="D30">
        <v>0.46014634247767</v>
      </c>
      <c r="E30">
        <v>0.407016428356124</v>
      </c>
      <c r="F30">
        <v>5.38413264373989</v>
      </c>
      <c r="G30">
        <v>4.7763298781453196</v>
      </c>
      <c r="H30">
        <v>1.13053506055303</v>
      </c>
      <c r="I30">
        <v>-5.3129914121545399E-2</v>
      </c>
      <c r="J30">
        <v>3.8574593948520898E-2</v>
      </c>
      <c r="K30">
        <v>7.8180225959943294E-3</v>
      </c>
      <c r="L30">
        <v>5.0224484806366898E-3</v>
      </c>
      <c r="M30">
        <v>0.346579012679615</v>
      </c>
      <c r="N30">
        <v>9.0223506513568801E-3</v>
      </c>
      <c r="O30">
        <v>0</v>
      </c>
      <c r="P30">
        <v>9.6351077753110808</v>
      </c>
      <c r="Q30">
        <v>90.364892224688901</v>
      </c>
      <c r="R30">
        <v>15.120280148198599</v>
      </c>
      <c r="S30">
        <v>46.091902089166801</v>
      </c>
      <c r="T30">
        <v>38.787817762634504</v>
      </c>
      <c r="U30">
        <v>0</v>
      </c>
      <c r="V30">
        <v>84.879719851801397</v>
      </c>
      <c r="W30">
        <v>0.45071776961016902</v>
      </c>
      <c r="X30">
        <v>-44.3879522857155</v>
      </c>
      <c r="Y30">
        <v>115.137135452048</v>
      </c>
      <c r="Z30">
        <v>100</v>
      </c>
      <c r="AA30">
        <v>39.293662485514901</v>
      </c>
      <c r="AB30">
        <v>345.509666730829</v>
      </c>
      <c r="AC30">
        <v>344.34026789514098</v>
      </c>
      <c r="AD30">
        <v>18.8008741240637</v>
      </c>
      <c r="AE30">
        <v>334.59402711238101</v>
      </c>
      <c r="AF30">
        <v>3.55105374257333</v>
      </c>
      <c r="AG30">
        <v>777.75242729175204</v>
      </c>
      <c r="AH30">
        <v>5.0839498075583798</v>
      </c>
      <c r="AI30">
        <v>54.174506436293903</v>
      </c>
      <c r="AJ30">
        <v>176.584197524714</v>
      </c>
      <c r="AK30">
        <v>24.3359770522312</v>
      </c>
      <c r="AL30">
        <v>-33.159018622234399</v>
      </c>
      <c r="AM30">
        <v>7.6819635331718201</v>
      </c>
      <c r="AN30">
        <v>12.378148773786201</v>
      </c>
      <c r="AO30">
        <v>0.9</v>
      </c>
      <c r="AP30">
        <v>1.29013176608949</v>
      </c>
      <c r="AQ30">
        <v>0.87448897209352505</v>
      </c>
      <c r="AR30">
        <v>1.2723863489968701</v>
      </c>
      <c r="AS30">
        <v>1.0062184887855199</v>
      </c>
      <c r="AT30">
        <v>0.81251643324144096</v>
      </c>
      <c r="AU30">
        <v>0.84404987349587801</v>
      </c>
      <c r="AV30">
        <v>1</v>
      </c>
      <c r="AW30">
        <v>0.98434186486962905</v>
      </c>
      <c r="AX30">
        <v>1</v>
      </c>
      <c r="AY30">
        <v>1</v>
      </c>
      <c r="AZ30">
        <v>0.88965636419265803</v>
      </c>
      <c r="BA30">
        <v>1</v>
      </c>
      <c r="BB30">
        <v>1.0149629077840301</v>
      </c>
      <c r="BC30">
        <v>2039916853.9000001</v>
      </c>
      <c r="BD30">
        <v>5.6389964708330201E-2</v>
      </c>
      <c r="BE30">
        <v>2251</v>
      </c>
    </row>
    <row r="31" spans="1:57" x14ac:dyDescent="0.25">
      <c r="A31">
        <v>15</v>
      </c>
      <c r="B31" t="s">
        <v>57</v>
      </c>
      <c r="C31">
        <v>8</v>
      </c>
      <c r="D31">
        <v>1.0241610086847801</v>
      </c>
      <c r="E31">
        <v>0.45052173798976403</v>
      </c>
      <c r="F31">
        <v>11.6207519773355</v>
      </c>
      <c r="G31">
        <v>5.2742922488005997</v>
      </c>
      <c r="H31">
        <v>2.2732776741353402</v>
      </c>
      <c r="I31">
        <v>-0.57363927069501697</v>
      </c>
      <c r="J31">
        <v>4.0527336102389497E-2</v>
      </c>
      <c r="K31">
        <v>7.29499933597856E-3</v>
      </c>
      <c r="L31">
        <v>6.4860737851732703E-3</v>
      </c>
      <c r="M31">
        <v>0.387725163091036</v>
      </c>
      <c r="N31">
        <v>8.4881656751872592E-3</v>
      </c>
      <c r="O31">
        <v>0</v>
      </c>
      <c r="P31">
        <v>15.387381964073001</v>
      </c>
      <c r="Q31">
        <v>84.612618035926999</v>
      </c>
      <c r="R31">
        <v>21.728379069561601</v>
      </c>
      <c r="S31">
        <v>37.179437702022803</v>
      </c>
      <c r="T31">
        <v>41.0921832284156</v>
      </c>
      <c r="U31">
        <v>0</v>
      </c>
      <c r="V31">
        <v>78.271620930438402</v>
      </c>
      <c r="W31">
        <v>0.41414679410180999</v>
      </c>
      <c r="X31">
        <v>-46.752547068833699</v>
      </c>
      <c r="Y31">
        <v>113.760916030114</v>
      </c>
      <c r="Z31">
        <v>100</v>
      </c>
      <c r="AA31">
        <v>38.676495700608399</v>
      </c>
      <c r="AB31">
        <v>347.759874200887</v>
      </c>
      <c r="AC31">
        <v>347.34743848201202</v>
      </c>
      <c r="AD31">
        <v>18.986240221975901</v>
      </c>
      <c r="AE31">
        <v>332.423736707496</v>
      </c>
      <c r="AF31">
        <v>3.56084548397655</v>
      </c>
      <c r="AG31">
        <v>774.49187695321996</v>
      </c>
      <c r="AH31">
        <v>4.2266475594996402</v>
      </c>
      <c r="AI31">
        <v>55.804495988335802</v>
      </c>
      <c r="AJ31">
        <v>176.092492711788</v>
      </c>
      <c r="AK31">
        <v>23.728439267163999</v>
      </c>
      <c r="AL31">
        <v>-34.539513665822497</v>
      </c>
      <c r="AM31">
        <v>7.8922195403972299</v>
      </c>
      <c r="AN31">
        <v>12.864421209298699</v>
      </c>
      <c r="AO31">
        <v>0.9</v>
      </c>
      <c r="AP31">
        <v>1.2901592636627299</v>
      </c>
      <c r="AQ31">
        <v>0.87900780627108799</v>
      </c>
      <c r="AR31">
        <v>1.2684810909467501</v>
      </c>
      <c r="AS31">
        <v>1.0059456139980201</v>
      </c>
      <c r="AT31">
        <v>0.81156630444026501</v>
      </c>
      <c r="AU31">
        <v>0.85017516651252401</v>
      </c>
      <c r="AV31">
        <v>1</v>
      </c>
      <c r="AW31">
        <v>0.98279848180136498</v>
      </c>
      <c r="AX31">
        <v>1</v>
      </c>
      <c r="AY31">
        <v>1</v>
      </c>
      <c r="AZ31">
        <v>0.89824689279043002</v>
      </c>
      <c r="BA31">
        <v>1</v>
      </c>
      <c r="BB31">
        <v>1.0366601668301201</v>
      </c>
      <c r="BC31">
        <v>724427190.79999995</v>
      </c>
      <c r="BD31">
        <v>0.10494395890918599</v>
      </c>
      <c r="BE31">
        <v>1614</v>
      </c>
    </row>
    <row r="38" spans="2:14" x14ac:dyDescent="0.25">
      <c r="B38" t="s">
        <v>53</v>
      </c>
      <c r="C38" t="s">
        <v>58</v>
      </c>
      <c r="D38" t="str">
        <f t="shared" ref="D38:D52" si="0">D1</f>
        <v>actual.smm</v>
      </c>
      <c r="E38" t="s">
        <v>56</v>
      </c>
      <c r="F38" t="s">
        <v>57</v>
      </c>
      <c r="J38" t="s">
        <v>59</v>
      </c>
      <c r="K38" t="s">
        <v>60</v>
      </c>
      <c r="L38" s="3" t="str">
        <f t="shared" ref="L38:L52" si="1">D38</f>
        <v>actual.smm</v>
      </c>
      <c r="M38" t="s">
        <v>6</v>
      </c>
      <c r="N38" t="s">
        <v>61</v>
      </c>
    </row>
    <row r="39" spans="2:14" x14ac:dyDescent="0.25">
      <c r="B39" s="3">
        <f t="shared" ref="B39:B52" si="2">BC2/1000000000</f>
        <v>0.2968369313</v>
      </c>
      <c r="C39">
        <f t="shared" ref="C39:C52" si="3">C2</f>
        <v>5.2</v>
      </c>
      <c r="D39" s="3">
        <f t="shared" si="0"/>
        <v>0.55788943546803205</v>
      </c>
      <c r="E39" s="3">
        <f t="shared" ref="E39:E52" si="4">E2</f>
        <v>0.63645194931734805</v>
      </c>
      <c r="F39" s="3">
        <f t="shared" ref="F39:F52" si="5">VLOOKUP(C39,C17:E31,3,0)</f>
        <v>0.48873689026085099</v>
      </c>
      <c r="I39" s="4">
        <f t="shared" ref="I39:I52" si="6">C39</f>
        <v>5.2</v>
      </c>
      <c r="J39" s="3">
        <v>0.46814808564303378</v>
      </c>
      <c r="K39" s="2">
        <f>J39*E39+(1-J39)*F39</f>
        <v>0.55788941237879774</v>
      </c>
      <c r="L39" s="3">
        <f t="shared" si="1"/>
        <v>0.55788943546803205</v>
      </c>
      <c r="M39" s="3">
        <f t="shared" ref="M39:M52" si="7">L39/K39</f>
        <v>1.0000000413867585</v>
      </c>
      <c r="N39" s="3">
        <f>ABS(M39-1)</f>
        <v>4.1386758464767581E-8</v>
      </c>
    </row>
    <row r="40" spans="2:14" x14ac:dyDescent="0.25">
      <c r="B40" s="3">
        <f t="shared" si="2"/>
        <v>1.0997274198</v>
      </c>
      <c r="C40">
        <f t="shared" si="3"/>
        <v>5.4</v>
      </c>
      <c r="D40" s="3">
        <f t="shared" si="0"/>
        <v>0.44527121448865398</v>
      </c>
      <c r="E40" s="3">
        <f t="shared" si="4"/>
        <v>0.61752942792655696</v>
      </c>
      <c r="F40" s="3">
        <f t="shared" si="5"/>
        <v>0.46814387799573298</v>
      </c>
      <c r="I40" s="4">
        <f t="shared" si="6"/>
        <v>5.4</v>
      </c>
      <c r="J40" s="3">
        <v>0</v>
      </c>
      <c r="K40" s="2">
        <f t="shared" ref="K40:K52" si="8">J40*E40+(1-J40)*F40</f>
        <v>0.46814387799573298</v>
      </c>
      <c r="L40" s="3">
        <f t="shared" si="1"/>
        <v>0.44527121448865398</v>
      </c>
      <c r="M40" s="3">
        <f t="shared" si="7"/>
        <v>0.95114180793092096</v>
      </c>
      <c r="N40" s="3">
        <f t="shared" ref="N40:N52" si="9">ABS(M40-1)</f>
        <v>4.8858192069079043E-2</v>
      </c>
    </row>
    <row r="41" spans="2:14" x14ac:dyDescent="0.25">
      <c r="B41" s="3">
        <f t="shared" si="2"/>
        <v>1.7428073328</v>
      </c>
      <c r="C41">
        <f t="shared" si="3"/>
        <v>5.6</v>
      </c>
      <c r="D41" s="3">
        <f t="shared" si="0"/>
        <v>0.35830259151903099</v>
      </c>
      <c r="E41" s="3">
        <f t="shared" si="4"/>
        <v>0.63249926352056496</v>
      </c>
      <c r="F41" s="3">
        <f t="shared" si="5"/>
        <v>0.47609461448214502</v>
      </c>
      <c r="I41" s="4">
        <f t="shared" si="6"/>
        <v>5.6</v>
      </c>
      <c r="J41" s="3">
        <v>0</v>
      </c>
      <c r="K41" s="2">
        <f t="shared" si="8"/>
        <v>0.47609461448214502</v>
      </c>
      <c r="L41" s="3">
        <f t="shared" si="1"/>
        <v>0.35830259151903099</v>
      </c>
      <c r="M41" s="3">
        <f t="shared" si="7"/>
        <v>0.75258694515744917</v>
      </c>
      <c r="N41" s="3">
        <f t="shared" si="9"/>
        <v>0.24741305484255083</v>
      </c>
    </row>
    <row r="42" spans="2:14" x14ac:dyDescent="0.25">
      <c r="B42" s="3">
        <f t="shared" si="2"/>
        <v>0.79157459559999999</v>
      </c>
      <c r="C42">
        <f t="shared" si="3"/>
        <v>5.8</v>
      </c>
      <c r="D42" s="3">
        <f t="shared" si="0"/>
        <v>0.44266188436632797</v>
      </c>
      <c r="E42" s="3">
        <f t="shared" si="4"/>
        <v>0.57976035164490203</v>
      </c>
      <c r="F42" s="3">
        <f t="shared" si="5"/>
        <v>0.42907024835607699</v>
      </c>
      <c r="I42" s="4">
        <f t="shared" si="6"/>
        <v>5.8</v>
      </c>
      <c r="J42" s="3">
        <v>9.0195867933130447E-2</v>
      </c>
      <c r="K42" s="2">
        <f t="shared" si="8"/>
        <v>0.44266187301114557</v>
      </c>
      <c r="L42" s="3">
        <f t="shared" si="1"/>
        <v>0.44266188436632797</v>
      </c>
      <c r="M42" s="3">
        <f t="shared" si="7"/>
        <v>1.0000000256520454</v>
      </c>
      <c r="N42" s="3">
        <f t="shared" si="9"/>
        <v>2.5652045376745036E-8</v>
      </c>
    </row>
    <row r="43" spans="2:14" x14ac:dyDescent="0.25">
      <c r="B43" s="3">
        <f t="shared" si="2"/>
        <v>2.0599324645000001</v>
      </c>
      <c r="C43">
        <f t="shared" si="3"/>
        <v>6</v>
      </c>
      <c r="D43" s="3">
        <f t="shared" si="0"/>
        <v>0.51889020945515596</v>
      </c>
      <c r="E43" s="3">
        <f t="shared" si="4"/>
        <v>0.50296368759933796</v>
      </c>
      <c r="F43" s="3">
        <f t="shared" si="5"/>
        <v>0.365753883815855</v>
      </c>
      <c r="I43" s="4">
        <f t="shared" si="6"/>
        <v>6</v>
      </c>
      <c r="J43" s="3">
        <v>1.116073784417233</v>
      </c>
      <c r="K43" s="2">
        <f t="shared" si="8"/>
        <v>0.51889014878363282</v>
      </c>
      <c r="L43" s="3">
        <f t="shared" si="1"/>
        <v>0.51889020945515596</v>
      </c>
      <c r="M43" s="3">
        <f t="shared" si="7"/>
        <v>1.0000001169255637</v>
      </c>
      <c r="N43" s="3">
        <f t="shared" si="9"/>
        <v>1.1692556367570717E-7</v>
      </c>
    </row>
    <row r="44" spans="2:14" x14ac:dyDescent="0.25">
      <c r="B44" s="3">
        <f t="shared" si="2"/>
        <v>6.5317092724999997</v>
      </c>
      <c r="C44">
        <f t="shared" si="3"/>
        <v>6.2</v>
      </c>
      <c r="D44" s="3">
        <f t="shared" si="0"/>
        <v>0.46088523509278101</v>
      </c>
      <c r="E44" s="3">
        <f t="shared" si="4"/>
        <v>0.507104874003385</v>
      </c>
      <c r="F44" s="3">
        <f t="shared" si="5"/>
        <v>0.365216349869245</v>
      </c>
      <c r="I44" s="4">
        <f t="shared" si="6"/>
        <v>6.2</v>
      </c>
      <c r="J44" s="3">
        <v>0.67425385282230899</v>
      </c>
      <c r="K44" s="2">
        <f t="shared" si="8"/>
        <v>0.46088523393796005</v>
      </c>
      <c r="L44" s="3">
        <f t="shared" si="1"/>
        <v>0.46088523509278101</v>
      </c>
      <c r="M44" s="3">
        <f t="shared" si="7"/>
        <v>1.0000000025056583</v>
      </c>
      <c r="N44" s="3">
        <f t="shared" si="9"/>
        <v>2.5056583474736271E-9</v>
      </c>
    </row>
    <row r="45" spans="2:14" x14ac:dyDescent="0.25">
      <c r="B45" s="3">
        <f t="shared" si="2"/>
        <v>22.009636070999999</v>
      </c>
      <c r="C45">
        <f t="shared" si="3"/>
        <v>6.4</v>
      </c>
      <c r="D45" s="3">
        <f t="shared" si="0"/>
        <v>0.41215412159475101</v>
      </c>
      <c r="E45" s="3">
        <f t="shared" si="4"/>
        <v>0.53446316535235605</v>
      </c>
      <c r="F45" s="3">
        <f t="shared" si="5"/>
        <v>0.381540941965827</v>
      </c>
      <c r="I45" s="4">
        <f t="shared" si="6"/>
        <v>6.4</v>
      </c>
      <c r="J45" s="3">
        <v>0.200187889272708</v>
      </c>
      <c r="K45" s="2">
        <f t="shared" si="8"/>
        <v>0.41215411908846578</v>
      </c>
      <c r="L45" s="3">
        <f t="shared" si="1"/>
        <v>0.41215412159475101</v>
      </c>
      <c r="M45" s="3">
        <f t="shared" si="7"/>
        <v>1.0000000060809418</v>
      </c>
      <c r="N45" s="3">
        <f t="shared" si="9"/>
        <v>6.0809417501417329E-9</v>
      </c>
    </row>
    <row r="46" spans="2:14" x14ac:dyDescent="0.25">
      <c r="B46" s="3">
        <f t="shared" si="2"/>
        <v>49.665692745999998</v>
      </c>
      <c r="C46">
        <f t="shared" si="3"/>
        <v>6.6</v>
      </c>
      <c r="D46" s="3">
        <f t="shared" si="0"/>
        <v>0.48630309823839901</v>
      </c>
      <c r="E46" s="3">
        <f t="shared" si="4"/>
        <v>0.55835456515974602</v>
      </c>
      <c r="F46" s="3">
        <f t="shared" si="5"/>
        <v>0.40324456482459198</v>
      </c>
      <c r="I46" s="4">
        <f t="shared" si="6"/>
        <v>6.6</v>
      </c>
      <c r="J46" s="3">
        <v>0.5354814661284325</v>
      </c>
      <c r="K46" s="2">
        <f t="shared" si="8"/>
        <v>0.48630309521524195</v>
      </c>
      <c r="L46" s="3">
        <f t="shared" si="1"/>
        <v>0.48630309823839901</v>
      </c>
      <c r="M46" s="3">
        <f t="shared" si="7"/>
        <v>1.0000000062166108</v>
      </c>
      <c r="N46" s="3">
        <f t="shared" si="9"/>
        <v>6.2166107817063221E-9</v>
      </c>
    </row>
    <row r="47" spans="2:14" x14ac:dyDescent="0.25">
      <c r="B47" s="3">
        <f t="shared" si="2"/>
        <v>62.792081132500002</v>
      </c>
      <c r="C47">
        <f t="shared" si="3"/>
        <v>6.8</v>
      </c>
      <c r="D47" s="3">
        <f t="shared" si="0"/>
        <v>0.51823930731979695</v>
      </c>
      <c r="E47" s="3">
        <f t="shared" si="4"/>
        <v>0.58327622728418804</v>
      </c>
      <c r="F47" s="3">
        <f t="shared" si="5"/>
        <v>0.43072591639748897</v>
      </c>
      <c r="I47" s="4">
        <f t="shared" si="6"/>
        <v>6.8</v>
      </c>
      <c r="J47" s="3">
        <v>0.57366900030457846</v>
      </c>
      <c r="K47" s="2">
        <f t="shared" si="8"/>
        <v>0.51823930074001434</v>
      </c>
      <c r="L47" s="3">
        <f t="shared" si="1"/>
        <v>0.51823930731979695</v>
      </c>
      <c r="M47" s="3">
        <f t="shared" si="7"/>
        <v>1.0000000126964177</v>
      </c>
      <c r="N47" s="3">
        <f t="shared" si="9"/>
        <v>1.2696417694968432E-8</v>
      </c>
    </row>
    <row r="48" spans="2:14" x14ac:dyDescent="0.25">
      <c r="B48" s="3">
        <f t="shared" si="2"/>
        <v>43.361463454599999</v>
      </c>
      <c r="C48">
        <f t="shared" si="3"/>
        <v>7</v>
      </c>
      <c r="D48" s="3">
        <f t="shared" si="0"/>
        <v>0.52592853235612702</v>
      </c>
      <c r="E48" s="3">
        <f t="shared" si="4"/>
        <v>0.57037105532627297</v>
      </c>
      <c r="F48" s="3">
        <f t="shared" si="5"/>
        <v>0.42536334640839601</v>
      </c>
      <c r="I48" s="4">
        <f t="shared" si="6"/>
        <v>7</v>
      </c>
      <c r="J48" s="3">
        <v>0.69351613105216148</v>
      </c>
      <c r="K48" s="2">
        <f t="shared" si="8"/>
        <v>0.52592853166986009</v>
      </c>
      <c r="L48" s="3">
        <f t="shared" si="1"/>
        <v>0.52592853235612702</v>
      </c>
      <c r="M48" s="3">
        <f t="shared" si="7"/>
        <v>1.0000000013048673</v>
      </c>
      <c r="N48" s="3">
        <f t="shared" si="9"/>
        <v>1.304867325302439E-9</v>
      </c>
    </row>
    <row r="49" spans="2:14" x14ac:dyDescent="0.25">
      <c r="B49" s="3">
        <f t="shared" si="2"/>
        <v>24.306077979400001</v>
      </c>
      <c r="C49">
        <f t="shared" si="3"/>
        <v>7.2</v>
      </c>
      <c r="D49" s="3">
        <f t="shared" si="0"/>
        <v>0.49625789601251402</v>
      </c>
      <c r="E49" s="3">
        <f t="shared" si="4"/>
        <v>0.53603139121729604</v>
      </c>
      <c r="F49" s="3">
        <f t="shared" si="5"/>
        <v>0.39850966834519902</v>
      </c>
      <c r="I49" s="4">
        <f t="shared" si="6"/>
        <v>7.2</v>
      </c>
      <c r="J49" s="3">
        <v>0.71078390381692336</v>
      </c>
      <c r="K49" s="2">
        <f t="shared" si="8"/>
        <v>0.4962578953878572</v>
      </c>
      <c r="L49" s="3">
        <f t="shared" si="1"/>
        <v>0.49625789601251402</v>
      </c>
      <c r="M49" s="3">
        <f t="shared" si="7"/>
        <v>1.0000000012587342</v>
      </c>
      <c r="N49" s="3">
        <f t="shared" si="9"/>
        <v>1.2587342279601899E-9</v>
      </c>
    </row>
    <row r="50" spans="2:14" x14ac:dyDescent="0.25">
      <c r="B50" s="3">
        <f t="shared" si="2"/>
        <v>12.726342070499999</v>
      </c>
      <c r="C50">
        <f t="shared" si="3"/>
        <v>7.4</v>
      </c>
      <c r="D50" s="3">
        <f t="shared" si="0"/>
        <v>0.55070251976820095</v>
      </c>
      <c r="E50" s="3">
        <f t="shared" si="4"/>
        <v>0.52861821439572099</v>
      </c>
      <c r="F50" s="3">
        <f t="shared" si="5"/>
        <v>0.39589456203881102</v>
      </c>
      <c r="I50" s="4">
        <f t="shared" si="6"/>
        <v>7.4</v>
      </c>
      <c r="J50" s="3">
        <v>1.1663930475737792</v>
      </c>
      <c r="K50" s="2">
        <f t="shared" si="8"/>
        <v>0.55070250739651005</v>
      </c>
      <c r="L50" s="3">
        <f t="shared" si="1"/>
        <v>0.55070251976820095</v>
      </c>
      <c r="M50" s="3">
        <f t="shared" si="7"/>
        <v>1.0000000224652887</v>
      </c>
      <c r="N50" s="3">
        <f t="shared" si="9"/>
        <v>2.2465288740391998E-8</v>
      </c>
    </row>
    <row r="51" spans="2:14" x14ac:dyDescent="0.25">
      <c r="B51" s="3">
        <f t="shared" si="2"/>
        <v>5.6580389904999997</v>
      </c>
      <c r="C51">
        <f t="shared" si="3"/>
        <v>7.6</v>
      </c>
      <c r="D51" s="3">
        <f t="shared" si="0"/>
        <v>0.55450366853095301</v>
      </c>
      <c r="E51" s="3">
        <f t="shared" si="4"/>
        <v>0.51391561358655902</v>
      </c>
      <c r="F51" s="3">
        <f t="shared" si="5"/>
        <v>0.386570029929659</v>
      </c>
      <c r="I51" s="4">
        <f t="shared" si="6"/>
        <v>7.6</v>
      </c>
      <c r="J51" s="3">
        <v>1.3187234362120297</v>
      </c>
      <c r="K51" s="2">
        <f t="shared" si="8"/>
        <v>0.5545036355961126</v>
      </c>
      <c r="L51" s="3">
        <f t="shared" si="1"/>
        <v>0.55450366853095301</v>
      </c>
      <c r="M51" s="3">
        <f t="shared" si="7"/>
        <v>1.0000000593951748</v>
      </c>
      <c r="N51" s="3">
        <f t="shared" si="9"/>
        <v>5.9395174778487103E-8</v>
      </c>
    </row>
    <row r="52" spans="2:14" x14ac:dyDescent="0.25">
      <c r="B52" s="3">
        <f t="shared" si="2"/>
        <v>2.0399168538999999</v>
      </c>
      <c r="C52">
        <f t="shared" si="3"/>
        <v>7.8</v>
      </c>
      <c r="D52" s="3">
        <f t="shared" si="0"/>
        <v>0.46014634247767</v>
      </c>
      <c r="E52" s="3">
        <f t="shared" si="4"/>
        <v>0.53638459641066405</v>
      </c>
      <c r="F52" s="3">
        <f t="shared" si="5"/>
        <v>0.407016428356124</v>
      </c>
      <c r="I52" s="4">
        <f t="shared" si="6"/>
        <v>7.8</v>
      </c>
      <c r="J52" s="3">
        <v>0.41068739777961583</v>
      </c>
      <c r="K52" s="2">
        <f t="shared" si="8"/>
        <v>0.46014630464995909</v>
      </c>
      <c r="L52" s="3">
        <f t="shared" si="1"/>
        <v>0.46014634247767</v>
      </c>
      <c r="M52" s="3">
        <f t="shared" si="7"/>
        <v>1.0000000822080075</v>
      </c>
      <c r="N52" s="3">
        <f t="shared" si="9"/>
        <v>8.2208007512463155E-8</v>
      </c>
    </row>
    <row r="53" spans="2:14" x14ac:dyDescent="0.25">
      <c r="B53" s="3"/>
      <c r="D53" s="3"/>
      <c r="E53" s="3"/>
      <c r="F53" s="3"/>
      <c r="I53" s="4"/>
      <c r="J53" s="3"/>
      <c r="K53" s="2"/>
      <c r="L53" s="3"/>
      <c r="M53" s="3"/>
      <c r="N53" s="3"/>
    </row>
    <row r="54" spans="2:14" x14ac:dyDescent="0.25">
      <c r="J54" s="3"/>
    </row>
  </sheetData>
  <conditionalFormatting sqref="B39:B5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{5621C7BF-9DAE-4747-B43D-9BEDEF692C4F}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21C7BF-9DAE-4747-B43D-9BEDEF692C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B39:B53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98"/>
  <sheetViews>
    <sheetView topLeftCell="A32" workbookViewId="0">
      <selection activeCell="H98" sqref="H98"/>
    </sheetView>
  </sheetViews>
  <sheetFormatPr defaultRowHeight="15" x14ac:dyDescent="0.25"/>
  <cols>
    <col min="1" max="2" width="16.28515625" bestFit="1" customWidth="1"/>
    <col min="3" max="3" width="12.7109375" customWidth="1"/>
    <col min="4" max="4" width="11.140625" customWidth="1"/>
    <col min="5" max="5" width="12" bestFit="1" customWidth="1"/>
  </cols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 t="s">
        <v>56</v>
      </c>
      <c r="C2">
        <v>5.0999999999999996</v>
      </c>
      <c r="D2">
        <v>0.76827756169828798</v>
      </c>
      <c r="E2">
        <v>0.62322354623679099</v>
      </c>
      <c r="F2">
        <v>8.83957158905271</v>
      </c>
      <c r="G2">
        <v>7.2275850343066299</v>
      </c>
      <c r="H2">
        <v>1.2327479703508899</v>
      </c>
      <c r="I2">
        <v>-0.14505401546149599</v>
      </c>
      <c r="J2">
        <v>4.1193044179962897E-2</v>
      </c>
      <c r="K2">
        <v>7.5868979960192597E-3</v>
      </c>
      <c r="L2">
        <v>5.70699504196796E-4</v>
      </c>
      <c r="M2">
        <v>0.56707958557802396</v>
      </c>
      <c r="N2">
        <v>6.7933189785887296E-3</v>
      </c>
      <c r="O2">
        <v>0</v>
      </c>
      <c r="P2">
        <v>22.586570161545701</v>
      </c>
      <c r="Q2">
        <v>77.413429838454306</v>
      </c>
      <c r="R2">
        <v>37.288434031079298</v>
      </c>
      <c r="S2">
        <v>34.843713155720202</v>
      </c>
      <c r="T2">
        <v>27.8678528132005</v>
      </c>
      <c r="U2">
        <v>0</v>
      </c>
      <c r="V2">
        <v>62.711565968920702</v>
      </c>
      <c r="W2">
        <v>0.38741324998437299</v>
      </c>
      <c r="X2">
        <v>-46.899895272040403</v>
      </c>
      <c r="Y2">
        <v>123.038293513269</v>
      </c>
      <c r="Z2">
        <v>100</v>
      </c>
      <c r="AA2">
        <v>57.464568647896897</v>
      </c>
      <c r="AB2">
        <v>322.76557823412702</v>
      </c>
      <c r="AC2">
        <v>322.54094378997002</v>
      </c>
      <c r="AD2">
        <v>18.8331814424192</v>
      </c>
      <c r="AE2">
        <v>331.29624245978601</v>
      </c>
      <c r="AF2">
        <v>3.5728631505619899</v>
      </c>
      <c r="AG2">
        <v>772.08415084210105</v>
      </c>
      <c r="AH2">
        <v>4.0909319771695101</v>
      </c>
      <c r="AI2">
        <v>44.804733526287301</v>
      </c>
      <c r="AJ2">
        <v>174.938602074187</v>
      </c>
      <c r="AK2">
        <v>23.9918083464745</v>
      </c>
      <c r="AL2">
        <v>-35.249770927201503</v>
      </c>
      <c r="AM2">
        <v>5.0478485921156704</v>
      </c>
      <c r="AN2">
        <v>8.0829539050399397</v>
      </c>
      <c r="AO2">
        <v>0.9</v>
      </c>
      <c r="AP2">
        <v>1.2791920172264599</v>
      </c>
      <c r="AQ2">
        <v>1.17723582438171</v>
      </c>
      <c r="AR2">
        <v>1.2694382751683699</v>
      </c>
      <c r="AS2">
        <v>0.99963079673570199</v>
      </c>
      <c r="AT2">
        <v>0.83848576038067302</v>
      </c>
      <c r="AU2">
        <v>0.85479414045774404</v>
      </c>
      <c r="AV2">
        <v>1</v>
      </c>
      <c r="AW2">
        <v>0.98114873619208898</v>
      </c>
      <c r="AX2">
        <v>1</v>
      </c>
      <c r="AY2">
        <v>1</v>
      </c>
      <c r="AZ2">
        <v>0.91847496424040298</v>
      </c>
      <c r="BA2">
        <v>1</v>
      </c>
      <c r="BB2">
        <v>1.09931210602825</v>
      </c>
      <c r="BC2">
        <v>125935424</v>
      </c>
      <c r="BD2">
        <v>8.89021755424797E-2</v>
      </c>
      <c r="BE2">
        <v>385</v>
      </c>
    </row>
    <row r="3" spans="1:57" x14ac:dyDescent="0.25">
      <c r="A3">
        <v>2</v>
      </c>
      <c r="B3" t="s">
        <v>56</v>
      </c>
      <c r="C3">
        <v>5.2</v>
      </c>
      <c r="D3">
        <v>0.40285676021571298</v>
      </c>
      <c r="E3">
        <v>0.64619981273360505</v>
      </c>
      <c r="F3">
        <v>4.7285927959754099</v>
      </c>
      <c r="G3">
        <v>7.4846497556907003</v>
      </c>
      <c r="H3">
        <v>0.62342444593339796</v>
      </c>
      <c r="I3">
        <v>0.24334305251789201</v>
      </c>
      <c r="J3">
        <v>3.9959241158894002E-2</v>
      </c>
      <c r="K3">
        <v>7.0634927528909304E-3</v>
      </c>
      <c r="L3">
        <v>4.9658743836058302E-4</v>
      </c>
      <c r="M3">
        <v>0.59300140041328997</v>
      </c>
      <c r="N3">
        <v>5.6790909701696403E-3</v>
      </c>
      <c r="O3">
        <v>0</v>
      </c>
      <c r="P3">
        <v>20.197431986019701</v>
      </c>
      <c r="Q3">
        <v>79.802568013980306</v>
      </c>
      <c r="R3">
        <v>52.417674726968301</v>
      </c>
      <c r="S3">
        <v>26.977933856994099</v>
      </c>
      <c r="T3">
        <v>20.6043914160376</v>
      </c>
      <c r="U3">
        <v>0</v>
      </c>
      <c r="V3">
        <v>47.582325273031699</v>
      </c>
      <c r="W3">
        <v>0.34105482942103899</v>
      </c>
      <c r="X3">
        <v>-46.5793103043627</v>
      </c>
      <c r="Y3">
        <v>126.17090600077999</v>
      </c>
      <c r="Z3">
        <v>100</v>
      </c>
      <c r="AA3">
        <v>62.041017661404801</v>
      </c>
      <c r="AB3">
        <v>298.36166106441402</v>
      </c>
      <c r="AC3">
        <v>297.291518309271</v>
      </c>
      <c r="AD3">
        <v>19.535150062014701</v>
      </c>
      <c r="AE3">
        <v>333.72110063677599</v>
      </c>
      <c r="AF3">
        <v>3.6321620570633799</v>
      </c>
      <c r="AG3">
        <v>773.31695466462395</v>
      </c>
      <c r="AH3">
        <v>3.3776691475675502</v>
      </c>
      <c r="AI3">
        <v>45.863625972712498</v>
      </c>
      <c r="AJ3">
        <v>174.03604510719299</v>
      </c>
      <c r="AK3">
        <v>22.4674683564362</v>
      </c>
      <c r="AL3">
        <v>-33.283757285855103</v>
      </c>
      <c r="AM3">
        <v>5.15850919394033</v>
      </c>
      <c r="AN3">
        <v>8.5757576753038993</v>
      </c>
      <c r="AO3">
        <v>0.9</v>
      </c>
      <c r="AP3">
        <v>1.28133600068572</v>
      </c>
      <c r="AQ3">
        <v>1.1989103590629</v>
      </c>
      <c r="AR3">
        <v>1.27175393718467</v>
      </c>
      <c r="AS3">
        <v>0.99686061110462099</v>
      </c>
      <c r="AT3">
        <v>0.86179936023048398</v>
      </c>
      <c r="AU3">
        <v>0.85246834386526904</v>
      </c>
      <c r="AV3">
        <v>1</v>
      </c>
      <c r="AW3">
        <v>0.98360280014479495</v>
      </c>
      <c r="AX3">
        <v>1</v>
      </c>
      <c r="AY3">
        <v>1</v>
      </c>
      <c r="AZ3">
        <v>0.93814297714505901</v>
      </c>
      <c r="BA3">
        <v>1</v>
      </c>
      <c r="BB3">
        <v>1.04458251065993</v>
      </c>
      <c r="BC3">
        <v>170901507.30000001</v>
      </c>
      <c r="BD3">
        <v>9.21427041490301E-2</v>
      </c>
      <c r="BE3">
        <v>357</v>
      </c>
    </row>
    <row r="4" spans="1:57" x14ac:dyDescent="0.25">
      <c r="A4">
        <v>3</v>
      </c>
      <c r="B4" t="s">
        <v>56</v>
      </c>
      <c r="C4">
        <v>5.3</v>
      </c>
      <c r="D4">
        <v>0.51439464516750499</v>
      </c>
      <c r="E4">
        <v>0.60888551296750004</v>
      </c>
      <c r="F4">
        <v>6.0010585619552597</v>
      </c>
      <c r="G4">
        <v>7.0668356032687196</v>
      </c>
      <c r="H4">
        <v>0.84481340779569802</v>
      </c>
      <c r="I4">
        <v>9.4490867799994799E-2</v>
      </c>
      <c r="J4">
        <v>3.8570280316862202E-2</v>
      </c>
      <c r="K4">
        <v>8.5977887860922107E-3</v>
      </c>
      <c r="L4">
        <v>1.88549619615459E-4</v>
      </c>
      <c r="M4">
        <v>0.55612881089868904</v>
      </c>
      <c r="N4">
        <v>5.4000833462413203E-3</v>
      </c>
      <c r="O4">
        <v>0</v>
      </c>
      <c r="P4">
        <v>14.5760608406858</v>
      </c>
      <c r="Q4">
        <v>85.423939159314202</v>
      </c>
      <c r="R4">
        <v>63.440162094496003</v>
      </c>
      <c r="S4">
        <v>24.691184843228001</v>
      </c>
      <c r="T4">
        <v>11.868653062276101</v>
      </c>
      <c r="U4">
        <v>0</v>
      </c>
      <c r="V4">
        <v>36.559837905503997</v>
      </c>
      <c r="W4">
        <v>0.42271819009546502</v>
      </c>
      <c r="X4">
        <v>-42.779926926829802</v>
      </c>
      <c r="Y4">
        <v>106.860172918129</v>
      </c>
      <c r="Z4">
        <v>100</v>
      </c>
      <c r="AA4">
        <v>64.126650472881806</v>
      </c>
      <c r="AB4">
        <v>290.91061387068697</v>
      </c>
      <c r="AC4">
        <v>289.42171159013401</v>
      </c>
      <c r="AD4">
        <v>19.5496937812418</v>
      </c>
      <c r="AE4">
        <v>335.23100287043098</v>
      </c>
      <c r="AF4">
        <v>3.6256406234546801</v>
      </c>
      <c r="AG4">
        <v>778.389346190438</v>
      </c>
      <c r="AH4">
        <v>3.1712077423249001</v>
      </c>
      <c r="AI4">
        <v>46.265008329752298</v>
      </c>
      <c r="AJ4">
        <v>175.366213292141</v>
      </c>
      <c r="AK4">
        <v>24.001722207984301</v>
      </c>
      <c r="AL4">
        <v>-32.477523061699102</v>
      </c>
      <c r="AM4">
        <v>5.2575284620565998</v>
      </c>
      <c r="AN4">
        <v>8.7404847218569408</v>
      </c>
      <c r="AO4">
        <v>0.9</v>
      </c>
      <c r="AP4">
        <v>1.2830268953430799</v>
      </c>
      <c r="AQ4">
        <v>1.2161564561918501</v>
      </c>
      <c r="AR4">
        <v>1.2760867560989699</v>
      </c>
      <c r="AS4">
        <v>0.99560859215999498</v>
      </c>
      <c r="AT4">
        <v>0.86930004171723796</v>
      </c>
      <c r="AU4">
        <v>0.84267186789456805</v>
      </c>
      <c r="AV4">
        <v>1</v>
      </c>
      <c r="AW4">
        <v>0.98384212624295797</v>
      </c>
      <c r="AX4">
        <v>1</v>
      </c>
      <c r="AY4">
        <v>1</v>
      </c>
      <c r="AZ4">
        <v>0.95247221072284505</v>
      </c>
      <c r="BA4">
        <v>1</v>
      </c>
      <c r="BB4">
        <v>1.02839019535925</v>
      </c>
      <c r="BC4">
        <v>401539852.5</v>
      </c>
      <c r="BD4">
        <v>6.05690309225193E-2</v>
      </c>
      <c r="BE4">
        <v>559</v>
      </c>
    </row>
    <row r="5" spans="1:57" x14ac:dyDescent="0.25">
      <c r="A5">
        <v>4</v>
      </c>
      <c r="B5" t="s">
        <v>56</v>
      </c>
      <c r="C5">
        <v>5.4</v>
      </c>
      <c r="D5">
        <v>0.40551712338328499</v>
      </c>
      <c r="E5">
        <v>0.62250069424558396</v>
      </c>
      <c r="F5">
        <v>4.7591261187545797</v>
      </c>
      <c r="G5">
        <v>7.2194869562417798</v>
      </c>
      <c r="H5">
        <v>0.65143240342042696</v>
      </c>
      <c r="I5">
        <v>0.216983570862299</v>
      </c>
      <c r="J5">
        <v>3.7329584261151398E-2</v>
      </c>
      <c r="K5">
        <v>1.1301682652514199E-2</v>
      </c>
      <c r="L5">
        <v>1.1513132972732799E-4</v>
      </c>
      <c r="M5">
        <v>0.57046350295957005</v>
      </c>
      <c r="N5">
        <v>3.2907930426207799E-3</v>
      </c>
      <c r="O5">
        <v>0</v>
      </c>
      <c r="P5">
        <v>8.2619304040420207</v>
      </c>
      <c r="Q5">
        <v>91.738069595957995</v>
      </c>
      <c r="R5">
        <v>75.097337056233798</v>
      </c>
      <c r="S5">
        <v>13.679289989270501</v>
      </c>
      <c r="T5">
        <v>11.2233729544957</v>
      </c>
      <c r="U5">
        <v>0</v>
      </c>
      <c r="V5">
        <v>24.902662943766199</v>
      </c>
      <c r="W5">
        <v>0.54101253495637802</v>
      </c>
      <c r="X5">
        <v>-50.503954567525</v>
      </c>
      <c r="Y5">
        <v>106.28295422247901</v>
      </c>
      <c r="Z5">
        <v>100</v>
      </c>
      <c r="AA5">
        <v>67.762476300571606</v>
      </c>
      <c r="AB5">
        <v>286.99993029361701</v>
      </c>
      <c r="AC5">
        <v>284.98556229746498</v>
      </c>
      <c r="AD5">
        <v>20.215518962077599</v>
      </c>
      <c r="AE5">
        <v>336.72233108270598</v>
      </c>
      <c r="AF5">
        <v>3.6515662388535901</v>
      </c>
      <c r="AG5">
        <v>779.32716599475305</v>
      </c>
      <c r="AH5">
        <v>2.57661626449016</v>
      </c>
      <c r="AI5">
        <v>48.671895880392299</v>
      </c>
      <c r="AJ5">
        <v>178.00881798076699</v>
      </c>
      <c r="AK5">
        <v>20.404320485241001</v>
      </c>
      <c r="AL5">
        <v>-24.311988583558399</v>
      </c>
      <c r="AM5">
        <v>5.3563689596558897</v>
      </c>
      <c r="AN5">
        <v>9.2178337965378301</v>
      </c>
      <c r="AO5">
        <v>0.9</v>
      </c>
      <c r="AP5">
        <v>1.28452029225533</v>
      </c>
      <c r="AQ5">
        <v>1.2345583268643701</v>
      </c>
      <c r="AR5">
        <v>1.2718694926412799</v>
      </c>
      <c r="AS5">
        <v>0.99369498136162204</v>
      </c>
      <c r="AT5">
        <v>0.872827960950465</v>
      </c>
      <c r="AU5">
        <v>0.84109665695830904</v>
      </c>
      <c r="AV5">
        <v>1</v>
      </c>
      <c r="AW5">
        <v>1.00137534727969</v>
      </c>
      <c r="AX5">
        <v>1</v>
      </c>
      <c r="AY5">
        <v>1</v>
      </c>
      <c r="AZ5">
        <v>0.96762653817310396</v>
      </c>
      <c r="BA5">
        <v>1</v>
      </c>
      <c r="BB5">
        <v>1.00468274759409</v>
      </c>
      <c r="BC5">
        <v>698187567.29999995</v>
      </c>
      <c r="BD5">
        <v>6.0841872939937203E-2</v>
      </c>
      <c r="BE5">
        <v>440</v>
      </c>
    </row>
    <row r="6" spans="1:57" x14ac:dyDescent="0.25">
      <c r="A6">
        <v>5</v>
      </c>
      <c r="B6" t="s">
        <v>56</v>
      </c>
      <c r="C6">
        <v>5.5</v>
      </c>
      <c r="D6">
        <v>0.34678948676197902</v>
      </c>
      <c r="E6">
        <v>0.62565679143128705</v>
      </c>
      <c r="F6">
        <v>4.0830107060435399</v>
      </c>
      <c r="G6">
        <v>7.25483980876737</v>
      </c>
      <c r="H6">
        <v>0.55428070391219397</v>
      </c>
      <c r="I6">
        <v>0.27886730466930898</v>
      </c>
      <c r="J6">
        <v>3.6929727589876497E-2</v>
      </c>
      <c r="K6">
        <v>1.04644787855998E-2</v>
      </c>
      <c r="L6">
        <v>1.35765879398587E-4</v>
      </c>
      <c r="M6">
        <v>0.57486356626365498</v>
      </c>
      <c r="N6">
        <v>3.2632529127570998E-3</v>
      </c>
      <c r="O6">
        <v>0</v>
      </c>
      <c r="P6">
        <v>10.148369455355599</v>
      </c>
      <c r="Q6">
        <v>89.851630544644394</v>
      </c>
      <c r="R6">
        <v>71.872829107448098</v>
      </c>
      <c r="S6">
        <v>15.043199916411799</v>
      </c>
      <c r="T6">
        <v>13.083970976140201</v>
      </c>
      <c r="U6">
        <v>0</v>
      </c>
      <c r="V6">
        <v>28.127170892551899</v>
      </c>
      <c r="W6">
        <v>0.502715125273275</v>
      </c>
      <c r="X6">
        <v>-55.178251620127398</v>
      </c>
      <c r="Y6">
        <v>100.18953214016599</v>
      </c>
      <c r="Z6">
        <v>100</v>
      </c>
      <c r="AA6">
        <v>68.289210622507596</v>
      </c>
      <c r="AB6">
        <v>277.15560647255501</v>
      </c>
      <c r="AC6">
        <v>274.926211935597</v>
      </c>
      <c r="AD6">
        <v>19.976899171463099</v>
      </c>
      <c r="AE6">
        <v>337.60319380537697</v>
      </c>
      <c r="AF6">
        <v>3.6215981300536901</v>
      </c>
      <c r="AG6">
        <v>779.31960676961296</v>
      </c>
      <c r="AH6">
        <v>2.5142271954961202</v>
      </c>
      <c r="AI6">
        <v>44.260041981952099</v>
      </c>
      <c r="AJ6">
        <v>176.97134607864001</v>
      </c>
      <c r="AK6">
        <v>19.448366717536299</v>
      </c>
      <c r="AL6">
        <v>-22.981271070393898</v>
      </c>
      <c r="AM6">
        <v>5.45667952133297</v>
      </c>
      <c r="AN6">
        <v>9.2768041864040907</v>
      </c>
      <c r="AO6">
        <v>0.9</v>
      </c>
      <c r="AP6">
        <v>1.2858418832490199</v>
      </c>
      <c r="AQ6">
        <v>1.23310641065308</v>
      </c>
      <c r="AR6">
        <v>1.2395244283096201</v>
      </c>
      <c r="AS6">
        <v>0.99347735492531497</v>
      </c>
      <c r="AT6">
        <v>0.88240238709340801</v>
      </c>
      <c r="AU6">
        <v>0.84099311528498599</v>
      </c>
      <c r="AV6">
        <v>1</v>
      </c>
      <c r="AW6">
        <v>1.0041819527370599</v>
      </c>
      <c r="AX6">
        <v>1</v>
      </c>
      <c r="AY6">
        <v>1</v>
      </c>
      <c r="AZ6">
        <v>0.96343467783968295</v>
      </c>
      <c r="BA6">
        <v>1</v>
      </c>
      <c r="BB6">
        <v>0.99636054632231597</v>
      </c>
      <c r="BC6">
        <v>908365287.70000005</v>
      </c>
      <c r="BD6">
        <v>4.8321858831063699E-2</v>
      </c>
      <c r="BE6">
        <v>512</v>
      </c>
    </row>
    <row r="7" spans="1:57" x14ac:dyDescent="0.25">
      <c r="A7">
        <v>6</v>
      </c>
      <c r="B7" t="s">
        <v>56</v>
      </c>
      <c r="C7">
        <v>5.6</v>
      </c>
      <c r="D7">
        <v>0.37083564252763201</v>
      </c>
      <c r="E7">
        <v>0.63994791039119503</v>
      </c>
      <c r="F7">
        <v>4.3603777491874602</v>
      </c>
      <c r="G7">
        <v>7.4147665117099502</v>
      </c>
      <c r="H7">
        <v>0.57947785516002903</v>
      </c>
      <c r="I7">
        <v>0.26911226786356301</v>
      </c>
      <c r="J7">
        <v>3.6901204188615602E-2</v>
      </c>
      <c r="K7">
        <v>1.1329387668520201E-2</v>
      </c>
      <c r="L7">
        <v>1.7759006859395101E-4</v>
      </c>
      <c r="M7">
        <v>0.58912747411906097</v>
      </c>
      <c r="N7">
        <v>2.4122543464041601E-3</v>
      </c>
      <c r="O7">
        <v>0</v>
      </c>
      <c r="P7">
        <v>8.9426705591108302</v>
      </c>
      <c r="Q7">
        <v>91.057329440889205</v>
      </c>
      <c r="R7">
        <v>72.220921289719897</v>
      </c>
      <c r="S7">
        <v>12.7386163394081</v>
      </c>
      <c r="T7">
        <v>15.040462370872</v>
      </c>
      <c r="U7">
        <v>0</v>
      </c>
      <c r="V7">
        <v>27.7790787102801</v>
      </c>
      <c r="W7">
        <v>0.54889671315053401</v>
      </c>
      <c r="X7">
        <v>-60.819443942314798</v>
      </c>
      <c r="Y7">
        <v>78.811454061748407</v>
      </c>
      <c r="Z7">
        <v>100</v>
      </c>
      <c r="AA7">
        <v>67.476233598430895</v>
      </c>
      <c r="AB7">
        <v>294.73933291129401</v>
      </c>
      <c r="AC7">
        <v>292.69812090306402</v>
      </c>
      <c r="AD7">
        <v>19.813431637063101</v>
      </c>
      <c r="AE7">
        <v>337.569083286573</v>
      </c>
      <c r="AF7">
        <v>3.6062963325144701</v>
      </c>
      <c r="AG7">
        <v>776.23088029523603</v>
      </c>
      <c r="AH7">
        <v>2.1952607703156599</v>
      </c>
      <c r="AI7">
        <v>48.064709909690002</v>
      </c>
      <c r="AJ7">
        <v>177.93577349896901</v>
      </c>
      <c r="AK7">
        <v>17.8226901964746</v>
      </c>
      <c r="AL7">
        <v>-21.641872578719099</v>
      </c>
      <c r="AM7">
        <v>5.5407991259614198</v>
      </c>
      <c r="AN7">
        <v>9.3399861173482694</v>
      </c>
      <c r="AO7">
        <v>0.9</v>
      </c>
      <c r="AP7">
        <v>1.2868102790831299</v>
      </c>
      <c r="AQ7">
        <v>1.23002906396525</v>
      </c>
      <c r="AR7">
        <v>1.2294863170230701</v>
      </c>
      <c r="AS7">
        <v>0.99403794027659098</v>
      </c>
      <c r="AT7">
        <v>0.86435049505821404</v>
      </c>
      <c r="AU7">
        <v>0.84724832616353196</v>
      </c>
      <c r="AV7">
        <v>1</v>
      </c>
      <c r="AW7">
        <v>1.0071590330687401</v>
      </c>
      <c r="AX7">
        <v>1</v>
      </c>
      <c r="AY7">
        <v>1</v>
      </c>
      <c r="AZ7">
        <v>0.963887197676636</v>
      </c>
      <c r="BA7">
        <v>1</v>
      </c>
      <c r="BB7">
        <v>1.00496818583189</v>
      </c>
      <c r="BC7">
        <v>834442045.10000002</v>
      </c>
      <c r="BD7">
        <v>8.9900771935550794E-2</v>
      </c>
      <c r="BE7">
        <v>514</v>
      </c>
    </row>
    <row r="8" spans="1:57" x14ac:dyDescent="0.25">
      <c r="A8">
        <v>7</v>
      </c>
      <c r="B8" t="s">
        <v>56</v>
      </c>
      <c r="C8">
        <v>5.7</v>
      </c>
      <c r="D8">
        <v>0.46143127927155397</v>
      </c>
      <c r="E8">
        <v>0.60791731310191999</v>
      </c>
      <c r="F8">
        <v>5.39878809361457</v>
      </c>
      <c r="G8">
        <v>7.0559715297150198</v>
      </c>
      <c r="H8">
        <v>0.75903625267239705</v>
      </c>
      <c r="I8">
        <v>0.14648603383036601</v>
      </c>
      <c r="J8">
        <v>3.7793842022621399E-2</v>
      </c>
      <c r="K8">
        <v>8.1678882546720906E-3</v>
      </c>
      <c r="L8">
        <v>3.9664320943498099E-4</v>
      </c>
      <c r="M8">
        <v>0.55456779126994604</v>
      </c>
      <c r="N8">
        <v>6.9911483452453601E-3</v>
      </c>
      <c r="O8">
        <v>0</v>
      </c>
      <c r="P8">
        <v>15.878730119200901</v>
      </c>
      <c r="Q8">
        <v>84.121269880799105</v>
      </c>
      <c r="R8">
        <v>45.981620952758298</v>
      </c>
      <c r="S8">
        <v>35.338256951763</v>
      </c>
      <c r="T8">
        <v>18.680122095478701</v>
      </c>
      <c r="U8">
        <v>0</v>
      </c>
      <c r="V8">
        <v>54.018379047241702</v>
      </c>
      <c r="W8">
        <v>0.42238732816400398</v>
      </c>
      <c r="X8">
        <v>-49.436542360374901</v>
      </c>
      <c r="Y8">
        <v>100.848629776965</v>
      </c>
      <c r="Z8">
        <v>100</v>
      </c>
      <c r="AA8">
        <v>62.865303409046703</v>
      </c>
      <c r="AB8">
        <v>312.70963893088401</v>
      </c>
      <c r="AC8">
        <v>311.27616818200698</v>
      </c>
      <c r="AD8">
        <v>16.931670971559502</v>
      </c>
      <c r="AE8">
        <v>338.828274460513</v>
      </c>
      <c r="AF8">
        <v>3.6253925449679199</v>
      </c>
      <c r="AG8">
        <v>773.78240988790799</v>
      </c>
      <c r="AH8">
        <v>5.2720754642420404</v>
      </c>
      <c r="AI8">
        <v>49.1753285990387</v>
      </c>
      <c r="AJ8">
        <v>175.79376912228901</v>
      </c>
      <c r="AK8">
        <v>21.558299187138299</v>
      </c>
      <c r="AL8">
        <v>-23.2091648653522</v>
      </c>
      <c r="AM8">
        <v>5.6416738785456797</v>
      </c>
      <c r="AN8">
        <v>8.1079611851844398</v>
      </c>
      <c r="AO8">
        <v>0.9</v>
      </c>
      <c r="AP8">
        <v>1.2878108881961501</v>
      </c>
      <c r="AQ8">
        <v>1.16262255703656</v>
      </c>
      <c r="AR8">
        <v>1.25746914580582</v>
      </c>
      <c r="AS8">
        <v>0.99646765662616998</v>
      </c>
      <c r="AT8">
        <v>0.84703171177108405</v>
      </c>
      <c r="AU8">
        <v>0.85181402259741301</v>
      </c>
      <c r="AV8">
        <v>1</v>
      </c>
      <c r="AW8">
        <v>1.00368546389939</v>
      </c>
      <c r="AX8">
        <v>1</v>
      </c>
      <c r="AY8">
        <v>1</v>
      </c>
      <c r="AZ8">
        <v>0.92977610723858595</v>
      </c>
      <c r="BA8">
        <v>1</v>
      </c>
      <c r="BB8">
        <v>1.0446511397563201</v>
      </c>
      <c r="BC8">
        <v>370117227</v>
      </c>
      <c r="BD8">
        <v>6.5491760210507899E-2</v>
      </c>
      <c r="BE8">
        <v>435</v>
      </c>
    </row>
    <row r="9" spans="1:57" x14ac:dyDescent="0.25">
      <c r="A9">
        <v>8</v>
      </c>
      <c r="B9" t="s">
        <v>56</v>
      </c>
      <c r="C9">
        <v>5.8</v>
      </c>
      <c r="D9">
        <v>0.42617889720711399</v>
      </c>
      <c r="E9">
        <v>0.55503335130834297</v>
      </c>
      <c r="F9">
        <v>4.9959587058774897</v>
      </c>
      <c r="G9">
        <v>6.4607943830038996</v>
      </c>
      <c r="H9">
        <v>0.76784376326667703</v>
      </c>
      <c r="I9">
        <v>0.128854454101229</v>
      </c>
      <c r="J9">
        <v>3.8206642010660798E-2</v>
      </c>
      <c r="K9">
        <v>5.49678735651988E-3</v>
      </c>
      <c r="L9">
        <v>4.40230107622827E-4</v>
      </c>
      <c r="M9">
        <v>0.50217097584260795</v>
      </c>
      <c r="N9">
        <v>8.7187159909310596E-3</v>
      </c>
      <c r="O9">
        <v>0</v>
      </c>
      <c r="P9">
        <v>20.510326462471099</v>
      </c>
      <c r="Q9">
        <v>79.489673537528901</v>
      </c>
      <c r="R9">
        <v>33.435378688026098</v>
      </c>
      <c r="S9">
        <v>39.3220409813948</v>
      </c>
      <c r="T9">
        <v>27.242580330579099</v>
      </c>
      <c r="U9">
        <v>0</v>
      </c>
      <c r="V9">
        <v>66.564621311973895</v>
      </c>
      <c r="W9">
        <v>0.31735831140953003</v>
      </c>
      <c r="X9">
        <v>-46.813262823233003</v>
      </c>
      <c r="Y9">
        <v>91.373847403340903</v>
      </c>
      <c r="Z9">
        <v>100</v>
      </c>
      <c r="AA9">
        <v>57.862864186211802</v>
      </c>
      <c r="AB9">
        <v>328.77047368088199</v>
      </c>
      <c r="AC9">
        <v>327.86838470988403</v>
      </c>
      <c r="AD9">
        <v>13.9657224818539</v>
      </c>
      <c r="AE9">
        <v>339.90811158929603</v>
      </c>
      <c r="AF9">
        <v>3.5998961843990398</v>
      </c>
      <c r="AG9">
        <v>774.24864988524996</v>
      </c>
      <c r="AH9">
        <v>5.9094912926146899</v>
      </c>
      <c r="AI9">
        <v>50.172791678721602</v>
      </c>
      <c r="AJ9">
        <v>173.352929554475</v>
      </c>
      <c r="AK9">
        <v>23.4987644137728</v>
      </c>
      <c r="AL9">
        <v>-27.698222811876601</v>
      </c>
      <c r="AM9">
        <v>5.7562953332188096</v>
      </c>
      <c r="AN9">
        <v>6.8015954546564501</v>
      </c>
      <c r="AO9">
        <v>0.9</v>
      </c>
      <c r="AP9">
        <v>1.28875251485707</v>
      </c>
      <c r="AQ9">
        <v>1.08769144702033</v>
      </c>
      <c r="AR9">
        <v>1.26712216912148</v>
      </c>
      <c r="AS9">
        <v>0.99920181839184097</v>
      </c>
      <c r="AT9">
        <v>0.83151944492277796</v>
      </c>
      <c r="AU9">
        <v>0.85106315626531404</v>
      </c>
      <c r="AV9">
        <v>1</v>
      </c>
      <c r="AW9">
        <v>0.99511830181014604</v>
      </c>
      <c r="AX9">
        <v>1</v>
      </c>
      <c r="AY9">
        <v>1</v>
      </c>
      <c r="AZ9">
        <v>0.91346599229443404</v>
      </c>
      <c r="BA9">
        <v>1</v>
      </c>
      <c r="BB9">
        <v>1.05974591853891</v>
      </c>
      <c r="BC9">
        <v>421457368.60000002</v>
      </c>
      <c r="BD9">
        <v>6.0550763785933097E-2</v>
      </c>
      <c r="BE9">
        <v>557</v>
      </c>
    </row>
    <row r="10" spans="1:57" x14ac:dyDescent="0.25">
      <c r="A10">
        <v>9</v>
      </c>
      <c r="B10" t="s">
        <v>56</v>
      </c>
      <c r="C10">
        <v>5.9</v>
      </c>
      <c r="D10">
        <v>0.347997227612933</v>
      </c>
      <c r="E10">
        <v>0.50194147384563104</v>
      </c>
      <c r="F10">
        <v>4.0969592956685803</v>
      </c>
      <c r="G10">
        <v>5.8597648145753896</v>
      </c>
      <c r="H10">
        <v>0.69330239827912299</v>
      </c>
      <c r="I10">
        <v>0.15394424623269701</v>
      </c>
      <c r="J10">
        <v>3.7402151991738498E-2</v>
      </c>
      <c r="K10">
        <v>4.5506447595366597E-3</v>
      </c>
      <c r="L10">
        <v>3.64996751030501E-4</v>
      </c>
      <c r="M10">
        <v>0.45056829266776499</v>
      </c>
      <c r="N10">
        <v>9.0553876755604303E-3</v>
      </c>
      <c r="O10">
        <v>0</v>
      </c>
      <c r="P10">
        <v>14.022326307741899</v>
      </c>
      <c r="Q10">
        <v>85.977673692258094</v>
      </c>
      <c r="R10">
        <v>23.599714898197899</v>
      </c>
      <c r="S10">
        <v>40.670812374629598</v>
      </c>
      <c r="T10">
        <v>35.729472727172499</v>
      </c>
      <c r="U10">
        <v>0</v>
      </c>
      <c r="V10">
        <v>76.400285101802098</v>
      </c>
      <c r="W10">
        <v>0.28514142530291697</v>
      </c>
      <c r="X10">
        <v>-46.613321058647301</v>
      </c>
      <c r="Y10">
        <v>86.729326039724697</v>
      </c>
      <c r="Z10">
        <v>100</v>
      </c>
      <c r="AA10">
        <v>50.897400657626001</v>
      </c>
      <c r="AB10">
        <v>326.35433886867798</v>
      </c>
      <c r="AC10">
        <v>325.17776560915598</v>
      </c>
      <c r="AD10">
        <v>12.372754490326001</v>
      </c>
      <c r="AE10">
        <v>342.42537861702499</v>
      </c>
      <c r="AF10">
        <v>3.5617763729934802</v>
      </c>
      <c r="AG10">
        <v>778.62154635055902</v>
      </c>
      <c r="AH10">
        <v>6.3280772383363297</v>
      </c>
      <c r="AI10">
        <v>48.437253182425501</v>
      </c>
      <c r="AJ10">
        <v>172.61389582827201</v>
      </c>
      <c r="AK10">
        <v>24.695488397058298</v>
      </c>
      <c r="AL10">
        <v>-29.284554833971999</v>
      </c>
      <c r="AM10">
        <v>5.8520603336700097</v>
      </c>
      <c r="AN10">
        <v>6.1071696820457104</v>
      </c>
      <c r="AO10">
        <v>0.9</v>
      </c>
      <c r="AP10">
        <v>1.28939429665705</v>
      </c>
      <c r="AQ10">
        <v>1.0553305525926999</v>
      </c>
      <c r="AR10">
        <v>1.26666623962129</v>
      </c>
      <c r="AS10">
        <v>1.0014466912944999</v>
      </c>
      <c r="AT10">
        <v>0.83307039214050804</v>
      </c>
      <c r="AU10">
        <v>0.84240723899595005</v>
      </c>
      <c r="AV10">
        <v>1</v>
      </c>
      <c r="AW10">
        <v>0.99192275240163996</v>
      </c>
      <c r="AX10">
        <v>1</v>
      </c>
      <c r="AY10">
        <v>1</v>
      </c>
      <c r="AZ10">
        <v>0.900679629367657</v>
      </c>
      <c r="BA10">
        <v>1</v>
      </c>
      <c r="BB10">
        <v>1.0415070686422701</v>
      </c>
      <c r="BC10">
        <v>804869412.70000005</v>
      </c>
      <c r="BD10">
        <v>8.0506979328635098E-2</v>
      </c>
      <c r="BE10">
        <v>801</v>
      </c>
    </row>
    <row r="11" spans="1:57" x14ac:dyDescent="0.25">
      <c r="A11">
        <v>10</v>
      </c>
      <c r="B11" t="s">
        <v>56</v>
      </c>
      <c r="C11">
        <v>6</v>
      </c>
      <c r="D11">
        <v>0.62848353525072698</v>
      </c>
      <c r="E11">
        <v>0.50361923122514995</v>
      </c>
      <c r="F11">
        <v>7.2864929443169899</v>
      </c>
      <c r="G11">
        <v>5.8788119995365502</v>
      </c>
      <c r="H11">
        <v>1.24793394748215</v>
      </c>
      <c r="I11">
        <v>-0.12486430402557699</v>
      </c>
      <c r="J11">
        <v>3.7357502615034802E-2</v>
      </c>
      <c r="K11">
        <v>4.2641433558239603E-3</v>
      </c>
      <c r="L11">
        <v>3.96377506795849E-4</v>
      </c>
      <c r="M11">
        <v>0.45479590282416699</v>
      </c>
      <c r="N11">
        <v>6.8053049233284396E-3</v>
      </c>
      <c r="O11">
        <v>0</v>
      </c>
      <c r="P11">
        <v>10.2218853320561</v>
      </c>
      <c r="Q11">
        <v>89.778114667943896</v>
      </c>
      <c r="R11">
        <v>24.0199851925878</v>
      </c>
      <c r="S11">
        <v>47.993545498460499</v>
      </c>
      <c r="T11">
        <v>27.986469308951701</v>
      </c>
      <c r="U11">
        <v>0</v>
      </c>
      <c r="V11">
        <v>75.980014807412203</v>
      </c>
      <c r="W11">
        <v>0.262887062739042</v>
      </c>
      <c r="X11">
        <v>-48.353924115121501</v>
      </c>
      <c r="Y11">
        <v>82.335518225483597</v>
      </c>
      <c r="Z11">
        <v>100</v>
      </c>
      <c r="AA11">
        <v>55.521154004407897</v>
      </c>
      <c r="AB11">
        <v>318.35601275968497</v>
      </c>
      <c r="AC11">
        <v>316.85516503174102</v>
      </c>
      <c r="AD11">
        <v>12.1114655720359</v>
      </c>
      <c r="AE11">
        <v>342.13331679118397</v>
      </c>
      <c r="AF11">
        <v>3.5528917613061699</v>
      </c>
      <c r="AG11">
        <v>777.74595348882895</v>
      </c>
      <c r="AH11">
        <v>5.8889086629312901</v>
      </c>
      <c r="AI11">
        <v>48.994624996425202</v>
      </c>
      <c r="AJ11">
        <v>172.33885279470201</v>
      </c>
      <c r="AK11">
        <v>24.659633692883101</v>
      </c>
      <c r="AL11">
        <v>-29.772190343656501</v>
      </c>
      <c r="AM11">
        <v>5.9561402677636899</v>
      </c>
      <c r="AN11">
        <v>6.0815869392281101</v>
      </c>
      <c r="AO11">
        <v>0.9</v>
      </c>
      <c r="AP11">
        <v>1.28995408964233</v>
      </c>
      <c r="AQ11">
        <v>1.04730798594337</v>
      </c>
      <c r="AR11">
        <v>1.26656375676679</v>
      </c>
      <c r="AS11">
        <v>1.00019531899734</v>
      </c>
      <c r="AT11">
        <v>0.84226144773430101</v>
      </c>
      <c r="AU11">
        <v>0.84416488314899796</v>
      </c>
      <c r="AV11">
        <v>1</v>
      </c>
      <c r="AW11">
        <v>0.99026374818625795</v>
      </c>
      <c r="AX11">
        <v>1</v>
      </c>
      <c r="AY11">
        <v>1</v>
      </c>
      <c r="AZ11">
        <v>0.90122598075036398</v>
      </c>
      <c r="BA11">
        <v>1</v>
      </c>
      <c r="BB11">
        <v>1.0282049330009599</v>
      </c>
      <c r="BC11">
        <v>1255063051.8</v>
      </c>
      <c r="BD11">
        <v>7.5089266599343396E-2</v>
      </c>
      <c r="BE11">
        <v>759</v>
      </c>
    </row>
    <row r="12" spans="1:57" x14ac:dyDescent="0.25">
      <c r="A12">
        <v>11</v>
      </c>
      <c r="B12" t="s">
        <v>56</v>
      </c>
      <c r="C12">
        <v>6.1</v>
      </c>
      <c r="D12">
        <v>0.50896751323434197</v>
      </c>
      <c r="E12">
        <v>0.51815088745793003</v>
      </c>
      <c r="F12">
        <v>5.9395062104147103</v>
      </c>
      <c r="G12">
        <v>6.0436387304538801</v>
      </c>
      <c r="H12">
        <v>0.982276640944026</v>
      </c>
      <c r="I12">
        <v>9.1833742235882705E-3</v>
      </c>
      <c r="J12">
        <v>3.6535718535116703E-2</v>
      </c>
      <c r="K12">
        <v>5.4000123649259697E-3</v>
      </c>
      <c r="L12">
        <v>7.6819991792764699E-4</v>
      </c>
      <c r="M12">
        <v>0.46804145528483299</v>
      </c>
      <c r="N12">
        <v>7.4055013551269297E-3</v>
      </c>
      <c r="O12">
        <v>0</v>
      </c>
      <c r="P12">
        <v>7.1117704913977802</v>
      </c>
      <c r="Q12">
        <v>92.888229508602194</v>
      </c>
      <c r="R12">
        <v>30.422684952597699</v>
      </c>
      <c r="S12">
        <v>39.220085749502601</v>
      </c>
      <c r="T12">
        <v>30.3572292978997</v>
      </c>
      <c r="U12">
        <v>0</v>
      </c>
      <c r="V12">
        <v>69.577315047402294</v>
      </c>
      <c r="W12">
        <v>0.32538721415817601</v>
      </c>
      <c r="X12">
        <v>-46.779653125809297</v>
      </c>
      <c r="Y12">
        <v>90.470439314448598</v>
      </c>
      <c r="Z12">
        <v>100</v>
      </c>
      <c r="AA12">
        <v>60.252790308463098</v>
      </c>
      <c r="AB12">
        <v>305.42266590501799</v>
      </c>
      <c r="AC12">
        <v>303.52560691228302</v>
      </c>
      <c r="AD12">
        <v>12.7731475075714</v>
      </c>
      <c r="AE12">
        <v>343.27968851863602</v>
      </c>
      <c r="AF12">
        <v>3.6030112740072799</v>
      </c>
      <c r="AG12">
        <v>779.04874728684501</v>
      </c>
      <c r="AH12">
        <v>5.6334774369014404</v>
      </c>
      <c r="AI12">
        <v>47.1509688019961</v>
      </c>
      <c r="AJ12">
        <v>173.873419358924</v>
      </c>
      <c r="AK12">
        <v>23.413178074892901</v>
      </c>
      <c r="AL12">
        <v>-27.341252937413199</v>
      </c>
      <c r="AM12">
        <v>6.0531923873597497</v>
      </c>
      <c r="AN12">
        <v>6.5281256553781599</v>
      </c>
      <c r="AO12">
        <v>0.9</v>
      </c>
      <c r="AP12">
        <v>1.29035531493944</v>
      </c>
      <c r="AQ12">
        <v>1.0683912765691601</v>
      </c>
      <c r="AR12">
        <v>1.2614920240858001</v>
      </c>
      <c r="AS12">
        <v>0.99825255526704804</v>
      </c>
      <c r="AT12">
        <v>0.85345318100644496</v>
      </c>
      <c r="AU12">
        <v>0.84166167154188398</v>
      </c>
      <c r="AV12">
        <v>1</v>
      </c>
      <c r="AW12">
        <v>0.99528691421456905</v>
      </c>
      <c r="AX12">
        <v>1</v>
      </c>
      <c r="AY12">
        <v>1</v>
      </c>
      <c r="AZ12">
        <v>0.90954949043837696</v>
      </c>
      <c r="BA12">
        <v>1</v>
      </c>
      <c r="BB12">
        <v>1.0137558060191401</v>
      </c>
      <c r="BC12">
        <v>2327781315.5</v>
      </c>
      <c r="BD12">
        <v>9.1958986150075694E-2</v>
      </c>
      <c r="BE12">
        <v>888</v>
      </c>
    </row>
    <row r="13" spans="1:57" x14ac:dyDescent="0.25">
      <c r="A13">
        <v>12</v>
      </c>
      <c r="B13" t="s">
        <v>56</v>
      </c>
      <c r="C13">
        <v>6.2</v>
      </c>
      <c r="D13">
        <v>0.43426131817283697</v>
      </c>
      <c r="E13">
        <v>0.500988521869558</v>
      </c>
      <c r="F13">
        <v>5.0884553004316899</v>
      </c>
      <c r="G13">
        <v>5.8489446015597704</v>
      </c>
      <c r="H13">
        <v>0.86680891720290698</v>
      </c>
      <c r="I13">
        <v>6.6727203696721304E-2</v>
      </c>
      <c r="J13">
        <v>3.62395339579447E-2</v>
      </c>
      <c r="K13">
        <v>5.4317926667675201E-3</v>
      </c>
      <c r="L13">
        <v>3.32684696544375E-4</v>
      </c>
      <c r="M13">
        <v>0.453188254414992</v>
      </c>
      <c r="N13">
        <v>5.7962561333095002E-3</v>
      </c>
      <c r="O13">
        <v>0</v>
      </c>
      <c r="P13">
        <v>6.2524715620382398</v>
      </c>
      <c r="Q13">
        <v>93.747528437961805</v>
      </c>
      <c r="R13">
        <v>33.557921506503099</v>
      </c>
      <c r="S13">
        <v>46.758444871228299</v>
      </c>
      <c r="T13">
        <v>19.683633622268601</v>
      </c>
      <c r="U13">
        <v>0</v>
      </c>
      <c r="V13">
        <v>66.442078493496894</v>
      </c>
      <c r="W13">
        <v>0.32907888917231498</v>
      </c>
      <c r="X13">
        <v>-50.7144471016395</v>
      </c>
      <c r="Y13">
        <v>64.179401228799406</v>
      </c>
      <c r="Z13">
        <v>100</v>
      </c>
      <c r="AA13">
        <v>64.944991394161505</v>
      </c>
      <c r="AB13">
        <v>306.67116855979202</v>
      </c>
      <c r="AC13">
        <v>304.84303159496801</v>
      </c>
      <c r="AD13">
        <v>12.533301305079901</v>
      </c>
      <c r="AE13">
        <v>343.745814688694</v>
      </c>
      <c r="AF13">
        <v>3.57513329710231</v>
      </c>
      <c r="AG13">
        <v>780.23106383856395</v>
      </c>
      <c r="AH13">
        <v>6.9628870194432801</v>
      </c>
      <c r="AI13">
        <v>47.803780755068303</v>
      </c>
      <c r="AJ13">
        <v>173.94182603651799</v>
      </c>
      <c r="AK13">
        <v>23.4078718101924</v>
      </c>
      <c r="AL13">
        <v>-28.018931459162498</v>
      </c>
      <c r="AM13">
        <v>6.1504106757470201</v>
      </c>
      <c r="AN13">
        <v>6.4940706238335197</v>
      </c>
      <c r="AO13">
        <v>0.9</v>
      </c>
      <c r="AP13">
        <v>1.2906559270273601</v>
      </c>
      <c r="AQ13">
        <v>1.0695623234904299</v>
      </c>
      <c r="AR13">
        <v>1.2564225806676701</v>
      </c>
      <c r="AS13">
        <v>0.99589306415245304</v>
      </c>
      <c r="AT13">
        <v>0.85294237364596703</v>
      </c>
      <c r="AU13">
        <v>0.83932042033244603</v>
      </c>
      <c r="AV13">
        <v>1</v>
      </c>
      <c r="AW13">
        <v>0.99356229567688004</v>
      </c>
      <c r="AX13">
        <v>1</v>
      </c>
      <c r="AY13">
        <v>1</v>
      </c>
      <c r="AZ13">
        <v>0.91362529795845404</v>
      </c>
      <c r="BA13">
        <v>1</v>
      </c>
      <c r="BB13">
        <v>1.00208460111891</v>
      </c>
      <c r="BC13">
        <v>4203927957</v>
      </c>
      <c r="BD13">
        <v>3.8749774837569799E-2</v>
      </c>
      <c r="BE13">
        <v>1037</v>
      </c>
    </row>
    <row r="14" spans="1:57" x14ac:dyDescent="0.25">
      <c r="A14">
        <v>13</v>
      </c>
      <c r="B14" t="s">
        <v>56</v>
      </c>
      <c r="C14">
        <v>6.3</v>
      </c>
      <c r="D14">
        <v>0.36712157793447298</v>
      </c>
      <c r="E14">
        <v>0.532063757655308</v>
      </c>
      <c r="F14">
        <v>4.3175849091802396</v>
      </c>
      <c r="G14">
        <v>6.20119884584249</v>
      </c>
      <c r="H14">
        <v>0.68999546135654899</v>
      </c>
      <c r="I14">
        <v>0.164942179720835</v>
      </c>
      <c r="J14">
        <v>3.5924285581427698E-2</v>
      </c>
      <c r="K14">
        <v>5.4183720830838604E-3</v>
      </c>
      <c r="L14">
        <v>3.2474540526908802E-4</v>
      </c>
      <c r="M14">
        <v>0.485831102877261</v>
      </c>
      <c r="N14">
        <v>4.5652517082667796E-3</v>
      </c>
      <c r="O14">
        <v>0</v>
      </c>
      <c r="P14">
        <v>4.8017285680296702</v>
      </c>
      <c r="Q14">
        <v>95.198271431970298</v>
      </c>
      <c r="R14">
        <v>55.329079500136103</v>
      </c>
      <c r="S14">
        <v>27.672105326447699</v>
      </c>
      <c r="T14">
        <v>16.998815173416201</v>
      </c>
      <c r="U14">
        <v>0</v>
      </c>
      <c r="V14">
        <v>44.670920499863897</v>
      </c>
      <c r="W14">
        <v>0.32423148502172</v>
      </c>
      <c r="X14">
        <v>-49.147218184102201</v>
      </c>
      <c r="Y14">
        <v>55.318346407078202</v>
      </c>
      <c r="Z14">
        <v>100</v>
      </c>
      <c r="AA14">
        <v>68.710666519795595</v>
      </c>
      <c r="AB14">
        <v>287.14671864937299</v>
      </c>
      <c r="AC14">
        <v>285.05439151269002</v>
      </c>
      <c r="AD14">
        <v>12.524922682059</v>
      </c>
      <c r="AE14">
        <v>344.37962168903402</v>
      </c>
      <c r="AF14">
        <v>3.6107402844297201</v>
      </c>
      <c r="AG14">
        <v>780.68794563752795</v>
      </c>
      <c r="AH14">
        <v>4.3438406749478702</v>
      </c>
      <c r="AI14">
        <v>47.385661588422302</v>
      </c>
      <c r="AJ14">
        <v>174.89584250384601</v>
      </c>
      <c r="AK14">
        <v>22.782971551294999</v>
      </c>
      <c r="AL14">
        <v>-27.1466016082382</v>
      </c>
      <c r="AM14">
        <v>6.2537399480672002</v>
      </c>
      <c r="AN14">
        <v>6.5986485826331398</v>
      </c>
      <c r="AO14">
        <v>0.9</v>
      </c>
      <c r="AP14">
        <v>1.29087232308124</v>
      </c>
      <c r="AQ14">
        <v>1.07527483840297</v>
      </c>
      <c r="AR14">
        <v>1.26056279344348</v>
      </c>
      <c r="AS14">
        <v>0.99350893767464299</v>
      </c>
      <c r="AT14">
        <v>0.87249178669293403</v>
      </c>
      <c r="AU14">
        <v>0.83852875554128403</v>
      </c>
      <c r="AV14">
        <v>1</v>
      </c>
      <c r="AW14">
        <v>0.99551456738708499</v>
      </c>
      <c r="AX14">
        <v>1</v>
      </c>
      <c r="AY14">
        <v>1</v>
      </c>
      <c r="AZ14">
        <v>0.94192780335017701</v>
      </c>
      <c r="BA14">
        <v>1</v>
      </c>
      <c r="BB14">
        <v>0.99317626675528303</v>
      </c>
      <c r="BC14">
        <v>9690287470.6000004</v>
      </c>
      <c r="BD14">
        <v>3.6586697519444003E-2</v>
      </c>
      <c r="BE14">
        <v>1466</v>
      </c>
    </row>
    <row r="15" spans="1:57" x14ac:dyDescent="0.25">
      <c r="A15">
        <v>14</v>
      </c>
      <c r="B15" t="s">
        <v>56</v>
      </c>
      <c r="C15">
        <v>6.4</v>
      </c>
      <c r="D15">
        <v>0.44757631052333302</v>
      </c>
      <c r="E15">
        <v>0.536350517605933</v>
      </c>
      <c r="F15">
        <v>5.2406543295522399</v>
      </c>
      <c r="G15">
        <v>6.2496966026632599</v>
      </c>
      <c r="H15">
        <v>0.83448471816741399</v>
      </c>
      <c r="I15">
        <v>8.8774207082599504E-2</v>
      </c>
      <c r="J15">
        <v>3.6005495652796697E-2</v>
      </c>
      <c r="K15">
        <v>6.1205728827040898E-3</v>
      </c>
      <c r="L15">
        <v>4.4602592099056199E-4</v>
      </c>
      <c r="M15">
        <v>0.48941935516358898</v>
      </c>
      <c r="N15">
        <v>4.3590679858523601E-3</v>
      </c>
      <c r="O15">
        <v>0</v>
      </c>
      <c r="P15">
        <v>6.9383582511192703</v>
      </c>
      <c r="Q15">
        <v>93.061641748880703</v>
      </c>
      <c r="R15">
        <v>51.441162669057299</v>
      </c>
      <c r="S15">
        <v>32.335180247035602</v>
      </c>
      <c r="T15">
        <v>16.223657083907099</v>
      </c>
      <c r="U15">
        <v>0</v>
      </c>
      <c r="V15">
        <v>48.558837330942701</v>
      </c>
      <c r="W15">
        <v>0.36617931006624199</v>
      </c>
      <c r="X15">
        <v>-45.999825935104198</v>
      </c>
      <c r="Y15">
        <v>56.716093873015602</v>
      </c>
      <c r="Z15">
        <v>100</v>
      </c>
      <c r="AA15">
        <v>68.086231305196307</v>
      </c>
      <c r="AB15">
        <v>281.11961531429699</v>
      </c>
      <c r="AC15">
        <v>278.999778456039</v>
      </c>
      <c r="AD15">
        <v>12.8948093597824</v>
      </c>
      <c r="AE15">
        <v>343.68837670437301</v>
      </c>
      <c r="AF15">
        <v>3.6200934750196101</v>
      </c>
      <c r="AG15">
        <v>779.29755591611604</v>
      </c>
      <c r="AH15">
        <v>5.8755565586884799</v>
      </c>
      <c r="AI15">
        <v>47.505165990389898</v>
      </c>
      <c r="AJ15">
        <v>175.48353805118401</v>
      </c>
      <c r="AK15">
        <v>23.409664691471299</v>
      </c>
      <c r="AL15">
        <v>-27.154331971265002</v>
      </c>
      <c r="AM15">
        <v>6.3531654699429003</v>
      </c>
      <c r="AN15">
        <v>6.9139119026217903</v>
      </c>
      <c r="AO15">
        <v>0.9</v>
      </c>
      <c r="AP15">
        <v>1.2909956849051101</v>
      </c>
      <c r="AQ15">
        <v>1.07886011234204</v>
      </c>
      <c r="AR15">
        <v>1.27005045784832</v>
      </c>
      <c r="AS15">
        <v>0.994004736807239</v>
      </c>
      <c r="AT15">
        <v>0.87860468053734098</v>
      </c>
      <c r="AU15">
        <v>0.84121632476714903</v>
      </c>
      <c r="AV15">
        <v>1</v>
      </c>
      <c r="AW15">
        <v>0.99541950360686304</v>
      </c>
      <c r="AX15">
        <v>1</v>
      </c>
      <c r="AY15">
        <v>1</v>
      </c>
      <c r="AZ15">
        <v>0.93687351146977504</v>
      </c>
      <c r="BA15">
        <v>1</v>
      </c>
      <c r="BB15">
        <v>0.99148624974411403</v>
      </c>
      <c r="BC15">
        <v>12319348600.4</v>
      </c>
      <c r="BD15">
        <v>3.8879394084864898E-2</v>
      </c>
      <c r="BE15">
        <v>1706</v>
      </c>
    </row>
    <row r="16" spans="1:57" x14ac:dyDescent="0.25">
      <c r="A16">
        <v>15</v>
      </c>
      <c r="B16" t="s">
        <v>56</v>
      </c>
      <c r="C16">
        <v>6.5</v>
      </c>
      <c r="D16">
        <v>0.46338789161558702</v>
      </c>
      <c r="E16">
        <v>0.54952373303644797</v>
      </c>
      <c r="F16">
        <v>5.4211003962239204</v>
      </c>
      <c r="G16">
        <v>6.3985864215481696</v>
      </c>
      <c r="H16">
        <v>0.84325364630766897</v>
      </c>
      <c r="I16">
        <v>8.6135841420861406E-2</v>
      </c>
      <c r="J16">
        <v>3.5914309762120102E-2</v>
      </c>
      <c r="K16">
        <v>7.0602671611683801E-3</v>
      </c>
      <c r="L16">
        <v>6.9173865915055598E-4</v>
      </c>
      <c r="M16">
        <v>0.50141134560644596</v>
      </c>
      <c r="N16">
        <v>4.4460718475626696E-3</v>
      </c>
      <c r="O16">
        <v>0</v>
      </c>
      <c r="P16">
        <v>5.6634803802601796</v>
      </c>
      <c r="Q16">
        <v>94.336519619739803</v>
      </c>
      <c r="R16">
        <v>62.970452897499896</v>
      </c>
      <c r="S16">
        <v>24.750283861028699</v>
      </c>
      <c r="T16">
        <v>12.2792632414713</v>
      </c>
      <c r="U16">
        <v>0</v>
      </c>
      <c r="V16">
        <v>37.029547102500104</v>
      </c>
      <c r="W16">
        <v>0.404450945746468</v>
      </c>
      <c r="X16">
        <v>-46.619766470097098</v>
      </c>
      <c r="Y16">
        <v>54.861990810981197</v>
      </c>
      <c r="Z16">
        <v>100</v>
      </c>
      <c r="AA16">
        <v>68.700761619994907</v>
      </c>
      <c r="AB16">
        <v>287.54902540978401</v>
      </c>
      <c r="AC16">
        <v>285.25582546198001</v>
      </c>
      <c r="AD16">
        <v>14.214296363934499</v>
      </c>
      <c r="AE16">
        <v>342.728819381074</v>
      </c>
      <c r="AF16">
        <v>3.5677021975471699</v>
      </c>
      <c r="AG16">
        <v>779.50945701418595</v>
      </c>
      <c r="AH16">
        <v>4.0461253036547902</v>
      </c>
      <c r="AI16">
        <v>48.763211040918598</v>
      </c>
      <c r="AJ16">
        <v>175.62852445896399</v>
      </c>
      <c r="AK16">
        <v>24.7282491758323</v>
      </c>
      <c r="AL16">
        <v>-26.591316315780499</v>
      </c>
      <c r="AM16">
        <v>6.4511747457662301</v>
      </c>
      <c r="AN16">
        <v>7.7468324453502602</v>
      </c>
      <c r="AO16">
        <v>0.9</v>
      </c>
      <c r="AP16">
        <v>1.2910444461597901</v>
      </c>
      <c r="AQ16">
        <v>1.1196093840260399</v>
      </c>
      <c r="AR16">
        <v>1.26611589209082</v>
      </c>
      <c r="AS16">
        <v>0.99360046369798405</v>
      </c>
      <c r="AT16">
        <v>0.87098060162215596</v>
      </c>
      <c r="AU16">
        <v>0.84080049337488805</v>
      </c>
      <c r="AV16">
        <v>1</v>
      </c>
      <c r="AW16">
        <v>0.99651200688391905</v>
      </c>
      <c r="AX16">
        <v>1</v>
      </c>
      <c r="AY16">
        <v>1</v>
      </c>
      <c r="AZ16">
        <v>0.95186158876674998</v>
      </c>
      <c r="BA16">
        <v>1</v>
      </c>
      <c r="BB16">
        <v>0.990857205872125</v>
      </c>
      <c r="BC16">
        <v>22886401680.099998</v>
      </c>
      <c r="BD16">
        <v>5.6137365571696803E-2</v>
      </c>
      <c r="BE16">
        <v>2103</v>
      </c>
    </row>
    <row r="17" spans="1:57" x14ac:dyDescent="0.25">
      <c r="A17">
        <v>16</v>
      </c>
      <c r="B17" t="s">
        <v>56</v>
      </c>
      <c r="C17">
        <v>6.6</v>
      </c>
      <c r="D17">
        <v>0.50588713509962902</v>
      </c>
      <c r="E17">
        <v>0.56590166454508695</v>
      </c>
      <c r="F17">
        <v>5.9045533638295797</v>
      </c>
      <c r="G17">
        <v>6.5833951617461004</v>
      </c>
      <c r="H17">
        <v>0.89394883739438602</v>
      </c>
      <c r="I17">
        <v>6.0014529445458799E-2</v>
      </c>
      <c r="J17">
        <v>3.6162851301570098E-2</v>
      </c>
      <c r="K17">
        <v>6.5637359340158597E-3</v>
      </c>
      <c r="L17">
        <v>6.2391425988831903E-4</v>
      </c>
      <c r="M17">
        <v>0.51761816570485097</v>
      </c>
      <c r="N17">
        <v>4.9329973447620702E-3</v>
      </c>
      <c r="O17">
        <v>0</v>
      </c>
      <c r="P17">
        <v>5.4041886689182297</v>
      </c>
      <c r="Q17">
        <v>94.595811331081805</v>
      </c>
      <c r="R17">
        <v>55.955024786599601</v>
      </c>
      <c r="S17">
        <v>29.481353345657201</v>
      </c>
      <c r="T17">
        <v>14.5636218677431</v>
      </c>
      <c r="U17">
        <v>0</v>
      </c>
      <c r="V17">
        <v>44.044975213400399</v>
      </c>
      <c r="W17">
        <v>0.37314748991187202</v>
      </c>
      <c r="X17">
        <v>-45.659807460120497</v>
      </c>
      <c r="Y17">
        <v>75.623100935423807</v>
      </c>
      <c r="Z17">
        <v>100</v>
      </c>
      <c r="AA17">
        <v>67.056583930555902</v>
      </c>
      <c r="AB17">
        <v>282.85608902730598</v>
      </c>
      <c r="AC17">
        <v>280.607737976713</v>
      </c>
      <c r="AD17">
        <v>14.62770189646</v>
      </c>
      <c r="AE17">
        <v>341.595294524461</v>
      </c>
      <c r="AF17">
        <v>3.5942326666665698</v>
      </c>
      <c r="AG17">
        <v>781.01154565155605</v>
      </c>
      <c r="AH17">
        <v>5.2286139016445299</v>
      </c>
      <c r="AI17">
        <v>48.110586677575299</v>
      </c>
      <c r="AJ17">
        <v>174.848278079088</v>
      </c>
      <c r="AK17">
        <v>24.181374488681499</v>
      </c>
      <c r="AL17">
        <v>-26.3656405793934</v>
      </c>
      <c r="AM17">
        <v>6.5519035847924396</v>
      </c>
      <c r="AN17">
        <v>8.12685563513533</v>
      </c>
      <c r="AO17">
        <v>0.9</v>
      </c>
      <c r="AP17">
        <v>1.29103306755958</v>
      </c>
      <c r="AQ17">
        <v>1.1154209582575301</v>
      </c>
      <c r="AR17">
        <v>1.2679421546832901</v>
      </c>
      <c r="AS17">
        <v>0.99494478419741295</v>
      </c>
      <c r="AT17">
        <v>0.87609210490573197</v>
      </c>
      <c r="AU17">
        <v>0.83786172736896203</v>
      </c>
      <c r="AV17">
        <v>1</v>
      </c>
      <c r="AW17">
        <v>0.99674151384929299</v>
      </c>
      <c r="AX17">
        <v>1</v>
      </c>
      <c r="AY17">
        <v>1</v>
      </c>
      <c r="AZ17">
        <v>0.94274153222257895</v>
      </c>
      <c r="BA17">
        <v>1</v>
      </c>
      <c r="BB17">
        <v>0.98857948937601103</v>
      </c>
      <c r="BC17">
        <v>26779291065.900002</v>
      </c>
      <c r="BD17">
        <v>5.6407259721970401E-2</v>
      </c>
      <c r="BE17">
        <v>2384</v>
      </c>
    </row>
    <row r="18" spans="1:57" x14ac:dyDescent="0.25">
      <c r="A18">
        <v>17</v>
      </c>
      <c r="B18" t="s">
        <v>56</v>
      </c>
      <c r="C18">
        <v>6.7</v>
      </c>
      <c r="D18">
        <v>0.48328828646673</v>
      </c>
      <c r="E18">
        <v>0.57892291527756601</v>
      </c>
      <c r="F18">
        <v>5.64776141666571</v>
      </c>
      <c r="G18">
        <v>6.73008833808922</v>
      </c>
      <c r="H18">
        <v>0.83480593652959201</v>
      </c>
      <c r="I18">
        <v>9.5634628810836203E-2</v>
      </c>
      <c r="J18">
        <v>3.6360120597558901E-2</v>
      </c>
      <c r="K18">
        <v>6.63310293619982E-3</v>
      </c>
      <c r="L18">
        <v>9.6983255900772E-4</v>
      </c>
      <c r="M18">
        <v>0.53038865208936803</v>
      </c>
      <c r="N18">
        <v>4.5712070954314699E-3</v>
      </c>
      <c r="O18">
        <v>0</v>
      </c>
      <c r="P18">
        <v>5.1294091707492004</v>
      </c>
      <c r="Q18">
        <v>94.870590829250801</v>
      </c>
      <c r="R18">
        <v>52.622285257742497</v>
      </c>
      <c r="S18">
        <v>32.393244046471999</v>
      </c>
      <c r="T18">
        <v>14.9844706957855</v>
      </c>
      <c r="U18">
        <v>0</v>
      </c>
      <c r="V18">
        <v>47.377714742257503</v>
      </c>
      <c r="W18">
        <v>0.363664703301457</v>
      </c>
      <c r="X18">
        <v>-48.425494221318097</v>
      </c>
      <c r="Y18">
        <v>79.155330770696594</v>
      </c>
      <c r="Z18">
        <v>100</v>
      </c>
      <c r="AA18">
        <v>65.523949709587001</v>
      </c>
      <c r="AB18">
        <v>289.54313951381499</v>
      </c>
      <c r="AC18">
        <v>287.11571245569502</v>
      </c>
      <c r="AD18">
        <v>15.6750732571318</v>
      </c>
      <c r="AE18">
        <v>340.10329151655799</v>
      </c>
      <c r="AF18">
        <v>3.5704586397031099</v>
      </c>
      <c r="AG18">
        <v>780.49099107536097</v>
      </c>
      <c r="AH18">
        <v>5.2698208990379296</v>
      </c>
      <c r="AI18">
        <v>48.316555594894197</v>
      </c>
      <c r="AJ18">
        <v>174.69031125926901</v>
      </c>
      <c r="AK18">
        <v>23.6647746050553</v>
      </c>
      <c r="AL18">
        <v>-26.292492109081302</v>
      </c>
      <c r="AM18">
        <v>6.6520962591246704</v>
      </c>
      <c r="AN18">
        <v>8.8752692962278399</v>
      </c>
      <c r="AO18">
        <v>0.9</v>
      </c>
      <c r="AP18">
        <v>1.2909713324821599</v>
      </c>
      <c r="AQ18">
        <v>1.13391763577337</v>
      </c>
      <c r="AR18">
        <v>1.2628135615290801</v>
      </c>
      <c r="AS18">
        <v>0.99612128206599304</v>
      </c>
      <c r="AT18">
        <v>0.86836755569077495</v>
      </c>
      <c r="AU18">
        <v>0.838931891159858</v>
      </c>
      <c r="AV18">
        <v>1</v>
      </c>
      <c r="AW18">
        <v>0.99701200453486505</v>
      </c>
      <c r="AX18">
        <v>1</v>
      </c>
      <c r="AY18">
        <v>1</v>
      </c>
      <c r="AZ18">
        <v>0.93840897083506503</v>
      </c>
      <c r="BA18">
        <v>1</v>
      </c>
      <c r="BB18">
        <v>0.98744823761451705</v>
      </c>
      <c r="BC18">
        <v>32836678736.900002</v>
      </c>
      <c r="BD18">
        <v>5.20215209442269E-2</v>
      </c>
      <c r="BE18">
        <v>2527</v>
      </c>
    </row>
    <row r="19" spans="1:57" x14ac:dyDescent="0.25">
      <c r="A19">
        <v>18</v>
      </c>
      <c r="B19" t="s">
        <v>56</v>
      </c>
      <c r="C19">
        <v>6.8</v>
      </c>
      <c r="D19">
        <v>0.55655211073743405</v>
      </c>
      <c r="E19">
        <v>0.58804826492585005</v>
      </c>
      <c r="F19">
        <v>6.4779357172951597</v>
      </c>
      <c r="G19">
        <v>6.8327656840269304</v>
      </c>
      <c r="H19">
        <v>0.94643950834139901</v>
      </c>
      <c r="I19">
        <v>3.1496154188416101E-2</v>
      </c>
      <c r="J19">
        <v>3.6465296355411403E-2</v>
      </c>
      <c r="K19">
        <v>6.8934576770044798E-3</v>
      </c>
      <c r="L19">
        <v>1.40179285847889E-3</v>
      </c>
      <c r="M19">
        <v>0.53793294009220904</v>
      </c>
      <c r="N19">
        <v>5.3547779427459601E-3</v>
      </c>
      <c r="O19">
        <v>0</v>
      </c>
      <c r="P19">
        <v>5.3396446770314299</v>
      </c>
      <c r="Q19">
        <v>94.660355322968599</v>
      </c>
      <c r="R19">
        <v>54.509865437155497</v>
      </c>
      <c r="S19">
        <v>30.873243118104199</v>
      </c>
      <c r="T19">
        <v>14.6168914447403</v>
      </c>
      <c r="U19">
        <v>0</v>
      </c>
      <c r="V19">
        <v>45.490134562844602</v>
      </c>
      <c r="W19">
        <v>0.368861187192497</v>
      </c>
      <c r="X19">
        <v>-45.507676616862703</v>
      </c>
      <c r="Y19">
        <v>103.92363872068999</v>
      </c>
      <c r="Z19">
        <v>100</v>
      </c>
      <c r="AA19">
        <v>63.771348273649799</v>
      </c>
      <c r="AB19">
        <v>290.90447152355898</v>
      </c>
      <c r="AC19">
        <v>288.52382055052902</v>
      </c>
      <c r="AD19">
        <v>16.370121424225601</v>
      </c>
      <c r="AE19">
        <v>339.324341510387</v>
      </c>
      <c r="AF19">
        <v>3.5939952885417998</v>
      </c>
      <c r="AG19">
        <v>780.45525625108201</v>
      </c>
      <c r="AH19">
        <v>5.3202886909801403</v>
      </c>
      <c r="AI19">
        <v>48.696274866084003</v>
      </c>
      <c r="AJ19">
        <v>174.84782413578299</v>
      </c>
      <c r="AK19">
        <v>23.591102916969</v>
      </c>
      <c r="AL19">
        <v>-26.037274954440701</v>
      </c>
      <c r="AM19">
        <v>6.7521778572745896</v>
      </c>
      <c r="AN19">
        <v>9.4204169153764497</v>
      </c>
      <c r="AO19">
        <v>0.9</v>
      </c>
      <c r="AP19">
        <v>1.29087124511943</v>
      </c>
      <c r="AQ19">
        <v>1.14680387435329</v>
      </c>
      <c r="AR19">
        <v>1.2701899341168601</v>
      </c>
      <c r="AS19">
        <v>0.99735376490208005</v>
      </c>
      <c r="AT19">
        <v>0.86708339768382803</v>
      </c>
      <c r="AU19">
        <v>0.83901658031929804</v>
      </c>
      <c r="AV19">
        <v>1</v>
      </c>
      <c r="AW19">
        <v>0.99758974387789001</v>
      </c>
      <c r="AX19">
        <v>1</v>
      </c>
      <c r="AY19">
        <v>1</v>
      </c>
      <c r="AZ19">
        <v>0.94086282506830199</v>
      </c>
      <c r="BA19">
        <v>1</v>
      </c>
      <c r="BB19">
        <v>0.9847063351234</v>
      </c>
      <c r="BC19">
        <v>29955402395.599998</v>
      </c>
      <c r="BD19">
        <v>3.4934829592653302E-2</v>
      </c>
      <c r="BE19">
        <v>2600</v>
      </c>
    </row>
    <row r="20" spans="1:57" x14ac:dyDescent="0.25">
      <c r="A20">
        <v>19</v>
      </c>
      <c r="B20" t="s">
        <v>56</v>
      </c>
      <c r="C20">
        <v>6.9</v>
      </c>
      <c r="D20">
        <v>0.54292176046000196</v>
      </c>
      <c r="E20">
        <v>0.57690734735469795</v>
      </c>
      <c r="F20">
        <v>6.3239949670404396</v>
      </c>
      <c r="G20">
        <v>6.7073954270329503</v>
      </c>
      <c r="H20">
        <v>0.94109004322699097</v>
      </c>
      <c r="I20">
        <v>3.3985586894696301E-2</v>
      </c>
      <c r="J20">
        <v>3.6507211278848803E-2</v>
      </c>
      <c r="K20">
        <v>6.8560605333062401E-3</v>
      </c>
      <c r="L20">
        <v>1.3914292853157101E-3</v>
      </c>
      <c r="M20">
        <v>0.52546286351828098</v>
      </c>
      <c r="N20">
        <v>6.6897827389462497E-3</v>
      </c>
      <c r="O20">
        <v>0</v>
      </c>
      <c r="P20">
        <v>5.8319772733557498</v>
      </c>
      <c r="Q20">
        <v>94.168022726644296</v>
      </c>
      <c r="R20">
        <v>50.409385036478</v>
      </c>
      <c r="S20">
        <v>34.930009236780499</v>
      </c>
      <c r="T20">
        <v>14.660605726741499</v>
      </c>
      <c r="U20">
        <v>0</v>
      </c>
      <c r="V20">
        <v>49.590614963522</v>
      </c>
      <c r="W20">
        <v>0.37487867907676697</v>
      </c>
      <c r="X20">
        <v>-44.906548238189899</v>
      </c>
      <c r="Y20">
        <v>103.71912204732899</v>
      </c>
      <c r="Z20">
        <v>100</v>
      </c>
      <c r="AA20">
        <v>62.570492465839202</v>
      </c>
      <c r="AB20">
        <v>307.274875133249</v>
      </c>
      <c r="AC20">
        <v>304.93776871894698</v>
      </c>
      <c r="AD20">
        <v>15.9849024718309</v>
      </c>
      <c r="AE20">
        <v>339.46193914927198</v>
      </c>
      <c r="AF20">
        <v>3.5905591309087002</v>
      </c>
      <c r="AG20">
        <v>780.32231964433697</v>
      </c>
      <c r="AH20">
        <v>5.2402386493446498</v>
      </c>
      <c r="AI20">
        <v>49.555085782888199</v>
      </c>
      <c r="AJ20">
        <v>174.71163343547201</v>
      </c>
      <c r="AK20">
        <v>23.7832041583654</v>
      </c>
      <c r="AL20">
        <v>-25.886056809334299</v>
      </c>
      <c r="AM20">
        <v>6.8470277440995204</v>
      </c>
      <c r="AN20">
        <v>9.3230174632657903</v>
      </c>
      <c r="AO20">
        <v>0.9</v>
      </c>
      <c r="AP20">
        <v>1.2907518146547201</v>
      </c>
      <c r="AQ20">
        <v>1.1411291626903799</v>
      </c>
      <c r="AR20">
        <v>1.2716437718156099</v>
      </c>
      <c r="AS20">
        <v>0.99810223847256496</v>
      </c>
      <c r="AT20">
        <v>0.85008602158069702</v>
      </c>
      <c r="AU20">
        <v>0.83927365930912301</v>
      </c>
      <c r="AV20">
        <v>1</v>
      </c>
      <c r="AW20">
        <v>0.99789981126584104</v>
      </c>
      <c r="AX20">
        <v>1</v>
      </c>
      <c r="AY20">
        <v>1</v>
      </c>
      <c r="AZ20">
        <v>0.93553220054742103</v>
      </c>
      <c r="BA20">
        <v>1</v>
      </c>
      <c r="BB20">
        <v>0.98887722120336197</v>
      </c>
      <c r="BC20">
        <v>22999476558.799999</v>
      </c>
      <c r="BD20">
        <v>4.9531381597006E-2</v>
      </c>
      <c r="BE20">
        <v>2444</v>
      </c>
    </row>
    <row r="21" spans="1:57" x14ac:dyDescent="0.25">
      <c r="A21">
        <v>20</v>
      </c>
      <c r="B21" t="s">
        <v>56</v>
      </c>
      <c r="C21">
        <v>7</v>
      </c>
      <c r="D21">
        <v>0.50673417016379996</v>
      </c>
      <c r="E21">
        <v>0.56298811690977402</v>
      </c>
      <c r="F21">
        <v>5.9141658012131098</v>
      </c>
      <c r="G21">
        <v>6.5505431401924099</v>
      </c>
      <c r="H21">
        <v>0.900079690749513</v>
      </c>
      <c r="I21">
        <v>5.6253946745974101E-2</v>
      </c>
      <c r="J21">
        <v>3.6729588326952299E-2</v>
      </c>
      <c r="K21">
        <v>7.21333113906411E-3</v>
      </c>
      <c r="L21">
        <v>3.2207371741575798E-3</v>
      </c>
      <c r="M21">
        <v>0.50787527856302395</v>
      </c>
      <c r="N21">
        <v>7.9491817065756795E-3</v>
      </c>
      <c r="O21">
        <v>0</v>
      </c>
      <c r="P21">
        <v>4.8677538973588401</v>
      </c>
      <c r="Q21">
        <v>95.132246102641204</v>
      </c>
      <c r="R21">
        <v>45.969397895206001</v>
      </c>
      <c r="S21">
        <v>37.077987654325</v>
      </c>
      <c r="T21">
        <v>16.952614450469</v>
      </c>
      <c r="U21">
        <v>0</v>
      </c>
      <c r="V21">
        <v>54.030602104793999</v>
      </c>
      <c r="W21">
        <v>0.38465661213570301</v>
      </c>
      <c r="X21">
        <v>-42.062697491897701</v>
      </c>
      <c r="Y21">
        <v>123.513325490399</v>
      </c>
      <c r="Z21">
        <v>100</v>
      </c>
      <c r="AA21">
        <v>60.563727259913797</v>
      </c>
      <c r="AB21">
        <v>322.12855623242098</v>
      </c>
      <c r="AC21">
        <v>319.86813111701298</v>
      </c>
      <c r="AD21">
        <v>17.545511018147302</v>
      </c>
      <c r="AE21">
        <v>338.01445810684601</v>
      </c>
      <c r="AF21">
        <v>3.6060247662434799</v>
      </c>
      <c r="AG21">
        <v>780.38190294048798</v>
      </c>
      <c r="AH21">
        <v>4.5391293830458297</v>
      </c>
      <c r="AI21">
        <v>49.889566731826498</v>
      </c>
      <c r="AJ21">
        <v>174.694917338181</v>
      </c>
      <c r="AK21">
        <v>24.137965092273902</v>
      </c>
      <c r="AL21">
        <v>-27.4507120989383</v>
      </c>
      <c r="AM21">
        <v>6.9470138895192202</v>
      </c>
      <c r="AN21">
        <v>10.4261081974878</v>
      </c>
      <c r="AO21">
        <v>0.9</v>
      </c>
      <c r="AP21">
        <v>1.29061151066424</v>
      </c>
      <c r="AQ21">
        <v>1.1661634099337901</v>
      </c>
      <c r="AR21">
        <v>1.27969688467516</v>
      </c>
      <c r="AS21">
        <v>0.99918230683214504</v>
      </c>
      <c r="AT21">
        <v>0.83519387162672398</v>
      </c>
      <c r="AU21">
        <v>0.83916101451802505</v>
      </c>
      <c r="AV21">
        <v>1</v>
      </c>
      <c r="AW21">
        <v>0.99448881261676203</v>
      </c>
      <c r="AX21">
        <v>1</v>
      </c>
      <c r="AY21">
        <v>1</v>
      </c>
      <c r="AZ21">
        <v>0.92976021726376801</v>
      </c>
      <c r="BA21">
        <v>1</v>
      </c>
      <c r="BB21">
        <v>0.98712077511654395</v>
      </c>
      <c r="BC21">
        <v>20361986895.799999</v>
      </c>
      <c r="BD21">
        <v>5.5754383738691703E-2</v>
      </c>
      <c r="BE21">
        <v>2259</v>
      </c>
    </row>
    <row r="22" spans="1:57" x14ac:dyDescent="0.25">
      <c r="A22">
        <v>21</v>
      </c>
      <c r="B22" t="s">
        <v>56</v>
      </c>
      <c r="C22">
        <v>7.1</v>
      </c>
      <c r="D22">
        <v>0.49467048750505099</v>
      </c>
      <c r="E22">
        <v>0.53828948501648899</v>
      </c>
      <c r="F22">
        <v>5.7771781727524099</v>
      </c>
      <c r="G22">
        <v>6.2716253328342004</v>
      </c>
      <c r="H22">
        <v>0.91896739816476003</v>
      </c>
      <c r="I22">
        <v>4.36189975114376E-2</v>
      </c>
      <c r="J22">
        <v>3.66808961051652E-2</v>
      </c>
      <c r="K22">
        <v>6.9746762147589302E-3</v>
      </c>
      <c r="L22">
        <v>2.73449978834057E-3</v>
      </c>
      <c r="M22">
        <v>0.484251730208064</v>
      </c>
      <c r="N22">
        <v>7.6476827001595504E-3</v>
      </c>
      <c r="O22">
        <v>0</v>
      </c>
      <c r="P22">
        <v>4.0082305804903404</v>
      </c>
      <c r="Q22">
        <v>95.991769419509694</v>
      </c>
      <c r="R22">
        <v>31.678163423589002</v>
      </c>
      <c r="S22">
        <v>40.890503242582099</v>
      </c>
      <c r="T22">
        <v>27.431333333828899</v>
      </c>
      <c r="U22">
        <v>0</v>
      </c>
      <c r="V22">
        <v>68.321836576411002</v>
      </c>
      <c r="W22">
        <v>0.39059460270635099</v>
      </c>
      <c r="X22">
        <v>-42.128362148255299</v>
      </c>
      <c r="Y22">
        <v>113.967717376724</v>
      </c>
      <c r="Z22">
        <v>100</v>
      </c>
      <c r="AA22">
        <v>58.020056201551398</v>
      </c>
      <c r="AB22">
        <v>326.29963330887699</v>
      </c>
      <c r="AC22">
        <v>324.12511174535001</v>
      </c>
      <c r="AD22">
        <v>16.779510520126902</v>
      </c>
      <c r="AE22">
        <v>338.62853172300498</v>
      </c>
      <c r="AF22">
        <v>3.5871271233173601</v>
      </c>
      <c r="AG22">
        <v>778.92762473771404</v>
      </c>
      <c r="AH22">
        <v>4.8606698696646298</v>
      </c>
      <c r="AI22">
        <v>51.892778603583203</v>
      </c>
      <c r="AJ22">
        <v>174.49245536397501</v>
      </c>
      <c r="AK22">
        <v>24.549397691403499</v>
      </c>
      <c r="AL22">
        <v>-27.425395219742299</v>
      </c>
      <c r="AM22">
        <v>7.0433670121066996</v>
      </c>
      <c r="AN22">
        <v>10.0963006772488</v>
      </c>
      <c r="AO22">
        <v>0.9</v>
      </c>
      <c r="AP22">
        <v>1.2904731325741401</v>
      </c>
      <c r="AQ22">
        <v>1.15662967743416</v>
      </c>
      <c r="AR22">
        <v>1.2800136200902601</v>
      </c>
      <c r="AS22">
        <v>1.0006305028690901</v>
      </c>
      <c r="AT22">
        <v>0.830781748500665</v>
      </c>
      <c r="AU22">
        <v>0.84205520688708901</v>
      </c>
      <c r="AV22">
        <v>1</v>
      </c>
      <c r="AW22">
        <v>0.99460200830167</v>
      </c>
      <c r="AX22">
        <v>1</v>
      </c>
      <c r="AY22">
        <v>1</v>
      </c>
      <c r="AZ22">
        <v>0.91118161245066598</v>
      </c>
      <c r="BA22">
        <v>1</v>
      </c>
      <c r="BB22">
        <v>0.98732708005611602</v>
      </c>
      <c r="BC22">
        <v>13215228856.299999</v>
      </c>
      <c r="BD22">
        <v>3.74521087255658E-2</v>
      </c>
      <c r="BE22">
        <v>1908</v>
      </c>
    </row>
    <row r="23" spans="1:57" x14ac:dyDescent="0.25">
      <c r="A23">
        <v>22</v>
      </c>
      <c r="B23" t="s">
        <v>56</v>
      </c>
      <c r="C23">
        <v>7.2</v>
      </c>
      <c r="D23">
        <v>0.498149362254793</v>
      </c>
      <c r="E23">
        <v>0.53334077429481197</v>
      </c>
      <c r="F23">
        <v>5.8167008444635497</v>
      </c>
      <c r="G23">
        <v>6.2156486285581503</v>
      </c>
      <c r="H23">
        <v>0.93401702300644696</v>
      </c>
      <c r="I23">
        <v>3.5191412040018202E-2</v>
      </c>
      <c r="J23">
        <v>3.6661052336884201E-2</v>
      </c>
      <c r="K23">
        <v>6.8365872063970799E-3</v>
      </c>
      <c r="L23">
        <v>2.14104936086128E-3</v>
      </c>
      <c r="M23">
        <v>0.48131756228080602</v>
      </c>
      <c r="N23">
        <v>6.3845231098626897E-3</v>
      </c>
      <c r="O23">
        <v>0</v>
      </c>
      <c r="P23">
        <v>4.4501074617634604</v>
      </c>
      <c r="Q23">
        <v>95.549892538236506</v>
      </c>
      <c r="R23">
        <v>27.4709883777447</v>
      </c>
      <c r="S23">
        <v>48.639245345645698</v>
      </c>
      <c r="T23">
        <v>23.889766276609599</v>
      </c>
      <c r="U23">
        <v>0</v>
      </c>
      <c r="V23">
        <v>72.529011622255297</v>
      </c>
      <c r="W23">
        <v>0.395688538555591</v>
      </c>
      <c r="X23">
        <v>-45.503491939537703</v>
      </c>
      <c r="Y23">
        <v>102.536043836817</v>
      </c>
      <c r="Z23">
        <v>100</v>
      </c>
      <c r="AA23">
        <v>54.953925362864602</v>
      </c>
      <c r="AB23">
        <v>326.68904207387402</v>
      </c>
      <c r="AC23">
        <v>324.58503050008699</v>
      </c>
      <c r="AD23">
        <v>16.579361689682202</v>
      </c>
      <c r="AE23">
        <v>338.51098836723997</v>
      </c>
      <c r="AF23">
        <v>3.56815235713609</v>
      </c>
      <c r="AG23">
        <v>781.51100471760196</v>
      </c>
      <c r="AH23">
        <v>5.5619917701520203</v>
      </c>
      <c r="AI23">
        <v>52.004879512241999</v>
      </c>
      <c r="AJ23">
        <v>174.893762446712</v>
      </c>
      <c r="AK23">
        <v>23.561972167147101</v>
      </c>
      <c r="AL23">
        <v>-28.4063050814094</v>
      </c>
      <c r="AM23">
        <v>7.1513254053162498</v>
      </c>
      <c r="AN23">
        <v>10.117289631484599</v>
      </c>
      <c r="AO23">
        <v>0.9</v>
      </c>
      <c r="AP23">
        <v>1.29032787307732</v>
      </c>
      <c r="AQ23">
        <v>1.16409688597112</v>
      </c>
      <c r="AR23">
        <v>1.2720438356725501</v>
      </c>
      <c r="AS23">
        <v>1.0025499185408799</v>
      </c>
      <c r="AT23">
        <v>0.83049670729311498</v>
      </c>
      <c r="AU23">
        <v>0.83690923119572302</v>
      </c>
      <c r="AV23">
        <v>1</v>
      </c>
      <c r="AW23">
        <v>0.99254197427088497</v>
      </c>
      <c r="AX23">
        <v>1</v>
      </c>
      <c r="AY23">
        <v>1</v>
      </c>
      <c r="AZ23">
        <v>0.90571228489106803</v>
      </c>
      <c r="BA23">
        <v>1</v>
      </c>
      <c r="BB23">
        <v>0.98480638754322003</v>
      </c>
      <c r="BC23">
        <v>11090849123.1</v>
      </c>
      <c r="BD23">
        <v>4.45264817607922E-2</v>
      </c>
      <c r="BE23">
        <v>1749</v>
      </c>
    </row>
    <row r="24" spans="1:57" x14ac:dyDescent="0.25">
      <c r="A24">
        <v>23</v>
      </c>
      <c r="B24" t="s">
        <v>56</v>
      </c>
      <c r="C24">
        <v>7.3</v>
      </c>
      <c r="D24">
        <v>0.546454230620258</v>
      </c>
      <c r="E24">
        <v>0.534180215674951</v>
      </c>
      <c r="F24">
        <v>6.3639128569740704</v>
      </c>
      <c r="G24">
        <v>6.2251460193621897</v>
      </c>
      <c r="H24">
        <v>1.02297729227916</v>
      </c>
      <c r="I24">
        <v>-1.2274014945306701E-2</v>
      </c>
      <c r="J24">
        <v>3.6868543877190699E-2</v>
      </c>
      <c r="K24">
        <v>6.8013180848542198E-3</v>
      </c>
      <c r="L24">
        <v>4.3438743557932301E-3</v>
      </c>
      <c r="M24">
        <v>0.47772725071412903</v>
      </c>
      <c r="N24">
        <v>8.4392286429833298E-3</v>
      </c>
      <c r="O24">
        <v>0</v>
      </c>
      <c r="P24">
        <v>3.3236945805664901</v>
      </c>
      <c r="Q24">
        <v>96.676305419433504</v>
      </c>
      <c r="R24">
        <v>18.6947053429632</v>
      </c>
      <c r="S24">
        <v>51.511294161370898</v>
      </c>
      <c r="T24">
        <v>29.794000495665902</v>
      </c>
      <c r="U24">
        <v>0</v>
      </c>
      <c r="V24">
        <v>81.305294657036796</v>
      </c>
      <c r="W24">
        <v>0.392941959238437</v>
      </c>
      <c r="X24">
        <v>-44.291331639706598</v>
      </c>
      <c r="Y24">
        <v>123.161415144831</v>
      </c>
      <c r="Z24">
        <v>100</v>
      </c>
      <c r="AA24">
        <v>51.441167487637799</v>
      </c>
      <c r="AB24">
        <v>335.92957989067901</v>
      </c>
      <c r="AC24">
        <v>333.84598072378498</v>
      </c>
      <c r="AD24">
        <v>17.4630333199962</v>
      </c>
      <c r="AE24">
        <v>337.68262408662002</v>
      </c>
      <c r="AF24">
        <v>3.5768277443770402</v>
      </c>
      <c r="AG24">
        <v>780.60565349820797</v>
      </c>
      <c r="AH24">
        <v>5.2783046939783498</v>
      </c>
      <c r="AI24">
        <v>53.045573051775797</v>
      </c>
      <c r="AJ24">
        <v>174.83439295902301</v>
      </c>
      <c r="AK24">
        <v>23.554832995705699</v>
      </c>
      <c r="AL24">
        <v>-28.6807760764734</v>
      </c>
      <c r="AM24">
        <v>7.2470002008863004</v>
      </c>
      <c r="AN24">
        <v>10.8291735448556</v>
      </c>
      <c r="AO24">
        <v>0.9</v>
      </c>
      <c r="AP24">
        <v>1.2902188795215801</v>
      </c>
      <c r="AQ24">
        <v>1.1748723218664201</v>
      </c>
      <c r="AR24">
        <v>1.27214548390467</v>
      </c>
      <c r="AS24">
        <v>1.00410479941643</v>
      </c>
      <c r="AT24">
        <v>0.82111907435909104</v>
      </c>
      <c r="AU24">
        <v>0.83868379388409098</v>
      </c>
      <c r="AV24">
        <v>1</v>
      </c>
      <c r="AW24">
        <v>0.99194454663707698</v>
      </c>
      <c r="AX24">
        <v>1</v>
      </c>
      <c r="AY24">
        <v>1</v>
      </c>
      <c r="AZ24">
        <v>0.89430311694585196</v>
      </c>
      <c r="BA24">
        <v>1</v>
      </c>
      <c r="BB24">
        <v>0.98749468347302805</v>
      </c>
      <c r="BC24">
        <v>7501393947.5</v>
      </c>
      <c r="BD24">
        <v>6.16611143670244E-2</v>
      </c>
      <c r="BE24">
        <v>1404</v>
      </c>
    </row>
    <row r="25" spans="1:57" x14ac:dyDescent="0.25">
      <c r="A25">
        <v>24</v>
      </c>
      <c r="B25" t="s">
        <v>56</v>
      </c>
      <c r="C25">
        <v>7.4</v>
      </c>
      <c r="D25">
        <v>0.55680173640182395</v>
      </c>
      <c r="E25">
        <v>0.52063291736505002</v>
      </c>
      <c r="F25">
        <v>6.4807528181439302</v>
      </c>
      <c r="G25">
        <v>6.0717649266644296</v>
      </c>
      <c r="H25">
        <v>1.0694708648462401</v>
      </c>
      <c r="I25">
        <v>-3.6168819036773499E-2</v>
      </c>
      <c r="J25">
        <v>3.68614243990983E-2</v>
      </c>
      <c r="K25">
        <v>6.8033511157914901E-3</v>
      </c>
      <c r="L25">
        <v>3.6462463904572699E-3</v>
      </c>
      <c r="M25">
        <v>0.46470667305329499</v>
      </c>
      <c r="N25">
        <v>8.6152224064085896E-3</v>
      </c>
      <c r="O25">
        <v>0</v>
      </c>
      <c r="P25">
        <v>3.1674115781455399</v>
      </c>
      <c r="Q25">
        <v>96.832588421854496</v>
      </c>
      <c r="R25">
        <v>15.277094334894301</v>
      </c>
      <c r="S25">
        <v>48.731084723919999</v>
      </c>
      <c r="T25">
        <v>35.991820941185601</v>
      </c>
      <c r="U25">
        <v>0</v>
      </c>
      <c r="V25">
        <v>84.722905665105699</v>
      </c>
      <c r="W25">
        <v>0.401683678630468</v>
      </c>
      <c r="X25">
        <v>-42.275022982690402</v>
      </c>
      <c r="Y25">
        <v>119.08711126300901</v>
      </c>
      <c r="Z25">
        <v>100</v>
      </c>
      <c r="AA25">
        <v>46.319512339190702</v>
      </c>
      <c r="AB25">
        <v>338.08838509767202</v>
      </c>
      <c r="AC25">
        <v>336.13209498085803</v>
      </c>
      <c r="AD25">
        <v>17.011879682000401</v>
      </c>
      <c r="AE25">
        <v>337.97625749879597</v>
      </c>
      <c r="AF25">
        <v>3.5738876248379499</v>
      </c>
      <c r="AG25">
        <v>780.77073156746803</v>
      </c>
      <c r="AH25">
        <v>5.2745146622099801</v>
      </c>
      <c r="AI25">
        <v>53.068640804340497</v>
      </c>
      <c r="AJ25">
        <v>175.07339061856601</v>
      </c>
      <c r="AK25">
        <v>24.5095033960474</v>
      </c>
      <c r="AL25">
        <v>-29.628874801031198</v>
      </c>
      <c r="AM25">
        <v>7.3449217353056202</v>
      </c>
      <c r="AN25">
        <v>10.683487340547501</v>
      </c>
      <c r="AO25">
        <v>0.9</v>
      </c>
      <c r="AP25">
        <v>1.29013864571325</v>
      </c>
      <c r="AQ25">
        <v>1.16838284735382</v>
      </c>
      <c r="AR25">
        <v>1.27836765881795</v>
      </c>
      <c r="AS25">
        <v>1.0050068465864701</v>
      </c>
      <c r="AT25">
        <v>0.81896903710549396</v>
      </c>
      <c r="AU25">
        <v>0.83835954153395997</v>
      </c>
      <c r="AV25">
        <v>1</v>
      </c>
      <c r="AW25">
        <v>0.98987632103033696</v>
      </c>
      <c r="AX25">
        <v>1</v>
      </c>
      <c r="AY25">
        <v>1</v>
      </c>
      <c r="AZ25">
        <v>0.88986022263536302</v>
      </c>
      <c r="BA25">
        <v>1</v>
      </c>
      <c r="BB25">
        <v>0.98829469198368103</v>
      </c>
      <c r="BC25">
        <v>5224948123</v>
      </c>
      <c r="BD25">
        <v>5.2272434146714099E-2</v>
      </c>
      <c r="BE25">
        <v>1330</v>
      </c>
    </row>
    <row r="26" spans="1:57" x14ac:dyDescent="0.25">
      <c r="A26">
        <v>25</v>
      </c>
      <c r="B26" t="s">
        <v>56</v>
      </c>
      <c r="C26">
        <v>7.5</v>
      </c>
      <c r="D26">
        <v>0.60075308240533298</v>
      </c>
      <c r="E26">
        <v>0.51293550520286002</v>
      </c>
      <c r="F26">
        <v>6.9755462297243902</v>
      </c>
      <c r="G26">
        <v>5.9845132123457203</v>
      </c>
      <c r="H26">
        <v>1.1712058851682401</v>
      </c>
      <c r="I26">
        <v>-8.7817577202472893E-2</v>
      </c>
      <c r="J26">
        <v>3.7168086509242401E-2</v>
      </c>
      <c r="K26">
        <v>7.3575219658851398E-3</v>
      </c>
      <c r="L26">
        <v>3.7437415565985599E-3</v>
      </c>
      <c r="M26">
        <v>0.45602455991804502</v>
      </c>
      <c r="N26">
        <v>8.6415952530881704E-3</v>
      </c>
      <c r="O26">
        <v>0</v>
      </c>
      <c r="P26">
        <v>3.5021589341250698</v>
      </c>
      <c r="Q26">
        <v>96.497841065874894</v>
      </c>
      <c r="R26">
        <v>9.1317711485901203</v>
      </c>
      <c r="S26">
        <v>53.576976473997597</v>
      </c>
      <c r="T26">
        <v>37.291252377412299</v>
      </c>
      <c r="U26">
        <v>0</v>
      </c>
      <c r="V26">
        <v>90.868228851409896</v>
      </c>
      <c r="W26">
        <v>0.43486108010448998</v>
      </c>
      <c r="X26">
        <v>-42.934595115814801</v>
      </c>
      <c r="Y26">
        <v>112.711460168965</v>
      </c>
      <c r="Z26">
        <v>100</v>
      </c>
      <c r="AA26">
        <v>42.623506571807098</v>
      </c>
      <c r="AB26">
        <v>342.65547254191898</v>
      </c>
      <c r="AC26">
        <v>340.82564775984901</v>
      </c>
      <c r="AD26">
        <v>18.026065157184401</v>
      </c>
      <c r="AE26">
        <v>336.99935883913702</v>
      </c>
      <c r="AF26">
        <v>3.5556629917672198</v>
      </c>
      <c r="AG26">
        <v>782.62791645968105</v>
      </c>
      <c r="AH26">
        <v>5.5726524489635896</v>
      </c>
      <c r="AI26">
        <v>53.242691858132602</v>
      </c>
      <c r="AJ26">
        <v>176.06930639721</v>
      </c>
      <c r="AK26">
        <v>24.650028677996399</v>
      </c>
      <c r="AL26">
        <v>-31.4476753230669</v>
      </c>
      <c r="AM26">
        <v>7.4447632833094302</v>
      </c>
      <c r="AN26">
        <v>11.4885664625562</v>
      </c>
      <c r="AO26">
        <v>0.9</v>
      </c>
      <c r="AP26">
        <v>1.29010019224831</v>
      </c>
      <c r="AQ26">
        <v>1.1897851476197101</v>
      </c>
      <c r="AR26">
        <v>1.27923824023893</v>
      </c>
      <c r="AS26">
        <v>1.0061950206983199</v>
      </c>
      <c r="AT26">
        <v>0.81452651579703395</v>
      </c>
      <c r="AU26">
        <v>0.83459847900929995</v>
      </c>
      <c r="AV26">
        <v>1</v>
      </c>
      <c r="AW26">
        <v>0.98631891937132998</v>
      </c>
      <c r="AX26">
        <v>1</v>
      </c>
      <c r="AY26">
        <v>1</v>
      </c>
      <c r="AZ26">
        <v>0.88187130249316703</v>
      </c>
      <c r="BA26">
        <v>1</v>
      </c>
      <c r="BB26">
        <v>0.98767632344151401</v>
      </c>
      <c r="BC26">
        <v>3449508770.8000002</v>
      </c>
      <c r="BD26">
        <v>7.3270760029763501E-2</v>
      </c>
      <c r="BE26">
        <v>1180</v>
      </c>
    </row>
    <row r="27" spans="1:57" x14ac:dyDescent="0.25">
      <c r="A27">
        <v>26</v>
      </c>
      <c r="B27" t="s">
        <v>56</v>
      </c>
      <c r="C27">
        <v>7.6</v>
      </c>
      <c r="D27">
        <v>0.482266595485286</v>
      </c>
      <c r="E27">
        <v>0.51544644727665201</v>
      </c>
      <c r="F27">
        <v>5.6361367229217496</v>
      </c>
      <c r="G27">
        <v>6.01298340704572</v>
      </c>
      <c r="H27">
        <v>0.93562890584139202</v>
      </c>
      <c r="I27">
        <v>3.3179851791365497E-2</v>
      </c>
      <c r="J27">
        <v>3.73509596869466E-2</v>
      </c>
      <c r="K27">
        <v>7.3744364044592697E-3</v>
      </c>
      <c r="L27">
        <v>3.1411808630129401E-3</v>
      </c>
      <c r="M27">
        <v>0.45984985364015701</v>
      </c>
      <c r="N27">
        <v>7.7300166820759896E-3</v>
      </c>
      <c r="O27">
        <v>0</v>
      </c>
      <c r="P27">
        <v>5.4607048037758803</v>
      </c>
      <c r="Q27">
        <v>94.539295196224103</v>
      </c>
      <c r="R27">
        <v>11.8862959699804</v>
      </c>
      <c r="S27">
        <v>49.855962634261303</v>
      </c>
      <c r="T27">
        <v>38.257741395758401</v>
      </c>
      <c r="U27">
        <v>0</v>
      </c>
      <c r="V27">
        <v>88.113704030019605</v>
      </c>
      <c r="W27">
        <v>0.43083658141171</v>
      </c>
      <c r="X27">
        <v>-45.719357982729299</v>
      </c>
      <c r="Y27">
        <v>105.097453572254</v>
      </c>
      <c r="Z27">
        <v>100</v>
      </c>
      <c r="AA27">
        <v>41.447749253055001</v>
      </c>
      <c r="AB27">
        <v>344.892761261717</v>
      </c>
      <c r="AC27">
        <v>343.40649707452098</v>
      </c>
      <c r="AD27">
        <v>17.9004247025971</v>
      </c>
      <c r="AE27">
        <v>336.73007418307299</v>
      </c>
      <c r="AF27">
        <v>3.55582776987618</v>
      </c>
      <c r="AG27">
        <v>781.09985725008596</v>
      </c>
      <c r="AH27">
        <v>5.2132870488654603</v>
      </c>
      <c r="AI27">
        <v>53.4871589517739</v>
      </c>
      <c r="AJ27">
        <v>176.48846289332499</v>
      </c>
      <c r="AK27">
        <v>23.737190397318301</v>
      </c>
      <c r="AL27">
        <v>-33.1557056296095</v>
      </c>
      <c r="AM27">
        <v>7.5431503273254803</v>
      </c>
      <c r="AN27">
        <v>11.5473868553479</v>
      </c>
      <c r="AO27">
        <v>0.9</v>
      </c>
      <c r="AP27">
        <v>1.29010828946669</v>
      </c>
      <c r="AQ27">
        <v>1.18732405648032</v>
      </c>
      <c r="AR27">
        <v>1.2734749404808801</v>
      </c>
      <c r="AS27">
        <v>1.0060947769222</v>
      </c>
      <c r="AT27">
        <v>0.81237843269454701</v>
      </c>
      <c r="AU27">
        <v>0.83758753993906598</v>
      </c>
      <c r="AV27">
        <v>1</v>
      </c>
      <c r="AW27">
        <v>0.98335033171019404</v>
      </c>
      <c r="AX27">
        <v>1</v>
      </c>
      <c r="AY27">
        <v>1</v>
      </c>
      <c r="AZ27">
        <v>0.88545218476097498</v>
      </c>
      <c r="BA27">
        <v>1</v>
      </c>
      <c r="BB27">
        <v>0.99559537051463998</v>
      </c>
      <c r="BC27">
        <v>2208530219.6999998</v>
      </c>
      <c r="BD27">
        <v>7.9511663080989101E-2</v>
      </c>
      <c r="BE27">
        <v>1224</v>
      </c>
    </row>
    <row r="28" spans="1:57" x14ac:dyDescent="0.25">
      <c r="A28">
        <v>27</v>
      </c>
      <c r="B28" t="s">
        <v>56</v>
      </c>
      <c r="C28">
        <v>7.7</v>
      </c>
      <c r="D28">
        <v>0.51207770977187805</v>
      </c>
      <c r="E28">
        <v>0.52355657476053796</v>
      </c>
      <c r="F28">
        <v>5.9747853290365498</v>
      </c>
      <c r="G28">
        <v>6.1048857156883702</v>
      </c>
      <c r="H28">
        <v>0.97807521566526101</v>
      </c>
      <c r="I28">
        <v>1.1478864988659699E-2</v>
      </c>
      <c r="J28">
        <v>3.78599709209975E-2</v>
      </c>
      <c r="K28">
        <v>7.9351345316087899E-3</v>
      </c>
      <c r="L28">
        <v>4.6387321455486404E-3</v>
      </c>
      <c r="M28">
        <v>0.46417813713221001</v>
      </c>
      <c r="N28">
        <v>8.9446000301730694E-3</v>
      </c>
      <c r="O28">
        <v>0</v>
      </c>
      <c r="P28">
        <v>7.6364841997097397</v>
      </c>
      <c r="Q28">
        <v>92.363515800290301</v>
      </c>
      <c r="R28">
        <v>13.229906754550999</v>
      </c>
      <c r="S28">
        <v>47.840649373617701</v>
      </c>
      <c r="T28">
        <v>38.929443871831403</v>
      </c>
      <c r="U28">
        <v>0</v>
      </c>
      <c r="V28">
        <v>86.770093245449004</v>
      </c>
      <c r="W28">
        <v>0.45874386005218798</v>
      </c>
      <c r="X28">
        <v>-44.761612142847</v>
      </c>
      <c r="Y28">
        <v>108.627925726092</v>
      </c>
      <c r="Z28">
        <v>100</v>
      </c>
      <c r="AA28">
        <v>39.445432045162697</v>
      </c>
      <c r="AB28">
        <v>347.19986575787198</v>
      </c>
      <c r="AC28">
        <v>345.88254599148502</v>
      </c>
      <c r="AD28">
        <v>18.8399376263074</v>
      </c>
      <c r="AE28">
        <v>335.48547514260201</v>
      </c>
      <c r="AF28">
        <v>3.54394387841957</v>
      </c>
      <c r="AG28">
        <v>779.50711601226499</v>
      </c>
      <c r="AH28">
        <v>5.3231161631630002</v>
      </c>
      <c r="AI28">
        <v>54.850147402748902</v>
      </c>
      <c r="AJ28">
        <v>176.74247630450401</v>
      </c>
      <c r="AK28">
        <v>24.3234163624948</v>
      </c>
      <c r="AL28">
        <v>-33.808699770233403</v>
      </c>
      <c r="AM28">
        <v>7.6454513643225601</v>
      </c>
      <c r="AN28">
        <v>12.3432557965463</v>
      </c>
      <c r="AO28">
        <v>0.9</v>
      </c>
      <c r="AP28">
        <v>1.29012625203705</v>
      </c>
      <c r="AQ28">
        <v>1.20423362072884</v>
      </c>
      <c r="AR28">
        <v>1.27062607444829</v>
      </c>
      <c r="AS28">
        <v>1.0064163986510899</v>
      </c>
      <c r="AT28">
        <v>0.810587033623558</v>
      </c>
      <c r="AU28">
        <v>0.84063013648984597</v>
      </c>
      <c r="AV28">
        <v>1</v>
      </c>
      <c r="AW28">
        <v>0.98277122973778597</v>
      </c>
      <c r="AX28">
        <v>1</v>
      </c>
      <c r="AY28">
        <v>1</v>
      </c>
      <c r="AZ28">
        <v>0.88719887878091597</v>
      </c>
      <c r="BA28">
        <v>1</v>
      </c>
      <c r="BB28">
        <v>1.0097015483077001</v>
      </c>
      <c r="BC28">
        <v>1296639828.0999999</v>
      </c>
      <c r="BD28">
        <v>5.1287995928793698E-2</v>
      </c>
      <c r="BE28">
        <v>1103</v>
      </c>
    </row>
    <row r="29" spans="1:57" x14ac:dyDescent="0.25">
      <c r="A29">
        <v>28</v>
      </c>
      <c r="B29" t="s">
        <v>56</v>
      </c>
      <c r="C29">
        <v>7.8</v>
      </c>
      <c r="D29">
        <v>0.36955255735578302</v>
      </c>
      <c r="E29">
        <v>0.55876296034486395</v>
      </c>
      <c r="F29">
        <v>4.3455962372368804</v>
      </c>
      <c r="G29">
        <v>6.5028831151892801</v>
      </c>
      <c r="H29">
        <v>0.66137626074516098</v>
      </c>
      <c r="I29">
        <v>0.18921040298908101</v>
      </c>
      <c r="J29">
        <v>3.9821247144302102E-2</v>
      </c>
      <c r="K29">
        <v>7.6137219183295699E-3</v>
      </c>
      <c r="L29">
        <v>5.6918380426673699E-3</v>
      </c>
      <c r="M29">
        <v>0.49647816735586903</v>
      </c>
      <c r="N29">
        <v>9.1579858836956501E-3</v>
      </c>
      <c r="O29">
        <v>0</v>
      </c>
      <c r="P29">
        <v>13.121687932574901</v>
      </c>
      <c r="Q29">
        <v>86.878312067425099</v>
      </c>
      <c r="R29">
        <v>18.418018874275798</v>
      </c>
      <c r="S29">
        <v>43.041228787566801</v>
      </c>
      <c r="T29">
        <v>38.540752338157397</v>
      </c>
      <c r="U29">
        <v>0</v>
      </c>
      <c r="V29">
        <v>81.581981125724198</v>
      </c>
      <c r="W29">
        <v>0.43671632981071501</v>
      </c>
      <c r="X29">
        <v>-43.736106155536199</v>
      </c>
      <c r="Y29">
        <v>126.492391012444</v>
      </c>
      <c r="Z29">
        <v>100</v>
      </c>
      <c r="AA29">
        <v>39.028901906482098</v>
      </c>
      <c r="AB29">
        <v>342.56113031734202</v>
      </c>
      <c r="AC29">
        <v>341.64977816343799</v>
      </c>
      <c r="AD29">
        <v>18.732728209315798</v>
      </c>
      <c r="AE29">
        <v>333.03890435122599</v>
      </c>
      <c r="AF29">
        <v>3.5634568341719399</v>
      </c>
      <c r="AG29">
        <v>774.69138921044498</v>
      </c>
      <c r="AH29">
        <v>4.6667263344062304</v>
      </c>
      <c r="AI29">
        <v>52.995857081891302</v>
      </c>
      <c r="AJ29">
        <v>176.308081671949</v>
      </c>
      <c r="AK29">
        <v>24.357889058139101</v>
      </c>
      <c r="AL29">
        <v>-32.025655928621603</v>
      </c>
      <c r="AM29">
        <v>7.7456586706467103</v>
      </c>
      <c r="AN29">
        <v>12.4390192466245</v>
      </c>
      <c r="AO29">
        <v>0.9</v>
      </c>
      <c r="AP29">
        <v>1.2901413853024699</v>
      </c>
      <c r="AQ29">
        <v>1.1993697170545301</v>
      </c>
      <c r="AR29">
        <v>1.2754571315030701</v>
      </c>
      <c r="AS29">
        <v>1.0058732368738399</v>
      </c>
      <c r="AT29">
        <v>0.81588225285112903</v>
      </c>
      <c r="AU29">
        <v>0.85001557275703299</v>
      </c>
      <c r="AV29">
        <v>1</v>
      </c>
      <c r="AW29">
        <v>0.98708182318486004</v>
      </c>
      <c r="AX29">
        <v>1</v>
      </c>
      <c r="AY29">
        <v>1</v>
      </c>
      <c r="AZ29">
        <v>0.89394342453655895</v>
      </c>
      <c r="BA29">
        <v>1</v>
      </c>
      <c r="BB29">
        <v>1.0241413002409001</v>
      </c>
      <c r="BC29">
        <v>743277025.79999995</v>
      </c>
      <c r="BD29">
        <v>6.0912404679361799E-2</v>
      </c>
      <c r="BE29">
        <v>1148</v>
      </c>
    </row>
    <row r="30" spans="1:57" x14ac:dyDescent="0.25">
      <c r="A30">
        <v>29</v>
      </c>
      <c r="B30" t="s">
        <v>56</v>
      </c>
      <c r="C30">
        <v>7.9</v>
      </c>
      <c r="D30">
        <v>0.965712844794546</v>
      </c>
      <c r="E30">
        <v>0.58065140258543402</v>
      </c>
      <c r="F30">
        <v>10.992427085629</v>
      </c>
      <c r="G30">
        <v>6.7495450306071199</v>
      </c>
      <c r="H30">
        <v>1.66315424451671</v>
      </c>
      <c r="I30">
        <v>-0.38506144220911198</v>
      </c>
      <c r="J30">
        <v>4.0765612243009501E-2</v>
      </c>
      <c r="K30">
        <v>6.8840741642641401E-3</v>
      </c>
      <c r="L30">
        <v>6.3866318966628198E-3</v>
      </c>
      <c r="M30">
        <v>0.51798811633364605</v>
      </c>
      <c r="N30">
        <v>8.6269679478513904E-3</v>
      </c>
      <c r="O30">
        <v>0</v>
      </c>
      <c r="P30">
        <v>14.750606416187001</v>
      </c>
      <c r="Q30">
        <v>85.249393583813003</v>
      </c>
      <c r="R30">
        <v>21.7705367483854</v>
      </c>
      <c r="S30">
        <v>34.747446190936799</v>
      </c>
      <c r="T30">
        <v>43.482017060677798</v>
      </c>
      <c r="U30">
        <v>0</v>
      </c>
      <c r="V30">
        <v>78.229463251614604</v>
      </c>
      <c r="W30">
        <v>0.39505327992976502</v>
      </c>
      <c r="X30">
        <v>-45.8548223889482</v>
      </c>
      <c r="Y30">
        <v>102.488992226618</v>
      </c>
      <c r="Z30">
        <v>100</v>
      </c>
      <c r="AA30">
        <v>38.8402244561806</v>
      </c>
      <c r="AB30">
        <v>348.88513840357501</v>
      </c>
      <c r="AC30">
        <v>348.41680651984302</v>
      </c>
      <c r="AD30">
        <v>18.590081322289599</v>
      </c>
      <c r="AE30">
        <v>332.56829464810301</v>
      </c>
      <c r="AF30">
        <v>3.5574726840597699</v>
      </c>
      <c r="AG30">
        <v>774.14135599107897</v>
      </c>
      <c r="AH30">
        <v>3.8765654455207899</v>
      </c>
      <c r="AI30">
        <v>55.608207226931498</v>
      </c>
      <c r="AJ30">
        <v>175.62052217919299</v>
      </c>
      <c r="AK30">
        <v>24.206607845113901</v>
      </c>
      <c r="AL30">
        <v>-34.5546481322746</v>
      </c>
      <c r="AM30">
        <v>7.8453105145712199</v>
      </c>
      <c r="AN30">
        <v>12.504490580496</v>
      </c>
      <c r="AO30">
        <v>0.9</v>
      </c>
      <c r="AP30">
        <v>1.2901542020886401</v>
      </c>
      <c r="AQ30">
        <v>1.19006039251692</v>
      </c>
      <c r="AR30">
        <v>1.2707586659025301</v>
      </c>
      <c r="AS30">
        <v>1.0060436328753</v>
      </c>
      <c r="AT30">
        <v>0.810377707926768</v>
      </c>
      <c r="AU30">
        <v>0.85088356293285194</v>
      </c>
      <c r="AV30">
        <v>1</v>
      </c>
      <c r="AW30">
        <v>0.98208505643274502</v>
      </c>
      <c r="AX30">
        <v>1</v>
      </c>
      <c r="AY30">
        <v>1</v>
      </c>
      <c r="AZ30">
        <v>0.89830169777290103</v>
      </c>
      <c r="BA30">
        <v>1</v>
      </c>
      <c r="BB30">
        <v>1.03067455075263</v>
      </c>
      <c r="BC30">
        <v>397042584.19999999</v>
      </c>
      <c r="BD30">
        <v>0.113043995280644</v>
      </c>
      <c r="BE30">
        <v>816</v>
      </c>
    </row>
    <row r="31" spans="1:57" x14ac:dyDescent="0.25">
      <c r="A31">
        <v>30</v>
      </c>
      <c r="B31" t="s">
        <v>56</v>
      </c>
      <c r="C31">
        <v>8</v>
      </c>
      <c r="D31">
        <v>1.0950452517581799</v>
      </c>
      <c r="E31">
        <v>0.59781767786318096</v>
      </c>
      <c r="F31">
        <v>12.377309759180701</v>
      </c>
      <c r="G31">
        <v>6.9425751034141898</v>
      </c>
      <c r="H31">
        <v>1.8317378229300201</v>
      </c>
      <c r="I31">
        <v>-0.497227573895</v>
      </c>
      <c r="J31">
        <v>4.0238361689061197E-2</v>
      </c>
      <c r="K31">
        <v>7.7933575018823897E-3</v>
      </c>
      <c r="L31">
        <v>6.6066740320876302E-3</v>
      </c>
      <c r="M31">
        <v>0.53485945434762905</v>
      </c>
      <c r="N31">
        <v>8.3198302925199408E-3</v>
      </c>
      <c r="O31">
        <v>0</v>
      </c>
      <c r="P31">
        <v>16.1596449354867</v>
      </c>
      <c r="Q31">
        <v>83.840355064513304</v>
      </c>
      <c r="R31">
        <v>21.6772514557195</v>
      </c>
      <c r="S31">
        <v>40.1288866829697</v>
      </c>
      <c r="T31">
        <v>38.1938618613109</v>
      </c>
      <c r="U31">
        <v>0</v>
      </c>
      <c r="V31">
        <v>78.3227485442805</v>
      </c>
      <c r="W31">
        <v>0.43730285597979002</v>
      </c>
      <c r="X31">
        <v>-47.841281601906601</v>
      </c>
      <c r="Y31">
        <v>127.431179278971</v>
      </c>
      <c r="Z31">
        <v>100</v>
      </c>
      <c r="AA31">
        <v>38.477930200246597</v>
      </c>
      <c r="AB31">
        <v>346.39518631411403</v>
      </c>
      <c r="AC31">
        <v>346.05053984767898</v>
      </c>
      <c r="AD31">
        <v>19.466690280147098</v>
      </c>
      <c r="AE31">
        <v>332.24842101717798</v>
      </c>
      <c r="AF31">
        <v>3.5649359181874298</v>
      </c>
      <c r="AG31">
        <v>774.916978640406</v>
      </c>
      <c r="AH31">
        <v>4.6512170243254198</v>
      </c>
      <c r="AI31">
        <v>56.042549322262502</v>
      </c>
      <c r="AJ31">
        <v>176.66488492617501</v>
      </c>
      <c r="AK31">
        <v>23.1485302425945</v>
      </c>
      <c r="AL31">
        <v>-34.521159022539102</v>
      </c>
      <c r="AM31">
        <v>7.9491094504931397</v>
      </c>
      <c r="AN31">
        <v>13.300934668122199</v>
      </c>
      <c r="AO31">
        <v>0.9</v>
      </c>
      <c r="AP31">
        <v>1.2901654021934299</v>
      </c>
      <c r="AQ31">
        <v>1.1945735649246101</v>
      </c>
      <c r="AR31">
        <v>1.26571891389894</v>
      </c>
      <c r="AS31">
        <v>1.0058267395379701</v>
      </c>
      <c r="AT31">
        <v>0.81300779992226502</v>
      </c>
      <c r="AU31">
        <v>0.84931604381800896</v>
      </c>
      <c r="AV31">
        <v>1</v>
      </c>
      <c r="AW31">
        <v>0.98366370345895005</v>
      </c>
      <c r="AX31">
        <v>1</v>
      </c>
      <c r="AY31">
        <v>1</v>
      </c>
      <c r="AZ31">
        <v>0.89818042689243505</v>
      </c>
      <c r="BA31">
        <v>1</v>
      </c>
      <c r="BB31">
        <v>1.0439193489282399</v>
      </c>
      <c r="BC31">
        <v>327384606.60000002</v>
      </c>
      <c r="BD31">
        <v>9.6002246330086805E-2</v>
      </c>
      <c r="BE31">
        <v>798</v>
      </c>
    </row>
    <row r="32" spans="1:57" x14ac:dyDescent="0.25">
      <c r="A32">
        <v>1</v>
      </c>
      <c r="B32" t="s">
        <v>57</v>
      </c>
      <c r="C32">
        <v>5.0999999999999996</v>
      </c>
      <c r="D32">
        <v>0.76827756169828798</v>
      </c>
      <c r="E32">
        <v>0.47905467979423499</v>
      </c>
      <c r="F32">
        <v>8.83957158905271</v>
      </c>
      <c r="G32">
        <v>5.5995833284336802</v>
      </c>
      <c r="H32">
        <v>1.60373667997207</v>
      </c>
      <c r="I32">
        <v>-0.28922288190405299</v>
      </c>
      <c r="J32">
        <v>4.1193044179962897E-2</v>
      </c>
      <c r="K32">
        <v>7.5868979960192597E-3</v>
      </c>
      <c r="L32">
        <v>5.70699504196796E-4</v>
      </c>
      <c r="M32">
        <v>0.42291071913546702</v>
      </c>
      <c r="N32">
        <v>6.7933189785887296E-3</v>
      </c>
      <c r="O32">
        <v>0</v>
      </c>
      <c r="P32">
        <v>22.586570161545701</v>
      </c>
      <c r="Q32">
        <v>77.413429838454306</v>
      </c>
      <c r="R32">
        <v>37.288434031079298</v>
      </c>
      <c r="S32">
        <v>34.843713155720202</v>
      </c>
      <c r="T32">
        <v>27.8678528132005</v>
      </c>
      <c r="U32">
        <v>0</v>
      </c>
      <c r="V32">
        <v>62.711565968920702</v>
      </c>
      <c r="W32">
        <v>0.38741324998437299</v>
      </c>
      <c r="X32">
        <v>-46.899895272040403</v>
      </c>
      <c r="Y32">
        <v>123.038293513269</v>
      </c>
      <c r="Z32">
        <v>100</v>
      </c>
      <c r="AA32">
        <v>57.464568647896897</v>
      </c>
      <c r="AB32">
        <v>322.76557823412702</v>
      </c>
      <c r="AC32">
        <v>322.54094378997002</v>
      </c>
      <c r="AD32">
        <v>18.8331814424192</v>
      </c>
      <c r="AE32">
        <v>331.29624245978601</v>
      </c>
      <c r="AF32">
        <v>3.5728631505619899</v>
      </c>
      <c r="AG32">
        <v>772.08415084210105</v>
      </c>
      <c r="AH32">
        <v>4.0909319771695101</v>
      </c>
      <c r="AI32">
        <v>44.804733526287301</v>
      </c>
      <c r="AJ32">
        <v>174.938602074187</v>
      </c>
      <c r="AK32">
        <v>23.9918083464745</v>
      </c>
      <c r="AL32">
        <v>-35.249770927201503</v>
      </c>
      <c r="AM32">
        <v>5.0478485921156704</v>
      </c>
      <c r="AN32">
        <v>8.0829539050399397</v>
      </c>
      <c r="AO32">
        <v>0.9</v>
      </c>
      <c r="AP32">
        <v>1.2791920172264599</v>
      </c>
      <c r="AQ32">
        <v>0.87439758286091895</v>
      </c>
      <c r="AR32">
        <v>1.2694382751683699</v>
      </c>
      <c r="AS32">
        <v>0.99963079673570199</v>
      </c>
      <c r="AT32">
        <v>0.83848576038067302</v>
      </c>
      <c r="AU32">
        <v>0.85479414045774404</v>
      </c>
      <c r="AV32">
        <v>1</v>
      </c>
      <c r="AW32">
        <v>0.98114873619208898</v>
      </c>
      <c r="AX32">
        <v>1</v>
      </c>
      <c r="AY32">
        <v>1</v>
      </c>
      <c r="AZ32">
        <v>0.91847496424040298</v>
      </c>
      <c r="BA32">
        <v>1</v>
      </c>
      <c r="BB32">
        <v>1.09931210602825</v>
      </c>
      <c r="BC32">
        <v>125935424</v>
      </c>
      <c r="BD32">
        <v>8.89021755424797E-2</v>
      </c>
      <c r="BE32">
        <v>385</v>
      </c>
    </row>
    <row r="33" spans="1:57" x14ac:dyDescent="0.25">
      <c r="A33">
        <v>2</v>
      </c>
      <c r="B33" t="s">
        <v>57</v>
      </c>
      <c r="C33">
        <v>5.2</v>
      </c>
      <c r="D33">
        <v>0.40285676021571298</v>
      </c>
      <c r="E33">
        <v>0.49587160369687799</v>
      </c>
      <c r="F33">
        <v>4.7285927959754099</v>
      </c>
      <c r="G33">
        <v>5.7908254872375897</v>
      </c>
      <c r="H33">
        <v>0.81242151640120097</v>
      </c>
      <c r="I33">
        <v>9.3014843481164899E-2</v>
      </c>
      <c r="J33">
        <v>3.9959241158894002E-2</v>
      </c>
      <c r="K33">
        <v>7.0634927528909304E-3</v>
      </c>
      <c r="L33">
        <v>4.9658743836058302E-4</v>
      </c>
      <c r="M33">
        <v>0.44267319137656302</v>
      </c>
      <c r="N33">
        <v>5.6790909701696403E-3</v>
      </c>
      <c r="O33">
        <v>0</v>
      </c>
      <c r="P33">
        <v>20.197431986019701</v>
      </c>
      <c r="Q33">
        <v>79.802568013980306</v>
      </c>
      <c r="R33">
        <v>52.417674726968301</v>
      </c>
      <c r="S33">
        <v>26.977933856994099</v>
      </c>
      <c r="T33">
        <v>20.6043914160376</v>
      </c>
      <c r="U33">
        <v>0</v>
      </c>
      <c r="V33">
        <v>47.582325273031699</v>
      </c>
      <c r="W33">
        <v>0.34105482942103899</v>
      </c>
      <c r="X33">
        <v>-46.5793103043627</v>
      </c>
      <c r="Y33">
        <v>126.17090600077999</v>
      </c>
      <c r="Z33">
        <v>100</v>
      </c>
      <c r="AA33">
        <v>62.041017661404801</v>
      </c>
      <c r="AB33">
        <v>298.36166106441402</v>
      </c>
      <c r="AC33">
        <v>297.291518309271</v>
      </c>
      <c r="AD33">
        <v>19.535150062014701</v>
      </c>
      <c r="AE33">
        <v>333.72110063677599</v>
      </c>
      <c r="AF33">
        <v>3.6321620570633799</v>
      </c>
      <c r="AG33">
        <v>773.31695466462395</v>
      </c>
      <c r="AH33">
        <v>3.3776691475675502</v>
      </c>
      <c r="AI33">
        <v>45.863625972712498</v>
      </c>
      <c r="AJ33">
        <v>174.03604510719299</v>
      </c>
      <c r="AK33">
        <v>22.4674683564362</v>
      </c>
      <c r="AL33">
        <v>-33.283757285855103</v>
      </c>
      <c r="AM33">
        <v>5.15850919394033</v>
      </c>
      <c r="AN33">
        <v>8.5757576753038993</v>
      </c>
      <c r="AO33">
        <v>0.9</v>
      </c>
      <c r="AP33">
        <v>1.28133600068572</v>
      </c>
      <c r="AQ33">
        <v>0.89282926610966096</v>
      </c>
      <c r="AR33">
        <v>1.27175393718467</v>
      </c>
      <c r="AS33">
        <v>0.99686061110462099</v>
      </c>
      <c r="AT33">
        <v>0.86179936023048398</v>
      </c>
      <c r="AU33">
        <v>0.85246834386526904</v>
      </c>
      <c r="AV33">
        <v>1</v>
      </c>
      <c r="AW33">
        <v>0.98360280014479495</v>
      </c>
      <c r="AX33">
        <v>1</v>
      </c>
      <c r="AY33">
        <v>1</v>
      </c>
      <c r="AZ33">
        <v>0.93814297714505901</v>
      </c>
      <c r="BA33">
        <v>1</v>
      </c>
      <c r="BB33">
        <v>1.04458251065993</v>
      </c>
      <c r="BC33">
        <v>170901507.30000001</v>
      </c>
      <c r="BD33">
        <v>9.21427041490301E-2</v>
      </c>
      <c r="BE33">
        <v>357</v>
      </c>
    </row>
    <row r="34" spans="1:57" x14ac:dyDescent="0.25">
      <c r="A34">
        <v>3</v>
      </c>
      <c r="B34" t="s">
        <v>57</v>
      </c>
      <c r="C34">
        <v>5.3</v>
      </c>
      <c r="D34">
        <v>0.51439464516750499</v>
      </c>
      <c r="E34">
        <v>0.461237607328915</v>
      </c>
      <c r="F34">
        <v>6.0010585619552597</v>
      </c>
      <c r="G34">
        <v>5.3965792858985902</v>
      </c>
      <c r="H34">
        <v>1.11524870694398</v>
      </c>
      <c r="I34">
        <v>-5.3157037838590798E-2</v>
      </c>
      <c r="J34">
        <v>3.8570280316862202E-2</v>
      </c>
      <c r="K34">
        <v>8.5977887860922107E-3</v>
      </c>
      <c r="L34">
        <v>1.88549619615459E-4</v>
      </c>
      <c r="M34">
        <v>0.408480905260103</v>
      </c>
      <c r="N34">
        <v>5.4000833462413203E-3</v>
      </c>
      <c r="O34">
        <v>0</v>
      </c>
      <c r="P34">
        <v>14.5760608406858</v>
      </c>
      <c r="Q34">
        <v>85.423939159314202</v>
      </c>
      <c r="R34">
        <v>63.440162094496003</v>
      </c>
      <c r="S34">
        <v>24.691184843228001</v>
      </c>
      <c r="T34">
        <v>11.868653062276101</v>
      </c>
      <c r="U34">
        <v>0</v>
      </c>
      <c r="V34">
        <v>36.559837905503997</v>
      </c>
      <c r="W34">
        <v>0.42271819009546502</v>
      </c>
      <c r="X34">
        <v>-42.779926926829802</v>
      </c>
      <c r="Y34">
        <v>106.860172918129</v>
      </c>
      <c r="Z34">
        <v>100</v>
      </c>
      <c r="AA34">
        <v>64.126650472881806</v>
      </c>
      <c r="AB34">
        <v>290.91061387068697</v>
      </c>
      <c r="AC34">
        <v>289.42171159013401</v>
      </c>
      <c r="AD34">
        <v>19.5496937812418</v>
      </c>
      <c r="AE34">
        <v>335.23100287043098</v>
      </c>
      <c r="AF34">
        <v>3.6256406234546801</v>
      </c>
      <c r="AG34">
        <v>778.389346190438</v>
      </c>
      <c r="AH34">
        <v>3.1712077423249001</v>
      </c>
      <c r="AI34">
        <v>46.265008329752298</v>
      </c>
      <c r="AJ34">
        <v>175.366213292141</v>
      </c>
      <c r="AK34">
        <v>24.001722207984301</v>
      </c>
      <c r="AL34">
        <v>-32.477523061699102</v>
      </c>
      <c r="AM34">
        <v>5.2575284620565998</v>
      </c>
      <c r="AN34">
        <v>8.7404847218569408</v>
      </c>
      <c r="AO34">
        <v>0.9</v>
      </c>
      <c r="AP34">
        <v>1.2830268953430799</v>
      </c>
      <c r="AQ34">
        <v>0.892525055346575</v>
      </c>
      <c r="AR34">
        <v>1.2760867560989699</v>
      </c>
      <c r="AS34">
        <v>0.99560859215999498</v>
      </c>
      <c r="AT34">
        <v>0.86930004171723796</v>
      </c>
      <c r="AU34">
        <v>0.84267186789456805</v>
      </c>
      <c r="AV34">
        <v>1</v>
      </c>
      <c r="AW34">
        <v>0.98384212624295797</v>
      </c>
      <c r="AX34">
        <v>1</v>
      </c>
      <c r="AY34">
        <v>1</v>
      </c>
      <c r="AZ34">
        <v>0.95247221072284505</v>
      </c>
      <c r="BA34">
        <v>1</v>
      </c>
      <c r="BB34">
        <v>1.02839019535925</v>
      </c>
      <c r="BC34">
        <v>401539852.5</v>
      </c>
      <c r="BD34">
        <v>6.05690309225193E-2</v>
      </c>
      <c r="BE34">
        <v>559</v>
      </c>
    </row>
    <row r="35" spans="1:57" x14ac:dyDescent="0.25">
      <c r="A35">
        <v>4</v>
      </c>
      <c r="B35" t="s">
        <v>57</v>
      </c>
      <c r="C35">
        <v>5.4</v>
      </c>
      <c r="D35">
        <v>0.40551712338328499</v>
      </c>
      <c r="E35">
        <v>0.47211579476246002</v>
      </c>
      <c r="F35">
        <v>4.7591261187545797</v>
      </c>
      <c r="G35">
        <v>5.5205706280594002</v>
      </c>
      <c r="H35">
        <v>0.85893572695935205</v>
      </c>
      <c r="I35">
        <v>6.6598671379174204E-2</v>
      </c>
      <c r="J35">
        <v>3.7329584261151398E-2</v>
      </c>
      <c r="K35">
        <v>1.1301682652514199E-2</v>
      </c>
      <c r="L35">
        <v>1.1513132972732799E-4</v>
      </c>
      <c r="M35">
        <v>0.42007860347644599</v>
      </c>
      <c r="N35">
        <v>3.2907930426207799E-3</v>
      </c>
      <c r="O35">
        <v>0</v>
      </c>
      <c r="P35">
        <v>8.2619304040420207</v>
      </c>
      <c r="Q35">
        <v>91.738069595957995</v>
      </c>
      <c r="R35">
        <v>75.097337056233798</v>
      </c>
      <c r="S35">
        <v>13.679289989270501</v>
      </c>
      <c r="T35">
        <v>11.2233729544957</v>
      </c>
      <c r="U35">
        <v>0</v>
      </c>
      <c r="V35">
        <v>24.902662943766199</v>
      </c>
      <c r="W35">
        <v>0.54101253495637802</v>
      </c>
      <c r="X35">
        <v>-50.503954567525</v>
      </c>
      <c r="Y35">
        <v>106.28295422247901</v>
      </c>
      <c r="Z35">
        <v>100</v>
      </c>
      <c r="AA35">
        <v>67.762476300571606</v>
      </c>
      <c r="AB35">
        <v>286.99993029361701</v>
      </c>
      <c r="AC35">
        <v>284.98556229746498</v>
      </c>
      <c r="AD35">
        <v>20.215518962077599</v>
      </c>
      <c r="AE35">
        <v>336.72233108270598</v>
      </c>
      <c r="AF35">
        <v>3.6515662388535901</v>
      </c>
      <c r="AG35">
        <v>779.32716599475305</v>
      </c>
      <c r="AH35">
        <v>2.57661626449016</v>
      </c>
      <c r="AI35">
        <v>48.671895880392299</v>
      </c>
      <c r="AJ35">
        <v>178.00881798076699</v>
      </c>
      <c r="AK35">
        <v>20.404320485241001</v>
      </c>
      <c r="AL35">
        <v>-24.311988583558399</v>
      </c>
      <c r="AM35">
        <v>5.3563689596558897</v>
      </c>
      <c r="AN35">
        <v>9.2178337965378301</v>
      </c>
      <c r="AO35">
        <v>0.9</v>
      </c>
      <c r="AP35">
        <v>1.28452029225533</v>
      </c>
      <c r="AQ35">
        <v>0.90755320699585795</v>
      </c>
      <c r="AR35">
        <v>1.2718694926412799</v>
      </c>
      <c r="AS35">
        <v>0.99369498136162204</v>
      </c>
      <c r="AT35">
        <v>0.872827960950465</v>
      </c>
      <c r="AU35">
        <v>0.84109665695830904</v>
      </c>
      <c r="AV35">
        <v>1</v>
      </c>
      <c r="AW35">
        <v>1.00137534727969</v>
      </c>
      <c r="AX35">
        <v>1</v>
      </c>
      <c r="AY35">
        <v>1</v>
      </c>
      <c r="AZ35">
        <v>0.96762653817310396</v>
      </c>
      <c r="BA35">
        <v>1</v>
      </c>
      <c r="BB35">
        <v>1.00468274759409</v>
      </c>
      <c r="BC35">
        <v>698187567.29999995</v>
      </c>
      <c r="BD35">
        <v>6.0841872939937203E-2</v>
      </c>
      <c r="BE35">
        <v>440</v>
      </c>
    </row>
    <row r="36" spans="1:57" x14ac:dyDescent="0.25">
      <c r="A36">
        <v>5</v>
      </c>
      <c r="B36" t="s">
        <v>57</v>
      </c>
      <c r="C36">
        <v>5.5</v>
      </c>
      <c r="D36">
        <v>0.34678948676197902</v>
      </c>
      <c r="E36">
        <v>0.47142658856327802</v>
      </c>
      <c r="F36">
        <v>4.0830107060435399</v>
      </c>
      <c r="G36">
        <v>5.5127193663945002</v>
      </c>
      <c r="H36">
        <v>0.73561715689150198</v>
      </c>
      <c r="I36">
        <v>0.124637101801299</v>
      </c>
      <c r="J36">
        <v>3.6929727589876497E-2</v>
      </c>
      <c r="K36">
        <v>1.04644787855998E-2</v>
      </c>
      <c r="L36">
        <v>1.35765879398587E-4</v>
      </c>
      <c r="M36">
        <v>0.420633363395646</v>
      </c>
      <c r="N36">
        <v>3.2632529127570998E-3</v>
      </c>
      <c r="O36">
        <v>0</v>
      </c>
      <c r="P36">
        <v>10.148369455355599</v>
      </c>
      <c r="Q36">
        <v>89.851630544644394</v>
      </c>
      <c r="R36">
        <v>71.872829107448098</v>
      </c>
      <c r="S36">
        <v>15.043199916411799</v>
      </c>
      <c r="T36">
        <v>13.083970976140201</v>
      </c>
      <c r="U36">
        <v>0</v>
      </c>
      <c r="V36">
        <v>28.127170892551899</v>
      </c>
      <c r="W36">
        <v>0.502715125273275</v>
      </c>
      <c r="X36">
        <v>-55.178251620127398</v>
      </c>
      <c r="Y36">
        <v>100.18953214016599</v>
      </c>
      <c r="Z36">
        <v>100</v>
      </c>
      <c r="AA36">
        <v>68.289210622507596</v>
      </c>
      <c r="AB36">
        <v>277.15560647255501</v>
      </c>
      <c r="AC36">
        <v>274.926211935597</v>
      </c>
      <c r="AD36">
        <v>19.976899171463099</v>
      </c>
      <c r="AE36">
        <v>337.60319380537697</v>
      </c>
      <c r="AF36">
        <v>3.6215981300536901</v>
      </c>
      <c r="AG36">
        <v>779.31960676961296</v>
      </c>
      <c r="AH36">
        <v>2.5142271954961202</v>
      </c>
      <c r="AI36">
        <v>44.260041981952099</v>
      </c>
      <c r="AJ36">
        <v>176.97134607864001</v>
      </c>
      <c r="AK36">
        <v>19.448366717536299</v>
      </c>
      <c r="AL36">
        <v>-22.981271070393898</v>
      </c>
      <c r="AM36">
        <v>5.45667952133297</v>
      </c>
      <c r="AN36">
        <v>9.2768041864040907</v>
      </c>
      <c r="AO36">
        <v>0.9</v>
      </c>
      <c r="AP36">
        <v>1.2858418832490199</v>
      </c>
      <c r="AQ36">
        <v>0.90187727579240895</v>
      </c>
      <c r="AR36">
        <v>1.2395244283096201</v>
      </c>
      <c r="AS36">
        <v>0.99347735492531497</v>
      </c>
      <c r="AT36">
        <v>0.88240238709340801</v>
      </c>
      <c r="AU36">
        <v>0.84099311528498599</v>
      </c>
      <c r="AV36">
        <v>1</v>
      </c>
      <c r="AW36">
        <v>1.0041819527370599</v>
      </c>
      <c r="AX36">
        <v>1</v>
      </c>
      <c r="AY36">
        <v>1</v>
      </c>
      <c r="AZ36">
        <v>0.96343467783968295</v>
      </c>
      <c r="BA36">
        <v>1</v>
      </c>
      <c r="BB36">
        <v>0.99636054632231597</v>
      </c>
      <c r="BC36">
        <v>908365287.70000005</v>
      </c>
      <c r="BD36">
        <v>4.8321858831063699E-2</v>
      </c>
      <c r="BE36">
        <v>512</v>
      </c>
    </row>
    <row r="37" spans="1:57" x14ac:dyDescent="0.25">
      <c r="A37">
        <v>6</v>
      </c>
      <c r="B37" t="s">
        <v>57</v>
      </c>
      <c r="C37">
        <v>5.6</v>
      </c>
      <c r="D37">
        <v>0.37083564252763201</v>
      </c>
      <c r="E37">
        <v>0.48117618093925602</v>
      </c>
      <c r="F37">
        <v>4.3603777491874602</v>
      </c>
      <c r="G37">
        <v>5.6237286513117297</v>
      </c>
      <c r="H37">
        <v>0.77068578457845005</v>
      </c>
      <c r="I37">
        <v>0.110340538411623</v>
      </c>
      <c r="J37">
        <v>3.6901204188615602E-2</v>
      </c>
      <c r="K37">
        <v>1.1329387668520201E-2</v>
      </c>
      <c r="L37">
        <v>1.7759006859395101E-4</v>
      </c>
      <c r="M37">
        <v>0.43035574466712201</v>
      </c>
      <c r="N37">
        <v>2.4122543464041601E-3</v>
      </c>
      <c r="O37">
        <v>0</v>
      </c>
      <c r="P37">
        <v>8.9426705591108302</v>
      </c>
      <c r="Q37">
        <v>91.057329440889205</v>
      </c>
      <c r="R37">
        <v>72.220921289719897</v>
      </c>
      <c r="S37">
        <v>12.7386163394081</v>
      </c>
      <c r="T37">
        <v>15.040462370872</v>
      </c>
      <c r="U37">
        <v>0</v>
      </c>
      <c r="V37">
        <v>27.7790787102801</v>
      </c>
      <c r="W37">
        <v>0.54889671315053401</v>
      </c>
      <c r="X37">
        <v>-60.819443942314798</v>
      </c>
      <c r="Y37">
        <v>78.811454061748407</v>
      </c>
      <c r="Z37">
        <v>100</v>
      </c>
      <c r="AA37">
        <v>67.476233598430895</v>
      </c>
      <c r="AB37">
        <v>294.73933291129401</v>
      </c>
      <c r="AC37">
        <v>292.69812090306402</v>
      </c>
      <c r="AD37">
        <v>19.813431637063101</v>
      </c>
      <c r="AE37">
        <v>337.569083286573</v>
      </c>
      <c r="AF37">
        <v>3.6062963325144701</v>
      </c>
      <c r="AG37">
        <v>776.23088029523603</v>
      </c>
      <c r="AH37">
        <v>2.1952607703156599</v>
      </c>
      <c r="AI37">
        <v>48.064709909690002</v>
      </c>
      <c r="AJ37">
        <v>177.93577349896901</v>
      </c>
      <c r="AK37">
        <v>17.8226901964746</v>
      </c>
      <c r="AL37">
        <v>-21.641872578719099</v>
      </c>
      <c r="AM37">
        <v>5.5407991259614198</v>
      </c>
      <c r="AN37">
        <v>9.3399861173482694</v>
      </c>
      <c r="AO37">
        <v>0.9</v>
      </c>
      <c r="AP37">
        <v>1.2868102790831299</v>
      </c>
      <c r="AQ37">
        <v>0.89774463398740001</v>
      </c>
      <c r="AR37">
        <v>1.2294863170230701</v>
      </c>
      <c r="AS37">
        <v>0.99403794027659098</v>
      </c>
      <c r="AT37">
        <v>0.86435049505821404</v>
      </c>
      <c r="AU37">
        <v>0.84724832616353196</v>
      </c>
      <c r="AV37">
        <v>1</v>
      </c>
      <c r="AW37">
        <v>1.0071590330687401</v>
      </c>
      <c r="AX37">
        <v>1</v>
      </c>
      <c r="AY37">
        <v>1</v>
      </c>
      <c r="AZ37">
        <v>0.963887197676636</v>
      </c>
      <c r="BA37">
        <v>1</v>
      </c>
      <c r="BB37">
        <v>1.00496818583189</v>
      </c>
      <c r="BC37">
        <v>834442045.10000002</v>
      </c>
      <c r="BD37">
        <v>8.9900771935550794E-2</v>
      </c>
      <c r="BE37">
        <v>514</v>
      </c>
    </row>
    <row r="38" spans="1:57" x14ac:dyDescent="0.25">
      <c r="A38">
        <v>7</v>
      </c>
      <c r="B38" t="s">
        <v>57</v>
      </c>
      <c r="C38">
        <v>5.7</v>
      </c>
      <c r="D38">
        <v>0.46143127927155397</v>
      </c>
      <c r="E38">
        <v>0.45179061021495398</v>
      </c>
      <c r="F38">
        <v>5.39878809361457</v>
      </c>
      <c r="G38">
        <v>5.28877988601407</v>
      </c>
      <c r="H38">
        <v>1.02133879907777</v>
      </c>
      <c r="I38">
        <v>-9.6406690566000104E-3</v>
      </c>
      <c r="J38">
        <v>3.7793842022621399E-2</v>
      </c>
      <c r="K38">
        <v>8.1678882546720906E-3</v>
      </c>
      <c r="L38">
        <v>3.9664320943498099E-4</v>
      </c>
      <c r="M38">
        <v>0.39844108838297998</v>
      </c>
      <c r="N38">
        <v>6.9911483452453601E-3</v>
      </c>
      <c r="O38">
        <v>0</v>
      </c>
      <c r="P38">
        <v>15.878730119200901</v>
      </c>
      <c r="Q38">
        <v>84.121269880799105</v>
      </c>
      <c r="R38">
        <v>45.981620952758298</v>
      </c>
      <c r="S38">
        <v>35.338256951763</v>
      </c>
      <c r="T38">
        <v>18.680122095478701</v>
      </c>
      <c r="U38">
        <v>0</v>
      </c>
      <c r="V38">
        <v>54.018379047241702</v>
      </c>
      <c r="W38">
        <v>0.42238732816400398</v>
      </c>
      <c r="X38">
        <v>-49.436542360374901</v>
      </c>
      <c r="Y38">
        <v>100.848629776965</v>
      </c>
      <c r="Z38">
        <v>100</v>
      </c>
      <c r="AA38">
        <v>62.865303409046703</v>
      </c>
      <c r="AB38">
        <v>312.70963893088401</v>
      </c>
      <c r="AC38">
        <v>311.27616818200698</v>
      </c>
      <c r="AD38">
        <v>16.931670971559502</v>
      </c>
      <c r="AE38">
        <v>338.828274460513</v>
      </c>
      <c r="AF38">
        <v>3.6253925449679199</v>
      </c>
      <c r="AG38">
        <v>773.78240988790799</v>
      </c>
      <c r="AH38">
        <v>5.2720754642420404</v>
      </c>
      <c r="AI38">
        <v>49.1753285990387</v>
      </c>
      <c r="AJ38">
        <v>175.79376912228901</v>
      </c>
      <c r="AK38">
        <v>21.558299187138299</v>
      </c>
      <c r="AL38">
        <v>-23.2091648653522</v>
      </c>
      <c r="AM38">
        <v>5.6416738785456797</v>
      </c>
      <c r="AN38">
        <v>8.1079611851844398</v>
      </c>
      <c r="AO38">
        <v>0.9</v>
      </c>
      <c r="AP38">
        <v>1.2878108881961501</v>
      </c>
      <c r="AQ38">
        <v>0.83329502532781796</v>
      </c>
      <c r="AR38">
        <v>1.25746914580582</v>
      </c>
      <c r="AS38">
        <v>0.99646765662616998</v>
      </c>
      <c r="AT38">
        <v>0.84703171177108405</v>
      </c>
      <c r="AU38">
        <v>0.85181402259741301</v>
      </c>
      <c r="AV38">
        <v>1</v>
      </c>
      <c r="AW38">
        <v>1.00368546389939</v>
      </c>
      <c r="AX38">
        <v>1</v>
      </c>
      <c r="AY38">
        <v>1</v>
      </c>
      <c r="AZ38">
        <v>0.92977610723858595</v>
      </c>
      <c r="BA38">
        <v>1</v>
      </c>
      <c r="BB38">
        <v>1.0446511397563201</v>
      </c>
      <c r="BC38">
        <v>370117227</v>
      </c>
      <c r="BD38">
        <v>6.5491760210507899E-2</v>
      </c>
      <c r="BE38">
        <v>435</v>
      </c>
    </row>
    <row r="39" spans="1:57" x14ac:dyDescent="0.25">
      <c r="A39">
        <v>8</v>
      </c>
      <c r="B39" t="s">
        <v>57</v>
      </c>
      <c r="C39">
        <v>5.8</v>
      </c>
      <c r="D39">
        <v>0.42617889720711399</v>
      </c>
      <c r="E39">
        <v>0.40911758420981298</v>
      </c>
      <c r="F39">
        <v>4.9959587058774897</v>
      </c>
      <c r="G39">
        <v>4.8004347758901904</v>
      </c>
      <c r="H39">
        <v>1.04170271251052</v>
      </c>
      <c r="I39">
        <v>-1.7061312997301101E-2</v>
      </c>
      <c r="J39">
        <v>3.8206642010660798E-2</v>
      </c>
      <c r="K39">
        <v>5.49678735651988E-3</v>
      </c>
      <c r="L39">
        <v>4.40230107622827E-4</v>
      </c>
      <c r="M39">
        <v>0.35625520874407801</v>
      </c>
      <c r="N39">
        <v>8.7187159909310596E-3</v>
      </c>
      <c r="O39">
        <v>0</v>
      </c>
      <c r="P39">
        <v>20.510326462471099</v>
      </c>
      <c r="Q39">
        <v>79.489673537528901</v>
      </c>
      <c r="R39">
        <v>33.435378688026098</v>
      </c>
      <c r="S39">
        <v>39.3220409813948</v>
      </c>
      <c r="T39">
        <v>27.242580330579099</v>
      </c>
      <c r="U39">
        <v>0</v>
      </c>
      <c r="V39">
        <v>66.564621311973895</v>
      </c>
      <c r="W39">
        <v>0.31735831140953003</v>
      </c>
      <c r="X39">
        <v>-46.813262823233003</v>
      </c>
      <c r="Y39">
        <v>91.373847403340903</v>
      </c>
      <c r="Z39">
        <v>100</v>
      </c>
      <c r="AA39">
        <v>57.862864186211802</v>
      </c>
      <c r="AB39">
        <v>328.77047368088199</v>
      </c>
      <c r="AC39">
        <v>327.86838470988403</v>
      </c>
      <c r="AD39">
        <v>13.9657224818539</v>
      </c>
      <c r="AE39">
        <v>339.90811158929603</v>
      </c>
      <c r="AF39">
        <v>3.5998961843990398</v>
      </c>
      <c r="AG39">
        <v>774.24864988524996</v>
      </c>
      <c r="AH39">
        <v>5.9094912926146899</v>
      </c>
      <c r="AI39">
        <v>50.172791678721602</v>
      </c>
      <c r="AJ39">
        <v>173.352929554475</v>
      </c>
      <c r="AK39">
        <v>23.4987644137728</v>
      </c>
      <c r="AL39">
        <v>-27.698222811876601</v>
      </c>
      <c r="AM39">
        <v>5.7562953332188096</v>
      </c>
      <c r="AN39">
        <v>6.8015954546564501</v>
      </c>
      <c r="AO39">
        <v>0.9</v>
      </c>
      <c r="AP39">
        <v>1.28875251485707</v>
      </c>
      <c r="AQ39">
        <v>0.76669545350610302</v>
      </c>
      <c r="AR39">
        <v>1.26712216912148</v>
      </c>
      <c r="AS39">
        <v>0.99920181839184097</v>
      </c>
      <c r="AT39">
        <v>0.83151944492277796</v>
      </c>
      <c r="AU39">
        <v>0.85106315626531404</v>
      </c>
      <c r="AV39">
        <v>1</v>
      </c>
      <c r="AW39">
        <v>0.99511830181014604</v>
      </c>
      <c r="AX39">
        <v>1</v>
      </c>
      <c r="AY39">
        <v>1</v>
      </c>
      <c r="AZ39">
        <v>0.91346599229443404</v>
      </c>
      <c r="BA39">
        <v>1</v>
      </c>
      <c r="BB39">
        <v>1.05974591853891</v>
      </c>
      <c r="BC39">
        <v>421457368.60000002</v>
      </c>
      <c r="BD39">
        <v>6.0550763785933097E-2</v>
      </c>
      <c r="BE39">
        <v>557</v>
      </c>
    </row>
    <row r="40" spans="1:57" x14ac:dyDescent="0.25">
      <c r="A40">
        <v>9</v>
      </c>
      <c r="B40" t="s">
        <v>57</v>
      </c>
      <c r="C40">
        <v>5.9</v>
      </c>
      <c r="D40">
        <v>0.347997227612933</v>
      </c>
      <c r="E40">
        <v>0.365323343861781</v>
      </c>
      <c r="F40">
        <v>4.0969592956685803</v>
      </c>
      <c r="G40">
        <v>4.2968596470862899</v>
      </c>
      <c r="H40">
        <v>0.95257320250686495</v>
      </c>
      <c r="I40">
        <v>1.7326116248847799E-2</v>
      </c>
      <c r="J40">
        <v>3.7402151991738498E-2</v>
      </c>
      <c r="K40">
        <v>4.5506447595366597E-3</v>
      </c>
      <c r="L40">
        <v>3.64996751030501E-4</v>
      </c>
      <c r="M40">
        <v>0.31395016268391501</v>
      </c>
      <c r="N40">
        <v>9.0553876755604303E-3</v>
      </c>
      <c r="O40">
        <v>0</v>
      </c>
      <c r="P40">
        <v>14.022326307741899</v>
      </c>
      <c r="Q40">
        <v>85.977673692258094</v>
      </c>
      <c r="R40">
        <v>23.599714898197899</v>
      </c>
      <c r="S40">
        <v>40.670812374629598</v>
      </c>
      <c r="T40">
        <v>35.729472727172499</v>
      </c>
      <c r="U40">
        <v>0</v>
      </c>
      <c r="V40">
        <v>76.400285101802098</v>
      </c>
      <c r="W40">
        <v>0.28514142530291697</v>
      </c>
      <c r="X40">
        <v>-46.613321058647301</v>
      </c>
      <c r="Y40">
        <v>86.729326039724697</v>
      </c>
      <c r="Z40">
        <v>100</v>
      </c>
      <c r="AA40">
        <v>50.897400657626001</v>
      </c>
      <c r="AB40">
        <v>326.35433886867798</v>
      </c>
      <c r="AC40">
        <v>325.17776560915598</v>
      </c>
      <c r="AD40">
        <v>12.372754490326001</v>
      </c>
      <c r="AE40">
        <v>342.42537861702499</v>
      </c>
      <c r="AF40">
        <v>3.5617763729934802</v>
      </c>
      <c r="AG40">
        <v>778.62154635055902</v>
      </c>
      <c r="AH40">
        <v>6.3280772383363297</v>
      </c>
      <c r="AI40">
        <v>48.437253182425501</v>
      </c>
      <c r="AJ40">
        <v>172.61389582827201</v>
      </c>
      <c r="AK40">
        <v>24.695488397058298</v>
      </c>
      <c r="AL40">
        <v>-29.284554833971999</v>
      </c>
      <c r="AM40">
        <v>5.8520603336700097</v>
      </c>
      <c r="AN40">
        <v>6.1071696820457104</v>
      </c>
      <c r="AO40">
        <v>0.9</v>
      </c>
      <c r="AP40">
        <v>1.28939429665705</v>
      </c>
      <c r="AQ40">
        <v>0.73101699715954205</v>
      </c>
      <c r="AR40">
        <v>1.26666623962129</v>
      </c>
      <c r="AS40">
        <v>1.0014466912944999</v>
      </c>
      <c r="AT40">
        <v>0.83307039214050804</v>
      </c>
      <c r="AU40">
        <v>0.84240723899595005</v>
      </c>
      <c r="AV40">
        <v>1</v>
      </c>
      <c r="AW40">
        <v>0.99192275240163996</v>
      </c>
      <c r="AX40">
        <v>1</v>
      </c>
      <c r="AY40">
        <v>1</v>
      </c>
      <c r="AZ40">
        <v>0.900679629367657</v>
      </c>
      <c r="BA40">
        <v>1</v>
      </c>
      <c r="BB40">
        <v>1.0415070686422701</v>
      </c>
      <c r="BC40">
        <v>804869412.70000005</v>
      </c>
      <c r="BD40">
        <v>8.0506979328635098E-2</v>
      </c>
      <c r="BE40">
        <v>801</v>
      </c>
    </row>
    <row r="41" spans="1:57" x14ac:dyDescent="0.25">
      <c r="A41">
        <v>10</v>
      </c>
      <c r="B41" t="s">
        <v>57</v>
      </c>
      <c r="C41">
        <v>6</v>
      </c>
      <c r="D41">
        <v>0.62848353525072698</v>
      </c>
      <c r="E41">
        <v>0.36602998822310601</v>
      </c>
      <c r="F41">
        <v>7.2864929443169899</v>
      </c>
      <c r="G41">
        <v>4.3050044555554603</v>
      </c>
      <c r="H41">
        <v>1.7170274443952001</v>
      </c>
      <c r="I41">
        <v>-0.26245354702762103</v>
      </c>
      <c r="J41">
        <v>3.7357502615034802E-2</v>
      </c>
      <c r="K41">
        <v>4.2641433558239603E-3</v>
      </c>
      <c r="L41">
        <v>3.96377506795849E-4</v>
      </c>
      <c r="M41">
        <v>0.31720665982212298</v>
      </c>
      <c r="N41">
        <v>6.8053049233284396E-3</v>
      </c>
      <c r="O41">
        <v>0</v>
      </c>
      <c r="P41">
        <v>10.2218853320561</v>
      </c>
      <c r="Q41">
        <v>89.778114667943896</v>
      </c>
      <c r="R41">
        <v>24.0199851925878</v>
      </c>
      <c r="S41">
        <v>47.993545498460499</v>
      </c>
      <c r="T41">
        <v>27.986469308951701</v>
      </c>
      <c r="U41">
        <v>0</v>
      </c>
      <c r="V41">
        <v>75.980014807412203</v>
      </c>
      <c r="W41">
        <v>0.262887062739042</v>
      </c>
      <c r="X41">
        <v>-48.353924115121501</v>
      </c>
      <c r="Y41">
        <v>82.335518225483597</v>
      </c>
      <c r="Z41">
        <v>100</v>
      </c>
      <c r="AA41">
        <v>55.521154004407897</v>
      </c>
      <c r="AB41">
        <v>318.35601275968497</v>
      </c>
      <c r="AC41">
        <v>316.85516503174102</v>
      </c>
      <c r="AD41">
        <v>12.1114655720359</v>
      </c>
      <c r="AE41">
        <v>342.13331679118397</v>
      </c>
      <c r="AF41">
        <v>3.5528917613061699</v>
      </c>
      <c r="AG41">
        <v>777.74595348882895</v>
      </c>
      <c r="AH41">
        <v>5.8889086629312901</v>
      </c>
      <c r="AI41">
        <v>48.994624996425202</v>
      </c>
      <c r="AJ41">
        <v>172.33885279470201</v>
      </c>
      <c r="AK41">
        <v>24.659633692883101</v>
      </c>
      <c r="AL41">
        <v>-29.772190343656501</v>
      </c>
      <c r="AM41">
        <v>5.9561402677636899</v>
      </c>
      <c r="AN41">
        <v>6.0815869392281101</v>
      </c>
      <c r="AO41">
        <v>0.9</v>
      </c>
      <c r="AP41">
        <v>1.28995408964233</v>
      </c>
      <c r="AQ41">
        <v>0.72555098667340601</v>
      </c>
      <c r="AR41">
        <v>1.26656375676679</v>
      </c>
      <c r="AS41">
        <v>1.00019531899734</v>
      </c>
      <c r="AT41">
        <v>0.84226144773430101</v>
      </c>
      <c r="AU41">
        <v>0.84416488314899796</v>
      </c>
      <c r="AV41">
        <v>1</v>
      </c>
      <c r="AW41">
        <v>0.99026374818625795</v>
      </c>
      <c r="AX41">
        <v>1</v>
      </c>
      <c r="AY41">
        <v>1</v>
      </c>
      <c r="AZ41">
        <v>0.90122598075036398</v>
      </c>
      <c r="BA41">
        <v>1</v>
      </c>
      <c r="BB41">
        <v>1.0282049330009599</v>
      </c>
      <c r="BC41">
        <v>1255063051.8</v>
      </c>
      <c r="BD41">
        <v>7.5089266599343396E-2</v>
      </c>
      <c r="BE41">
        <v>759</v>
      </c>
    </row>
    <row r="42" spans="1:57" x14ac:dyDescent="0.25">
      <c r="A42">
        <v>11</v>
      </c>
      <c r="B42" t="s">
        <v>57</v>
      </c>
      <c r="C42">
        <v>6.1</v>
      </c>
      <c r="D42">
        <v>0.50896751323434197</v>
      </c>
      <c r="E42">
        <v>0.37524064871394203</v>
      </c>
      <c r="F42">
        <v>5.9395062104147103</v>
      </c>
      <c r="G42">
        <v>4.4111087611313797</v>
      </c>
      <c r="H42">
        <v>1.3563762747418799</v>
      </c>
      <c r="I42">
        <v>-0.1337268645204</v>
      </c>
      <c r="J42">
        <v>3.6535718535116703E-2</v>
      </c>
      <c r="K42">
        <v>5.4000123649259697E-3</v>
      </c>
      <c r="L42">
        <v>7.6819991792764699E-4</v>
      </c>
      <c r="M42">
        <v>0.32513121654084498</v>
      </c>
      <c r="N42">
        <v>7.4055013551269297E-3</v>
      </c>
      <c r="O42">
        <v>0</v>
      </c>
      <c r="P42">
        <v>7.1117704913977802</v>
      </c>
      <c r="Q42">
        <v>92.888229508602194</v>
      </c>
      <c r="R42">
        <v>30.422684952597699</v>
      </c>
      <c r="S42">
        <v>39.220085749502601</v>
      </c>
      <c r="T42">
        <v>30.3572292978997</v>
      </c>
      <c r="U42">
        <v>0</v>
      </c>
      <c r="V42">
        <v>69.577315047402294</v>
      </c>
      <c r="W42">
        <v>0.32538721415817601</v>
      </c>
      <c r="X42">
        <v>-46.779653125809297</v>
      </c>
      <c r="Y42">
        <v>90.470439314448598</v>
      </c>
      <c r="Z42">
        <v>100</v>
      </c>
      <c r="AA42">
        <v>60.252790308463098</v>
      </c>
      <c r="AB42">
        <v>305.42266590501799</v>
      </c>
      <c r="AC42">
        <v>303.52560691228302</v>
      </c>
      <c r="AD42">
        <v>12.7731475075714</v>
      </c>
      <c r="AE42">
        <v>343.27968851863602</v>
      </c>
      <c r="AF42">
        <v>3.6030112740072799</v>
      </c>
      <c r="AG42">
        <v>779.04874728684501</v>
      </c>
      <c r="AH42">
        <v>5.6334774369014404</v>
      </c>
      <c r="AI42">
        <v>47.1509688019961</v>
      </c>
      <c r="AJ42">
        <v>173.873419358924</v>
      </c>
      <c r="AK42">
        <v>23.413178074892901</v>
      </c>
      <c r="AL42">
        <v>-27.341252937413199</v>
      </c>
      <c r="AM42">
        <v>6.0531923873597497</v>
      </c>
      <c r="AN42">
        <v>6.5281256553781599</v>
      </c>
      <c r="AO42">
        <v>0.9</v>
      </c>
      <c r="AP42">
        <v>1.29035531493944</v>
      </c>
      <c r="AQ42">
        <v>0.73846617486270405</v>
      </c>
      <c r="AR42">
        <v>1.2614920240858001</v>
      </c>
      <c r="AS42">
        <v>0.99825255526704804</v>
      </c>
      <c r="AT42">
        <v>0.85345318100644496</v>
      </c>
      <c r="AU42">
        <v>0.84166167154188398</v>
      </c>
      <c r="AV42">
        <v>1</v>
      </c>
      <c r="AW42">
        <v>0.99528691421456905</v>
      </c>
      <c r="AX42">
        <v>1</v>
      </c>
      <c r="AY42">
        <v>1</v>
      </c>
      <c r="AZ42">
        <v>0.90954949043837696</v>
      </c>
      <c r="BA42">
        <v>1</v>
      </c>
      <c r="BB42">
        <v>1.0137558060191401</v>
      </c>
      <c r="BC42">
        <v>2327781315.5</v>
      </c>
      <c r="BD42">
        <v>9.1958986150075694E-2</v>
      </c>
      <c r="BE42">
        <v>888</v>
      </c>
    </row>
    <row r="43" spans="1:57" x14ac:dyDescent="0.25">
      <c r="A43">
        <v>12</v>
      </c>
      <c r="B43" t="s">
        <v>57</v>
      </c>
      <c r="C43">
        <v>6.2</v>
      </c>
      <c r="D43">
        <v>0.43426131817283697</v>
      </c>
      <c r="E43">
        <v>0.35966573725400702</v>
      </c>
      <c r="F43">
        <v>5.0884553004316899</v>
      </c>
      <c r="G43">
        <v>4.2316269546708103</v>
      </c>
      <c r="H43">
        <v>1.20740252182028</v>
      </c>
      <c r="I43">
        <v>-7.4595580918829604E-2</v>
      </c>
      <c r="J43">
        <v>3.62395339579447E-2</v>
      </c>
      <c r="K43">
        <v>5.4317926667675201E-3</v>
      </c>
      <c r="L43">
        <v>3.32684696544375E-4</v>
      </c>
      <c r="M43">
        <v>0.31186546979944102</v>
      </c>
      <c r="N43">
        <v>5.7962561333095002E-3</v>
      </c>
      <c r="O43">
        <v>0</v>
      </c>
      <c r="P43">
        <v>6.2524715620382398</v>
      </c>
      <c r="Q43">
        <v>93.747528437961805</v>
      </c>
      <c r="R43">
        <v>33.557921506503099</v>
      </c>
      <c r="S43">
        <v>46.758444871228299</v>
      </c>
      <c r="T43">
        <v>19.683633622268601</v>
      </c>
      <c r="U43">
        <v>0</v>
      </c>
      <c r="V43">
        <v>66.442078493496894</v>
      </c>
      <c r="W43">
        <v>0.32907888917231498</v>
      </c>
      <c r="X43">
        <v>-50.7144471016395</v>
      </c>
      <c r="Y43">
        <v>64.179401228799406</v>
      </c>
      <c r="Z43">
        <v>100</v>
      </c>
      <c r="AA43">
        <v>64.944991394161505</v>
      </c>
      <c r="AB43">
        <v>306.67116855979202</v>
      </c>
      <c r="AC43">
        <v>304.84303159496801</v>
      </c>
      <c r="AD43">
        <v>12.533301305079901</v>
      </c>
      <c r="AE43">
        <v>343.745814688694</v>
      </c>
      <c r="AF43">
        <v>3.57513329710231</v>
      </c>
      <c r="AG43">
        <v>780.23106383856395</v>
      </c>
      <c r="AH43">
        <v>6.9628870194432801</v>
      </c>
      <c r="AI43">
        <v>47.803780755068303</v>
      </c>
      <c r="AJ43">
        <v>173.94182603651799</v>
      </c>
      <c r="AK43">
        <v>23.4078718101924</v>
      </c>
      <c r="AL43">
        <v>-28.018931459162498</v>
      </c>
      <c r="AM43">
        <v>6.1504106757470201</v>
      </c>
      <c r="AN43">
        <v>6.4940706238335197</v>
      </c>
      <c r="AO43">
        <v>0.9</v>
      </c>
      <c r="AP43">
        <v>1.2906559270273601</v>
      </c>
      <c r="AQ43">
        <v>0.73284655738889803</v>
      </c>
      <c r="AR43">
        <v>1.2564225806676701</v>
      </c>
      <c r="AS43">
        <v>0.99589306415245304</v>
      </c>
      <c r="AT43">
        <v>0.85294237364596703</v>
      </c>
      <c r="AU43">
        <v>0.83932042033244603</v>
      </c>
      <c r="AV43">
        <v>1</v>
      </c>
      <c r="AW43">
        <v>0.99356229567688004</v>
      </c>
      <c r="AX43">
        <v>1</v>
      </c>
      <c r="AY43">
        <v>1</v>
      </c>
      <c r="AZ43">
        <v>0.91362529795845404</v>
      </c>
      <c r="BA43">
        <v>1</v>
      </c>
      <c r="BB43">
        <v>1.00208460111891</v>
      </c>
      <c r="BC43">
        <v>4203927957</v>
      </c>
      <c r="BD43">
        <v>3.8749774837569799E-2</v>
      </c>
      <c r="BE43">
        <v>1037</v>
      </c>
    </row>
    <row r="44" spans="1:57" x14ac:dyDescent="0.25">
      <c r="A44">
        <v>13</v>
      </c>
      <c r="B44" t="s">
        <v>57</v>
      </c>
      <c r="C44">
        <v>6.3</v>
      </c>
      <c r="D44">
        <v>0.36712157793447298</v>
      </c>
      <c r="E44">
        <v>0.37810554127225798</v>
      </c>
      <c r="F44">
        <v>4.3175849091802396</v>
      </c>
      <c r="G44">
        <v>4.4440895497601103</v>
      </c>
      <c r="H44">
        <v>0.97095000697205902</v>
      </c>
      <c r="I44">
        <v>1.09839633377849E-2</v>
      </c>
      <c r="J44">
        <v>3.5924285581427698E-2</v>
      </c>
      <c r="K44">
        <v>5.4183720830838604E-3</v>
      </c>
      <c r="L44">
        <v>3.2474540526908802E-4</v>
      </c>
      <c r="M44">
        <v>0.33187288649421098</v>
      </c>
      <c r="N44">
        <v>4.5652517082667796E-3</v>
      </c>
      <c r="O44">
        <v>0</v>
      </c>
      <c r="P44">
        <v>4.8017285680296702</v>
      </c>
      <c r="Q44">
        <v>95.198271431970298</v>
      </c>
      <c r="R44">
        <v>55.329079500136103</v>
      </c>
      <c r="S44">
        <v>27.672105326447699</v>
      </c>
      <c r="T44">
        <v>16.998815173416201</v>
      </c>
      <c r="U44">
        <v>0</v>
      </c>
      <c r="V44">
        <v>44.670920499863897</v>
      </c>
      <c r="W44">
        <v>0.32423148502172</v>
      </c>
      <c r="X44">
        <v>-49.147218184102201</v>
      </c>
      <c r="Y44">
        <v>55.318346407078202</v>
      </c>
      <c r="Z44">
        <v>100</v>
      </c>
      <c r="AA44">
        <v>68.710666519795595</v>
      </c>
      <c r="AB44">
        <v>287.14671864937299</v>
      </c>
      <c r="AC44">
        <v>285.05439151269002</v>
      </c>
      <c r="AD44">
        <v>12.524922682059</v>
      </c>
      <c r="AE44">
        <v>344.37962168903402</v>
      </c>
      <c r="AF44">
        <v>3.6107402844297201</v>
      </c>
      <c r="AG44">
        <v>780.68794563752795</v>
      </c>
      <c r="AH44">
        <v>4.3438406749478702</v>
      </c>
      <c r="AI44">
        <v>47.385661588422302</v>
      </c>
      <c r="AJ44">
        <v>174.89584250384601</v>
      </c>
      <c r="AK44">
        <v>22.782971551294999</v>
      </c>
      <c r="AL44">
        <v>-27.1466016082382</v>
      </c>
      <c r="AM44">
        <v>6.2537399480672002</v>
      </c>
      <c r="AN44">
        <v>6.5986485826331398</v>
      </c>
      <c r="AO44">
        <v>0.9</v>
      </c>
      <c r="AP44">
        <v>1.29087232308124</v>
      </c>
      <c r="AQ44">
        <v>0.73304689628452002</v>
      </c>
      <c r="AR44">
        <v>1.26056279344348</v>
      </c>
      <c r="AS44">
        <v>0.99350893767464299</v>
      </c>
      <c r="AT44">
        <v>0.87249178669293403</v>
      </c>
      <c r="AU44">
        <v>0.83852875554128403</v>
      </c>
      <c r="AV44">
        <v>1</v>
      </c>
      <c r="AW44">
        <v>0.99551456738708499</v>
      </c>
      <c r="AX44">
        <v>1</v>
      </c>
      <c r="AY44">
        <v>1</v>
      </c>
      <c r="AZ44">
        <v>0.94192780335017701</v>
      </c>
      <c r="BA44">
        <v>1</v>
      </c>
      <c r="BB44">
        <v>0.99317626675528303</v>
      </c>
      <c r="BC44">
        <v>9690287470.6000004</v>
      </c>
      <c r="BD44">
        <v>3.6586697519444003E-2</v>
      </c>
      <c r="BE44">
        <v>1466</v>
      </c>
    </row>
    <row r="45" spans="1:57" x14ac:dyDescent="0.25">
      <c r="A45">
        <v>14</v>
      </c>
      <c r="B45" t="s">
        <v>57</v>
      </c>
      <c r="C45">
        <v>6.4</v>
      </c>
      <c r="D45">
        <v>0.44757631052333302</v>
      </c>
      <c r="E45">
        <v>0.38424319688020597</v>
      </c>
      <c r="F45">
        <v>5.2406543295522399</v>
      </c>
      <c r="G45">
        <v>4.5147114443244201</v>
      </c>
      <c r="H45">
        <v>1.16482559524111</v>
      </c>
      <c r="I45">
        <v>-6.3333113643127603E-2</v>
      </c>
      <c r="J45">
        <v>3.6005495652796697E-2</v>
      </c>
      <c r="K45">
        <v>6.1205728827040898E-3</v>
      </c>
      <c r="L45">
        <v>4.4602592099056199E-4</v>
      </c>
      <c r="M45">
        <v>0.33731203443786201</v>
      </c>
      <c r="N45">
        <v>4.3590679858523601E-3</v>
      </c>
      <c r="O45">
        <v>0</v>
      </c>
      <c r="P45">
        <v>6.9383582511192703</v>
      </c>
      <c r="Q45">
        <v>93.061641748880703</v>
      </c>
      <c r="R45">
        <v>51.441162669057299</v>
      </c>
      <c r="S45">
        <v>32.335180247035602</v>
      </c>
      <c r="T45">
        <v>16.223657083907099</v>
      </c>
      <c r="U45">
        <v>0</v>
      </c>
      <c r="V45">
        <v>48.558837330942701</v>
      </c>
      <c r="W45">
        <v>0.36617931006624199</v>
      </c>
      <c r="X45">
        <v>-45.999825935104198</v>
      </c>
      <c r="Y45">
        <v>56.716093873015602</v>
      </c>
      <c r="Z45">
        <v>100</v>
      </c>
      <c r="AA45">
        <v>68.086231305196307</v>
      </c>
      <c r="AB45">
        <v>281.11961531429699</v>
      </c>
      <c r="AC45">
        <v>278.999778456039</v>
      </c>
      <c r="AD45">
        <v>12.8948093597824</v>
      </c>
      <c r="AE45">
        <v>343.68837670437301</v>
      </c>
      <c r="AF45">
        <v>3.6200934750196101</v>
      </c>
      <c r="AG45">
        <v>779.29755591611604</v>
      </c>
      <c r="AH45">
        <v>5.8755565586884799</v>
      </c>
      <c r="AI45">
        <v>47.505165990389898</v>
      </c>
      <c r="AJ45">
        <v>175.48353805118401</v>
      </c>
      <c r="AK45">
        <v>23.409664691471299</v>
      </c>
      <c r="AL45">
        <v>-27.154331971265002</v>
      </c>
      <c r="AM45">
        <v>6.3531654699429003</v>
      </c>
      <c r="AN45">
        <v>6.9139119026217903</v>
      </c>
      <c r="AO45">
        <v>0.9</v>
      </c>
      <c r="AP45">
        <v>1.2909956849051101</v>
      </c>
      <c r="AQ45">
        <v>0.74113388709918804</v>
      </c>
      <c r="AR45">
        <v>1.27005045784832</v>
      </c>
      <c r="AS45">
        <v>0.994004736807239</v>
      </c>
      <c r="AT45">
        <v>0.87860468053734098</v>
      </c>
      <c r="AU45">
        <v>0.84121632476714903</v>
      </c>
      <c r="AV45">
        <v>1</v>
      </c>
      <c r="AW45">
        <v>0.99541950360686304</v>
      </c>
      <c r="AX45">
        <v>1</v>
      </c>
      <c r="AY45">
        <v>1</v>
      </c>
      <c r="AZ45">
        <v>0.93687351146977504</v>
      </c>
      <c r="BA45">
        <v>1</v>
      </c>
      <c r="BB45">
        <v>0.99148624974411403</v>
      </c>
      <c r="BC45">
        <v>12319348600.4</v>
      </c>
      <c r="BD45">
        <v>3.8879394084864898E-2</v>
      </c>
      <c r="BE45">
        <v>1706</v>
      </c>
    </row>
    <row r="46" spans="1:57" x14ac:dyDescent="0.25">
      <c r="A46">
        <v>15</v>
      </c>
      <c r="B46" t="s">
        <v>57</v>
      </c>
      <c r="C46">
        <v>6.5</v>
      </c>
      <c r="D46">
        <v>0.46338789161558702</v>
      </c>
      <c r="E46">
        <v>0.39414185349740199</v>
      </c>
      <c r="F46">
        <v>5.4211003962239204</v>
      </c>
      <c r="G46">
        <v>4.6285078622464901</v>
      </c>
      <c r="H46">
        <v>1.1756881120432501</v>
      </c>
      <c r="I46">
        <v>-6.9246038118184694E-2</v>
      </c>
      <c r="J46">
        <v>3.5914309762120102E-2</v>
      </c>
      <c r="K46">
        <v>7.0602671611683801E-3</v>
      </c>
      <c r="L46">
        <v>6.9173865915055598E-4</v>
      </c>
      <c r="M46">
        <v>0.34602946606739998</v>
      </c>
      <c r="N46">
        <v>4.4460718475626696E-3</v>
      </c>
      <c r="O46">
        <v>0</v>
      </c>
      <c r="P46">
        <v>5.6634803802601796</v>
      </c>
      <c r="Q46">
        <v>94.336519619739803</v>
      </c>
      <c r="R46">
        <v>62.970452897499896</v>
      </c>
      <c r="S46">
        <v>24.750283861028699</v>
      </c>
      <c r="T46">
        <v>12.2792632414713</v>
      </c>
      <c r="U46">
        <v>0</v>
      </c>
      <c r="V46">
        <v>37.029547102500104</v>
      </c>
      <c r="W46">
        <v>0.404450945746468</v>
      </c>
      <c r="X46">
        <v>-46.619766470097098</v>
      </c>
      <c r="Y46">
        <v>54.861990810981197</v>
      </c>
      <c r="Z46">
        <v>100</v>
      </c>
      <c r="AA46">
        <v>68.700761619994907</v>
      </c>
      <c r="AB46">
        <v>287.54902540978401</v>
      </c>
      <c r="AC46">
        <v>285.25582546198001</v>
      </c>
      <c r="AD46">
        <v>14.214296363934499</v>
      </c>
      <c r="AE46">
        <v>342.728819381074</v>
      </c>
      <c r="AF46">
        <v>3.5677021975471699</v>
      </c>
      <c r="AG46">
        <v>779.50945701418595</v>
      </c>
      <c r="AH46">
        <v>4.0461253036547902</v>
      </c>
      <c r="AI46">
        <v>48.763211040918598</v>
      </c>
      <c r="AJ46">
        <v>175.62852445896399</v>
      </c>
      <c r="AK46">
        <v>24.7282491758323</v>
      </c>
      <c r="AL46">
        <v>-26.591316315780499</v>
      </c>
      <c r="AM46">
        <v>6.4511747457662301</v>
      </c>
      <c r="AN46">
        <v>7.7468324453502602</v>
      </c>
      <c r="AO46">
        <v>0.9</v>
      </c>
      <c r="AP46">
        <v>1.2910444461597901</v>
      </c>
      <c r="AQ46">
        <v>0.76980753870912999</v>
      </c>
      <c r="AR46">
        <v>1.26611589209082</v>
      </c>
      <c r="AS46">
        <v>0.99360046369798405</v>
      </c>
      <c r="AT46">
        <v>0.87098060162215596</v>
      </c>
      <c r="AU46">
        <v>0.84080049337488805</v>
      </c>
      <c r="AV46">
        <v>1</v>
      </c>
      <c r="AW46">
        <v>0.99651200688391905</v>
      </c>
      <c r="AX46">
        <v>1</v>
      </c>
      <c r="AY46">
        <v>1</v>
      </c>
      <c r="AZ46">
        <v>0.95186158876674998</v>
      </c>
      <c r="BA46">
        <v>1</v>
      </c>
      <c r="BB46">
        <v>0.990857205872125</v>
      </c>
      <c r="BC46">
        <v>22886401680.099998</v>
      </c>
      <c r="BD46">
        <v>5.6137365571696803E-2</v>
      </c>
      <c r="BE46">
        <v>2103</v>
      </c>
    </row>
    <row r="47" spans="1:57" x14ac:dyDescent="0.25">
      <c r="A47">
        <v>16</v>
      </c>
      <c r="B47" t="s">
        <v>57</v>
      </c>
      <c r="C47">
        <v>6.6</v>
      </c>
      <c r="D47">
        <v>0.50588713509962902</v>
      </c>
      <c r="E47">
        <v>0.41102402049798598</v>
      </c>
      <c r="F47">
        <v>5.9045533638295797</v>
      </c>
      <c r="G47">
        <v>4.8223009701743997</v>
      </c>
      <c r="H47">
        <v>1.2307970091059599</v>
      </c>
      <c r="I47">
        <v>-9.4863114601642706E-2</v>
      </c>
      <c r="J47">
        <v>3.6162851301570098E-2</v>
      </c>
      <c r="K47">
        <v>6.5637359340158597E-3</v>
      </c>
      <c r="L47">
        <v>6.2391425988831903E-4</v>
      </c>
      <c r="M47">
        <v>0.36274052165775</v>
      </c>
      <c r="N47">
        <v>4.9329973447620702E-3</v>
      </c>
      <c r="O47">
        <v>0</v>
      </c>
      <c r="P47">
        <v>5.4041886689182297</v>
      </c>
      <c r="Q47">
        <v>94.595811331081805</v>
      </c>
      <c r="R47">
        <v>55.955024786599601</v>
      </c>
      <c r="S47">
        <v>29.481353345657201</v>
      </c>
      <c r="T47">
        <v>14.5636218677431</v>
      </c>
      <c r="U47">
        <v>0</v>
      </c>
      <c r="V47">
        <v>44.044975213400399</v>
      </c>
      <c r="W47">
        <v>0.37314748991187202</v>
      </c>
      <c r="X47">
        <v>-45.659807460120497</v>
      </c>
      <c r="Y47">
        <v>75.623100935423807</v>
      </c>
      <c r="Z47">
        <v>100</v>
      </c>
      <c r="AA47">
        <v>67.056583930555902</v>
      </c>
      <c r="AB47">
        <v>282.85608902730598</v>
      </c>
      <c r="AC47">
        <v>280.607737976713</v>
      </c>
      <c r="AD47">
        <v>14.62770189646</v>
      </c>
      <c r="AE47">
        <v>341.595294524461</v>
      </c>
      <c r="AF47">
        <v>3.5942326666665698</v>
      </c>
      <c r="AG47">
        <v>781.01154565155605</v>
      </c>
      <c r="AH47">
        <v>5.2286139016445299</v>
      </c>
      <c r="AI47">
        <v>48.110586677575299</v>
      </c>
      <c r="AJ47">
        <v>174.848278079088</v>
      </c>
      <c r="AK47">
        <v>24.181374488681499</v>
      </c>
      <c r="AL47">
        <v>-26.3656405793934</v>
      </c>
      <c r="AM47">
        <v>6.5519035847924396</v>
      </c>
      <c r="AN47">
        <v>8.12685563513533</v>
      </c>
      <c r="AO47">
        <v>0.9</v>
      </c>
      <c r="AP47">
        <v>1.29103306755958</v>
      </c>
      <c r="AQ47">
        <v>0.78015053035551596</v>
      </c>
      <c r="AR47">
        <v>1.2679421546832901</v>
      </c>
      <c r="AS47">
        <v>0.99494478419741295</v>
      </c>
      <c r="AT47">
        <v>0.87609210490573197</v>
      </c>
      <c r="AU47">
        <v>0.83786172736896203</v>
      </c>
      <c r="AV47">
        <v>1</v>
      </c>
      <c r="AW47">
        <v>0.99674151384929299</v>
      </c>
      <c r="AX47">
        <v>1</v>
      </c>
      <c r="AY47">
        <v>1</v>
      </c>
      <c r="AZ47">
        <v>0.94274153222257895</v>
      </c>
      <c r="BA47">
        <v>1</v>
      </c>
      <c r="BB47">
        <v>0.98857948937601103</v>
      </c>
      <c r="BC47">
        <v>26779291065.900002</v>
      </c>
      <c r="BD47">
        <v>5.6407259721970401E-2</v>
      </c>
      <c r="BE47">
        <v>2384</v>
      </c>
    </row>
    <row r="48" spans="1:57" x14ac:dyDescent="0.25">
      <c r="A48">
        <v>17</v>
      </c>
      <c r="B48" t="s">
        <v>57</v>
      </c>
      <c r="C48">
        <v>6.7</v>
      </c>
      <c r="D48">
        <v>0.48328828646673</v>
      </c>
      <c r="E48">
        <v>0.42622847199302299</v>
      </c>
      <c r="F48">
        <v>5.64776141666571</v>
      </c>
      <c r="G48">
        <v>4.9965262998967503</v>
      </c>
      <c r="H48">
        <v>1.13387142864224</v>
      </c>
      <c r="I48">
        <v>-5.7059814473706401E-2</v>
      </c>
      <c r="J48">
        <v>3.6360120597558901E-2</v>
      </c>
      <c r="K48">
        <v>6.63310293619982E-3</v>
      </c>
      <c r="L48">
        <v>9.6983255900772E-4</v>
      </c>
      <c r="M48">
        <v>0.37769420880482502</v>
      </c>
      <c r="N48">
        <v>4.5712070954314699E-3</v>
      </c>
      <c r="O48">
        <v>0</v>
      </c>
      <c r="P48">
        <v>5.1294091707492004</v>
      </c>
      <c r="Q48">
        <v>94.870590829250801</v>
      </c>
      <c r="R48">
        <v>52.622285257742497</v>
      </c>
      <c r="S48">
        <v>32.393244046471999</v>
      </c>
      <c r="T48">
        <v>14.9844706957855</v>
      </c>
      <c r="U48">
        <v>0</v>
      </c>
      <c r="V48">
        <v>47.377714742257503</v>
      </c>
      <c r="W48">
        <v>0.363664703301457</v>
      </c>
      <c r="X48">
        <v>-48.425494221318097</v>
      </c>
      <c r="Y48">
        <v>79.155330770696594</v>
      </c>
      <c r="Z48">
        <v>100</v>
      </c>
      <c r="AA48">
        <v>65.523949709587001</v>
      </c>
      <c r="AB48">
        <v>289.54313951381499</v>
      </c>
      <c r="AC48">
        <v>287.11571245569502</v>
      </c>
      <c r="AD48">
        <v>15.6750732571318</v>
      </c>
      <c r="AE48">
        <v>340.10329151655799</v>
      </c>
      <c r="AF48">
        <v>3.5704586397031099</v>
      </c>
      <c r="AG48">
        <v>780.49099107536097</v>
      </c>
      <c r="AH48">
        <v>5.2698208990379296</v>
      </c>
      <c r="AI48">
        <v>48.316555594894197</v>
      </c>
      <c r="AJ48">
        <v>174.69031125926901</v>
      </c>
      <c r="AK48">
        <v>23.6647746050553</v>
      </c>
      <c r="AL48">
        <v>-26.292492109081302</v>
      </c>
      <c r="AM48">
        <v>6.6520962591246704</v>
      </c>
      <c r="AN48">
        <v>8.8752692962278399</v>
      </c>
      <c r="AO48">
        <v>0.9</v>
      </c>
      <c r="AP48">
        <v>1.2909713324821599</v>
      </c>
      <c r="AQ48">
        <v>0.80502910318889398</v>
      </c>
      <c r="AR48">
        <v>1.2628135615290801</v>
      </c>
      <c r="AS48">
        <v>0.99612128206599304</v>
      </c>
      <c r="AT48">
        <v>0.86836755569077495</v>
      </c>
      <c r="AU48">
        <v>0.838931891159858</v>
      </c>
      <c r="AV48">
        <v>1</v>
      </c>
      <c r="AW48">
        <v>0.99701200453486505</v>
      </c>
      <c r="AX48">
        <v>1</v>
      </c>
      <c r="AY48">
        <v>1</v>
      </c>
      <c r="AZ48">
        <v>0.93840897083506503</v>
      </c>
      <c r="BA48">
        <v>1</v>
      </c>
      <c r="BB48">
        <v>0.98744823761451705</v>
      </c>
      <c r="BC48">
        <v>32836678736.900002</v>
      </c>
      <c r="BD48">
        <v>5.20215209442269E-2</v>
      </c>
      <c r="BE48">
        <v>2527</v>
      </c>
    </row>
    <row r="49" spans="1:57" x14ac:dyDescent="0.25">
      <c r="A49">
        <v>18</v>
      </c>
      <c r="B49" t="s">
        <v>57</v>
      </c>
      <c r="C49">
        <v>6.8</v>
      </c>
      <c r="D49">
        <v>0.55655211073743405</v>
      </c>
      <c r="E49">
        <v>0.435655949888483</v>
      </c>
      <c r="F49">
        <v>6.4779357172951597</v>
      </c>
      <c r="G49">
        <v>5.10440734842091</v>
      </c>
      <c r="H49">
        <v>1.2775037523988799</v>
      </c>
      <c r="I49">
        <v>-0.12089616084895199</v>
      </c>
      <c r="J49">
        <v>3.6465296355411403E-2</v>
      </c>
      <c r="K49">
        <v>6.8934576770044798E-3</v>
      </c>
      <c r="L49">
        <v>1.40179285847889E-3</v>
      </c>
      <c r="M49">
        <v>0.38554062505484199</v>
      </c>
      <c r="N49">
        <v>5.3547779427459601E-3</v>
      </c>
      <c r="O49">
        <v>0</v>
      </c>
      <c r="P49">
        <v>5.3396446770314299</v>
      </c>
      <c r="Q49">
        <v>94.660355322968599</v>
      </c>
      <c r="R49">
        <v>54.509865437155497</v>
      </c>
      <c r="S49">
        <v>30.873243118104199</v>
      </c>
      <c r="T49">
        <v>14.6168914447403</v>
      </c>
      <c r="U49">
        <v>0</v>
      </c>
      <c r="V49">
        <v>45.490134562844602</v>
      </c>
      <c r="W49">
        <v>0.368861187192497</v>
      </c>
      <c r="X49">
        <v>-45.507676616862703</v>
      </c>
      <c r="Y49">
        <v>103.92363872068999</v>
      </c>
      <c r="Z49">
        <v>100</v>
      </c>
      <c r="AA49">
        <v>63.771348273649799</v>
      </c>
      <c r="AB49">
        <v>290.90447152355898</v>
      </c>
      <c r="AC49">
        <v>288.52382055052902</v>
      </c>
      <c r="AD49">
        <v>16.370121424225601</v>
      </c>
      <c r="AE49">
        <v>339.324341510387</v>
      </c>
      <c r="AF49">
        <v>3.5939952885417998</v>
      </c>
      <c r="AG49">
        <v>780.45525625108201</v>
      </c>
      <c r="AH49">
        <v>5.3202886909801403</v>
      </c>
      <c r="AI49">
        <v>48.696274866084003</v>
      </c>
      <c r="AJ49">
        <v>174.84782413578299</v>
      </c>
      <c r="AK49">
        <v>23.591102916969</v>
      </c>
      <c r="AL49">
        <v>-26.037274954440701</v>
      </c>
      <c r="AM49">
        <v>6.7521778572745896</v>
      </c>
      <c r="AN49">
        <v>9.4204169153764497</v>
      </c>
      <c r="AO49">
        <v>0.9</v>
      </c>
      <c r="AP49">
        <v>1.29087124511943</v>
      </c>
      <c r="AQ49">
        <v>0.81975365874498096</v>
      </c>
      <c r="AR49">
        <v>1.2701899341168601</v>
      </c>
      <c r="AS49">
        <v>0.99735376490208005</v>
      </c>
      <c r="AT49">
        <v>0.86708339768382803</v>
      </c>
      <c r="AU49">
        <v>0.83901658031929804</v>
      </c>
      <c r="AV49">
        <v>1</v>
      </c>
      <c r="AW49">
        <v>0.99758974387789001</v>
      </c>
      <c r="AX49">
        <v>1</v>
      </c>
      <c r="AY49">
        <v>1</v>
      </c>
      <c r="AZ49">
        <v>0.94086282506830199</v>
      </c>
      <c r="BA49">
        <v>1</v>
      </c>
      <c r="BB49">
        <v>0.9847063351234</v>
      </c>
      <c r="BC49">
        <v>29955402395.599998</v>
      </c>
      <c r="BD49">
        <v>3.4934829592653302E-2</v>
      </c>
      <c r="BE49">
        <v>2600</v>
      </c>
    </row>
    <row r="50" spans="1:57" x14ac:dyDescent="0.25">
      <c r="A50">
        <v>19</v>
      </c>
      <c r="B50" t="s">
        <v>57</v>
      </c>
      <c r="C50">
        <v>6.9</v>
      </c>
      <c r="D50">
        <v>0.54292176046000196</v>
      </c>
      <c r="E50">
        <v>0.42598011258482399</v>
      </c>
      <c r="F50">
        <v>6.3239949670404396</v>
      </c>
      <c r="G50">
        <v>4.99368274021292</v>
      </c>
      <c r="H50">
        <v>1.27452372639085</v>
      </c>
      <c r="I50">
        <v>-0.116941647875178</v>
      </c>
      <c r="J50">
        <v>3.6507211278848803E-2</v>
      </c>
      <c r="K50">
        <v>6.8560605333062401E-3</v>
      </c>
      <c r="L50">
        <v>1.3914292853157101E-3</v>
      </c>
      <c r="M50">
        <v>0.37453562874840701</v>
      </c>
      <c r="N50">
        <v>6.6897827389462497E-3</v>
      </c>
      <c r="O50">
        <v>0</v>
      </c>
      <c r="P50">
        <v>5.8319772733557498</v>
      </c>
      <c r="Q50">
        <v>94.168022726644296</v>
      </c>
      <c r="R50">
        <v>50.409385036478</v>
      </c>
      <c r="S50">
        <v>34.930009236780499</v>
      </c>
      <c r="T50">
        <v>14.660605726741499</v>
      </c>
      <c r="U50">
        <v>0</v>
      </c>
      <c r="V50">
        <v>49.590614963522</v>
      </c>
      <c r="W50">
        <v>0.37487867907676697</v>
      </c>
      <c r="X50">
        <v>-44.906548238189899</v>
      </c>
      <c r="Y50">
        <v>103.71912204732899</v>
      </c>
      <c r="Z50">
        <v>100</v>
      </c>
      <c r="AA50">
        <v>62.570492465839202</v>
      </c>
      <c r="AB50">
        <v>307.274875133249</v>
      </c>
      <c r="AC50">
        <v>304.93776871894698</v>
      </c>
      <c r="AD50">
        <v>15.9849024718309</v>
      </c>
      <c r="AE50">
        <v>339.46193914927198</v>
      </c>
      <c r="AF50">
        <v>3.5905591309087002</v>
      </c>
      <c r="AG50">
        <v>780.32231964433697</v>
      </c>
      <c r="AH50">
        <v>5.2402386493446498</v>
      </c>
      <c r="AI50">
        <v>49.555085782888199</v>
      </c>
      <c r="AJ50">
        <v>174.71163343547201</v>
      </c>
      <c r="AK50">
        <v>23.7832041583654</v>
      </c>
      <c r="AL50">
        <v>-25.886056809334299</v>
      </c>
      <c r="AM50">
        <v>6.8470277440995204</v>
      </c>
      <c r="AN50">
        <v>9.3230174632657903</v>
      </c>
      <c r="AO50">
        <v>0.9</v>
      </c>
      <c r="AP50">
        <v>1.2907518146547201</v>
      </c>
      <c r="AQ50">
        <v>0.811036972244081</v>
      </c>
      <c r="AR50">
        <v>1.2716437718156099</v>
      </c>
      <c r="AS50">
        <v>0.99810223847256496</v>
      </c>
      <c r="AT50">
        <v>0.85008602158069702</v>
      </c>
      <c r="AU50">
        <v>0.83927365930912301</v>
      </c>
      <c r="AV50">
        <v>1</v>
      </c>
      <c r="AW50">
        <v>0.99789981126584104</v>
      </c>
      <c r="AX50">
        <v>1</v>
      </c>
      <c r="AY50">
        <v>1</v>
      </c>
      <c r="AZ50">
        <v>0.93553220054742103</v>
      </c>
      <c r="BA50">
        <v>1</v>
      </c>
      <c r="BB50">
        <v>0.98887722120336197</v>
      </c>
      <c r="BC50">
        <v>22999476558.799999</v>
      </c>
      <c r="BD50">
        <v>4.9531381597006E-2</v>
      </c>
      <c r="BE50">
        <v>2444</v>
      </c>
    </row>
    <row r="51" spans="1:57" x14ac:dyDescent="0.25">
      <c r="A51">
        <v>20</v>
      </c>
      <c r="B51" t="s">
        <v>57</v>
      </c>
      <c r="C51">
        <v>7</v>
      </c>
      <c r="D51">
        <v>0.50673417016379996</v>
      </c>
      <c r="E51">
        <v>0.42466669046368799</v>
      </c>
      <c r="F51">
        <v>5.9141658012131098</v>
      </c>
      <c r="G51">
        <v>4.9786435821713297</v>
      </c>
      <c r="H51">
        <v>1.1932515112275499</v>
      </c>
      <c r="I51">
        <v>-8.2067479700111495E-2</v>
      </c>
      <c r="J51">
        <v>3.6729588326952299E-2</v>
      </c>
      <c r="K51">
        <v>7.21333113906411E-3</v>
      </c>
      <c r="L51">
        <v>3.2207371741575798E-3</v>
      </c>
      <c r="M51">
        <v>0.36955385211693897</v>
      </c>
      <c r="N51">
        <v>7.9491817065756795E-3</v>
      </c>
      <c r="O51">
        <v>0</v>
      </c>
      <c r="P51">
        <v>4.8677538973588401</v>
      </c>
      <c r="Q51">
        <v>95.132246102641204</v>
      </c>
      <c r="R51">
        <v>45.969397895206001</v>
      </c>
      <c r="S51">
        <v>37.077987654325</v>
      </c>
      <c r="T51">
        <v>16.952614450469</v>
      </c>
      <c r="U51">
        <v>0</v>
      </c>
      <c r="V51">
        <v>54.030602104793999</v>
      </c>
      <c r="W51">
        <v>0.38465661213570301</v>
      </c>
      <c r="X51">
        <v>-42.062697491897701</v>
      </c>
      <c r="Y51">
        <v>123.513325490399</v>
      </c>
      <c r="Z51">
        <v>100</v>
      </c>
      <c r="AA51">
        <v>60.563727259913797</v>
      </c>
      <c r="AB51">
        <v>322.12855623242098</v>
      </c>
      <c r="AC51">
        <v>319.86813111701298</v>
      </c>
      <c r="AD51">
        <v>17.545511018147302</v>
      </c>
      <c r="AE51">
        <v>338.01445810684601</v>
      </c>
      <c r="AF51">
        <v>3.6060247662434799</v>
      </c>
      <c r="AG51">
        <v>780.38190294048798</v>
      </c>
      <c r="AH51">
        <v>4.5391293830458297</v>
      </c>
      <c r="AI51">
        <v>49.889566731826498</v>
      </c>
      <c r="AJ51">
        <v>174.694917338181</v>
      </c>
      <c r="AK51">
        <v>24.137965092273902</v>
      </c>
      <c r="AL51">
        <v>-27.4507120989383</v>
      </c>
      <c r="AM51">
        <v>6.9470138895192202</v>
      </c>
      <c r="AN51">
        <v>10.4261081974878</v>
      </c>
      <c r="AO51">
        <v>0.9</v>
      </c>
      <c r="AP51">
        <v>1.29061151066424</v>
      </c>
      <c r="AQ51">
        <v>0.84706899780007405</v>
      </c>
      <c r="AR51">
        <v>1.27969688467516</v>
      </c>
      <c r="AS51">
        <v>0.99918230683214504</v>
      </c>
      <c r="AT51">
        <v>0.83519387162672398</v>
      </c>
      <c r="AU51">
        <v>0.83916101451802505</v>
      </c>
      <c r="AV51">
        <v>1</v>
      </c>
      <c r="AW51">
        <v>0.99448881261676203</v>
      </c>
      <c r="AX51">
        <v>1</v>
      </c>
      <c r="AY51">
        <v>1</v>
      </c>
      <c r="AZ51">
        <v>0.92976021726376801</v>
      </c>
      <c r="BA51">
        <v>1</v>
      </c>
      <c r="BB51">
        <v>0.98712077511654395</v>
      </c>
      <c r="BC51">
        <v>20361986895.799999</v>
      </c>
      <c r="BD51">
        <v>5.5754383738691703E-2</v>
      </c>
      <c r="BE51">
        <v>2259</v>
      </c>
    </row>
    <row r="52" spans="1:57" x14ac:dyDescent="0.25">
      <c r="A52">
        <v>21</v>
      </c>
      <c r="B52" t="s">
        <v>57</v>
      </c>
      <c r="C52">
        <v>7.1</v>
      </c>
      <c r="D52">
        <v>0.49467048750505099</v>
      </c>
      <c r="E52">
        <v>0.40257591909972501</v>
      </c>
      <c r="F52">
        <v>5.7771781727524099</v>
      </c>
      <c r="G52">
        <v>4.7253690235970298</v>
      </c>
      <c r="H52">
        <v>1.22876323206633</v>
      </c>
      <c r="I52">
        <v>-9.2094568405325705E-2</v>
      </c>
      <c r="J52">
        <v>3.66808961051652E-2</v>
      </c>
      <c r="K52">
        <v>6.9746762147589302E-3</v>
      </c>
      <c r="L52">
        <v>2.73449978834057E-3</v>
      </c>
      <c r="M52">
        <v>0.34853816429130102</v>
      </c>
      <c r="N52">
        <v>7.6476827001595504E-3</v>
      </c>
      <c r="O52">
        <v>0</v>
      </c>
      <c r="P52">
        <v>4.0082305804903404</v>
      </c>
      <c r="Q52">
        <v>95.991769419509694</v>
      </c>
      <c r="R52">
        <v>31.678163423589002</v>
      </c>
      <c r="S52">
        <v>40.890503242582099</v>
      </c>
      <c r="T52">
        <v>27.431333333828899</v>
      </c>
      <c r="U52">
        <v>0</v>
      </c>
      <c r="V52">
        <v>68.321836576411002</v>
      </c>
      <c r="W52">
        <v>0.39059460270635099</v>
      </c>
      <c r="X52">
        <v>-42.128362148255299</v>
      </c>
      <c r="Y52">
        <v>113.967717376724</v>
      </c>
      <c r="Z52">
        <v>100</v>
      </c>
      <c r="AA52">
        <v>58.020056201551398</v>
      </c>
      <c r="AB52">
        <v>326.29963330887699</v>
      </c>
      <c r="AC52">
        <v>324.12511174535001</v>
      </c>
      <c r="AD52">
        <v>16.779510520126902</v>
      </c>
      <c r="AE52">
        <v>338.62853172300498</v>
      </c>
      <c r="AF52">
        <v>3.5871271233173601</v>
      </c>
      <c r="AG52">
        <v>778.92762473771404</v>
      </c>
      <c r="AH52">
        <v>4.8606698696646298</v>
      </c>
      <c r="AI52">
        <v>51.892778603583203</v>
      </c>
      <c r="AJ52">
        <v>174.49245536397501</v>
      </c>
      <c r="AK52">
        <v>24.549397691403499</v>
      </c>
      <c r="AL52">
        <v>-27.425395219742299</v>
      </c>
      <c r="AM52">
        <v>7.0433670121066996</v>
      </c>
      <c r="AN52">
        <v>10.0963006772488</v>
      </c>
      <c r="AO52">
        <v>0.9</v>
      </c>
      <c r="AP52">
        <v>1.2904731325741401</v>
      </c>
      <c r="AQ52">
        <v>0.82988001792987898</v>
      </c>
      <c r="AR52">
        <v>1.2800136200902601</v>
      </c>
      <c r="AS52">
        <v>1.0006305028690901</v>
      </c>
      <c r="AT52">
        <v>0.830781748500665</v>
      </c>
      <c r="AU52">
        <v>0.84205520688708901</v>
      </c>
      <c r="AV52">
        <v>1</v>
      </c>
      <c r="AW52">
        <v>0.99460200830167</v>
      </c>
      <c r="AX52">
        <v>1</v>
      </c>
      <c r="AY52">
        <v>1</v>
      </c>
      <c r="AZ52">
        <v>0.91118161245066598</v>
      </c>
      <c r="BA52">
        <v>1</v>
      </c>
      <c r="BB52">
        <v>0.98732708005611602</v>
      </c>
      <c r="BC52">
        <v>13215228856.299999</v>
      </c>
      <c r="BD52">
        <v>3.74521087255658E-2</v>
      </c>
      <c r="BE52">
        <v>1908</v>
      </c>
    </row>
    <row r="53" spans="1:57" x14ac:dyDescent="0.25">
      <c r="A53">
        <v>22</v>
      </c>
      <c r="B53" t="s">
        <v>57</v>
      </c>
      <c r="C53">
        <v>7.2</v>
      </c>
      <c r="D53">
        <v>0.498149362254793</v>
      </c>
      <c r="E53">
        <v>0.393664553808724</v>
      </c>
      <c r="F53">
        <v>5.8167008444635497</v>
      </c>
      <c r="G53">
        <v>4.6230236085182304</v>
      </c>
      <c r="H53">
        <v>1.26541584055555</v>
      </c>
      <c r="I53">
        <v>-0.104484808446069</v>
      </c>
      <c r="J53">
        <v>3.6661052336884201E-2</v>
      </c>
      <c r="K53">
        <v>6.8365872063970799E-3</v>
      </c>
      <c r="L53">
        <v>2.14104936086128E-3</v>
      </c>
      <c r="M53">
        <v>0.341641341794719</v>
      </c>
      <c r="N53">
        <v>6.3845231098626897E-3</v>
      </c>
      <c r="O53">
        <v>0</v>
      </c>
      <c r="P53">
        <v>4.4501074617634604</v>
      </c>
      <c r="Q53">
        <v>95.549892538236506</v>
      </c>
      <c r="R53">
        <v>27.4709883777447</v>
      </c>
      <c r="S53">
        <v>48.639245345645698</v>
      </c>
      <c r="T53">
        <v>23.889766276609599</v>
      </c>
      <c r="U53">
        <v>0</v>
      </c>
      <c r="V53">
        <v>72.529011622255297</v>
      </c>
      <c r="W53">
        <v>0.395688538555591</v>
      </c>
      <c r="X53">
        <v>-45.503491939537703</v>
      </c>
      <c r="Y53">
        <v>102.536043836817</v>
      </c>
      <c r="Z53">
        <v>100</v>
      </c>
      <c r="AA53">
        <v>54.953925362864602</v>
      </c>
      <c r="AB53">
        <v>326.68904207387402</v>
      </c>
      <c r="AC53">
        <v>324.58503050008699</v>
      </c>
      <c r="AD53">
        <v>16.579361689682202</v>
      </c>
      <c r="AE53">
        <v>338.51098836723997</v>
      </c>
      <c r="AF53">
        <v>3.56815235713609</v>
      </c>
      <c r="AG53">
        <v>781.51100471760196</v>
      </c>
      <c r="AH53">
        <v>5.5619917701520203</v>
      </c>
      <c r="AI53">
        <v>52.004879512241999</v>
      </c>
      <c r="AJ53">
        <v>174.893762446712</v>
      </c>
      <c r="AK53">
        <v>23.561972167147101</v>
      </c>
      <c r="AL53">
        <v>-28.4063050814094</v>
      </c>
      <c r="AM53">
        <v>7.1513254053162498</v>
      </c>
      <c r="AN53">
        <v>10.117289631484599</v>
      </c>
      <c r="AO53">
        <v>0.9</v>
      </c>
      <c r="AP53">
        <v>1.29032787307732</v>
      </c>
      <c r="AQ53">
        <v>0.823203148262315</v>
      </c>
      <c r="AR53">
        <v>1.2720438356725501</v>
      </c>
      <c r="AS53">
        <v>1.0025499185408799</v>
      </c>
      <c r="AT53">
        <v>0.83049670729311498</v>
      </c>
      <c r="AU53">
        <v>0.83690923119572302</v>
      </c>
      <c r="AV53">
        <v>1</v>
      </c>
      <c r="AW53">
        <v>0.99254197427088497</v>
      </c>
      <c r="AX53">
        <v>1</v>
      </c>
      <c r="AY53">
        <v>1</v>
      </c>
      <c r="AZ53">
        <v>0.90571228489106803</v>
      </c>
      <c r="BA53">
        <v>1</v>
      </c>
      <c r="BB53">
        <v>0.98480638754322003</v>
      </c>
      <c r="BC53">
        <v>11090849123.1</v>
      </c>
      <c r="BD53">
        <v>4.45264817607922E-2</v>
      </c>
      <c r="BE53">
        <v>1749</v>
      </c>
    </row>
    <row r="54" spans="1:57" x14ac:dyDescent="0.25">
      <c r="A54">
        <v>23</v>
      </c>
      <c r="B54" t="s">
        <v>57</v>
      </c>
      <c r="C54">
        <v>7.3</v>
      </c>
      <c r="D54">
        <v>0.546454230620258</v>
      </c>
      <c r="E54">
        <v>0.40086289573811801</v>
      </c>
      <c r="F54">
        <v>6.3639128569740704</v>
      </c>
      <c r="G54">
        <v>4.7057030802259998</v>
      </c>
      <c r="H54">
        <v>1.3631948390086299</v>
      </c>
      <c r="I54">
        <v>-0.14559133488213999</v>
      </c>
      <c r="J54">
        <v>3.6868543877190699E-2</v>
      </c>
      <c r="K54">
        <v>6.8013180848542198E-3</v>
      </c>
      <c r="L54">
        <v>4.3438743557932301E-3</v>
      </c>
      <c r="M54">
        <v>0.34440993077729598</v>
      </c>
      <c r="N54">
        <v>8.4392286429833298E-3</v>
      </c>
      <c r="O54">
        <v>0</v>
      </c>
      <c r="P54">
        <v>3.3236945805664901</v>
      </c>
      <c r="Q54">
        <v>96.676305419433504</v>
      </c>
      <c r="R54">
        <v>18.6947053429632</v>
      </c>
      <c r="S54">
        <v>51.511294161370898</v>
      </c>
      <c r="T54">
        <v>29.794000495665902</v>
      </c>
      <c r="U54">
        <v>0</v>
      </c>
      <c r="V54">
        <v>81.305294657036796</v>
      </c>
      <c r="W54">
        <v>0.392941959238437</v>
      </c>
      <c r="X54">
        <v>-44.291331639706598</v>
      </c>
      <c r="Y54">
        <v>123.161415144831</v>
      </c>
      <c r="Z54">
        <v>100</v>
      </c>
      <c r="AA54">
        <v>51.441167487637799</v>
      </c>
      <c r="AB54">
        <v>335.92957989067901</v>
      </c>
      <c r="AC54">
        <v>333.84598072378498</v>
      </c>
      <c r="AD54">
        <v>17.4630333199962</v>
      </c>
      <c r="AE54">
        <v>337.68262408662002</v>
      </c>
      <c r="AF54">
        <v>3.5768277443770402</v>
      </c>
      <c r="AG54">
        <v>780.60565349820797</v>
      </c>
      <c r="AH54">
        <v>5.2783046939783498</v>
      </c>
      <c r="AI54">
        <v>53.045573051775797</v>
      </c>
      <c r="AJ54">
        <v>174.83439295902301</v>
      </c>
      <c r="AK54">
        <v>23.554832995705699</v>
      </c>
      <c r="AL54">
        <v>-28.6807760764734</v>
      </c>
      <c r="AM54">
        <v>7.2470002008863004</v>
      </c>
      <c r="AN54">
        <v>10.8291735448556</v>
      </c>
      <c r="AO54">
        <v>0.9</v>
      </c>
      <c r="AP54">
        <v>1.2902188795215801</v>
      </c>
      <c r="AQ54">
        <v>0.84422758665308995</v>
      </c>
      <c r="AR54">
        <v>1.27214548390467</v>
      </c>
      <c r="AS54">
        <v>1.00410479941643</v>
      </c>
      <c r="AT54">
        <v>0.82111907435909104</v>
      </c>
      <c r="AU54">
        <v>0.83868379388409098</v>
      </c>
      <c r="AV54">
        <v>1</v>
      </c>
      <c r="AW54">
        <v>0.99194454663707698</v>
      </c>
      <c r="AX54">
        <v>1</v>
      </c>
      <c r="AY54">
        <v>1</v>
      </c>
      <c r="AZ54">
        <v>0.89430311694585196</v>
      </c>
      <c r="BA54">
        <v>1</v>
      </c>
      <c r="BB54">
        <v>0.98749468347302805</v>
      </c>
      <c r="BC54">
        <v>7501393947.5</v>
      </c>
      <c r="BD54">
        <v>6.16611143670244E-2</v>
      </c>
      <c r="BE54">
        <v>1404</v>
      </c>
    </row>
    <row r="55" spans="1:57" x14ac:dyDescent="0.25">
      <c r="A55">
        <v>24</v>
      </c>
      <c r="B55" t="s">
        <v>57</v>
      </c>
      <c r="C55">
        <v>7.4</v>
      </c>
      <c r="D55">
        <v>0.55680173640182395</v>
      </c>
      <c r="E55">
        <v>0.388761586272586</v>
      </c>
      <c r="F55">
        <v>6.4807528181439302</v>
      </c>
      <c r="G55">
        <v>4.5666709471731703</v>
      </c>
      <c r="H55">
        <v>1.43224473832508</v>
      </c>
      <c r="I55">
        <v>-0.16804015012923801</v>
      </c>
      <c r="J55">
        <v>3.68614243990983E-2</v>
      </c>
      <c r="K55">
        <v>6.8033511157914901E-3</v>
      </c>
      <c r="L55">
        <v>3.6462463904572699E-3</v>
      </c>
      <c r="M55">
        <v>0.33283534196082998</v>
      </c>
      <c r="N55">
        <v>8.6152224064085896E-3</v>
      </c>
      <c r="O55">
        <v>0</v>
      </c>
      <c r="P55">
        <v>3.1674115781455399</v>
      </c>
      <c r="Q55">
        <v>96.832588421854496</v>
      </c>
      <c r="R55">
        <v>15.277094334894301</v>
      </c>
      <c r="S55">
        <v>48.731084723919999</v>
      </c>
      <c r="T55">
        <v>35.991820941185601</v>
      </c>
      <c r="U55">
        <v>0</v>
      </c>
      <c r="V55">
        <v>84.722905665105699</v>
      </c>
      <c r="W55">
        <v>0.401683678630468</v>
      </c>
      <c r="X55">
        <v>-42.275022982690402</v>
      </c>
      <c r="Y55">
        <v>119.08711126300901</v>
      </c>
      <c r="Z55">
        <v>100</v>
      </c>
      <c r="AA55">
        <v>46.319512339190702</v>
      </c>
      <c r="AB55">
        <v>338.08838509767202</v>
      </c>
      <c r="AC55">
        <v>336.13209498085803</v>
      </c>
      <c r="AD55">
        <v>17.011879682000401</v>
      </c>
      <c r="AE55">
        <v>337.97625749879597</v>
      </c>
      <c r="AF55">
        <v>3.5738876248379499</v>
      </c>
      <c r="AG55">
        <v>780.77073156746803</v>
      </c>
      <c r="AH55">
        <v>5.2745146622099801</v>
      </c>
      <c r="AI55">
        <v>53.068640804340497</v>
      </c>
      <c r="AJ55">
        <v>175.07339061856601</v>
      </c>
      <c r="AK55">
        <v>24.5095033960474</v>
      </c>
      <c r="AL55">
        <v>-29.628874801031198</v>
      </c>
      <c r="AM55">
        <v>7.3449217353056202</v>
      </c>
      <c r="AN55">
        <v>10.683487340547501</v>
      </c>
      <c r="AO55">
        <v>0.9</v>
      </c>
      <c r="AP55">
        <v>1.29013864571325</v>
      </c>
      <c r="AQ55">
        <v>0.833389562001559</v>
      </c>
      <c r="AR55">
        <v>1.27836765881795</v>
      </c>
      <c r="AS55">
        <v>1.0050068465864701</v>
      </c>
      <c r="AT55">
        <v>0.81896903710549396</v>
      </c>
      <c r="AU55">
        <v>0.83835954153395997</v>
      </c>
      <c r="AV55">
        <v>1</v>
      </c>
      <c r="AW55">
        <v>0.98987632103033696</v>
      </c>
      <c r="AX55">
        <v>1</v>
      </c>
      <c r="AY55">
        <v>1</v>
      </c>
      <c r="AZ55">
        <v>0.88986022263536302</v>
      </c>
      <c r="BA55">
        <v>1</v>
      </c>
      <c r="BB55">
        <v>0.98829469198368103</v>
      </c>
      <c r="BC55">
        <v>5224948123</v>
      </c>
      <c r="BD55">
        <v>5.2272434146714099E-2</v>
      </c>
      <c r="BE55">
        <v>1330</v>
      </c>
    </row>
    <row r="56" spans="1:57" x14ac:dyDescent="0.25">
      <c r="A56">
        <v>25</v>
      </c>
      <c r="B56" t="s">
        <v>57</v>
      </c>
      <c r="C56">
        <v>7.5</v>
      </c>
      <c r="D56">
        <v>0.60075308240533298</v>
      </c>
      <c r="E56">
        <v>0.386203648118428</v>
      </c>
      <c r="F56">
        <v>6.9755462297243902</v>
      </c>
      <c r="G56">
        <v>4.5372589605979803</v>
      </c>
      <c r="H56">
        <v>1.5555344578752199</v>
      </c>
      <c r="I56">
        <v>-0.21454943428690501</v>
      </c>
      <c r="J56">
        <v>3.7168086509242401E-2</v>
      </c>
      <c r="K56">
        <v>7.3575219658851398E-3</v>
      </c>
      <c r="L56">
        <v>3.7437415565985599E-3</v>
      </c>
      <c r="M56">
        <v>0.329292702833614</v>
      </c>
      <c r="N56">
        <v>8.6415952530881704E-3</v>
      </c>
      <c r="O56">
        <v>0</v>
      </c>
      <c r="P56">
        <v>3.5021589341250698</v>
      </c>
      <c r="Q56">
        <v>96.497841065874894</v>
      </c>
      <c r="R56">
        <v>9.1317711485901203</v>
      </c>
      <c r="S56">
        <v>53.576976473997597</v>
      </c>
      <c r="T56">
        <v>37.291252377412299</v>
      </c>
      <c r="U56">
        <v>0</v>
      </c>
      <c r="V56">
        <v>90.868228851409896</v>
      </c>
      <c r="W56">
        <v>0.43486108010448998</v>
      </c>
      <c r="X56">
        <v>-42.934595115814801</v>
      </c>
      <c r="Y56">
        <v>112.711460168965</v>
      </c>
      <c r="Z56">
        <v>100</v>
      </c>
      <c r="AA56">
        <v>42.623506571807098</v>
      </c>
      <c r="AB56">
        <v>342.65547254191898</v>
      </c>
      <c r="AC56">
        <v>340.82564775984901</v>
      </c>
      <c r="AD56">
        <v>18.026065157184401</v>
      </c>
      <c r="AE56">
        <v>336.99935883913702</v>
      </c>
      <c r="AF56">
        <v>3.5556629917672198</v>
      </c>
      <c r="AG56">
        <v>782.62791645968105</v>
      </c>
      <c r="AH56">
        <v>5.5726524489635896</v>
      </c>
      <c r="AI56">
        <v>53.242691858132602</v>
      </c>
      <c r="AJ56">
        <v>176.06930639721</v>
      </c>
      <c r="AK56">
        <v>24.650028677996399</v>
      </c>
      <c r="AL56">
        <v>-31.4476753230669</v>
      </c>
      <c r="AM56">
        <v>7.4447632833094302</v>
      </c>
      <c r="AN56">
        <v>11.4885664625562</v>
      </c>
      <c r="AO56">
        <v>0.9</v>
      </c>
      <c r="AP56">
        <v>1.29010019224831</v>
      </c>
      <c r="AQ56">
        <v>0.85696724268023305</v>
      </c>
      <c r="AR56">
        <v>1.27923824023893</v>
      </c>
      <c r="AS56">
        <v>1.0061950206983199</v>
      </c>
      <c r="AT56">
        <v>0.81452651579703395</v>
      </c>
      <c r="AU56">
        <v>0.83459847900929995</v>
      </c>
      <c r="AV56">
        <v>1</v>
      </c>
      <c r="AW56">
        <v>0.98631891937132998</v>
      </c>
      <c r="AX56">
        <v>1</v>
      </c>
      <c r="AY56">
        <v>1</v>
      </c>
      <c r="AZ56">
        <v>0.88187130249316703</v>
      </c>
      <c r="BA56">
        <v>1</v>
      </c>
      <c r="BB56">
        <v>0.98767632344151401</v>
      </c>
      <c r="BC56">
        <v>3449508770.8000002</v>
      </c>
      <c r="BD56">
        <v>7.3270760029763501E-2</v>
      </c>
      <c r="BE56">
        <v>1180</v>
      </c>
    </row>
    <row r="57" spans="1:57" x14ac:dyDescent="0.25">
      <c r="A57">
        <v>26</v>
      </c>
      <c r="B57" t="s">
        <v>57</v>
      </c>
      <c r="C57">
        <v>7.6</v>
      </c>
      <c r="D57">
        <v>0.482266595485286</v>
      </c>
      <c r="E57">
        <v>0.38714228257987499</v>
      </c>
      <c r="F57">
        <v>5.6361367229217496</v>
      </c>
      <c r="G57">
        <v>4.5480526431826203</v>
      </c>
      <c r="H57">
        <v>1.2457089219795701</v>
      </c>
      <c r="I57">
        <v>-9.5124312905411498E-2</v>
      </c>
      <c r="J57">
        <v>3.73509596869466E-2</v>
      </c>
      <c r="K57">
        <v>7.3744364044592697E-3</v>
      </c>
      <c r="L57">
        <v>3.1411808630129401E-3</v>
      </c>
      <c r="M57">
        <v>0.33154568894337999</v>
      </c>
      <c r="N57">
        <v>7.7300166820759896E-3</v>
      </c>
      <c r="O57">
        <v>0</v>
      </c>
      <c r="P57">
        <v>5.4607048037758803</v>
      </c>
      <c r="Q57">
        <v>94.539295196224103</v>
      </c>
      <c r="R57">
        <v>11.8862959699804</v>
      </c>
      <c r="S57">
        <v>49.855962634261303</v>
      </c>
      <c r="T57">
        <v>38.257741395758401</v>
      </c>
      <c r="U57">
        <v>0</v>
      </c>
      <c r="V57">
        <v>88.113704030019605</v>
      </c>
      <c r="W57">
        <v>0.43083658141171</v>
      </c>
      <c r="X57">
        <v>-45.719357982729299</v>
      </c>
      <c r="Y57">
        <v>105.097453572254</v>
      </c>
      <c r="Z57">
        <v>100</v>
      </c>
      <c r="AA57">
        <v>41.447749253055001</v>
      </c>
      <c r="AB57">
        <v>344.892761261717</v>
      </c>
      <c r="AC57">
        <v>343.40649707452098</v>
      </c>
      <c r="AD57">
        <v>17.9004247025971</v>
      </c>
      <c r="AE57">
        <v>336.73007418307299</v>
      </c>
      <c r="AF57">
        <v>3.55582776987618</v>
      </c>
      <c r="AG57">
        <v>781.09985725008596</v>
      </c>
      <c r="AH57">
        <v>5.2132870488654603</v>
      </c>
      <c r="AI57">
        <v>53.4871589517739</v>
      </c>
      <c r="AJ57">
        <v>176.48846289332499</v>
      </c>
      <c r="AK57">
        <v>23.737190397318301</v>
      </c>
      <c r="AL57">
        <v>-33.1557056296095</v>
      </c>
      <c r="AM57">
        <v>7.5431503273254803</v>
      </c>
      <c r="AN57">
        <v>11.5473868553479</v>
      </c>
      <c r="AO57">
        <v>0.9</v>
      </c>
      <c r="AP57">
        <v>1.29010828946669</v>
      </c>
      <c r="AQ57">
        <v>0.85421765791361304</v>
      </c>
      <c r="AR57">
        <v>1.2734749404808801</v>
      </c>
      <c r="AS57">
        <v>1.0060947769222</v>
      </c>
      <c r="AT57">
        <v>0.81237843269454701</v>
      </c>
      <c r="AU57">
        <v>0.83758753993906598</v>
      </c>
      <c r="AV57">
        <v>1</v>
      </c>
      <c r="AW57">
        <v>0.98335033171019404</v>
      </c>
      <c r="AX57">
        <v>1</v>
      </c>
      <c r="AY57">
        <v>1</v>
      </c>
      <c r="AZ57">
        <v>0.88545218476097498</v>
      </c>
      <c r="BA57">
        <v>1</v>
      </c>
      <c r="BB57">
        <v>0.99559537051463998</v>
      </c>
      <c r="BC57">
        <v>2208530219.6999998</v>
      </c>
      <c r="BD57">
        <v>7.9511663080989101E-2</v>
      </c>
      <c r="BE57">
        <v>1224</v>
      </c>
    </row>
    <row r="58" spans="1:57" x14ac:dyDescent="0.25">
      <c r="A58">
        <v>27</v>
      </c>
      <c r="B58" t="s">
        <v>57</v>
      </c>
      <c r="C58">
        <v>7.7</v>
      </c>
      <c r="D58">
        <v>0.51207770977187805</v>
      </c>
      <c r="E58">
        <v>0.39710884548666098</v>
      </c>
      <c r="F58">
        <v>5.9747853290365498</v>
      </c>
      <c r="G58">
        <v>4.6625926164451004</v>
      </c>
      <c r="H58">
        <v>1.2895147403335301</v>
      </c>
      <c r="I58">
        <v>-0.11496886428521701</v>
      </c>
      <c r="J58">
        <v>3.78599709209975E-2</v>
      </c>
      <c r="K58">
        <v>7.9351345316087899E-3</v>
      </c>
      <c r="L58">
        <v>4.6387321455486404E-3</v>
      </c>
      <c r="M58">
        <v>0.33773040785833303</v>
      </c>
      <c r="N58">
        <v>8.9446000301730694E-3</v>
      </c>
      <c r="O58">
        <v>0</v>
      </c>
      <c r="P58">
        <v>7.6364841997097397</v>
      </c>
      <c r="Q58">
        <v>92.363515800290301</v>
      </c>
      <c r="R58">
        <v>13.229906754550999</v>
      </c>
      <c r="S58">
        <v>47.840649373617701</v>
      </c>
      <c r="T58">
        <v>38.929443871831403</v>
      </c>
      <c r="U58">
        <v>0</v>
      </c>
      <c r="V58">
        <v>86.770093245449004</v>
      </c>
      <c r="W58">
        <v>0.45874386005218798</v>
      </c>
      <c r="X58">
        <v>-44.761612142847</v>
      </c>
      <c r="Y58">
        <v>108.627925726092</v>
      </c>
      <c r="Z58">
        <v>100</v>
      </c>
      <c r="AA58">
        <v>39.445432045162697</v>
      </c>
      <c r="AB58">
        <v>347.19986575787198</v>
      </c>
      <c r="AC58">
        <v>345.88254599148502</v>
      </c>
      <c r="AD58">
        <v>18.8399376263074</v>
      </c>
      <c r="AE58">
        <v>335.48547514260201</v>
      </c>
      <c r="AF58">
        <v>3.54394387841957</v>
      </c>
      <c r="AG58">
        <v>779.50711601226499</v>
      </c>
      <c r="AH58">
        <v>5.3231161631630002</v>
      </c>
      <c r="AI58">
        <v>54.850147402748902</v>
      </c>
      <c r="AJ58">
        <v>176.74247630450401</v>
      </c>
      <c r="AK58">
        <v>24.3234163624948</v>
      </c>
      <c r="AL58">
        <v>-33.808699770233403</v>
      </c>
      <c r="AM58">
        <v>7.6454513643225601</v>
      </c>
      <c r="AN58">
        <v>12.3432557965463</v>
      </c>
      <c r="AO58">
        <v>0.9</v>
      </c>
      <c r="AP58">
        <v>1.29012625203705</v>
      </c>
      <c r="AQ58">
        <v>0.87562993327191996</v>
      </c>
      <c r="AR58">
        <v>1.27062607444829</v>
      </c>
      <c r="AS58">
        <v>1.0064163986510899</v>
      </c>
      <c r="AT58">
        <v>0.810587033623558</v>
      </c>
      <c r="AU58">
        <v>0.84063013648984597</v>
      </c>
      <c r="AV58">
        <v>1</v>
      </c>
      <c r="AW58">
        <v>0.98277122973778597</v>
      </c>
      <c r="AX58">
        <v>1</v>
      </c>
      <c r="AY58">
        <v>1</v>
      </c>
      <c r="AZ58">
        <v>0.88719887878091597</v>
      </c>
      <c r="BA58">
        <v>1</v>
      </c>
      <c r="BB58">
        <v>1.0097015483077001</v>
      </c>
      <c r="BC58">
        <v>1296639828.0999999</v>
      </c>
      <c r="BD58">
        <v>5.1287995928793698E-2</v>
      </c>
      <c r="BE58">
        <v>1103</v>
      </c>
    </row>
    <row r="59" spans="1:57" x14ac:dyDescent="0.25">
      <c r="A59">
        <v>28</v>
      </c>
      <c r="B59" t="s">
        <v>57</v>
      </c>
      <c r="C59">
        <v>7.8</v>
      </c>
      <c r="D59">
        <v>0.36955255735578302</v>
      </c>
      <c r="E59">
        <v>0.42430011411907498</v>
      </c>
      <c r="F59">
        <v>4.3455962372368804</v>
      </c>
      <c r="G59">
        <v>4.9744457610089503</v>
      </c>
      <c r="H59">
        <v>0.87096973358831598</v>
      </c>
      <c r="I59">
        <v>5.4747556763291898E-2</v>
      </c>
      <c r="J59">
        <v>3.9821247144302102E-2</v>
      </c>
      <c r="K59">
        <v>7.6137219183295699E-3</v>
      </c>
      <c r="L59">
        <v>5.6918380426673699E-3</v>
      </c>
      <c r="M59">
        <v>0.36201532113008</v>
      </c>
      <c r="N59">
        <v>9.1579858836956501E-3</v>
      </c>
      <c r="O59">
        <v>0</v>
      </c>
      <c r="P59">
        <v>13.121687932574901</v>
      </c>
      <c r="Q59">
        <v>86.878312067425099</v>
      </c>
      <c r="R59">
        <v>18.418018874275798</v>
      </c>
      <c r="S59">
        <v>43.041228787566801</v>
      </c>
      <c r="T59">
        <v>38.540752338157397</v>
      </c>
      <c r="U59">
        <v>0</v>
      </c>
      <c r="V59">
        <v>81.581981125724198</v>
      </c>
      <c r="W59">
        <v>0.43671632981071501</v>
      </c>
      <c r="X59">
        <v>-43.736106155536199</v>
      </c>
      <c r="Y59">
        <v>126.492391012444</v>
      </c>
      <c r="Z59">
        <v>100</v>
      </c>
      <c r="AA59">
        <v>39.028901906482098</v>
      </c>
      <c r="AB59">
        <v>342.56113031734202</v>
      </c>
      <c r="AC59">
        <v>341.64977816343799</v>
      </c>
      <c r="AD59">
        <v>18.732728209315798</v>
      </c>
      <c r="AE59">
        <v>333.03890435122599</v>
      </c>
      <c r="AF59">
        <v>3.5634568341719399</v>
      </c>
      <c r="AG59">
        <v>774.69138921044498</v>
      </c>
      <c r="AH59">
        <v>4.6667263344062304</v>
      </c>
      <c r="AI59">
        <v>52.995857081891302</v>
      </c>
      <c r="AJ59">
        <v>176.308081671949</v>
      </c>
      <c r="AK59">
        <v>24.357889058139101</v>
      </c>
      <c r="AL59">
        <v>-32.025655928621603</v>
      </c>
      <c r="AM59">
        <v>7.7456586706467103</v>
      </c>
      <c r="AN59">
        <v>12.4390192466245</v>
      </c>
      <c r="AO59">
        <v>0.9</v>
      </c>
      <c r="AP59">
        <v>1.2901413853024699</v>
      </c>
      <c r="AQ59">
        <v>0.87249857597623603</v>
      </c>
      <c r="AR59">
        <v>1.2754571315030701</v>
      </c>
      <c r="AS59">
        <v>1.0058732368738399</v>
      </c>
      <c r="AT59">
        <v>0.81588225285112903</v>
      </c>
      <c r="AU59">
        <v>0.85001557275703299</v>
      </c>
      <c r="AV59">
        <v>1</v>
      </c>
      <c r="AW59">
        <v>0.98708182318486004</v>
      </c>
      <c r="AX59">
        <v>1</v>
      </c>
      <c r="AY59">
        <v>1</v>
      </c>
      <c r="AZ59">
        <v>0.89394342453655895</v>
      </c>
      <c r="BA59">
        <v>1</v>
      </c>
      <c r="BB59">
        <v>1.0241413002409001</v>
      </c>
      <c r="BC59">
        <v>743277025.79999995</v>
      </c>
      <c r="BD59">
        <v>6.0912404679361799E-2</v>
      </c>
      <c r="BE59">
        <v>1148</v>
      </c>
    </row>
    <row r="60" spans="1:57" x14ac:dyDescent="0.25">
      <c r="A60">
        <v>29</v>
      </c>
      <c r="B60" t="s">
        <v>57</v>
      </c>
      <c r="C60">
        <v>7.9</v>
      </c>
      <c r="D60">
        <v>0.965712844794546</v>
      </c>
      <c r="E60">
        <v>0.44152094439172601</v>
      </c>
      <c r="F60">
        <v>10.992427085629</v>
      </c>
      <c r="G60">
        <v>5.1714653119798504</v>
      </c>
      <c r="H60">
        <v>2.1872413009194598</v>
      </c>
      <c r="I60">
        <v>-0.52419190040282004</v>
      </c>
      <c r="J60">
        <v>4.0765612243009501E-2</v>
      </c>
      <c r="K60">
        <v>6.8840741642641401E-3</v>
      </c>
      <c r="L60">
        <v>6.3866318966628198E-3</v>
      </c>
      <c r="M60">
        <v>0.37885765813993799</v>
      </c>
      <c r="N60">
        <v>8.6269679478513904E-3</v>
      </c>
      <c r="O60">
        <v>0</v>
      </c>
      <c r="P60">
        <v>14.750606416187001</v>
      </c>
      <c r="Q60">
        <v>85.249393583813003</v>
      </c>
      <c r="R60">
        <v>21.7705367483854</v>
      </c>
      <c r="S60">
        <v>34.747446190936799</v>
      </c>
      <c r="T60">
        <v>43.482017060677798</v>
      </c>
      <c r="U60">
        <v>0</v>
      </c>
      <c r="V60">
        <v>78.229463251614604</v>
      </c>
      <c r="W60">
        <v>0.39505327992976502</v>
      </c>
      <c r="X60">
        <v>-45.8548223889482</v>
      </c>
      <c r="Y60">
        <v>102.488992226618</v>
      </c>
      <c r="Z60">
        <v>100</v>
      </c>
      <c r="AA60">
        <v>38.8402244561806</v>
      </c>
      <c r="AB60">
        <v>348.88513840357501</v>
      </c>
      <c r="AC60">
        <v>348.41680651984302</v>
      </c>
      <c r="AD60">
        <v>18.590081322289599</v>
      </c>
      <c r="AE60">
        <v>332.56829464810301</v>
      </c>
      <c r="AF60">
        <v>3.5574726840597699</v>
      </c>
      <c r="AG60">
        <v>774.14135599107897</v>
      </c>
      <c r="AH60">
        <v>3.8765654455207899</v>
      </c>
      <c r="AI60">
        <v>55.608207226931498</v>
      </c>
      <c r="AJ60">
        <v>175.62052217919299</v>
      </c>
      <c r="AK60">
        <v>24.206607845113901</v>
      </c>
      <c r="AL60">
        <v>-34.5546481322746</v>
      </c>
      <c r="AM60">
        <v>7.8453105145712199</v>
      </c>
      <c r="AN60">
        <v>12.504490580496</v>
      </c>
      <c r="AO60">
        <v>0.9</v>
      </c>
      <c r="AP60">
        <v>1.2901542020886401</v>
      </c>
      <c r="AQ60">
        <v>0.86964709856311695</v>
      </c>
      <c r="AR60">
        <v>1.2707586659025301</v>
      </c>
      <c r="AS60">
        <v>1.0060436328753</v>
      </c>
      <c r="AT60">
        <v>0.810377707926768</v>
      </c>
      <c r="AU60">
        <v>0.85088356293285194</v>
      </c>
      <c r="AV60">
        <v>1</v>
      </c>
      <c r="AW60">
        <v>0.98208505643274502</v>
      </c>
      <c r="AX60">
        <v>1</v>
      </c>
      <c r="AY60">
        <v>1</v>
      </c>
      <c r="AZ60">
        <v>0.89830169777290103</v>
      </c>
      <c r="BA60">
        <v>1</v>
      </c>
      <c r="BB60">
        <v>1.03067455075263</v>
      </c>
      <c r="BC60">
        <v>397042584.19999999</v>
      </c>
      <c r="BD60">
        <v>0.113043995280644</v>
      </c>
      <c r="BE60">
        <v>816</v>
      </c>
    </row>
    <row r="61" spans="1:57" x14ac:dyDescent="0.25">
      <c r="A61">
        <v>30</v>
      </c>
      <c r="B61" t="s">
        <v>57</v>
      </c>
      <c r="C61">
        <v>8</v>
      </c>
      <c r="D61">
        <v>1.0950452517581799</v>
      </c>
      <c r="E61">
        <v>0.46143764019765998</v>
      </c>
      <c r="F61">
        <v>12.377309759180701</v>
      </c>
      <c r="G61">
        <v>5.3988606384922102</v>
      </c>
      <c r="H61">
        <v>2.3731164438365102</v>
      </c>
      <c r="I61">
        <v>-0.63360761156052103</v>
      </c>
      <c r="J61">
        <v>4.0238361689061197E-2</v>
      </c>
      <c r="K61">
        <v>7.7933575018823897E-3</v>
      </c>
      <c r="L61">
        <v>6.6066740320876302E-3</v>
      </c>
      <c r="M61">
        <v>0.39847941668210901</v>
      </c>
      <c r="N61">
        <v>8.3198302925199408E-3</v>
      </c>
      <c r="O61">
        <v>0</v>
      </c>
      <c r="P61">
        <v>16.1596449354867</v>
      </c>
      <c r="Q61">
        <v>83.840355064513304</v>
      </c>
      <c r="R61">
        <v>21.6772514557195</v>
      </c>
      <c r="S61">
        <v>40.1288866829697</v>
      </c>
      <c r="T61">
        <v>38.1938618613109</v>
      </c>
      <c r="U61">
        <v>0</v>
      </c>
      <c r="V61">
        <v>78.3227485442805</v>
      </c>
      <c r="W61">
        <v>0.43730285597979002</v>
      </c>
      <c r="X61">
        <v>-47.841281601906601</v>
      </c>
      <c r="Y61">
        <v>127.431179278971</v>
      </c>
      <c r="Z61">
        <v>100</v>
      </c>
      <c r="AA61">
        <v>38.477930200246597</v>
      </c>
      <c r="AB61">
        <v>346.39518631411403</v>
      </c>
      <c r="AC61">
        <v>346.05053984767898</v>
      </c>
      <c r="AD61">
        <v>19.466690280147098</v>
      </c>
      <c r="AE61">
        <v>332.24842101717798</v>
      </c>
      <c r="AF61">
        <v>3.5649359181874298</v>
      </c>
      <c r="AG61">
        <v>774.916978640406</v>
      </c>
      <c r="AH61">
        <v>4.6512170243254198</v>
      </c>
      <c r="AI61">
        <v>56.042549322262502</v>
      </c>
      <c r="AJ61">
        <v>176.66488492617501</v>
      </c>
      <c r="AK61">
        <v>23.1485302425945</v>
      </c>
      <c r="AL61">
        <v>-34.521159022539102</v>
      </c>
      <c r="AM61">
        <v>7.9491094504931397</v>
      </c>
      <c r="AN61">
        <v>13.300934668122199</v>
      </c>
      <c r="AO61">
        <v>0.9</v>
      </c>
      <c r="AP61">
        <v>1.2901654021934299</v>
      </c>
      <c r="AQ61">
        <v>0.89036020190419896</v>
      </c>
      <c r="AR61">
        <v>1.26571891389894</v>
      </c>
      <c r="AS61">
        <v>1.0058267395379701</v>
      </c>
      <c r="AT61">
        <v>0.81300779992226502</v>
      </c>
      <c r="AU61">
        <v>0.84931604381800896</v>
      </c>
      <c r="AV61">
        <v>1</v>
      </c>
      <c r="AW61">
        <v>0.98366370345895005</v>
      </c>
      <c r="AX61">
        <v>1</v>
      </c>
      <c r="AY61">
        <v>1</v>
      </c>
      <c r="AZ61">
        <v>0.89818042689243505</v>
      </c>
      <c r="BA61">
        <v>1</v>
      </c>
      <c r="BB61">
        <v>1.0439193489282399</v>
      </c>
      <c r="BC61">
        <v>327384606.60000002</v>
      </c>
      <c r="BD61">
        <v>9.6002246330086805E-2</v>
      </c>
      <c r="BE61">
        <v>798</v>
      </c>
    </row>
    <row r="68" spans="2:6" x14ac:dyDescent="0.25">
      <c r="B68" t="s">
        <v>53</v>
      </c>
      <c r="C68" t="s">
        <v>58</v>
      </c>
      <c r="D68" t="str">
        <f>D1</f>
        <v>actual.smm</v>
      </c>
      <c r="E68" t="s">
        <v>56</v>
      </c>
      <c r="F68" t="s">
        <v>57</v>
      </c>
    </row>
    <row r="69" spans="2:6" x14ac:dyDescent="0.25">
      <c r="B69" s="3">
        <f>BC2/1000000000</f>
        <v>0.12593542399999999</v>
      </c>
      <c r="C69">
        <f>C2</f>
        <v>5.0999999999999996</v>
      </c>
      <c r="D69" s="3">
        <f t="shared" ref="D69:E98" si="0">D2</f>
        <v>0.76827756169828798</v>
      </c>
      <c r="E69" s="3">
        <f>E2</f>
        <v>0.62322354623679099</v>
      </c>
      <c r="F69" s="3">
        <f>VLOOKUP(C69,C32:E61,3,0)</f>
        <v>0.47905467979423499</v>
      </c>
    </row>
    <row r="70" spans="2:6" x14ac:dyDescent="0.25">
      <c r="B70" s="3">
        <f t="shared" ref="B70:B98" si="1">BC3/1000000000</f>
        <v>0.17090150730000001</v>
      </c>
      <c r="C70">
        <f t="shared" ref="C70:C97" si="2">C3</f>
        <v>5.2</v>
      </c>
      <c r="D70" s="3">
        <f t="shared" si="0"/>
        <v>0.40285676021571298</v>
      </c>
      <c r="E70" s="3">
        <f t="shared" si="0"/>
        <v>0.64619981273360505</v>
      </c>
      <c r="F70" s="3">
        <f t="shared" ref="F70:F98" si="3">VLOOKUP(C70,C33:E62,3,0)</f>
        <v>0.49587160369687799</v>
      </c>
    </row>
    <row r="71" spans="2:6" x14ac:dyDescent="0.25">
      <c r="B71" s="3">
        <f t="shared" si="1"/>
        <v>0.40153985250000002</v>
      </c>
      <c r="C71">
        <f t="shared" si="2"/>
        <v>5.3</v>
      </c>
      <c r="D71" s="3">
        <f t="shared" si="0"/>
        <v>0.51439464516750499</v>
      </c>
      <c r="E71" s="3">
        <f t="shared" si="0"/>
        <v>0.60888551296750004</v>
      </c>
      <c r="F71" s="3">
        <f t="shared" si="3"/>
        <v>0.461237607328915</v>
      </c>
    </row>
    <row r="72" spans="2:6" x14ac:dyDescent="0.25">
      <c r="B72" s="3">
        <f t="shared" si="1"/>
        <v>0.69818756729999998</v>
      </c>
      <c r="C72">
        <f t="shared" si="2"/>
        <v>5.4</v>
      </c>
      <c r="D72" s="3">
        <f t="shared" si="0"/>
        <v>0.40551712338328499</v>
      </c>
      <c r="E72" s="3">
        <f t="shared" si="0"/>
        <v>0.62250069424558396</v>
      </c>
      <c r="F72" s="3">
        <f t="shared" si="3"/>
        <v>0.47211579476246002</v>
      </c>
    </row>
    <row r="73" spans="2:6" x14ac:dyDescent="0.25">
      <c r="B73" s="3">
        <f t="shared" si="1"/>
        <v>0.90836528770000002</v>
      </c>
      <c r="C73">
        <f t="shared" si="2"/>
        <v>5.5</v>
      </c>
      <c r="D73" s="3">
        <f t="shared" si="0"/>
        <v>0.34678948676197902</v>
      </c>
      <c r="E73" s="3">
        <f t="shared" si="0"/>
        <v>0.62565679143128705</v>
      </c>
      <c r="F73" s="3">
        <f t="shared" si="3"/>
        <v>0.47142658856327802</v>
      </c>
    </row>
    <row r="74" spans="2:6" x14ac:dyDescent="0.25">
      <c r="B74" s="3">
        <f t="shared" si="1"/>
        <v>0.83444204509999997</v>
      </c>
      <c r="C74">
        <f t="shared" si="2"/>
        <v>5.6</v>
      </c>
      <c r="D74" s="3">
        <f t="shared" si="0"/>
        <v>0.37083564252763201</v>
      </c>
      <c r="E74" s="3">
        <f t="shared" si="0"/>
        <v>0.63994791039119503</v>
      </c>
      <c r="F74" s="3">
        <f t="shared" si="3"/>
        <v>0.48117618093925602</v>
      </c>
    </row>
    <row r="75" spans="2:6" x14ac:dyDescent="0.25">
      <c r="B75" s="3">
        <f t="shared" si="1"/>
        <v>0.37011722699999999</v>
      </c>
      <c r="C75">
        <f t="shared" si="2"/>
        <v>5.7</v>
      </c>
      <c r="D75" s="3">
        <f t="shared" si="0"/>
        <v>0.46143127927155397</v>
      </c>
      <c r="E75" s="3">
        <f t="shared" si="0"/>
        <v>0.60791731310191999</v>
      </c>
      <c r="F75" s="3">
        <f t="shared" si="3"/>
        <v>0.45179061021495398</v>
      </c>
    </row>
    <row r="76" spans="2:6" x14ac:dyDescent="0.25">
      <c r="B76" s="3">
        <f t="shared" si="1"/>
        <v>0.42145736860000005</v>
      </c>
      <c r="C76">
        <f t="shared" si="2"/>
        <v>5.8</v>
      </c>
      <c r="D76" s="3">
        <f t="shared" si="0"/>
        <v>0.42617889720711399</v>
      </c>
      <c r="E76" s="3">
        <f t="shared" si="0"/>
        <v>0.55503335130834297</v>
      </c>
      <c r="F76" s="3">
        <f t="shared" si="3"/>
        <v>0.40911758420981298</v>
      </c>
    </row>
    <row r="77" spans="2:6" x14ac:dyDescent="0.25">
      <c r="B77" s="3">
        <f t="shared" si="1"/>
        <v>0.80486941270000001</v>
      </c>
      <c r="C77">
        <f t="shared" si="2"/>
        <v>5.9</v>
      </c>
      <c r="D77" s="3">
        <f t="shared" si="0"/>
        <v>0.347997227612933</v>
      </c>
      <c r="E77" s="3">
        <f t="shared" si="0"/>
        <v>0.50194147384563104</v>
      </c>
      <c r="F77" s="3">
        <f t="shared" si="3"/>
        <v>0.365323343861781</v>
      </c>
    </row>
    <row r="78" spans="2:6" x14ac:dyDescent="0.25">
      <c r="B78" s="3">
        <f t="shared" si="1"/>
        <v>1.2550630517999999</v>
      </c>
      <c r="C78">
        <f t="shared" si="2"/>
        <v>6</v>
      </c>
      <c r="D78" s="3">
        <f t="shared" si="0"/>
        <v>0.62848353525072698</v>
      </c>
      <c r="E78" s="3">
        <f t="shared" si="0"/>
        <v>0.50361923122514995</v>
      </c>
      <c r="F78" s="3">
        <f t="shared" si="3"/>
        <v>0.36602998822310601</v>
      </c>
    </row>
    <row r="79" spans="2:6" x14ac:dyDescent="0.25">
      <c r="B79" s="3">
        <f t="shared" si="1"/>
        <v>2.3277813154999998</v>
      </c>
      <c r="C79">
        <f t="shared" si="2"/>
        <v>6.1</v>
      </c>
      <c r="D79" s="3">
        <f t="shared" si="0"/>
        <v>0.50896751323434197</v>
      </c>
      <c r="E79" s="3">
        <f t="shared" si="0"/>
        <v>0.51815088745793003</v>
      </c>
      <c r="F79" s="3">
        <f t="shared" si="3"/>
        <v>0.37524064871394203</v>
      </c>
    </row>
    <row r="80" spans="2:6" x14ac:dyDescent="0.25">
      <c r="B80" s="3">
        <f t="shared" si="1"/>
        <v>4.2039279570000003</v>
      </c>
      <c r="C80">
        <f t="shared" si="2"/>
        <v>6.2</v>
      </c>
      <c r="D80" s="3">
        <f t="shared" si="0"/>
        <v>0.43426131817283697</v>
      </c>
      <c r="E80" s="3">
        <f t="shared" si="0"/>
        <v>0.500988521869558</v>
      </c>
      <c r="F80" s="3">
        <f t="shared" si="3"/>
        <v>0.35966573725400702</v>
      </c>
    </row>
    <row r="81" spans="2:6" x14ac:dyDescent="0.25">
      <c r="B81" s="3">
        <f t="shared" si="1"/>
        <v>9.6902874705999995</v>
      </c>
      <c r="C81">
        <f t="shared" si="2"/>
        <v>6.3</v>
      </c>
      <c r="D81" s="3">
        <f t="shared" si="0"/>
        <v>0.36712157793447298</v>
      </c>
      <c r="E81" s="3">
        <f t="shared" si="0"/>
        <v>0.532063757655308</v>
      </c>
      <c r="F81" s="3">
        <f t="shared" si="3"/>
        <v>0.37810554127225798</v>
      </c>
    </row>
    <row r="82" spans="2:6" x14ac:dyDescent="0.25">
      <c r="B82" s="3">
        <f t="shared" si="1"/>
        <v>12.3193486004</v>
      </c>
      <c r="C82">
        <f t="shared" si="2"/>
        <v>6.4</v>
      </c>
      <c r="D82" s="3">
        <f t="shared" si="0"/>
        <v>0.44757631052333302</v>
      </c>
      <c r="E82" s="3">
        <f t="shared" si="0"/>
        <v>0.536350517605933</v>
      </c>
      <c r="F82" s="3">
        <f t="shared" si="3"/>
        <v>0.38424319688020597</v>
      </c>
    </row>
    <row r="83" spans="2:6" x14ac:dyDescent="0.25">
      <c r="B83" s="3">
        <f t="shared" si="1"/>
        <v>22.886401680099997</v>
      </c>
      <c r="C83">
        <f t="shared" si="2"/>
        <v>6.5</v>
      </c>
      <c r="D83" s="3">
        <f t="shared" si="0"/>
        <v>0.46338789161558702</v>
      </c>
      <c r="E83" s="3">
        <f t="shared" si="0"/>
        <v>0.54952373303644797</v>
      </c>
      <c r="F83" s="3">
        <f t="shared" si="3"/>
        <v>0.39414185349740199</v>
      </c>
    </row>
    <row r="84" spans="2:6" x14ac:dyDescent="0.25">
      <c r="B84" s="3">
        <f t="shared" si="1"/>
        <v>26.779291065900001</v>
      </c>
      <c r="C84">
        <f t="shared" si="2"/>
        <v>6.6</v>
      </c>
      <c r="D84" s="3">
        <f t="shared" si="0"/>
        <v>0.50588713509962902</v>
      </c>
      <c r="E84" s="3">
        <f t="shared" si="0"/>
        <v>0.56590166454508695</v>
      </c>
      <c r="F84" s="3">
        <f t="shared" si="3"/>
        <v>0.41102402049798598</v>
      </c>
    </row>
    <row r="85" spans="2:6" x14ac:dyDescent="0.25">
      <c r="B85" s="3">
        <f t="shared" si="1"/>
        <v>32.836678736900005</v>
      </c>
      <c r="C85">
        <f t="shared" si="2"/>
        <v>6.7</v>
      </c>
      <c r="D85" s="3">
        <f t="shared" si="0"/>
        <v>0.48328828646673</v>
      </c>
      <c r="E85" s="3">
        <f t="shared" si="0"/>
        <v>0.57892291527756601</v>
      </c>
      <c r="F85" s="3">
        <f t="shared" si="3"/>
        <v>0.42622847199302299</v>
      </c>
    </row>
    <row r="86" spans="2:6" x14ac:dyDescent="0.25">
      <c r="B86" s="3">
        <f t="shared" si="1"/>
        <v>29.9554023956</v>
      </c>
      <c r="C86">
        <f t="shared" si="2"/>
        <v>6.8</v>
      </c>
      <c r="D86" s="3">
        <f t="shared" si="0"/>
        <v>0.55655211073743405</v>
      </c>
      <c r="E86" s="3">
        <f t="shared" si="0"/>
        <v>0.58804826492585005</v>
      </c>
      <c r="F86" s="3">
        <f t="shared" si="3"/>
        <v>0.435655949888483</v>
      </c>
    </row>
    <row r="87" spans="2:6" x14ac:dyDescent="0.25">
      <c r="B87" s="3">
        <f t="shared" si="1"/>
        <v>22.999476558799998</v>
      </c>
      <c r="C87">
        <f t="shared" si="2"/>
        <v>6.9</v>
      </c>
      <c r="D87" s="3">
        <f t="shared" si="0"/>
        <v>0.54292176046000196</v>
      </c>
      <c r="E87" s="3">
        <f t="shared" si="0"/>
        <v>0.57690734735469795</v>
      </c>
      <c r="F87" s="3">
        <f t="shared" si="3"/>
        <v>0.42598011258482399</v>
      </c>
    </row>
    <row r="88" spans="2:6" x14ac:dyDescent="0.25">
      <c r="B88" s="3">
        <f t="shared" si="1"/>
        <v>20.361986895799998</v>
      </c>
      <c r="C88">
        <f t="shared" si="2"/>
        <v>7</v>
      </c>
      <c r="D88" s="3">
        <f t="shared" si="0"/>
        <v>0.50673417016379996</v>
      </c>
      <c r="E88" s="3">
        <f t="shared" si="0"/>
        <v>0.56298811690977402</v>
      </c>
      <c r="F88" s="3">
        <f t="shared" si="3"/>
        <v>0.42466669046368799</v>
      </c>
    </row>
    <row r="89" spans="2:6" x14ac:dyDescent="0.25">
      <c r="B89" s="3">
        <f t="shared" si="1"/>
        <v>13.2152288563</v>
      </c>
      <c r="C89">
        <f t="shared" si="2"/>
        <v>7.1</v>
      </c>
      <c r="D89" s="3">
        <f t="shared" si="0"/>
        <v>0.49467048750505099</v>
      </c>
      <c r="E89" s="3">
        <f t="shared" si="0"/>
        <v>0.53828948501648899</v>
      </c>
      <c r="F89" s="3">
        <f t="shared" si="3"/>
        <v>0.40257591909972501</v>
      </c>
    </row>
    <row r="90" spans="2:6" x14ac:dyDescent="0.25">
      <c r="B90" s="3">
        <f t="shared" si="1"/>
        <v>11.0908491231</v>
      </c>
      <c r="C90">
        <f t="shared" si="2"/>
        <v>7.2</v>
      </c>
      <c r="D90" s="3">
        <f t="shared" si="0"/>
        <v>0.498149362254793</v>
      </c>
      <c r="E90" s="3">
        <f t="shared" si="0"/>
        <v>0.53334077429481197</v>
      </c>
      <c r="F90" s="3">
        <f t="shared" si="3"/>
        <v>0.393664553808724</v>
      </c>
    </row>
    <row r="91" spans="2:6" x14ac:dyDescent="0.25">
      <c r="B91" s="3">
        <f t="shared" si="1"/>
        <v>7.5013939475000004</v>
      </c>
      <c r="C91">
        <f t="shared" si="2"/>
        <v>7.3</v>
      </c>
      <c r="D91" s="3">
        <f t="shared" si="0"/>
        <v>0.546454230620258</v>
      </c>
      <c r="E91" s="3">
        <f t="shared" si="0"/>
        <v>0.534180215674951</v>
      </c>
      <c r="F91" s="3">
        <f t="shared" si="3"/>
        <v>0.40086289573811801</v>
      </c>
    </row>
    <row r="92" spans="2:6" x14ac:dyDescent="0.25">
      <c r="B92" s="3">
        <f t="shared" si="1"/>
        <v>5.2249481229999999</v>
      </c>
      <c r="C92">
        <f t="shared" si="2"/>
        <v>7.4</v>
      </c>
      <c r="D92" s="3">
        <f t="shared" si="0"/>
        <v>0.55680173640182395</v>
      </c>
      <c r="E92" s="3">
        <f t="shared" si="0"/>
        <v>0.52063291736505002</v>
      </c>
      <c r="F92" s="3">
        <f t="shared" si="3"/>
        <v>0.388761586272586</v>
      </c>
    </row>
    <row r="93" spans="2:6" x14ac:dyDescent="0.25">
      <c r="B93" s="3">
        <f t="shared" si="1"/>
        <v>3.4495087708000001</v>
      </c>
      <c r="C93">
        <f t="shared" si="2"/>
        <v>7.5</v>
      </c>
      <c r="D93" s="3">
        <f t="shared" si="0"/>
        <v>0.60075308240533298</v>
      </c>
      <c r="E93" s="3">
        <f t="shared" si="0"/>
        <v>0.51293550520286002</v>
      </c>
      <c r="F93" s="3">
        <f t="shared" si="3"/>
        <v>0.386203648118428</v>
      </c>
    </row>
    <row r="94" spans="2:6" x14ac:dyDescent="0.25">
      <c r="B94" s="3">
        <f t="shared" si="1"/>
        <v>2.2085302196999996</v>
      </c>
      <c r="C94">
        <f t="shared" si="2"/>
        <v>7.6</v>
      </c>
      <c r="D94" s="3">
        <f t="shared" si="0"/>
        <v>0.482266595485286</v>
      </c>
      <c r="E94" s="3">
        <f t="shared" si="0"/>
        <v>0.51544644727665201</v>
      </c>
      <c r="F94" s="3">
        <f t="shared" si="3"/>
        <v>0.38714228257987499</v>
      </c>
    </row>
    <row r="95" spans="2:6" x14ac:dyDescent="0.25">
      <c r="B95" s="3">
        <f t="shared" si="1"/>
        <v>1.2966398281</v>
      </c>
      <c r="C95">
        <f t="shared" si="2"/>
        <v>7.7</v>
      </c>
      <c r="D95" s="3">
        <f t="shared" si="0"/>
        <v>0.51207770977187805</v>
      </c>
      <c r="E95" s="3">
        <f t="shared" si="0"/>
        <v>0.52355657476053796</v>
      </c>
      <c r="F95" s="3">
        <f t="shared" si="3"/>
        <v>0.39710884548666098</v>
      </c>
    </row>
    <row r="96" spans="2:6" x14ac:dyDescent="0.25">
      <c r="B96" s="3">
        <f t="shared" si="1"/>
        <v>0.74327702579999999</v>
      </c>
      <c r="C96">
        <f t="shared" si="2"/>
        <v>7.8</v>
      </c>
      <c r="D96" s="3">
        <f t="shared" si="0"/>
        <v>0.36955255735578302</v>
      </c>
      <c r="E96" s="3">
        <f t="shared" si="0"/>
        <v>0.55876296034486395</v>
      </c>
      <c r="F96" s="3">
        <f t="shared" si="3"/>
        <v>0.42430011411907498</v>
      </c>
    </row>
    <row r="97" spans="2:6" x14ac:dyDescent="0.25">
      <c r="B97" s="3">
        <f t="shared" si="1"/>
        <v>0.39704258419999999</v>
      </c>
      <c r="C97">
        <f t="shared" si="2"/>
        <v>7.9</v>
      </c>
      <c r="D97" s="3">
        <f t="shared" si="0"/>
        <v>0.965712844794546</v>
      </c>
      <c r="E97" s="3">
        <f t="shared" si="0"/>
        <v>0.58065140258543402</v>
      </c>
      <c r="F97" s="3">
        <f t="shared" si="3"/>
        <v>0.44152094439172601</v>
      </c>
    </row>
    <row r="98" spans="2:6" x14ac:dyDescent="0.25">
      <c r="B98" s="3">
        <f t="shared" si="1"/>
        <v>0.32738460660000002</v>
      </c>
      <c r="C98">
        <f>C31</f>
        <v>8</v>
      </c>
      <c r="D98" s="3">
        <f t="shared" si="0"/>
        <v>1.0950452517581799</v>
      </c>
      <c r="E98" s="3">
        <f t="shared" si="0"/>
        <v>0.59781767786318096</v>
      </c>
      <c r="F98" s="3">
        <f t="shared" si="3"/>
        <v>0.46143764019765998</v>
      </c>
    </row>
  </sheetData>
  <conditionalFormatting sqref="B69:B9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{61736D75-F0C8-42FC-894F-96D00276718B}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736D75-F0C8-42FC-894F-96D0027671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B69:B98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 to 11 step 0.5</vt:lpstr>
      <vt:lpstr>5 to 8 step 0.2</vt:lpstr>
      <vt:lpstr>5 to 8 step 0.1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2018-06-12T14:21:45Z</dcterms:created>
  <dcterms:modified xsi:type="dcterms:W3CDTF">2018-06-13T22:03:46Z</dcterms:modified>
</cp:coreProperties>
</file>