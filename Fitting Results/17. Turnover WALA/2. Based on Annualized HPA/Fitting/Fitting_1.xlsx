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30435" windowHeight="19185"/>
  </bookViews>
  <sheets>
    <sheet name="grp_by_hpa_annual_plot_by_wala_" sheetId="1" r:id="rId1"/>
  </sheets>
  <calcPr calcId="0"/>
  <pivotCaches>
    <pivotCache cacheId="7" r:id="rId2"/>
  </pivotCaches>
</workbook>
</file>

<file path=xl/calcChain.xml><?xml version="1.0" encoding="utf-8"?>
<calcChain xmlns="http://schemas.openxmlformats.org/spreadsheetml/2006/main">
  <c r="E64" i="1" l="1"/>
  <c r="E65" i="1"/>
  <c r="E66" i="1"/>
  <c r="E67" i="1"/>
  <c r="E68" i="1"/>
  <c r="E69" i="1"/>
  <c r="E70" i="1"/>
  <c r="E71" i="1"/>
  <c r="D65" i="1"/>
  <c r="D66" i="1"/>
  <c r="D67" i="1"/>
  <c r="D68" i="1"/>
  <c r="D69" i="1"/>
  <c r="D70" i="1"/>
  <c r="D71" i="1"/>
  <c r="D64" i="1"/>
  <c r="E60" i="1"/>
  <c r="D60" i="1"/>
</calcChain>
</file>

<file path=xl/sharedStrings.xml><?xml version="1.0" encoding="utf-8"?>
<sst xmlns="http://schemas.openxmlformats.org/spreadsheetml/2006/main" count="67" uniqueCount="61">
  <si>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</si>
  <si>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</si>
  <si>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</si>
  <si>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</si>
  <si>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</si>
  <si>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</si>
  <si>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</si>
  <si>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</si>
  <si>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</si>
  <si>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</si>
  <si>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</si>
  <si>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</si>
  <si>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</si>
  <si>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</si>
  <si>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</si>
  <si>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</si>
  <si>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</si>
  <si>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</si>
  <si>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</si>
  <si>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</si>
  <si>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</si>
  <si>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</si>
  <si>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</si>
  <si>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</si>
  <si>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</si>
  <si>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</si>
  <si>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</si>
  <si>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</si>
  <si>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</si>
  <si>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</si>
  <si>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</si>
  <si>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</si>
  <si>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</si>
  <si>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</si>
  <si>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</si>
  <si>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</si>
  <si>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</si>
  <si>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</si>
  <si>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</si>
  <si>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</si>
  <si>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</si>
  <si>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</si>
  <si>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</si>
  <si>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</si>
  <si>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</si>
  <si>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</si>
  <si>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</si>
  <si>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</si>
  <si>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</si>
  <si>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</si>
  <si>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</si>
  <si>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</si>
  <si>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</si>
  <si>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</si>
  <si>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</si>
  <si>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</si>
  <si>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Row Labels</t>
  </si>
  <si>
    <t>Grand Total</t>
  </si>
  <si>
    <t>Column Labels</t>
  </si>
  <si>
    <t>Sum of actual.cpr</t>
  </si>
  <si>
    <t>Sum of model.cpr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</si>
</sst>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[Fitting_1.xlsx]grp_by_hpa_annual_plot_by_wala_!PivotTable1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grp_by_hpa_annual_plot_by_wala_!$C$32:$C$33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grp_by_hpa_annual_plot_by_wala_!$B$34:$B$42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grp_by_hpa_annual_plot_by_wala_!$C$34:$C$42</c:f>
              <c:numCache>
                <c:formatCode>_(* #,##0.00_);_(* \(#,##0.00\);_(* "-"??_);_(@_)</c:formatCode>
                <c:ptCount val="8"/>
                <c:pt idx="0">
                  <c:v>4.1543542298878204</c:v>
                </c:pt>
                <c:pt idx="1">
                  <c:v>4.2236491147323898</c:v>
                </c:pt>
                <c:pt idx="2">
                  <c:v>5.9481832878523297</c:v>
                </c:pt>
                <c:pt idx="3">
                  <c:v>7.1098935329617401</c:v>
                </c:pt>
                <c:pt idx="4">
                  <c:v>6.5884735407122399</c:v>
                </c:pt>
                <c:pt idx="5">
                  <c:v>7.1140865498180501</c:v>
                </c:pt>
                <c:pt idx="6">
                  <c:v>6.0040022376504503</c:v>
                </c:pt>
                <c:pt idx="7">
                  <c:v>7.68821087970161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grp_by_hpa_annual_plot_by_wala_!$D$32:$D$33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grp_by_hpa_annual_plot_by_wala_!$B$34:$B$42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grp_by_hpa_annual_plot_by_wala_!$D$34:$D$42</c:f>
              <c:numCache>
                <c:formatCode>_(* #,##0.00_);_(* \(#,##0.00\);_(* "-"??_);_(@_)</c:formatCode>
                <c:ptCount val="8"/>
                <c:pt idx="0">
                  <c:v>4.2998394110672402</c:v>
                </c:pt>
                <c:pt idx="1">
                  <c:v>6.0159859199537697</c:v>
                </c:pt>
                <c:pt idx="2">
                  <c:v>6.9501172367890698</c:v>
                </c:pt>
                <c:pt idx="3">
                  <c:v>8.4603858374155703</c:v>
                </c:pt>
                <c:pt idx="4">
                  <c:v>8.4229702194102192</c:v>
                </c:pt>
                <c:pt idx="5">
                  <c:v>8.29242686848856</c:v>
                </c:pt>
                <c:pt idx="6">
                  <c:v>10.2431105438437</c:v>
                </c:pt>
                <c:pt idx="7">
                  <c:v>9.2895692139908093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grp_by_hpa_annual_plot_by_wala_!$E$32:$E$33</c:f>
              <c:strCache>
                <c:ptCount val="1"/>
                <c:pt idx="0">
                  <c:v>11</c:v>
                </c:pt>
              </c:strCache>
            </c:strRef>
          </c:tx>
          <c:marker>
            <c:symbol val="none"/>
          </c:marker>
          <c:cat>
            <c:strRef>
              <c:f>grp_by_hpa_annual_plot_by_wala_!$B$34:$B$42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grp_by_hpa_annual_plot_by_wala_!$E$34:$E$42</c:f>
              <c:numCache>
                <c:formatCode>_(* #,##0.00_);_(* \(#,##0.00\);_(* "-"??_);_(@_)</c:formatCode>
                <c:ptCount val="8"/>
                <c:pt idx="0">
                  <c:v>5.8594596581451199</c:v>
                </c:pt>
                <c:pt idx="1">
                  <c:v>7.1319385789725098</c:v>
                </c:pt>
                <c:pt idx="2">
                  <c:v>7.9246048837904404</c:v>
                </c:pt>
                <c:pt idx="3">
                  <c:v>9.9531300425496294</c:v>
                </c:pt>
                <c:pt idx="4">
                  <c:v>9.8141632796213596</c:v>
                </c:pt>
                <c:pt idx="5">
                  <c:v>9.0600403459182193</c:v>
                </c:pt>
                <c:pt idx="6">
                  <c:v>11.4641643351182</c:v>
                </c:pt>
                <c:pt idx="7">
                  <c:v>8.1730414898217205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940992"/>
        <c:axId val="349031040"/>
      </c:lineChart>
      <c:catAx>
        <c:axId val="249940992"/>
        <c:scaling>
          <c:orientation val="minMax"/>
        </c:scaling>
        <c:delete val="0"/>
        <c:axPos val="b"/>
        <c:majorTickMark val="out"/>
        <c:minorTickMark val="none"/>
        <c:tickLblPos val="nextTo"/>
        <c:crossAx val="349031040"/>
        <c:crosses val="autoZero"/>
        <c:auto val="1"/>
        <c:lblAlgn val="ctr"/>
        <c:lblOffset val="100"/>
        <c:noMultiLvlLbl val="0"/>
      </c:catAx>
      <c:valAx>
        <c:axId val="349031040"/>
        <c:scaling>
          <c:orientation val="minMax"/>
          <c:max val="12"/>
          <c:min val="2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49940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grp_by_hpa_annual_plot_by_wala_!$C$63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numRef>
              <c:f>grp_by_hpa_annual_plot_by_wala_!$B$64:$B$68</c:f>
              <c:numCache>
                <c:formatCode>General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cat>
          <c:val>
            <c:numRef>
              <c:f>grp_by_hpa_annual_plot_by_wala_!$C$64:$C$68</c:f>
              <c:numCache>
                <c:formatCode>_(* #,##0.00_);_(* \(#,##0.00\);_(* "-"??_);_(@_)</c:formatCode>
                <c:ptCount val="5"/>
                <c:pt idx="0">
                  <c:v>4.1543542298878204</c:v>
                </c:pt>
                <c:pt idx="1">
                  <c:v>4.2236491147323898</c:v>
                </c:pt>
                <c:pt idx="2">
                  <c:v>5.9481832878523297</c:v>
                </c:pt>
                <c:pt idx="3">
                  <c:v>7.1098935329617401</c:v>
                </c:pt>
                <c:pt idx="4">
                  <c:v>6.5884735407122399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grp_by_hpa_annual_plot_by_wala_!$D$63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numRef>
              <c:f>grp_by_hpa_annual_plot_by_wala_!$B$64:$B$68</c:f>
              <c:numCache>
                <c:formatCode>General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cat>
          <c:val>
            <c:numRef>
              <c:f>grp_by_hpa_annual_plot_by_wala_!$D$64:$D$68</c:f>
              <c:numCache>
                <c:formatCode>_(* #,##0.00_);_(* \(#,##0.00\);_(* "-"??_);_(@_)</c:formatCode>
                <c:ptCount val="5"/>
                <c:pt idx="0">
                  <c:v>2.94934710661341</c:v>
                </c:pt>
                <c:pt idx="1">
                  <c:v>4.6654936154999396</c:v>
                </c:pt>
                <c:pt idx="2">
                  <c:v>5.5996249323352396</c:v>
                </c:pt>
                <c:pt idx="3">
                  <c:v>7.1098935329617401</c:v>
                </c:pt>
                <c:pt idx="4">
                  <c:v>7.072477914956389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grp_by_hpa_annual_plot_by_wala_!$E$63</c:f>
              <c:strCache>
                <c:ptCount val="1"/>
                <c:pt idx="0">
                  <c:v>11</c:v>
                </c:pt>
              </c:strCache>
            </c:strRef>
          </c:tx>
          <c:marker>
            <c:symbol val="none"/>
          </c:marker>
          <c:cat>
            <c:numRef>
              <c:f>grp_by_hpa_annual_plot_by_wala_!$B$64:$B$68</c:f>
              <c:numCache>
                <c:formatCode>General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cat>
          <c:val>
            <c:numRef>
              <c:f>grp_by_hpa_annual_plot_by_wala_!$E$64:$E$68</c:f>
              <c:numCache>
                <c:formatCode>_(* #,##0.00_);_(* \(#,##0.00\);_(* "-"??_);_(@_)</c:formatCode>
                <c:ptCount val="5"/>
                <c:pt idx="0">
                  <c:v>3.0162231485572306</c:v>
                </c:pt>
                <c:pt idx="1">
                  <c:v>4.2887020693846205</c:v>
                </c:pt>
                <c:pt idx="2">
                  <c:v>5.0813683742025511</c:v>
                </c:pt>
                <c:pt idx="3">
                  <c:v>7.1098935329617401</c:v>
                </c:pt>
                <c:pt idx="4">
                  <c:v>6.9709267700334703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097536"/>
        <c:axId val="349028736"/>
      </c:lineChart>
      <c:catAx>
        <c:axId val="24209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9028736"/>
        <c:crosses val="autoZero"/>
        <c:auto val="1"/>
        <c:lblAlgn val="ctr"/>
        <c:lblOffset val="100"/>
        <c:noMultiLvlLbl val="0"/>
      </c:catAx>
      <c:valAx>
        <c:axId val="349028736"/>
        <c:scaling>
          <c:orientation val="minMax"/>
          <c:max val="12"/>
          <c:min val="2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4209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[Fitting_1.xlsx]grp_by_hpa_annual_plot_by_wala_!PivotTable2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grp_by_hpa_annual_plot_by_wala_!$T$32:$T$33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grp_by_hpa_annual_plot_by_wala_!$S$34:$S$42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grp_by_hpa_annual_plot_by_wala_!$T$34:$T$42</c:f>
              <c:numCache>
                <c:formatCode>_(* #,##0.00_);_(* \(#,##0.00\);_(* "-"??_);_(@_)</c:formatCode>
                <c:ptCount val="8"/>
                <c:pt idx="0">
                  <c:v>6.2141018089898497</c:v>
                </c:pt>
                <c:pt idx="1">
                  <c:v>6.0130311773789504</c:v>
                </c:pt>
                <c:pt idx="2">
                  <c:v>6.7952399863931499</c:v>
                </c:pt>
                <c:pt idx="3">
                  <c:v>7.5978936428730899</c:v>
                </c:pt>
                <c:pt idx="4">
                  <c:v>6.9517164570597103</c:v>
                </c:pt>
                <c:pt idx="5">
                  <c:v>7.1572380480077502</c:v>
                </c:pt>
                <c:pt idx="6">
                  <c:v>7.4382670066878003</c:v>
                </c:pt>
                <c:pt idx="7">
                  <c:v>7.0822831242192601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grp_by_hpa_annual_plot_by_wala_!$U$32:$U$33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grp_by_hpa_annual_plot_by_wala_!$S$34:$S$42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grp_by_hpa_annual_plot_by_wala_!$U$34:$U$42</c:f>
              <c:numCache>
                <c:formatCode>_(* #,##0.00_);_(* \(#,##0.00\);_(* "-"??_);_(@_)</c:formatCode>
                <c:ptCount val="8"/>
                <c:pt idx="0">
                  <c:v>6.5087034056183999</c:v>
                </c:pt>
                <c:pt idx="1">
                  <c:v>6.3974759828127103</c:v>
                </c:pt>
                <c:pt idx="2">
                  <c:v>7.1271579134855303</c:v>
                </c:pt>
                <c:pt idx="3">
                  <c:v>8.2951802986630003</c:v>
                </c:pt>
                <c:pt idx="4">
                  <c:v>7.3916017337886899</c:v>
                </c:pt>
                <c:pt idx="5">
                  <c:v>7.5545624527233199</c:v>
                </c:pt>
                <c:pt idx="6">
                  <c:v>7.72575573227049</c:v>
                </c:pt>
                <c:pt idx="7">
                  <c:v>7.8432311590992301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grp_by_hpa_annual_plot_by_wala_!$V$32:$V$33</c:f>
              <c:strCache>
                <c:ptCount val="1"/>
                <c:pt idx="0">
                  <c:v>11</c:v>
                </c:pt>
              </c:strCache>
            </c:strRef>
          </c:tx>
          <c:marker>
            <c:symbol val="none"/>
          </c:marker>
          <c:cat>
            <c:strRef>
              <c:f>grp_by_hpa_annual_plot_by_wala_!$S$34:$S$42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grp_by_hpa_annual_plot_by_wala_!$V$34:$V$42</c:f>
              <c:numCache>
                <c:formatCode>_(* #,##0.00_);_(* \(#,##0.00\);_(* "-"??_);_(@_)</c:formatCode>
                <c:ptCount val="8"/>
                <c:pt idx="0">
                  <c:v>6.1705798620518904</c:v>
                </c:pt>
                <c:pt idx="1">
                  <c:v>6.73187694641432</c:v>
                </c:pt>
                <c:pt idx="2">
                  <c:v>7.3242364253698504</c:v>
                </c:pt>
                <c:pt idx="3">
                  <c:v>8.1353511780063101</c:v>
                </c:pt>
                <c:pt idx="4">
                  <c:v>7.7500759585603998</c:v>
                </c:pt>
                <c:pt idx="5">
                  <c:v>7.5438708838549298</c:v>
                </c:pt>
                <c:pt idx="6">
                  <c:v>8.0528387208074594</c:v>
                </c:pt>
                <c:pt idx="7">
                  <c:v>7.6294407792697099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409088"/>
        <c:axId val="244410624"/>
      </c:lineChart>
      <c:catAx>
        <c:axId val="244409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44410624"/>
        <c:crosses val="autoZero"/>
        <c:auto val="1"/>
        <c:lblAlgn val="ctr"/>
        <c:lblOffset val="100"/>
        <c:noMultiLvlLbl val="0"/>
      </c:catAx>
      <c:valAx>
        <c:axId val="244410624"/>
        <c:scaling>
          <c:orientation val="minMax"/>
          <c:max val="12"/>
          <c:min val="2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44409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557212</xdr:colOff>
      <xdr:row>30</xdr:row>
      <xdr:rowOff>185737</xdr:rowOff>
    </xdr:from>
    <xdr:to>
      <xdr:col>16</xdr:col>
      <xdr:colOff>252412</xdr:colOff>
      <xdr:row>45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42862</xdr:colOff>
      <xdr:row>57</xdr:row>
      <xdr:rowOff>90487</xdr:rowOff>
    </xdr:from>
    <xdr:to>
      <xdr:col>16</xdr:col>
      <xdr:colOff>347662</xdr:colOff>
      <xdr:row>71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300037</xdr:colOff>
      <xdr:row>31</xdr:row>
      <xdr:rowOff>176212</xdr:rowOff>
    </xdr:from>
    <xdr:to>
      <xdr:col>30</xdr:col>
      <xdr:colOff>604837</xdr:colOff>
      <xdr:row>46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619124</xdr:colOff>
      <xdr:row>53</xdr:row>
      <xdr:rowOff>76201</xdr:rowOff>
    </xdr:from>
    <xdr:to>
      <xdr:col>27</xdr:col>
      <xdr:colOff>114299</xdr:colOff>
      <xdr:row>63</xdr:row>
      <xdr:rowOff>171451</xdr:rowOff>
    </xdr:to>
    <xdr:sp macro="" textlink="">
      <xdr:nvSpPr>
        <xdr:cNvPr id="6" name="TextBox 5"/>
        <xdr:cNvSpPr txBox="1"/>
      </xdr:nvSpPr>
      <xdr:spPr>
        <a:xfrm>
          <a:off x="14230349" y="10172701"/>
          <a:ext cx="5419725" cy="200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Filters for </a:t>
          </a:r>
          <a:r>
            <a:rPr lang="en-US" sz="1100" u="sng"/>
            <a:t>HPA_annual </a:t>
          </a:r>
          <a:r>
            <a:rPr lang="en-US" sz="1100"/>
            <a:t>curve:    </a:t>
          </a:r>
        </a:p>
        <a:p>
          <a:r>
            <a:rPr lang="en-US" sz="1100"/>
            <a:t>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>
              <a:solidFill>
                <a:srgbClr val="FF0000"/>
              </a:solidFill>
            </a:rPr>
            <a:t>    and clh.loanAge &gt;= 48 </a:t>
          </a:r>
        </a:p>
        <a:p>
          <a:r>
            <a:rPr lang="en-US" sz="1100"/>
            <a:t>    and refi_incentive &lt;= -50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  <xdr:twoCellAnchor>
    <xdr:from>
      <xdr:col>19</xdr:col>
      <xdr:colOff>657225</xdr:colOff>
      <xdr:row>65</xdr:row>
      <xdr:rowOff>66675</xdr:rowOff>
    </xdr:from>
    <xdr:to>
      <xdr:col>27</xdr:col>
      <xdr:colOff>152400</xdr:colOff>
      <xdr:row>75</xdr:row>
      <xdr:rowOff>161925</xdr:rowOff>
    </xdr:to>
    <xdr:sp macro="" textlink="">
      <xdr:nvSpPr>
        <xdr:cNvPr id="7" name="TextBox 6"/>
        <xdr:cNvSpPr txBox="1"/>
      </xdr:nvSpPr>
      <xdr:spPr>
        <a:xfrm>
          <a:off x="14268450" y="12449175"/>
          <a:ext cx="5419725" cy="200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Filters for </a:t>
          </a:r>
          <a:r>
            <a:rPr lang="en-US" sz="1100" u="sng"/>
            <a:t>WALA</a:t>
          </a:r>
          <a:r>
            <a:rPr lang="en-US" sz="1100"/>
            <a:t> curve:    </a:t>
          </a:r>
        </a:p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</a:t>
          </a:r>
          <a:r>
            <a:rPr lang="en-US" sz="1100">
              <a:solidFill>
                <a:srgbClr val="FF0000"/>
              </a:solidFill>
            </a:rPr>
            <a:t>and clh.loanAge &gt; 12 </a:t>
          </a:r>
        </a:p>
        <a:p>
          <a:r>
            <a:rPr lang="en-US" sz="1100">
              <a:solidFill>
                <a:srgbClr val="FF0000"/>
              </a:solidFill>
            </a:rPr>
            <a:t>    and clh.loanAge &lt;= 48 </a:t>
          </a:r>
        </a:p>
        <a:p>
          <a:r>
            <a:rPr lang="en-US" sz="1100">
              <a:solidFill>
                <a:srgbClr val="FF0000"/>
              </a:solidFill>
            </a:rPr>
            <a:t>    and occType in ('OWNER', '2ND')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  <a:p>
          <a:r>
            <a:rPr lang="en-US" sz="1100"/>
            <a:t>    and clh.asof &gt;= '20170301'</a:t>
          </a:r>
        </a:p>
        <a:p>
          <a:r>
            <a:rPr lang="en-US" sz="1100">
              <a:solidFill>
                <a:srgbClr val="FF0000"/>
              </a:solidFill>
            </a:rPr>
            <a:t>    and sl.origFICO &gt;= 740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62.728689467593" createdVersion="4" refreshedVersion="4" minRefreshableVersion="3" recordCount="24">
  <cacheSource type="worksheet">
    <worksheetSource ref="B1:G25" sheet="grp_by_hpa_annual_plot_by_wala_"/>
  </cacheSource>
  <cacheFields count="6">
    <cacheField name="grp" numFmtId="0">
      <sharedItems containsSemiMixedTypes="0" containsString="0" containsNumber="1" containsInteger="1" minValue="5" maxValue="11" count="3">
        <n v="5"/>
        <n v="8"/>
        <n v="11"/>
      </sharedItems>
    </cacheField>
    <cacheField name="x" numFmtId="0">
      <sharedItems containsSemiMixedTypes="0" containsString="0" containsNumber="1" containsInteger="1" minValue="15" maxValue="50" count="8">
        <n v="15"/>
        <n v="20"/>
        <n v="25"/>
        <n v="30"/>
        <n v="35"/>
        <n v="40"/>
        <n v="45"/>
        <n v="50"/>
      </sharedItems>
    </cacheField>
    <cacheField name="actual.smm" numFmtId="0">
      <sharedItems containsSemiMixedTypes="0" containsString="0" containsNumber="1" minValue="0.35296847214188898" maxValue="1.0095593325760801"/>
    </cacheField>
    <cacheField name="model.smm" numFmtId="0">
      <sharedItems containsSemiMixedTypes="0" containsString="0" containsNumber="1" minValue="0.51545066098931802" maxValue="0.71902959579130499"/>
    </cacheField>
    <cacheField name="actual.cpr" numFmtId="0">
      <sharedItems containsSemiMixedTypes="0" containsString="0" containsNumber="1" minValue="4.1543542298878204" maxValue="11.4641643351182"/>
    </cacheField>
    <cacheField name="model.cpr" numFmtId="0">
      <sharedItems containsSemiMixedTypes="0" containsString="0" containsNumber="1" minValue="6.0130311773789504" maxValue="8.295180298663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n v="0.35296847214188898"/>
    <n v="0.53320406366596795"/>
    <n v="4.1543542298878204"/>
    <n v="6.2141018089898497"/>
  </r>
  <r>
    <x v="0"/>
    <x v="1"/>
    <n v="0.35897406467634502"/>
    <n v="0.51545066098931802"/>
    <n v="4.2236491147323898"/>
    <n v="6.0130311773789504"/>
  </r>
  <r>
    <x v="0"/>
    <x v="2"/>
    <n v="0.50973238261221898"/>
    <n v="0.58471213646517795"/>
    <n v="5.9481832878523297"/>
    <n v="6.7952399863931499"/>
  </r>
  <r>
    <x v="0"/>
    <x v="3"/>
    <n v="0.61272383117243101"/>
    <n v="0.65634004681719604"/>
    <n v="7.1098935329617401"/>
    <n v="7.5978936428730899"/>
  </r>
  <r>
    <x v="0"/>
    <x v="4"/>
    <n v="0.56635213461641798"/>
    <n v="0.59863143293341903"/>
    <n v="6.5884735407122399"/>
    <n v="6.9517164570597103"/>
  </r>
  <r>
    <x v="0"/>
    <x v="5"/>
    <n v="0.61309769691743499"/>
    <n v="0.61694615199026903"/>
    <n v="7.1140865498180501"/>
    <n v="7.1572380480077502"/>
  </r>
  <r>
    <x v="0"/>
    <x v="6"/>
    <n v="0.51465427358945004"/>
    <n v="0.64204983133528304"/>
    <n v="6.0040022376504503"/>
    <n v="7.4382670066878003"/>
  </r>
  <r>
    <x v="0"/>
    <x v="7"/>
    <n v="0.66443552150595397"/>
    <n v="0.61026236563728098"/>
    <n v="7.68821087970161"/>
    <n v="7.0822831242192601"/>
  </r>
  <r>
    <x v="1"/>
    <x v="0"/>
    <n v="0.365581862074502"/>
    <n v="0.55927883489232999"/>
    <n v="4.2998394110672402"/>
    <n v="6.5087034056183999"/>
  </r>
  <r>
    <x v="1"/>
    <x v="1"/>
    <n v="0.51571129594113396"/>
    <n v="0.549425414488665"/>
    <n v="6.0159859199537697"/>
    <n v="6.3974759828127103"/>
  </r>
  <r>
    <x v="1"/>
    <x v="2"/>
    <n v="0.59848906649626599"/>
    <n v="0.61426329000456503"/>
    <n v="6.9501172367890698"/>
    <n v="7.1271579134855303"/>
  </r>
  <r>
    <x v="1"/>
    <x v="3"/>
    <n v="0.73394640945217204"/>
    <n v="0.71902959579130499"/>
    <n v="8.4603858374155703"/>
    <n v="8.2951802986630003"/>
  </r>
  <r>
    <x v="1"/>
    <x v="4"/>
    <n v="0.73056590112762598"/>
    <n v="0.63787649508121702"/>
    <n v="8.4229702194102192"/>
    <n v="7.3916017337886899"/>
  </r>
  <r>
    <x v="1"/>
    <x v="5"/>
    <n v="0.718781190583201"/>
    <n v="0.65245868319988098"/>
    <n v="8.29242686848856"/>
    <n v="7.5545624527233199"/>
  </r>
  <r>
    <x v="1"/>
    <x v="6"/>
    <n v="0.89650222852685801"/>
    <n v="0.66780294489756098"/>
    <n v="10.2431105438437"/>
    <n v="7.72575573227049"/>
  </r>
  <r>
    <x v="1"/>
    <x v="7"/>
    <n v="0.80919022246011396"/>
    <n v="0.67834751497225498"/>
    <n v="9.2895692139908093"/>
    <n v="7.8432311590992301"/>
  </r>
  <r>
    <x v="2"/>
    <x v="0"/>
    <n v="0.50191459689694495"/>
    <n v="0.529358364554393"/>
    <n v="5.8594596581451199"/>
    <n v="6.1705798620518904"/>
  </r>
  <r>
    <x v="2"/>
    <x v="1"/>
    <n v="0.61468962666802096"/>
    <n v="0.57908179728461695"/>
    <n v="7.1319385789725098"/>
    <n v="6.73187694641432"/>
  </r>
  <r>
    <x v="2"/>
    <x v="2"/>
    <n v="0.68565882956491397"/>
    <n v="0.63185532636177799"/>
    <n v="7.9246048837904404"/>
    <n v="7.3242364253698504"/>
  </r>
  <r>
    <x v="2"/>
    <x v="3"/>
    <n v="0.86986024800397099"/>
    <n v="0.704621657376578"/>
    <n v="9.9531300425496294"/>
    <n v="8.1353511780063101"/>
  </r>
  <r>
    <x v="2"/>
    <x v="4"/>
    <n v="0.85712053056340998"/>
    <n v="0.66998491290505102"/>
    <n v="9.8141632796213596"/>
    <n v="7.7500759585603998"/>
  </r>
  <r>
    <x v="2"/>
    <x v="5"/>
    <n v="0.78829884254285698"/>
    <n v="0.65150124927213204"/>
    <n v="9.0600403459182193"/>
    <n v="7.5438708838549298"/>
  </r>
  <r>
    <x v="2"/>
    <x v="6"/>
    <n v="1.0095593325760801"/>
    <n v="0.69719248956176505"/>
    <n v="11.4641643351182"/>
    <n v="8.0528387208074594"/>
  </r>
  <r>
    <x v="2"/>
    <x v="7"/>
    <n v="0.70801721246689797"/>
    <n v="0.65916691104464398"/>
    <n v="8.1730414898217205"/>
    <n v="7.6294407792697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S32:W42" firstHeaderRow="1" firstDataRow="2" firstDataCol="1"/>
  <pivotFields count="6">
    <pivotField axis="axisCol" showAll="0">
      <items count="4">
        <item x="0"/>
        <item x="1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model.cpr" fld="5" baseField="0" baseItem="0"/>
  </dataFields>
  <formats count="1">
    <format dxfId="2">
      <pivotArea collapsedLevelsAreSubtotals="1" fieldPosition="0">
        <references count="2">
          <reference field="0" count="0" selected="0"/>
          <reference field="1" count="0"/>
        </references>
      </pivotArea>
    </format>
  </format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B32:F42" firstHeaderRow="1" firstDataRow="2" firstDataCol="1"/>
  <pivotFields count="6">
    <pivotField axis="axisCol" showAll="0">
      <items count="4">
        <item x="0"/>
        <item x="1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ctual.cpr" fld="4" baseField="0" baseItem="0"/>
  </dataFields>
  <formats count="1">
    <format dxfId="3">
      <pivotArea collapsedLevelsAreSubtotals="1" fieldPosition="0">
        <references count="2">
          <reference field="0" count="0" selected="0"/>
          <reference field="1" count="0"/>
        </references>
      </pivotArea>
    </format>
  </format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1"/>
  <sheetViews>
    <sheetView tabSelected="1" topLeftCell="C28" workbookViewId="0">
      <selection activeCell="S79" sqref="S79"/>
    </sheetView>
  </sheetViews>
  <sheetFormatPr defaultRowHeight="15" x14ac:dyDescent="0.25"/>
  <cols>
    <col min="2" max="3" width="16.28515625" bestFit="1" customWidth="1"/>
    <col min="4" max="5" width="12" customWidth="1"/>
    <col min="6" max="6" width="12" bestFit="1" customWidth="1"/>
    <col min="19" max="19" width="16.7109375" bestFit="1" customWidth="1"/>
    <col min="20" max="20" width="16.28515625" bestFit="1" customWidth="1"/>
    <col min="21" max="22" width="12" customWidth="1"/>
    <col min="23" max="23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5</v>
      </c>
      <c r="C2">
        <v>15</v>
      </c>
      <c r="D2">
        <v>0.35296847214188898</v>
      </c>
      <c r="E2">
        <v>0.53320406366596795</v>
      </c>
      <c r="F2">
        <v>4.1543542298878204</v>
      </c>
      <c r="G2">
        <v>6.2141018089898497</v>
      </c>
      <c r="H2">
        <v>0.66197633550484403</v>
      </c>
      <c r="I2">
        <v>0.180235591524079</v>
      </c>
      <c r="J2">
        <v>3.5911621686586299E-2</v>
      </c>
      <c r="K2">
        <v>6.3707229535972E-3</v>
      </c>
      <c r="L2">
        <v>0</v>
      </c>
      <c r="M2">
        <v>0.48098555331652298</v>
      </c>
      <c r="N2">
        <v>9.9361657092615005E-3</v>
      </c>
      <c r="O2">
        <v>0</v>
      </c>
      <c r="P2">
        <v>5.8780578044017204</v>
      </c>
      <c r="Q2">
        <v>94.121942195598294</v>
      </c>
      <c r="R2">
        <v>49.8778781517697</v>
      </c>
      <c r="S2">
        <v>34.248233168793099</v>
      </c>
      <c r="T2">
        <v>15.873888679437201</v>
      </c>
      <c r="U2">
        <v>0</v>
      </c>
      <c r="V2">
        <v>50.1221218482303</v>
      </c>
      <c r="W2">
        <v>0.37473260303017297</v>
      </c>
      <c r="X2">
        <v>-36.791158956412403</v>
      </c>
      <c r="Y2">
        <v>30.025499213814399</v>
      </c>
      <c r="Z2">
        <v>100</v>
      </c>
      <c r="AA2">
        <v>67.576108230529599</v>
      </c>
      <c r="AB2">
        <v>302.122200215237</v>
      </c>
      <c r="AC2">
        <v>300.047031140169</v>
      </c>
      <c r="AD2">
        <v>14.2880937115553</v>
      </c>
      <c r="AE2">
        <v>341.82738880670001</v>
      </c>
      <c r="AF2">
        <v>3.4667447714200699</v>
      </c>
      <c r="AG2">
        <v>779.93376603952299</v>
      </c>
      <c r="AH2">
        <v>4.39726638922156</v>
      </c>
      <c r="AI2">
        <v>49.510045430024597</v>
      </c>
      <c r="AJ2">
        <v>175.07128664105699</v>
      </c>
      <c r="AK2">
        <v>32.778778546496603</v>
      </c>
      <c r="AL2">
        <v>-34.739177894426</v>
      </c>
      <c r="AM2">
        <v>3.8033736959184399</v>
      </c>
      <c r="AN2">
        <v>4.5549565733247501</v>
      </c>
      <c r="AO2">
        <v>0.9</v>
      </c>
      <c r="AP2">
        <v>1.2288633150000901</v>
      </c>
      <c r="AQ2">
        <v>1.1483908911227001</v>
      </c>
      <c r="AR2">
        <v>1.28480956430375</v>
      </c>
      <c r="AS2">
        <v>0.99413184448613701</v>
      </c>
      <c r="AT2">
        <v>0.855896326406684</v>
      </c>
      <c r="AU2">
        <v>0.83989408918359698</v>
      </c>
      <c r="AV2">
        <v>1</v>
      </c>
      <c r="AW2">
        <v>0.97913630104840499</v>
      </c>
      <c r="AX2">
        <v>1</v>
      </c>
      <c r="AY2">
        <v>1</v>
      </c>
      <c r="AZ2">
        <v>0.93484124159730098</v>
      </c>
      <c r="BA2">
        <v>1</v>
      </c>
      <c r="BB2">
        <v>0.98683878222153598</v>
      </c>
      <c r="BC2">
        <v>8435668227.5</v>
      </c>
      <c r="BD2">
        <v>4.4624578331821103E-2</v>
      </c>
      <c r="BE2">
        <v>3370</v>
      </c>
    </row>
    <row r="3" spans="1:57" x14ac:dyDescent="0.25">
      <c r="A3">
        <v>2</v>
      </c>
      <c r="B3">
        <v>5</v>
      </c>
      <c r="C3">
        <v>20</v>
      </c>
      <c r="D3">
        <v>0.35897406467634502</v>
      </c>
      <c r="E3">
        <v>0.51545066098931802</v>
      </c>
      <c r="F3">
        <v>4.2236491147323898</v>
      </c>
      <c r="G3">
        <v>6.0130311773789504</v>
      </c>
      <c r="H3">
        <v>0.69642759597466797</v>
      </c>
      <c r="I3">
        <v>0.156476596312974</v>
      </c>
      <c r="J3">
        <v>3.6321220570729201E-2</v>
      </c>
      <c r="K3">
        <v>1.05399771268763E-2</v>
      </c>
      <c r="L3">
        <v>0</v>
      </c>
      <c r="M3">
        <v>0.46504711092312601</v>
      </c>
      <c r="N3">
        <v>3.54235236858745E-3</v>
      </c>
      <c r="O3">
        <v>0</v>
      </c>
      <c r="P3">
        <v>5.1525601112906703</v>
      </c>
      <c r="Q3">
        <v>94.847439888709303</v>
      </c>
      <c r="R3">
        <v>50.230496080555199</v>
      </c>
      <c r="S3">
        <v>31.857284723359101</v>
      </c>
      <c r="T3">
        <v>17.912219196085601</v>
      </c>
      <c r="U3">
        <v>0</v>
      </c>
      <c r="V3">
        <v>49.769503919444801</v>
      </c>
      <c r="W3">
        <v>0.59270072683141894</v>
      </c>
      <c r="X3">
        <v>-52.450201529570897</v>
      </c>
      <c r="Y3">
        <v>35.675421756585301</v>
      </c>
      <c r="Z3">
        <v>100</v>
      </c>
      <c r="AA3">
        <v>66.368526931280599</v>
      </c>
      <c r="AB3">
        <v>293.002473128247</v>
      </c>
      <c r="AC3">
        <v>290.79121182002598</v>
      </c>
      <c r="AD3">
        <v>16.536412182625298</v>
      </c>
      <c r="AE3">
        <v>338.85278557735802</v>
      </c>
      <c r="AF3">
        <v>3.5247906717703601</v>
      </c>
      <c r="AG3">
        <v>780.08104200624996</v>
      </c>
      <c r="AH3">
        <v>6.00635386679095</v>
      </c>
      <c r="AI3">
        <v>46.908281575596199</v>
      </c>
      <c r="AJ3">
        <v>178.05192688043701</v>
      </c>
      <c r="AK3">
        <v>23.468484515344802</v>
      </c>
      <c r="AL3">
        <v>-23.799674532844101</v>
      </c>
      <c r="AM3">
        <v>3.72000356990109</v>
      </c>
      <c r="AN3">
        <v>5.1674917028986798</v>
      </c>
      <c r="AO3">
        <v>0.9</v>
      </c>
      <c r="AP3">
        <v>1.2236147794149499</v>
      </c>
      <c r="AQ3">
        <v>1.2266516753305701</v>
      </c>
      <c r="AR3">
        <v>1.2508232284293901</v>
      </c>
      <c r="AS3">
        <v>0.99508596983795305</v>
      </c>
      <c r="AT3">
        <v>0.86556958958811603</v>
      </c>
      <c r="AU3">
        <v>0.83969425886506699</v>
      </c>
      <c r="AV3">
        <v>1</v>
      </c>
      <c r="AW3">
        <v>1.00231012345701</v>
      </c>
      <c r="AX3">
        <v>1</v>
      </c>
      <c r="AY3">
        <v>1</v>
      </c>
      <c r="AZ3">
        <v>0.93529964490472195</v>
      </c>
      <c r="BA3">
        <v>1</v>
      </c>
      <c r="BB3">
        <v>0.98976669792947103</v>
      </c>
      <c r="BC3">
        <v>28717697407.5</v>
      </c>
      <c r="BD3">
        <v>6.3629834732819399E-2</v>
      </c>
      <c r="BE3">
        <v>6333</v>
      </c>
    </row>
    <row r="4" spans="1:57" x14ac:dyDescent="0.25">
      <c r="A4">
        <v>3</v>
      </c>
      <c r="B4">
        <v>5</v>
      </c>
      <c r="C4">
        <v>25</v>
      </c>
      <c r="D4">
        <v>0.50973238261221898</v>
      </c>
      <c r="E4">
        <v>0.58471213646517795</v>
      </c>
      <c r="F4">
        <v>5.9481832878523297</v>
      </c>
      <c r="G4">
        <v>6.7952399863931499</v>
      </c>
      <c r="H4">
        <v>0.87176638010929297</v>
      </c>
      <c r="I4">
        <v>7.4979753852959005E-2</v>
      </c>
      <c r="J4">
        <v>3.7997842165488203E-2</v>
      </c>
      <c r="K4">
        <v>9.2352259208507304E-3</v>
      </c>
      <c r="L4" s="1">
        <v>2.6814027044886201E-8</v>
      </c>
      <c r="M4">
        <v>0.53344189488995497</v>
      </c>
      <c r="N4">
        <v>4.0371466748578702E-3</v>
      </c>
      <c r="O4">
        <v>0</v>
      </c>
      <c r="P4">
        <v>4.8782609282941598</v>
      </c>
      <c r="Q4">
        <v>95.121739071705804</v>
      </c>
      <c r="R4">
        <v>52.274318904973903</v>
      </c>
      <c r="S4">
        <v>31.0932733234254</v>
      </c>
      <c r="T4">
        <v>16.6324077716007</v>
      </c>
      <c r="U4">
        <v>0</v>
      </c>
      <c r="V4">
        <v>47.725681095026097</v>
      </c>
      <c r="W4">
        <v>0.42120918911452498</v>
      </c>
      <c r="X4">
        <v>-50.2085832479126</v>
      </c>
      <c r="Y4">
        <v>146.89511690057199</v>
      </c>
      <c r="Z4">
        <v>100</v>
      </c>
      <c r="AA4">
        <v>64.397614010617602</v>
      </c>
      <c r="AB4">
        <v>291.71095517291099</v>
      </c>
      <c r="AC4">
        <v>289.48935253979403</v>
      </c>
      <c r="AD4">
        <v>22.524851906387301</v>
      </c>
      <c r="AE4">
        <v>332.02179137061501</v>
      </c>
      <c r="AF4">
        <v>3.6403543617728</v>
      </c>
      <c r="AG4">
        <v>780.35280811882296</v>
      </c>
      <c r="AH4">
        <v>3.4190506749933598</v>
      </c>
      <c r="AI4">
        <v>49.415374194267997</v>
      </c>
      <c r="AJ4">
        <v>175.42128100225301</v>
      </c>
      <c r="AK4">
        <v>20.476522901790201</v>
      </c>
      <c r="AL4">
        <v>-29.350632409488298</v>
      </c>
      <c r="AM4">
        <v>3.6405448963627398</v>
      </c>
      <c r="AN4">
        <v>6.9955003081426304</v>
      </c>
      <c r="AO4">
        <v>0.9</v>
      </c>
      <c r="AP4">
        <v>1.21698675123435</v>
      </c>
      <c r="AQ4">
        <v>1.25</v>
      </c>
      <c r="AR4">
        <v>1.26159494487991</v>
      </c>
      <c r="AS4">
        <v>0.99642865910694101</v>
      </c>
      <c r="AT4">
        <v>0.866992280703346</v>
      </c>
      <c r="AU4">
        <v>0.83914338009265599</v>
      </c>
      <c r="AV4">
        <v>1</v>
      </c>
      <c r="AW4">
        <v>0.99036137739237995</v>
      </c>
      <c r="AX4">
        <v>1</v>
      </c>
      <c r="AY4">
        <v>1</v>
      </c>
      <c r="AZ4">
        <v>0.93795661457646595</v>
      </c>
      <c r="BA4">
        <v>1</v>
      </c>
      <c r="BB4">
        <v>0.99294928290971196</v>
      </c>
      <c r="BC4">
        <v>27937263976.5</v>
      </c>
      <c r="BD4">
        <v>5.8109717357385501E-2</v>
      </c>
      <c r="BE4">
        <v>7607</v>
      </c>
    </row>
    <row r="5" spans="1:57" x14ac:dyDescent="0.25">
      <c r="A5">
        <v>4</v>
      </c>
      <c r="B5">
        <v>5</v>
      </c>
      <c r="C5">
        <v>30</v>
      </c>
      <c r="D5">
        <v>0.61272383117243101</v>
      </c>
      <c r="E5">
        <v>0.65634004681719604</v>
      </c>
      <c r="F5">
        <v>7.1098935329617401</v>
      </c>
      <c r="G5">
        <v>7.5978936428730899</v>
      </c>
      <c r="H5">
        <v>0.93354631359723705</v>
      </c>
      <c r="I5">
        <v>4.36162156447647E-2</v>
      </c>
      <c r="J5">
        <v>3.9597399612462003E-2</v>
      </c>
      <c r="K5">
        <v>1.0476011604943301E-2</v>
      </c>
      <c r="L5" s="1">
        <v>6.7926721525099799E-5</v>
      </c>
      <c r="M5">
        <v>0.59647483974537197</v>
      </c>
      <c r="N5">
        <v>9.7238691328931405E-3</v>
      </c>
      <c r="O5">
        <v>0</v>
      </c>
      <c r="P5">
        <v>6.5182012446891298</v>
      </c>
      <c r="Q5">
        <v>93.481798755310905</v>
      </c>
      <c r="R5">
        <v>52.873112007133301</v>
      </c>
      <c r="S5">
        <v>33.944425022098798</v>
      </c>
      <c r="T5">
        <v>13.182462970767901</v>
      </c>
      <c r="U5">
        <v>0</v>
      </c>
      <c r="V5">
        <v>47.126887992866699</v>
      </c>
      <c r="W5">
        <v>0.436570046734444</v>
      </c>
      <c r="X5">
        <v>-37.2943922164025</v>
      </c>
      <c r="Y5">
        <v>252.25331064030499</v>
      </c>
      <c r="Z5">
        <v>100</v>
      </c>
      <c r="AA5">
        <v>61.912511426588701</v>
      </c>
      <c r="AB5">
        <v>293.458413466916</v>
      </c>
      <c r="AC5">
        <v>291.40489345548502</v>
      </c>
      <c r="AD5">
        <v>26.453991573584101</v>
      </c>
      <c r="AE5">
        <v>327.12234544070901</v>
      </c>
      <c r="AF5">
        <v>3.69014991983541</v>
      </c>
      <c r="AG5">
        <v>780.468631417285</v>
      </c>
      <c r="AH5">
        <v>2.1289610786219599</v>
      </c>
      <c r="AI5">
        <v>49.521087084494098</v>
      </c>
      <c r="AJ5">
        <v>175.70002319774699</v>
      </c>
      <c r="AK5">
        <v>23.227352416746999</v>
      </c>
      <c r="AL5">
        <v>-34.219831712047601</v>
      </c>
      <c r="AM5">
        <v>3.9943764407062501</v>
      </c>
      <c r="AN5">
        <v>9.0517216639607003</v>
      </c>
      <c r="AO5">
        <v>0.9</v>
      </c>
      <c r="AP5">
        <v>1.2357494648126</v>
      </c>
      <c r="AQ5">
        <v>1.25</v>
      </c>
      <c r="AR5">
        <v>1.2846531277122499</v>
      </c>
      <c r="AS5">
        <v>0.99816361232404904</v>
      </c>
      <c r="AT5">
        <v>0.865491461320956</v>
      </c>
      <c r="AU5">
        <v>0.83882722917724195</v>
      </c>
      <c r="AV5">
        <v>1</v>
      </c>
      <c r="AW5">
        <v>0.98159194385621995</v>
      </c>
      <c r="AX5">
        <v>1</v>
      </c>
      <c r="AY5">
        <v>1</v>
      </c>
      <c r="AZ5">
        <v>0.93873504560927301</v>
      </c>
      <c r="BA5">
        <v>1</v>
      </c>
      <c r="BB5">
        <v>0.99298828189253197</v>
      </c>
      <c r="BC5">
        <v>5245866251.5</v>
      </c>
      <c r="BD5">
        <v>6.8084694729791798E-2</v>
      </c>
      <c r="BE5">
        <v>2807</v>
      </c>
    </row>
    <row r="6" spans="1:57" x14ac:dyDescent="0.25">
      <c r="A6">
        <v>5</v>
      </c>
      <c r="B6">
        <v>5</v>
      </c>
      <c r="C6">
        <v>35</v>
      </c>
      <c r="D6">
        <v>0.56635213461641798</v>
      </c>
      <c r="E6">
        <v>0.59863143293341903</v>
      </c>
      <c r="F6">
        <v>6.5884735407122399</v>
      </c>
      <c r="G6">
        <v>6.9517164570597103</v>
      </c>
      <c r="H6">
        <v>0.94607817675255401</v>
      </c>
      <c r="I6">
        <v>3.2279298317001E-2</v>
      </c>
      <c r="J6">
        <v>4.2548560404721499E-2</v>
      </c>
      <c r="K6">
        <v>1.47478634020683E-2</v>
      </c>
      <c r="L6">
        <v>4.7897385113835299E-4</v>
      </c>
      <c r="M6">
        <v>0.53572183517817096</v>
      </c>
      <c r="N6">
        <v>5.1342000973195996E-3</v>
      </c>
      <c r="O6">
        <v>0</v>
      </c>
      <c r="P6">
        <v>5.5248725165446899</v>
      </c>
      <c r="Q6">
        <v>94.475127483455296</v>
      </c>
      <c r="R6">
        <v>60.022730687128202</v>
      </c>
      <c r="S6">
        <v>25.2752402091945</v>
      </c>
      <c r="T6">
        <v>14.702029103677299</v>
      </c>
      <c r="U6">
        <v>0</v>
      </c>
      <c r="V6">
        <v>39.977269312871798</v>
      </c>
      <c r="W6">
        <v>0.53290304968340296</v>
      </c>
      <c r="X6">
        <v>-43.283239310815603</v>
      </c>
      <c r="Y6">
        <v>306.56723369515998</v>
      </c>
      <c r="Z6">
        <v>100</v>
      </c>
      <c r="AA6">
        <v>61.437267563706897</v>
      </c>
      <c r="AB6">
        <v>283.465848950713</v>
      </c>
      <c r="AC6">
        <v>281.35794564130703</v>
      </c>
      <c r="AD6">
        <v>33.639932978963301</v>
      </c>
      <c r="AE6">
        <v>319.25048877799202</v>
      </c>
      <c r="AF6">
        <v>3.7248916699541201</v>
      </c>
      <c r="AG6">
        <v>780.068673540948</v>
      </c>
      <c r="AH6">
        <v>0.966458999864654</v>
      </c>
      <c r="AI6">
        <v>47.750783367496801</v>
      </c>
      <c r="AJ6">
        <v>179.03522354847999</v>
      </c>
      <c r="AK6">
        <v>19.486095719174301</v>
      </c>
      <c r="AL6">
        <v>-31.520035900550301</v>
      </c>
      <c r="AM6">
        <v>3.6449151225379199</v>
      </c>
      <c r="AN6">
        <v>10.6142755674424</v>
      </c>
      <c r="AO6">
        <v>0.9</v>
      </c>
      <c r="AP6">
        <v>1.21049294319361</v>
      </c>
      <c r="AQ6">
        <v>1.25</v>
      </c>
      <c r="AR6">
        <v>1.2791207150944499</v>
      </c>
      <c r="AS6">
        <v>0.99861485466629696</v>
      </c>
      <c r="AT6">
        <v>0.87578973473153499</v>
      </c>
      <c r="AU6">
        <v>0.83969160554742805</v>
      </c>
      <c r="AV6">
        <v>1</v>
      </c>
      <c r="AW6">
        <v>0.98732980534631998</v>
      </c>
      <c r="AX6">
        <v>1</v>
      </c>
      <c r="AY6">
        <v>1</v>
      </c>
      <c r="AZ6">
        <v>0.94802954989326704</v>
      </c>
      <c r="BA6">
        <v>1</v>
      </c>
      <c r="BB6">
        <v>0.99472171142949695</v>
      </c>
      <c r="BC6">
        <v>12181732494</v>
      </c>
      <c r="BD6">
        <v>5.7904048859713703E-2</v>
      </c>
      <c r="BE6">
        <v>4158</v>
      </c>
    </row>
    <row r="7" spans="1:57" x14ac:dyDescent="0.25">
      <c r="A7">
        <v>6</v>
      </c>
      <c r="B7">
        <v>5</v>
      </c>
      <c r="C7">
        <v>40</v>
      </c>
      <c r="D7">
        <v>0.61309769691743499</v>
      </c>
      <c r="E7">
        <v>0.61694615199026903</v>
      </c>
      <c r="F7">
        <v>7.1140865498180501</v>
      </c>
      <c r="G7">
        <v>7.1572380480077502</v>
      </c>
      <c r="H7">
        <v>0.99376208918652098</v>
      </c>
      <c r="I7">
        <v>3.8484550728346599E-3</v>
      </c>
      <c r="J7">
        <v>4.42200826225599E-2</v>
      </c>
      <c r="K7">
        <v>1.2963223330806999E-2</v>
      </c>
      <c r="L7">
        <v>7.13616021797439E-4</v>
      </c>
      <c r="M7">
        <v>0.55711462455625405</v>
      </c>
      <c r="N7">
        <v>1.93460545885091E-3</v>
      </c>
      <c r="O7">
        <v>0</v>
      </c>
      <c r="P7">
        <v>4.8127924726875504</v>
      </c>
      <c r="Q7">
        <v>95.187207527312495</v>
      </c>
      <c r="R7">
        <v>27.264750681960201</v>
      </c>
      <c r="S7">
        <v>51.790891377314097</v>
      </c>
      <c r="T7">
        <v>20.944357940725698</v>
      </c>
      <c r="U7">
        <v>0</v>
      </c>
      <c r="V7">
        <v>72.735249318039806</v>
      </c>
      <c r="W7">
        <v>0.45611077762493701</v>
      </c>
      <c r="X7">
        <v>-59.5644133184271</v>
      </c>
      <c r="Y7">
        <v>276.90523327181398</v>
      </c>
      <c r="Z7">
        <v>100</v>
      </c>
      <c r="AA7">
        <v>57.399659010566197</v>
      </c>
      <c r="AB7">
        <v>290.38813657540902</v>
      </c>
      <c r="AC7">
        <v>288.46793516954801</v>
      </c>
      <c r="AD7">
        <v>36.070242167342201</v>
      </c>
      <c r="AE7">
        <v>315.57146664838899</v>
      </c>
      <c r="AF7">
        <v>3.68510272229378</v>
      </c>
      <c r="AG7">
        <v>779.96650641821498</v>
      </c>
      <c r="AH7">
        <v>1.6695536068892001</v>
      </c>
      <c r="AI7">
        <v>50.764001903921702</v>
      </c>
      <c r="AJ7">
        <v>179.53561903658201</v>
      </c>
      <c r="AK7">
        <v>14.748452167596</v>
      </c>
      <c r="AL7">
        <v>-32.251632898231698</v>
      </c>
      <c r="AM7">
        <v>3.93393865290022</v>
      </c>
      <c r="AN7">
        <v>12.3691464793396</v>
      </c>
      <c r="AO7">
        <v>0.9</v>
      </c>
      <c r="AP7">
        <v>1.2349675252713801</v>
      </c>
      <c r="AQ7">
        <v>1.25</v>
      </c>
      <c r="AR7">
        <v>1.2425871487990401</v>
      </c>
      <c r="AS7">
        <v>1.00142954008195</v>
      </c>
      <c r="AT7">
        <v>0.86921532403881796</v>
      </c>
      <c r="AU7">
        <v>0.839916362184434</v>
      </c>
      <c r="AV7">
        <v>1</v>
      </c>
      <c r="AW7">
        <v>0.98542984876159301</v>
      </c>
      <c r="AX7">
        <v>1</v>
      </c>
      <c r="AY7">
        <v>1</v>
      </c>
      <c r="AZ7">
        <v>0.90544417588654802</v>
      </c>
      <c r="BA7">
        <v>1</v>
      </c>
      <c r="BB7">
        <v>1.00619262539884</v>
      </c>
      <c r="BC7">
        <v>5796951295.6000004</v>
      </c>
      <c r="BD7">
        <v>4.3889997213794898E-2</v>
      </c>
      <c r="BE7">
        <v>2728</v>
      </c>
    </row>
    <row r="8" spans="1:57" x14ac:dyDescent="0.25">
      <c r="A8">
        <v>7</v>
      </c>
      <c r="B8">
        <v>5</v>
      </c>
      <c r="C8">
        <v>45</v>
      </c>
      <c r="D8">
        <v>0.51465427358945004</v>
      </c>
      <c r="E8">
        <v>0.64204983133528304</v>
      </c>
      <c r="F8">
        <v>6.0040022376504503</v>
      </c>
      <c r="G8">
        <v>7.4382670066878003</v>
      </c>
      <c r="H8">
        <v>0.80157995294401696</v>
      </c>
      <c r="I8">
        <v>0.127395557745832</v>
      </c>
      <c r="J8">
        <v>4.7542886038890599E-2</v>
      </c>
      <c r="K8">
        <v>1.50075020026202E-2</v>
      </c>
      <c r="L8">
        <v>5.19481431098866E-3</v>
      </c>
      <c r="M8">
        <v>0.56569716428474404</v>
      </c>
      <c r="N8">
        <v>8.6074646980393004E-3</v>
      </c>
      <c r="O8">
        <v>0</v>
      </c>
      <c r="P8">
        <v>8.4350590681365194</v>
      </c>
      <c r="Q8">
        <v>91.564940931863504</v>
      </c>
      <c r="R8">
        <v>67.655994071583706</v>
      </c>
      <c r="S8">
        <v>20.8697691044962</v>
      </c>
      <c r="T8">
        <v>11.474236823920201</v>
      </c>
      <c r="U8">
        <v>0</v>
      </c>
      <c r="V8">
        <v>32.344005928416301</v>
      </c>
      <c r="W8">
        <v>0.46910569901139998</v>
      </c>
      <c r="X8">
        <v>-38.560287640225098</v>
      </c>
      <c r="Y8">
        <v>527.56650561726099</v>
      </c>
      <c r="Z8">
        <v>100</v>
      </c>
      <c r="AA8">
        <v>57.8792143915163</v>
      </c>
      <c r="AB8">
        <v>284.63998902934702</v>
      </c>
      <c r="AC8">
        <v>282.92739047222</v>
      </c>
      <c r="AD8">
        <v>43.321337168658197</v>
      </c>
      <c r="AE8">
        <v>308.54531045091301</v>
      </c>
      <c r="AF8">
        <v>3.7964305252581001</v>
      </c>
      <c r="AG8">
        <v>778.976250195803</v>
      </c>
      <c r="AH8">
        <v>1.6391249680242099</v>
      </c>
      <c r="AI8">
        <v>47.629496705692397</v>
      </c>
      <c r="AJ8">
        <v>174.63477724129001</v>
      </c>
      <c r="AK8">
        <v>19.5476138175272</v>
      </c>
      <c r="AL8">
        <v>-35.170483210749801</v>
      </c>
      <c r="AM8">
        <v>3.35197272729769</v>
      </c>
      <c r="AN8">
        <v>12.6766645837306</v>
      </c>
      <c r="AO8">
        <v>0.9</v>
      </c>
      <c r="AP8">
        <v>1.18764661874347</v>
      </c>
      <c r="AQ8">
        <v>1.25</v>
      </c>
      <c r="AR8">
        <v>1.28226629029237</v>
      </c>
      <c r="AS8">
        <v>1.0004976523064699</v>
      </c>
      <c r="AT8">
        <v>0.87570762019790405</v>
      </c>
      <c r="AU8">
        <v>0.84175762268516496</v>
      </c>
      <c r="AV8">
        <v>1</v>
      </c>
      <c r="AW8">
        <v>0.98214616916505404</v>
      </c>
      <c r="AX8">
        <v>1</v>
      </c>
      <c r="AY8">
        <v>1</v>
      </c>
      <c r="AZ8">
        <v>0.95795279229305896</v>
      </c>
      <c r="BA8">
        <v>1</v>
      </c>
      <c r="BB8">
        <v>1.01776944039831</v>
      </c>
      <c r="BC8">
        <v>3527332700.3000002</v>
      </c>
      <c r="BD8">
        <v>4.9532280432694101E-2</v>
      </c>
      <c r="BE8">
        <v>2179</v>
      </c>
    </row>
    <row r="9" spans="1:57" x14ac:dyDescent="0.25">
      <c r="A9">
        <v>8</v>
      </c>
      <c r="B9">
        <v>5</v>
      </c>
      <c r="C9">
        <v>50</v>
      </c>
      <c r="D9">
        <v>0.66443552150595397</v>
      </c>
      <c r="E9">
        <v>0.61026236563728098</v>
      </c>
      <c r="F9">
        <v>7.68821087970161</v>
      </c>
      <c r="G9">
        <v>7.0822831242192601</v>
      </c>
      <c r="H9">
        <v>1.08877027147512</v>
      </c>
      <c r="I9">
        <v>-5.4173155868673002E-2</v>
      </c>
      <c r="J9">
        <v>4.8678759368386497E-2</v>
      </c>
      <c r="K9">
        <v>9.3817458127071103E-3</v>
      </c>
      <c r="L9">
        <v>1.7283872011063001E-3</v>
      </c>
      <c r="M9">
        <v>0.54782872188555898</v>
      </c>
      <c r="N9">
        <v>2.6447513695217698E-3</v>
      </c>
      <c r="O9">
        <v>0</v>
      </c>
      <c r="P9">
        <v>5.3602352171955099</v>
      </c>
      <c r="Q9">
        <v>94.639764782804505</v>
      </c>
      <c r="R9">
        <v>37.716996853064501</v>
      </c>
      <c r="S9">
        <v>43.745729627193398</v>
      </c>
      <c r="T9">
        <v>18.537273519742101</v>
      </c>
      <c r="U9">
        <v>0</v>
      </c>
      <c r="V9">
        <v>62.283003146935499</v>
      </c>
      <c r="W9">
        <v>0.27294172323810301</v>
      </c>
      <c r="X9">
        <v>-49.076888538966003</v>
      </c>
      <c r="Y9">
        <v>97.126978286643805</v>
      </c>
      <c r="Z9">
        <v>100</v>
      </c>
      <c r="AA9">
        <v>56.234136122941003</v>
      </c>
      <c r="AB9">
        <v>275.847358590076</v>
      </c>
      <c r="AC9">
        <v>273.87681471400202</v>
      </c>
      <c r="AD9">
        <v>46.237418008717398</v>
      </c>
      <c r="AE9">
        <v>305.25384149674301</v>
      </c>
      <c r="AF9">
        <v>3.4907866401039498</v>
      </c>
      <c r="AG9">
        <v>780.83837012783295</v>
      </c>
      <c r="AH9">
        <v>2.9729578210630101</v>
      </c>
      <c r="AI9">
        <v>49.464774166945197</v>
      </c>
      <c r="AJ9">
        <v>169.44111051224601</v>
      </c>
      <c r="AK9">
        <v>26.198700737906201</v>
      </c>
      <c r="AL9">
        <v>-31.9875106072856</v>
      </c>
      <c r="AM9">
        <v>3.30074806068132</v>
      </c>
      <c r="AN9">
        <v>13.4191057341496</v>
      </c>
      <c r="AO9">
        <v>0.9</v>
      </c>
      <c r="AP9">
        <v>1.19008980941348</v>
      </c>
      <c r="AQ9">
        <v>1.25</v>
      </c>
      <c r="AR9">
        <v>1.27418993028768</v>
      </c>
      <c r="AS9">
        <v>1.0021749284582699</v>
      </c>
      <c r="AT9">
        <v>0.88493611895410396</v>
      </c>
      <c r="AU9">
        <v>0.83823546688371298</v>
      </c>
      <c r="AV9">
        <v>1</v>
      </c>
      <c r="AW9">
        <v>0.985959315541175</v>
      </c>
      <c r="AX9">
        <v>1</v>
      </c>
      <c r="AY9">
        <v>1</v>
      </c>
      <c r="AZ9">
        <v>0.91903209590898405</v>
      </c>
      <c r="BA9">
        <v>1</v>
      </c>
      <c r="BB9">
        <v>1.0057566440219401</v>
      </c>
      <c r="BC9">
        <v>24117683113.099998</v>
      </c>
      <c r="BD9">
        <v>6.6671563793373106E-2</v>
      </c>
      <c r="BE9">
        <v>5340</v>
      </c>
    </row>
    <row r="10" spans="1:57" x14ac:dyDescent="0.25">
      <c r="A10">
        <v>9</v>
      </c>
      <c r="B10">
        <v>8</v>
      </c>
      <c r="C10">
        <v>15</v>
      </c>
      <c r="D10">
        <v>0.365581862074502</v>
      </c>
      <c r="E10">
        <v>0.55927883489232999</v>
      </c>
      <c r="F10">
        <v>4.2998394110672402</v>
      </c>
      <c r="G10">
        <v>6.5087034056183999</v>
      </c>
      <c r="H10">
        <v>0.65366654210128095</v>
      </c>
      <c r="I10">
        <v>0.19369697281782799</v>
      </c>
      <c r="J10">
        <v>3.5736531284222703E-2</v>
      </c>
      <c r="K10">
        <v>6.5838902515610899E-3</v>
      </c>
      <c r="L10" s="1">
        <v>2.1112204434487999E-10</v>
      </c>
      <c r="M10">
        <v>0.50714300490348696</v>
      </c>
      <c r="N10">
        <v>9.8154082419377002E-3</v>
      </c>
      <c r="O10">
        <v>0</v>
      </c>
      <c r="P10">
        <v>6.5060049779960503</v>
      </c>
      <c r="Q10">
        <v>93.493995022004</v>
      </c>
      <c r="R10">
        <v>55.455428644857498</v>
      </c>
      <c r="S10">
        <v>32.655862929484002</v>
      </c>
      <c r="T10">
        <v>11.888708425658599</v>
      </c>
      <c r="U10">
        <v>0</v>
      </c>
      <c r="V10">
        <v>44.544571355142601</v>
      </c>
      <c r="W10">
        <v>0.39511119057956601</v>
      </c>
      <c r="X10">
        <v>-36.144832020299098</v>
      </c>
      <c r="Y10">
        <v>41.465016397880198</v>
      </c>
      <c r="Z10">
        <v>100</v>
      </c>
      <c r="AA10">
        <v>66.136725239068497</v>
      </c>
      <c r="AB10">
        <v>300.81071936634498</v>
      </c>
      <c r="AC10">
        <v>298.62265696907201</v>
      </c>
      <c r="AD10">
        <v>14.3690810060689</v>
      </c>
      <c r="AE10">
        <v>342.23360237840302</v>
      </c>
      <c r="AF10">
        <v>3.4948236131885899</v>
      </c>
      <c r="AG10">
        <v>780.47837778477003</v>
      </c>
      <c r="AH10">
        <v>4.1617917249704002</v>
      </c>
      <c r="AI10">
        <v>50.0157877991291</v>
      </c>
      <c r="AJ10">
        <v>175.08109617529499</v>
      </c>
      <c r="AK10">
        <v>31.4221897570817</v>
      </c>
      <c r="AL10">
        <v>-34.981837849330603</v>
      </c>
      <c r="AM10">
        <v>6.5886351720458798</v>
      </c>
      <c r="AN10">
        <v>7.9702431137925096</v>
      </c>
      <c r="AO10">
        <v>0.9</v>
      </c>
      <c r="AP10">
        <v>1.2907254512364299</v>
      </c>
      <c r="AQ10">
        <v>1.1526432732891401</v>
      </c>
      <c r="AR10">
        <v>1.2855305562033199</v>
      </c>
      <c r="AS10">
        <v>0.99516679917198403</v>
      </c>
      <c r="AT10">
        <v>0.85735473048882505</v>
      </c>
      <c r="AU10">
        <v>0.83881531920543995</v>
      </c>
      <c r="AV10">
        <v>1</v>
      </c>
      <c r="AW10">
        <v>0.97855463886534799</v>
      </c>
      <c r="AX10">
        <v>1</v>
      </c>
      <c r="AY10">
        <v>1</v>
      </c>
      <c r="AZ10">
        <v>0.94209205723831502</v>
      </c>
      <c r="BA10">
        <v>1</v>
      </c>
      <c r="BB10">
        <v>0.985866549838052</v>
      </c>
      <c r="BC10">
        <v>18754971146.299999</v>
      </c>
      <c r="BD10">
        <v>5.0926765196795898E-2</v>
      </c>
      <c r="BE10">
        <v>4531</v>
      </c>
    </row>
    <row r="11" spans="1:57" x14ac:dyDescent="0.25">
      <c r="A11">
        <v>10</v>
      </c>
      <c r="B11">
        <v>8</v>
      </c>
      <c r="C11">
        <v>20</v>
      </c>
      <c r="D11">
        <v>0.51571129594113396</v>
      </c>
      <c r="E11">
        <v>0.549425414488665</v>
      </c>
      <c r="F11">
        <v>6.0159859199537697</v>
      </c>
      <c r="G11">
        <v>6.3974759828127103</v>
      </c>
      <c r="H11">
        <v>0.93863749717710498</v>
      </c>
      <c r="I11">
        <v>3.3714118547530703E-2</v>
      </c>
      <c r="J11">
        <v>3.6310888374431798E-2</v>
      </c>
      <c r="K11">
        <v>9.9464408630466593E-3</v>
      </c>
      <c r="L11" s="1">
        <v>6.7976657609695906E-5</v>
      </c>
      <c r="M11">
        <v>0.49913261007736098</v>
      </c>
      <c r="N11">
        <v>3.9674985162155797E-3</v>
      </c>
      <c r="O11">
        <v>0</v>
      </c>
      <c r="P11">
        <v>4.9096082552484601</v>
      </c>
      <c r="Q11">
        <v>95.0903917447515</v>
      </c>
      <c r="R11">
        <v>40.2242368367544</v>
      </c>
      <c r="S11">
        <v>37.864425699494298</v>
      </c>
      <c r="T11">
        <v>21.911337463751298</v>
      </c>
      <c r="U11">
        <v>0</v>
      </c>
      <c r="V11">
        <v>59.7757631632456</v>
      </c>
      <c r="W11">
        <v>0.580711014227005</v>
      </c>
      <c r="X11">
        <v>-53.558937419481303</v>
      </c>
      <c r="Y11">
        <v>37.836515699310297</v>
      </c>
      <c r="Z11">
        <v>100</v>
      </c>
      <c r="AA11">
        <v>60.7246376757899</v>
      </c>
      <c r="AB11">
        <v>301.90775108910202</v>
      </c>
      <c r="AC11">
        <v>299.69931441855499</v>
      </c>
      <c r="AD11">
        <v>16.627077310186301</v>
      </c>
      <c r="AE11">
        <v>338.65328552505099</v>
      </c>
      <c r="AF11">
        <v>3.5293011004433099</v>
      </c>
      <c r="AG11">
        <v>779.73017941880096</v>
      </c>
      <c r="AH11">
        <v>6.75674562900182</v>
      </c>
      <c r="AI11">
        <v>48.523947634401203</v>
      </c>
      <c r="AJ11">
        <v>178.346077399705</v>
      </c>
      <c r="AK11">
        <v>22.159131645781301</v>
      </c>
      <c r="AL11">
        <v>-23.574637310600401</v>
      </c>
      <c r="AM11">
        <v>6.7619498594844201</v>
      </c>
      <c r="AN11">
        <v>9.5260601767167898</v>
      </c>
      <c r="AO11">
        <v>0.9</v>
      </c>
      <c r="AP11">
        <v>1.2906947645728699</v>
      </c>
      <c r="AQ11">
        <v>1.22874093161301</v>
      </c>
      <c r="AR11">
        <v>1.2476972061012299</v>
      </c>
      <c r="AS11">
        <v>0.99868173260218596</v>
      </c>
      <c r="AT11">
        <v>0.85634174045734401</v>
      </c>
      <c r="AU11">
        <v>0.84040014690362896</v>
      </c>
      <c r="AV11">
        <v>1</v>
      </c>
      <c r="AW11">
        <v>1.0027374530791999</v>
      </c>
      <c r="AX11">
        <v>1</v>
      </c>
      <c r="AY11">
        <v>1</v>
      </c>
      <c r="AZ11">
        <v>0.92229150788778103</v>
      </c>
      <c r="BA11">
        <v>1</v>
      </c>
      <c r="BB11">
        <v>0.992859956694507</v>
      </c>
      <c r="BC11">
        <v>55305712609.5</v>
      </c>
      <c r="BD11">
        <v>6.03340397914673E-2</v>
      </c>
      <c r="BE11">
        <v>8434</v>
      </c>
    </row>
    <row r="12" spans="1:57" x14ac:dyDescent="0.25">
      <c r="A12">
        <v>11</v>
      </c>
      <c r="B12">
        <v>8</v>
      </c>
      <c r="C12">
        <v>25</v>
      </c>
      <c r="D12">
        <v>0.59848906649626599</v>
      </c>
      <c r="E12">
        <v>0.61426329000456503</v>
      </c>
      <c r="F12">
        <v>6.9501172367890698</v>
      </c>
      <c r="G12">
        <v>7.1271579134855303</v>
      </c>
      <c r="H12">
        <v>0.97432009406230002</v>
      </c>
      <c r="I12">
        <v>1.5774223508299001E-2</v>
      </c>
      <c r="J12">
        <v>3.7959662577146301E-2</v>
      </c>
      <c r="K12">
        <v>8.9224786183839198E-3</v>
      </c>
      <c r="L12">
        <v>3.6456588635199699E-3</v>
      </c>
      <c r="M12">
        <v>0.55850958453126598</v>
      </c>
      <c r="N12">
        <v>5.2259054142497902E-3</v>
      </c>
      <c r="O12">
        <v>0</v>
      </c>
      <c r="P12">
        <v>5.0139386633758596</v>
      </c>
      <c r="Q12">
        <v>94.986061336624104</v>
      </c>
      <c r="R12">
        <v>46.894379641744102</v>
      </c>
      <c r="S12">
        <v>35.021626713722902</v>
      </c>
      <c r="T12">
        <v>18.083993644532999</v>
      </c>
      <c r="U12">
        <v>0</v>
      </c>
      <c r="V12">
        <v>53.105620358255898</v>
      </c>
      <c r="W12">
        <v>0.42305410518261399</v>
      </c>
      <c r="X12">
        <v>-48.760330107112502</v>
      </c>
      <c r="Y12">
        <v>160.37880657146599</v>
      </c>
      <c r="Z12">
        <v>100</v>
      </c>
      <c r="AA12">
        <v>58.8055371101755</v>
      </c>
      <c r="AB12">
        <v>299.86211651386202</v>
      </c>
      <c r="AC12">
        <v>297.62556580049699</v>
      </c>
      <c r="AD12">
        <v>22.723265247412701</v>
      </c>
      <c r="AE12">
        <v>331.95570851418199</v>
      </c>
      <c r="AF12">
        <v>3.64083794864912</v>
      </c>
      <c r="AG12">
        <v>780.458482983507</v>
      </c>
      <c r="AH12">
        <v>3.6155764545380902</v>
      </c>
      <c r="AI12">
        <v>50.3097442563081</v>
      </c>
      <c r="AJ12">
        <v>175.80560106118301</v>
      </c>
      <c r="AK12">
        <v>20.386289734740199</v>
      </c>
      <c r="AL12">
        <v>-28.9841794079768</v>
      </c>
      <c r="AM12">
        <v>6.7928081656420796</v>
      </c>
      <c r="AN12">
        <v>13.310406452672099</v>
      </c>
      <c r="AO12">
        <v>0.9</v>
      </c>
      <c r="AP12">
        <v>1.2904678708841</v>
      </c>
      <c r="AQ12">
        <v>1.25</v>
      </c>
      <c r="AR12">
        <v>1.26450715522081</v>
      </c>
      <c r="AS12">
        <v>1.00007650906405</v>
      </c>
      <c r="AT12">
        <v>0.85858865187953404</v>
      </c>
      <c r="AU12">
        <v>0.83900217903588403</v>
      </c>
      <c r="AV12">
        <v>1</v>
      </c>
      <c r="AW12">
        <v>0.99117401348099499</v>
      </c>
      <c r="AX12">
        <v>1</v>
      </c>
      <c r="AY12">
        <v>1</v>
      </c>
      <c r="AZ12">
        <v>0.93096269353426697</v>
      </c>
      <c r="BA12">
        <v>1</v>
      </c>
      <c r="BB12">
        <v>0.99315694906154195</v>
      </c>
      <c r="BC12">
        <v>61986802048.5</v>
      </c>
      <c r="BD12">
        <v>6.6933196820431695E-2</v>
      </c>
      <c r="BE12">
        <v>9886</v>
      </c>
    </row>
    <row r="13" spans="1:57" x14ac:dyDescent="0.25">
      <c r="A13">
        <v>12</v>
      </c>
      <c r="B13">
        <v>8</v>
      </c>
      <c r="C13">
        <v>30</v>
      </c>
      <c r="D13">
        <v>0.73394640945217204</v>
      </c>
      <c r="E13">
        <v>0.71902959579130499</v>
      </c>
      <c r="F13">
        <v>8.4603858374155703</v>
      </c>
      <c r="G13">
        <v>8.2951802986630003</v>
      </c>
      <c r="H13">
        <v>1.02074575754347</v>
      </c>
      <c r="I13">
        <v>-1.49168136608671E-2</v>
      </c>
      <c r="J13">
        <v>3.9560465128622102E-2</v>
      </c>
      <c r="K13">
        <v>1.09143791818177E-2</v>
      </c>
      <c r="L13">
        <v>1.17290854062125E-2</v>
      </c>
      <c r="M13">
        <v>0.64737431533197298</v>
      </c>
      <c r="N13">
        <v>9.4513507426795696E-3</v>
      </c>
      <c r="O13">
        <v>0</v>
      </c>
      <c r="P13">
        <v>6.7823093966882402</v>
      </c>
      <c r="Q13">
        <v>93.217690603311794</v>
      </c>
      <c r="R13">
        <v>52.6977425108022</v>
      </c>
      <c r="S13">
        <v>34.9400057088979</v>
      </c>
      <c r="T13">
        <v>12.3622517802998</v>
      </c>
      <c r="U13">
        <v>0</v>
      </c>
      <c r="V13">
        <v>47.3022574891977</v>
      </c>
      <c r="W13">
        <v>0.46978216198345102</v>
      </c>
      <c r="X13">
        <v>-37.953540715126302</v>
      </c>
      <c r="Y13">
        <v>284.15152858715101</v>
      </c>
      <c r="Z13">
        <v>100</v>
      </c>
      <c r="AA13">
        <v>58.436270971571602</v>
      </c>
      <c r="AB13">
        <v>290.62133503899901</v>
      </c>
      <c r="AC13">
        <v>288.51934889399098</v>
      </c>
      <c r="AD13">
        <v>26.41464794737</v>
      </c>
      <c r="AE13">
        <v>327.344116078779</v>
      </c>
      <c r="AF13">
        <v>3.7132023849539602</v>
      </c>
      <c r="AG13">
        <v>780.08652049434397</v>
      </c>
      <c r="AH13">
        <v>3.0884056647126101</v>
      </c>
      <c r="AI13">
        <v>47.384908517678703</v>
      </c>
      <c r="AJ13">
        <v>176.321313800707</v>
      </c>
      <c r="AK13">
        <v>21.905922888328501</v>
      </c>
      <c r="AL13">
        <v>-31.510423077113199</v>
      </c>
      <c r="AM13">
        <v>6.7327551453422698</v>
      </c>
      <c r="AN13">
        <v>15.455935710555201</v>
      </c>
      <c r="AO13">
        <v>0.9</v>
      </c>
      <c r="AP13">
        <v>1.2906801611418399</v>
      </c>
      <c r="AQ13">
        <v>1.25</v>
      </c>
      <c r="AR13">
        <v>1.2850275151718999</v>
      </c>
      <c r="AS13">
        <v>1.00066133674595</v>
      </c>
      <c r="AT13">
        <v>0.86871569049484898</v>
      </c>
      <c r="AU13">
        <v>0.83973396951197699</v>
      </c>
      <c r="AV13">
        <v>1</v>
      </c>
      <c r="AW13">
        <v>0.98736905249417695</v>
      </c>
      <c r="AX13">
        <v>1</v>
      </c>
      <c r="AY13">
        <v>1</v>
      </c>
      <c r="AZ13">
        <v>0.93850706526404304</v>
      </c>
      <c r="BA13">
        <v>1</v>
      </c>
      <c r="BB13">
        <v>0.99790675160409303</v>
      </c>
      <c r="BC13">
        <v>11442403908.6</v>
      </c>
      <c r="BD13">
        <v>6.8602661781685698E-2</v>
      </c>
      <c r="BE13">
        <v>3800</v>
      </c>
    </row>
    <row r="14" spans="1:57" x14ac:dyDescent="0.25">
      <c r="A14">
        <v>13</v>
      </c>
      <c r="B14">
        <v>8</v>
      </c>
      <c r="C14">
        <v>35</v>
      </c>
      <c r="D14">
        <v>0.73056590112762598</v>
      </c>
      <c r="E14">
        <v>0.63787649508121702</v>
      </c>
      <c r="F14">
        <v>8.4229702194102192</v>
      </c>
      <c r="G14">
        <v>7.3916017337886899</v>
      </c>
      <c r="H14">
        <v>1.1453093298799299</v>
      </c>
      <c r="I14">
        <v>-9.2689406046408407E-2</v>
      </c>
      <c r="J14">
        <v>4.2471087918161697E-2</v>
      </c>
      <c r="K14">
        <v>1.4237763728186401E-2</v>
      </c>
      <c r="L14">
        <v>1.37388219906356E-2</v>
      </c>
      <c r="M14">
        <v>0.56098500606738999</v>
      </c>
      <c r="N14">
        <v>6.4438153768434396E-3</v>
      </c>
      <c r="O14">
        <v>0</v>
      </c>
      <c r="P14">
        <v>5.3940452381400297</v>
      </c>
      <c r="Q14">
        <v>94.605954761860005</v>
      </c>
      <c r="R14">
        <v>49.9336632644725</v>
      </c>
      <c r="S14">
        <v>30.476945633024101</v>
      </c>
      <c r="T14">
        <v>19.589391102503399</v>
      </c>
      <c r="U14">
        <v>0</v>
      </c>
      <c r="V14">
        <v>50.0663367355275</v>
      </c>
      <c r="W14">
        <v>0.53953979821588005</v>
      </c>
      <c r="X14">
        <v>-41.996949064564703</v>
      </c>
      <c r="Y14">
        <v>328.60059610462599</v>
      </c>
      <c r="Z14">
        <v>100</v>
      </c>
      <c r="AA14">
        <v>53.8629695762653</v>
      </c>
      <c r="AB14">
        <v>291.61421457670099</v>
      </c>
      <c r="AC14">
        <v>289.47012458782399</v>
      </c>
      <c r="AD14">
        <v>33.848228355299</v>
      </c>
      <c r="AE14">
        <v>319.44126611661102</v>
      </c>
      <c r="AF14">
        <v>3.72474211775915</v>
      </c>
      <c r="AG14">
        <v>780.85605693503305</v>
      </c>
      <c r="AH14">
        <v>0.91633279088340902</v>
      </c>
      <c r="AI14">
        <v>46.832286636026701</v>
      </c>
      <c r="AJ14">
        <v>179.13845033685399</v>
      </c>
      <c r="AK14">
        <v>19.191038767962901</v>
      </c>
      <c r="AL14">
        <v>-29.802129709481999</v>
      </c>
      <c r="AM14">
        <v>6.8157636067338103</v>
      </c>
      <c r="AN14">
        <v>20.528522326093199</v>
      </c>
      <c r="AO14">
        <v>0.9</v>
      </c>
      <c r="AP14">
        <v>1.29056412174299</v>
      </c>
      <c r="AQ14">
        <v>1.25</v>
      </c>
      <c r="AR14">
        <v>1.2808477492188799</v>
      </c>
      <c r="AS14">
        <v>1.0030872208005399</v>
      </c>
      <c r="AT14">
        <v>0.86733292261398798</v>
      </c>
      <c r="AU14">
        <v>0.83817630116515696</v>
      </c>
      <c r="AV14">
        <v>1</v>
      </c>
      <c r="AW14">
        <v>0.99016538471309601</v>
      </c>
      <c r="AX14">
        <v>1</v>
      </c>
      <c r="AY14">
        <v>1</v>
      </c>
      <c r="AZ14">
        <v>0.93491376224381395</v>
      </c>
      <c r="BA14">
        <v>1</v>
      </c>
      <c r="BB14">
        <v>0.994843230977143</v>
      </c>
      <c r="BC14">
        <v>29434054667.799999</v>
      </c>
      <c r="BD14">
        <v>6.9173467141255995E-2</v>
      </c>
      <c r="BE14">
        <v>5359</v>
      </c>
    </row>
    <row r="15" spans="1:57" x14ac:dyDescent="0.25">
      <c r="A15">
        <v>14</v>
      </c>
      <c r="B15">
        <v>8</v>
      </c>
      <c r="C15">
        <v>40</v>
      </c>
      <c r="D15">
        <v>0.718781190583201</v>
      </c>
      <c r="E15">
        <v>0.65245868319988098</v>
      </c>
      <c r="F15">
        <v>8.29242686848856</v>
      </c>
      <c r="G15">
        <v>7.5545624527233199</v>
      </c>
      <c r="H15">
        <v>1.10165012604025</v>
      </c>
      <c r="I15">
        <v>-6.6322507383320503E-2</v>
      </c>
      <c r="J15">
        <v>4.4207235921950798E-2</v>
      </c>
      <c r="K15">
        <v>1.21823579621167E-2</v>
      </c>
      <c r="L15">
        <v>3.9360979446895197E-3</v>
      </c>
      <c r="M15">
        <v>0.59019396561593096</v>
      </c>
      <c r="N15">
        <v>1.9390257551926699E-3</v>
      </c>
      <c r="O15">
        <v>0</v>
      </c>
      <c r="P15">
        <v>5.7521693995870997</v>
      </c>
      <c r="Q15">
        <v>94.247830600412897</v>
      </c>
      <c r="R15">
        <v>28.579234946193701</v>
      </c>
      <c r="S15">
        <v>54.990503314801998</v>
      </c>
      <c r="T15">
        <v>16.430261739004301</v>
      </c>
      <c r="U15">
        <v>0</v>
      </c>
      <c r="V15">
        <v>71.420765053806306</v>
      </c>
      <c r="W15">
        <v>0.44507565716570302</v>
      </c>
      <c r="X15">
        <v>-58.216668612691798</v>
      </c>
      <c r="Y15">
        <v>263.927334978293</v>
      </c>
      <c r="Z15">
        <v>100</v>
      </c>
      <c r="AA15">
        <v>52.464972362483898</v>
      </c>
      <c r="AB15">
        <v>289.52759705165101</v>
      </c>
      <c r="AC15">
        <v>287.53515201375899</v>
      </c>
      <c r="AD15">
        <v>35.850026862963801</v>
      </c>
      <c r="AE15">
        <v>315.539558469594</v>
      </c>
      <c r="AF15">
        <v>3.6751676965493498</v>
      </c>
      <c r="AG15">
        <v>779.55952671319994</v>
      </c>
      <c r="AH15">
        <v>1.4152035642510801</v>
      </c>
      <c r="AI15">
        <v>48.556908246554102</v>
      </c>
      <c r="AJ15">
        <v>179.575589405767</v>
      </c>
      <c r="AK15">
        <v>14.867427066358101</v>
      </c>
      <c r="AL15">
        <v>-32.122153433580102</v>
      </c>
      <c r="AM15">
        <v>6.8312664299093004</v>
      </c>
      <c r="AN15">
        <v>21.891185214294602</v>
      </c>
      <c r="AO15">
        <v>0.9</v>
      </c>
      <c r="AP15">
        <v>1.2905771744702501</v>
      </c>
      <c r="AQ15">
        <v>1.25</v>
      </c>
      <c r="AR15">
        <v>1.2492842472432599</v>
      </c>
      <c r="AS15">
        <v>1.00467977902878</v>
      </c>
      <c r="AT15">
        <v>0.87026188175928998</v>
      </c>
      <c r="AU15">
        <v>0.84085802456541703</v>
      </c>
      <c r="AV15">
        <v>1</v>
      </c>
      <c r="AW15">
        <v>0.98484990773375602</v>
      </c>
      <c r="AX15">
        <v>1</v>
      </c>
      <c r="AY15">
        <v>1</v>
      </c>
      <c r="AZ15">
        <v>0.90715300543005195</v>
      </c>
      <c r="BA15">
        <v>1</v>
      </c>
      <c r="BB15">
        <v>1.01363479601374</v>
      </c>
      <c r="BC15">
        <v>11515607416.700001</v>
      </c>
      <c r="BD15">
        <v>8.0731907309405201E-2</v>
      </c>
      <c r="BE15">
        <v>3209</v>
      </c>
    </row>
    <row r="16" spans="1:57" x14ac:dyDescent="0.25">
      <c r="A16">
        <v>15</v>
      </c>
      <c r="B16">
        <v>8</v>
      </c>
      <c r="C16">
        <v>45</v>
      </c>
      <c r="D16">
        <v>0.89650222852685801</v>
      </c>
      <c r="E16">
        <v>0.66780294489756098</v>
      </c>
      <c r="F16">
        <v>10.2431105438437</v>
      </c>
      <c r="G16">
        <v>7.72575573227049</v>
      </c>
      <c r="H16">
        <v>1.34246522177943</v>
      </c>
      <c r="I16">
        <v>-0.22869928362929701</v>
      </c>
      <c r="J16">
        <v>4.76444679757589E-2</v>
      </c>
      <c r="K16">
        <v>1.34336975518275E-2</v>
      </c>
      <c r="L16">
        <v>2.0952410629599801E-2</v>
      </c>
      <c r="M16">
        <v>0.57583516133054702</v>
      </c>
      <c r="N16">
        <v>9.9372074098279892E-3</v>
      </c>
      <c r="O16">
        <v>0</v>
      </c>
      <c r="P16">
        <v>5.9227117321673601</v>
      </c>
      <c r="Q16">
        <v>94.0772882678326</v>
      </c>
      <c r="R16">
        <v>41.337525484900098</v>
      </c>
      <c r="S16">
        <v>39.3228443269468</v>
      </c>
      <c r="T16">
        <v>19.339630188152999</v>
      </c>
      <c r="U16">
        <v>0</v>
      </c>
      <c r="V16">
        <v>58.662474515099902</v>
      </c>
      <c r="W16">
        <v>0.44827212277158401</v>
      </c>
      <c r="X16">
        <v>-36.873644751835201</v>
      </c>
      <c r="Y16">
        <v>501.42218628225601</v>
      </c>
      <c r="Z16">
        <v>100</v>
      </c>
      <c r="AA16">
        <v>47.218587407640598</v>
      </c>
      <c r="AB16">
        <v>287.24468015246498</v>
      </c>
      <c r="AC16">
        <v>285.30195239248502</v>
      </c>
      <c r="AD16">
        <v>43.322334880294697</v>
      </c>
      <c r="AE16">
        <v>308.03309674448599</v>
      </c>
      <c r="AF16">
        <v>3.7729564626404399</v>
      </c>
      <c r="AG16">
        <v>780.89420518239399</v>
      </c>
      <c r="AH16">
        <v>3.2447251236950501</v>
      </c>
      <c r="AI16">
        <v>42.642249176285901</v>
      </c>
      <c r="AJ16">
        <v>174.11058658204101</v>
      </c>
      <c r="AK16">
        <v>19.906279904577701</v>
      </c>
      <c r="AL16">
        <v>-32.501783856792898</v>
      </c>
      <c r="AM16">
        <v>6.9000368459851504</v>
      </c>
      <c r="AN16">
        <v>27.358680645742599</v>
      </c>
      <c r="AO16">
        <v>0.9</v>
      </c>
      <c r="AP16">
        <v>1.2900002681559699</v>
      </c>
      <c r="AQ16">
        <v>1.25</v>
      </c>
      <c r="AR16">
        <v>1.2846079583533001</v>
      </c>
      <c r="AS16">
        <v>1.0056528356903101</v>
      </c>
      <c r="AT16">
        <v>0.87197838597757904</v>
      </c>
      <c r="AU16">
        <v>0.83803415470762499</v>
      </c>
      <c r="AV16">
        <v>1</v>
      </c>
      <c r="AW16">
        <v>0.98570193206053003</v>
      </c>
      <c r="AX16">
        <v>1</v>
      </c>
      <c r="AY16">
        <v>1</v>
      </c>
      <c r="AZ16">
        <v>0.92373878313036994</v>
      </c>
      <c r="BA16">
        <v>1</v>
      </c>
      <c r="BB16">
        <v>0.99860138054217995</v>
      </c>
      <c r="BC16">
        <v>4805178775.6999998</v>
      </c>
      <c r="BD16">
        <v>8.1403313718167294E-2</v>
      </c>
      <c r="BE16">
        <v>2269</v>
      </c>
    </row>
    <row r="17" spans="1:57" x14ac:dyDescent="0.25">
      <c r="A17">
        <v>16</v>
      </c>
      <c r="B17">
        <v>8</v>
      </c>
      <c r="C17">
        <v>50</v>
      </c>
      <c r="D17">
        <v>0.80919022246011396</v>
      </c>
      <c r="E17">
        <v>0.67834751497225498</v>
      </c>
      <c r="F17">
        <v>9.2895692139908093</v>
      </c>
      <c r="G17">
        <v>7.8432311590992301</v>
      </c>
      <c r="H17">
        <v>1.1928844797097999</v>
      </c>
      <c r="I17">
        <v>-0.13084270748785901</v>
      </c>
      <c r="J17">
        <v>4.8915761584747301E-2</v>
      </c>
      <c r="K17">
        <v>9.0980466194640099E-3</v>
      </c>
      <c r="L17">
        <v>8.2184063949094603E-3</v>
      </c>
      <c r="M17">
        <v>0.60844104687082701</v>
      </c>
      <c r="N17">
        <v>3.6742535023076201E-3</v>
      </c>
      <c r="O17">
        <v>0</v>
      </c>
      <c r="P17">
        <v>6.8591356884586698</v>
      </c>
      <c r="Q17">
        <v>93.140864311541307</v>
      </c>
      <c r="R17">
        <v>40.200494790590099</v>
      </c>
      <c r="S17">
        <v>43.2950832401852</v>
      </c>
      <c r="T17">
        <v>16.504421969224701</v>
      </c>
      <c r="U17">
        <v>0</v>
      </c>
      <c r="V17">
        <v>59.799505209409901</v>
      </c>
      <c r="W17">
        <v>0.27962404442128502</v>
      </c>
      <c r="X17">
        <v>-46.528383624213902</v>
      </c>
      <c r="Y17">
        <v>107.013571904312</v>
      </c>
      <c r="Z17">
        <v>100</v>
      </c>
      <c r="AA17">
        <v>49.198413040720403</v>
      </c>
      <c r="AB17">
        <v>281.86048441147699</v>
      </c>
      <c r="AC17">
        <v>279.95530366718998</v>
      </c>
      <c r="AD17">
        <v>46.3424706760226</v>
      </c>
      <c r="AE17">
        <v>305.027915615334</v>
      </c>
      <c r="AF17">
        <v>3.4914517635171101</v>
      </c>
      <c r="AG17">
        <v>780.96186426985196</v>
      </c>
      <c r="AH17">
        <v>3.2170922930619898</v>
      </c>
      <c r="AI17">
        <v>54.3078188657041</v>
      </c>
      <c r="AJ17">
        <v>169.653944322538</v>
      </c>
      <c r="AK17">
        <v>26.312005375099599</v>
      </c>
      <c r="AL17">
        <v>-32.5218440862132</v>
      </c>
      <c r="AM17">
        <v>6.4914112707121898</v>
      </c>
      <c r="AN17">
        <v>27.545986008064101</v>
      </c>
      <c r="AO17">
        <v>0.9</v>
      </c>
      <c r="AP17">
        <v>1.2901326816345799</v>
      </c>
      <c r="AQ17">
        <v>1.25</v>
      </c>
      <c r="AR17">
        <v>1.27802443806708</v>
      </c>
      <c r="AS17">
        <v>1.0058678176481499</v>
      </c>
      <c r="AT17">
        <v>0.87865796540900598</v>
      </c>
      <c r="AU17">
        <v>0.83800493406686405</v>
      </c>
      <c r="AV17">
        <v>1</v>
      </c>
      <c r="AW17">
        <v>0.985698370730693</v>
      </c>
      <c r="AX17">
        <v>1</v>
      </c>
      <c r="AY17">
        <v>1</v>
      </c>
      <c r="AZ17">
        <v>0.92226064322776702</v>
      </c>
      <c r="BA17">
        <v>1</v>
      </c>
      <c r="BB17">
        <v>1.01057610582363</v>
      </c>
      <c r="BC17">
        <v>17610309602.599998</v>
      </c>
      <c r="BD17">
        <v>8.2711178223676102E-2</v>
      </c>
      <c r="BE17">
        <v>4741</v>
      </c>
    </row>
    <row r="18" spans="1:57" x14ac:dyDescent="0.25">
      <c r="A18">
        <v>17</v>
      </c>
      <c r="B18">
        <v>11</v>
      </c>
      <c r="C18">
        <v>15</v>
      </c>
      <c r="D18">
        <v>0.50191459689694495</v>
      </c>
      <c r="E18">
        <v>0.529358364554393</v>
      </c>
      <c r="F18">
        <v>5.8594596581451199</v>
      </c>
      <c r="G18">
        <v>6.1705798620518904</v>
      </c>
      <c r="H18">
        <v>0.94815654291106</v>
      </c>
      <c r="I18">
        <v>2.7443767657447202E-2</v>
      </c>
      <c r="J18">
        <v>3.5641216040730103E-2</v>
      </c>
      <c r="K18">
        <v>6.3823718884121203E-3</v>
      </c>
      <c r="L18">
        <v>8.9745193562701798E-4</v>
      </c>
      <c r="M18">
        <v>0.47473674970713797</v>
      </c>
      <c r="N18">
        <v>1.1700574982485799E-2</v>
      </c>
      <c r="O18">
        <v>0</v>
      </c>
      <c r="P18">
        <v>5.5030198547497502</v>
      </c>
      <c r="Q18">
        <v>94.496980145250205</v>
      </c>
      <c r="R18">
        <v>36.635873635954297</v>
      </c>
      <c r="S18">
        <v>43.551120636697597</v>
      </c>
      <c r="T18">
        <v>19.813005727348099</v>
      </c>
      <c r="U18">
        <v>0</v>
      </c>
      <c r="V18">
        <v>63.364126364045703</v>
      </c>
      <c r="W18">
        <v>0.40879483262869698</v>
      </c>
      <c r="X18">
        <v>-35.739169627584502</v>
      </c>
      <c r="Y18">
        <v>49.065433547827404</v>
      </c>
      <c r="Z18">
        <v>100</v>
      </c>
      <c r="AA18">
        <v>58.025915322940698</v>
      </c>
      <c r="AB18">
        <v>318.59223221343899</v>
      </c>
      <c r="AC18">
        <v>316.47036640021901</v>
      </c>
      <c r="AD18">
        <v>14.275483456890599</v>
      </c>
      <c r="AE18">
        <v>342.46277631025299</v>
      </c>
      <c r="AF18">
        <v>3.5021959823544799</v>
      </c>
      <c r="AG18">
        <v>781.01306726049995</v>
      </c>
      <c r="AH18">
        <v>5.3391956325697896</v>
      </c>
      <c r="AI18">
        <v>52.125058759614298</v>
      </c>
      <c r="AJ18">
        <v>175.16125563856801</v>
      </c>
      <c r="AK18">
        <v>29.8250834634947</v>
      </c>
      <c r="AL18">
        <v>-33.959091458094697</v>
      </c>
      <c r="AM18">
        <v>9.0269969296274404</v>
      </c>
      <c r="AN18">
        <v>10.875929979230399</v>
      </c>
      <c r="AO18">
        <v>0.9</v>
      </c>
      <c r="AP18">
        <v>1.29019926208896</v>
      </c>
      <c r="AQ18">
        <v>1.1477490871051099</v>
      </c>
      <c r="AR18">
        <v>1.28522488483655</v>
      </c>
      <c r="AS18">
        <v>0.99975182305350996</v>
      </c>
      <c r="AT18">
        <v>0.83850918226999804</v>
      </c>
      <c r="AU18">
        <v>0.83776365062191005</v>
      </c>
      <c r="AV18">
        <v>1</v>
      </c>
      <c r="AW18">
        <v>0.98100195825455105</v>
      </c>
      <c r="AX18">
        <v>1</v>
      </c>
      <c r="AY18">
        <v>1</v>
      </c>
      <c r="AZ18">
        <v>0.91762663572674097</v>
      </c>
      <c r="BA18">
        <v>1</v>
      </c>
      <c r="BB18">
        <v>0.983255109677869</v>
      </c>
      <c r="BC18">
        <v>28216818543</v>
      </c>
      <c r="BD18">
        <v>6.0377601806076403E-2</v>
      </c>
      <c r="BE18">
        <v>6211</v>
      </c>
    </row>
    <row r="19" spans="1:57" x14ac:dyDescent="0.25">
      <c r="A19">
        <v>18</v>
      </c>
      <c r="B19">
        <v>11</v>
      </c>
      <c r="C19">
        <v>20</v>
      </c>
      <c r="D19">
        <v>0.61468962666802096</v>
      </c>
      <c r="E19">
        <v>0.57908179728461695</v>
      </c>
      <c r="F19">
        <v>7.1319385789725098</v>
      </c>
      <c r="G19">
        <v>6.73187694641432</v>
      </c>
      <c r="H19">
        <v>1.06149015484578</v>
      </c>
      <c r="I19">
        <v>-3.5607829383404503E-2</v>
      </c>
      <c r="J19">
        <v>3.6029083689981499E-2</v>
      </c>
      <c r="K19">
        <v>1.0080108560769E-2</v>
      </c>
      <c r="L19">
        <v>9.9317403752109809E-4</v>
      </c>
      <c r="M19">
        <v>0.52971348608320001</v>
      </c>
      <c r="N19">
        <v>2.2659449131444899E-3</v>
      </c>
      <c r="O19">
        <v>0</v>
      </c>
      <c r="P19">
        <v>5.3288477137233601</v>
      </c>
      <c r="Q19">
        <v>94.671152286276694</v>
      </c>
      <c r="R19">
        <v>33.293449222011603</v>
      </c>
      <c r="S19">
        <v>36.112065001518097</v>
      </c>
      <c r="T19">
        <v>30.5944857764704</v>
      </c>
      <c r="U19">
        <v>0</v>
      </c>
      <c r="V19">
        <v>66.706550777988497</v>
      </c>
      <c r="W19">
        <v>0.60380760464301197</v>
      </c>
      <c r="X19">
        <v>-58.515962589239301</v>
      </c>
      <c r="Y19">
        <v>34.672002137606498</v>
      </c>
      <c r="Z19">
        <v>100</v>
      </c>
      <c r="AA19">
        <v>57.136755708662598</v>
      </c>
      <c r="AB19">
        <v>305.56184520661702</v>
      </c>
      <c r="AC19">
        <v>303.34425986190598</v>
      </c>
      <c r="AD19">
        <v>16.637797346257202</v>
      </c>
      <c r="AE19">
        <v>339.66930290945601</v>
      </c>
      <c r="AF19">
        <v>3.5741534384745401</v>
      </c>
      <c r="AG19">
        <v>779.73397694700805</v>
      </c>
      <c r="AH19">
        <v>7.3219357567446997</v>
      </c>
      <c r="AI19">
        <v>44.820680423877498</v>
      </c>
      <c r="AJ19">
        <v>179.02947462687499</v>
      </c>
      <c r="AK19">
        <v>18.2695993884941</v>
      </c>
      <c r="AL19">
        <v>-18.267840183583601</v>
      </c>
      <c r="AM19">
        <v>9.5663117593663696</v>
      </c>
      <c r="AN19">
        <v>13.5348539512282</v>
      </c>
      <c r="AO19">
        <v>0.9</v>
      </c>
      <c r="AP19">
        <v>1.2902006274886</v>
      </c>
      <c r="AQ19">
        <v>1.22889623114591</v>
      </c>
      <c r="AR19">
        <v>1.23904855118583</v>
      </c>
      <c r="AS19">
        <v>1.0010097095677499</v>
      </c>
      <c r="AT19">
        <v>0.85216800664637704</v>
      </c>
      <c r="AU19">
        <v>0.84039115659191399</v>
      </c>
      <c r="AV19">
        <v>1</v>
      </c>
      <c r="AW19">
        <v>1.01394692204238</v>
      </c>
      <c r="AX19">
        <v>1</v>
      </c>
      <c r="AY19">
        <v>1</v>
      </c>
      <c r="AZ19">
        <v>0.91328148398861497</v>
      </c>
      <c r="BA19">
        <v>1</v>
      </c>
      <c r="BB19">
        <v>0.98882956053424298</v>
      </c>
      <c r="BC19">
        <v>61516399188.099998</v>
      </c>
      <c r="BD19">
        <v>6.4890214117728898E-2</v>
      </c>
      <c r="BE19">
        <v>7428</v>
      </c>
    </row>
    <row r="20" spans="1:57" x14ac:dyDescent="0.25">
      <c r="A20">
        <v>19</v>
      </c>
      <c r="B20">
        <v>11</v>
      </c>
      <c r="C20">
        <v>25</v>
      </c>
      <c r="D20">
        <v>0.68565882956491397</v>
      </c>
      <c r="E20">
        <v>0.63185532636177799</v>
      </c>
      <c r="F20">
        <v>7.9246048837904404</v>
      </c>
      <c r="G20">
        <v>7.3242364253698504</v>
      </c>
      <c r="H20">
        <v>1.08515161771752</v>
      </c>
      <c r="I20">
        <v>-5.3803503203135802E-2</v>
      </c>
      <c r="J20">
        <v>3.76815390633869E-2</v>
      </c>
      <c r="K20">
        <v>1.0148171628277599E-2</v>
      </c>
      <c r="L20">
        <v>6.3875041418553196E-3</v>
      </c>
      <c r="M20">
        <v>0.57446672514992403</v>
      </c>
      <c r="N20">
        <v>3.1713863783338699E-3</v>
      </c>
      <c r="O20">
        <v>0</v>
      </c>
      <c r="P20">
        <v>6.4716510805195497</v>
      </c>
      <c r="Q20">
        <v>93.528348919480493</v>
      </c>
      <c r="R20">
        <v>42.404724328114497</v>
      </c>
      <c r="S20">
        <v>33.801469392228398</v>
      </c>
      <c r="T20">
        <v>23.793806279657002</v>
      </c>
      <c r="U20">
        <v>0</v>
      </c>
      <c r="V20">
        <v>57.595275671885503</v>
      </c>
      <c r="W20">
        <v>0.49696211499766402</v>
      </c>
      <c r="X20">
        <v>-54.241317737859902</v>
      </c>
      <c r="Y20">
        <v>176.04036018418901</v>
      </c>
      <c r="Z20">
        <v>100</v>
      </c>
      <c r="AA20">
        <v>55.665112898071698</v>
      </c>
      <c r="AB20">
        <v>302.27019285596202</v>
      </c>
      <c r="AC20">
        <v>300.03729252478001</v>
      </c>
      <c r="AD20">
        <v>22.654317574840402</v>
      </c>
      <c r="AE20">
        <v>332.73420368662499</v>
      </c>
      <c r="AF20">
        <v>3.66215746445123</v>
      </c>
      <c r="AG20">
        <v>780.53318571708201</v>
      </c>
      <c r="AH20">
        <v>5.2138070985762797</v>
      </c>
      <c r="AI20">
        <v>48.586228425846599</v>
      </c>
      <c r="AJ20">
        <v>177.93636142338099</v>
      </c>
      <c r="AK20">
        <v>17.071159332587602</v>
      </c>
      <c r="AL20">
        <v>-23.829085946639498</v>
      </c>
      <c r="AM20">
        <v>9.2649045475483796</v>
      </c>
      <c r="AN20">
        <v>18.2930637903312</v>
      </c>
      <c r="AO20">
        <v>0.9</v>
      </c>
      <c r="AP20">
        <v>1.2902000609133499</v>
      </c>
      <c r="AQ20">
        <v>1.25</v>
      </c>
      <c r="AR20">
        <v>1.2535170781998</v>
      </c>
      <c r="AS20">
        <v>1.0022295808575401</v>
      </c>
      <c r="AT20">
        <v>0.85571425693904102</v>
      </c>
      <c r="AU20">
        <v>0.83883607286659001</v>
      </c>
      <c r="AV20">
        <v>1</v>
      </c>
      <c r="AW20">
        <v>1.00219267722005</v>
      </c>
      <c r="AX20">
        <v>1</v>
      </c>
      <c r="AY20">
        <v>1</v>
      </c>
      <c r="AZ20">
        <v>0.92512614162654905</v>
      </c>
      <c r="BA20">
        <v>1</v>
      </c>
      <c r="BB20">
        <v>0.98528305039697806</v>
      </c>
      <c r="BC20">
        <v>43154546004.599998</v>
      </c>
      <c r="BD20">
        <v>6.2852575216019405E-2</v>
      </c>
      <c r="BE20">
        <v>7416</v>
      </c>
    </row>
    <row r="21" spans="1:57" x14ac:dyDescent="0.25">
      <c r="A21">
        <v>20</v>
      </c>
      <c r="B21">
        <v>11</v>
      </c>
      <c r="C21">
        <v>30</v>
      </c>
      <c r="D21">
        <v>0.86986024800397099</v>
      </c>
      <c r="E21">
        <v>0.704621657376578</v>
      </c>
      <c r="F21">
        <v>9.9531300425496294</v>
      </c>
      <c r="G21">
        <v>8.1353511780063101</v>
      </c>
      <c r="H21">
        <v>1.23450682915794</v>
      </c>
      <c r="I21">
        <v>-0.16523859062739199</v>
      </c>
      <c r="J21">
        <v>3.9265037583271697E-2</v>
      </c>
      <c r="K21">
        <v>1.0280012621608201E-2</v>
      </c>
      <c r="L21">
        <v>2.17818238375822E-2</v>
      </c>
      <c r="M21">
        <v>0.62288813311357605</v>
      </c>
      <c r="N21">
        <v>1.0406650220540201E-2</v>
      </c>
      <c r="O21">
        <v>0</v>
      </c>
      <c r="P21">
        <v>6.1537064101058903</v>
      </c>
      <c r="Q21">
        <v>93.846293589894103</v>
      </c>
      <c r="R21">
        <v>41.122624221141301</v>
      </c>
      <c r="S21">
        <v>41.152842655343001</v>
      </c>
      <c r="T21">
        <v>17.724533123515702</v>
      </c>
      <c r="U21">
        <v>0</v>
      </c>
      <c r="V21">
        <v>58.877375778858699</v>
      </c>
      <c r="W21">
        <v>0.46222117428641102</v>
      </c>
      <c r="X21">
        <v>-36.8259850454792</v>
      </c>
      <c r="Y21">
        <v>313.89146823749201</v>
      </c>
      <c r="Z21">
        <v>100</v>
      </c>
      <c r="AA21">
        <v>51.465124112421599</v>
      </c>
      <c r="AB21">
        <v>304.38991413425998</v>
      </c>
      <c r="AC21">
        <v>302.26473995114799</v>
      </c>
      <c r="AD21">
        <v>26.3601449866518</v>
      </c>
      <c r="AE21">
        <v>327.98224964883798</v>
      </c>
      <c r="AF21">
        <v>3.7166490581192502</v>
      </c>
      <c r="AG21">
        <v>781.39303115196503</v>
      </c>
      <c r="AH21">
        <v>3.0232641843849799</v>
      </c>
      <c r="AI21">
        <v>48.620864419634998</v>
      </c>
      <c r="AJ21">
        <v>175.663726535378</v>
      </c>
      <c r="AK21">
        <v>21.360571626840699</v>
      </c>
      <c r="AL21">
        <v>-30.782945755394199</v>
      </c>
      <c r="AM21">
        <v>9.2555894434961505</v>
      </c>
      <c r="AN21">
        <v>21.532982368876301</v>
      </c>
      <c r="AO21">
        <v>0.9</v>
      </c>
      <c r="AP21">
        <v>1.2901995959485899</v>
      </c>
      <c r="AQ21">
        <v>1.25</v>
      </c>
      <c r="AR21">
        <v>1.28564392332428</v>
      </c>
      <c r="AS21">
        <v>1.0043469036178101</v>
      </c>
      <c r="AT21">
        <v>0.85377469512613102</v>
      </c>
      <c r="AU21">
        <v>0.83714283475704598</v>
      </c>
      <c r="AV21">
        <v>1</v>
      </c>
      <c r="AW21">
        <v>0.98860431856722597</v>
      </c>
      <c r="AX21">
        <v>1</v>
      </c>
      <c r="AY21">
        <v>1</v>
      </c>
      <c r="AZ21">
        <v>0.92345941148748401</v>
      </c>
      <c r="BA21">
        <v>1</v>
      </c>
      <c r="BB21">
        <v>0.98613476313800696</v>
      </c>
      <c r="BC21">
        <v>13447141479.5</v>
      </c>
      <c r="BD21">
        <v>8.1062379825215497E-2</v>
      </c>
      <c r="BE21">
        <v>3963</v>
      </c>
    </row>
    <row r="22" spans="1:57" x14ac:dyDescent="0.25">
      <c r="A22">
        <v>21</v>
      </c>
      <c r="B22">
        <v>11</v>
      </c>
      <c r="C22">
        <v>35</v>
      </c>
      <c r="D22">
        <v>0.85712053056340998</v>
      </c>
      <c r="E22">
        <v>0.66998491290505102</v>
      </c>
      <c r="F22">
        <v>9.8141632796213596</v>
      </c>
      <c r="G22">
        <v>7.7500759585603998</v>
      </c>
      <c r="H22">
        <v>1.27931318161619</v>
      </c>
      <c r="I22">
        <v>-0.18713561765835901</v>
      </c>
      <c r="J22">
        <v>4.24474345463981E-2</v>
      </c>
      <c r="K22">
        <v>1.54656575215378E-2</v>
      </c>
      <c r="L22">
        <v>1.7910614101376301E-2</v>
      </c>
      <c r="M22">
        <v>0.58609069110602696</v>
      </c>
      <c r="N22">
        <v>8.07051562971247E-3</v>
      </c>
      <c r="O22">
        <v>0</v>
      </c>
      <c r="P22">
        <v>9.1242610828210893</v>
      </c>
      <c r="Q22">
        <v>90.875738917178893</v>
      </c>
      <c r="R22">
        <v>56.836734174700197</v>
      </c>
      <c r="S22">
        <v>25.210091806820099</v>
      </c>
      <c r="T22">
        <v>17.9531740184797</v>
      </c>
      <c r="U22">
        <v>0</v>
      </c>
      <c r="V22">
        <v>43.163265825299803</v>
      </c>
      <c r="W22">
        <v>0.60199509016890695</v>
      </c>
      <c r="X22">
        <v>-37.455996033729697</v>
      </c>
      <c r="Y22">
        <v>423.39952962094202</v>
      </c>
      <c r="Z22">
        <v>100</v>
      </c>
      <c r="AA22">
        <v>51.1497737641998</v>
      </c>
      <c r="AB22">
        <v>289.05557159683599</v>
      </c>
      <c r="AC22">
        <v>286.97979467666602</v>
      </c>
      <c r="AD22">
        <v>33.696742291059401</v>
      </c>
      <c r="AE22">
        <v>319.67760290601097</v>
      </c>
      <c r="AF22">
        <v>3.7630884220874301</v>
      </c>
      <c r="AG22">
        <v>781.02771187328995</v>
      </c>
      <c r="AH22">
        <v>0.77636640811457103</v>
      </c>
      <c r="AI22">
        <v>45.357796544141998</v>
      </c>
      <c r="AJ22">
        <v>179.151012349675</v>
      </c>
      <c r="AK22">
        <v>18.5354634235735</v>
      </c>
      <c r="AL22">
        <v>-26.464476036014901</v>
      </c>
      <c r="AM22">
        <v>9.4818621720352301</v>
      </c>
      <c r="AN22">
        <v>29.087271051723398</v>
      </c>
      <c r="AO22">
        <v>0.9</v>
      </c>
      <c r="AP22">
        <v>1.2901998956368601</v>
      </c>
      <c r="AQ22">
        <v>1.25</v>
      </c>
      <c r="AR22">
        <v>1.28558455597486</v>
      </c>
      <c r="AS22">
        <v>1.0051378002748901</v>
      </c>
      <c r="AT22">
        <v>0.87010268204595098</v>
      </c>
      <c r="AU22">
        <v>0.83782239044503404</v>
      </c>
      <c r="AV22">
        <v>1</v>
      </c>
      <c r="AW22">
        <v>0.99798208179305703</v>
      </c>
      <c r="AX22">
        <v>1</v>
      </c>
      <c r="AY22">
        <v>1</v>
      </c>
      <c r="AZ22">
        <v>0.94388775442711004</v>
      </c>
      <c r="BA22">
        <v>1</v>
      </c>
      <c r="BB22">
        <v>0.98734562584056895</v>
      </c>
      <c r="BC22">
        <v>9879876166.6000004</v>
      </c>
      <c r="BD22">
        <v>7.8008616338346104E-2</v>
      </c>
      <c r="BE22">
        <v>3032</v>
      </c>
    </row>
    <row r="23" spans="1:57" x14ac:dyDescent="0.25">
      <c r="A23">
        <v>22</v>
      </c>
      <c r="B23">
        <v>11</v>
      </c>
      <c r="C23">
        <v>40</v>
      </c>
      <c r="D23">
        <v>0.78829884254285698</v>
      </c>
      <c r="E23">
        <v>0.65150124927213204</v>
      </c>
      <c r="F23">
        <v>9.0600403459182193</v>
      </c>
      <c r="G23">
        <v>7.5438708838549298</v>
      </c>
      <c r="H23">
        <v>1.20997287944353</v>
      </c>
      <c r="I23">
        <v>-0.13679759327072499</v>
      </c>
      <c r="J23">
        <v>4.3746199770549402E-2</v>
      </c>
      <c r="K23">
        <v>1.25601964740599E-2</v>
      </c>
      <c r="L23">
        <v>3.5239801494907799E-3</v>
      </c>
      <c r="M23">
        <v>0.59015085166445802</v>
      </c>
      <c r="N23">
        <v>1.52002121357382E-3</v>
      </c>
      <c r="O23">
        <v>0</v>
      </c>
      <c r="P23">
        <v>5.8866316780669701</v>
      </c>
      <c r="Q23">
        <v>94.113368321932995</v>
      </c>
      <c r="R23">
        <v>29.496643352386599</v>
      </c>
      <c r="S23">
        <v>47.360983606606801</v>
      </c>
      <c r="T23">
        <v>23.1423730410066</v>
      </c>
      <c r="U23">
        <v>0</v>
      </c>
      <c r="V23">
        <v>70.503356647613401</v>
      </c>
      <c r="W23">
        <v>0.47053695591875599</v>
      </c>
      <c r="X23">
        <v>-55.706480764045402</v>
      </c>
      <c r="Y23">
        <v>335.168875890587</v>
      </c>
      <c r="Z23">
        <v>100</v>
      </c>
      <c r="AA23">
        <v>47.420594306742402</v>
      </c>
      <c r="AB23">
        <v>295.961084991105</v>
      </c>
      <c r="AC23">
        <v>293.86684961837602</v>
      </c>
      <c r="AD23">
        <v>36.328881534278899</v>
      </c>
      <c r="AE23">
        <v>316.446926810646</v>
      </c>
      <c r="AF23">
        <v>3.70679660000182</v>
      </c>
      <c r="AG23">
        <v>781.46653411316595</v>
      </c>
      <c r="AH23">
        <v>1.25971880922113</v>
      </c>
      <c r="AI23">
        <v>47.842288906839599</v>
      </c>
      <c r="AJ23">
        <v>179.64764703640799</v>
      </c>
      <c r="AK23">
        <v>14.1707553966255</v>
      </c>
      <c r="AL23">
        <v>-28.6600890146361</v>
      </c>
      <c r="AM23">
        <v>9.2740103787318908</v>
      </c>
      <c r="AN23">
        <v>30.8692929530256</v>
      </c>
      <c r="AO23">
        <v>0.9</v>
      </c>
      <c r="AP23">
        <v>1.2901997116141799</v>
      </c>
      <c r="AQ23">
        <v>1.25</v>
      </c>
      <c r="AR23">
        <v>1.2582992331095</v>
      </c>
      <c r="AS23">
        <v>1.0064256777338001</v>
      </c>
      <c r="AT23">
        <v>0.86249862744669803</v>
      </c>
      <c r="AU23">
        <v>0.83700250894448103</v>
      </c>
      <c r="AV23">
        <v>1</v>
      </c>
      <c r="AW23">
        <v>0.99209890518342003</v>
      </c>
      <c r="AX23">
        <v>1</v>
      </c>
      <c r="AY23">
        <v>1</v>
      </c>
      <c r="AZ23">
        <v>0.90834563635810295</v>
      </c>
      <c r="BA23">
        <v>1</v>
      </c>
      <c r="BB23">
        <v>0.99175967989241998</v>
      </c>
      <c r="BC23">
        <v>13780588216.9</v>
      </c>
      <c r="BD23">
        <v>7.85879858679778E-2</v>
      </c>
      <c r="BE23">
        <v>3332</v>
      </c>
    </row>
    <row r="24" spans="1:57" x14ac:dyDescent="0.25">
      <c r="A24">
        <v>23</v>
      </c>
      <c r="B24">
        <v>11</v>
      </c>
      <c r="C24">
        <v>45</v>
      </c>
      <c r="D24">
        <v>1.0095593325760801</v>
      </c>
      <c r="E24">
        <v>0.69719248956176505</v>
      </c>
      <c r="F24">
        <v>11.4641643351182</v>
      </c>
      <c r="G24">
        <v>8.0528387208074594</v>
      </c>
      <c r="H24">
        <v>1.44803529540408</v>
      </c>
      <c r="I24">
        <v>-0.312366843014311</v>
      </c>
      <c r="J24">
        <v>4.6957110317750399E-2</v>
      </c>
      <c r="K24">
        <v>1.6027916609429298E-2</v>
      </c>
      <c r="L24">
        <v>1.6591540725717099E-2</v>
      </c>
      <c r="M24">
        <v>0.61034335752729096</v>
      </c>
      <c r="N24">
        <v>7.2725643815774697E-3</v>
      </c>
      <c r="O24">
        <v>0</v>
      </c>
      <c r="P24">
        <v>7.5221094792067698</v>
      </c>
      <c r="Q24">
        <v>92.477890520793196</v>
      </c>
      <c r="R24">
        <v>50.432777772143197</v>
      </c>
      <c r="S24">
        <v>31.953916819976602</v>
      </c>
      <c r="T24">
        <v>17.613305407880201</v>
      </c>
      <c r="U24">
        <v>0</v>
      </c>
      <c r="V24">
        <v>49.567222227856803</v>
      </c>
      <c r="W24">
        <v>0.56383636155011696</v>
      </c>
      <c r="X24">
        <v>-39.346760594997001</v>
      </c>
      <c r="Y24">
        <v>715.75809688699303</v>
      </c>
      <c r="Z24">
        <v>100</v>
      </c>
      <c r="AA24">
        <v>45.899050669494102</v>
      </c>
      <c r="AB24">
        <v>290.511667925469</v>
      </c>
      <c r="AC24">
        <v>288.64336838091901</v>
      </c>
      <c r="AD24">
        <v>41.3482409619685</v>
      </c>
      <c r="AE24">
        <v>310.050361593611</v>
      </c>
      <c r="AF24">
        <v>3.8611913614405702</v>
      </c>
      <c r="AG24">
        <v>781.64967308033101</v>
      </c>
      <c r="AH24">
        <v>0.76235566687857304</v>
      </c>
      <c r="AI24">
        <v>49.361510988068503</v>
      </c>
      <c r="AJ24">
        <v>179.00328078692701</v>
      </c>
      <c r="AK24">
        <v>14.564441657740099</v>
      </c>
      <c r="AL24">
        <v>-39.3213984577989</v>
      </c>
      <c r="AM24">
        <v>9.2491897035889306</v>
      </c>
      <c r="AN24">
        <v>35.7917898598253</v>
      </c>
      <c r="AO24">
        <v>0.9</v>
      </c>
      <c r="AP24">
        <v>1.29019885077744</v>
      </c>
      <c r="AQ24">
        <v>1.25</v>
      </c>
      <c r="AR24">
        <v>1.2837628448137901</v>
      </c>
      <c r="AS24">
        <v>1.0067746119186101</v>
      </c>
      <c r="AT24">
        <v>0.86885287922879695</v>
      </c>
      <c r="AU24">
        <v>0.83652206114149796</v>
      </c>
      <c r="AV24">
        <v>1</v>
      </c>
      <c r="AW24">
        <v>0.97076663217384096</v>
      </c>
      <c r="AX24">
        <v>1</v>
      </c>
      <c r="AY24">
        <v>1</v>
      </c>
      <c r="AZ24">
        <v>0.93556261110378602</v>
      </c>
      <c r="BA24">
        <v>1</v>
      </c>
      <c r="BB24">
        <v>0.98537470197139698</v>
      </c>
      <c r="BC24">
        <v>1694171113.2</v>
      </c>
      <c r="BD24">
        <v>0.101217565257332</v>
      </c>
      <c r="BE24">
        <v>1052</v>
      </c>
    </row>
    <row r="25" spans="1:57" x14ac:dyDescent="0.25">
      <c r="A25">
        <v>24</v>
      </c>
      <c r="B25">
        <v>11</v>
      </c>
      <c r="C25">
        <v>50</v>
      </c>
      <c r="D25">
        <v>0.70801721246689797</v>
      </c>
      <c r="E25">
        <v>0.65916691104464398</v>
      </c>
      <c r="F25">
        <v>8.1730414898217205</v>
      </c>
      <c r="G25">
        <v>7.6294407792697099</v>
      </c>
      <c r="H25">
        <v>1.07410915293797</v>
      </c>
      <c r="I25">
        <v>-4.8850301422253703E-2</v>
      </c>
      <c r="J25">
        <v>4.8854887101853497E-2</v>
      </c>
      <c r="K25">
        <v>8.5083027378340705E-3</v>
      </c>
      <c r="L25">
        <v>1.06634904775211E-2</v>
      </c>
      <c r="M25">
        <v>0.58623158179186396</v>
      </c>
      <c r="N25">
        <v>4.9086489355717501E-3</v>
      </c>
      <c r="O25">
        <v>0</v>
      </c>
      <c r="P25">
        <v>5.9085230939943401</v>
      </c>
      <c r="Q25">
        <v>94.091476906005695</v>
      </c>
      <c r="R25">
        <v>29.2411494341534</v>
      </c>
      <c r="S25">
        <v>50.436129099782903</v>
      </c>
      <c r="T25">
        <v>20.322721466063701</v>
      </c>
      <c r="U25">
        <v>0</v>
      </c>
      <c r="V25">
        <v>70.7588505658466</v>
      </c>
      <c r="W25">
        <v>0.269955943827213</v>
      </c>
      <c r="X25">
        <v>-44.6627571157467</v>
      </c>
      <c r="Y25">
        <v>139.23799852064499</v>
      </c>
      <c r="Z25">
        <v>100</v>
      </c>
      <c r="AA25">
        <v>42.182521090635497</v>
      </c>
      <c r="AB25">
        <v>290.99653682771702</v>
      </c>
      <c r="AC25">
        <v>289.09877408994703</v>
      </c>
      <c r="AD25">
        <v>46.772020749000298</v>
      </c>
      <c r="AE25">
        <v>305.05172440213198</v>
      </c>
      <c r="AF25">
        <v>3.5148786787713799</v>
      </c>
      <c r="AG25">
        <v>782.67281724983502</v>
      </c>
      <c r="AH25">
        <v>3.9029314454512098</v>
      </c>
      <c r="AI25">
        <v>53.207911815329403</v>
      </c>
      <c r="AJ25">
        <v>169.44407646853799</v>
      </c>
      <c r="AK25">
        <v>26.114632836836599</v>
      </c>
      <c r="AL25">
        <v>-24.662732954020999</v>
      </c>
      <c r="AM25">
        <v>8.9343406205442708</v>
      </c>
      <c r="AN25">
        <v>39.6877280544063</v>
      </c>
      <c r="AO25">
        <v>0.9</v>
      </c>
      <c r="AP25">
        <v>1.29019935689286</v>
      </c>
      <c r="AQ25">
        <v>1.25</v>
      </c>
      <c r="AR25">
        <v>1.27992295768435</v>
      </c>
      <c r="AS25">
        <v>1.00723083791429</v>
      </c>
      <c r="AT25">
        <v>0.86814065971902399</v>
      </c>
      <c r="AU25">
        <v>0.834556790769587</v>
      </c>
      <c r="AV25">
        <v>1</v>
      </c>
      <c r="AW25">
        <v>1.0008422179569501</v>
      </c>
      <c r="AX25">
        <v>1</v>
      </c>
      <c r="AY25">
        <v>1</v>
      </c>
      <c r="AZ25">
        <v>0.90801349426439903</v>
      </c>
      <c r="BA25">
        <v>1</v>
      </c>
      <c r="BB25">
        <v>0.99996752313625803</v>
      </c>
      <c r="BC25">
        <v>19766444016.900002</v>
      </c>
      <c r="BD25">
        <v>7.6814898136640303E-2</v>
      </c>
      <c r="BE25">
        <v>4779</v>
      </c>
    </row>
    <row r="32" spans="1:57" x14ac:dyDescent="0.25">
      <c r="B32" s="2" t="s">
        <v>59</v>
      </c>
      <c r="C32" s="2" t="s">
        <v>58</v>
      </c>
      <c r="S32" s="2" t="s">
        <v>60</v>
      </c>
      <c r="T32" s="2" t="s">
        <v>58</v>
      </c>
    </row>
    <row r="33" spans="2:23" x14ac:dyDescent="0.25">
      <c r="B33" s="2" t="s">
        <v>56</v>
      </c>
      <c r="C33">
        <v>5</v>
      </c>
      <c r="D33">
        <v>8</v>
      </c>
      <c r="E33">
        <v>11</v>
      </c>
      <c r="F33" t="s">
        <v>57</v>
      </c>
      <c r="S33" s="2" t="s">
        <v>56</v>
      </c>
      <c r="T33">
        <v>5</v>
      </c>
      <c r="U33">
        <v>8</v>
      </c>
      <c r="V33">
        <v>11</v>
      </c>
      <c r="W33" t="s">
        <v>57</v>
      </c>
    </row>
    <row r="34" spans="2:23" x14ac:dyDescent="0.25">
      <c r="B34" s="3">
        <v>15</v>
      </c>
      <c r="C34" s="7">
        <v>4.1543542298878204</v>
      </c>
      <c r="D34" s="7">
        <v>4.2998394110672402</v>
      </c>
      <c r="E34" s="7">
        <v>5.8594596581451199</v>
      </c>
      <c r="F34" s="5">
        <v>14.313653299100181</v>
      </c>
      <c r="S34" s="3">
        <v>15</v>
      </c>
      <c r="T34" s="7">
        <v>6.2141018089898497</v>
      </c>
      <c r="U34" s="7">
        <v>6.5087034056183999</v>
      </c>
      <c r="V34" s="7">
        <v>6.1705798620518904</v>
      </c>
      <c r="W34" s="5">
        <v>18.893385076660142</v>
      </c>
    </row>
    <row r="35" spans="2:23" x14ac:dyDescent="0.25">
      <c r="B35" s="3">
        <v>20</v>
      </c>
      <c r="C35" s="7">
        <v>4.2236491147323898</v>
      </c>
      <c r="D35" s="7">
        <v>6.0159859199537697</v>
      </c>
      <c r="E35" s="7">
        <v>7.1319385789725098</v>
      </c>
      <c r="F35" s="5">
        <v>17.371573613658668</v>
      </c>
      <c r="S35" s="3">
        <v>20</v>
      </c>
      <c r="T35" s="7">
        <v>6.0130311773789504</v>
      </c>
      <c r="U35" s="7">
        <v>6.3974759828127103</v>
      </c>
      <c r="V35" s="7">
        <v>6.73187694641432</v>
      </c>
      <c r="W35" s="5">
        <v>19.142384106605981</v>
      </c>
    </row>
    <row r="36" spans="2:23" x14ac:dyDescent="0.25">
      <c r="B36" s="3">
        <v>25</v>
      </c>
      <c r="C36" s="7">
        <v>5.9481832878523297</v>
      </c>
      <c r="D36" s="7">
        <v>6.9501172367890698</v>
      </c>
      <c r="E36" s="7">
        <v>7.9246048837904404</v>
      </c>
      <c r="F36" s="5">
        <v>20.82290540843184</v>
      </c>
      <c r="S36" s="3">
        <v>25</v>
      </c>
      <c r="T36" s="7">
        <v>6.7952399863931499</v>
      </c>
      <c r="U36" s="7">
        <v>7.1271579134855303</v>
      </c>
      <c r="V36" s="7">
        <v>7.3242364253698504</v>
      </c>
      <c r="W36" s="5">
        <v>21.246634325248529</v>
      </c>
    </row>
    <row r="37" spans="2:23" x14ac:dyDescent="0.25">
      <c r="B37" s="3">
        <v>30</v>
      </c>
      <c r="C37" s="7">
        <v>7.1098935329617401</v>
      </c>
      <c r="D37" s="7">
        <v>8.4603858374155703</v>
      </c>
      <c r="E37" s="7">
        <v>9.9531300425496294</v>
      </c>
      <c r="F37" s="5">
        <v>25.523409412926938</v>
      </c>
      <c r="S37" s="3">
        <v>30</v>
      </c>
      <c r="T37" s="7">
        <v>7.5978936428730899</v>
      </c>
      <c r="U37" s="7">
        <v>8.2951802986630003</v>
      </c>
      <c r="V37" s="7">
        <v>8.1353511780063101</v>
      </c>
      <c r="W37" s="5">
        <v>24.028425119542401</v>
      </c>
    </row>
    <row r="38" spans="2:23" x14ac:dyDescent="0.25">
      <c r="B38" s="3">
        <v>35</v>
      </c>
      <c r="C38" s="7">
        <v>6.5884735407122399</v>
      </c>
      <c r="D38" s="7">
        <v>8.4229702194102192</v>
      </c>
      <c r="E38" s="7">
        <v>9.8141632796213596</v>
      </c>
      <c r="F38" s="5">
        <v>24.825607039743819</v>
      </c>
      <c r="S38" s="3">
        <v>35</v>
      </c>
      <c r="T38" s="7">
        <v>6.9517164570597103</v>
      </c>
      <c r="U38" s="7">
        <v>7.3916017337886899</v>
      </c>
      <c r="V38" s="7">
        <v>7.7500759585603998</v>
      </c>
      <c r="W38" s="5">
        <v>22.093394149408802</v>
      </c>
    </row>
    <row r="39" spans="2:23" x14ac:dyDescent="0.25">
      <c r="B39" s="3">
        <v>40</v>
      </c>
      <c r="C39" s="7">
        <v>7.1140865498180501</v>
      </c>
      <c r="D39" s="7">
        <v>8.29242686848856</v>
      </c>
      <c r="E39" s="7">
        <v>9.0600403459182193</v>
      </c>
      <c r="F39" s="5">
        <v>24.466553764224827</v>
      </c>
      <c r="S39" s="3">
        <v>40</v>
      </c>
      <c r="T39" s="7">
        <v>7.1572380480077502</v>
      </c>
      <c r="U39" s="7">
        <v>7.5545624527233199</v>
      </c>
      <c r="V39" s="7">
        <v>7.5438708838549298</v>
      </c>
      <c r="W39" s="5">
        <v>22.255671384585998</v>
      </c>
    </row>
    <row r="40" spans="2:23" x14ac:dyDescent="0.25">
      <c r="B40" s="3">
        <v>45</v>
      </c>
      <c r="C40" s="7">
        <v>6.0040022376504503</v>
      </c>
      <c r="D40" s="7">
        <v>10.2431105438437</v>
      </c>
      <c r="E40" s="7">
        <v>11.4641643351182</v>
      </c>
      <c r="F40" s="5">
        <v>27.711277116612351</v>
      </c>
      <c r="S40" s="3">
        <v>45</v>
      </c>
      <c r="T40" s="7">
        <v>7.4382670066878003</v>
      </c>
      <c r="U40" s="7">
        <v>7.72575573227049</v>
      </c>
      <c r="V40" s="7">
        <v>8.0528387208074594</v>
      </c>
      <c r="W40" s="5">
        <v>23.216861459765752</v>
      </c>
    </row>
    <row r="41" spans="2:23" x14ac:dyDescent="0.25">
      <c r="B41" s="3">
        <v>50</v>
      </c>
      <c r="C41" s="7">
        <v>7.68821087970161</v>
      </c>
      <c r="D41" s="7">
        <v>9.2895692139908093</v>
      </c>
      <c r="E41" s="7">
        <v>8.1730414898217205</v>
      </c>
      <c r="F41" s="5">
        <v>25.150821583514141</v>
      </c>
      <c r="S41" s="3">
        <v>50</v>
      </c>
      <c r="T41" s="7">
        <v>7.0822831242192601</v>
      </c>
      <c r="U41" s="7">
        <v>7.8432311590992301</v>
      </c>
      <c r="V41" s="7">
        <v>7.6294407792697099</v>
      </c>
      <c r="W41" s="5">
        <v>22.554955062588199</v>
      </c>
    </row>
    <row r="42" spans="2:23" x14ac:dyDescent="0.25">
      <c r="B42" s="3" t="s">
        <v>57</v>
      </c>
      <c r="C42" s="5">
        <v>48.830853373316636</v>
      </c>
      <c r="D42" s="5">
        <v>61.974405250958938</v>
      </c>
      <c r="E42" s="5">
        <v>69.380542613937195</v>
      </c>
      <c r="F42" s="5">
        <v>180.18580123821275</v>
      </c>
      <c r="S42" s="3" t="s">
        <v>57</v>
      </c>
      <c r="T42" s="5">
        <v>55.249771251609559</v>
      </c>
      <c r="U42" s="5">
        <v>58.84366867846137</v>
      </c>
      <c r="V42" s="5">
        <v>59.338270754334864</v>
      </c>
      <c r="W42" s="5">
        <v>173.4317106844058</v>
      </c>
    </row>
    <row r="50" spans="2:6" x14ac:dyDescent="0.25">
      <c r="B50" s="4" t="s">
        <v>56</v>
      </c>
      <c r="C50" s="4">
        <v>5</v>
      </c>
      <c r="D50" s="4">
        <v>8</v>
      </c>
      <c r="E50" s="4">
        <v>11</v>
      </c>
      <c r="F50" s="5"/>
    </row>
    <row r="51" spans="2:6" x14ac:dyDescent="0.25">
      <c r="B51" s="3">
        <v>15</v>
      </c>
      <c r="C51" s="6">
        <v>4.1543542298878204</v>
      </c>
      <c r="D51" s="6">
        <v>4.2998394110672402</v>
      </c>
      <c r="E51" s="6">
        <v>5.8594596581451199</v>
      </c>
      <c r="F51" s="5"/>
    </row>
    <row r="52" spans="2:6" x14ac:dyDescent="0.25">
      <c r="B52" s="3">
        <v>20</v>
      </c>
      <c r="C52" s="6">
        <v>4.2236491147323898</v>
      </c>
      <c r="D52" s="6">
        <v>6.0159859199537697</v>
      </c>
      <c r="E52" s="6">
        <v>7.1319385789725098</v>
      </c>
      <c r="F52" s="5"/>
    </row>
    <row r="53" spans="2:6" x14ac:dyDescent="0.25">
      <c r="B53" s="3">
        <v>25</v>
      </c>
      <c r="C53" s="6">
        <v>5.9481832878523297</v>
      </c>
      <c r="D53" s="6">
        <v>6.9501172367890698</v>
      </c>
      <c r="E53" s="6">
        <v>7.9246048837904404</v>
      </c>
      <c r="F53" s="5"/>
    </row>
    <row r="54" spans="2:6" x14ac:dyDescent="0.25">
      <c r="B54" s="3">
        <v>30</v>
      </c>
      <c r="C54" s="6">
        <v>7.1098935329617401</v>
      </c>
      <c r="D54" s="6">
        <v>8.4603858374155703</v>
      </c>
      <c r="E54" s="6">
        <v>9.9531300425496294</v>
      </c>
      <c r="F54" s="5"/>
    </row>
    <row r="55" spans="2:6" x14ac:dyDescent="0.25">
      <c r="B55" s="3">
        <v>35</v>
      </c>
      <c r="C55" s="6">
        <v>6.5884735407122399</v>
      </c>
      <c r="D55" s="6">
        <v>8.4229702194102192</v>
      </c>
      <c r="E55" s="6">
        <v>9.8141632796213596</v>
      </c>
      <c r="F55" s="5"/>
    </row>
    <row r="56" spans="2:6" x14ac:dyDescent="0.25">
      <c r="B56" s="3">
        <v>40</v>
      </c>
      <c r="C56" s="6">
        <v>7.1140865498180501</v>
      </c>
      <c r="D56" s="6">
        <v>8.29242686848856</v>
      </c>
      <c r="E56" s="6">
        <v>9.0600403459182193</v>
      </c>
      <c r="F56" s="5"/>
    </row>
    <row r="57" spans="2:6" x14ac:dyDescent="0.25">
      <c r="B57" s="3">
        <v>45</v>
      </c>
      <c r="C57" s="6">
        <v>6.0040022376504503</v>
      </c>
      <c r="D57" s="6">
        <v>10.2431105438437</v>
      </c>
      <c r="E57" s="6">
        <v>11.4641643351182</v>
      </c>
      <c r="F57" s="5"/>
    </row>
    <row r="58" spans="2:6" x14ac:dyDescent="0.25">
      <c r="B58" s="3">
        <v>50</v>
      </c>
      <c r="C58" s="6">
        <v>7.68821087970161</v>
      </c>
      <c r="D58" s="6">
        <v>9.2895692139908093</v>
      </c>
      <c r="E58" s="6">
        <v>8.1730414898217205</v>
      </c>
    </row>
    <row r="59" spans="2:6" x14ac:dyDescent="0.25">
      <c r="C59" s="6"/>
      <c r="D59" s="6"/>
      <c r="E59" s="6"/>
    </row>
    <row r="60" spans="2:6" x14ac:dyDescent="0.25">
      <c r="C60" s="6"/>
      <c r="D60" s="6">
        <f>D54-C54</f>
        <v>1.3504923044538302</v>
      </c>
      <c r="E60" s="6">
        <f>E54-C54</f>
        <v>2.8432365095878893</v>
      </c>
    </row>
    <row r="63" spans="2:6" x14ac:dyDescent="0.25">
      <c r="B63" s="4"/>
      <c r="C63" s="4">
        <v>5</v>
      </c>
      <c r="D63" s="4">
        <v>8</v>
      </c>
      <c r="E63" s="4">
        <v>11</v>
      </c>
    </row>
    <row r="64" spans="2:6" x14ac:dyDescent="0.25">
      <c r="B64" s="3">
        <v>15</v>
      </c>
      <c r="C64" s="6">
        <v>4.1543542298878204</v>
      </c>
      <c r="D64" s="6">
        <f>D51-D$60</f>
        <v>2.94934710661341</v>
      </c>
      <c r="E64" s="6">
        <f>E51-E$60</f>
        <v>3.0162231485572306</v>
      </c>
    </row>
    <row r="65" spans="2:5" x14ac:dyDescent="0.25">
      <c r="B65" s="3">
        <v>20</v>
      </c>
      <c r="C65" s="6">
        <v>4.2236491147323898</v>
      </c>
      <c r="D65" s="6">
        <f t="shared" ref="D65:E71" si="0">D52-D$60</f>
        <v>4.6654936154999396</v>
      </c>
      <c r="E65" s="6">
        <f t="shared" si="0"/>
        <v>4.2887020693846205</v>
      </c>
    </row>
    <row r="66" spans="2:5" x14ac:dyDescent="0.25">
      <c r="B66" s="3">
        <v>25</v>
      </c>
      <c r="C66" s="6">
        <v>5.9481832878523297</v>
      </c>
      <c r="D66" s="6">
        <f t="shared" si="0"/>
        <v>5.5996249323352396</v>
      </c>
      <c r="E66" s="6">
        <f t="shared" si="0"/>
        <v>5.0813683742025511</v>
      </c>
    </row>
    <row r="67" spans="2:5" x14ac:dyDescent="0.25">
      <c r="B67" s="3">
        <v>30</v>
      </c>
      <c r="C67" s="6">
        <v>7.1098935329617401</v>
      </c>
      <c r="D67" s="6">
        <f t="shared" si="0"/>
        <v>7.1098935329617401</v>
      </c>
      <c r="E67" s="6">
        <f t="shared" si="0"/>
        <v>7.1098935329617401</v>
      </c>
    </row>
    <row r="68" spans="2:5" x14ac:dyDescent="0.25">
      <c r="B68" s="3">
        <v>35</v>
      </c>
      <c r="C68" s="6">
        <v>6.5884735407122399</v>
      </c>
      <c r="D68" s="6">
        <f t="shared" si="0"/>
        <v>7.072477914956389</v>
      </c>
      <c r="E68" s="6">
        <f t="shared" si="0"/>
        <v>6.9709267700334703</v>
      </c>
    </row>
    <row r="69" spans="2:5" x14ac:dyDescent="0.25">
      <c r="B69" s="3">
        <v>40</v>
      </c>
      <c r="C69" s="6">
        <v>7.1140865498180501</v>
      </c>
      <c r="D69" s="6">
        <f t="shared" si="0"/>
        <v>6.9419345640347299</v>
      </c>
      <c r="E69" s="6">
        <f t="shared" si="0"/>
        <v>6.21680383633033</v>
      </c>
    </row>
    <row r="70" spans="2:5" x14ac:dyDescent="0.25">
      <c r="B70" s="3">
        <v>45</v>
      </c>
      <c r="C70" s="6">
        <v>6.0040022376504503</v>
      </c>
      <c r="D70" s="6">
        <f t="shared" si="0"/>
        <v>8.8926182393898703</v>
      </c>
      <c r="E70" s="6">
        <f t="shared" si="0"/>
        <v>8.6209278255303108</v>
      </c>
    </row>
    <row r="71" spans="2:5" x14ac:dyDescent="0.25">
      <c r="B71" s="3">
        <v>50</v>
      </c>
      <c r="C71" s="6">
        <v>7.68821087970161</v>
      </c>
      <c r="D71" s="6">
        <f t="shared" si="0"/>
        <v>7.9390769095369791</v>
      </c>
      <c r="E71" s="6">
        <f t="shared" si="0"/>
        <v>5.3298049802338312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grp_by_hpa_annual_plot_by_wala_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2018-06-11T21:50:47Z</dcterms:created>
  <dcterms:modified xsi:type="dcterms:W3CDTF">2018-06-11T21:53:25Z</dcterms:modified>
</cp:coreProperties>
</file>