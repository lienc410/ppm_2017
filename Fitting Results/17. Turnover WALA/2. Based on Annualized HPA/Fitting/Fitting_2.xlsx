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30435" windowHeight="19185"/>
  </bookViews>
  <sheets>
    <sheet name="5 vs 11" sheetId="1" r:id="rId1"/>
    <sheet name="HPA 5 Fit" sheetId="2" r:id="rId2"/>
    <sheet name="HPA 11 Fit" sheetId="3" r:id="rId3"/>
  </sheets>
  <calcPr calcId="0"/>
  <pivotCaches>
    <pivotCache cacheId="15" r:id="rId4"/>
  </pivotCaches>
</workbook>
</file>

<file path=xl/calcChain.xml><?xml version="1.0" encoding="utf-8"?>
<calcChain xmlns="http://schemas.openxmlformats.org/spreadsheetml/2006/main">
  <c r="B67" i="1" l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C66" i="1"/>
  <c r="D66" i="1"/>
  <c r="B66" i="1"/>
  <c r="D32" i="3"/>
  <c r="E32" i="3"/>
  <c r="D34" i="3"/>
  <c r="D35" i="3"/>
  <c r="D36" i="3"/>
  <c r="E36" i="3"/>
  <c r="D32" i="2"/>
  <c r="E32" i="2"/>
  <c r="D34" i="2"/>
  <c r="E34" i="2"/>
  <c r="D37" i="2"/>
  <c r="E31" i="2"/>
  <c r="D31" i="3"/>
  <c r="D31" i="2"/>
  <c r="C36" i="3"/>
  <c r="C37" i="3"/>
  <c r="C31" i="3"/>
  <c r="L18" i="3"/>
  <c r="M18" i="3"/>
  <c r="M24" i="3"/>
  <c r="L24" i="3"/>
  <c r="G24" i="3"/>
  <c r="F24" i="3"/>
  <c r="H24" i="3" s="1"/>
  <c r="E24" i="3"/>
  <c r="D24" i="3"/>
  <c r="C24" i="3"/>
  <c r="M23" i="3"/>
  <c r="L23" i="3"/>
  <c r="D37" i="3" s="1"/>
  <c r="G23" i="3"/>
  <c r="F23" i="3"/>
  <c r="E23" i="3"/>
  <c r="D23" i="3"/>
  <c r="C23" i="3"/>
  <c r="M22" i="3"/>
  <c r="L22" i="3"/>
  <c r="D36" i="2" s="1"/>
  <c r="G22" i="3"/>
  <c r="F22" i="3"/>
  <c r="E22" i="3"/>
  <c r="D22" i="3"/>
  <c r="C22" i="3"/>
  <c r="C35" i="3" s="1"/>
  <c r="M21" i="3"/>
  <c r="L21" i="3"/>
  <c r="D35" i="2" s="1"/>
  <c r="G21" i="3"/>
  <c r="F21" i="3"/>
  <c r="E21" i="3"/>
  <c r="D21" i="3"/>
  <c r="C21" i="3"/>
  <c r="C34" i="3" s="1"/>
  <c r="M20" i="3"/>
  <c r="L20" i="3"/>
  <c r="G20" i="3"/>
  <c r="F20" i="3"/>
  <c r="E20" i="3"/>
  <c r="D20" i="3"/>
  <c r="C20" i="3"/>
  <c r="C33" i="3" s="1"/>
  <c r="M19" i="3"/>
  <c r="L19" i="3"/>
  <c r="D33" i="3" s="1"/>
  <c r="G19" i="3"/>
  <c r="F19" i="3"/>
  <c r="E19" i="3"/>
  <c r="D19" i="3"/>
  <c r="C19" i="3"/>
  <c r="C32" i="3" s="1"/>
  <c r="G18" i="3"/>
  <c r="F18" i="3"/>
  <c r="N18" i="3" s="1"/>
  <c r="E18" i="3"/>
  <c r="D18" i="3"/>
  <c r="C18" i="3"/>
  <c r="M16" i="3"/>
  <c r="G16" i="3"/>
  <c r="F16" i="3"/>
  <c r="M17" i="2"/>
  <c r="L18" i="2"/>
  <c r="E31" i="3" s="1"/>
  <c r="L24" i="2"/>
  <c r="E37" i="2" s="1"/>
  <c r="M24" i="2"/>
  <c r="M19" i="2"/>
  <c r="M20" i="2"/>
  <c r="M21" i="2"/>
  <c r="M22" i="2"/>
  <c r="M23" i="2"/>
  <c r="A67" i="1"/>
  <c r="A68" i="1"/>
  <c r="A69" i="1"/>
  <c r="A70" i="1"/>
  <c r="A71" i="1"/>
  <c r="A66" i="1"/>
  <c r="L23" i="2"/>
  <c r="E36" i="2" s="1"/>
  <c r="L22" i="2"/>
  <c r="E35" i="2" s="1"/>
  <c r="L21" i="2"/>
  <c r="E34" i="3" s="1"/>
  <c r="L20" i="2"/>
  <c r="E33" i="3" s="1"/>
  <c r="L19" i="2"/>
  <c r="E35" i="3" l="1"/>
  <c r="D33" i="2"/>
  <c r="E33" i="2"/>
  <c r="E37" i="3"/>
  <c r="N24" i="3"/>
  <c r="N24" i="2"/>
  <c r="N22" i="3"/>
  <c r="N21" i="3"/>
  <c r="N19" i="3"/>
  <c r="H20" i="3"/>
  <c r="H19" i="3"/>
  <c r="N20" i="3"/>
  <c r="H18" i="3"/>
  <c r="N23" i="3"/>
  <c r="H23" i="3"/>
  <c r="H21" i="3"/>
  <c r="H22" i="3"/>
  <c r="E19" i="2"/>
  <c r="E20" i="2"/>
  <c r="E21" i="2"/>
  <c r="E22" i="2"/>
  <c r="E23" i="2"/>
  <c r="E24" i="2"/>
  <c r="E18" i="2"/>
  <c r="G19" i="2"/>
  <c r="G20" i="2"/>
  <c r="G21" i="2"/>
  <c r="G22" i="2"/>
  <c r="G23" i="2"/>
  <c r="G24" i="2"/>
  <c r="G18" i="2"/>
  <c r="D19" i="2"/>
  <c r="F19" i="2"/>
  <c r="N19" i="2" s="1"/>
  <c r="D20" i="2"/>
  <c r="F20" i="2"/>
  <c r="N20" i="2" s="1"/>
  <c r="D21" i="2"/>
  <c r="F21" i="2"/>
  <c r="N21" i="2" s="1"/>
  <c r="D22" i="2"/>
  <c r="F22" i="2"/>
  <c r="N22" i="2" s="1"/>
  <c r="D23" i="2"/>
  <c r="F23" i="2"/>
  <c r="N23" i="2" s="1"/>
  <c r="D24" i="2"/>
  <c r="F24" i="2"/>
  <c r="C19" i="2"/>
  <c r="C32" i="2" s="1"/>
  <c r="C20" i="2"/>
  <c r="C33" i="2" s="1"/>
  <c r="C21" i="2"/>
  <c r="C34" i="2" s="1"/>
  <c r="C22" i="2"/>
  <c r="C35" i="2" s="1"/>
  <c r="C23" i="2"/>
  <c r="C36" i="2" s="1"/>
  <c r="C24" i="2"/>
  <c r="C37" i="2" s="1"/>
  <c r="F18" i="2"/>
  <c r="F17" i="2"/>
  <c r="G17" i="2"/>
  <c r="D18" i="2"/>
  <c r="C18" i="2"/>
  <c r="C31" i="2" s="1"/>
  <c r="H24" i="2" l="1"/>
  <c r="H22" i="2"/>
  <c r="H18" i="2"/>
  <c r="H20" i="2"/>
  <c r="H21" i="2"/>
  <c r="H19" i="2"/>
  <c r="H23" i="2" l="1"/>
</calcChain>
</file>

<file path=xl/sharedStrings.xml><?xml version="1.0" encoding="utf-8"?>
<sst xmlns="http://schemas.openxmlformats.org/spreadsheetml/2006/main" count="189" uniqueCount="64">
  <si>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</si>
  <si>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</si>
  <si>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</si>
  <si>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</si>
  <si>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</si>
  <si>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</si>
  <si>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</si>
  <si>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</si>
  <si>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</si>
  <si>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</si>
  <si>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</si>
  <si>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</si>
  <si>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</si>
  <si>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</si>
  <si>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</si>
  <si>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</si>
  <si>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</si>
  <si>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</si>
  <si>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</si>
  <si>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</si>
  <si>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</si>
  <si>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</si>
  <si>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</si>
  <si>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</si>
  <si>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</si>
  <si>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</si>
  <si>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</si>
  <si>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</si>
  <si>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</si>
  <si>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</si>
  <si>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</si>
  <si>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</si>
  <si>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</si>
  <si>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</si>
  <si>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</si>
  <si>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</si>
  <si>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</si>
  <si>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</si>
  <si>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</si>
  <si>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</si>
  <si>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</si>
  <si>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</si>
  <si>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</si>
  <si>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</si>
  <si>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</si>
  <si>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</si>
  <si>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</si>
  <si>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</si>
  <si>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</si>
  <si>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</si>
  <si>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</si>
  <si>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</si>
  <si>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</si>
  <si>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</si>
  <si>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</si>
  <si>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</si>
  <si>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Row Labels</t>
  </si>
  <si>
    <t>Column Labels</t>
  </si>
  <si>
    <t>Sum of actual.cpr</t>
  </si>
  <si>
    <t>Prod  Knots</t>
  </si>
  <si>
    <t>Ratio</t>
  </si>
  <si>
    <t>Dev Knots</t>
  </si>
  <si>
    <t>HPA 11</t>
  </si>
  <si>
    <t>HPA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</si>
</sst>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43" fontId="0" fillId="0" borderId="0" xfId="0" applyNumberFormat="1"/>
    <xf numFmtId="43" fontId="0" fillId="0" borderId="0" xfId="1" applyFont="1"/>
    <xf numFmtId="165" fontId="0" fillId="0" borderId="0" xfId="1" applyNumberFormat="1" applyFont="1"/>
    <xf numFmtId="43" fontId="0" fillId="0" borderId="0" xfId="1" applyNumberFormat="1" applyFont="1"/>
    <xf numFmtId="166" fontId="18" fillId="0" borderId="0" xfId="1" applyNumberFormat="1" applyFont="1"/>
    <xf numFmtId="2" fontId="0" fillId="0" borderId="0" xfId="0" applyNumberFormat="1"/>
    <xf numFmtId="166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vs 11'!$B$65</c:f>
              <c:strCache>
                <c:ptCount val="1"/>
                <c:pt idx="0">
                  <c:v>5</c:v>
                </c:pt>
              </c:strCache>
            </c:strRef>
          </c:tx>
          <c:cat>
            <c:numRef>
              <c:f>'5 vs 11'!$A$66:$A$71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cat>
          <c:val>
            <c:numRef>
              <c:f>'5 vs 11'!$B$66:$B$71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3.464919723386857E-2</c:v>
                </c:pt>
                <c:pt idx="2">
                  <c:v>8.6883718615577213E-2</c:v>
                </c:pt>
                <c:pt idx="3">
                  <c:v>0.7055805975035534</c:v>
                </c:pt>
                <c:pt idx="4">
                  <c:v>1</c:v>
                </c:pt>
                <c:pt idx="5">
                  <c:v>0.99948557546423533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 vs 11'!$C$65</c:f>
              <c:strCache>
                <c:ptCount val="1"/>
                <c:pt idx="0">
                  <c:v>8</c:v>
                </c:pt>
              </c:strCache>
            </c:strRef>
          </c:tx>
          <c:cat>
            <c:numRef>
              <c:f>'5 vs 11'!$A$66:$A$71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cat>
          <c:val>
            <c:numRef>
              <c:f>'5 vs 11'!$C$66:$C$71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0.18920893727756699</c:v>
                </c:pt>
                <c:pt idx="2">
                  <c:v>0.23795790527343572</c:v>
                </c:pt>
                <c:pt idx="3">
                  <c:v>0.68627912760872944</c:v>
                </c:pt>
                <c:pt idx="4">
                  <c:v>1</c:v>
                </c:pt>
                <c:pt idx="5">
                  <c:v>1.0614869972681611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 vs 11'!$D$65</c:f>
              <c:strCache>
                <c:ptCount val="1"/>
                <c:pt idx="0">
                  <c:v>11</c:v>
                </c:pt>
              </c:strCache>
            </c:strRef>
          </c:tx>
          <c:cat>
            <c:numRef>
              <c:f>'5 vs 11'!$A$66:$A$71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cat>
          <c:val>
            <c:numRef>
              <c:f>'5 vs 11'!$D$66:$D$71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0.26716837649023512</c:v>
                </c:pt>
                <c:pt idx="2">
                  <c:v>0.39613926232159319</c:v>
                </c:pt>
                <c:pt idx="3">
                  <c:v>0.71129484255633368</c:v>
                </c:pt>
                <c:pt idx="4">
                  <c:v>1</c:v>
                </c:pt>
                <c:pt idx="5">
                  <c:v>1.088751963064339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76128"/>
        <c:axId val="148577664"/>
      </c:lineChart>
      <c:catAx>
        <c:axId val="14857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577664"/>
        <c:crosses val="autoZero"/>
        <c:auto val="1"/>
        <c:lblAlgn val="ctr"/>
        <c:lblOffset val="100"/>
        <c:noMultiLvlLbl val="0"/>
      </c:catAx>
      <c:valAx>
        <c:axId val="1485776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4857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[Fitting_2.xlsx]5 vs 11!PivotTable3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'5 vs 11'!$B$39:$B$40</c:f>
              <c:strCache>
                <c:ptCount val="1"/>
                <c:pt idx="0">
                  <c:v>5</c:v>
                </c:pt>
              </c:strCache>
            </c:strRef>
          </c:tx>
          <c:cat>
            <c:strRef>
              <c:f>'5 vs 11'!$A$41:$A$51</c:f>
              <c:strCache>
                <c:ptCount val="1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</c:strCache>
            </c:strRef>
          </c:cat>
          <c:val>
            <c:numRef>
              <c:f>'5 vs 11'!$B$41:$B$51</c:f>
              <c:numCache>
                <c:formatCode>_(* #,##0.00_);_(* \(#,##0.00\);_(* "-"??_);_(@_)</c:formatCode>
                <c:ptCount val="11"/>
                <c:pt idx="0">
                  <c:v>1.7416622014049801</c:v>
                </c:pt>
                <c:pt idx="1">
                  <c:v>3.8313606107196798</c:v>
                </c:pt>
                <c:pt idx="2">
                  <c:v>3.9348351873154002</c:v>
                </c:pt>
                <c:pt idx="3">
                  <c:v>4.0908256694951497</c:v>
                </c:pt>
                <c:pt idx="4">
                  <c:v>5.93847013732859</c:v>
                </c:pt>
                <c:pt idx="5">
                  <c:v>6.8177090648355803</c:v>
                </c:pt>
                <c:pt idx="6">
                  <c:v>6.8161728139184401</c:v>
                </c:pt>
                <c:pt idx="7">
                  <c:v>5.71280479083772</c:v>
                </c:pt>
                <c:pt idx="8">
                  <c:v>7.3364734832865199</c:v>
                </c:pt>
                <c:pt idx="9">
                  <c:v>7.7053488947320297</c:v>
                </c:pt>
                <c:pt idx="10">
                  <c:v>7.2573543989157701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 vs 11'!$C$39:$C$40</c:f>
              <c:strCache>
                <c:ptCount val="1"/>
                <c:pt idx="0">
                  <c:v>8</c:v>
                </c:pt>
              </c:strCache>
            </c:strRef>
          </c:tx>
          <c:cat>
            <c:strRef>
              <c:f>'5 vs 11'!$A$41:$A$51</c:f>
              <c:strCache>
                <c:ptCount val="1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</c:strCache>
            </c:strRef>
          </c:cat>
          <c:val>
            <c:numRef>
              <c:f>'5 vs 11'!$C$41:$C$51</c:f>
              <c:numCache>
                <c:formatCode>_(* #,##0.00_);_(* \(#,##0.00\);_(* "-"??_);_(@_)</c:formatCode>
                <c:ptCount val="11"/>
                <c:pt idx="1">
                  <c:v>4.3757776813718499</c:v>
                </c:pt>
                <c:pt idx="2">
                  <c:v>5.0766433117425898</c:v>
                </c:pt>
                <c:pt idx="3">
                  <c:v>5.2572186940472099</c:v>
                </c:pt>
                <c:pt idx="4">
                  <c:v>6.9178851542137298</c:v>
                </c:pt>
                <c:pt idx="5">
                  <c:v>8.0799665027623497</c:v>
                </c:pt>
                <c:pt idx="6">
                  <c:v>8.30772595070394</c:v>
                </c:pt>
                <c:pt idx="7">
                  <c:v>9.2621572957999891</c:v>
                </c:pt>
                <c:pt idx="8">
                  <c:v>8.9602258880510206</c:v>
                </c:pt>
                <c:pt idx="9">
                  <c:v>8.6643017031701195</c:v>
                </c:pt>
                <c:pt idx="10">
                  <c:v>8.1073921558542104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 vs 11'!$D$39:$D$40</c:f>
              <c:strCache>
                <c:ptCount val="1"/>
                <c:pt idx="0">
                  <c:v>11</c:v>
                </c:pt>
              </c:strCache>
            </c:strRef>
          </c:tx>
          <c:cat>
            <c:strRef>
              <c:f>'5 vs 11'!$A$41:$A$51</c:f>
              <c:strCache>
                <c:ptCount val="1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</c:strCache>
            </c:strRef>
          </c:cat>
          <c:val>
            <c:numRef>
              <c:f>'5 vs 11'!$D$41:$D$51</c:f>
              <c:numCache>
                <c:formatCode>_(* #,##0.00_);_(* \(#,##0.00\);_(* "-"??_);_(@_)</c:formatCode>
                <c:ptCount val="11"/>
                <c:pt idx="1">
                  <c:v>4.5191185484484597</c:v>
                </c:pt>
                <c:pt idx="2">
                  <c:v>5.8116469613769004</c:v>
                </c:pt>
                <c:pt idx="3">
                  <c:v>6.4355925666445701</c:v>
                </c:pt>
                <c:pt idx="4">
                  <c:v>7.9602772890568403</c:v>
                </c:pt>
                <c:pt idx="5">
                  <c:v>9.3569980531572892</c:v>
                </c:pt>
                <c:pt idx="6">
                  <c:v>9.7863693562689296</c:v>
                </c:pt>
                <c:pt idx="7">
                  <c:v>9.0455930126038897</c:v>
                </c:pt>
                <c:pt idx="8">
                  <c:v>8.1900221852588508</c:v>
                </c:pt>
                <c:pt idx="9">
                  <c:v>7.7764875655165797</c:v>
                </c:pt>
                <c:pt idx="10">
                  <c:v>7.6874758434898398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15840"/>
        <c:axId val="151718144"/>
      </c:lineChart>
      <c:catAx>
        <c:axId val="151715840"/>
        <c:scaling>
          <c:orientation val="minMax"/>
        </c:scaling>
        <c:delete val="0"/>
        <c:axPos val="b"/>
        <c:majorTickMark val="out"/>
        <c:minorTickMark val="none"/>
        <c:tickLblPos val="nextTo"/>
        <c:crossAx val="151718144"/>
        <c:crosses val="autoZero"/>
        <c:auto val="1"/>
        <c:lblAlgn val="ctr"/>
        <c:lblOffset val="100"/>
        <c:noMultiLvlLbl val="0"/>
      </c:catAx>
      <c:valAx>
        <c:axId val="1517181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51715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'HPA 5 Fit'!$J$17</c:f>
              <c:strCache>
                <c:ptCount val="1"/>
                <c:pt idx="0">
                  <c:v>Prod  Knots</c:v>
                </c:pt>
              </c:strCache>
            </c:strRef>
          </c:tx>
          <c:cat>
            <c:numRef>
              <c:f>'HPA 5 Fit'!$C$18:$C$24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Fit'!$J$18:$J$24</c:f>
              <c:numCache>
                <c:formatCode>General</c:formatCode>
                <c:ptCount val="7"/>
                <c:pt idx="0">
                  <c:v>0.16</c:v>
                </c:pt>
                <c:pt idx="1">
                  <c:v>0.5</c:v>
                </c:pt>
                <c:pt idx="2">
                  <c:v>1.02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'HPA 5 Fit'!$L$17</c:f>
              <c:strCache>
                <c:ptCount val="1"/>
                <c:pt idx="0">
                  <c:v>Dev Knots</c:v>
                </c:pt>
              </c:strCache>
            </c:strRef>
          </c:tx>
          <c:cat>
            <c:numRef>
              <c:f>'HPA 5 Fit'!$C$18:$C$24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Fit'!$L$18:$L$24</c:f>
              <c:numCache>
                <c:formatCode>_(* #,##0.0000_);_(* \(#,##0.0000\);_(* "-"??_);_(@_)</c:formatCode>
                <c:ptCount val="7"/>
                <c:pt idx="0">
                  <c:v>0.71</c:v>
                </c:pt>
                <c:pt idx="1">
                  <c:v>0.71</c:v>
                </c:pt>
                <c:pt idx="2">
                  <c:v>0.71399999999999997</c:v>
                </c:pt>
                <c:pt idx="3">
                  <c:v>0.85000000000000009</c:v>
                </c:pt>
                <c:pt idx="4">
                  <c:v>1.1000000000000001</c:v>
                </c:pt>
                <c:pt idx="5">
                  <c:v>1.1125</c:v>
                </c:pt>
                <c:pt idx="6">
                  <c:v>1.2375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37088"/>
        <c:axId val="151738624"/>
      </c:lineChart>
      <c:catAx>
        <c:axId val="15173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738624"/>
        <c:crosses val="autoZero"/>
        <c:auto val="1"/>
        <c:lblAlgn val="ctr"/>
        <c:lblOffset val="100"/>
        <c:noMultiLvlLbl val="0"/>
      </c:catAx>
      <c:valAx>
        <c:axId val="151738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737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'HPA 5 Fit'!$D$30</c:f>
              <c:strCache>
                <c:ptCount val="1"/>
                <c:pt idx="0">
                  <c:v>HPA 11</c:v>
                </c:pt>
              </c:strCache>
            </c:strRef>
          </c:tx>
          <c:cat>
            <c:numRef>
              <c:f>'HPA 5 Fit'!$C$31:$C$37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Fit'!$D$31:$D$37</c:f>
              <c:numCache>
                <c:formatCode>General</c:formatCode>
                <c:ptCount val="7"/>
                <c:pt idx="0">
                  <c:v>0.71</c:v>
                </c:pt>
                <c:pt idx="1">
                  <c:v>0.85</c:v>
                </c:pt>
                <c:pt idx="2">
                  <c:v>1.0710000000000002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'HPA 5 Fit'!$E$30</c:f>
              <c:strCache>
                <c:ptCount val="1"/>
                <c:pt idx="0">
                  <c:v>HPA 5</c:v>
                </c:pt>
              </c:strCache>
            </c:strRef>
          </c:tx>
          <c:cat>
            <c:numRef>
              <c:f>'HPA 5 Fit'!$C$31:$C$37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Fit'!$E$31:$E$37</c:f>
              <c:numCache>
                <c:formatCode>_(* #,##0.0000_);_(* \(#,##0.0000\);_(* "-"??_);_(@_)</c:formatCode>
                <c:ptCount val="7"/>
                <c:pt idx="0">
                  <c:v>0.71</c:v>
                </c:pt>
                <c:pt idx="1">
                  <c:v>0.71</c:v>
                </c:pt>
                <c:pt idx="2">
                  <c:v>0.71399999999999997</c:v>
                </c:pt>
                <c:pt idx="3">
                  <c:v>0.85000000000000009</c:v>
                </c:pt>
                <c:pt idx="4">
                  <c:v>1.1000000000000001</c:v>
                </c:pt>
                <c:pt idx="5">
                  <c:v>1.1125</c:v>
                </c:pt>
                <c:pt idx="6">
                  <c:v>1.2375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96128"/>
        <c:axId val="214972672"/>
      </c:lineChart>
      <c:catAx>
        <c:axId val="20849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4972672"/>
        <c:crosses val="autoZero"/>
        <c:auto val="1"/>
        <c:lblAlgn val="ctr"/>
        <c:lblOffset val="100"/>
        <c:noMultiLvlLbl val="0"/>
      </c:catAx>
      <c:valAx>
        <c:axId val="21497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49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'HPA 11 Fit'!$J$16</c:f>
              <c:strCache>
                <c:ptCount val="1"/>
                <c:pt idx="0">
                  <c:v>Prod  Knots</c:v>
                </c:pt>
              </c:strCache>
            </c:strRef>
          </c:tx>
          <c:marker>
            <c:symbol val="none"/>
          </c:marker>
          <c:cat>
            <c:numRef>
              <c:f>'HPA 11 Fit'!$C$17:$C$24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</c:numCache>
            </c:numRef>
          </c:cat>
          <c:val>
            <c:numRef>
              <c:f>'HPA 11 Fit'!$J$17:$J$24</c:f>
              <c:numCache>
                <c:formatCode>General</c:formatCode>
                <c:ptCount val="8"/>
                <c:pt idx="0">
                  <c:v>0.16</c:v>
                </c:pt>
                <c:pt idx="1">
                  <c:v>0.5</c:v>
                </c:pt>
                <c:pt idx="2">
                  <c:v>1.02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'HPA 11 Fit'!$L$16</c:f>
              <c:strCache>
                <c:ptCount val="1"/>
                <c:pt idx="0">
                  <c:v>Dev Knots</c:v>
                </c:pt>
              </c:strCache>
            </c:strRef>
          </c:tx>
          <c:marker>
            <c:symbol val="none"/>
          </c:marker>
          <c:cat>
            <c:numRef>
              <c:f>'HPA 11 Fit'!$C$17:$C$24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</c:numCache>
            </c:numRef>
          </c:cat>
          <c:val>
            <c:numRef>
              <c:f>'HPA 11 Fit'!$L$17:$L$24</c:f>
              <c:numCache>
                <c:formatCode>_(* #,##0.0000_);_(* \(#,##0.0000\);_(* "-"??_);_(@_)</c:formatCode>
                <c:ptCount val="8"/>
                <c:pt idx="0" formatCode="General">
                  <c:v>0.71</c:v>
                </c:pt>
                <c:pt idx="1">
                  <c:v>0.85</c:v>
                </c:pt>
                <c:pt idx="2">
                  <c:v>1.0710000000000002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42240"/>
        <c:axId val="173155456"/>
      </c:lineChart>
      <c:catAx>
        <c:axId val="14964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155456"/>
        <c:crosses val="autoZero"/>
        <c:auto val="1"/>
        <c:lblAlgn val="ctr"/>
        <c:lblOffset val="100"/>
        <c:noMultiLvlLbl val="0"/>
      </c:catAx>
      <c:valAx>
        <c:axId val="17315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642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57</xdr:row>
      <xdr:rowOff>61912</xdr:rowOff>
    </xdr:from>
    <xdr:to>
      <xdr:col>15</xdr:col>
      <xdr:colOff>214312</xdr:colOff>
      <xdr:row>71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595312</xdr:colOff>
      <xdr:row>37</xdr:row>
      <xdr:rowOff>100012</xdr:rowOff>
    </xdr:from>
    <xdr:to>
      <xdr:col>15</xdr:col>
      <xdr:colOff>290512</xdr:colOff>
      <xdr:row>51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538162</xdr:colOff>
      <xdr:row>18</xdr:row>
      <xdr:rowOff>90487</xdr:rowOff>
    </xdr:from>
    <xdr:to>
      <xdr:col>24</xdr:col>
      <xdr:colOff>233362</xdr:colOff>
      <xdr:row>32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4762</xdr:colOff>
      <xdr:row>36</xdr:row>
      <xdr:rowOff>100012</xdr:rowOff>
    </xdr:from>
    <xdr:to>
      <xdr:col>24</xdr:col>
      <xdr:colOff>309562</xdr:colOff>
      <xdr:row>50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471487</xdr:colOff>
      <xdr:row>18</xdr:row>
      <xdr:rowOff>80962</xdr:rowOff>
    </xdr:from>
    <xdr:to>
      <xdr:col>24</xdr:col>
      <xdr:colOff>166687</xdr:colOff>
      <xdr:row>32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63.468450231485" createdVersion="4" refreshedVersion="4" minRefreshableVersion="3" recordCount="31">
  <cacheSource type="worksheet">
    <worksheetSource ref="B1:G32" sheet="5 vs 11"/>
  </cacheSource>
  <cacheFields count="6">
    <cacheField name="grp" numFmtId="0">
      <sharedItems containsSemiMixedTypes="0" containsString="0" containsNumber="1" containsInteger="1" minValue="5" maxValue="11" count="3">
        <n v="5"/>
        <n v="8"/>
        <n v="11"/>
      </sharedItems>
    </cacheField>
    <cacheField name="x" numFmtId="0">
      <sharedItems containsSemiMixedTypes="0" containsString="0" containsNumber="1" containsInteger="1" minValue="0" maxValue="60" count="21">
        <n v="0"/>
        <n v="6"/>
        <n v="12"/>
        <n v="18"/>
        <n v="24"/>
        <n v="30"/>
        <n v="36"/>
        <n v="42"/>
        <n v="48"/>
        <n v="54"/>
        <n v="60"/>
        <n v="5" u="1"/>
        <n v="40" u="1"/>
        <n v="15" u="1"/>
        <n v="50" u="1"/>
        <n v="20" u="1"/>
        <n v="35" u="1"/>
        <n v="25" u="1"/>
        <n v="45" u="1"/>
        <n v="10" u="1"/>
        <n v="55" u="1"/>
      </sharedItems>
    </cacheField>
    <cacheField name="actual.smm" numFmtId="0">
      <sharedItems containsSemiMixedTypes="0" containsString="0" containsNumber="1" minValue="0.14631016008153699" maxValue="0.85457469433837596"/>
    </cacheField>
    <cacheField name="model.smm" numFmtId="0">
      <sharedItems containsSemiMixedTypes="0" containsString="0" containsNumber="1" minValue="4.9958195501716901E-2" maxValue="0.71712372494131504"/>
    </cacheField>
    <cacheField name="actual.cpr" numFmtId="0">
      <sharedItems containsSemiMixedTypes="0" containsString="0" containsNumber="1" minValue="1.7416622014049801" maxValue="9.7863693562689296"/>
    </cacheField>
    <cacheField name="model.cpr" numFmtId="0">
      <sharedItems containsSemiMixedTypes="0" containsString="0" containsNumber="1" minValue="0.59785384399118102" maxValue="8.27405286650568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0"/>
    <n v="0.14631016008153699"/>
    <n v="4.9958195501716901E-2"/>
    <n v="1.7416622014049801"/>
    <n v="0.59785384399118102"/>
  </r>
  <r>
    <x v="0"/>
    <x v="1"/>
    <n v="0.32502793134269897"/>
    <n v="0.15551926452335099"/>
    <n v="3.8313606107196798"/>
    <n v="1.8503507173393701"/>
  </r>
  <r>
    <x v="0"/>
    <x v="2"/>
    <n v="0.33396961561571897"/>
    <n v="0.346086120838699"/>
    <n v="3.9348351873154002"/>
    <n v="4.0748864486820997"/>
  </r>
  <r>
    <x v="0"/>
    <x v="3"/>
    <n v="0.347466126781384"/>
    <n v="0.50764409536866995"/>
    <n v="4.0908256694951497"/>
    <n v="5.9244909340837797"/>
  </r>
  <r>
    <x v="0"/>
    <x v="4"/>
    <n v="0.50887618950520996"/>
    <n v="0.57600036494054496"/>
    <n v="5.93847013732859"/>
    <n v="6.6971822266579002"/>
  </r>
  <r>
    <x v="0"/>
    <x v="5"/>
    <n v="0.58670954585313795"/>
    <n v="0.65231403775502905"/>
    <n v="6.8177090648355803"/>
    <n v="7.5529472841939196"/>
  </r>
  <r>
    <x v="0"/>
    <x v="6"/>
    <n v="0.58657296535494896"/>
    <n v="0.60207517224822404"/>
    <n v="6.8161728139184401"/>
    <n v="6.9903927432741204"/>
  </r>
  <r>
    <x v="0"/>
    <x v="7"/>
    <n v="0.489007059804834"/>
    <n v="0.63104920416097299"/>
    <n v="5.71280479083772"/>
    <n v="7.3152140581878404"/>
  </r>
  <r>
    <x v="0"/>
    <x v="8"/>
    <n v="0.63294878676820399"/>
    <n v="0.61203863475221398"/>
    <n v="7.3364734832865199"/>
    <n v="7.1022083984841604"/>
  </r>
  <r>
    <x v="0"/>
    <x v="9"/>
    <n v="0.66597248597083702"/>
    <n v="0.63889462593723401"/>
    <n v="7.7053488947320297"/>
    <n v="7.4029882240441003"/>
  </r>
  <r>
    <x v="0"/>
    <x v="10"/>
    <n v="0.62588132143122799"/>
    <n v="0.60649673501263401"/>
    <n v="7.2573543989157701"/>
    <n v="7.04002925828207"/>
  </r>
  <r>
    <x v="1"/>
    <x v="1"/>
    <n v="0.37217260202713198"/>
    <n v="0.19805504074638799"/>
    <n v="4.3757776813718499"/>
    <n v="2.3509416173569102"/>
  </r>
  <r>
    <x v="1"/>
    <x v="2"/>
    <n v="0.43322877579852997"/>
    <n v="0.40457287753251597"/>
    <n v="5.0766433117425898"/>
    <n v="4.7482899173535396"/>
  </r>
  <r>
    <x v="1"/>
    <x v="3"/>
    <n v="0.44902661141720002"/>
    <n v="0.53628825692803095"/>
    <n v="5.2572186940472099"/>
    <n v="6.2489923883012901"/>
  </r>
  <r>
    <x v="1"/>
    <x v="4"/>
    <n v="0.59562016699055298"/>
    <n v="0.604962823623166"/>
    <n v="6.9178851542137298"/>
    <n v="7.0228123025997897"/>
  </r>
  <r>
    <x v="1"/>
    <x v="5"/>
    <n v="0.69963431703736101"/>
    <n v="0.68923380754406405"/>
    <n v="8.0799665027623497"/>
    <n v="7.96436981742269"/>
  </r>
  <r>
    <x v="1"/>
    <x v="6"/>
    <n v="0.72016150886686303"/>
    <n v="0.63840490766808999"/>
    <n v="8.30772595070394"/>
    <n v="7.39751151231608"/>
  </r>
  <r>
    <x v="1"/>
    <x v="7"/>
    <n v="0.80669268366452096"/>
    <n v="0.687790398279023"/>
    <n v="9.2621572957999891"/>
    <n v="7.94831648829906"/>
  </r>
  <r>
    <x v="1"/>
    <x v="8"/>
    <n v="0.77922895364241096"/>
    <n v="0.67255861874193801"/>
    <n v="8.9602258880510206"/>
    <n v="7.7787549437413199"/>
  </r>
  <r>
    <x v="1"/>
    <x v="9"/>
    <n v="0.75239253957461605"/>
    <n v="0.71712372494131504"/>
    <n v="8.6643017031701195"/>
    <n v="8.2740528665056807"/>
  </r>
  <r>
    <x v="1"/>
    <x v="10"/>
    <n v="0.70210362810693605"/>
    <n v="0.64514659077387604"/>
    <n v="8.1073921558542104"/>
    <n v="7.47288031601967"/>
  </r>
  <r>
    <x v="2"/>
    <x v="1"/>
    <n v="0.38462635040628801"/>
    <n v="0.20205796666487499"/>
    <n v="4.5191185484484597"/>
    <n v="2.3979301682143799"/>
  </r>
  <r>
    <x v="2"/>
    <x v="2"/>
    <n v="0.49770443344996601"/>
    <n v="0.40808262589865701"/>
    <n v="5.8116469613769004"/>
    <n v="4.7885622176138902"/>
  </r>
  <r>
    <x v="2"/>
    <x v="3"/>
    <n v="0.55280087888953"/>
    <n v="0.54727232053021901"/>
    <n v="6.4355925666445701"/>
    <n v="6.3731552752624401"/>
  </r>
  <r>
    <x v="2"/>
    <x v="4"/>
    <n v="0.68886581252248902"/>
    <n v="0.62498096312501294"/>
    <n v="7.9602772890568403"/>
    <n v="7.2472705935673796"/>
  </r>
  <r>
    <x v="2"/>
    <x v="5"/>
    <n v="0.81533670499375499"/>
    <n v="0.69492679055568596"/>
    <n v="9.3569980531572892"/>
    <n v="8.0276610959517001"/>
  </r>
  <r>
    <x v="2"/>
    <x v="6"/>
    <n v="0.85457469433837596"/>
    <n v="0.67265890343571699"/>
    <n v="9.7863693562689296"/>
    <n v="7.7798722576883099"/>
  </r>
  <r>
    <x v="2"/>
    <x v="7"/>
    <n v="0.78698548502293597"/>
    <n v="0.64317808103281204"/>
    <n v="9.0455930126038897"/>
    <n v="7.45087912982489"/>
  </r>
  <r>
    <x v="2"/>
    <x v="8"/>
    <n v="0.70954743651064101"/>
    <n v="0.65469091382086397"/>
    <n v="8.1900221852588508"/>
    <n v="7.5794851474093603"/>
  </r>
  <r>
    <x v="2"/>
    <x v="9"/>
    <n v="0.67235511326646402"/>
    <n v="0.67624709022126195"/>
    <n v="7.7764875655165797"/>
    <n v="7.8198415916425796"/>
  </r>
  <r>
    <x v="2"/>
    <x v="10"/>
    <n v="0.664369608138486"/>
    <n v="0.62812469150215999"/>
    <n v="7.6874758434898398"/>
    <n v="7.2824752550174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2">
  <location ref="A39:D51" firstHeaderRow="1" firstDataRow="2" firstDataCol="1"/>
  <pivotFields count="6">
    <pivotField axis="axisCol" showAll="0">
      <items count="4">
        <item x="0"/>
        <item x="1"/>
        <item x="2"/>
        <item t="default"/>
      </items>
    </pivotField>
    <pivotField axis="axisRow" showAll="0" sortType="ascending">
      <items count="22">
        <item x="0"/>
        <item m="1" x="11"/>
        <item x="1"/>
        <item m="1" x="19"/>
        <item x="2"/>
        <item m="1" x="13"/>
        <item x="3"/>
        <item m="1" x="15"/>
        <item x="4"/>
        <item m="1" x="17"/>
        <item x="5"/>
        <item m="1" x="16"/>
        <item x="6"/>
        <item m="1" x="12"/>
        <item x="7"/>
        <item m="1" x="18"/>
        <item x="8"/>
        <item m="1" x="14"/>
        <item x="9"/>
        <item m="1" x="20"/>
        <item x="1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2"/>
    </i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>
      <x v="20"/>
    </i>
  </rowItems>
  <colFields count="1">
    <field x="0"/>
  </colFields>
  <colItems count="3">
    <i>
      <x/>
    </i>
    <i>
      <x v="1"/>
    </i>
    <i>
      <x v="2"/>
    </i>
  </colItems>
  <dataFields count="1">
    <dataField name="Sum of actual.cpr" fld="4" baseField="0" baseItem="0"/>
  </dataFields>
  <formats count="1">
    <format dxfId="0">
      <pivotArea collapsedLevelsAreSubtotals="1" fieldPosition="0">
        <references count="2">
          <reference field="0" count="0" selected="0"/>
          <reference field="1" count="0"/>
        </references>
      </pivotArea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1"/>
  <sheetViews>
    <sheetView tabSelected="1" topLeftCell="A25" workbookViewId="0">
      <selection activeCell="I77" sqref="I77"/>
    </sheetView>
  </sheetViews>
  <sheetFormatPr defaultRowHeight="15" x14ac:dyDescent="0.25"/>
  <cols>
    <col min="1" max="2" width="16.28515625" bestFit="1" customWidth="1"/>
    <col min="3" max="4" width="6" customWidth="1"/>
    <col min="5" max="5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5</v>
      </c>
      <c r="C2">
        <v>0</v>
      </c>
      <c r="D2">
        <v>0.14631016008153699</v>
      </c>
      <c r="E2">
        <v>4.9958195501716901E-2</v>
      </c>
      <c r="F2">
        <v>1.7416622014049801</v>
      </c>
      <c r="G2">
        <v>0.59785384399118102</v>
      </c>
      <c r="H2">
        <v>2.9286518180287202</v>
      </c>
      <c r="I2">
        <v>-9.6351964579820398E-2</v>
      </c>
      <c r="J2">
        <v>1.6776748762575601E-3</v>
      </c>
      <c r="K2">
        <v>2.21858582410819E-4</v>
      </c>
      <c r="L2">
        <v>0</v>
      </c>
      <c r="M2">
        <v>4.8058661951342299E-2</v>
      </c>
      <c r="N2" s="1">
        <v>9.1706228265191099E-11</v>
      </c>
      <c r="O2">
        <v>0</v>
      </c>
      <c r="P2">
        <v>9.4685993283203604</v>
      </c>
      <c r="Q2">
        <v>90.531400671679606</v>
      </c>
      <c r="R2">
        <v>76.425354178884604</v>
      </c>
      <c r="S2">
        <v>15.7541105696753</v>
      </c>
      <c r="T2">
        <v>7.8205352514401101</v>
      </c>
      <c r="U2">
        <v>0</v>
      </c>
      <c r="V2">
        <v>23.5746458211154</v>
      </c>
      <c r="W2">
        <v>1.01823953968234E-3</v>
      </c>
      <c r="X2">
        <v>-37.310377286145702</v>
      </c>
      <c r="Y2">
        <v>0</v>
      </c>
      <c r="Z2">
        <v>100</v>
      </c>
      <c r="AA2">
        <v>74.346910655795298</v>
      </c>
      <c r="AB2">
        <v>310.359969792112</v>
      </c>
      <c r="AC2">
        <v>308.53903543257502</v>
      </c>
      <c r="AD2">
        <v>-1.39281942259051E-2</v>
      </c>
      <c r="AE2">
        <v>359.36565315297798</v>
      </c>
      <c r="AF2">
        <v>3.80632444799285</v>
      </c>
      <c r="AG2">
        <v>778.03438245739596</v>
      </c>
      <c r="AH2">
        <v>1.0574862625319299</v>
      </c>
      <c r="AI2">
        <v>45.011504834123102</v>
      </c>
      <c r="AJ2">
        <v>176.58300568760501</v>
      </c>
      <c r="AK2">
        <v>23.0757201497421</v>
      </c>
      <c r="AL2">
        <v>-60.120924640581698</v>
      </c>
      <c r="AM2">
        <v>-9.8736139745250806E-2</v>
      </c>
      <c r="AN2">
        <v>-1.82325178334499E-2</v>
      </c>
      <c r="AO2">
        <v>0.9</v>
      </c>
      <c r="AP2">
        <v>0.89337</v>
      </c>
      <c r="AQ2">
        <v>0.15921073566053201</v>
      </c>
      <c r="AR2">
        <v>1.2845345602848901</v>
      </c>
      <c r="AS2">
        <v>0.99076915584843805</v>
      </c>
      <c r="AT2">
        <v>0.84600735350347001</v>
      </c>
      <c r="AU2">
        <v>0.84330885602589301</v>
      </c>
      <c r="AV2">
        <v>1</v>
      </c>
      <c r="AW2">
        <v>0.94188913980710998</v>
      </c>
      <c r="AX2">
        <v>1</v>
      </c>
      <c r="AY2">
        <v>1</v>
      </c>
      <c r="AZ2">
        <v>0.96935296043255004</v>
      </c>
      <c r="BA2">
        <v>1</v>
      </c>
      <c r="BB2">
        <v>0.97708382379292003</v>
      </c>
      <c r="BC2">
        <v>790225913.10000002</v>
      </c>
      <c r="BD2">
        <v>1.5308368686812401E-3</v>
      </c>
      <c r="BE2">
        <v>718</v>
      </c>
    </row>
    <row r="3" spans="1:57" x14ac:dyDescent="0.25">
      <c r="A3">
        <v>2</v>
      </c>
      <c r="B3">
        <v>5</v>
      </c>
      <c r="C3">
        <v>6</v>
      </c>
      <c r="D3">
        <v>0.32502793134269897</v>
      </c>
      <c r="E3">
        <v>0.15551926452335099</v>
      </c>
      <c r="F3">
        <v>3.8313606107196798</v>
      </c>
      <c r="G3">
        <v>1.8503507173393701</v>
      </c>
      <c r="H3">
        <v>2.0899528578589499</v>
      </c>
      <c r="I3">
        <v>-0.16950866681934801</v>
      </c>
      <c r="J3">
        <v>3.00020772889504E-2</v>
      </c>
      <c r="K3">
        <v>1.8827369110717999E-3</v>
      </c>
      <c r="L3">
        <v>0</v>
      </c>
      <c r="M3">
        <v>0.122177510219839</v>
      </c>
      <c r="N3">
        <v>1.45694010348962E-3</v>
      </c>
      <c r="O3">
        <v>0</v>
      </c>
      <c r="P3">
        <v>7.4453889225393501</v>
      </c>
      <c r="Q3">
        <v>92.554611077460606</v>
      </c>
      <c r="R3">
        <v>52.402510699762999</v>
      </c>
      <c r="S3">
        <v>27.822903508080302</v>
      </c>
      <c r="T3">
        <v>19.7745857921566</v>
      </c>
      <c r="U3">
        <v>0</v>
      </c>
      <c r="V3">
        <v>47.597489300237001</v>
      </c>
      <c r="W3">
        <v>0.20356298578009099</v>
      </c>
      <c r="X3">
        <v>-48.748625591408398</v>
      </c>
      <c r="Y3">
        <v>6.9476931225970704</v>
      </c>
      <c r="Z3">
        <v>100</v>
      </c>
      <c r="AA3">
        <v>71.266518721396295</v>
      </c>
      <c r="AB3">
        <v>295.79210755177201</v>
      </c>
      <c r="AC3">
        <v>293.64966748242398</v>
      </c>
      <c r="AD3">
        <v>3.7101239519005502</v>
      </c>
      <c r="AE3">
        <v>354.184424311481</v>
      </c>
      <c r="AF3">
        <v>3.62724928171296</v>
      </c>
      <c r="AG3">
        <v>779.45157176402995</v>
      </c>
      <c r="AH3">
        <v>5.1870430927409599</v>
      </c>
      <c r="AI3">
        <v>46.5933205761119</v>
      </c>
      <c r="AJ3">
        <v>172.246299186523</v>
      </c>
      <c r="AK3">
        <v>24.3556547012513</v>
      </c>
      <c r="AL3">
        <v>-28.455368023433302</v>
      </c>
      <c r="AM3">
        <v>1.8289280914055099</v>
      </c>
      <c r="AN3">
        <v>0.61731221581515505</v>
      </c>
      <c r="AO3">
        <v>0.9</v>
      </c>
      <c r="AP3">
        <v>1.0207702348429599</v>
      </c>
      <c r="AQ3">
        <v>0.35956435872974701</v>
      </c>
      <c r="AR3">
        <v>1.2710899634050501</v>
      </c>
      <c r="AS3">
        <v>0.99226949237591</v>
      </c>
      <c r="AT3">
        <v>0.86183967891380098</v>
      </c>
      <c r="AU3">
        <v>0.84090500047031402</v>
      </c>
      <c r="AV3">
        <v>1</v>
      </c>
      <c r="AW3">
        <v>0.99415804532971597</v>
      </c>
      <c r="AX3">
        <v>1</v>
      </c>
      <c r="AY3">
        <v>1</v>
      </c>
      <c r="AZ3">
        <v>0.93812326390969203</v>
      </c>
      <c r="BA3">
        <v>1</v>
      </c>
      <c r="BB3">
        <v>0.98745558536758404</v>
      </c>
      <c r="BC3">
        <v>22663762221.900002</v>
      </c>
      <c r="BD3">
        <v>3.56256478104428E-2</v>
      </c>
      <c r="BE3">
        <v>7300</v>
      </c>
    </row>
    <row r="4" spans="1:57" x14ac:dyDescent="0.25">
      <c r="A4">
        <v>3</v>
      </c>
      <c r="B4">
        <v>5</v>
      </c>
      <c r="C4">
        <v>12</v>
      </c>
      <c r="D4">
        <v>0.33396961561571897</v>
      </c>
      <c r="E4">
        <v>0.346086120838699</v>
      </c>
      <c r="F4">
        <v>3.9348351873154002</v>
      </c>
      <c r="G4">
        <v>4.0748864486820997</v>
      </c>
      <c r="H4">
        <v>0.96498991293376002</v>
      </c>
      <c r="I4">
        <v>1.2116505222980301E-2</v>
      </c>
      <c r="J4">
        <v>3.5362423432420499E-2</v>
      </c>
      <c r="K4">
        <v>2.8613862334368602E-3</v>
      </c>
      <c r="L4">
        <v>0</v>
      </c>
      <c r="M4">
        <v>0.30392551604157397</v>
      </c>
      <c r="N4">
        <v>3.9367951312676503E-3</v>
      </c>
      <c r="O4">
        <v>0</v>
      </c>
      <c r="P4">
        <v>5.5374128488507903</v>
      </c>
      <c r="Q4">
        <v>94.462587151149194</v>
      </c>
      <c r="R4">
        <v>60.6075919808873</v>
      </c>
      <c r="S4">
        <v>25.129823961856001</v>
      </c>
      <c r="T4">
        <v>14.262584057256699</v>
      </c>
      <c r="U4">
        <v>0</v>
      </c>
      <c r="V4">
        <v>39.3924080191127</v>
      </c>
      <c r="W4">
        <v>0.21004556808378499</v>
      </c>
      <c r="X4">
        <v>-45.7543877028765</v>
      </c>
      <c r="Y4">
        <v>56.746925125838601</v>
      </c>
      <c r="Z4">
        <v>100</v>
      </c>
      <c r="AA4">
        <v>70.710626524950399</v>
      </c>
      <c r="AB4">
        <v>295.06801785968997</v>
      </c>
      <c r="AC4">
        <v>292.82995249351899</v>
      </c>
      <c r="AD4">
        <v>8.4193124336009593</v>
      </c>
      <c r="AE4">
        <v>348.55755516986602</v>
      </c>
      <c r="AF4">
        <v>3.6557576593896202</v>
      </c>
      <c r="AG4">
        <v>780.10124165868103</v>
      </c>
      <c r="AH4">
        <v>4.5062657305289404</v>
      </c>
      <c r="AI4">
        <v>48.747642859278102</v>
      </c>
      <c r="AJ4">
        <v>172.35743040111601</v>
      </c>
      <c r="AK4">
        <v>23.410723329479701</v>
      </c>
      <c r="AL4">
        <v>-25.756890213067301</v>
      </c>
      <c r="AM4">
        <v>2.9406768558358598</v>
      </c>
      <c r="AN4">
        <v>2.1361364989786802</v>
      </c>
      <c r="AO4">
        <v>0.9</v>
      </c>
      <c r="AP4">
        <v>1.1441075106827701</v>
      </c>
      <c r="AQ4">
        <v>0.70910000625120395</v>
      </c>
      <c r="AR4">
        <v>1.2765429633030201</v>
      </c>
      <c r="AS4">
        <v>0.99239789397148204</v>
      </c>
      <c r="AT4">
        <v>0.86292541660546296</v>
      </c>
      <c r="AU4">
        <v>0.83967606756336099</v>
      </c>
      <c r="AV4">
        <v>1</v>
      </c>
      <c r="AW4">
        <v>0.99850432319004601</v>
      </c>
      <c r="AX4">
        <v>1</v>
      </c>
      <c r="AY4">
        <v>1</v>
      </c>
      <c r="AZ4">
        <v>0.94878986957515299</v>
      </c>
      <c r="BA4">
        <v>1</v>
      </c>
      <c r="BB4">
        <v>0.98572727618336198</v>
      </c>
      <c r="BC4">
        <v>52606559084.800003</v>
      </c>
      <c r="BD4">
        <v>5.2092700877513401E-2</v>
      </c>
      <c r="BE4">
        <v>10189</v>
      </c>
    </row>
    <row r="5" spans="1:57" x14ac:dyDescent="0.25">
      <c r="A5">
        <v>4</v>
      </c>
      <c r="B5">
        <v>5</v>
      </c>
      <c r="C5">
        <v>18</v>
      </c>
      <c r="D5">
        <v>0.347466126781384</v>
      </c>
      <c r="E5">
        <v>0.50764409536866995</v>
      </c>
      <c r="F5">
        <v>4.0908256694951497</v>
      </c>
      <c r="G5">
        <v>5.9244909340837797</v>
      </c>
      <c r="H5">
        <v>0.68446797658316405</v>
      </c>
      <c r="I5">
        <v>0.160177968587285</v>
      </c>
      <c r="J5">
        <v>3.5989504027499897E-2</v>
      </c>
      <c r="K5">
        <v>8.7862283757581296E-3</v>
      </c>
      <c r="L5">
        <v>0</v>
      </c>
      <c r="M5">
        <v>0.457294717678773</v>
      </c>
      <c r="N5">
        <v>5.5736452866383002E-3</v>
      </c>
      <c r="O5">
        <v>0</v>
      </c>
      <c r="P5">
        <v>5.2312579395723198</v>
      </c>
      <c r="Q5">
        <v>94.768742060427698</v>
      </c>
      <c r="R5">
        <v>51.960399161580398</v>
      </c>
      <c r="S5">
        <v>31.7797810564049</v>
      </c>
      <c r="T5">
        <v>16.259819782014699</v>
      </c>
      <c r="U5">
        <v>0</v>
      </c>
      <c r="V5">
        <v>48.039600838419602</v>
      </c>
      <c r="W5">
        <v>0.50593855532920196</v>
      </c>
      <c r="X5">
        <v>-47.291206567269697</v>
      </c>
      <c r="Y5">
        <v>34.332722771963802</v>
      </c>
      <c r="Z5">
        <v>100</v>
      </c>
      <c r="AA5">
        <v>67.150565523565206</v>
      </c>
      <c r="AB5">
        <v>295.419205518024</v>
      </c>
      <c r="AC5">
        <v>293.18415883993998</v>
      </c>
      <c r="AD5">
        <v>15.2094183381463</v>
      </c>
      <c r="AE5">
        <v>340.62211666428402</v>
      </c>
      <c r="AF5">
        <v>3.50977214894895</v>
      </c>
      <c r="AG5">
        <v>780.28438102462701</v>
      </c>
      <c r="AH5">
        <v>5.43975172227454</v>
      </c>
      <c r="AI5">
        <v>47.280510601295603</v>
      </c>
      <c r="AJ5">
        <v>176.957663182711</v>
      </c>
      <c r="AK5">
        <v>26.397505563776701</v>
      </c>
      <c r="AL5">
        <v>-26.589291445931799</v>
      </c>
      <c r="AM5">
        <v>3.7381053931385102</v>
      </c>
      <c r="AN5">
        <v>4.7732578186043497</v>
      </c>
      <c r="AO5">
        <v>0.9</v>
      </c>
      <c r="AP5">
        <v>1.2250648005606199</v>
      </c>
      <c r="AQ5">
        <v>1.1759224850893899</v>
      </c>
      <c r="AR5">
        <v>1.26181142157584</v>
      </c>
      <c r="AS5">
        <v>0.99455842416714901</v>
      </c>
      <c r="AT5">
        <v>0.86291688847357495</v>
      </c>
      <c r="AU5">
        <v>0.83929622593495701</v>
      </c>
      <c r="AV5">
        <v>1</v>
      </c>
      <c r="AW5">
        <v>0.99636207589303005</v>
      </c>
      <c r="AX5">
        <v>1</v>
      </c>
      <c r="AY5">
        <v>1</v>
      </c>
      <c r="AZ5">
        <v>0.93754851891005397</v>
      </c>
      <c r="BA5">
        <v>1</v>
      </c>
      <c r="BB5">
        <v>0.98671984849947802</v>
      </c>
      <c r="BC5">
        <v>40074992210.599998</v>
      </c>
      <c r="BD5">
        <v>5.2175347666719801E-2</v>
      </c>
      <c r="BE5">
        <v>6792</v>
      </c>
    </row>
    <row r="6" spans="1:57" x14ac:dyDescent="0.25">
      <c r="A6">
        <v>5</v>
      </c>
      <c r="B6">
        <v>5</v>
      </c>
      <c r="C6">
        <v>24</v>
      </c>
      <c r="D6">
        <v>0.50887618950520996</v>
      </c>
      <c r="E6">
        <v>0.57600036494054496</v>
      </c>
      <c r="F6">
        <v>5.93847013732859</v>
      </c>
      <c r="G6">
        <v>6.6971822266579002</v>
      </c>
      <c r="H6">
        <v>0.88346504703644801</v>
      </c>
      <c r="I6">
        <v>6.7124175435335498E-2</v>
      </c>
      <c r="J6">
        <v>3.7904578663450601E-2</v>
      </c>
      <c r="K6">
        <v>9.5843739707939992E-3</v>
      </c>
      <c r="L6" s="1">
        <v>3.4983496759507001E-10</v>
      </c>
      <c r="M6">
        <v>0.52473201222882704</v>
      </c>
      <c r="N6">
        <v>3.7793997276385901E-3</v>
      </c>
      <c r="O6">
        <v>0</v>
      </c>
      <c r="P6">
        <v>5.1651503094613398</v>
      </c>
      <c r="Q6">
        <v>94.834849690538704</v>
      </c>
      <c r="R6">
        <v>51.234550147557002</v>
      </c>
      <c r="S6">
        <v>31.2834969862528</v>
      </c>
      <c r="T6">
        <v>17.481952866190198</v>
      </c>
      <c r="U6">
        <v>0</v>
      </c>
      <c r="V6">
        <v>48.765449852442998</v>
      </c>
      <c r="W6">
        <v>0.445998197058462</v>
      </c>
      <c r="X6">
        <v>-51.159048815990701</v>
      </c>
      <c r="Y6">
        <v>137.87563170139001</v>
      </c>
      <c r="Z6">
        <v>100</v>
      </c>
      <c r="AA6">
        <v>64.397031064339501</v>
      </c>
      <c r="AB6">
        <v>292.08592702291998</v>
      </c>
      <c r="AC6">
        <v>289.90643440221203</v>
      </c>
      <c r="AD6">
        <v>22.038391990875301</v>
      </c>
      <c r="AE6">
        <v>332.50590102665399</v>
      </c>
      <c r="AF6">
        <v>3.63612964679609</v>
      </c>
      <c r="AG6">
        <v>780.17404288319096</v>
      </c>
      <c r="AH6">
        <v>3.8663599654750298</v>
      </c>
      <c r="AI6">
        <v>49.072564288928703</v>
      </c>
      <c r="AJ6">
        <v>175.73712497105299</v>
      </c>
      <c r="AK6">
        <v>20.261929411852201</v>
      </c>
      <c r="AL6">
        <v>-28.0095109469334</v>
      </c>
      <c r="AM6">
        <v>3.6119465342127</v>
      </c>
      <c r="AN6">
        <v>6.7772773498723504</v>
      </c>
      <c r="AO6">
        <v>0.9</v>
      </c>
      <c r="AP6">
        <v>1.2148145252334299</v>
      </c>
      <c r="AQ6">
        <v>1.25</v>
      </c>
      <c r="AR6">
        <v>1.2583978000522</v>
      </c>
      <c r="AS6">
        <v>0.99639499092112505</v>
      </c>
      <c r="AT6">
        <v>0.86668852570338195</v>
      </c>
      <c r="AU6">
        <v>0.839472367424558</v>
      </c>
      <c r="AV6">
        <v>1</v>
      </c>
      <c r="AW6">
        <v>0.99300466988490499</v>
      </c>
      <c r="AX6">
        <v>1</v>
      </c>
      <c r="AY6">
        <v>1</v>
      </c>
      <c r="AZ6">
        <v>0.93660491519182398</v>
      </c>
      <c r="BA6">
        <v>1</v>
      </c>
      <c r="BB6">
        <v>0.99548427440070597</v>
      </c>
      <c r="BC6">
        <v>25888122619.599998</v>
      </c>
      <c r="BD6">
        <v>5.9717575678348199E-2</v>
      </c>
      <c r="BE6">
        <v>8207</v>
      </c>
    </row>
    <row r="7" spans="1:57" x14ac:dyDescent="0.25">
      <c r="A7">
        <v>6</v>
      </c>
      <c r="B7">
        <v>5</v>
      </c>
      <c r="C7">
        <v>30</v>
      </c>
      <c r="D7">
        <v>0.58670954585313795</v>
      </c>
      <c r="E7">
        <v>0.65231403775502905</v>
      </c>
      <c r="F7">
        <v>6.8177090648355803</v>
      </c>
      <c r="G7">
        <v>7.5529472841939196</v>
      </c>
      <c r="H7">
        <v>0.89942805442655804</v>
      </c>
      <c r="I7">
        <v>6.5604491901891201E-2</v>
      </c>
      <c r="J7">
        <v>3.92665214590723E-2</v>
      </c>
      <c r="K7">
        <v>9.4229208837406202E-3</v>
      </c>
      <c r="L7" s="1">
        <v>4.06062192805603E-5</v>
      </c>
      <c r="M7">
        <v>0.59528723490295599</v>
      </c>
      <c r="N7">
        <v>8.2967542899797606E-3</v>
      </c>
      <c r="O7">
        <v>0</v>
      </c>
      <c r="P7">
        <v>5.5708580488717203</v>
      </c>
      <c r="Q7">
        <v>94.429141951128301</v>
      </c>
      <c r="R7">
        <v>51.606750926266002</v>
      </c>
      <c r="S7">
        <v>33.723154231714503</v>
      </c>
      <c r="T7">
        <v>14.6700948420195</v>
      </c>
      <c r="U7">
        <v>0</v>
      </c>
      <c r="V7">
        <v>48.393249073733998</v>
      </c>
      <c r="W7">
        <v>0.396637174212709</v>
      </c>
      <c r="X7">
        <v>-39.748477737325899</v>
      </c>
      <c r="Y7">
        <v>229.60688295882801</v>
      </c>
      <c r="Z7">
        <v>100</v>
      </c>
      <c r="AA7">
        <v>62.031028921971199</v>
      </c>
      <c r="AB7">
        <v>292.67163879373101</v>
      </c>
      <c r="AC7">
        <v>290.54576891381402</v>
      </c>
      <c r="AD7">
        <v>25.673777948537602</v>
      </c>
      <c r="AE7">
        <v>328.02571136043701</v>
      </c>
      <c r="AF7">
        <v>3.6849920145869799</v>
      </c>
      <c r="AG7">
        <v>780.38954942505302</v>
      </c>
      <c r="AH7">
        <v>2.4703559888795099</v>
      </c>
      <c r="AI7">
        <v>48.980397593499099</v>
      </c>
      <c r="AJ7">
        <v>175.26321265323099</v>
      </c>
      <c r="AK7">
        <v>22.518666788285401</v>
      </c>
      <c r="AL7">
        <v>-33.026223971626401</v>
      </c>
      <c r="AM7">
        <v>3.93876505020976</v>
      </c>
      <c r="AN7">
        <v>8.6634772983586394</v>
      </c>
      <c r="AO7">
        <v>0.9</v>
      </c>
      <c r="AP7">
        <v>1.2338712429302501</v>
      </c>
      <c r="AQ7">
        <v>1.25</v>
      </c>
      <c r="AR7">
        <v>1.28293329083714</v>
      </c>
      <c r="AS7">
        <v>0.99806831125899098</v>
      </c>
      <c r="AT7">
        <v>0.86615495548618404</v>
      </c>
      <c r="AU7">
        <v>0.83903954430551497</v>
      </c>
      <c r="AV7">
        <v>1</v>
      </c>
      <c r="AW7">
        <v>0.98364539438556098</v>
      </c>
      <c r="AX7">
        <v>1</v>
      </c>
      <c r="AY7">
        <v>1</v>
      </c>
      <c r="AZ7">
        <v>0.93708877620414599</v>
      </c>
      <c r="BA7">
        <v>1</v>
      </c>
      <c r="BB7">
        <v>0.99117861542924401</v>
      </c>
      <c r="BC7">
        <v>8793592615.3999996</v>
      </c>
      <c r="BD7">
        <v>6.8873365330965303E-2</v>
      </c>
      <c r="BE7">
        <v>3991</v>
      </c>
    </row>
    <row r="8" spans="1:57" x14ac:dyDescent="0.25">
      <c r="A8">
        <v>7</v>
      </c>
      <c r="B8">
        <v>5</v>
      </c>
      <c r="C8">
        <v>36</v>
      </c>
      <c r="D8">
        <v>0.58657296535494896</v>
      </c>
      <c r="E8">
        <v>0.60207517224822404</v>
      </c>
      <c r="F8">
        <v>6.8161728139184401</v>
      </c>
      <c r="G8">
        <v>6.9903927432741204</v>
      </c>
      <c r="H8">
        <v>0.97425204092806394</v>
      </c>
      <c r="I8">
        <v>1.5502206893275999E-2</v>
      </c>
      <c r="J8">
        <v>4.2792484842996102E-2</v>
      </c>
      <c r="K8">
        <v>1.43147232242985E-2</v>
      </c>
      <c r="L8">
        <v>4.2279388974738197E-4</v>
      </c>
      <c r="M8">
        <v>0.54030120512678204</v>
      </c>
      <c r="N8">
        <v>4.2439651644006603E-3</v>
      </c>
      <c r="O8">
        <v>0</v>
      </c>
      <c r="P8">
        <v>5.1798551946408704</v>
      </c>
      <c r="Q8">
        <v>94.820144805359106</v>
      </c>
      <c r="R8">
        <v>53.519484489331603</v>
      </c>
      <c r="S8">
        <v>30.111867398537001</v>
      </c>
      <c r="T8">
        <v>16.3686481121314</v>
      </c>
      <c r="U8">
        <v>0</v>
      </c>
      <c r="V8">
        <v>46.480515510668397</v>
      </c>
      <c r="W8">
        <v>0.51462798569256696</v>
      </c>
      <c r="X8">
        <v>-46.992145524887597</v>
      </c>
      <c r="Y8">
        <v>292.95770738053</v>
      </c>
      <c r="Z8">
        <v>100</v>
      </c>
      <c r="AA8">
        <v>60.815185742628202</v>
      </c>
      <c r="AB8">
        <v>283.94275468694701</v>
      </c>
      <c r="AC8">
        <v>281.852282245455</v>
      </c>
      <c r="AD8">
        <v>34.079502646745098</v>
      </c>
      <c r="AE8">
        <v>318.66902150548702</v>
      </c>
      <c r="AF8">
        <v>3.7151886428680201</v>
      </c>
      <c r="AG8">
        <v>780.05752728381799</v>
      </c>
      <c r="AH8">
        <v>1.04755286118673</v>
      </c>
      <c r="AI8">
        <v>48.314945710442103</v>
      </c>
      <c r="AJ8">
        <v>179.14605639202</v>
      </c>
      <c r="AK8">
        <v>18.4538852061611</v>
      </c>
      <c r="AL8">
        <v>-31.622497498898301</v>
      </c>
      <c r="AM8">
        <v>3.7004675043308399</v>
      </c>
      <c r="AN8">
        <v>10.939624534820201</v>
      </c>
      <c r="AO8">
        <v>0.9</v>
      </c>
      <c r="AP8">
        <v>1.2157938973256499</v>
      </c>
      <c r="AQ8">
        <v>1.25</v>
      </c>
      <c r="AR8">
        <v>1.27213411157367</v>
      </c>
      <c r="AS8">
        <v>0.99909724091167695</v>
      </c>
      <c r="AT8">
        <v>0.87542238501565195</v>
      </c>
      <c r="AU8">
        <v>0.839731866270505</v>
      </c>
      <c r="AV8">
        <v>1</v>
      </c>
      <c r="AW8">
        <v>0.98693540566898397</v>
      </c>
      <c r="AX8">
        <v>1</v>
      </c>
      <c r="AY8">
        <v>1</v>
      </c>
      <c r="AZ8">
        <v>0.93957532983613101</v>
      </c>
      <c r="BA8">
        <v>1</v>
      </c>
      <c r="BB8">
        <v>0.99597022319764095</v>
      </c>
      <c r="BC8">
        <v>15856823419.5</v>
      </c>
      <c r="BD8">
        <v>5.47846496802867E-2</v>
      </c>
      <c r="BE8">
        <v>5244</v>
      </c>
    </row>
    <row r="9" spans="1:57" x14ac:dyDescent="0.25">
      <c r="A9">
        <v>8</v>
      </c>
      <c r="B9">
        <v>5</v>
      </c>
      <c r="C9">
        <v>42</v>
      </c>
      <c r="D9">
        <v>0.489007059804834</v>
      </c>
      <c r="E9">
        <v>0.63104920416097299</v>
      </c>
      <c r="F9">
        <v>5.71280479083772</v>
      </c>
      <c r="G9">
        <v>7.3152140581878404</v>
      </c>
      <c r="H9">
        <v>0.774911142555049</v>
      </c>
      <c r="I9">
        <v>0.14204214435613899</v>
      </c>
      <c r="J9">
        <v>4.5538975433028997E-2</v>
      </c>
      <c r="K9">
        <v>1.43174077340395E-2</v>
      </c>
      <c r="L9">
        <v>2.00069334234568E-3</v>
      </c>
      <c r="M9">
        <v>0.56562551928419802</v>
      </c>
      <c r="N9">
        <v>3.5666083673610502E-3</v>
      </c>
      <c r="O9">
        <v>0</v>
      </c>
      <c r="P9">
        <v>6.1029443673428601</v>
      </c>
      <c r="Q9">
        <v>93.8970556326571</v>
      </c>
      <c r="R9">
        <v>31.2828920960768</v>
      </c>
      <c r="S9">
        <v>50.442078582916999</v>
      </c>
      <c r="T9">
        <v>18.275029321006201</v>
      </c>
      <c r="U9">
        <v>0</v>
      </c>
      <c r="V9">
        <v>68.717107903923207</v>
      </c>
      <c r="W9">
        <v>0.48857185588395302</v>
      </c>
      <c r="X9">
        <v>-54.810805064078799</v>
      </c>
      <c r="Y9">
        <v>410.690463982067</v>
      </c>
      <c r="Z9">
        <v>100</v>
      </c>
      <c r="AA9">
        <v>56.477241554629799</v>
      </c>
      <c r="AB9">
        <v>294.78285833773799</v>
      </c>
      <c r="AC9">
        <v>293.02942063477599</v>
      </c>
      <c r="AD9">
        <v>38.2555284042569</v>
      </c>
      <c r="AE9">
        <v>312.94261320490699</v>
      </c>
      <c r="AF9">
        <v>3.74537001187801</v>
      </c>
      <c r="AG9">
        <v>780.35011899660105</v>
      </c>
      <c r="AH9">
        <v>1.7869346926819301</v>
      </c>
      <c r="AI9">
        <v>51.441879095333903</v>
      </c>
      <c r="AJ9">
        <v>179.55460637552099</v>
      </c>
      <c r="AK9">
        <v>14.340327776577199</v>
      </c>
      <c r="AL9">
        <v>-35.516338711053201</v>
      </c>
      <c r="AM9">
        <v>3.91370283888438</v>
      </c>
      <c r="AN9">
        <v>13.039125540100599</v>
      </c>
      <c r="AO9">
        <v>0.9</v>
      </c>
      <c r="AP9">
        <v>1.23113087104992</v>
      </c>
      <c r="AQ9">
        <v>1.25</v>
      </c>
      <c r="AR9">
        <v>1.24646103712578</v>
      </c>
      <c r="AS9">
        <v>1.0018928064035899</v>
      </c>
      <c r="AT9">
        <v>0.86443264977875001</v>
      </c>
      <c r="AU9">
        <v>0.83906254226442201</v>
      </c>
      <c r="AV9">
        <v>1</v>
      </c>
      <c r="AW9">
        <v>0.97971232232265604</v>
      </c>
      <c r="AX9">
        <v>1</v>
      </c>
      <c r="AY9">
        <v>1</v>
      </c>
      <c r="AZ9">
        <v>0.91066775972489999</v>
      </c>
      <c r="BA9">
        <v>1</v>
      </c>
      <c r="BB9">
        <v>1.0092874716917799</v>
      </c>
      <c r="BC9">
        <v>2988840210.9000001</v>
      </c>
      <c r="BD9">
        <v>4.8214875573772402E-2</v>
      </c>
      <c r="BE9">
        <v>2300</v>
      </c>
    </row>
    <row r="10" spans="1:57" x14ac:dyDescent="0.25">
      <c r="A10">
        <v>9</v>
      </c>
      <c r="B10">
        <v>5</v>
      </c>
      <c r="C10">
        <v>48</v>
      </c>
      <c r="D10">
        <v>0.63294878676820399</v>
      </c>
      <c r="E10">
        <v>0.61203863475221398</v>
      </c>
      <c r="F10">
        <v>7.3364734832865199</v>
      </c>
      <c r="G10">
        <v>7.1022083984841604</v>
      </c>
      <c r="H10">
        <v>1.03416475828271</v>
      </c>
      <c r="I10">
        <v>-2.09101520159902E-2</v>
      </c>
      <c r="J10">
        <v>4.87629346093379E-2</v>
      </c>
      <c r="K10">
        <v>9.7278387227965196E-3</v>
      </c>
      <c r="L10">
        <v>2.0728723405572698E-3</v>
      </c>
      <c r="M10">
        <v>0.54847579040779204</v>
      </c>
      <c r="N10">
        <v>2.9991986717298998E-3</v>
      </c>
      <c r="O10">
        <v>0</v>
      </c>
      <c r="P10">
        <v>5.5606109093863996</v>
      </c>
      <c r="Q10">
        <v>94.439389090613602</v>
      </c>
      <c r="R10">
        <v>38.069979062733601</v>
      </c>
      <c r="S10">
        <v>43.563173913074301</v>
      </c>
      <c r="T10">
        <v>18.3668470241922</v>
      </c>
      <c r="U10">
        <v>0</v>
      </c>
      <c r="V10">
        <v>61.930020937266399</v>
      </c>
      <c r="W10">
        <v>0.28388347438085298</v>
      </c>
      <c r="X10">
        <v>-49.242735235799898</v>
      </c>
      <c r="Y10">
        <v>132.00146964113199</v>
      </c>
      <c r="Z10">
        <v>100</v>
      </c>
      <c r="AA10">
        <v>56.093760539148697</v>
      </c>
      <c r="AB10">
        <v>275.91346846683302</v>
      </c>
      <c r="AC10">
        <v>273.94820639481401</v>
      </c>
      <c r="AD10">
        <v>46.414835622784999</v>
      </c>
      <c r="AE10">
        <v>305.08054764978101</v>
      </c>
      <c r="AF10">
        <v>3.5113757003701398</v>
      </c>
      <c r="AG10">
        <v>780.65744308838305</v>
      </c>
      <c r="AH10">
        <v>2.97548410791569</v>
      </c>
      <c r="AI10">
        <v>50.417313526240598</v>
      </c>
      <c r="AJ10">
        <v>169.64661803408299</v>
      </c>
      <c r="AK10">
        <v>25.490075985711101</v>
      </c>
      <c r="AL10">
        <v>-29.6354139369537</v>
      </c>
      <c r="AM10">
        <v>3.3228477593560801</v>
      </c>
      <c r="AN10">
        <v>13.5714153715273</v>
      </c>
      <c r="AO10">
        <v>0.9</v>
      </c>
      <c r="AP10">
        <v>1.1921862547545301</v>
      </c>
      <c r="AQ10">
        <v>1.25</v>
      </c>
      <c r="AR10">
        <v>1.2724573352130399</v>
      </c>
      <c r="AS10">
        <v>1.0021875562037299</v>
      </c>
      <c r="AT10">
        <v>0.88490536702248201</v>
      </c>
      <c r="AU10">
        <v>0.838592739291256</v>
      </c>
      <c r="AV10">
        <v>1</v>
      </c>
      <c r="AW10">
        <v>0.99044787322621297</v>
      </c>
      <c r="AX10">
        <v>1</v>
      </c>
      <c r="AY10">
        <v>1</v>
      </c>
      <c r="AZ10">
        <v>0.91949097278155401</v>
      </c>
      <c r="BA10">
        <v>1</v>
      </c>
      <c r="BB10">
        <v>1.00816468870669</v>
      </c>
      <c r="BC10">
        <v>30362510193.799999</v>
      </c>
      <c r="BD10">
        <v>5.7647682345972097E-2</v>
      </c>
      <c r="BE10">
        <v>6116</v>
      </c>
    </row>
    <row r="11" spans="1:57" x14ac:dyDescent="0.25">
      <c r="A11">
        <v>10</v>
      </c>
      <c r="B11">
        <v>5</v>
      </c>
      <c r="C11">
        <v>54</v>
      </c>
      <c r="D11">
        <v>0.66597248597083702</v>
      </c>
      <c r="E11">
        <v>0.63889462593723401</v>
      </c>
      <c r="F11">
        <v>7.7053488947320297</v>
      </c>
      <c r="G11">
        <v>7.4029882240441003</v>
      </c>
      <c r="H11">
        <v>1.04238235686187</v>
      </c>
      <c r="I11">
        <v>-2.7077860033603299E-2</v>
      </c>
      <c r="J11">
        <v>5.1819583662631098E-2</v>
      </c>
      <c r="K11">
        <v>8.2723213464454895E-3</v>
      </c>
      <c r="L11">
        <v>2.96716198335061E-3</v>
      </c>
      <c r="M11">
        <v>0.57344779502282195</v>
      </c>
      <c r="N11">
        <v>2.3877639219852401E-3</v>
      </c>
      <c r="O11">
        <v>0</v>
      </c>
      <c r="P11">
        <v>5.3904311373754403</v>
      </c>
      <c r="Q11">
        <v>94.609568862624599</v>
      </c>
      <c r="R11">
        <v>28.181149612092</v>
      </c>
      <c r="S11">
        <v>50.935644881807796</v>
      </c>
      <c r="T11">
        <v>20.8832055061002</v>
      </c>
      <c r="U11">
        <v>0</v>
      </c>
      <c r="V11">
        <v>71.818850387908</v>
      </c>
      <c r="W11">
        <v>0.22150196578916501</v>
      </c>
      <c r="X11">
        <v>-50.827968702396902</v>
      </c>
      <c r="Y11">
        <v>85.431185364875105</v>
      </c>
      <c r="Z11">
        <v>100</v>
      </c>
      <c r="AA11">
        <v>53.465693264276098</v>
      </c>
      <c r="AB11">
        <v>274.35975153770897</v>
      </c>
      <c r="AC11">
        <v>272.413452591252</v>
      </c>
      <c r="AD11">
        <v>52.508940135890498</v>
      </c>
      <c r="AE11">
        <v>298.272383802908</v>
      </c>
      <c r="AF11">
        <v>3.4171726442809498</v>
      </c>
      <c r="AG11">
        <v>781.36604692658204</v>
      </c>
      <c r="AH11">
        <v>2.34283148645881</v>
      </c>
      <c r="AI11">
        <v>58.506390127531702</v>
      </c>
      <c r="AJ11">
        <v>170.47878234167001</v>
      </c>
      <c r="AK11">
        <v>27.823197693905801</v>
      </c>
      <c r="AL11">
        <v>-26.390306549128798</v>
      </c>
      <c r="AM11">
        <v>3.4588811189218198</v>
      </c>
      <c r="AN11">
        <v>16.129157162301599</v>
      </c>
      <c r="AO11">
        <v>0.9</v>
      </c>
      <c r="AP11">
        <v>1.2019833932000199</v>
      </c>
      <c r="AQ11">
        <v>1.25</v>
      </c>
      <c r="AR11">
        <v>1.26691081385121</v>
      </c>
      <c r="AS11">
        <v>1.0035703150494</v>
      </c>
      <c r="AT11">
        <v>0.88671279460608299</v>
      </c>
      <c r="AU11">
        <v>0.83721869815297301</v>
      </c>
      <c r="AV11">
        <v>1</v>
      </c>
      <c r="AW11">
        <v>0.99696981962731002</v>
      </c>
      <c r="AX11">
        <v>1</v>
      </c>
      <c r="AY11">
        <v>1</v>
      </c>
      <c r="AZ11">
        <v>0.90663549449572001</v>
      </c>
      <c r="BA11">
        <v>1</v>
      </c>
      <c r="BB11">
        <v>1.0103471566408699</v>
      </c>
      <c r="BC11">
        <v>44724842265.099998</v>
      </c>
      <c r="BD11">
        <v>7.2465923381161104E-2</v>
      </c>
      <c r="BE11">
        <v>9052</v>
      </c>
    </row>
    <row r="12" spans="1:57" x14ac:dyDescent="0.25">
      <c r="A12">
        <v>11</v>
      </c>
      <c r="B12">
        <v>5</v>
      </c>
      <c r="C12">
        <v>60</v>
      </c>
      <c r="D12">
        <v>0.62588132143122799</v>
      </c>
      <c r="E12">
        <v>0.60649673501263401</v>
      </c>
      <c r="F12">
        <v>7.2573543989157701</v>
      </c>
      <c r="G12">
        <v>7.04002925828207</v>
      </c>
      <c r="H12">
        <v>1.0319615676384299</v>
      </c>
      <c r="I12">
        <v>-1.93845864185937E-2</v>
      </c>
      <c r="J12">
        <v>5.63331606376377E-2</v>
      </c>
      <c r="K12">
        <v>1.20435772149788E-2</v>
      </c>
      <c r="L12">
        <v>6.9016168256866598E-3</v>
      </c>
      <c r="M12">
        <v>0.527714227196596</v>
      </c>
      <c r="N12">
        <v>3.50415313773547E-3</v>
      </c>
      <c r="O12">
        <v>0</v>
      </c>
      <c r="P12">
        <v>4.9400561172828503</v>
      </c>
      <c r="Q12">
        <v>95.059943882717107</v>
      </c>
      <c r="R12">
        <v>28.745069623143301</v>
      </c>
      <c r="S12">
        <v>51.986781856358803</v>
      </c>
      <c r="T12">
        <v>19.268148520497899</v>
      </c>
      <c r="U12">
        <v>0</v>
      </c>
      <c r="V12">
        <v>71.254930376856706</v>
      </c>
      <c r="W12">
        <v>0.319067451813565</v>
      </c>
      <c r="X12">
        <v>-49.573103305381998</v>
      </c>
      <c r="Y12">
        <v>241.35652732877199</v>
      </c>
      <c r="Z12">
        <v>100</v>
      </c>
      <c r="AA12">
        <v>50.491295306866199</v>
      </c>
      <c r="AB12">
        <v>266.73188217318199</v>
      </c>
      <c r="AC12">
        <v>264.84704617494401</v>
      </c>
      <c r="AD12">
        <v>60.812823989786999</v>
      </c>
      <c r="AE12">
        <v>288.28956263070597</v>
      </c>
      <c r="AF12">
        <v>3.5015946613835398</v>
      </c>
      <c r="AG12">
        <v>781.83227378220204</v>
      </c>
      <c r="AH12">
        <v>3.4057323698300102</v>
      </c>
      <c r="AI12">
        <v>56.4450579741045</v>
      </c>
      <c r="AJ12">
        <v>177.102906607151</v>
      </c>
      <c r="AK12">
        <v>24.446569493293499</v>
      </c>
      <c r="AL12">
        <v>-26.336317716798501</v>
      </c>
      <c r="AM12">
        <v>3.5510288409891499</v>
      </c>
      <c r="AN12">
        <v>19.460046936327501</v>
      </c>
      <c r="AO12">
        <v>0.9</v>
      </c>
      <c r="AP12">
        <v>1.2083241255853501</v>
      </c>
      <c r="AQ12">
        <v>1.25</v>
      </c>
      <c r="AR12">
        <v>1.25649032009799</v>
      </c>
      <c r="AS12">
        <v>1.00518300265244</v>
      </c>
      <c r="AT12">
        <v>0.895838735072082</v>
      </c>
      <c r="AU12">
        <v>0.836276543360013</v>
      </c>
      <c r="AV12">
        <v>1</v>
      </c>
      <c r="AW12">
        <v>0.99673445536602601</v>
      </c>
      <c r="AX12">
        <v>1</v>
      </c>
      <c r="AY12">
        <v>1</v>
      </c>
      <c r="AZ12">
        <v>0.907368590510086</v>
      </c>
      <c r="BA12">
        <v>1</v>
      </c>
      <c r="BB12">
        <v>1.0059478223588101</v>
      </c>
      <c r="BC12">
        <v>137255861249.8</v>
      </c>
      <c r="BD12">
        <v>7.1744501865039098E-2</v>
      </c>
      <c r="BE12">
        <v>35146</v>
      </c>
    </row>
    <row r="13" spans="1:57" x14ac:dyDescent="0.25">
      <c r="A13">
        <v>12</v>
      </c>
      <c r="B13">
        <v>8</v>
      </c>
      <c r="C13">
        <v>6</v>
      </c>
      <c r="D13">
        <v>0.37217260202713198</v>
      </c>
      <c r="E13">
        <v>0.19805504074638799</v>
      </c>
      <c r="F13">
        <v>4.3757776813718499</v>
      </c>
      <c r="G13">
        <v>2.3509416173569102</v>
      </c>
      <c r="H13">
        <v>1.8791372369244801</v>
      </c>
      <c r="I13">
        <v>-0.17411756128074399</v>
      </c>
      <c r="J13">
        <v>3.1238933423527199E-2</v>
      </c>
      <c r="K13">
        <v>1.93715095082432E-3</v>
      </c>
      <c r="L13">
        <v>0</v>
      </c>
      <c r="M13">
        <v>0.163043512757719</v>
      </c>
      <c r="N13">
        <v>1.83544361431762E-3</v>
      </c>
      <c r="O13">
        <v>0</v>
      </c>
      <c r="P13">
        <v>6.3670636067687001</v>
      </c>
      <c r="Q13">
        <v>93.632936393231304</v>
      </c>
      <c r="R13">
        <v>45.806841765424402</v>
      </c>
      <c r="S13">
        <v>30.8363770263758</v>
      </c>
      <c r="T13">
        <v>23.356781208199799</v>
      </c>
      <c r="U13">
        <v>0</v>
      </c>
      <c r="V13">
        <v>54.193158234575598</v>
      </c>
      <c r="W13">
        <v>0.215842881014112</v>
      </c>
      <c r="X13">
        <v>-47.189322047717503</v>
      </c>
      <c r="Y13">
        <v>8.9541978568813896</v>
      </c>
      <c r="Z13">
        <v>100</v>
      </c>
      <c r="AA13">
        <v>67.800836480091903</v>
      </c>
      <c r="AB13">
        <v>302.91836372609799</v>
      </c>
      <c r="AC13">
        <v>300.79921171942499</v>
      </c>
      <c r="AD13">
        <v>3.97341258300031</v>
      </c>
      <c r="AE13">
        <v>354.04092720785701</v>
      </c>
      <c r="AF13">
        <v>3.6384897629402002</v>
      </c>
      <c r="AG13">
        <v>779.38164769946798</v>
      </c>
      <c r="AH13">
        <v>5.6559205986076702</v>
      </c>
      <c r="AI13">
        <v>47.217105566397599</v>
      </c>
      <c r="AJ13">
        <v>172.33873469036399</v>
      </c>
      <c r="AK13">
        <v>23.165460793667702</v>
      </c>
      <c r="AL13">
        <v>-25.683682196331901</v>
      </c>
      <c r="AM13">
        <v>6.6289311475973802</v>
      </c>
      <c r="AN13">
        <v>2.1705619936285001</v>
      </c>
      <c r="AO13">
        <v>0.9</v>
      </c>
      <c r="AP13">
        <v>1.2907709732292001</v>
      </c>
      <c r="AQ13">
        <v>0.373675962982843</v>
      </c>
      <c r="AR13">
        <v>1.27630468458104</v>
      </c>
      <c r="AS13">
        <v>0.99407653512636696</v>
      </c>
      <c r="AT13">
        <v>0.85449125398275205</v>
      </c>
      <c r="AU13">
        <v>0.84105105376409095</v>
      </c>
      <c r="AV13">
        <v>1</v>
      </c>
      <c r="AW13">
        <v>0.99953288633396498</v>
      </c>
      <c r="AX13">
        <v>1</v>
      </c>
      <c r="AY13">
        <v>1</v>
      </c>
      <c r="AZ13">
        <v>0.92954889429505205</v>
      </c>
      <c r="BA13">
        <v>1</v>
      </c>
      <c r="BB13">
        <v>0.98800418606582496</v>
      </c>
      <c r="BC13">
        <v>20696775881.099998</v>
      </c>
      <c r="BD13">
        <v>5.09588537360047E-2</v>
      </c>
      <c r="BE13">
        <v>6947</v>
      </c>
    </row>
    <row r="14" spans="1:57" x14ac:dyDescent="0.25">
      <c r="A14">
        <v>13</v>
      </c>
      <c r="B14">
        <v>8</v>
      </c>
      <c r="C14">
        <v>12</v>
      </c>
      <c r="D14">
        <v>0.43322877579852997</v>
      </c>
      <c r="E14">
        <v>0.40457287753251597</v>
      </c>
      <c r="F14">
        <v>5.0766433117425898</v>
      </c>
      <c r="G14">
        <v>4.7482899173535396</v>
      </c>
      <c r="H14">
        <v>1.07083000333781</v>
      </c>
      <c r="I14">
        <v>-2.8655898266014401E-2</v>
      </c>
      <c r="J14">
        <v>3.52808688458763E-2</v>
      </c>
      <c r="K14">
        <v>2.6220903761010701E-3</v>
      </c>
      <c r="L14">
        <v>0</v>
      </c>
      <c r="M14">
        <v>0.36101539461353199</v>
      </c>
      <c r="N14">
        <v>5.6545236970061401E-3</v>
      </c>
      <c r="O14">
        <v>0</v>
      </c>
      <c r="P14">
        <v>5.78426721964584</v>
      </c>
      <c r="Q14">
        <v>94.215732780354202</v>
      </c>
      <c r="R14">
        <v>48.5742714738901</v>
      </c>
      <c r="S14">
        <v>32.794478091408003</v>
      </c>
      <c r="T14">
        <v>18.631250434701901</v>
      </c>
      <c r="U14">
        <v>0</v>
      </c>
      <c r="V14">
        <v>51.4257285261099</v>
      </c>
      <c r="W14">
        <v>0.19205711739728001</v>
      </c>
      <c r="X14">
        <v>-42.653313041027197</v>
      </c>
      <c r="Y14">
        <v>61.456124902634102</v>
      </c>
      <c r="Z14">
        <v>100</v>
      </c>
      <c r="AA14">
        <v>66.291404457377396</v>
      </c>
      <c r="AB14">
        <v>305.80474494885601</v>
      </c>
      <c r="AC14">
        <v>303.60459510540699</v>
      </c>
      <c r="AD14">
        <v>8.9488783273007293</v>
      </c>
      <c r="AE14">
        <v>348.24021161581499</v>
      </c>
      <c r="AF14">
        <v>3.5965514503551099</v>
      </c>
      <c r="AG14">
        <v>780.41021543049305</v>
      </c>
      <c r="AH14">
        <v>5.50795888501903</v>
      </c>
      <c r="AI14">
        <v>50.025479037526097</v>
      </c>
      <c r="AJ14">
        <v>171.545567028287</v>
      </c>
      <c r="AK14">
        <v>25.4236488984738</v>
      </c>
      <c r="AL14">
        <v>-25.464377265663</v>
      </c>
      <c r="AM14">
        <v>6.65197793489103</v>
      </c>
      <c r="AN14">
        <v>4.95989597043038</v>
      </c>
      <c r="AO14">
        <v>0.9</v>
      </c>
      <c r="AP14">
        <v>1.29077023411</v>
      </c>
      <c r="AQ14">
        <v>0.75607653828843902</v>
      </c>
      <c r="AR14">
        <v>1.2807414964900801</v>
      </c>
      <c r="AS14">
        <v>0.99490910593702897</v>
      </c>
      <c r="AT14">
        <v>0.85176223728147205</v>
      </c>
      <c r="AU14">
        <v>0.83904779196637003</v>
      </c>
      <c r="AV14">
        <v>1</v>
      </c>
      <c r="AW14">
        <v>0.99924421531720997</v>
      </c>
      <c r="AX14">
        <v>1</v>
      </c>
      <c r="AY14">
        <v>1</v>
      </c>
      <c r="AZ14">
        <v>0.93314655291605697</v>
      </c>
      <c r="BA14">
        <v>1</v>
      </c>
      <c r="BB14">
        <v>0.98597815325945604</v>
      </c>
      <c r="BC14">
        <v>80302377769.199997</v>
      </c>
      <c r="BD14">
        <v>5.1194850639295901E-2</v>
      </c>
      <c r="BE14">
        <v>12550</v>
      </c>
    </row>
    <row r="15" spans="1:57" x14ac:dyDescent="0.25">
      <c r="A15">
        <v>14</v>
      </c>
      <c r="B15">
        <v>8</v>
      </c>
      <c r="C15">
        <v>18</v>
      </c>
      <c r="D15">
        <v>0.44902661141720002</v>
      </c>
      <c r="E15">
        <v>0.53628825692803095</v>
      </c>
      <c r="F15">
        <v>5.2572186940472099</v>
      </c>
      <c r="G15">
        <v>6.2489923883012901</v>
      </c>
      <c r="H15">
        <v>0.83728592900638199</v>
      </c>
      <c r="I15">
        <v>8.7261645510831307E-2</v>
      </c>
      <c r="J15">
        <v>3.5987484620473797E-2</v>
      </c>
      <c r="K15">
        <v>8.4612429085312406E-3</v>
      </c>
      <c r="L15" s="1">
        <v>4.9783257049623797E-6</v>
      </c>
      <c r="M15">
        <v>0.48581883412236399</v>
      </c>
      <c r="N15">
        <v>6.0157169509573302E-3</v>
      </c>
      <c r="O15">
        <v>0</v>
      </c>
      <c r="P15">
        <v>5.1019656489789602</v>
      </c>
      <c r="Q15">
        <v>94.898034351021096</v>
      </c>
      <c r="R15">
        <v>45.869606978724399</v>
      </c>
      <c r="S15">
        <v>36.176012724844902</v>
      </c>
      <c r="T15">
        <v>17.954380296430699</v>
      </c>
      <c r="U15">
        <v>0</v>
      </c>
      <c r="V15">
        <v>54.130393021275601</v>
      </c>
      <c r="W15">
        <v>0.507574910854242</v>
      </c>
      <c r="X15">
        <v>-47.753311895698502</v>
      </c>
      <c r="Y15">
        <v>35.172374238888999</v>
      </c>
      <c r="Z15">
        <v>100</v>
      </c>
      <c r="AA15">
        <v>62.473930887158502</v>
      </c>
      <c r="AB15">
        <v>301.24168189101101</v>
      </c>
      <c r="AC15">
        <v>299.00173750634701</v>
      </c>
      <c r="AD15">
        <v>15.199184367866801</v>
      </c>
      <c r="AE15">
        <v>340.51131226835298</v>
      </c>
      <c r="AF15">
        <v>3.5121905685860799</v>
      </c>
      <c r="AG15">
        <v>780.04220760717203</v>
      </c>
      <c r="AH15">
        <v>5.9146927958653803</v>
      </c>
      <c r="AI15">
        <v>48.507978940113198</v>
      </c>
      <c r="AJ15">
        <v>177.313984075718</v>
      </c>
      <c r="AK15">
        <v>25.406277352684398</v>
      </c>
      <c r="AL15">
        <v>-27.191737970325701</v>
      </c>
      <c r="AM15">
        <v>6.7122318679872501</v>
      </c>
      <c r="AN15">
        <v>8.6239871815903903</v>
      </c>
      <c r="AO15">
        <v>0.9</v>
      </c>
      <c r="AP15">
        <v>1.29076241767406</v>
      </c>
      <c r="AQ15">
        <v>1.17360815369507</v>
      </c>
      <c r="AR15">
        <v>1.2598356385270599</v>
      </c>
      <c r="AS15">
        <v>0.99761188235384402</v>
      </c>
      <c r="AT15">
        <v>0.85695075128375597</v>
      </c>
      <c r="AU15">
        <v>0.83977705813155401</v>
      </c>
      <c r="AV15">
        <v>1</v>
      </c>
      <c r="AW15">
        <v>0.99488088037204703</v>
      </c>
      <c r="AX15">
        <v>1</v>
      </c>
      <c r="AY15">
        <v>1</v>
      </c>
      <c r="AZ15">
        <v>0.92963048907234203</v>
      </c>
      <c r="BA15">
        <v>1</v>
      </c>
      <c r="BB15">
        <v>0.98939777749763003</v>
      </c>
      <c r="BC15">
        <v>78709520945.199997</v>
      </c>
      <c r="BD15">
        <v>5.5614740003531803E-2</v>
      </c>
      <c r="BE15">
        <v>8907</v>
      </c>
    </row>
    <row r="16" spans="1:57" x14ac:dyDescent="0.25">
      <c r="A16">
        <v>15</v>
      </c>
      <c r="B16">
        <v>8</v>
      </c>
      <c r="C16">
        <v>24</v>
      </c>
      <c r="D16">
        <v>0.59562016699055298</v>
      </c>
      <c r="E16">
        <v>0.604962823623166</v>
      </c>
      <c r="F16">
        <v>6.9178851542137298</v>
      </c>
      <c r="G16">
        <v>7.0228123025997897</v>
      </c>
      <c r="H16">
        <v>0.98455664337081295</v>
      </c>
      <c r="I16">
        <v>9.3426566326128904E-3</v>
      </c>
      <c r="J16">
        <v>3.78091052305475E-2</v>
      </c>
      <c r="K16">
        <v>9.3952382800181807E-3</v>
      </c>
      <c r="L16">
        <v>2.8807697087961498E-3</v>
      </c>
      <c r="M16">
        <v>0.54982757692429496</v>
      </c>
      <c r="N16">
        <v>5.0501334795093602E-3</v>
      </c>
      <c r="O16">
        <v>0</v>
      </c>
      <c r="P16">
        <v>5.0500777544709798</v>
      </c>
      <c r="Q16">
        <v>94.949922245528995</v>
      </c>
      <c r="R16">
        <v>46.596329044960299</v>
      </c>
      <c r="S16">
        <v>33.571906665441396</v>
      </c>
      <c r="T16">
        <v>19.831764289598301</v>
      </c>
      <c r="U16">
        <v>0</v>
      </c>
      <c r="V16">
        <v>53.403670955039701</v>
      </c>
      <c r="W16">
        <v>0.45660480484285898</v>
      </c>
      <c r="X16">
        <v>-50.063459238338503</v>
      </c>
      <c r="Y16">
        <v>148.542787062353</v>
      </c>
      <c r="Z16">
        <v>100</v>
      </c>
      <c r="AA16">
        <v>58.617086021346601</v>
      </c>
      <c r="AB16">
        <v>300.98218088119398</v>
      </c>
      <c r="AC16">
        <v>298.78228301892898</v>
      </c>
      <c r="AD16">
        <v>22.140869910600699</v>
      </c>
      <c r="AE16">
        <v>332.59912062174402</v>
      </c>
      <c r="AF16">
        <v>3.6366211137109699</v>
      </c>
      <c r="AG16">
        <v>780.23124659924702</v>
      </c>
      <c r="AH16">
        <v>4.3022862918904599</v>
      </c>
      <c r="AI16">
        <v>50.084951513794401</v>
      </c>
      <c r="AJ16">
        <v>176.386349506752</v>
      </c>
      <c r="AK16">
        <v>20.054631585983099</v>
      </c>
      <c r="AL16">
        <v>-27.3054904682655</v>
      </c>
      <c r="AM16">
        <v>6.7860063510753097</v>
      </c>
      <c r="AN16">
        <v>12.9311255395433</v>
      </c>
      <c r="AO16">
        <v>0.9</v>
      </c>
      <c r="AP16">
        <v>1.2904127181282801</v>
      </c>
      <c r="AQ16">
        <v>1.25</v>
      </c>
      <c r="AR16">
        <v>1.2606673014566701</v>
      </c>
      <c r="AS16">
        <v>1.00005118220887</v>
      </c>
      <c r="AT16">
        <v>0.85741577106001399</v>
      </c>
      <c r="AU16">
        <v>0.83942764783961898</v>
      </c>
      <c r="AV16">
        <v>1</v>
      </c>
      <c r="AW16">
        <v>0.99455154134888302</v>
      </c>
      <c r="AX16">
        <v>1</v>
      </c>
      <c r="AY16">
        <v>1</v>
      </c>
      <c r="AZ16">
        <v>0.93057522775844803</v>
      </c>
      <c r="BA16">
        <v>1</v>
      </c>
      <c r="BB16">
        <v>0.99497765966233997</v>
      </c>
      <c r="BC16">
        <v>54721034707.900002</v>
      </c>
      <c r="BD16">
        <v>6.4527570253225294E-2</v>
      </c>
      <c r="BE16">
        <v>10511</v>
      </c>
    </row>
    <row r="17" spans="1:57" x14ac:dyDescent="0.25">
      <c r="A17">
        <v>16</v>
      </c>
      <c r="B17">
        <v>8</v>
      </c>
      <c r="C17">
        <v>30</v>
      </c>
      <c r="D17">
        <v>0.69963431703736101</v>
      </c>
      <c r="E17">
        <v>0.68923380754406405</v>
      </c>
      <c r="F17">
        <v>8.0799665027623497</v>
      </c>
      <c r="G17">
        <v>7.96436981742269</v>
      </c>
      <c r="H17">
        <v>1.0150899584139099</v>
      </c>
      <c r="I17">
        <v>-1.0400509493297801E-2</v>
      </c>
      <c r="J17">
        <v>3.9090337201009698E-2</v>
      </c>
      <c r="K17">
        <v>9.2038688963610102E-3</v>
      </c>
      <c r="L17">
        <v>9.3225842200625603E-3</v>
      </c>
      <c r="M17">
        <v>0.62343024797218605</v>
      </c>
      <c r="N17">
        <v>8.1867692544442192E-3</v>
      </c>
      <c r="O17">
        <v>0</v>
      </c>
      <c r="P17">
        <v>6.3602293242264496</v>
      </c>
      <c r="Q17">
        <v>93.639770675773505</v>
      </c>
      <c r="R17">
        <v>48.1059930314985</v>
      </c>
      <c r="S17">
        <v>38.567350220203899</v>
      </c>
      <c r="T17">
        <v>13.3266567482976</v>
      </c>
      <c r="U17">
        <v>0</v>
      </c>
      <c r="V17">
        <v>51.8940069685015</v>
      </c>
      <c r="W17">
        <v>0.39935814506172801</v>
      </c>
      <c r="X17">
        <v>-39.209440398059698</v>
      </c>
      <c r="Y17">
        <v>247.55081282693001</v>
      </c>
      <c r="Z17">
        <v>100</v>
      </c>
      <c r="AA17">
        <v>58.4538692202444</v>
      </c>
      <c r="AB17">
        <v>292.54905650643002</v>
      </c>
      <c r="AC17">
        <v>290.35141018794002</v>
      </c>
      <c r="AD17">
        <v>25.4680492522082</v>
      </c>
      <c r="AE17">
        <v>328.524843028276</v>
      </c>
      <c r="AF17">
        <v>3.6942731155863</v>
      </c>
      <c r="AG17">
        <v>780.31970810604298</v>
      </c>
      <c r="AH17">
        <v>2.44754268107314</v>
      </c>
      <c r="AI17">
        <v>48.0727642923151</v>
      </c>
      <c r="AJ17">
        <v>175.13318804972999</v>
      </c>
      <c r="AK17">
        <v>22.013024996289602</v>
      </c>
      <c r="AL17">
        <v>-31.444272159266699</v>
      </c>
      <c r="AM17">
        <v>6.8059087606489399</v>
      </c>
      <c r="AN17">
        <v>15.0254101260641</v>
      </c>
      <c r="AO17">
        <v>0.9</v>
      </c>
      <c r="AP17">
        <v>1.2906614400918901</v>
      </c>
      <c r="AQ17">
        <v>1.25</v>
      </c>
      <c r="AR17">
        <v>1.2849129620091599</v>
      </c>
      <c r="AS17">
        <v>1.0006625187334199</v>
      </c>
      <c r="AT17">
        <v>0.86654604719949102</v>
      </c>
      <c r="AU17">
        <v>0.83931590441963499</v>
      </c>
      <c r="AV17">
        <v>1</v>
      </c>
      <c r="AW17">
        <v>0.98685377578108802</v>
      </c>
      <c r="AX17">
        <v>1</v>
      </c>
      <c r="AY17">
        <v>1</v>
      </c>
      <c r="AZ17">
        <v>0.93253779094094802</v>
      </c>
      <c r="BA17">
        <v>1</v>
      </c>
      <c r="BB17">
        <v>0.99373433388347898</v>
      </c>
      <c r="BC17">
        <v>22073331083.400002</v>
      </c>
      <c r="BD17">
        <v>7.3361031567739293E-2</v>
      </c>
      <c r="BE17">
        <v>5425</v>
      </c>
    </row>
    <row r="18" spans="1:57" x14ac:dyDescent="0.25">
      <c r="A18">
        <v>17</v>
      </c>
      <c r="B18">
        <v>8</v>
      </c>
      <c r="C18">
        <v>36</v>
      </c>
      <c r="D18">
        <v>0.72016150886686303</v>
      </c>
      <c r="E18">
        <v>0.63840490766808999</v>
      </c>
      <c r="F18">
        <v>8.30772595070394</v>
      </c>
      <c r="G18">
        <v>7.39751151231608</v>
      </c>
      <c r="H18">
        <v>1.12806386701726</v>
      </c>
      <c r="I18">
        <v>-8.1756601198772996E-2</v>
      </c>
      <c r="J18">
        <v>4.2745704628432399E-2</v>
      </c>
      <c r="K18">
        <v>1.37746157770815E-2</v>
      </c>
      <c r="L18">
        <v>1.1246891091465301E-2</v>
      </c>
      <c r="M18">
        <v>0.56534659674843202</v>
      </c>
      <c r="N18">
        <v>5.2910994226790997E-3</v>
      </c>
      <c r="O18">
        <v>0</v>
      </c>
      <c r="P18">
        <v>5.3654686490883803</v>
      </c>
      <c r="Q18">
        <v>94.634531350911601</v>
      </c>
      <c r="R18">
        <v>44.849367777462199</v>
      </c>
      <c r="S18">
        <v>35.851745304727899</v>
      </c>
      <c r="T18">
        <v>19.298886917809899</v>
      </c>
      <c r="U18">
        <v>0</v>
      </c>
      <c r="V18">
        <v>55.150632222537801</v>
      </c>
      <c r="W18">
        <v>0.51911406571090002</v>
      </c>
      <c r="X18">
        <v>-45.457697329990403</v>
      </c>
      <c r="Y18">
        <v>310.48801765385599</v>
      </c>
      <c r="Z18">
        <v>100</v>
      </c>
      <c r="AA18">
        <v>53.541977466843299</v>
      </c>
      <c r="AB18">
        <v>291.44354153913298</v>
      </c>
      <c r="AC18">
        <v>289.31770361020898</v>
      </c>
      <c r="AD18">
        <v>34.195642491818099</v>
      </c>
      <c r="AE18">
        <v>318.78822986138903</v>
      </c>
      <c r="AF18">
        <v>3.7126993492309701</v>
      </c>
      <c r="AG18">
        <v>780.61147633254905</v>
      </c>
      <c r="AH18">
        <v>0.99998257080920105</v>
      </c>
      <c r="AI18">
        <v>47.274787513020001</v>
      </c>
      <c r="AJ18">
        <v>179.22860586930099</v>
      </c>
      <c r="AK18">
        <v>18.3027241423333</v>
      </c>
      <c r="AL18">
        <v>-30.2704916403795</v>
      </c>
      <c r="AM18">
        <v>6.8255676373509502</v>
      </c>
      <c r="AN18">
        <v>20.789147396795499</v>
      </c>
      <c r="AO18">
        <v>0.9</v>
      </c>
      <c r="AP18">
        <v>1.29056471102888</v>
      </c>
      <c r="AQ18">
        <v>1.25</v>
      </c>
      <c r="AR18">
        <v>1.2753607874702599</v>
      </c>
      <c r="AS18">
        <v>1.0034165153252901</v>
      </c>
      <c r="AT18">
        <v>0.86759224426436499</v>
      </c>
      <c r="AU18">
        <v>0.83868923905781401</v>
      </c>
      <c r="AV18">
        <v>1</v>
      </c>
      <c r="AW18">
        <v>0.98904058165650399</v>
      </c>
      <c r="AX18">
        <v>1</v>
      </c>
      <c r="AY18">
        <v>1</v>
      </c>
      <c r="AZ18">
        <v>0.92830417811070098</v>
      </c>
      <c r="BA18">
        <v>1</v>
      </c>
      <c r="BB18">
        <v>0.99801566591366597</v>
      </c>
      <c r="BC18">
        <v>37592799203.900002</v>
      </c>
      <c r="BD18">
        <v>6.7604854309397805E-2</v>
      </c>
      <c r="BE18">
        <v>6818</v>
      </c>
    </row>
    <row r="19" spans="1:57" x14ac:dyDescent="0.25">
      <c r="A19">
        <v>18</v>
      </c>
      <c r="B19">
        <v>8</v>
      </c>
      <c r="C19">
        <v>42</v>
      </c>
      <c r="D19">
        <v>0.80669268366452096</v>
      </c>
      <c r="E19">
        <v>0.687790398279023</v>
      </c>
      <c r="F19">
        <v>9.2621572957999891</v>
      </c>
      <c r="G19">
        <v>7.94831648829906</v>
      </c>
      <c r="H19">
        <v>1.1728757564557599</v>
      </c>
      <c r="I19">
        <v>-0.11890228538549701</v>
      </c>
      <c r="J19">
        <v>4.5617556155328198E-2</v>
      </c>
      <c r="K19">
        <v>1.3393640729570701E-2</v>
      </c>
      <c r="L19">
        <v>8.7229257174339606E-3</v>
      </c>
      <c r="M19">
        <v>0.61597959152044901</v>
      </c>
      <c r="N19">
        <v>4.0766841562408203E-3</v>
      </c>
      <c r="O19">
        <v>0</v>
      </c>
      <c r="P19">
        <v>6.53347442461724</v>
      </c>
      <c r="Q19">
        <v>93.466525575382803</v>
      </c>
      <c r="R19">
        <v>39.833149756255501</v>
      </c>
      <c r="S19">
        <v>48.125662362251497</v>
      </c>
      <c r="T19">
        <v>12.041187881493</v>
      </c>
      <c r="U19">
        <v>0</v>
      </c>
      <c r="V19">
        <v>60.166850243744499</v>
      </c>
      <c r="W19">
        <v>0.47074469393141599</v>
      </c>
      <c r="X19">
        <v>-54.015159167620503</v>
      </c>
      <c r="Y19">
        <v>394.33997577192201</v>
      </c>
      <c r="Z19">
        <v>100</v>
      </c>
      <c r="AA19">
        <v>53.060030948046297</v>
      </c>
      <c r="AB19">
        <v>282.28019200933602</v>
      </c>
      <c r="AC19">
        <v>280.41764176172398</v>
      </c>
      <c r="AD19">
        <v>38.086471766357597</v>
      </c>
      <c r="AE19">
        <v>312.65993075424097</v>
      </c>
      <c r="AF19">
        <v>3.7377367768698502</v>
      </c>
      <c r="AG19">
        <v>779.55191567039105</v>
      </c>
      <c r="AH19">
        <v>1.3356287654422501</v>
      </c>
      <c r="AI19">
        <v>46.645533394932301</v>
      </c>
      <c r="AJ19">
        <v>179.63059181150501</v>
      </c>
      <c r="AK19">
        <v>14.2626289191911</v>
      </c>
      <c r="AL19">
        <v>-35.613338606959999</v>
      </c>
      <c r="AM19">
        <v>6.7117590754381702</v>
      </c>
      <c r="AN19">
        <v>22.947550675505799</v>
      </c>
      <c r="AO19">
        <v>0.9</v>
      </c>
      <c r="AP19">
        <v>1.2904279349055401</v>
      </c>
      <c r="AQ19">
        <v>1.25</v>
      </c>
      <c r="AR19">
        <v>1.2481663216647201</v>
      </c>
      <c r="AS19">
        <v>1.0046746432307101</v>
      </c>
      <c r="AT19">
        <v>0.87844960827517604</v>
      </c>
      <c r="AU19">
        <v>0.84079693137843003</v>
      </c>
      <c r="AV19">
        <v>1</v>
      </c>
      <c r="AW19">
        <v>0.97842473223975501</v>
      </c>
      <c r="AX19">
        <v>1</v>
      </c>
      <c r="AY19">
        <v>1</v>
      </c>
      <c r="AZ19">
        <v>0.92178309468313202</v>
      </c>
      <c r="BA19">
        <v>1</v>
      </c>
      <c r="BB19">
        <v>1.0147217296615401</v>
      </c>
      <c r="BC19">
        <v>4686223049.1999998</v>
      </c>
      <c r="BD19">
        <v>8.9490849730238201E-2</v>
      </c>
      <c r="BE19">
        <v>2535</v>
      </c>
    </row>
    <row r="20" spans="1:57" x14ac:dyDescent="0.25">
      <c r="A20">
        <v>19</v>
      </c>
      <c r="B20">
        <v>8</v>
      </c>
      <c r="C20">
        <v>48</v>
      </c>
      <c r="D20">
        <v>0.77922895364241096</v>
      </c>
      <c r="E20">
        <v>0.67255861874193801</v>
      </c>
      <c r="F20">
        <v>8.9602258880510206</v>
      </c>
      <c r="G20">
        <v>7.7787549437413199</v>
      </c>
      <c r="H20">
        <v>1.15860377360119</v>
      </c>
      <c r="I20">
        <v>-0.10667033490047299</v>
      </c>
      <c r="J20">
        <v>4.9001299573921901E-2</v>
      </c>
      <c r="K20">
        <v>9.4917289981158292E-3</v>
      </c>
      <c r="L20">
        <v>9.8855078061735099E-3</v>
      </c>
      <c r="M20">
        <v>0.59964175402542796</v>
      </c>
      <c r="N20">
        <v>4.53832833829927E-3</v>
      </c>
      <c r="O20">
        <v>0</v>
      </c>
      <c r="P20">
        <v>6.4961703611680797</v>
      </c>
      <c r="Q20">
        <v>93.503829638831903</v>
      </c>
      <c r="R20">
        <v>37.4546324625003</v>
      </c>
      <c r="S20">
        <v>45.0229798326137</v>
      </c>
      <c r="T20">
        <v>17.522387704886</v>
      </c>
      <c r="U20">
        <v>0</v>
      </c>
      <c r="V20">
        <v>62.5453675374997</v>
      </c>
      <c r="W20">
        <v>0.29431334068467402</v>
      </c>
      <c r="X20">
        <v>-46.111612133903897</v>
      </c>
      <c r="Y20">
        <v>156.45819892043599</v>
      </c>
      <c r="Z20">
        <v>100</v>
      </c>
      <c r="AA20">
        <v>48.517378209982198</v>
      </c>
      <c r="AB20">
        <v>282.01190915876401</v>
      </c>
      <c r="AC20">
        <v>280.072391096253</v>
      </c>
      <c r="AD20">
        <v>46.446563525171598</v>
      </c>
      <c r="AE20">
        <v>304.76893995239101</v>
      </c>
      <c r="AF20">
        <v>3.5247167582624002</v>
      </c>
      <c r="AG20">
        <v>780.93723076875995</v>
      </c>
      <c r="AH20">
        <v>3.35369679332763</v>
      </c>
      <c r="AI20">
        <v>53.872048153855097</v>
      </c>
      <c r="AJ20">
        <v>169.86345667070199</v>
      </c>
      <c r="AK20">
        <v>25.439237766634498</v>
      </c>
      <c r="AL20">
        <v>-29.076037886520101</v>
      </c>
      <c r="AM20">
        <v>6.5245341959110004</v>
      </c>
      <c r="AN20">
        <v>27.751461590215101</v>
      </c>
      <c r="AO20">
        <v>0.9</v>
      </c>
      <c r="AP20">
        <v>1.2902446962306799</v>
      </c>
      <c r="AQ20">
        <v>1.25</v>
      </c>
      <c r="AR20">
        <v>1.2769654626860401</v>
      </c>
      <c r="AS20">
        <v>1.0059590773126701</v>
      </c>
      <c r="AT20">
        <v>0.87830405562592395</v>
      </c>
      <c r="AU20">
        <v>0.83805777013554605</v>
      </c>
      <c r="AV20">
        <v>1</v>
      </c>
      <c r="AW20">
        <v>0.99183077901971795</v>
      </c>
      <c r="AX20">
        <v>1</v>
      </c>
      <c r="AY20">
        <v>1</v>
      </c>
      <c r="AZ20">
        <v>0.91869102220124998</v>
      </c>
      <c r="BA20">
        <v>1</v>
      </c>
      <c r="BB20">
        <v>1.00920146249762</v>
      </c>
      <c r="BC20">
        <v>24515231375.700001</v>
      </c>
      <c r="BD20">
        <v>7.7524284314604203E-2</v>
      </c>
      <c r="BE20">
        <v>5585</v>
      </c>
    </row>
    <row r="21" spans="1:57" x14ac:dyDescent="0.25">
      <c r="A21">
        <v>20</v>
      </c>
      <c r="B21">
        <v>8</v>
      </c>
      <c r="C21">
        <v>54</v>
      </c>
      <c r="D21">
        <v>0.75239253957461605</v>
      </c>
      <c r="E21">
        <v>0.71712372494131504</v>
      </c>
      <c r="F21">
        <v>8.6643017031701195</v>
      </c>
      <c r="G21">
        <v>8.2740528665056807</v>
      </c>
      <c r="H21">
        <v>1.0491809340657201</v>
      </c>
      <c r="I21">
        <v>-3.5268814633301102E-2</v>
      </c>
      <c r="J21">
        <v>5.2126335116748697E-2</v>
      </c>
      <c r="K21">
        <v>8.0930433306289403E-3</v>
      </c>
      <c r="L21">
        <v>6.39926096443075E-3</v>
      </c>
      <c r="M21">
        <v>0.64780372728698099</v>
      </c>
      <c r="N21">
        <v>2.7013582425247399E-3</v>
      </c>
      <c r="O21">
        <v>0</v>
      </c>
      <c r="P21">
        <v>7.0194412931121404</v>
      </c>
      <c r="Q21">
        <v>92.980558706887905</v>
      </c>
      <c r="R21">
        <v>31.618458512580599</v>
      </c>
      <c r="S21">
        <v>50.576280471568403</v>
      </c>
      <c r="T21">
        <v>17.805261015850999</v>
      </c>
      <c r="U21">
        <v>0</v>
      </c>
      <c r="V21">
        <v>68.381541487419398</v>
      </c>
      <c r="W21">
        <v>0.228687385388089</v>
      </c>
      <c r="X21">
        <v>-48.059277144767499</v>
      </c>
      <c r="Y21">
        <v>84.0701222719387</v>
      </c>
      <c r="Z21">
        <v>100</v>
      </c>
      <c r="AA21">
        <v>47.642924359079501</v>
      </c>
      <c r="AB21">
        <v>274.564322790387</v>
      </c>
      <c r="AC21">
        <v>272.65105186427797</v>
      </c>
      <c r="AD21">
        <v>52.468327533329997</v>
      </c>
      <c r="AE21">
        <v>297.85681066329499</v>
      </c>
      <c r="AF21">
        <v>3.4141946825836502</v>
      </c>
      <c r="AG21">
        <v>781.04480310699705</v>
      </c>
      <c r="AH21">
        <v>2.4430356703822498</v>
      </c>
      <c r="AI21">
        <v>59.721447008184803</v>
      </c>
      <c r="AJ21">
        <v>170.90512701066601</v>
      </c>
      <c r="AK21">
        <v>28.241959587660698</v>
      </c>
      <c r="AL21">
        <v>-25.414821741604602</v>
      </c>
      <c r="AM21">
        <v>6.2117093734706801</v>
      </c>
      <c r="AN21">
        <v>30.257000988163298</v>
      </c>
      <c r="AO21">
        <v>0.9</v>
      </c>
      <c r="AP21">
        <v>1.29036883359285</v>
      </c>
      <c r="AQ21">
        <v>1.25</v>
      </c>
      <c r="AR21">
        <v>1.2720826529768601</v>
      </c>
      <c r="AS21">
        <v>1.00649022764147</v>
      </c>
      <c r="AT21">
        <v>0.88685935197817001</v>
      </c>
      <c r="AU21">
        <v>0.83787640724412105</v>
      </c>
      <c r="AV21">
        <v>1</v>
      </c>
      <c r="AW21">
        <v>0.999214930881409</v>
      </c>
      <c r="AX21">
        <v>1</v>
      </c>
      <c r="AY21">
        <v>1</v>
      </c>
      <c r="AZ21">
        <v>0.91110399606635495</v>
      </c>
      <c r="BA21">
        <v>1</v>
      </c>
      <c r="BB21">
        <v>1.01487048780073</v>
      </c>
      <c r="BC21">
        <v>40190760675.900002</v>
      </c>
      <c r="BD21">
        <v>7.8438844783151704E-2</v>
      </c>
      <c r="BE21">
        <v>8543</v>
      </c>
    </row>
    <row r="22" spans="1:57" x14ac:dyDescent="0.25">
      <c r="A22">
        <v>21</v>
      </c>
      <c r="B22">
        <v>8</v>
      </c>
      <c r="C22">
        <v>60</v>
      </c>
      <c r="D22">
        <v>0.70210362810693605</v>
      </c>
      <c r="E22">
        <v>0.64514659077387604</v>
      </c>
      <c r="F22">
        <v>8.1073921558542104</v>
      </c>
      <c r="G22">
        <v>7.47288031601967</v>
      </c>
      <c r="H22">
        <v>1.08828541938777</v>
      </c>
      <c r="I22">
        <v>-5.69570373330602E-2</v>
      </c>
      <c r="J22">
        <v>5.6499405089194897E-2</v>
      </c>
      <c r="K22">
        <v>1.19596586780685E-2</v>
      </c>
      <c r="L22">
        <v>8.0665751547454607E-3</v>
      </c>
      <c r="M22">
        <v>0.56514480330208505</v>
      </c>
      <c r="N22">
        <v>3.4761485497818898E-3</v>
      </c>
      <c r="O22">
        <v>0</v>
      </c>
      <c r="P22">
        <v>6.7245644659493999</v>
      </c>
      <c r="Q22">
        <v>93.275435534050601</v>
      </c>
      <c r="R22">
        <v>29.9260434153801</v>
      </c>
      <c r="S22">
        <v>53.057874848982401</v>
      </c>
      <c r="T22">
        <v>17.0160817356374</v>
      </c>
      <c r="U22">
        <v>0</v>
      </c>
      <c r="V22">
        <v>70.073956584619907</v>
      </c>
      <c r="W22">
        <v>0.33119705915897202</v>
      </c>
      <c r="X22">
        <v>-50.842990731849603</v>
      </c>
      <c r="Y22">
        <v>229.235774581123</v>
      </c>
      <c r="Z22">
        <v>100</v>
      </c>
      <c r="AA22">
        <v>44.159561649145502</v>
      </c>
      <c r="AB22">
        <v>268.43430841005801</v>
      </c>
      <c r="AC22">
        <v>266.59215938624902</v>
      </c>
      <c r="AD22">
        <v>60.579013946745299</v>
      </c>
      <c r="AE22">
        <v>288.15685341142898</v>
      </c>
      <c r="AF22">
        <v>3.4941404885053902</v>
      </c>
      <c r="AG22">
        <v>781.59276544138004</v>
      </c>
      <c r="AH22">
        <v>3.4722270236403698</v>
      </c>
      <c r="AI22">
        <v>57.964488931348903</v>
      </c>
      <c r="AJ22">
        <v>177.458472803136</v>
      </c>
      <c r="AK22">
        <v>24.109868595130401</v>
      </c>
      <c r="AL22">
        <v>-25.213157203104998</v>
      </c>
      <c r="AM22">
        <v>6.2279389955845996</v>
      </c>
      <c r="AN22">
        <v>35.799495174620603</v>
      </c>
      <c r="AO22">
        <v>0.9</v>
      </c>
      <c r="AP22">
        <v>1.2899709562077599</v>
      </c>
      <c r="AQ22">
        <v>1.25</v>
      </c>
      <c r="AR22">
        <v>1.2527883595131399</v>
      </c>
      <c r="AS22">
        <v>1.00707420571246</v>
      </c>
      <c r="AT22">
        <v>0.894147931075153</v>
      </c>
      <c r="AU22">
        <v>0.83677121823992096</v>
      </c>
      <c r="AV22">
        <v>1</v>
      </c>
      <c r="AW22">
        <v>0.998964158005757</v>
      </c>
      <c r="AX22">
        <v>1</v>
      </c>
      <c r="AY22">
        <v>1</v>
      </c>
      <c r="AZ22">
        <v>0.90890385643999405</v>
      </c>
      <c r="BA22">
        <v>1</v>
      </c>
      <c r="BB22">
        <v>1.0112366767577601</v>
      </c>
      <c r="BC22">
        <v>109938295701.3</v>
      </c>
      <c r="BD22">
        <v>7.6717431234619701E-2</v>
      </c>
      <c r="BE22">
        <v>29755</v>
      </c>
    </row>
    <row r="23" spans="1:57" x14ac:dyDescent="0.25">
      <c r="A23">
        <v>22</v>
      </c>
      <c r="B23">
        <v>11</v>
      </c>
      <c r="C23">
        <v>6</v>
      </c>
      <c r="D23">
        <v>0.38462635040628801</v>
      </c>
      <c r="E23">
        <v>0.20205796666487499</v>
      </c>
      <c r="F23">
        <v>4.5191185484484597</v>
      </c>
      <c r="G23">
        <v>2.3979301682143799</v>
      </c>
      <c r="H23">
        <v>1.90354459541906</v>
      </c>
      <c r="I23">
        <v>-0.18256838374141299</v>
      </c>
      <c r="J23">
        <v>3.0426568555035598E-2</v>
      </c>
      <c r="K23">
        <v>1.7528297038017001E-3</v>
      </c>
      <c r="L23">
        <v>0</v>
      </c>
      <c r="M23">
        <v>0.16801434781032801</v>
      </c>
      <c r="N23">
        <v>1.8642205957101201E-3</v>
      </c>
      <c r="O23">
        <v>0</v>
      </c>
      <c r="P23">
        <v>6.7659443836907904</v>
      </c>
      <c r="Q23">
        <v>93.234055616309206</v>
      </c>
      <c r="R23">
        <v>44.271887965247601</v>
      </c>
      <c r="S23">
        <v>31.149502980247401</v>
      </c>
      <c r="T23">
        <v>24.578609054505002</v>
      </c>
      <c r="U23">
        <v>0</v>
      </c>
      <c r="V23">
        <v>55.728112034752399</v>
      </c>
      <c r="W23">
        <v>0.203146170255707</v>
      </c>
      <c r="X23">
        <v>-44.991020325462699</v>
      </c>
      <c r="Y23">
        <v>5.8596704387576404</v>
      </c>
      <c r="Z23">
        <v>100</v>
      </c>
      <c r="AA23">
        <v>65.660278543671495</v>
      </c>
      <c r="AB23">
        <v>306.40361655460902</v>
      </c>
      <c r="AC23">
        <v>304.195211496762</v>
      </c>
      <c r="AD23">
        <v>3.7304315903043701</v>
      </c>
      <c r="AE23">
        <v>354.40578155099598</v>
      </c>
      <c r="AF23">
        <v>3.6743912389263498</v>
      </c>
      <c r="AG23">
        <v>779.38362702144002</v>
      </c>
      <c r="AH23">
        <v>5.2995297222029896</v>
      </c>
      <c r="AI23">
        <v>45.260265810015703</v>
      </c>
      <c r="AJ23">
        <v>173.168978830182</v>
      </c>
      <c r="AK23">
        <v>21.725863185048201</v>
      </c>
      <c r="AL23">
        <v>-29.762670492201</v>
      </c>
      <c r="AM23">
        <v>11.6312647455867</v>
      </c>
      <c r="AN23">
        <v>3.4721406027455401</v>
      </c>
      <c r="AO23">
        <v>0.9</v>
      </c>
      <c r="AP23">
        <v>1.2902035351654899</v>
      </c>
      <c r="AQ23">
        <v>0.36043887544981701</v>
      </c>
      <c r="AR23">
        <v>1.27978514886983</v>
      </c>
      <c r="AS23">
        <v>0.99532631419170303</v>
      </c>
      <c r="AT23">
        <v>0.85079115068042599</v>
      </c>
      <c r="AU23">
        <v>0.841053379412664</v>
      </c>
      <c r="AV23">
        <v>1</v>
      </c>
      <c r="AW23">
        <v>0.99168690635599699</v>
      </c>
      <c r="AX23">
        <v>1</v>
      </c>
      <c r="AY23">
        <v>1</v>
      </c>
      <c r="AZ23">
        <v>0.92755345435482195</v>
      </c>
      <c r="BA23">
        <v>1</v>
      </c>
      <c r="BB23">
        <v>0.98612371272212795</v>
      </c>
      <c r="BC23">
        <v>50589889425.5</v>
      </c>
      <c r="BD23">
        <v>3.6770708833980398E-2</v>
      </c>
      <c r="BE23">
        <v>11129</v>
      </c>
    </row>
    <row r="24" spans="1:57" x14ac:dyDescent="0.25">
      <c r="A24">
        <v>23</v>
      </c>
      <c r="B24">
        <v>11</v>
      </c>
      <c r="C24">
        <v>12</v>
      </c>
      <c r="D24">
        <v>0.49770443344996601</v>
      </c>
      <c r="E24">
        <v>0.40808262589865701</v>
      </c>
      <c r="F24">
        <v>5.8116469613769004</v>
      </c>
      <c r="G24">
        <v>4.7885622176138902</v>
      </c>
      <c r="H24">
        <v>1.2196168174372799</v>
      </c>
      <c r="I24">
        <v>-8.9621807551309607E-2</v>
      </c>
      <c r="J24">
        <v>3.5216702555856502E-2</v>
      </c>
      <c r="K24">
        <v>2.50080238089274E-3</v>
      </c>
      <c r="L24" s="1">
        <v>5.6214664449914804E-7</v>
      </c>
      <c r="M24">
        <v>0.36239141549098502</v>
      </c>
      <c r="N24">
        <v>7.9731433242778895E-3</v>
      </c>
      <c r="O24">
        <v>0</v>
      </c>
      <c r="P24">
        <v>6.4067774711462002</v>
      </c>
      <c r="Q24">
        <v>93.593222528853801</v>
      </c>
      <c r="R24">
        <v>43.198880971349297</v>
      </c>
      <c r="S24">
        <v>35.007527041040099</v>
      </c>
      <c r="T24">
        <v>21.793591987610601</v>
      </c>
      <c r="U24">
        <v>0</v>
      </c>
      <c r="V24">
        <v>56.801119028650703</v>
      </c>
      <c r="W24">
        <v>0.189579441507194</v>
      </c>
      <c r="X24">
        <v>-39.1938262056265</v>
      </c>
      <c r="Y24">
        <v>28.863649465593902</v>
      </c>
      <c r="Z24">
        <v>100</v>
      </c>
      <c r="AA24">
        <v>63.757090931038398</v>
      </c>
      <c r="AB24">
        <v>310.74496825532401</v>
      </c>
      <c r="AC24">
        <v>308.547846495013</v>
      </c>
      <c r="AD24">
        <v>8.6302401827526793</v>
      </c>
      <c r="AE24">
        <v>348.90178405573403</v>
      </c>
      <c r="AF24">
        <v>3.5335568435771298</v>
      </c>
      <c r="AG24">
        <v>780.02242921591096</v>
      </c>
      <c r="AH24">
        <v>5.67090196341048</v>
      </c>
      <c r="AI24">
        <v>49.786847947994303</v>
      </c>
      <c r="AJ24">
        <v>172.66094143847499</v>
      </c>
      <c r="AK24">
        <v>27.921915950325801</v>
      </c>
      <c r="AL24">
        <v>-25.678238411905301</v>
      </c>
      <c r="AM24">
        <v>10.0337960579766</v>
      </c>
      <c r="AN24">
        <v>7.0497362582791201</v>
      </c>
      <c r="AO24">
        <v>0.9</v>
      </c>
      <c r="AP24">
        <v>1.2902013243630599</v>
      </c>
      <c r="AQ24">
        <v>0.72722282618999401</v>
      </c>
      <c r="AR24">
        <v>1.28338902972318</v>
      </c>
      <c r="AS24">
        <v>0.996470337471562</v>
      </c>
      <c r="AT24">
        <v>0.84644680156732399</v>
      </c>
      <c r="AU24">
        <v>0.83981092589532702</v>
      </c>
      <c r="AV24">
        <v>1</v>
      </c>
      <c r="AW24">
        <v>0.99893144424521296</v>
      </c>
      <c r="AX24">
        <v>1</v>
      </c>
      <c r="AY24">
        <v>1</v>
      </c>
      <c r="AZ24">
        <v>0.92615854526275398</v>
      </c>
      <c r="BA24">
        <v>1</v>
      </c>
      <c r="BB24">
        <v>0.98512236746764403</v>
      </c>
      <c r="BC24">
        <v>102897578261.3</v>
      </c>
      <c r="BD24">
        <v>5.2412012769931397E-2</v>
      </c>
      <c r="BE24">
        <v>12522</v>
      </c>
    </row>
    <row r="25" spans="1:57" x14ac:dyDescent="0.25">
      <c r="A25">
        <v>24</v>
      </c>
      <c r="B25">
        <v>11</v>
      </c>
      <c r="C25">
        <v>18</v>
      </c>
      <c r="D25">
        <v>0.55280087888953</v>
      </c>
      <c r="E25">
        <v>0.54727232053021901</v>
      </c>
      <c r="F25">
        <v>6.4355925666445701</v>
      </c>
      <c r="G25">
        <v>6.3731552752624401</v>
      </c>
      <c r="H25">
        <v>1.0101020244436201</v>
      </c>
      <c r="I25">
        <v>-5.52855835931033E-3</v>
      </c>
      <c r="J25">
        <v>3.5773436312757201E-2</v>
      </c>
      <c r="K25">
        <v>8.4078439565516399E-3</v>
      </c>
      <c r="L25">
        <v>5.4715407800249303E-4</v>
      </c>
      <c r="M25">
        <v>0.49679532562587803</v>
      </c>
      <c r="N25">
        <v>5.7485605570304996E-3</v>
      </c>
      <c r="O25">
        <v>0</v>
      </c>
      <c r="P25">
        <v>5.2177754987649099</v>
      </c>
      <c r="Q25">
        <v>94.782224501235106</v>
      </c>
      <c r="R25">
        <v>34.652946550831999</v>
      </c>
      <c r="S25">
        <v>39.632937732200801</v>
      </c>
      <c r="T25">
        <v>25.7141157169672</v>
      </c>
      <c r="U25">
        <v>0</v>
      </c>
      <c r="V25">
        <v>65.347053449168001</v>
      </c>
      <c r="W25">
        <v>0.52158190222897505</v>
      </c>
      <c r="X25">
        <v>-50.182986860347803</v>
      </c>
      <c r="Y25">
        <v>37.300445484466003</v>
      </c>
      <c r="Z25">
        <v>100</v>
      </c>
      <c r="AA25">
        <v>57.187442272709099</v>
      </c>
      <c r="AB25">
        <v>311.33376980346202</v>
      </c>
      <c r="AC25">
        <v>309.11541149662997</v>
      </c>
      <c r="AD25">
        <v>15.246028145753501</v>
      </c>
      <c r="AE25">
        <v>341.22010423371501</v>
      </c>
      <c r="AF25">
        <v>3.5440108027576001</v>
      </c>
      <c r="AG25">
        <v>780.38597712630894</v>
      </c>
      <c r="AH25">
        <v>6.6224066775784998</v>
      </c>
      <c r="AI25">
        <v>46.9773682388468</v>
      </c>
      <c r="AJ25">
        <v>177.60642448027701</v>
      </c>
      <c r="AK25">
        <v>22.6161035525549</v>
      </c>
      <c r="AL25">
        <v>-24.0630716878761</v>
      </c>
      <c r="AM25">
        <v>9.4337116749730701</v>
      </c>
      <c r="AN25">
        <v>12.2025680003649</v>
      </c>
      <c r="AO25">
        <v>0.9</v>
      </c>
      <c r="AP25">
        <v>1.2902004513298999</v>
      </c>
      <c r="AQ25">
        <v>1.1747978154103</v>
      </c>
      <c r="AR25">
        <v>1.2556376833268501</v>
      </c>
      <c r="AS25">
        <v>1.00080291722856</v>
      </c>
      <c r="AT25">
        <v>0.84614933974690898</v>
      </c>
      <c r="AU25">
        <v>0.83908982946629596</v>
      </c>
      <c r="AV25">
        <v>1</v>
      </c>
      <c r="AW25">
        <v>1.00162880897869</v>
      </c>
      <c r="AX25">
        <v>1</v>
      </c>
      <c r="AY25">
        <v>1</v>
      </c>
      <c r="AZ25">
        <v>0.91504883051608199</v>
      </c>
      <c r="BA25">
        <v>1</v>
      </c>
      <c r="BB25">
        <v>0.98578827853195095</v>
      </c>
      <c r="BC25">
        <v>94625075767.800003</v>
      </c>
      <c r="BD25">
        <v>5.53200947196568E-2</v>
      </c>
      <c r="BE25">
        <v>9753</v>
      </c>
    </row>
    <row r="26" spans="1:57" x14ac:dyDescent="0.25">
      <c r="A26">
        <v>25</v>
      </c>
      <c r="B26">
        <v>11</v>
      </c>
      <c r="C26">
        <v>24</v>
      </c>
      <c r="D26">
        <v>0.68886581252248902</v>
      </c>
      <c r="E26">
        <v>0.62498096312501294</v>
      </c>
      <c r="F26">
        <v>7.9602772890568403</v>
      </c>
      <c r="G26">
        <v>7.2472705935673796</v>
      </c>
      <c r="H26">
        <v>1.1022188725205999</v>
      </c>
      <c r="I26">
        <v>-6.3884849397475699E-2</v>
      </c>
      <c r="J26">
        <v>3.7568586177045303E-2</v>
      </c>
      <c r="K26">
        <v>1.0474768925587701E-2</v>
      </c>
      <c r="L26">
        <v>5.4739654512231603E-3</v>
      </c>
      <c r="M26">
        <v>0.56857356239005397</v>
      </c>
      <c r="N26">
        <v>2.8900801811031001E-3</v>
      </c>
      <c r="O26">
        <v>0</v>
      </c>
      <c r="P26">
        <v>6.5512410922756503</v>
      </c>
      <c r="Q26">
        <v>93.448758907724397</v>
      </c>
      <c r="R26">
        <v>41.069289707938303</v>
      </c>
      <c r="S26">
        <v>34.042846990862998</v>
      </c>
      <c r="T26">
        <v>24.887863301198699</v>
      </c>
      <c r="U26">
        <v>0</v>
      </c>
      <c r="V26">
        <v>58.930710292061697</v>
      </c>
      <c r="W26">
        <v>0.52329865586118396</v>
      </c>
      <c r="X26">
        <v>-55.372565956334697</v>
      </c>
      <c r="Y26">
        <v>158.63698845081501</v>
      </c>
      <c r="Z26">
        <v>100</v>
      </c>
      <c r="AA26">
        <v>55.810957600250198</v>
      </c>
      <c r="AB26">
        <v>302.89266072318401</v>
      </c>
      <c r="AC26">
        <v>300.70344672109002</v>
      </c>
      <c r="AD26">
        <v>22.0828318551</v>
      </c>
      <c r="AE26">
        <v>333.30428712881798</v>
      </c>
      <c r="AF26">
        <v>3.6553758415825999</v>
      </c>
      <c r="AG26">
        <v>780.29211528408098</v>
      </c>
      <c r="AH26">
        <v>5.7124285051735297</v>
      </c>
      <c r="AI26">
        <v>48.109233971054003</v>
      </c>
      <c r="AJ26">
        <v>178.247936422809</v>
      </c>
      <c r="AK26">
        <v>16.919500711730699</v>
      </c>
      <c r="AL26">
        <v>-22.065397208012701</v>
      </c>
      <c r="AM26">
        <v>9.2562277473633703</v>
      </c>
      <c r="AN26">
        <v>17.7726575809026</v>
      </c>
      <c r="AO26">
        <v>0.9</v>
      </c>
      <c r="AP26">
        <v>1.2901999722232</v>
      </c>
      <c r="AQ26">
        <v>1.25</v>
      </c>
      <c r="AR26">
        <v>1.2496068747248501</v>
      </c>
      <c r="AS26">
        <v>1.00210224312327</v>
      </c>
      <c r="AT26">
        <v>0.85513284440597104</v>
      </c>
      <c r="AU26">
        <v>0.83930102212541702</v>
      </c>
      <c r="AV26">
        <v>1</v>
      </c>
      <c r="AW26">
        <v>1.0055093090883001</v>
      </c>
      <c r="AX26">
        <v>1</v>
      </c>
      <c r="AY26">
        <v>1</v>
      </c>
      <c r="AZ26">
        <v>0.92339007662032002</v>
      </c>
      <c r="BA26">
        <v>1</v>
      </c>
      <c r="BB26">
        <v>0.98698776811393896</v>
      </c>
      <c r="BC26">
        <v>38770209966.699997</v>
      </c>
      <c r="BD26">
        <v>6.5641592362714898E-2</v>
      </c>
      <c r="BE26">
        <v>8077</v>
      </c>
    </row>
    <row r="27" spans="1:57" x14ac:dyDescent="0.25">
      <c r="A27">
        <v>26</v>
      </c>
      <c r="B27">
        <v>11</v>
      </c>
      <c r="C27">
        <v>30</v>
      </c>
      <c r="D27">
        <v>0.81533670499375499</v>
      </c>
      <c r="E27">
        <v>0.69492679055568596</v>
      </c>
      <c r="F27">
        <v>9.3569980531572892</v>
      </c>
      <c r="G27">
        <v>8.0276610959517001</v>
      </c>
      <c r="H27">
        <v>1.17326992724195</v>
      </c>
      <c r="I27">
        <v>-0.120409914438069</v>
      </c>
      <c r="J27">
        <v>3.8970035840377899E-2</v>
      </c>
      <c r="K27">
        <v>9.9253263595974299E-3</v>
      </c>
      <c r="L27">
        <v>1.8150336485222698E-2</v>
      </c>
      <c r="M27">
        <v>0.619249705114153</v>
      </c>
      <c r="N27">
        <v>8.6313867563351104E-3</v>
      </c>
      <c r="O27">
        <v>0</v>
      </c>
      <c r="P27">
        <v>6.2571299901854802</v>
      </c>
      <c r="Q27">
        <v>93.742870009814496</v>
      </c>
      <c r="R27">
        <v>42.046487078492</v>
      </c>
      <c r="S27">
        <v>38.626330709110903</v>
      </c>
      <c r="T27">
        <v>19.327182212397101</v>
      </c>
      <c r="U27">
        <v>0</v>
      </c>
      <c r="V27">
        <v>57.953512921508</v>
      </c>
      <c r="W27">
        <v>0.45131635601222397</v>
      </c>
      <c r="X27">
        <v>-39.725459303260998</v>
      </c>
      <c r="Y27">
        <v>296.81359431805402</v>
      </c>
      <c r="Z27">
        <v>100</v>
      </c>
      <c r="AA27">
        <v>52.138341300150799</v>
      </c>
      <c r="AB27">
        <v>301.62895385511803</v>
      </c>
      <c r="AC27">
        <v>299.43851969074001</v>
      </c>
      <c r="AD27">
        <v>25.757284670773</v>
      </c>
      <c r="AE27">
        <v>328.775332641109</v>
      </c>
      <c r="AF27">
        <v>3.71846790157602</v>
      </c>
      <c r="AG27">
        <v>781.37844602741802</v>
      </c>
      <c r="AH27">
        <v>3.5242499933929201</v>
      </c>
      <c r="AI27">
        <v>48.122079012678903</v>
      </c>
      <c r="AJ27">
        <v>175.99183603911101</v>
      </c>
      <c r="AK27">
        <v>20.230747557676299</v>
      </c>
      <c r="AL27">
        <v>-29.163325059381499</v>
      </c>
      <c r="AM27">
        <v>9.27707254086706</v>
      </c>
      <c r="AN27">
        <v>21.048290915703401</v>
      </c>
      <c r="AO27">
        <v>0.9</v>
      </c>
      <c r="AP27">
        <v>1.2901997834455901</v>
      </c>
      <c r="AQ27">
        <v>1.25</v>
      </c>
      <c r="AR27">
        <v>1.2844566349128299</v>
      </c>
      <c r="AS27">
        <v>1.00400306058731</v>
      </c>
      <c r="AT27">
        <v>0.856539475814731</v>
      </c>
      <c r="AU27">
        <v>0.83717516960069904</v>
      </c>
      <c r="AV27">
        <v>1</v>
      </c>
      <c r="AW27">
        <v>0.99161810261405903</v>
      </c>
      <c r="AX27">
        <v>1</v>
      </c>
      <c r="AY27">
        <v>1</v>
      </c>
      <c r="AZ27">
        <v>0.92466043320204006</v>
      </c>
      <c r="BA27">
        <v>1</v>
      </c>
      <c r="BB27">
        <v>0.98544878410851899</v>
      </c>
      <c r="BC27">
        <v>20238524439.900002</v>
      </c>
      <c r="BD27">
        <v>7.8835154773066393E-2</v>
      </c>
      <c r="BE27">
        <v>5251</v>
      </c>
    </row>
    <row r="28" spans="1:57" x14ac:dyDescent="0.25">
      <c r="A28">
        <v>27</v>
      </c>
      <c r="B28">
        <v>11</v>
      </c>
      <c r="C28">
        <v>36</v>
      </c>
      <c r="D28">
        <v>0.85457469433837596</v>
      </c>
      <c r="E28">
        <v>0.67265890343571699</v>
      </c>
      <c r="F28">
        <v>9.7863693562689296</v>
      </c>
      <c r="G28">
        <v>7.7798722576883099</v>
      </c>
      <c r="H28">
        <v>1.27044284996972</v>
      </c>
      <c r="I28">
        <v>-0.181915790902659</v>
      </c>
      <c r="J28">
        <v>4.2805622997572498E-2</v>
      </c>
      <c r="K28">
        <v>1.47197227432213E-2</v>
      </c>
      <c r="L28">
        <v>1.25214179550182E-2</v>
      </c>
      <c r="M28">
        <v>0.59700658754999802</v>
      </c>
      <c r="N28">
        <v>5.6055521899075096E-3</v>
      </c>
      <c r="O28">
        <v>0</v>
      </c>
      <c r="P28">
        <v>8.5735630343952494</v>
      </c>
      <c r="Q28">
        <v>91.426436965604694</v>
      </c>
      <c r="R28">
        <v>54.870061225796498</v>
      </c>
      <c r="S28">
        <v>27.1620791554503</v>
      </c>
      <c r="T28">
        <v>17.967859618753199</v>
      </c>
      <c r="U28">
        <v>0</v>
      </c>
      <c r="V28">
        <v>45.129938774203502</v>
      </c>
      <c r="W28">
        <v>0.56798288623458904</v>
      </c>
      <c r="X28">
        <v>-42.337232867554</v>
      </c>
      <c r="Y28">
        <v>400.775026961131</v>
      </c>
      <c r="Z28">
        <v>100</v>
      </c>
      <c r="AA28">
        <v>50.518163406193402</v>
      </c>
      <c r="AB28">
        <v>287.218012688307</v>
      </c>
      <c r="AC28">
        <v>285.12268062876899</v>
      </c>
      <c r="AD28">
        <v>34.377749368847901</v>
      </c>
      <c r="AE28">
        <v>318.76184591753201</v>
      </c>
      <c r="AF28">
        <v>3.7525903783648702</v>
      </c>
      <c r="AG28">
        <v>781.37182339205697</v>
      </c>
      <c r="AH28">
        <v>0.96524933082314401</v>
      </c>
      <c r="AI28">
        <v>44.917228089673202</v>
      </c>
      <c r="AJ28">
        <v>179.31278559233201</v>
      </c>
      <c r="AK28">
        <v>17.140319431294401</v>
      </c>
      <c r="AL28">
        <v>-26.3057367475398</v>
      </c>
      <c r="AM28">
        <v>9.4928292659665097</v>
      </c>
      <c r="AN28">
        <v>29.781197032619801</v>
      </c>
      <c r="AO28">
        <v>0.9</v>
      </c>
      <c r="AP28">
        <v>1.2902001137213299</v>
      </c>
      <c r="AQ28">
        <v>1.25</v>
      </c>
      <c r="AR28">
        <v>1.2818083135132701</v>
      </c>
      <c r="AS28">
        <v>1.0054861447099199</v>
      </c>
      <c r="AT28">
        <v>0.87203941402375895</v>
      </c>
      <c r="AU28">
        <v>0.83714977302294902</v>
      </c>
      <c r="AV28">
        <v>1</v>
      </c>
      <c r="AW28">
        <v>0.99789757554447001</v>
      </c>
      <c r="AX28">
        <v>1</v>
      </c>
      <c r="AY28">
        <v>1</v>
      </c>
      <c r="AZ28">
        <v>0.94133107959353501</v>
      </c>
      <c r="BA28">
        <v>1</v>
      </c>
      <c r="BB28">
        <v>0.98845301576677902</v>
      </c>
      <c r="BC28">
        <v>15442060776.700001</v>
      </c>
      <c r="BD28">
        <v>7.9387319257646999E-2</v>
      </c>
      <c r="BE28">
        <v>4050</v>
      </c>
    </row>
    <row r="29" spans="1:57" x14ac:dyDescent="0.25">
      <c r="A29">
        <v>28</v>
      </c>
      <c r="B29">
        <v>11</v>
      </c>
      <c r="C29">
        <v>42</v>
      </c>
      <c r="D29">
        <v>0.78698548502293597</v>
      </c>
      <c r="E29">
        <v>0.64317808103281204</v>
      </c>
      <c r="F29">
        <v>9.0455930126038897</v>
      </c>
      <c r="G29">
        <v>7.45087912982489</v>
      </c>
      <c r="H29">
        <v>1.2235887823776599</v>
      </c>
      <c r="I29">
        <v>-0.14380740399012401</v>
      </c>
      <c r="J29">
        <v>4.4186068658907798E-2</v>
      </c>
      <c r="K29">
        <v>1.2672233570464301E-2</v>
      </c>
      <c r="L29">
        <v>5.8387581780033901E-3</v>
      </c>
      <c r="M29">
        <v>0.57795127444690098</v>
      </c>
      <c r="N29">
        <v>2.5297461785359502E-3</v>
      </c>
      <c r="O29">
        <v>0</v>
      </c>
      <c r="P29">
        <v>4.7682298550415396</v>
      </c>
      <c r="Q29">
        <v>95.231770144958503</v>
      </c>
      <c r="R29">
        <v>20.082999124262201</v>
      </c>
      <c r="S29">
        <v>54.697140907728603</v>
      </c>
      <c r="T29">
        <v>25.219859968009199</v>
      </c>
      <c r="U29">
        <v>0</v>
      </c>
      <c r="V29">
        <v>79.917000875737799</v>
      </c>
      <c r="W29">
        <v>0.46586252483325302</v>
      </c>
      <c r="X29">
        <v>-55.883517846022002</v>
      </c>
      <c r="Y29">
        <v>383.53029409085701</v>
      </c>
      <c r="Z29">
        <v>100</v>
      </c>
      <c r="AA29">
        <v>46.209103840439802</v>
      </c>
      <c r="AB29">
        <v>302.064626987113</v>
      </c>
      <c r="AC29">
        <v>300.001603303232</v>
      </c>
      <c r="AD29">
        <v>37.483145684072703</v>
      </c>
      <c r="AE29">
        <v>315.41373115233699</v>
      </c>
      <c r="AF29">
        <v>3.7178087671747901</v>
      </c>
      <c r="AG29">
        <v>781.33010571843499</v>
      </c>
      <c r="AH29">
        <v>1.1240462779825799</v>
      </c>
      <c r="AI29">
        <v>50.317077819866697</v>
      </c>
      <c r="AJ29">
        <v>179.68305886246301</v>
      </c>
      <c r="AK29">
        <v>13.832392673609901</v>
      </c>
      <c r="AL29">
        <v>-31.829490763305401</v>
      </c>
      <c r="AM29">
        <v>9.1321117585529503</v>
      </c>
      <c r="AN29">
        <v>31.495086180531398</v>
      </c>
      <c r="AO29">
        <v>0.9</v>
      </c>
      <c r="AP29">
        <v>1.29019912423403</v>
      </c>
      <c r="AQ29">
        <v>1.25</v>
      </c>
      <c r="AR29">
        <v>1.2526837959700201</v>
      </c>
      <c r="AS29">
        <v>1.0066515778879701</v>
      </c>
      <c r="AT29">
        <v>0.85577610039877805</v>
      </c>
      <c r="AU29">
        <v>0.83727824504924997</v>
      </c>
      <c r="AV29">
        <v>1</v>
      </c>
      <c r="AW29">
        <v>0.98545869344596804</v>
      </c>
      <c r="AX29">
        <v>1</v>
      </c>
      <c r="AY29">
        <v>1</v>
      </c>
      <c r="AZ29">
        <v>0.89610789886154096</v>
      </c>
      <c r="BA29">
        <v>1</v>
      </c>
      <c r="BB29">
        <v>0.99028736107263904</v>
      </c>
      <c r="BC29">
        <v>9720629382.2000008</v>
      </c>
      <c r="BD29">
        <v>7.4201435313546005E-2</v>
      </c>
      <c r="BE29">
        <v>2968</v>
      </c>
    </row>
    <row r="30" spans="1:57" x14ac:dyDescent="0.25">
      <c r="A30">
        <v>29</v>
      </c>
      <c r="B30">
        <v>11</v>
      </c>
      <c r="C30">
        <v>48</v>
      </c>
      <c r="D30">
        <v>0.70954743651064101</v>
      </c>
      <c r="E30">
        <v>0.65469091382086397</v>
      </c>
      <c r="F30">
        <v>8.1900221852588508</v>
      </c>
      <c r="G30">
        <v>7.5794851474093603</v>
      </c>
      <c r="H30">
        <v>1.0837899557359501</v>
      </c>
      <c r="I30">
        <v>-5.4856522689776803E-2</v>
      </c>
      <c r="J30">
        <v>4.9006224036981599E-2</v>
      </c>
      <c r="K30">
        <v>8.4765306197733398E-3</v>
      </c>
      <c r="L30">
        <v>9.0604025402216196E-3</v>
      </c>
      <c r="M30">
        <v>0.58398352866314296</v>
      </c>
      <c r="N30">
        <v>4.1642279607445503E-3</v>
      </c>
      <c r="O30">
        <v>0</v>
      </c>
      <c r="P30">
        <v>5.71411928184971</v>
      </c>
      <c r="Q30">
        <v>94.285880718150295</v>
      </c>
      <c r="R30">
        <v>27.6309156480086</v>
      </c>
      <c r="S30">
        <v>51.779275040328699</v>
      </c>
      <c r="T30">
        <v>20.589809311662702</v>
      </c>
      <c r="U30">
        <v>0</v>
      </c>
      <c r="V30">
        <v>72.369084351991404</v>
      </c>
      <c r="W30">
        <v>0.26768949551215498</v>
      </c>
      <c r="X30">
        <v>-45.954728454621197</v>
      </c>
      <c r="Y30">
        <v>136.409443022201</v>
      </c>
      <c r="Z30">
        <v>100</v>
      </c>
      <c r="AA30">
        <v>41.928020892075999</v>
      </c>
      <c r="AB30">
        <v>290.70011881467701</v>
      </c>
      <c r="AC30">
        <v>288.76735440959902</v>
      </c>
      <c r="AD30">
        <v>47.218309387307599</v>
      </c>
      <c r="AE30">
        <v>304.65228573591997</v>
      </c>
      <c r="AF30">
        <v>3.5108017885405798</v>
      </c>
      <c r="AG30">
        <v>782.73386762345103</v>
      </c>
      <c r="AH30">
        <v>3.7593594663292098</v>
      </c>
      <c r="AI30">
        <v>54.650359770335101</v>
      </c>
      <c r="AJ30">
        <v>169.379860790641</v>
      </c>
      <c r="AK30">
        <v>25.824099930311199</v>
      </c>
      <c r="AL30">
        <v>-22.778883850263199</v>
      </c>
      <c r="AM30">
        <v>9.0568520975881395</v>
      </c>
      <c r="AN30">
        <v>40.7839378206764</v>
      </c>
      <c r="AO30">
        <v>0.9</v>
      </c>
      <c r="AP30">
        <v>1.2901998629742399</v>
      </c>
      <c r="AQ30">
        <v>1.25</v>
      </c>
      <c r="AR30">
        <v>1.2796504872611401</v>
      </c>
      <c r="AS30">
        <v>1.00725854559473</v>
      </c>
      <c r="AT30">
        <v>0.86839600319443899</v>
      </c>
      <c r="AU30">
        <v>0.83446189730980502</v>
      </c>
      <c r="AV30">
        <v>1</v>
      </c>
      <c r="AW30">
        <v>1.00470463759077</v>
      </c>
      <c r="AX30">
        <v>1</v>
      </c>
      <c r="AY30">
        <v>1</v>
      </c>
      <c r="AZ30">
        <v>0.905920190342411</v>
      </c>
      <c r="BA30">
        <v>1</v>
      </c>
      <c r="BB30">
        <v>0.999798538539588</v>
      </c>
      <c r="BC30">
        <v>24287688384.599998</v>
      </c>
      <c r="BD30">
        <v>8.7300357793309594E-2</v>
      </c>
      <c r="BE30">
        <v>4331</v>
      </c>
    </row>
    <row r="31" spans="1:57" x14ac:dyDescent="0.25">
      <c r="A31">
        <v>30</v>
      </c>
      <c r="B31">
        <v>11</v>
      </c>
      <c r="C31">
        <v>54</v>
      </c>
      <c r="D31">
        <v>0.67235511326646402</v>
      </c>
      <c r="E31">
        <v>0.67624709022126195</v>
      </c>
      <c r="F31">
        <v>7.7764875655165797</v>
      </c>
      <c r="G31">
        <v>7.8198415916425796</v>
      </c>
      <c r="H31">
        <v>0.99424474129193796</v>
      </c>
      <c r="I31">
        <v>3.8919769547978199E-3</v>
      </c>
      <c r="J31">
        <v>5.1724532961329499E-2</v>
      </c>
      <c r="K31">
        <v>7.5517530711030302E-3</v>
      </c>
      <c r="L31">
        <v>6.7401205145557396E-3</v>
      </c>
      <c r="M31">
        <v>0.60728500266775598</v>
      </c>
      <c r="N31">
        <v>2.9456810065168599E-3</v>
      </c>
      <c r="O31">
        <v>0</v>
      </c>
      <c r="P31">
        <v>5.2967854899450701</v>
      </c>
      <c r="Q31">
        <v>94.703214510054906</v>
      </c>
      <c r="R31">
        <v>20.310269013949899</v>
      </c>
      <c r="S31">
        <v>58.510163576036902</v>
      </c>
      <c r="T31">
        <v>21.1795674100131</v>
      </c>
      <c r="U31">
        <v>0</v>
      </c>
      <c r="V31">
        <v>79.689730986050094</v>
      </c>
      <c r="W31">
        <v>0.225018880921596</v>
      </c>
      <c r="X31">
        <v>-48.570595269033703</v>
      </c>
      <c r="Y31">
        <v>115.090472076967</v>
      </c>
      <c r="Z31">
        <v>100</v>
      </c>
      <c r="AA31">
        <v>38.352193960667996</v>
      </c>
      <c r="AB31">
        <v>289.426801909419</v>
      </c>
      <c r="AC31">
        <v>287.556021753881</v>
      </c>
      <c r="AD31">
        <v>52.383396615633501</v>
      </c>
      <c r="AE31">
        <v>298.51666164880902</v>
      </c>
      <c r="AF31">
        <v>3.4339385202199102</v>
      </c>
      <c r="AG31">
        <v>783.446544832673</v>
      </c>
      <c r="AH31">
        <v>2.8130344586428899</v>
      </c>
      <c r="AI31">
        <v>61.852498710774199</v>
      </c>
      <c r="AJ31">
        <v>170.351487023191</v>
      </c>
      <c r="AK31">
        <v>27.5090168832849</v>
      </c>
      <c r="AL31">
        <v>-22.744597895812699</v>
      </c>
      <c r="AM31">
        <v>9.7287096134980899</v>
      </c>
      <c r="AN31">
        <v>50.1596851367661</v>
      </c>
      <c r="AO31">
        <v>0.9</v>
      </c>
      <c r="AP31">
        <v>1.2902007711477099</v>
      </c>
      <c r="AQ31">
        <v>1.25</v>
      </c>
      <c r="AR31">
        <v>1.27257129669807</v>
      </c>
      <c r="AS31">
        <v>1.00746498923032</v>
      </c>
      <c r="AT31">
        <v>0.86989939556801699</v>
      </c>
      <c r="AU31">
        <v>0.83308615430101596</v>
      </c>
      <c r="AV31">
        <v>1</v>
      </c>
      <c r="AW31">
        <v>1.0043011679861</v>
      </c>
      <c r="AX31">
        <v>1</v>
      </c>
      <c r="AY31">
        <v>1</v>
      </c>
      <c r="AZ31">
        <v>0.89640334971813496</v>
      </c>
      <c r="BA31">
        <v>1</v>
      </c>
      <c r="BB31">
        <v>1.00288716696133</v>
      </c>
      <c r="BC31">
        <v>59253521832.400002</v>
      </c>
      <c r="BD31">
        <v>7.6114609701440003E-2</v>
      </c>
      <c r="BE31">
        <v>9118</v>
      </c>
    </row>
    <row r="32" spans="1:57" x14ac:dyDescent="0.25">
      <c r="A32">
        <v>31</v>
      </c>
      <c r="B32">
        <v>11</v>
      </c>
      <c r="C32">
        <v>60</v>
      </c>
      <c r="D32">
        <v>0.664369608138486</v>
      </c>
      <c r="E32">
        <v>0.62812469150215999</v>
      </c>
      <c r="F32">
        <v>7.6874758434898398</v>
      </c>
      <c r="G32">
        <v>7.2824752550174203</v>
      </c>
      <c r="H32">
        <v>1.05770337820926</v>
      </c>
      <c r="I32">
        <v>-3.62449166363265E-2</v>
      </c>
      <c r="J32">
        <v>5.60393677125679E-2</v>
      </c>
      <c r="K32">
        <v>1.1025730994182E-2</v>
      </c>
      <c r="L32">
        <v>1.0150252078820501E-2</v>
      </c>
      <c r="M32">
        <v>0.54639566810432905</v>
      </c>
      <c r="N32">
        <v>4.5136726122603698E-3</v>
      </c>
      <c r="O32">
        <v>0</v>
      </c>
      <c r="P32">
        <v>4.7140450153652997</v>
      </c>
      <c r="Q32">
        <v>95.285954984634699</v>
      </c>
      <c r="R32">
        <v>20.1766366850159</v>
      </c>
      <c r="S32">
        <v>60.714009407795601</v>
      </c>
      <c r="T32">
        <v>19.1093539071884</v>
      </c>
      <c r="U32">
        <v>0</v>
      </c>
      <c r="V32">
        <v>79.823363314984107</v>
      </c>
      <c r="W32">
        <v>0.31579218292504702</v>
      </c>
      <c r="X32">
        <v>-49.537353919366801</v>
      </c>
      <c r="Y32">
        <v>260.95924285660402</v>
      </c>
      <c r="Z32">
        <v>100</v>
      </c>
      <c r="AA32">
        <v>34.744157648616003</v>
      </c>
      <c r="AB32">
        <v>284.18343134616998</v>
      </c>
      <c r="AC32">
        <v>282.34785280719802</v>
      </c>
      <c r="AD32">
        <v>60.881110304450402</v>
      </c>
      <c r="AE32">
        <v>288.87617601645098</v>
      </c>
      <c r="AF32">
        <v>3.50904582911358</v>
      </c>
      <c r="AG32">
        <v>784.33837451070997</v>
      </c>
      <c r="AH32">
        <v>3.9138846347241798</v>
      </c>
      <c r="AI32">
        <v>59.859470602133698</v>
      </c>
      <c r="AJ32">
        <v>177.16525379593199</v>
      </c>
      <c r="AK32">
        <v>24.138753319558401</v>
      </c>
      <c r="AL32">
        <v>-22.036874970113502</v>
      </c>
      <c r="AM32">
        <v>9.5831936590773594</v>
      </c>
      <c r="AN32">
        <v>59.488197317065001</v>
      </c>
      <c r="AO32">
        <v>0.9</v>
      </c>
      <c r="AP32">
        <v>1.29020065564956</v>
      </c>
      <c r="AQ32">
        <v>1.25</v>
      </c>
      <c r="AR32">
        <v>1.2559155771885999</v>
      </c>
      <c r="AS32">
        <v>1.0075915231328101</v>
      </c>
      <c r="AT32">
        <v>0.87573183663582399</v>
      </c>
      <c r="AU32">
        <v>0.831302601083448</v>
      </c>
      <c r="AV32">
        <v>1</v>
      </c>
      <c r="AW32">
        <v>1.0054732886020901</v>
      </c>
      <c r="AX32">
        <v>1</v>
      </c>
      <c r="AY32">
        <v>1</v>
      </c>
      <c r="AZ32">
        <v>0.89622962769052095</v>
      </c>
      <c r="BA32">
        <v>1</v>
      </c>
      <c r="BB32">
        <v>0.99694246696226896</v>
      </c>
      <c r="BC32">
        <v>170112289546.70001</v>
      </c>
      <c r="BD32">
        <v>7.3496056029445395E-2</v>
      </c>
      <c r="BE32">
        <v>28099</v>
      </c>
    </row>
    <row r="39" spans="1:4" x14ac:dyDescent="0.25">
      <c r="A39" s="2" t="s">
        <v>58</v>
      </c>
      <c r="B39" s="2" t="s">
        <v>57</v>
      </c>
    </row>
    <row r="40" spans="1:4" x14ac:dyDescent="0.25">
      <c r="A40" s="2" t="s">
        <v>56</v>
      </c>
      <c r="B40">
        <v>5</v>
      </c>
      <c r="C40">
        <v>8</v>
      </c>
      <c r="D40">
        <v>11</v>
      </c>
    </row>
    <row r="41" spans="1:4" x14ac:dyDescent="0.25">
      <c r="A41" s="3">
        <v>0</v>
      </c>
      <c r="B41" s="5">
        <v>1.7416622014049801</v>
      </c>
      <c r="C41" s="5"/>
      <c r="D41" s="5"/>
    </row>
    <row r="42" spans="1:4" x14ac:dyDescent="0.25">
      <c r="A42" s="3">
        <v>6</v>
      </c>
      <c r="B42" s="5">
        <v>3.8313606107196798</v>
      </c>
      <c r="C42" s="5">
        <v>4.3757776813718499</v>
      </c>
      <c r="D42" s="5">
        <v>4.5191185484484597</v>
      </c>
    </row>
    <row r="43" spans="1:4" x14ac:dyDescent="0.25">
      <c r="A43" s="3">
        <v>12</v>
      </c>
      <c r="B43" s="5">
        <v>3.9348351873154002</v>
      </c>
      <c r="C43" s="5">
        <v>5.0766433117425898</v>
      </c>
      <c r="D43" s="5">
        <v>5.8116469613769004</v>
      </c>
    </row>
    <row r="44" spans="1:4" x14ac:dyDescent="0.25">
      <c r="A44" s="3">
        <v>18</v>
      </c>
      <c r="B44" s="5">
        <v>4.0908256694951497</v>
      </c>
      <c r="C44" s="5">
        <v>5.2572186940472099</v>
      </c>
      <c r="D44" s="5">
        <v>6.4355925666445701</v>
      </c>
    </row>
    <row r="45" spans="1:4" x14ac:dyDescent="0.25">
      <c r="A45" s="3">
        <v>24</v>
      </c>
      <c r="B45" s="5">
        <v>5.93847013732859</v>
      </c>
      <c r="C45" s="5">
        <v>6.9178851542137298</v>
      </c>
      <c r="D45" s="5">
        <v>7.9602772890568403</v>
      </c>
    </row>
    <row r="46" spans="1:4" x14ac:dyDescent="0.25">
      <c r="A46" s="3">
        <v>30</v>
      </c>
      <c r="B46" s="5">
        <v>6.8177090648355803</v>
      </c>
      <c r="C46" s="5">
        <v>8.0799665027623497</v>
      </c>
      <c r="D46" s="5">
        <v>9.3569980531572892</v>
      </c>
    </row>
    <row r="47" spans="1:4" x14ac:dyDescent="0.25">
      <c r="A47" s="3">
        <v>36</v>
      </c>
      <c r="B47" s="5">
        <v>6.8161728139184401</v>
      </c>
      <c r="C47" s="5">
        <v>8.30772595070394</v>
      </c>
      <c r="D47" s="5">
        <v>9.7863693562689296</v>
      </c>
    </row>
    <row r="48" spans="1:4" x14ac:dyDescent="0.25">
      <c r="A48" s="3">
        <v>42</v>
      </c>
      <c r="B48" s="5">
        <v>5.71280479083772</v>
      </c>
      <c r="C48" s="5">
        <v>9.2621572957999891</v>
      </c>
      <c r="D48" s="5">
        <v>9.0455930126038897</v>
      </c>
    </row>
    <row r="49" spans="1:4" x14ac:dyDescent="0.25">
      <c r="A49" s="3">
        <v>48</v>
      </c>
      <c r="B49" s="5">
        <v>7.3364734832865199</v>
      </c>
      <c r="C49" s="5">
        <v>8.9602258880510206</v>
      </c>
      <c r="D49" s="5">
        <v>8.1900221852588508</v>
      </c>
    </row>
    <row r="50" spans="1:4" x14ac:dyDescent="0.25">
      <c r="A50" s="3">
        <v>54</v>
      </c>
      <c r="B50" s="5">
        <v>7.7053488947320297</v>
      </c>
      <c r="C50" s="5">
        <v>8.6643017031701195</v>
      </c>
      <c r="D50" s="5">
        <v>7.7764875655165797</v>
      </c>
    </row>
    <row r="51" spans="1:4" x14ac:dyDescent="0.25">
      <c r="A51" s="3">
        <v>60</v>
      </c>
      <c r="B51" s="5">
        <v>7.2573543989157701</v>
      </c>
      <c r="C51" s="5">
        <v>8.1073921558542104</v>
      </c>
      <c r="D51" s="5">
        <v>7.6874758434898398</v>
      </c>
    </row>
    <row r="56" spans="1:4" x14ac:dyDescent="0.25">
      <c r="A56" s="4"/>
      <c r="B56" s="4">
        <v>5</v>
      </c>
      <c r="C56" s="4">
        <v>8</v>
      </c>
      <c r="D56" s="4">
        <v>11</v>
      </c>
    </row>
    <row r="57" spans="1:4" x14ac:dyDescent="0.25">
      <c r="A57" s="3">
        <v>6</v>
      </c>
      <c r="B57" s="5">
        <v>3.8313606107196798</v>
      </c>
      <c r="C57" s="5">
        <v>4.3757776813718499</v>
      </c>
      <c r="D57" s="5">
        <v>4.5191185484484597</v>
      </c>
    </row>
    <row r="58" spans="1:4" x14ac:dyDescent="0.25">
      <c r="A58" s="3">
        <v>12</v>
      </c>
      <c r="B58" s="5">
        <v>3.9348351873154002</v>
      </c>
      <c r="C58" s="5">
        <v>5.0766433117425898</v>
      </c>
      <c r="D58" s="5">
        <v>5.8116469613769004</v>
      </c>
    </row>
    <row r="59" spans="1:4" x14ac:dyDescent="0.25">
      <c r="A59" s="3">
        <v>18</v>
      </c>
      <c r="B59" s="5">
        <v>4.0908256694951497</v>
      </c>
      <c r="C59" s="5">
        <v>5.2572186940472099</v>
      </c>
      <c r="D59" s="5">
        <v>6.4355925666445701</v>
      </c>
    </row>
    <row r="60" spans="1:4" x14ac:dyDescent="0.25">
      <c r="A60" s="3">
        <v>24</v>
      </c>
      <c r="B60" s="5">
        <v>5.93847013732859</v>
      </c>
      <c r="C60" s="5">
        <v>6.9178851542137298</v>
      </c>
      <c r="D60" s="5">
        <v>7.9602772890568403</v>
      </c>
    </row>
    <row r="61" spans="1:4" x14ac:dyDescent="0.25">
      <c r="A61" s="3">
        <v>30</v>
      </c>
      <c r="B61" s="5">
        <v>6.8177090648355803</v>
      </c>
      <c r="C61" s="5">
        <v>8.0799665027623497</v>
      </c>
      <c r="D61" s="5">
        <v>9.3569980531572892</v>
      </c>
    </row>
    <row r="62" spans="1:4" x14ac:dyDescent="0.25">
      <c r="A62" s="3">
        <v>36</v>
      </c>
      <c r="B62" s="5">
        <v>6.8161728139184401</v>
      </c>
      <c r="C62" s="5">
        <v>8.30772595070394</v>
      </c>
      <c r="D62" s="5">
        <v>9.7863693562689296</v>
      </c>
    </row>
    <row r="65" spans="1:4" x14ac:dyDescent="0.25">
      <c r="A65" s="4"/>
      <c r="B65" s="4">
        <v>5</v>
      </c>
      <c r="C65" s="4">
        <v>8</v>
      </c>
      <c r="D65" s="4">
        <v>11</v>
      </c>
    </row>
    <row r="66" spans="1:4" x14ac:dyDescent="0.25">
      <c r="A66" s="3">
        <f>A57</f>
        <v>6</v>
      </c>
      <c r="B66" s="5">
        <f>(B57-MIN(B$57:B$61))/(MAX(B$57:B$61)-MIN(B$57:B$61))</f>
        <v>0</v>
      </c>
      <c r="C66" s="5">
        <f t="shared" ref="C66:D66" si="0">(C57-MIN(C$57:C$61))/(MAX(C$57:C$61)-MIN(C$57:C$61))</f>
        <v>0</v>
      </c>
      <c r="D66" s="5">
        <f t="shared" si="0"/>
        <v>0</v>
      </c>
    </row>
    <row r="67" spans="1:4" x14ac:dyDescent="0.25">
      <c r="A67" s="3">
        <f t="shared" ref="A67:A71" si="1">A58</f>
        <v>12</v>
      </c>
      <c r="B67" s="5">
        <f t="shared" ref="B67:D67" si="2">(B58-MIN(B$57:B$61))/(MAX(B$57:B$61)-MIN(B$57:B$61))</f>
        <v>3.464919723386857E-2</v>
      </c>
      <c r="C67" s="5">
        <f t="shared" si="2"/>
        <v>0.18920893727756699</v>
      </c>
      <c r="D67" s="5">
        <f t="shared" si="2"/>
        <v>0.26716837649023512</v>
      </c>
    </row>
    <row r="68" spans="1:4" x14ac:dyDescent="0.25">
      <c r="A68" s="3">
        <f t="shared" si="1"/>
        <v>18</v>
      </c>
      <c r="B68" s="5">
        <f t="shared" ref="B68:D68" si="3">(B59-MIN(B$57:B$61))/(MAX(B$57:B$61)-MIN(B$57:B$61))</f>
        <v>8.6883718615577213E-2</v>
      </c>
      <c r="C68" s="5">
        <f t="shared" si="3"/>
        <v>0.23795790527343572</v>
      </c>
      <c r="D68" s="5">
        <f t="shared" si="3"/>
        <v>0.39613926232159319</v>
      </c>
    </row>
    <row r="69" spans="1:4" x14ac:dyDescent="0.25">
      <c r="A69" s="3">
        <f t="shared" si="1"/>
        <v>24</v>
      </c>
      <c r="B69" s="5">
        <f t="shared" ref="B69:D69" si="4">(B60-MIN(B$57:B$61))/(MAX(B$57:B$61)-MIN(B$57:B$61))</f>
        <v>0.7055805975035534</v>
      </c>
      <c r="C69" s="5">
        <f t="shared" si="4"/>
        <v>0.68627912760872944</v>
      </c>
      <c r="D69" s="5">
        <f t="shared" si="4"/>
        <v>0.71129484255633368</v>
      </c>
    </row>
    <row r="70" spans="1:4" x14ac:dyDescent="0.25">
      <c r="A70" s="3">
        <f t="shared" si="1"/>
        <v>30</v>
      </c>
      <c r="B70" s="5">
        <f t="shared" ref="B70:D70" si="5">(B61-MIN(B$57:B$61))/(MAX(B$57:B$61)-MIN(B$57:B$61))</f>
        <v>1</v>
      </c>
      <c r="C70" s="5">
        <f t="shared" si="5"/>
        <v>1</v>
      </c>
      <c r="D70" s="5">
        <f t="shared" si="5"/>
        <v>1</v>
      </c>
    </row>
    <row r="71" spans="1:4" x14ac:dyDescent="0.25">
      <c r="A71" s="3">
        <f t="shared" si="1"/>
        <v>36</v>
      </c>
      <c r="B71" s="5">
        <f t="shared" ref="B71:D71" si="6">(B62-MIN(B$57:B$61))/(MAX(B$57:B$61)-MIN(B$57:B$61))</f>
        <v>0.99948557546423533</v>
      </c>
      <c r="C71" s="5">
        <f t="shared" si="6"/>
        <v>1.0614869972681611</v>
      </c>
      <c r="D71" s="5">
        <f t="shared" si="6"/>
        <v>1.088751963064339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7"/>
  <sheetViews>
    <sheetView workbookViewId="0">
      <selection activeCell="AA46" sqref="AA46"/>
    </sheetView>
  </sheetViews>
  <sheetFormatPr defaultRowHeight="15" x14ac:dyDescent="0.25"/>
  <cols>
    <col min="5" max="5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5</v>
      </c>
      <c r="C2">
        <v>0</v>
      </c>
      <c r="D2">
        <v>0.14631016008153699</v>
      </c>
      <c r="E2">
        <v>4.9958195501716901E-2</v>
      </c>
      <c r="F2">
        <v>1.7416622014049801</v>
      </c>
      <c r="G2">
        <v>0.59785384399118102</v>
      </c>
      <c r="H2">
        <v>2.9286518180287202</v>
      </c>
      <c r="I2">
        <v>-9.6351964579820398E-2</v>
      </c>
      <c r="J2">
        <v>1.6776748762575601E-3</v>
      </c>
      <c r="K2">
        <v>2.21858582410819E-4</v>
      </c>
      <c r="L2">
        <v>0</v>
      </c>
      <c r="M2">
        <v>4.8058661951342299E-2</v>
      </c>
      <c r="N2" s="1">
        <v>9.1706228265191099E-11</v>
      </c>
      <c r="O2">
        <v>0</v>
      </c>
      <c r="P2">
        <v>9.4685993283203604</v>
      </c>
      <c r="Q2">
        <v>90.531400671679606</v>
      </c>
      <c r="R2">
        <v>76.425354178884604</v>
      </c>
      <c r="S2">
        <v>15.7541105696753</v>
      </c>
      <c r="T2">
        <v>7.8205352514401101</v>
      </c>
      <c r="U2">
        <v>0</v>
      </c>
      <c r="V2">
        <v>23.5746458211154</v>
      </c>
      <c r="W2">
        <v>1.01823953968234E-3</v>
      </c>
      <c r="X2">
        <v>-37.310377286145702</v>
      </c>
      <c r="Y2">
        <v>0</v>
      </c>
      <c r="Z2">
        <v>100</v>
      </c>
      <c r="AA2">
        <v>74.346910655795298</v>
      </c>
      <c r="AB2">
        <v>310.359969792112</v>
      </c>
      <c r="AC2">
        <v>308.53903543257502</v>
      </c>
      <c r="AD2">
        <v>-1.39281942259051E-2</v>
      </c>
      <c r="AE2">
        <v>359.36565315297798</v>
      </c>
      <c r="AF2">
        <v>3.80632444799285</v>
      </c>
      <c r="AG2">
        <v>778.03438245739596</v>
      </c>
      <c r="AH2">
        <v>1.0574862625319299</v>
      </c>
      <c r="AI2">
        <v>45.011504834123102</v>
      </c>
      <c r="AJ2">
        <v>176.58300568760501</v>
      </c>
      <c r="AK2">
        <v>23.0757201497421</v>
      </c>
      <c r="AL2">
        <v>-60.120924640581698</v>
      </c>
      <c r="AM2">
        <v>-9.8736139745250806E-2</v>
      </c>
      <c r="AN2">
        <v>-1.82325178334499E-2</v>
      </c>
      <c r="AO2">
        <v>0.9</v>
      </c>
      <c r="AP2">
        <v>0.89337</v>
      </c>
      <c r="AQ2">
        <v>0.15921073566053201</v>
      </c>
      <c r="AR2">
        <v>1.2845345602848901</v>
      </c>
      <c r="AS2">
        <v>0.99076915584843805</v>
      </c>
      <c r="AT2">
        <v>0.84600735350347001</v>
      </c>
      <c r="AU2">
        <v>0.84330885602589301</v>
      </c>
      <c r="AV2">
        <v>1</v>
      </c>
      <c r="AW2">
        <v>0.94188913980710998</v>
      </c>
      <c r="AX2">
        <v>1</v>
      </c>
      <c r="AY2">
        <v>1</v>
      </c>
      <c r="AZ2">
        <v>0.96935296043255004</v>
      </c>
      <c r="BA2">
        <v>1</v>
      </c>
      <c r="BB2">
        <v>0.97708382379292003</v>
      </c>
      <c r="BC2">
        <v>790225913.10000002</v>
      </c>
      <c r="BD2">
        <v>1.5308368686812401E-3</v>
      </c>
      <c r="BE2">
        <v>718</v>
      </c>
    </row>
    <row r="3" spans="1:57" x14ac:dyDescent="0.25">
      <c r="A3">
        <v>2</v>
      </c>
      <c r="B3">
        <v>5</v>
      </c>
      <c r="C3">
        <v>6</v>
      </c>
      <c r="D3">
        <v>0.32502793134269897</v>
      </c>
      <c r="E3">
        <v>0.15551926452335099</v>
      </c>
      <c r="F3">
        <v>3.8313606107196798</v>
      </c>
      <c r="G3">
        <v>1.8503507173393701</v>
      </c>
      <c r="H3">
        <v>2.0899528578589499</v>
      </c>
      <c r="I3">
        <v>-0.16950866681934801</v>
      </c>
      <c r="J3">
        <v>3.00020772889504E-2</v>
      </c>
      <c r="K3">
        <v>1.8827369110717999E-3</v>
      </c>
      <c r="L3">
        <v>0</v>
      </c>
      <c r="M3">
        <v>0.122177510219839</v>
      </c>
      <c r="N3">
        <v>1.45694010348962E-3</v>
      </c>
      <c r="O3">
        <v>0</v>
      </c>
      <c r="P3">
        <v>7.4453889225393501</v>
      </c>
      <c r="Q3">
        <v>92.554611077460606</v>
      </c>
      <c r="R3">
        <v>52.402510699762999</v>
      </c>
      <c r="S3">
        <v>27.822903508080302</v>
      </c>
      <c r="T3">
        <v>19.7745857921566</v>
      </c>
      <c r="U3">
        <v>0</v>
      </c>
      <c r="V3">
        <v>47.597489300237001</v>
      </c>
      <c r="W3">
        <v>0.20356298578009099</v>
      </c>
      <c r="X3">
        <v>-48.748625591408398</v>
      </c>
      <c r="Y3">
        <v>6.9476931225970704</v>
      </c>
      <c r="Z3">
        <v>100</v>
      </c>
      <c r="AA3">
        <v>71.266518721396295</v>
      </c>
      <c r="AB3">
        <v>295.79210755177201</v>
      </c>
      <c r="AC3">
        <v>293.64966748242398</v>
      </c>
      <c r="AD3">
        <v>3.7101239519005502</v>
      </c>
      <c r="AE3">
        <v>354.184424311481</v>
      </c>
      <c r="AF3">
        <v>3.62724928171296</v>
      </c>
      <c r="AG3">
        <v>779.45157176402995</v>
      </c>
      <c r="AH3">
        <v>5.1870430927409599</v>
      </c>
      <c r="AI3">
        <v>46.5933205761119</v>
      </c>
      <c r="AJ3">
        <v>172.246299186523</v>
      </c>
      <c r="AK3">
        <v>24.3556547012513</v>
      </c>
      <c r="AL3">
        <v>-28.455368023433302</v>
      </c>
      <c r="AM3">
        <v>1.8289280914055099</v>
      </c>
      <c r="AN3">
        <v>0.61731221581515505</v>
      </c>
      <c r="AO3">
        <v>0.9</v>
      </c>
      <c r="AP3">
        <v>1.0207702348429599</v>
      </c>
      <c r="AQ3">
        <v>0.35956435872974701</v>
      </c>
      <c r="AR3">
        <v>1.2710899634050501</v>
      </c>
      <c r="AS3">
        <v>0.99226949237591</v>
      </c>
      <c r="AT3">
        <v>0.86183967891380098</v>
      </c>
      <c r="AU3">
        <v>0.84090500047031402</v>
      </c>
      <c r="AV3">
        <v>1</v>
      </c>
      <c r="AW3">
        <v>0.99415804532971597</v>
      </c>
      <c r="AX3">
        <v>1</v>
      </c>
      <c r="AY3">
        <v>1</v>
      </c>
      <c r="AZ3">
        <v>0.93812326390969203</v>
      </c>
      <c r="BA3">
        <v>1</v>
      </c>
      <c r="BB3">
        <v>0.98745558536758404</v>
      </c>
      <c r="BC3">
        <v>22663762221.900002</v>
      </c>
      <c r="BD3">
        <v>3.56256478104428E-2</v>
      </c>
      <c r="BE3">
        <v>7300</v>
      </c>
    </row>
    <row r="4" spans="1:57" x14ac:dyDescent="0.25">
      <c r="A4">
        <v>3</v>
      </c>
      <c r="B4">
        <v>5</v>
      </c>
      <c r="C4">
        <v>12</v>
      </c>
      <c r="D4">
        <v>0.33396961561571897</v>
      </c>
      <c r="E4">
        <v>0.346086120838699</v>
      </c>
      <c r="F4">
        <v>3.9348351873154002</v>
      </c>
      <c r="G4">
        <v>4.0748864486820997</v>
      </c>
      <c r="H4">
        <v>0.96498991293376002</v>
      </c>
      <c r="I4">
        <v>1.2116505222980301E-2</v>
      </c>
      <c r="J4">
        <v>3.5362423432420499E-2</v>
      </c>
      <c r="K4">
        <v>2.8613862334368602E-3</v>
      </c>
      <c r="L4">
        <v>0</v>
      </c>
      <c r="M4">
        <v>0.30392551604157397</v>
      </c>
      <c r="N4">
        <v>3.9367951312676503E-3</v>
      </c>
      <c r="O4">
        <v>0</v>
      </c>
      <c r="P4">
        <v>5.5374128488507903</v>
      </c>
      <c r="Q4">
        <v>94.462587151149194</v>
      </c>
      <c r="R4">
        <v>60.6075919808873</v>
      </c>
      <c r="S4">
        <v>25.129823961856001</v>
      </c>
      <c r="T4">
        <v>14.262584057256699</v>
      </c>
      <c r="U4">
        <v>0</v>
      </c>
      <c r="V4">
        <v>39.3924080191127</v>
      </c>
      <c r="W4">
        <v>0.21004556808378499</v>
      </c>
      <c r="X4">
        <v>-45.7543877028765</v>
      </c>
      <c r="Y4">
        <v>56.746925125838601</v>
      </c>
      <c r="Z4">
        <v>100</v>
      </c>
      <c r="AA4">
        <v>70.710626524950399</v>
      </c>
      <c r="AB4">
        <v>295.06801785968997</v>
      </c>
      <c r="AC4">
        <v>292.82995249351899</v>
      </c>
      <c r="AD4">
        <v>8.4193124336009593</v>
      </c>
      <c r="AE4">
        <v>348.55755516986602</v>
      </c>
      <c r="AF4">
        <v>3.6557576593896202</v>
      </c>
      <c r="AG4">
        <v>780.10124165868103</v>
      </c>
      <c r="AH4">
        <v>4.5062657305289404</v>
      </c>
      <c r="AI4">
        <v>48.747642859278102</v>
      </c>
      <c r="AJ4">
        <v>172.35743040111601</v>
      </c>
      <c r="AK4">
        <v>23.410723329479701</v>
      </c>
      <c r="AL4">
        <v>-25.756890213067301</v>
      </c>
      <c r="AM4">
        <v>2.9406768558358598</v>
      </c>
      <c r="AN4">
        <v>2.1361364989786802</v>
      </c>
      <c r="AO4">
        <v>0.9</v>
      </c>
      <c r="AP4">
        <v>1.1441075106827701</v>
      </c>
      <c r="AQ4">
        <v>0.70910000625120395</v>
      </c>
      <c r="AR4">
        <v>1.2765429633030201</v>
      </c>
      <c r="AS4">
        <v>0.99239789397148204</v>
      </c>
      <c r="AT4">
        <v>0.86292541660546296</v>
      </c>
      <c r="AU4">
        <v>0.83967606756336099</v>
      </c>
      <c r="AV4">
        <v>1</v>
      </c>
      <c r="AW4">
        <v>0.99850432319004601</v>
      </c>
      <c r="AX4">
        <v>1</v>
      </c>
      <c r="AY4">
        <v>1</v>
      </c>
      <c r="AZ4">
        <v>0.94878986957515299</v>
      </c>
      <c r="BA4">
        <v>1</v>
      </c>
      <c r="BB4">
        <v>0.98572727618336198</v>
      </c>
      <c r="BC4">
        <v>52606559084.800003</v>
      </c>
      <c r="BD4">
        <v>5.2092700877513401E-2</v>
      </c>
      <c r="BE4">
        <v>10189</v>
      </c>
    </row>
    <row r="5" spans="1:57" x14ac:dyDescent="0.25">
      <c r="A5">
        <v>4</v>
      </c>
      <c r="B5">
        <v>5</v>
      </c>
      <c r="C5">
        <v>18</v>
      </c>
      <c r="D5">
        <v>0.347466126781384</v>
      </c>
      <c r="E5">
        <v>0.50764409536866995</v>
      </c>
      <c r="F5">
        <v>4.0908256694951497</v>
      </c>
      <c r="G5">
        <v>5.9244909340837797</v>
      </c>
      <c r="H5">
        <v>0.68446797658316405</v>
      </c>
      <c r="I5">
        <v>0.160177968587285</v>
      </c>
      <c r="J5">
        <v>3.5989504027499897E-2</v>
      </c>
      <c r="K5">
        <v>8.7862283757581296E-3</v>
      </c>
      <c r="L5">
        <v>0</v>
      </c>
      <c r="M5">
        <v>0.457294717678773</v>
      </c>
      <c r="N5">
        <v>5.5736452866383002E-3</v>
      </c>
      <c r="O5">
        <v>0</v>
      </c>
      <c r="P5">
        <v>5.2312579395723198</v>
      </c>
      <c r="Q5">
        <v>94.768742060427698</v>
      </c>
      <c r="R5">
        <v>51.960399161580398</v>
      </c>
      <c r="S5">
        <v>31.7797810564049</v>
      </c>
      <c r="T5">
        <v>16.259819782014699</v>
      </c>
      <c r="U5">
        <v>0</v>
      </c>
      <c r="V5">
        <v>48.039600838419602</v>
      </c>
      <c r="W5">
        <v>0.50593855532920196</v>
      </c>
      <c r="X5">
        <v>-47.291206567269697</v>
      </c>
      <c r="Y5">
        <v>34.332722771963802</v>
      </c>
      <c r="Z5">
        <v>100</v>
      </c>
      <c r="AA5">
        <v>67.150565523565206</v>
      </c>
      <c r="AB5">
        <v>295.419205518024</v>
      </c>
      <c r="AC5">
        <v>293.18415883993998</v>
      </c>
      <c r="AD5">
        <v>15.2094183381463</v>
      </c>
      <c r="AE5">
        <v>340.62211666428402</v>
      </c>
      <c r="AF5">
        <v>3.50977214894895</v>
      </c>
      <c r="AG5">
        <v>780.28438102462701</v>
      </c>
      <c r="AH5">
        <v>5.43975172227454</v>
      </c>
      <c r="AI5">
        <v>47.280510601295603</v>
      </c>
      <c r="AJ5">
        <v>176.957663182711</v>
      </c>
      <c r="AK5">
        <v>26.397505563776701</v>
      </c>
      <c r="AL5">
        <v>-26.589291445931799</v>
      </c>
      <c r="AM5">
        <v>3.7381053931385102</v>
      </c>
      <c r="AN5">
        <v>4.7732578186043497</v>
      </c>
      <c r="AO5">
        <v>0.9</v>
      </c>
      <c r="AP5">
        <v>1.2250648005606199</v>
      </c>
      <c r="AQ5">
        <v>1.1759224850893899</v>
      </c>
      <c r="AR5">
        <v>1.26181142157584</v>
      </c>
      <c r="AS5">
        <v>0.99455842416714901</v>
      </c>
      <c r="AT5">
        <v>0.86291688847357495</v>
      </c>
      <c r="AU5">
        <v>0.83929622593495701</v>
      </c>
      <c r="AV5">
        <v>1</v>
      </c>
      <c r="AW5">
        <v>0.99636207589303005</v>
      </c>
      <c r="AX5">
        <v>1</v>
      </c>
      <c r="AY5">
        <v>1</v>
      </c>
      <c r="AZ5">
        <v>0.93754851891005397</v>
      </c>
      <c r="BA5">
        <v>1</v>
      </c>
      <c r="BB5">
        <v>0.98671984849947802</v>
      </c>
      <c r="BC5">
        <v>40074992210.599998</v>
      </c>
      <c r="BD5">
        <v>5.2175347666719801E-2</v>
      </c>
      <c r="BE5">
        <v>6792</v>
      </c>
    </row>
    <row r="6" spans="1:57" x14ac:dyDescent="0.25">
      <c r="A6">
        <v>5</v>
      </c>
      <c r="B6">
        <v>5</v>
      </c>
      <c r="C6">
        <v>24</v>
      </c>
      <c r="D6">
        <v>0.50887618950520996</v>
      </c>
      <c r="E6">
        <v>0.57600036494054496</v>
      </c>
      <c r="F6">
        <v>5.93847013732859</v>
      </c>
      <c r="G6">
        <v>6.6971822266579002</v>
      </c>
      <c r="H6">
        <v>0.88346504703644801</v>
      </c>
      <c r="I6">
        <v>6.7124175435335498E-2</v>
      </c>
      <c r="J6">
        <v>3.7904578663450601E-2</v>
      </c>
      <c r="K6">
        <v>9.5843739707939992E-3</v>
      </c>
      <c r="L6" s="1">
        <v>3.4983496759507001E-10</v>
      </c>
      <c r="M6">
        <v>0.52473201222882704</v>
      </c>
      <c r="N6">
        <v>3.7793997276385901E-3</v>
      </c>
      <c r="O6">
        <v>0</v>
      </c>
      <c r="P6">
        <v>5.1651503094613398</v>
      </c>
      <c r="Q6">
        <v>94.834849690538704</v>
      </c>
      <c r="R6">
        <v>51.234550147557002</v>
      </c>
      <c r="S6">
        <v>31.2834969862528</v>
      </c>
      <c r="T6">
        <v>17.481952866190198</v>
      </c>
      <c r="U6">
        <v>0</v>
      </c>
      <c r="V6">
        <v>48.765449852442998</v>
      </c>
      <c r="W6">
        <v>0.445998197058462</v>
      </c>
      <c r="X6">
        <v>-51.159048815990701</v>
      </c>
      <c r="Y6">
        <v>137.87563170139001</v>
      </c>
      <c r="Z6">
        <v>100</v>
      </c>
      <c r="AA6">
        <v>64.397031064339501</v>
      </c>
      <c r="AB6">
        <v>292.08592702291998</v>
      </c>
      <c r="AC6">
        <v>289.90643440221203</v>
      </c>
      <c r="AD6">
        <v>22.038391990875301</v>
      </c>
      <c r="AE6">
        <v>332.50590102665399</v>
      </c>
      <c r="AF6">
        <v>3.63612964679609</v>
      </c>
      <c r="AG6">
        <v>780.17404288319096</v>
      </c>
      <c r="AH6">
        <v>3.8663599654750298</v>
      </c>
      <c r="AI6">
        <v>49.072564288928703</v>
      </c>
      <c r="AJ6">
        <v>175.73712497105299</v>
      </c>
      <c r="AK6">
        <v>20.261929411852201</v>
      </c>
      <c r="AL6">
        <v>-28.0095109469334</v>
      </c>
      <c r="AM6">
        <v>3.6119465342127</v>
      </c>
      <c r="AN6">
        <v>6.7772773498723504</v>
      </c>
      <c r="AO6">
        <v>0.9</v>
      </c>
      <c r="AP6">
        <v>1.2148145252334299</v>
      </c>
      <c r="AQ6">
        <v>1.25</v>
      </c>
      <c r="AR6">
        <v>1.2583978000522</v>
      </c>
      <c r="AS6">
        <v>0.99639499092112505</v>
      </c>
      <c r="AT6">
        <v>0.86668852570338195</v>
      </c>
      <c r="AU6">
        <v>0.839472367424558</v>
      </c>
      <c r="AV6">
        <v>1</v>
      </c>
      <c r="AW6">
        <v>0.99300466988490499</v>
      </c>
      <c r="AX6">
        <v>1</v>
      </c>
      <c r="AY6">
        <v>1</v>
      </c>
      <c r="AZ6">
        <v>0.93660491519182398</v>
      </c>
      <c r="BA6">
        <v>1</v>
      </c>
      <c r="BB6">
        <v>0.99548427440070597</v>
      </c>
      <c r="BC6">
        <v>25888122619.599998</v>
      </c>
      <c r="BD6">
        <v>5.9717575678348199E-2</v>
      </c>
      <c r="BE6">
        <v>8207</v>
      </c>
    </row>
    <row r="7" spans="1:57" x14ac:dyDescent="0.25">
      <c r="A7">
        <v>6</v>
      </c>
      <c r="B7">
        <v>5</v>
      </c>
      <c r="C7">
        <v>30</v>
      </c>
      <c r="D7">
        <v>0.58670954585313795</v>
      </c>
      <c r="E7">
        <v>0.65231403775502905</v>
      </c>
      <c r="F7">
        <v>6.8177090648355803</v>
      </c>
      <c r="G7">
        <v>7.5529472841939196</v>
      </c>
      <c r="H7">
        <v>0.89942805442655804</v>
      </c>
      <c r="I7">
        <v>6.5604491901891201E-2</v>
      </c>
      <c r="J7">
        <v>3.92665214590723E-2</v>
      </c>
      <c r="K7">
        <v>9.4229208837406202E-3</v>
      </c>
      <c r="L7" s="1">
        <v>4.06062192805603E-5</v>
      </c>
      <c r="M7">
        <v>0.59528723490295599</v>
      </c>
      <c r="N7">
        <v>8.2967542899797606E-3</v>
      </c>
      <c r="O7">
        <v>0</v>
      </c>
      <c r="P7">
        <v>5.5708580488717203</v>
      </c>
      <c r="Q7">
        <v>94.429141951128301</v>
      </c>
      <c r="R7">
        <v>51.606750926266002</v>
      </c>
      <c r="S7">
        <v>33.723154231714503</v>
      </c>
      <c r="T7">
        <v>14.6700948420195</v>
      </c>
      <c r="U7">
        <v>0</v>
      </c>
      <c r="V7">
        <v>48.393249073733998</v>
      </c>
      <c r="W7">
        <v>0.396637174212709</v>
      </c>
      <c r="X7">
        <v>-39.748477737325899</v>
      </c>
      <c r="Y7">
        <v>229.60688295882801</v>
      </c>
      <c r="Z7">
        <v>100</v>
      </c>
      <c r="AA7">
        <v>62.031028921971199</v>
      </c>
      <c r="AB7">
        <v>292.67163879373101</v>
      </c>
      <c r="AC7">
        <v>290.54576891381402</v>
      </c>
      <c r="AD7">
        <v>25.673777948537602</v>
      </c>
      <c r="AE7">
        <v>328.02571136043701</v>
      </c>
      <c r="AF7">
        <v>3.6849920145869799</v>
      </c>
      <c r="AG7">
        <v>780.38954942505302</v>
      </c>
      <c r="AH7">
        <v>2.4703559888795099</v>
      </c>
      <c r="AI7">
        <v>48.980397593499099</v>
      </c>
      <c r="AJ7">
        <v>175.26321265323099</v>
      </c>
      <c r="AK7">
        <v>22.518666788285401</v>
      </c>
      <c r="AL7">
        <v>-33.026223971626401</v>
      </c>
      <c r="AM7">
        <v>3.93876505020976</v>
      </c>
      <c r="AN7">
        <v>8.6634772983586394</v>
      </c>
      <c r="AO7">
        <v>0.9</v>
      </c>
      <c r="AP7">
        <v>1.2338712429302501</v>
      </c>
      <c r="AQ7">
        <v>1.25</v>
      </c>
      <c r="AR7">
        <v>1.28293329083714</v>
      </c>
      <c r="AS7">
        <v>0.99806831125899098</v>
      </c>
      <c r="AT7">
        <v>0.86615495548618404</v>
      </c>
      <c r="AU7">
        <v>0.83903954430551497</v>
      </c>
      <c r="AV7">
        <v>1</v>
      </c>
      <c r="AW7">
        <v>0.98364539438556098</v>
      </c>
      <c r="AX7">
        <v>1</v>
      </c>
      <c r="AY7">
        <v>1</v>
      </c>
      <c r="AZ7">
        <v>0.93708877620414599</v>
      </c>
      <c r="BA7">
        <v>1</v>
      </c>
      <c r="BB7">
        <v>0.99117861542924401</v>
      </c>
      <c r="BC7">
        <v>8793592615.3999996</v>
      </c>
      <c r="BD7">
        <v>6.8873365330965303E-2</v>
      </c>
      <c r="BE7">
        <v>3991</v>
      </c>
    </row>
    <row r="8" spans="1:57" x14ac:dyDescent="0.25">
      <c r="A8">
        <v>7</v>
      </c>
      <c r="B8">
        <v>5</v>
      </c>
      <c r="C8">
        <v>36</v>
      </c>
      <c r="D8">
        <v>0.58657296535494896</v>
      </c>
      <c r="E8">
        <v>0.60207517224822404</v>
      </c>
      <c r="F8">
        <v>6.8161728139184401</v>
      </c>
      <c r="G8">
        <v>6.9903927432741204</v>
      </c>
      <c r="H8">
        <v>0.97425204092806394</v>
      </c>
      <c r="I8">
        <v>1.5502206893275999E-2</v>
      </c>
      <c r="J8">
        <v>4.2792484842996102E-2</v>
      </c>
      <c r="K8">
        <v>1.43147232242985E-2</v>
      </c>
      <c r="L8">
        <v>4.2279388974738197E-4</v>
      </c>
      <c r="M8">
        <v>0.54030120512678204</v>
      </c>
      <c r="N8">
        <v>4.2439651644006603E-3</v>
      </c>
      <c r="O8">
        <v>0</v>
      </c>
      <c r="P8">
        <v>5.1798551946408704</v>
      </c>
      <c r="Q8">
        <v>94.820144805359106</v>
      </c>
      <c r="R8">
        <v>53.519484489331603</v>
      </c>
      <c r="S8">
        <v>30.111867398537001</v>
      </c>
      <c r="T8">
        <v>16.3686481121314</v>
      </c>
      <c r="U8">
        <v>0</v>
      </c>
      <c r="V8">
        <v>46.480515510668397</v>
      </c>
      <c r="W8">
        <v>0.51462798569256696</v>
      </c>
      <c r="X8">
        <v>-46.992145524887597</v>
      </c>
      <c r="Y8">
        <v>292.95770738053</v>
      </c>
      <c r="Z8">
        <v>100</v>
      </c>
      <c r="AA8">
        <v>60.815185742628202</v>
      </c>
      <c r="AB8">
        <v>283.94275468694701</v>
      </c>
      <c r="AC8">
        <v>281.852282245455</v>
      </c>
      <c r="AD8">
        <v>34.079502646745098</v>
      </c>
      <c r="AE8">
        <v>318.66902150548702</v>
      </c>
      <c r="AF8">
        <v>3.7151886428680201</v>
      </c>
      <c r="AG8">
        <v>780.05752728381799</v>
      </c>
      <c r="AH8">
        <v>1.04755286118673</v>
      </c>
      <c r="AI8">
        <v>48.314945710442103</v>
      </c>
      <c r="AJ8">
        <v>179.14605639202</v>
      </c>
      <c r="AK8">
        <v>18.4538852061611</v>
      </c>
      <c r="AL8">
        <v>-31.622497498898301</v>
      </c>
      <c r="AM8">
        <v>3.7004675043308399</v>
      </c>
      <c r="AN8">
        <v>10.939624534820201</v>
      </c>
      <c r="AO8">
        <v>0.9</v>
      </c>
      <c r="AP8">
        <v>1.2157938973256499</v>
      </c>
      <c r="AQ8">
        <v>1.25</v>
      </c>
      <c r="AR8">
        <v>1.27213411157367</v>
      </c>
      <c r="AS8">
        <v>0.99909724091167695</v>
      </c>
      <c r="AT8">
        <v>0.87542238501565195</v>
      </c>
      <c r="AU8">
        <v>0.839731866270505</v>
      </c>
      <c r="AV8">
        <v>1</v>
      </c>
      <c r="AW8">
        <v>0.98693540566898397</v>
      </c>
      <c r="AX8">
        <v>1</v>
      </c>
      <c r="AY8">
        <v>1</v>
      </c>
      <c r="AZ8">
        <v>0.93957532983613101</v>
      </c>
      <c r="BA8">
        <v>1</v>
      </c>
      <c r="BB8">
        <v>0.99597022319764095</v>
      </c>
      <c r="BC8">
        <v>15856823419.5</v>
      </c>
      <c r="BD8">
        <v>5.47846496802867E-2</v>
      </c>
      <c r="BE8">
        <v>5244</v>
      </c>
    </row>
    <row r="9" spans="1:57" x14ac:dyDescent="0.25">
      <c r="A9">
        <v>8</v>
      </c>
      <c r="B9">
        <v>5</v>
      </c>
      <c r="C9">
        <v>42</v>
      </c>
      <c r="D9">
        <v>0.489007059804834</v>
      </c>
      <c r="E9">
        <v>0.63104920416097299</v>
      </c>
      <c r="F9">
        <v>5.71280479083772</v>
      </c>
      <c r="G9">
        <v>7.3152140581878404</v>
      </c>
      <c r="H9">
        <v>0.774911142555049</v>
      </c>
      <c r="I9">
        <v>0.14204214435613899</v>
      </c>
      <c r="J9">
        <v>4.5538975433028997E-2</v>
      </c>
      <c r="K9">
        <v>1.43174077340395E-2</v>
      </c>
      <c r="L9">
        <v>2.00069334234568E-3</v>
      </c>
      <c r="M9">
        <v>0.56562551928419802</v>
      </c>
      <c r="N9">
        <v>3.5666083673610502E-3</v>
      </c>
      <c r="O9">
        <v>0</v>
      </c>
      <c r="P9">
        <v>6.1029443673428601</v>
      </c>
      <c r="Q9">
        <v>93.8970556326571</v>
      </c>
      <c r="R9">
        <v>31.2828920960768</v>
      </c>
      <c r="S9">
        <v>50.442078582916999</v>
      </c>
      <c r="T9">
        <v>18.275029321006201</v>
      </c>
      <c r="U9">
        <v>0</v>
      </c>
      <c r="V9">
        <v>68.717107903923207</v>
      </c>
      <c r="W9">
        <v>0.48857185588395302</v>
      </c>
      <c r="X9">
        <v>-54.810805064078799</v>
      </c>
      <c r="Y9">
        <v>410.690463982067</v>
      </c>
      <c r="Z9">
        <v>100</v>
      </c>
      <c r="AA9">
        <v>56.477241554629799</v>
      </c>
      <c r="AB9">
        <v>294.78285833773799</v>
      </c>
      <c r="AC9">
        <v>293.02942063477599</v>
      </c>
      <c r="AD9">
        <v>38.2555284042569</v>
      </c>
      <c r="AE9">
        <v>312.94261320490699</v>
      </c>
      <c r="AF9">
        <v>3.74537001187801</v>
      </c>
      <c r="AG9">
        <v>780.35011899660105</v>
      </c>
      <c r="AH9">
        <v>1.7869346926819301</v>
      </c>
      <c r="AI9">
        <v>51.441879095333903</v>
      </c>
      <c r="AJ9">
        <v>179.55460637552099</v>
      </c>
      <c r="AK9">
        <v>14.340327776577199</v>
      </c>
      <c r="AL9">
        <v>-35.516338711053201</v>
      </c>
      <c r="AM9">
        <v>3.91370283888438</v>
      </c>
      <c r="AN9">
        <v>13.039125540100599</v>
      </c>
      <c r="AO9">
        <v>0.9</v>
      </c>
      <c r="AP9">
        <v>1.23113087104992</v>
      </c>
      <c r="AQ9">
        <v>1.25</v>
      </c>
      <c r="AR9">
        <v>1.24646103712578</v>
      </c>
      <c r="AS9">
        <v>1.0018928064035899</v>
      </c>
      <c r="AT9">
        <v>0.86443264977875001</v>
      </c>
      <c r="AU9">
        <v>0.83906254226442201</v>
      </c>
      <c r="AV9">
        <v>1</v>
      </c>
      <c r="AW9">
        <v>0.97971232232265604</v>
      </c>
      <c r="AX9">
        <v>1</v>
      </c>
      <c r="AY9">
        <v>1</v>
      </c>
      <c r="AZ9">
        <v>0.91066775972489999</v>
      </c>
      <c r="BA9">
        <v>1</v>
      </c>
      <c r="BB9">
        <v>1.0092874716917799</v>
      </c>
      <c r="BC9">
        <v>2988840210.9000001</v>
      </c>
      <c r="BD9">
        <v>4.8214875573772402E-2</v>
      </c>
      <c r="BE9">
        <v>2300</v>
      </c>
    </row>
    <row r="10" spans="1:57" x14ac:dyDescent="0.25">
      <c r="A10">
        <v>9</v>
      </c>
      <c r="B10">
        <v>5</v>
      </c>
      <c r="C10">
        <v>48</v>
      </c>
      <c r="D10">
        <v>0.63294878676820399</v>
      </c>
      <c r="E10">
        <v>0.61203863475221398</v>
      </c>
      <c r="F10">
        <v>7.3364734832865199</v>
      </c>
      <c r="G10">
        <v>7.1022083984841604</v>
      </c>
      <c r="H10">
        <v>1.03416475828271</v>
      </c>
      <c r="I10">
        <v>-2.09101520159902E-2</v>
      </c>
      <c r="J10">
        <v>4.87629346093379E-2</v>
      </c>
      <c r="K10">
        <v>9.7278387227965196E-3</v>
      </c>
      <c r="L10">
        <v>2.0728723405572698E-3</v>
      </c>
      <c r="M10">
        <v>0.54847579040779204</v>
      </c>
      <c r="N10">
        <v>2.9991986717298998E-3</v>
      </c>
      <c r="O10">
        <v>0</v>
      </c>
      <c r="P10">
        <v>5.5606109093863996</v>
      </c>
      <c r="Q10">
        <v>94.439389090613602</v>
      </c>
      <c r="R10">
        <v>38.069979062733601</v>
      </c>
      <c r="S10">
        <v>43.563173913074301</v>
      </c>
      <c r="T10">
        <v>18.3668470241922</v>
      </c>
      <c r="U10">
        <v>0</v>
      </c>
      <c r="V10">
        <v>61.930020937266399</v>
      </c>
      <c r="W10">
        <v>0.28388347438085298</v>
      </c>
      <c r="X10">
        <v>-49.242735235799898</v>
      </c>
      <c r="Y10">
        <v>132.00146964113199</v>
      </c>
      <c r="Z10">
        <v>100</v>
      </c>
      <c r="AA10">
        <v>56.093760539148697</v>
      </c>
      <c r="AB10">
        <v>275.91346846683302</v>
      </c>
      <c r="AC10">
        <v>273.94820639481401</v>
      </c>
      <c r="AD10">
        <v>46.414835622784999</v>
      </c>
      <c r="AE10">
        <v>305.08054764978101</v>
      </c>
      <c r="AF10">
        <v>3.5113757003701398</v>
      </c>
      <c r="AG10">
        <v>780.65744308838305</v>
      </c>
      <c r="AH10">
        <v>2.97548410791569</v>
      </c>
      <c r="AI10">
        <v>50.417313526240598</v>
      </c>
      <c r="AJ10">
        <v>169.64661803408299</v>
      </c>
      <c r="AK10">
        <v>25.490075985711101</v>
      </c>
      <c r="AL10">
        <v>-29.6354139369537</v>
      </c>
      <c r="AM10">
        <v>3.3228477593560801</v>
      </c>
      <c r="AN10">
        <v>13.5714153715273</v>
      </c>
      <c r="AO10">
        <v>0.9</v>
      </c>
      <c r="AP10">
        <v>1.1921862547545301</v>
      </c>
      <c r="AQ10">
        <v>1.25</v>
      </c>
      <c r="AR10">
        <v>1.2724573352130399</v>
      </c>
      <c r="AS10">
        <v>1.0021875562037299</v>
      </c>
      <c r="AT10">
        <v>0.88490536702248201</v>
      </c>
      <c r="AU10">
        <v>0.838592739291256</v>
      </c>
      <c r="AV10">
        <v>1</v>
      </c>
      <c r="AW10">
        <v>0.99044787322621297</v>
      </c>
      <c r="AX10">
        <v>1</v>
      </c>
      <c r="AY10">
        <v>1</v>
      </c>
      <c r="AZ10">
        <v>0.91949097278155401</v>
      </c>
      <c r="BA10">
        <v>1</v>
      </c>
      <c r="BB10">
        <v>1.00816468870669</v>
      </c>
      <c r="BC10">
        <v>30362510193.799999</v>
      </c>
      <c r="BD10">
        <v>5.7647682345972097E-2</v>
      </c>
      <c r="BE10">
        <v>6116</v>
      </c>
    </row>
    <row r="11" spans="1:57" x14ac:dyDescent="0.25">
      <c r="A11">
        <v>10</v>
      </c>
      <c r="B11">
        <v>5</v>
      </c>
      <c r="C11">
        <v>54</v>
      </c>
      <c r="D11">
        <v>0.66597248597083702</v>
      </c>
      <c r="E11">
        <v>0.63889462593723401</v>
      </c>
      <c r="F11">
        <v>7.7053488947320297</v>
      </c>
      <c r="G11">
        <v>7.4029882240441003</v>
      </c>
      <c r="H11">
        <v>1.04238235686187</v>
      </c>
      <c r="I11">
        <v>-2.7077860033603299E-2</v>
      </c>
      <c r="J11">
        <v>5.1819583662631098E-2</v>
      </c>
      <c r="K11">
        <v>8.2723213464454895E-3</v>
      </c>
      <c r="L11">
        <v>2.96716198335061E-3</v>
      </c>
      <c r="M11">
        <v>0.57344779502282195</v>
      </c>
      <c r="N11">
        <v>2.3877639219852401E-3</v>
      </c>
      <c r="O11">
        <v>0</v>
      </c>
      <c r="P11">
        <v>5.3904311373754403</v>
      </c>
      <c r="Q11">
        <v>94.609568862624599</v>
      </c>
      <c r="R11">
        <v>28.181149612092</v>
      </c>
      <c r="S11">
        <v>50.935644881807796</v>
      </c>
      <c r="T11">
        <v>20.8832055061002</v>
      </c>
      <c r="U11">
        <v>0</v>
      </c>
      <c r="V11">
        <v>71.818850387908</v>
      </c>
      <c r="W11">
        <v>0.22150196578916501</v>
      </c>
      <c r="X11">
        <v>-50.827968702396902</v>
      </c>
      <c r="Y11">
        <v>85.431185364875105</v>
      </c>
      <c r="Z11">
        <v>100</v>
      </c>
      <c r="AA11">
        <v>53.465693264276098</v>
      </c>
      <c r="AB11">
        <v>274.35975153770897</v>
      </c>
      <c r="AC11">
        <v>272.413452591252</v>
      </c>
      <c r="AD11">
        <v>52.508940135890498</v>
      </c>
      <c r="AE11">
        <v>298.272383802908</v>
      </c>
      <c r="AF11">
        <v>3.4171726442809498</v>
      </c>
      <c r="AG11">
        <v>781.36604692658204</v>
      </c>
      <c r="AH11">
        <v>2.34283148645881</v>
      </c>
      <c r="AI11">
        <v>58.506390127531702</v>
      </c>
      <c r="AJ11">
        <v>170.47878234167001</v>
      </c>
      <c r="AK11">
        <v>27.823197693905801</v>
      </c>
      <c r="AL11">
        <v>-26.390306549128798</v>
      </c>
      <c r="AM11">
        <v>3.4588811189218198</v>
      </c>
      <c r="AN11">
        <v>16.129157162301599</v>
      </c>
      <c r="AO11">
        <v>0.9</v>
      </c>
      <c r="AP11">
        <v>1.2019833932000199</v>
      </c>
      <c r="AQ11">
        <v>1.25</v>
      </c>
      <c r="AR11">
        <v>1.26691081385121</v>
      </c>
      <c r="AS11">
        <v>1.0035703150494</v>
      </c>
      <c r="AT11">
        <v>0.88671279460608299</v>
      </c>
      <c r="AU11">
        <v>0.83721869815297301</v>
      </c>
      <c r="AV11">
        <v>1</v>
      </c>
      <c r="AW11">
        <v>0.99696981962731002</v>
      </c>
      <c r="AX11">
        <v>1</v>
      </c>
      <c r="AY11">
        <v>1</v>
      </c>
      <c r="AZ11">
        <v>0.90663549449572001</v>
      </c>
      <c r="BA11">
        <v>1</v>
      </c>
      <c r="BB11">
        <v>1.0103471566408699</v>
      </c>
      <c r="BC11">
        <v>44724842265.099998</v>
      </c>
      <c r="BD11">
        <v>7.2465923381161104E-2</v>
      </c>
      <c r="BE11">
        <v>9052</v>
      </c>
    </row>
    <row r="12" spans="1:57" x14ac:dyDescent="0.25">
      <c r="A12">
        <v>11</v>
      </c>
      <c r="B12">
        <v>5</v>
      </c>
      <c r="C12">
        <v>60</v>
      </c>
      <c r="D12">
        <v>0.62588132143122799</v>
      </c>
      <c r="E12">
        <v>0.60649673501263401</v>
      </c>
      <c r="F12">
        <v>7.2573543989157701</v>
      </c>
      <c r="G12">
        <v>7.04002925828207</v>
      </c>
      <c r="H12">
        <v>1.0319615676384299</v>
      </c>
      <c r="I12">
        <v>-1.93845864185937E-2</v>
      </c>
      <c r="J12">
        <v>5.63331606376377E-2</v>
      </c>
      <c r="K12">
        <v>1.20435772149788E-2</v>
      </c>
      <c r="L12">
        <v>6.9016168256866598E-3</v>
      </c>
      <c r="M12">
        <v>0.527714227196596</v>
      </c>
      <c r="N12">
        <v>3.50415313773547E-3</v>
      </c>
      <c r="O12">
        <v>0</v>
      </c>
      <c r="P12">
        <v>4.9400561172828503</v>
      </c>
      <c r="Q12">
        <v>95.059943882717107</v>
      </c>
      <c r="R12">
        <v>28.745069623143301</v>
      </c>
      <c r="S12">
        <v>51.986781856358803</v>
      </c>
      <c r="T12">
        <v>19.268148520497899</v>
      </c>
      <c r="U12">
        <v>0</v>
      </c>
      <c r="V12">
        <v>71.254930376856706</v>
      </c>
      <c r="W12">
        <v>0.319067451813565</v>
      </c>
      <c r="X12">
        <v>-49.573103305381998</v>
      </c>
      <c r="Y12">
        <v>241.35652732877199</v>
      </c>
      <c r="Z12">
        <v>100</v>
      </c>
      <c r="AA12">
        <v>50.491295306866199</v>
      </c>
      <c r="AB12">
        <v>266.73188217318199</v>
      </c>
      <c r="AC12">
        <v>264.84704617494401</v>
      </c>
      <c r="AD12">
        <v>60.812823989786999</v>
      </c>
      <c r="AE12">
        <v>288.28956263070597</v>
      </c>
      <c r="AF12">
        <v>3.5015946613835398</v>
      </c>
      <c r="AG12">
        <v>781.83227378220204</v>
      </c>
      <c r="AH12">
        <v>3.4057323698300102</v>
      </c>
      <c r="AI12">
        <v>56.4450579741045</v>
      </c>
      <c r="AJ12">
        <v>177.102906607151</v>
      </c>
      <c r="AK12">
        <v>24.446569493293499</v>
      </c>
      <c r="AL12">
        <v>-26.336317716798501</v>
      </c>
      <c r="AM12">
        <v>3.5510288409891499</v>
      </c>
      <c r="AN12">
        <v>19.460046936327501</v>
      </c>
      <c r="AO12">
        <v>0.9</v>
      </c>
      <c r="AP12">
        <v>1.2083241255853501</v>
      </c>
      <c r="AQ12">
        <v>1.25</v>
      </c>
      <c r="AR12">
        <v>1.25649032009799</v>
      </c>
      <c r="AS12">
        <v>1.00518300265244</v>
      </c>
      <c r="AT12">
        <v>0.895838735072082</v>
      </c>
      <c r="AU12">
        <v>0.836276543360013</v>
      </c>
      <c r="AV12">
        <v>1</v>
      </c>
      <c r="AW12">
        <v>0.99673445536602601</v>
      </c>
      <c r="AX12">
        <v>1</v>
      </c>
      <c r="AY12">
        <v>1</v>
      </c>
      <c r="AZ12">
        <v>0.907368590510086</v>
      </c>
      <c r="BA12">
        <v>1</v>
      </c>
      <c r="BB12">
        <v>1.0059478223588101</v>
      </c>
      <c r="BC12">
        <v>137255861249.8</v>
      </c>
      <c r="BD12">
        <v>7.1744501865039098E-2</v>
      </c>
      <c r="BE12">
        <v>35146</v>
      </c>
    </row>
    <row r="16" spans="1:57" x14ac:dyDescent="0.25">
      <c r="G16">
        <v>1</v>
      </c>
    </row>
    <row r="17" spans="3:14" x14ac:dyDescent="0.25">
      <c r="D17" t="s">
        <v>28</v>
      </c>
      <c r="E17" t="s">
        <v>53</v>
      </c>
      <c r="F17" t="str">
        <f>D1</f>
        <v>actual.smm</v>
      </c>
      <c r="G17" t="str">
        <f>E1</f>
        <v>model.smm</v>
      </c>
      <c r="H17" t="s">
        <v>6</v>
      </c>
      <c r="J17" t="s">
        <v>59</v>
      </c>
      <c r="K17" t="s">
        <v>60</v>
      </c>
      <c r="L17" t="s">
        <v>61</v>
      </c>
      <c r="M17" t="str">
        <f>K1</f>
        <v>dflt.smm</v>
      </c>
      <c r="N17" t="s">
        <v>60</v>
      </c>
    </row>
    <row r="18" spans="3:14" x14ac:dyDescent="0.25">
      <c r="C18">
        <f>C2</f>
        <v>0</v>
      </c>
      <c r="D18" s="7">
        <f>AD2</f>
        <v>-1.39281942259051E-2</v>
      </c>
      <c r="E18" s="8">
        <f>BC2/1000000000</f>
        <v>0.79022591310000001</v>
      </c>
      <c r="F18" s="6">
        <f>D2</f>
        <v>0.14631016008153699</v>
      </c>
      <c r="G18" s="6">
        <f>J2+K2+L2+M2*$G$16+N2</f>
        <v>4.9958195501716901E-2</v>
      </c>
      <c r="H18" s="6">
        <f>F18/G18</f>
        <v>2.9286518180287113</v>
      </c>
      <c r="J18">
        <v>0.16</v>
      </c>
      <c r="K18" s="10"/>
      <c r="L18" s="9">
        <f>L19</f>
        <v>0.71</v>
      </c>
      <c r="M18" s="6"/>
      <c r="N18" s="6"/>
    </row>
    <row r="19" spans="3:14" x14ac:dyDescent="0.25">
      <c r="C19">
        <f>C3</f>
        <v>6</v>
      </c>
      <c r="D19" s="7">
        <f>AD3</f>
        <v>3.7101239519005502</v>
      </c>
      <c r="E19" s="8">
        <f>BC3/1000000000</f>
        <v>22.663762221900001</v>
      </c>
      <c r="F19" s="6">
        <f>D3</f>
        <v>0.32502793134269897</v>
      </c>
      <c r="G19" s="6">
        <f>J3+K3+L3+M3*$G$16+N3</f>
        <v>0.15551926452335083</v>
      </c>
      <c r="H19" s="6">
        <f t="shared" ref="H19:H24" si="0">F19/G19</f>
        <v>2.0899528578589495</v>
      </c>
      <c r="J19">
        <v>0.5</v>
      </c>
      <c r="K19" s="10">
        <v>1.42</v>
      </c>
      <c r="L19" s="9">
        <f>J19*K19</f>
        <v>0.71</v>
      </c>
      <c r="M19" s="6">
        <f t="shared" ref="M19:M23" si="1">J3+K3+L3+M3*$K19+N3</f>
        <v>0.20683381881568319</v>
      </c>
      <c r="N19" s="6">
        <f>F19/M19</f>
        <v>1.571444811123188</v>
      </c>
    </row>
    <row r="20" spans="3:14" x14ac:dyDescent="0.25">
      <c r="C20">
        <f>C4</f>
        <v>12</v>
      </c>
      <c r="D20" s="7">
        <f>AD4</f>
        <v>8.4193124336009593</v>
      </c>
      <c r="E20" s="8">
        <f>BC4/1000000000</f>
        <v>52.606559084800004</v>
      </c>
      <c r="F20" s="6">
        <f>D4</f>
        <v>0.33396961561571897</v>
      </c>
      <c r="G20" s="6">
        <f>J4+K4+L4+M4*$G$16+N4</f>
        <v>0.346086120838699</v>
      </c>
      <c r="H20" s="6">
        <f t="shared" si="0"/>
        <v>0.96498991293376024</v>
      </c>
      <c r="J20">
        <v>1.02</v>
      </c>
      <c r="K20" s="10">
        <v>0.7</v>
      </c>
      <c r="L20" s="9">
        <f t="shared" ref="L20:L23" si="2">J20*K20</f>
        <v>0.71399999999999997</v>
      </c>
      <c r="M20" s="6">
        <f t="shared" si="1"/>
        <v>0.2549084660262268</v>
      </c>
      <c r="N20" s="6">
        <f t="shared" ref="N20:N23" si="3">F20/M20</f>
        <v>1.3101550561343764</v>
      </c>
    </row>
    <row r="21" spans="3:14" x14ac:dyDescent="0.25">
      <c r="C21">
        <f>C5</f>
        <v>18</v>
      </c>
      <c r="D21" s="7">
        <f>AD5</f>
        <v>15.2094183381463</v>
      </c>
      <c r="E21" s="8">
        <f>BC5/1000000000</f>
        <v>40.074992210600001</v>
      </c>
      <c r="F21" s="6">
        <f>D5</f>
        <v>0.347466126781384</v>
      </c>
      <c r="G21" s="6">
        <f>J5+K5+L5+M5*$G$16+N5</f>
        <v>0.50764409536866928</v>
      </c>
      <c r="H21" s="6">
        <f t="shared" si="0"/>
        <v>0.68446797658316438</v>
      </c>
      <c r="J21">
        <v>1.25</v>
      </c>
      <c r="K21" s="10">
        <v>0.68</v>
      </c>
      <c r="L21" s="9">
        <f t="shared" si="2"/>
        <v>0.85000000000000009</v>
      </c>
      <c r="M21" s="6">
        <f t="shared" si="1"/>
        <v>0.36130978571146199</v>
      </c>
      <c r="N21" s="6">
        <f t="shared" si="3"/>
        <v>0.96168479383192407</v>
      </c>
    </row>
    <row r="22" spans="3:14" x14ac:dyDescent="0.25">
      <c r="C22">
        <f>C6</f>
        <v>24</v>
      </c>
      <c r="D22" s="7">
        <f>AD6</f>
        <v>22.038391990875301</v>
      </c>
      <c r="E22" s="8">
        <f>BC6/1000000000</f>
        <v>25.888122619599997</v>
      </c>
      <c r="F22" s="6">
        <f>D6</f>
        <v>0.50887618950520996</v>
      </c>
      <c r="G22" s="6">
        <f>J6+K6+L6+M6*$G$16+N6</f>
        <v>0.5760003649405453</v>
      </c>
      <c r="H22" s="6">
        <f t="shared" si="0"/>
        <v>0.88346504703644779</v>
      </c>
      <c r="J22">
        <v>1.25</v>
      </c>
      <c r="K22" s="10">
        <v>0.88</v>
      </c>
      <c r="L22" s="9">
        <f t="shared" si="2"/>
        <v>1.1000000000000001</v>
      </c>
      <c r="M22" s="6">
        <f t="shared" si="1"/>
        <v>0.51303252347308603</v>
      </c>
      <c r="N22" s="6">
        <f t="shared" si="3"/>
        <v>0.99189849809181907</v>
      </c>
    </row>
    <row r="23" spans="3:14" x14ac:dyDescent="0.25">
      <c r="C23">
        <f>C7</f>
        <v>30</v>
      </c>
      <c r="D23" s="7">
        <f>AD7</f>
        <v>25.673777948537602</v>
      </c>
      <c r="E23" s="8">
        <f>BC7/1000000000</f>
        <v>8.7935926153999997</v>
      </c>
      <c r="F23" s="6">
        <f>D7</f>
        <v>0.58670954585313795</v>
      </c>
      <c r="G23" s="6">
        <f>J7+K7+L7+M7*$G$16+N7</f>
        <v>0.65231403775502927</v>
      </c>
      <c r="H23" s="6">
        <f t="shared" si="0"/>
        <v>0.89942805442655749</v>
      </c>
      <c r="J23">
        <v>1.25</v>
      </c>
      <c r="K23" s="10">
        <v>0.89</v>
      </c>
      <c r="L23" s="9">
        <f t="shared" si="2"/>
        <v>1.1125</v>
      </c>
      <c r="M23" s="6">
        <f t="shared" si="1"/>
        <v>0.58683244191570416</v>
      </c>
      <c r="N23" s="6">
        <f t="shared" si="3"/>
        <v>0.99979057725206022</v>
      </c>
    </row>
    <row r="24" spans="3:14" x14ac:dyDescent="0.25">
      <c r="C24">
        <f>C8</f>
        <v>36</v>
      </c>
      <c r="D24" s="7">
        <f>AD8</f>
        <v>34.079502646745098</v>
      </c>
      <c r="E24" s="8">
        <f>BC8/1000000000</f>
        <v>15.8568234195</v>
      </c>
      <c r="F24" s="6">
        <f>D8</f>
        <v>0.58657296535494896</v>
      </c>
      <c r="G24" s="6">
        <f>J8+K8+L8+M8*$G$16+N8</f>
        <v>0.6020751722482246</v>
      </c>
      <c r="H24" s="6">
        <f t="shared" si="0"/>
        <v>0.97425204092806472</v>
      </c>
      <c r="J24">
        <v>1.25</v>
      </c>
      <c r="K24" s="10">
        <v>0.99</v>
      </c>
      <c r="L24" s="9">
        <f t="shared" ref="L24" si="4">J24*K24</f>
        <v>1.2375</v>
      </c>
      <c r="M24" s="6">
        <f t="shared" ref="M24" si="5">J8+K8+L8+M8*$K24+N8</f>
        <v>0.59667216019695679</v>
      </c>
      <c r="N24" s="6">
        <f t="shared" ref="N24" si="6">F24/M24</f>
        <v>0.98307413096217833</v>
      </c>
    </row>
    <row r="30" spans="3:14" x14ac:dyDescent="0.25">
      <c r="D30" t="s">
        <v>62</v>
      </c>
      <c r="E30" t="s">
        <v>63</v>
      </c>
    </row>
    <row r="31" spans="3:14" x14ac:dyDescent="0.25">
      <c r="C31">
        <f>C18</f>
        <v>0</v>
      </c>
      <c r="D31">
        <f>'HPA 11 Fit'!L17</f>
        <v>0.71</v>
      </c>
      <c r="E31" s="11">
        <f>'HPA 5 Fit'!L18</f>
        <v>0.71</v>
      </c>
    </row>
    <row r="32" spans="3:14" x14ac:dyDescent="0.25">
      <c r="C32">
        <f t="shared" ref="C32:C37" si="7">C19</f>
        <v>6</v>
      </c>
      <c r="D32">
        <f>'HPA 11 Fit'!L18</f>
        <v>0.85</v>
      </c>
      <c r="E32" s="11">
        <f>'HPA 5 Fit'!L19</f>
        <v>0.71</v>
      </c>
    </row>
    <row r="33" spans="3:5" x14ac:dyDescent="0.25">
      <c r="C33">
        <f t="shared" si="7"/>
        <v>12</v>
      </c>
      <c r="D33">
        <f>'HPA 11 Fit'!L19</f>
        <v>1.0710000000000002</v>
      </c>
      <c r="E33" s="11">
        <f>'HPA 5 Fit'!L20</f>
        <v>0.71399999999999997</v>
      </c>
    </row>
    <row r="34" spans="3:5" x14ac:dyDescent="0.25">
      <c r="C34">
        <f t="shared" si="7"/>
        <v>18</v>
      </c>
      <c r="D34">
        <f>'HPA 11 Fit'!L20</f>
        <v>1.25</v>
      </c>
      <c r="E34" s="11">
        <f>'HPA 5 Fit'!L21</f>
        <v>0.85000000000000009</v>
      </c>
    </row>
    <row r="35" spans="3:5" x14ac:dyDescent="0.25">
      <c r="C35">
        <f t="shared" si="7"/>
        <v>24</v>
      </c>
      <c r="D35">
        <f>'HPA 11 Fit'!L21</f>
        <v>1.25</v>
      </c>
      <c r="E35" s="11">
        <f>'HPA 5 Fit'!L22</f>
        <v>1.1000000000000001</v>
      </c>
    </row>
    <row r="36" spans="3:5" x14ac:dyDescent="0.25">
      <c r="C36">
        <f t="shared" si="7"/>
        <v>30</v>
      </c>
      <c r="D36">
        <f>'HPA 11 Fit'!L22</f>
        <v>1.25</v>
      </c>
      <c r="E36" s="11">
        <f>'HPA 5 Fit'!L23</f>
        <v>1.1125</v>
      </c>
    </row>
    <row r="37" spans="3:5" x14ac:dyDescent="0.25">
      <c r="C37">
        <f t="shared" si="7"/>
        <v>36</v>
      </c>
      <c r="D37">
        <f>'HPA 11 Fit'!L23</f>
        <v>1.25</v>
      </c>
      <c r="E37" s="11">
        <f>'HPA 5 Fit'!L24</f>
        <v>1.2375</v>
      </c>
    </row>
  </sheetData>
  <conditionalFormatting sqref="E18:E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{06E243F3-7DA6-4478-8695-AE0A26FC7B52}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E243F3-7DA6-4478-8695-AE0A26FC7B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7"/>
  <sheetViews>
    <sheetView workbookViewId="0">
      <selection activeCell="Q29" sqref="Q29"/>
    </sheetView>
  </sheetViews>
  <sheetFormatPr defaultRowHeight="15" x14ac:dyDescent="0.25"/>
  <cols>
    <col min="5" max="5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22</v>
      </c>
      <c r="B2">
        <v>11</v>
      </c>
      <c r="C2">
        <v>6</v>
      </c>
      <c r="D2">
        <v>0.38462635040628801</v>
      </c>
      <c r="E2">
        <v>0.20205796666487499</v>
      </c>
      <c r="F2">
        <v>4.5191185484484597</v>
      </c>
      <c r="G2">
        <v>2.3979301682143799</v>
      </c>
      <c r="H2">
        <v>1.90354459541906</v>
      </c>
      <c r="I2">
        <v>-0.18256838374141299</v>
      </c>
      <c r="J2">
        <v>3.0426568555035598E-2</v>
      </c>
      <c r="K2">
        <v>1.7528297038017001E-3</v>
      </c>
      <c r="L2">
        <v>0</v>
      </c>
      <c r="M2">
        <v>0.16801434781032801</v>
      </c>
      <c r="N2">
        <v>1.8642205957101201E-3</v>
      </c>
      <c r="O2">
        <v>0</v>
      </c>
      <c r="P2">
        <v>6.7659443836907904</v>
      </c>
      <c r="Q2">
        <v>93.234055616309206</v>
      </c>
      <c r="R2">
        <v>44.271887965247601</v>
      </c>
      <c r="S2">
        <v>31.149502980247401</v>
      </c>
      <c r="T2">
        <v>24.578609054505002</v>
      </c>
      <c r="U2">
        <v>0</v>
      </c>
      <c r="V2">
        <v>55.728112034752399</v>
      </c>
      <c r="W2">
        <v>0.203146170255707</v>
      </c>
      <c r="X2">
        <v>-44.991020325462699</v>
      </c>
      <c r="Y2">
        <v>5.8596704387576404</v>
      </c>
      <c r="Z2">
        <v>100</v>
      </c>
      <c r="AA2">
        <v>65.660278543671495</v>
      </c>
      <c r="AB2">
        <v>306.40361655460902</v>
      </c>
      <c r="AC2">
        <v>304.195211496762</v>
      </c>
      <c r="AD2">
        <v>3.7304315903043701</v>
      </c>
      <c r="AE2">
        <v>354.40578155099598</v>
      </c>
      <c r="AF2">
        <v>3.6743912389263498</v>
      </c>
      <c r="AG2">
        <v>779.38362702144002</v>
      </c>
      <c r="AH2">
        <v>5.2995297222029896</v>
      </c>
      <c r="AI2">
        <v>45.260265810015703</v>
      </c>
      <c r="AJ2">
        <v>173.168978830182</v>
      </c>
      <c r="AK2">
        <v>21.725863185048201</v>
      </c>
      <c r="AL2">
        <v>-29.762670492201</v>
      </c>
      <c r="AM2">
        <v>11.6312647455867</v>
      </c>
      <c r="AN2">
        <v>3.4721406027455401</v>
      </c>
      <c r="AO2">
        <v>0.9</v>
      </c>
      <c r="AP2">
        <v>1.2902035351654899</v>
      </c>
      <c r="AQ2">
        <v>0.36043887544981701</v>
      </c>
      <c r="AR2">
        <v>1.27978514886983</v>
      </c>
      <c r="AS2">
        <v>0.99532631419170303</v>
      </c>
      <c r="AT2">
        <v>0.85079115068042599</v>
      </c>
      <c r="AU2">
        <v>0.841053379412664</v>
      </c>
      <c r="AV2">
        <v>1</v>
      </c>
      <c r="AW2">
        <v>0.99168690635599699</v>
      </c>
      <c r="AX2">
        <v>1</v>
      </c>
      <c r="AY2">
        <v>1</v>
      </c>
      <c r="AZ2">
        <v>0.92755345435482195</v>
      </c>
      <c r="BA2">
        <v>1</v>
      </c>
      <c r="BB2">
        <v>0.98612371272212795</v>
      </c>
      <c r="BC2">
        <v>50589889425.5</v>
      </c>
      <c r="BD2">
        <v>3.6770708833980398E-2</v>
      </c>
      <c r="BE2">
        <v>11129</v>
      </c>
    </row>
    <row r="3" spans="1:57" x14ac:dyDescent="0.25">
      <c r="A3">
        <v>23</v>
      </c>
      <c r="B3">
        <v>11</v>
      </c>
      <c r="C3">
        <v>12</v>
      </c>
      <c r="D3">
        <v>0.49770443344996601</v>
      </c>
      <c r="E3">
        <v>0.40808262589865701</v>
      </c>
      <c r="F3">
        <v>5.8116469613769004</v>
      </c>
      <c r="G3">
        <v>4.7885622176138902</v>
      </c>
      <c r="H3">
        <v>1.2196168174372799</v>
      </c>
      <c r="I3">
        <v>-8.9621807551309607E-2</v>
      </c>
      <c r="J3">
        <v>3.5216702555856502E-2</v>
      </c>
      <c r="K3">
        <v>2.50080238089274E-3</v>
      </c>
      <c r="L3" s="1">
        <v>5.6214664449914804E-7</v>
      </c>
      <c r="M3">
        <v>0.36239141549098502</v>
      </c>
      <c r="N3">
        <v>7.9731433242778895E-3</v>
      </c>
      <c r="O3">
        <v>0</v>
      </c>
      <c r="P3">
        <v>6.4067774711462002</v>
      </c>
      <c r="Q3">
        <v>93.593222528853801</v>
      </c>
      <c r="R3">
        <v>43.198880971349297</v>
      </c>
      <c r="S3">
        <v>35.007527041040099</v>
      </c>
      <c r="T3">
        <v>21.793591987610601</v>
      </c>
      <c r="U3">
        <v>0</v>
      </c>
      <c r="V3">
        <v>56.801119028650703</v>
      </c>
      <c r="W3">
        <v>0.189579441507194</v>
      </c>
      <c r="X3">
        <v>-39.1938262056265</v>
      </c>
      <c r="Y3">
        <v>28.863649465593902</v>
      </c>
      <c r="Z3">
        <v>100</v>
      </c>
      <c r="AA3">
        <v>63.757090931038398</v>
      </c>
      <c r="AB3">
        <v>310.74496825532401</v>
      </c>
      <c r="AC3">
        <v>308.547846495013</v>
      </c>
      <c r="AD3">
        <v>8.6302401827526793</v>
      </c>
      <c r="AE3">
        <v>348.90178405573403</v>
      </c>
      <c r="AF3">
        <v>3.5335568435771298</v>
      </c>
      <c r="AG3">
        <v>780.02242921591096</v>
      </c>
      <c r="AH3">
        <v>5.67090196341048</v>
      </c>
      <c r="AI3">
        <v>49.786847947994303</v>
      </c>
      <c r="AJ3">
        <v>172.66094143847499</v>
      </c>
      <c r="AK3">
        <v>27.921915950325801</v>
      </c>
      <c r="AL3">
        <v>-25.678238411905301</v>
      </c>
      <c r="AM3">
        <v>10.0337960579766</v>
      </c>
      <c r="AN3">
        <v>7.0497362582791201</v>
      </c>
      <c r="AO3">
        <v>0.9</v>
      </c>
      <c r="AP3">
        <v>1.2902013243630599</v>
      </c>
      <c r="AQ3">
        <v>0.72722282618999401</v>
      </c>
      <c r="AR3">
        <v>1.28338902972318</v>
      </c>
      <c r="AS3">
        <v>0.996470337471562</v>
      </c>
      <c r="AT3">
        <v>0.84644680156732399</v>
      </c>
      <c r="AU3">
        <v>0.83981092589532702</v>
      </c>
      <c r="AV3">
        <v>1</v>
      </c>
      <c r="AW3">
        <v>0.99893144424521296</v>
      </c>
      <c r="AX3">
        <v>1</v>
      </c>
      <c r="AY3">
        <v>1</v>
      </c>
      <c r="AZ3">
        <v>0.92615854526275398</v>
      </c>
      <c r="BA3">
        <v>1</v>
      </c>
      <c r="BB3">
        <v>0.98512236746764403</v>
      </c>
      <c r="BC3">
        <v>102897578261.3</v>
      </c>
      <c r="BD3">
        <v>5.2412012769931397E-2</v>
      </c>
      <c r="BE3">
        <v>12522</v>
      </c>
    </row>
    <row r="4" spans="1:57" x14ac:dyDescent="0.25">
      <c r="A4">
        <v>24</v>
      </c>
      <c r="B4">
        <v>11</v>
      </c>
      <c r="C4">
        <v>18</v>
      </c>
      <c r="D4">
        <v>0.55280087888953</v>
      </c>
      <c r="E4">
        <v>0.54727232053021901</v>
      </c>
      <c r="F4">
        <v>6.4355925666445701</v>
      </c>
      <c r="G4">
        <v>6.3731552752624401</v>
      </c>
      <c r="H4">
        <v>1.0101020244436201</v>
      </c>
      <c r="I4">
        <v>-5.52855835931033E-3</v>
      </c>
      <c r="J4">
        <v>3.5773436312757201E-2</v>
      </c>
      <c r="K4">
        <v>8.4078439565516399E-3</v>
      </c>
      <c r="L4">
        <v>5.4715407800249303E-4</v>
      </c>
      <c r="M4">
        <v>0.49679532562587803</v>
      </c>
      <c r="N4">
        <v>5.7485605570304996E-3</v>
      </c>
      <c r="O4">
        <v>0</v>
      </c>
      <c r="P4">
        <v>5.2177754987649099</v>
      </c>
      <c r="Q4">
        <v>94.782224501235106</v>
      </c>
      <c r="R4">
        <v>34.652946550831999</v>
      </c>
      <c r="S4">
        <v>39.632937732200801</v>
      </c>
      <c r="T4">
        <v>25.7141157169672</v>
      </c>
      <c r="U4">
        <v>0</v>
      </c>
      <c r="V4">
        <v>65.347053449168001</v>
      </c>
      <c r="W4">
        <v>0.52158190222897505</v>
      </c>
      <c r="X4">
        <v>-50.182986860347803</v>
      </c>
      <c r="Y4">
        <v>37.300445484466003</v>
      </c>
      <c r="Z4">
        <v>100</v>
      </c>
      <c r="AA4">
        <v>57.187442272709099</v>
      </c>
      <c r="AB4">
        <v>311.33376980346202</v>
      </c>
      <c r="AC4">
        <v>309.11541149662997</v>
      </c>
      <c r="AD4">
        <v>15.246028145753501</v>
      </c>
      <c r="AE4">
        <v>341.22010423371501</v>
      </c>
      <c r="AF4">
        <v>3.5440108027576001</v>
      </c>
      <c r="AG4">
        <v>780.38597712630894</v>
      </c>
      <c r="AH4">
        <v>6.6224066775784998</v>
      </c>
      <c r="AI4">
        <v>46.9773682388468</v>
      </c>
      <c r="AJ4">
        <v>177.60642448027701</v>
      </c>
      <c r="AK4">
        <v>22.6161035525549</v>
      </c>
      <c r="AL4">
        <v>-24.0630716878761</v>
      </c>
      <c r="AM4">
        <v>9.4337116749730701</v>
      </c>
      <c r="AN4">
        <v>12.2025680003649</v>
      </c>
      <c r="AO4">
        <v>0.9</v>
      </c>
      <c r="AP4">
        <v>1.2902004513298999</v>
      </c>
      <c r="AQ4">
        <v>1.1747978154103</v>
      </c>
      <c r="AR4">
        <v>1.2556376833268501</v>
      </c>
      <c r="AS4">
        <v>1.00080291722856</v>
      </c>
      <c r="AT4">
        <v>0.84614933974690898</v>
      </c>
      <c r="AU4">
        <v>0.83908982946629596</v>
      </c>
      <c r="AV4">
        <v>1</v>
      </c>
      <c r="AW4">
        <v>1.00162880897869</v>
      </c>
      <c r="AX4">
        <v>1</v>
      </c>
      <c r="AY4">
        <v>1</v>
      </c>
      <c r="AZ4">
        <v>0.91504883051608199</v>
      </c>
      <c r="BA4">
        <v>1</v>
      </c>
      <c r="BB4">
        <v>0.98578827853195095</v>
      </c>
      <c r="BC4">
        <v>94625075767.800003</v>
      </c>
      <c r="BD4">
        <v>5.53200947196568E-2</v>
      </c>
      <c r="BE4">
        <v>9753</v>
      </c>
    </row>
    <row r="5" spans="1:57" x14ac:dyDescent="0.25">
      <c r="A5">
        <v>25</v>
      </c>
      <c r="B5">
        <v>11</v>
      </c>
      <c r="C5">
        <v>24</v>
      </c>
      <c r="D5">
        <v>0.68886581252248902</v>
      </c>
      <c r="E5">
        <v>0.62498096312501294</v>
      </c>
      <c r="F5">
        <v>7.9602772890568403</v>
      </c>
      <c r="G5">
        <v>7.2472705935673796</v>
      </c>
      <c r="H5">
        <v>1.1022188725205999</v>
      </c>
      <c r="I5">
        <v>-6.3884849397475699E-2</v>
      </c>
      <c r="J5">
        <v>3.7568586177045303E-2</v>
      </c>
      <c r="K5">
        <v>1.0474768925587701E-2</v>
      </c>
      <c r="L5">
        <v>5.4739654512231603E-3</v>
      </c>
      <c r="M5">
        <v>0.56857356239005397</v>
      </c>
      <c r="N5">
        <v>2.8900801811031001E-3</v>
      </c>
      <c r="O5">
        <v>0</v>
      </c>
      <c r="P5">
        <v>6.5512410922756503</v>
      </c>
      <c r="Q5">
        <v>93.448758907724397</v>
      </c>
      <c r="R5">
        <v>41.069289707938303</v>
      </c>
      <c r="S5">
        <v>34.042846990862998</v>
      </c>
      <c r="T5">
        <v>24.887863301198699</v>
      </c>
      <c r="U5">
        <v>0</v>
      </c>
      <c r="V5">
        <v>58.930710292061697</v>
      </c>
      <c r="W5">
        <v>0.52329865586118396</v>
      </c>
      <c r="X5">
        <v>-55.372565956334697</v>
      </c>
      <c r="Y5">
        <v>158.63698845081501</v>
      </c>
      <c r="Z5">
        <v>100</v>
      </c>
      <c r="AA5">
        <v>55.810957600250198</v>
      </c>
      <c r="AB5">
        <v>302.89266072318401</v>
      </c>
      <c r="AC5">
        <v>300.70344672109002</v>
      </c>
      <c r="AD5">
        <v>22.0828318551</v>
      </c>
      <c r="AE5">
        <v>333.30428712881798</v>
      </c>
      <c r="AF5">
        <v>3.6553758415825999</v>
      </c>
      <c r="AG5">
        <v>780.29211528408098</v>
      </c>
      <c r="AH5">
        <v>5.7124285051735297</v>
      </c>
      <c r="AI5">
        <v>48.109233971054003</v>
      </c>
      <c r="AJ5">
        <v>178.247936422809</v>
      </c>
      <c r="AK5">
        <v>16.919500711730699</v>
      </c>
      <c r="AL5">
        <v>-22.065397208012701</v>
      </c>
      <c r="AM5">
        <v>9.2562277473633703</v>
      </c>
      <c r="AN5">
        <v>17.7726575809026</v>
      </c>
      <c r="AO5">
        <v>0.9</v>
      </c>
      <c r="AP5">
        <v>1.2901999722232</v>
      </c>
      <c r="AQ5">
        <v>1.25</v>
      </c>
      <c r="AR5">
        <v>1.2496068747248501</v>
      </c>
      <c r="AS5">
        <v>1.00210224312327</v>
      </c>
      <c r="AT5">
        <v>0.85513284440597104</v>
      </c>
      <c r="AU5">
        <v>0.83930102212541702</v>
      </c>
      <c r="AV5">
        <v>1</v>
      </c>
      <c r="AW5">
        <v>1.0055093090883001</v>
      </c>
      <c r="AX5">
        <v>1</v>
      </c>
      <c r="AY5">
        <v>1</v>
      </c>
      <c r="AZ5">
        <v>0.92339007662032002</v>
      </c>
      <c r="BA5">
        <v>1</v>
      </c>
      <c r="BB5">
        <v>0.98698776811393896</v>
      </c>
      <c r="BC5">
        <v>38770209966.699997</v>
      </c>
      <c r="BD5">
        <v>6.5641592362714898E-2</v>
      </c>
      <c r="BE5">
        <v>8077</v>
      </c>
    </row>
    <row r="6" spans="1:57" x14ac:dyDescent="0.25">
      <c r="A6">
        <v>26</v>
      </c>
      <c r="B6">
        <v>11</v>
      </c>
      <c r="C6">
        <v>30</v>
      </c>
      <c r="D6">
        <v>0.81533670499375499</v>
      </c>
      <c r="E6">
        <v>0.69492679055568596</v>
      </c>
      <c r="F6">
        <v>9.3569980531572892</v>
      </c>
      <c r="G6">
        <v>8.0276610959517001</v>
      </c>
      <c r="H6">
        <v>1.17326992724195</v>
      </c>
      <c r="I6">
        <v>-0.120409914438069</v>
      </c>
      <c r="J6">
        <v>3.8970035840377899E-2</v>
      </c>
      <c r="K6">
        <v>9.9253263595974299E-3</v>
      </c>
      <c r="L6">
        <v>1.8150336485222698E-2</v>
      </c>
      <c r="M6">
        <v>0.619249705114153</v>
      </c>
      <c r="N6">
        <v>8.6313867563351104E-3</v>
      </c>
      <c r="O6">
        <v>0</v>
      </c>
      <c r="P6">
        <v>6.2571299901854802</v>
      </c>
      <c r="Q6">
        <v>93.742870009814496</v>
      </c>
      <c r="R6">
        <v>42.046487078492</v>
      </c>
      <c r="S6">
        <v>38.626330709110903</v>
      </c>
      <c r="T6">
        <v>19.327182212397101</v>
      </c>
      <c r="U6">
        <v>0</v>
      </c>
      <c r="V6">
        <v>57.953512921508</v>
      </c>
      <c r="W6">
        <v>0.45131635601222397</v>
      </c>
      <c r="X6">
        <v>-39.725459303260998</v>
      </c>
      <c r="Y6">
        <v>296.81359431805402</v>
      </c>
      <c r="Z6">
        <v>100</v>
      </c>
      <c r="AA6">
        <v>52.138341300150799</v>
      </c>
      <c r="AB6">
        <v>301.62895385511803</v>
      </c>
      <c r="AC6">
        <v>299.43851969074001</v>
      </c>
      <c r="AD6">
        <v>25.757284670773</v>
      </c>
      <c r="AE6">
        <v>328.775332641109</v>
      </c>
      <c r="AF6">
        <v>3.71846790157602</v>
      </c>
      <c r="AG6">
        <v>781.37844602741802</v>
      </c>
      <c r="AH6">
        <v>3.5242499933929201</v>
      </c>
      <c r="AI6">
        <v>48.122079012678903</v>
      </c>
      <c r="AJ6">
        <v>175.99183603911101</v>
      </c>
      <c r="AK6">
        <v>20.230747557676299</v>
      </c>
      <c r="AL6">
        <v>-29.163325059381499</v>
      </c>
      <c r="AM6">
        <v>9.27707254086706</v>
      </c>
      <c r="AN6">
        <v>21.048290915703401</v>
      </c>
      <c r="AO6">
        <v>0.9</v>
      </c>
      <c r="AP6">
        <v>1.2901997834455901</v>
      </c>
      <c r="AQ6">
        <v>1.25</v>
      </c>
      <c r="AR6">
        <v>1.2844566349128299</v>
      </c>
      <c r="AS6">
        <v>1.00400306058731</v>
      </c>
      <c r="AT6">
        <v>0.856539475814731</v>
      </c>
      <c r="AU6">
        <v>0.83717516960069904</v>
      </c>
      <c r="AV6">
        <v>1</v>
      </c>
      <c r="AW6">
        <v>0.99161810261405903</v>
      </c>
      <c r="AX6">
        <v>1</v>
      </c>
      <c r="AY6">
        <v>1</v>
      </c>
      <c r="AZ6">
        <v>0.92466043320204006</v>
      </c>
      <c r="BA6">
        <v>1</v>
      </c>
      <c r="BB6">
        <v>0.98544878410851899</v>
      </c>
      <c r="BC6">
        <v>20238524439.900002</v>
      </c>
      <c r="BD6">
        <v>7.8835154773066393E-2</v>
      </c>
      <c r="BE6">
        <v>5251</v>
      </c>
    </row>
    <row r="7" spans="1:57" x14ac:dyDescent="0.25">
      <c r="A7">
        <v>27</v>
      </c>
      <c r="B7">
        <v>11</v>
      </c>
      <c r="C7">
        <v>36</v>
      </c>
      <c r="D7">
        <v>0.85457469433837596</v>
      </c>
      <c r="E7">
        <v>0.67265890343571699</v>
      </c>
      <c r="F7">
        <v>9.7863693562689296</v>
      </c>
      <c r="G7">
        <v>7.7798722576883099</v>
      </c>
      <c r="H7">
        <v>1.27044284996972</v>
      </c>
      <c r="I7">
        <v>-0.181915790902659</v>
      </c>
      <c r="J7">
        <v>4.2805622997572498E-2</v>
      </c>
      <c r="K7">
        <v>1.47197227432213E-2</v>
      </c>
      <c r="L7">
        <v>1.25214179550182E-2</v>
      </c>
      <c r="M7">
        <v>0.59700658754999802</v>
      </c>
      <c r="N7">
        <v>5.6055521899075096E-3</v>
      </c>
      <c r="O7">
        <v>0</v>
      </c>
      <c r="P7">
        <v>8.5735630343952494</v>
      </c>
      <c r="Q7">
        <v>91.426436965604694</v>
      </c>
      <c r="R7">
        <v>54.870061225796498</v>
      </c>
      <c r="S7">
        <v>27.1620791554503</v>
      </c>
      <c r="T7">
        <v>17.967859618753199</v>
      </c>
      <c r="U7">
        <v>0</v>
      </c>
      <c r="V7">
        <v>45.129938774203502</v>
      </c>
      <c r="W7">
        <v>0.56798288623458904</v>
      </c>
      <c r="X7">
        <v>-42.337232867554</v>
      </c>
      <c r="Y7">
        <v>400.775026961131</v>
      </c>
      <c r="Z7">
        <v>100</v>
      </c>
      <c r="AA7">
        <v>50.518163406193402</v>
      </c>
      <c r="AB7">
        <v>287.218012688307</v>
      </c>
      <c r="AC7">
        <v>285.12268062876899</v>
      </c>
      <c r="AD7">
        <v>34.377749368847901</v>
      </c>
      <c r="AE7">
        <v>318.76184591753201</v>
      </c>
      <c r="AF7">
        <v>3.7525903783648702</v>
      </c>
      <c r="AG7">
        <v>781.37182339205697</v>
      </c>
      <c r="AH7">
        <v>0.96524933082314401</v>
      </c>
      <c r="AI7">
        <v>44.917228089673202</v>
      </c>
      <c r="AJ7">
        <v>179.31278559233201</v>
      </c>
      <c r="AK7">
        <v>17.140319431294401</v>
      </c>
      <c r="AL7">
        <v>-26.3057367475398</v>
      </c>
      <c r="AM7">
        <v>9.4928292659665097</v>
      </c>
      <c r="AN7">
        <v>29.781197032619801</v>
      </c>
      <c r="AO7">
        <v>0.9</v>
      </c>
      <c r="AP7">
        <v>1.2902001137213299</v>
      </c>
      <c r="AQ7">
        <v>1.25</v>
      </c>
      <c r="AR7">
        <v>1.2818083135132701</v>
      </c>
      <c r="AS7">
        <v>1.0054861447099199</v>
      </c>
      <c r="AT7">
        <v>0.87203941402375895</v>
      </c>
      <c r="AU7">
        <v>0.83714977302294902</v>
      </c>
      <c r="AV7">
        <v>1</v>
      </c>
      <c r="AW7">
        <v>0.99789757554447001</v>
      </c>
      <c r="AX7">
        <v>1</v>
      </c>
      <c r="AY7">
        <v>1</v>
      </c>
      <c r="AZ7">
        <v>0.94133107959353501</v>
      </c>
      <c r="BA7">
        <v>1</v>
      </c>
      <c r="BB7">
        <v>0.98845301576677902</v>
      </c>
      <c r="BC7">
        <v>15442060776.700001</v>
      </c>
      <c r="BD7">
        <v>7.9387319257646999E-2</v>
      </c>
      <c r="BE7">
        <v>4050</v>
      </c>
    </row>
    <row r="8" spans="1:57" x14ac:dyDescent="0.25">
      <c r="A8">
        <v>28</v>
      </c>
      <c r="B8">
        <v>11</v>
      </c>
      <c r="C8">
        <v>42</v>
      </c>
      <c r="D8">
        <v>0.78698548502293597</v>
      </c>
      <c r="E8">
        <v>0.64317808103281204</v>
      </c>
      <c r="F8">
        <v>9.0455930126038897</v>
      </c>
      <c r="G8">
        <v>7.45087912982489</v>
      </c>
      <c r="H8">
        <v>1.2235887823776599</v>
      </c>
      <c r="I8">
        <v>-0.14380740399012401</v>
      </c>
      <c r="J8">
        <v>4.4186068658907798E-2</v>
      </c>
      <c r="K8">
        <v>1.2672233570464301E-2</v>
      </c>
      <c r="L8">
        <v>5.8387581780033901E-3</v>
      </c>
      <c r="M8">
        <v>0.57795127444690098</v>
      </c>
      <c r="N8">
        <v>2.5297461785359502E-3</v>
      </c>
      <c r="O8">
        <v>0</v>
      </c>
      <c r="P8">
        <v>4.7682298550415396</v>
      </c>
      <c r="Q8">
        <v>95.231770144958503</v>
      </c>
      <c r="R8">
        <v>20.082999124262201</v>
      </c>
      <c r="S8">
        <v>54.697140907728603</v>
      </c>
      <c r="T8">
        <v>25.219859968009199</v>
      </c>
      <c r="U8">
        <v>0</v>
      </c>
      <c r="V8">
        <v>79.917000875737799</v>
      </c>
      <c r="W8">
        <v>0.46586252483325302</v>
      </c>
      <c r="X8">
        <v>-55.883517846022002</v>
      </c>
      <c r="Y8">
        <v>383.53029409085701</v>
      </c>
      <c r="Z8">
        <v>100</v>
      </c>
      <c r="AA8">
        <v>46.209103840439802</v>
      </c>
      <c r="AB8">
        <v>302.064626987113</v>
      </c>
      <c r="AC8">
        <v>300.001603303232</v>
      </c>
      <c r="AD8">
        <v>37.483145684072703</v>
      </c>
      <c r="AE8">
        <v>315.41373115233699</v>
      </c>
      <c r="AF8">
        <v>3.7178087671747901</v>
      </c>
      <c r="AG8">
        <v>781.33010571843499</v>
      </c>
      <c r="AH8">
        <v>1.1240462779825799</v>
      </c>
      <c r="AI8">
        <v>50.317077819866697</v>
      </c>
      <c r="AJ8">
        <v>179.68305886246301</v>
      </c>
      <c r="AK8">
        <v>13.832392673609901</v>
      </c>
      <c r="AL8">
        <v>-31.829490763305401</v>
      </c>
      <c r="AM8">
        <v>9.1321117585529503</v>
      </c>
      <c r="AN8">
        <v>31.495086180531398</v>
      </c>
      <c r="AO8">
        <v>0.9</v>
      </c>
      <c r="AP8">
        <v>1.29019912423403</v>
      </c>
      <c r="AQ8">
        <v>1.25</v>
      </c>
      <c r="AR8">
        <v>1.2526837959700201</v>
      </c>
      <c r="AS8">
        <v>1.0066515778879701</v>
      </c>
      <c r="AT8">
        <v>0.85577610039877805</v>
      </c>
      <c r="AU8">
        <v>0.83727824504924997</v>
      </c>
      <c r="AV8">
        <v>1</v>
      </c>
      <c r="AW8">
        <v>0.98545869344596804</v>
      </c>
      <c r="AX8">
        <v>1</v>
      </c>
      <c r="AY8">
        <v>1</v>
      </c>
      <c r="AZ8">
        <v>0.89610789886154096</v>
      </c>
      <c r="BA8">
        <v>1</v>
      </c>
      <c r="BB8">
        <v>0.99028736107263904</v>
      </c>
      <c r="BC8">
        <v>9720629382.2000008</v>
      </c>
      <c r="BD8">
        <v>7.4201435313546005E-2</v>
      </c>
      <c r="BE8">
        <v>2968</v>
      </c>
    </row>
    <row r="9" spans="1:57" x14ac:dyDescent="0.25">
      <c r="A9">
        <v>29</v>
      </c>
      <c r="B9">
        <v>11</v>
      </c>
      <c r="C9">
        <v>48</v>
      </c>
      <c r="D9">
        <v>0.70954743651064101</v>
      </c>
      <c r="E9">
        <v>0.65469091382086397</v>
      </c>
      <c r="F9">
        <v>8.1900221852588508</v>
      </c>
      <c r="G9">
        <v>7.5794851474093603</v>
      </c>
      <c r="H9">
        <v>1.0837899557359501</v>
      </c>
      <c r="I9">
        <v>-5.4856522689776803E-2</v>
      </c>
      <c r="J9">
        <v>4.9006224036981599E-2</v>
      </c>
      <c r="K9">
        <v>8.4765306197733398E-3</v>
      </c>
      <c r="L9">
        <v>9.0604025402216196E-3</v>
      </c>
      <c r="M9">
        <v>0.58398352866314296</v>
      </c>
      <c r="N9">
        <v>4.1642279607445503E-3</v>
      </c>
      <c r="O9">
        <v>0</v>
      </c>
      <c r="P9">
        <v>5.71411928184971</v>
      </c>
      <c r="Q9">
        <v>94.285880718150295</v>
      </c>
      <c r="R9">
        <v>27.6309156480086</v>
      </c>
      <c r="S9">
        <v>51.779275040328699</v>
      </c>
      <c r="T9">
        <v>20.589809311662702</v>
      </c>
      <c r="U9">
        <v>0</v>
      </c>
      <c r="V9">
        <v>72.369084351991404</v>
      </c>
      <c r="W9">
        <v>0.26768949551215498</v>
      </c>
      <c r="X9">
        <v>-45.954728454621197</v>
      </c>
      <c r="Y9">
        <v>136.409443022201</v>
      </c>
      <c r="Z9">
        <v>100</v>
      </c>
      <c r="AA9">
        <v>41.928020892075999</v>
      </c>
      <c r="AB9">
        <v>290.70011881467701</v>
      </c>
      <c r="AC9">
        <v>288.76735440959902</v>
      </c>
      <c r="AD9">
        <v>47.218309387307599</v>
      </c>
      <c r="AE9">
        <v>304.65228573591997</v>
      </c>
      <c r="AF9">
        <v>3.5108017885405798</v>
      </c>
      <c r="AG9">
        <v>782.73386762345103</v>
      </c>
      <c r="AH9">
        <v>3.7593594663292098</v>
      </c>
      <c r="AI9">
        <v>54.650359770335101</v>
      </c>
      <c r="AJ9">
        <v>169.379860790641</v>
      </c>
      <c r="AK9">
        <v>25.824099930311199</v>
      </c>
      <c r="AL9">
        <v>-22.778883850263199</v>
      </c>
      <c r="AM9">
        <v>9.0568520975881395</v>
      </c>
      <c r="AN9">
        <v>40.7839378206764</v>
      </c>
      <c r="AO9">
        <v>0.9</v>
      </c>
      <c r="AP9">
        <v>1.2901998629742399</v>
      </c>
      <c r="AQ9">
        <v>1.25</v>
      </c>
      <c r="AR9">
        <v>1.2796504872611401</v>
      </c>
      <c r="AS9">
        <v>1.00725854559473</v>
      </c>
      <c r="AT9">
        <v>0.86839600319443899</v>
      </c>
      <c r="AU9">
        <v>0.83446189730980502</v>
      </c>
      <c r="AV9">
        <v>1</v>
      </c>
      <c r="AW9">
        <v>1.00470463759077</v>
      </c>
      <c r="AX9">
        <v>1</v>
      </c>
      <c r="AY9">
        <v>1</v>
      </c>
      <c r="AZ9">
        <v>0.905920190342411</v>
      </c>
      <c r="BA9">
        <v>1</v>
      </c>
      <c r="BB9">
        <v>0.999798538539588</v>
      </c>
      <c r="BC9">
        <v>24287688384.599998</v>
      </c>
      <c r="BD9">
        <v>8.7300357793309594E-2</v>
      </c>
      <c r="BE9">
        <v>4331</v>
      </c>
    </row>
    <row r="10" spans="1:57" x14ac:dyDescent="0.25">
      <c r="A10">
        <v>30</v>
      </c>
      <c r="B10">
        <v>11</v>
      </c>
      <c r="C10">
        <v>54</v>
      </c>
      <c r="D10">
        <v>0.67235511326646402</v>
      </c>
      <c r="E10">
        <v>0.67624709022126195</v>
      </c>
      <c r="F10">
        <v>7.7764875655165797</v>
      </c>
      <c r="G10">
        <v>7.8198415916425796</v>
      </c>
      <c r="H10">
        <v>0.99424474129193796</v>
      </c>
      <c r="I10">
        <v>3.8919769547978199E-3</v>
      </c>
      <c r="J10">
        <v>5.1724532961329499E-2</v>
      </c>
      <c r="K10">
        <v>7.5517530711030302E-3</v>
      </c>
      <c r="L10">
        <v>6.7401205145557396E-3</v>
      </c>
      <c r="M10">
        <v>0.60728500266775598</v>
      </c>
      <c r="N10">
        <v>2.9456810065168599E-3</v>
      </c>
      <c r="O10">
        <v>0</v>
      </c>
      <c r="P10">
        <v>5.2967854899450701</v>
      </c>
      <c r="Q10">
        <v>94.703214510054906</v>
      </c>
      <c r="R10">
        <v>20.310269013949899</v>
      </c>
      <c r="S10">
        <v>58.510163576036902</v>
      </c>
      <c r="T10">
        <v>21.1795674100131</v>
      </c>
      <c r="U10">
        <v>0</v>
      </c>
      <c r="V10">
        <v>79.689730986050094</v>
      </c>
      <c r="W10">
        <v>0.225018880921596</v>
      </c>
      <c r="X10">
        <v>-48.570595269033703</v>
      </c>
      <c r="Y10">
        <v>115.090472076967</v>
      </c>
      <c r="Z10">
        <v>100</v>
      </c>
      <c r="AA10">
        <v>38.352193960667996</v>
      </c>
      <c r="AB10">
        <v>289.426801909419</v>
      </c>
      <c r="AC10">
        <v>287.556021753881</v>
      </c>
      <c r="AD10">
        <v>52.383396615633501</v>
      </c>
      <c r="AE10">
        <v>298.51666164880902</v>
      </c>
      <c r="AF10">
        <v>3.4339385202199102</v>
      </c>
      <c r="AG10">
        <v>783.446544832673</v>
      </c>
      <c r="AH10">
        <v>2.8130344586428899</v>
      </c>
      <c r="AI10">
        <v>61.852498710774199</v>
      </c>
      <c r="AJ10">
        <v>170.351487023191</v>
      </c>
      <c r="AK10">
        <v>27.5090168832849</v>
      </c>
      <c r="AL10">
        <v>-22.744597895812699</v>
      </c>
      <c r="AM10">
        <v>9.7287096134980899</v>
      </c>
      <c r="AN10">
        <v>50.1596851367661</v>
      </c>
      <c r="AO10">
        <v>0.9</v>
      </c>
      <c r="AP10">
        <v>1.2902007711477099</v>
      </c>
      <c r="AQ10">
        <v>1.25</v>
      </c>
      <c r="AR10">
        <v>1.27257129669807</v>
      </c>
      <c r="AS10">
        <v>1.00746498923032</v>
      </c>
      <c r="AT10">
        <v>0.86989939556801699</v>
      </c>
      <c r="AU10">
        <v>0.83308615430101596</v>
      </c>
      <c r="AV10">
        <v>1</v>
      </c>
      <c r="AW10">
        <v>1.0043011679861</v>
      </c>
      <c r="AX10">
        <v>1</v>
      </c>
      <c r="AY10">
        <v>1</v>
      </c>
      <c r="AZ10">
        <v>0.89640334971813496</v>
      </c>
      <c r="BA10">
        <v>1</v>
      </c>
      <c r="BB10">
        <v>1.00288716696133</v>
      </c>
      <c r="BC10">
        <v>59253521832.400002</v>
      </c>
      <c r="BD10">
        <v>7.6114609701440003E-2</v>
      </c>
      <c r="BE10">
        <v>9118</v>
      </c>
    </row>
    <row r="11" spans="1:57" x14ac:dyDescent="0.25">
      <c r="A11">
        <v>31</v>
      </c>
      <c r="B11">
        <v>11</v>
      </c>
      <c r="C11">
        <v>60</v>
      </c>
      <c r="D11">
        <v>0.664369608138486</v>
      </c>
      <c r="E11">
        <v>0.62812469150215999</v>
      </c>
      <c r="F11">
        <v>7.6874758434898398</v>
      </c>
      <c r="G11">
        <v>7.2824752550174203</v>
      </c>
      <c r="H11">
        <v>1.05770337820926</v>
      </c>
      <c r="I11">
        <v>-3.62449166363265E-2</v>
      </c>
      <c r="J11">
        <v>5.60393677125679E-2</v>
      </c>
      <c r="K11">
        <v>1.1025730994182E-2</v>
      </c>
      <c r="L11">
        <v>1.0150252078820501E-2</v>
      </c>
      <c r="M11">
        <v>0.54639566810432905</v>
      </c>
      <c r="N11">
        <v>4.5136726122603698E-3</v>
      </c>
      <c r="O11">
        <v>0</v>
      </c>
      <c r="P11">
        <v>4.7140450153652997</v>
      </c>
      <c r="Q11">
        <v>95.285954984634699</v>
      </c>
      <c r="R11">
        <v>20.1766366850159</v>
      </c>
      <c r="S11">
        <v>60.714009407795601</v>
      </c>
      <c r="T11">
        <v>19.1093539071884</v>
      </c>
      <c r="U11">
        <v>0</v>
      </c>
      <c r="V11">
        <v>79.823363314984107</v>
      </c>
      <c r="W11">
        <v>0.31579218292504702</v>
      </c>
      <c r="X11">
        <v>-49.537353919366801</v>
      </c>
      <c r="Y11">
        <v>260.95924285660402</v>
      </c>
      <c r="Z11">
        <v>100</v>
      </c>
      <c r="AA11">
        <v>34.744157648616003</v>
      </c>
      <c r="AB11">
        <v>284.18343134616998</v>
      </c>
      <c r="AC11">
        <v>282.34785280719802</v>
      </c>
      <c r="AD11">
        <v>60.881110304450402</v>
      </c>
      <c r="AE11">
        <v>288.87617601645098</v>
      </c>
      <c r="AF11">
        <v>3.50904582911358</v>
      </c>
      <c r="AG11">
        <v>784.33837451070997</v>
      </c>
      <c r="AH11">
        <v>3.9138846347241798</v>
      </c>
      <c r="AI11">
        <v>59.859470602133698</v>
      </c>
      <c r="AJ11">
        <v>177.16525379593199</v>
      </c>
      <c r="AK11">
        <v>24.138753319558401</v>
      </c>
      <c r="AL11">
        <v>-22.036874970113502</v>
      </c>
      <c r="AM11">
        <v>9.5831936590773594</v>
      </c>
      <c r="AN11">
        <v>59.488197317065001</v>
      </c>
      <c r="AO11">
        <v>0.9</v>
      </c>
      <c r="AP11">
        <v>1.29020065564956</v>
      </c>
      <c r="AQ11">
        <v>1.25</v>
      </c>
      <c r="AR11">
        <v>1.2559155771885999</v>
      </c>
      <c r="AS11">
        <v>1.0075915231328101</v>
      </c>
      <c r="AT11">
        <v>0.87573183663582399</v>
      </c>
      <c r="AU11">
        <v>0.831302601083448</v>
      </c>
      <c r="AV11">
        <v>1</v>
      </c>
      <c r="AW11">
        <v>1.0054732886020901</v>
      </c>
      <c r="AX11">
        <v>1</v>
      </c>
      <c r="AY11">
        <v>1</v>
      </c>
      <c r="AZ11">
        <v>0.89622962769052095</v>
      </c>
      <c r="BA11">
        <v>1</v>
      </c>
      <c r="BB11">
        <v>0.99694246696226896</v>
      </c>
      <c r="BC11">
        <v>170112289546.70001</v>
      </c>
      <c r="BD11">
        <v>7.3496056029445395E-2</v>
      </c>
      <c r="BE11">
        <v>28099</v>
      </c>
    </row>
    <row r="15" spans="1:57" x14ac:dyDescent="0.25">
      <c r="G15">
        <v>1</v>
      </c>
    </row>
    <row r="16" spans="1:57" x14ac:dyDescent="0.25">
      <c r="D16" t="s">
        <v>28</v>
      </c>
      <c r="E16" t="s">
        <v>53</v>
      </c>
      <c r="F16" t="str">
        <f>D1</f>
        <v>actual.smm</v>
      </c>
      <c r="G16" t="str">
        <f>E1</f>
        <v>model.smm</v>
      </c>
      <c r="H16" t="s">
        <v>6</v>
      </c>
      <c r="J16" t="s">
        <v>59</v>
      </c>
      <c r="K16" t="s">
        <v>60</v>
      </c>
      <c r="L16" t="s">
        <v>61</v>
      </c>
      <c r="M16" t="str">
        <f>K1</f>
        <v>dflt.smm</v>
      </c>
      <c r="N16" t="s">
        <v>60</v>
      </c>
    </row>
    <row r="17" spans="3:14" x14ac:dyDescent="0.25">
      <c r="C17">
        <v>0</v>
      </c>
      <c r="J17">
        <v>0.16</v>
      </c>
      <c r="L17">
        <v>0.71</v>
      </c>
    </row>
    <row r="18" spans="3:14" x14ac:dyDescent="0.25">
      <c r="C18">
        <f>C2</f>
        <v>6</v>
      </c>
      <c r="D18" s="7">
        <f>AD2</f>
        <v>3.7304315903043701</v>
      </c>
      <c r="E18" s="8">
        <f>BC2/1000000000</f>
        <v>50.589889425499997</v>
      </c>
      <c r="F18" s="6">
        <f>D2</f>
        <v>0.38462635040628801</v>
      </c>
      <c r="G18" s="6">
        <f>J2+K2+L2+M2*$G$15+N2</f>
        <v>0.20205796666487541</v>
      </c>
      <c r="H18" s="6">
        <f>F18/G18</f>
        <v>1.9035445954190591</v>
      </c>
      <c r="J18">
        <v>0.5</v>
      </c>
      <c r="K18" s="10">
        <v>1.7</v>
      </c>
      <c r="L18" s="9">
        <f>J18*K18</f>
        <v>0.85</v>
      </c>
      <c r="M18" s="6">
        <f>J2+K2+L2+M2*$K18+N2</f>
        <v>0.31966801013210505</v>
      </c>
      <c r="N18" s="6">
        <f>F18/M18</f>
        <v>1.2032056327667522</v>
      </c>
    </row>
    <row r="19" spans="3:14" x14ac:dyDescent="0.25">
      <c r="C19">
        <f>C3</f>
        <v>12</v>
      </c>
      <c r="D19" s="7">
        <f>AD3</f>
        <v>8.6302401827526793</v>
      </c>
      <c r="E19" s="8">
        <f>BC3/1000000000</f>
        <v>102.8975782613</v>
      </c>
      <c r="F19" s="6">
        <f>D3</f>
        <v>0.49770443344996601</v>
      </c>
      <c r="G19" s="6">
        <f>J3+K3+L3+M3*$G$15+N3</f>
        <v>0.40808262589865668</v>
      </c>
      <c r="H19" s="6">
        <f t="shared" ref="H19:H24" si="0">F19/G19</f>
        <v>1.2196168174372757</v>
      </c>
      <c r="J19">
        <v>1.02</v>
      </c>
      <c r="K19" s="10">
        <v>1.05</v>
      </c>
      <c r="L19" s="9">
        <f>J19*K19</f>
        <v>1.0710000000000002</v>
      </c>
      <c r="M19" s="6">
        <f>J3+K3+L3+M3*$K19+N3</f>
        <v>0.42620219667320597</v>
      </c>
      <c r="N19" s="6">
        <f>F19/M19</f>
        <v>1.1677659977702672</v>
      </c>
    </row>
    <row r="20" spans="3:14" x14ac:dyDescent="0.25">
      <c r="C20">
        <f>C4</f>
        <v>18</v>
      </c>
      <c r="D20" s="7">
        <f>AD4</f>
        <v>15.246028145753501</v>
      </c>
      <c r="E20" s="8">
        <f>BC4/1000000000</f>
        <v>94.625075767799999</v>
      </c>
      <c r="F20" s="6">
        <f>D4</f>
        <v>0.55280087888953</v>
      </c>
      <c r="G20" s="6">
        <f>J4+K4+L4+M4*$G$15+N4</f>
        <v>0.5472723205302199</v>
      </c>
      <c r="H20" s="6">
        <f t="shared" si="0"/>
        <v>1.0101020244436147</v>
      </c>
      <c r="J20">
        <v>1.25</v>
      </c>
      <c r="K20" s="10">
        <v>1</v>
      </c>
      <c r="L20" s="9">
        <f t="shared" ref="L20:L24" si="1">J20*K20</f>
        <v>1.25</v>
      </c>
      <c r="M20" s="6">
        <f>J4+K4+L4+M4*$K20+N4</f>
        <v>0.5472723205302199</v>
      </c>
      <c r="N20" s="6">
        <f t="shared" ref="N20:N24" si="2">F20/M20</f>
        <v>1.0101020244436147</v>
      </c>
    </row>
    <row r="21" spans="3:14" x14ac:dyDescent="0.25">
      <c r="C21">
        <f>C5</f>
        <v>24</v>
      </c>
      <c r="D21" s="7">
        <f>AD5</f>
        <v>22.0828318551</v>
      </c>
      <c r="E21" s="8">
        <f>BC5/1000000000</f>
        <v>38.770209966699994</v>
      </c>
      <c r="F21" s="6">
        <f>D5</f>
        <v>0.68886581252248902</v>
      </c>
      <c r="G21" s="6">
        <f>J5+K5+L5+M5*$G$15+N5</f>
        <v>0.62498096312501328</v>
      </c>
      <c r="H21" s="6">
        <f t="shared" si="0"/>
        <v>1.102218872520597</v>
      </c>
      <c r="J21">
        <v>1.25</v>
      </c>
      <c r="K21" s="10">
        <v>1</v>
      </c>
      <c r="L21" s="9">
        <f t="shared" si="1"/>
        <v>1.25</v>
      </c>
      <c r="M21" s="6">
        <f>J5+K5+L5+M5*$K21+N5</f>
        <v>0.62498096312501328</v>
      </c>
      <c r="N21" s="6">
        <f t="shared" si="2"/>
        <v>1.102218872520597</v>
      </c>
    </row>
    <row r="22" spans="3:14" x14ac:dyDescent="0.25">
      <c r="C22">
        <f>C6</f>
        <v>30</v>
      </c>
      <c r="D22" s="7">
        <f>AD6</f>
        <v>25.757284670773</v>
      </c>
      <c r="E22" s="8">
        <f>BC6/1000000000</f>
        <v>20.238524439900001</v>
      </c>
      <c r="F22" s="6">
        <f>D6</f>
        <v>0.81533670499375499</v>
      </c>
      <c r="G22" s="6">
        <f>J6+K6+L6+M6*$G$15+N6</f>
        <v>0.69492679055568618</v>
      </c>
      <c r="H22" s="6">
        <f t="shared" si="0"/>
        <v>1.1732699272419547</v>
      </c>
      <c r="J22">
        <v>1.25</v>
      </c>
      <c r="K22" s="10">
        <v>1</v>
      </c>
      <c r="L22" s="9">
        <f t="shared" si="1"/>
        <v>1.25</v>
      </c>
      <c r="M22" s="6">
        <f>J6+K6+L6+M6*$K22+N6</f>
        <v>0.69492679055568618</v>
      </c>
      <c r="N22" s="6">
        <f t="shared" si="2"/>
        <v>1.1732699272419547</v>
      </c>
    </row>
    <row r="23" spans="3:14" x14ac:dyDescent="0.25">
      <c r="C23">
        <f>C7</f>
        <v>36</v>
      </c>
      <c r="D23" s="7">
        <f>AD7</f>
        <v>34.377749368847901</v>
      </c>
      <c r="E23" s="8">
        <f>BC7/1000000000</f>
        <v>15.4420607767</v>
      </c>
      <c r="F23" s="6">
        <f>D7</f>
        <v>0.85457469433837596</v>
      </c>
      <c r="G23" s="6">
        <f>J7+K7+L7+M7*$G$15+N7</f>
        <v>0.67265890343571755</v>
      </c>
      <c r="H23" s="6">
        <f t="shared" si="0"/>
        <v>1.2704428499697145</v>
      </c>
      <c r="J23">
        <v>1.25</v>
      </c>
      <c r="K23" s="10">
        <v>1</v>
      </c>
      <c r="L23" s="9">
        <f t="shared" si="1"/>
        <v>1.25</v>
      </c>
      <c r="M23" s="6">
        <f>J7+K7+L7+M7*$K23+N7</f>
        <v>0.67265890343571755</v>
      </c>
      <c r="N23" s="6">
        <f t="shared" si="2"/>
        <v>1.2704428499697145</v>
      </c>
    </row>
    <row r="24" spans="3:14" x14ac:dyDescent="0.25">
      <c r="C24">
        <f>C8</f>
        <v>42</v>
      </c>
      <c r="D24" s="7">
        <f>AD8</f>
        <v>37.483145684072703</v>
      </c>
      <c r="E24" s="8">
        <f>BC8/1000000000</f>
        <v>9.7206293822000003</v>
      </c>
      <c r="F24" s="6">
        <f>D8</f>
        <v>0.78698548502293597</v>
      </c>
      <c r="G24" s="6">
        <f>J8+K8+L8+M8*$G$15+N8</f>
        <v>0.64317808103281238</v>
      </c>
      <c r="H24" s="6">
        <f t="shared" si="0"/>
        <v>1.2235887823776554</v>
      </c>
      <c r="J24">
        <v>1.25</v>
      </c>
      <c r="K24" s="10">
        <v>1</v>
      </c>
      <c r="L24" s="9">
        <f t="shared" si="1"/>
        <v>1.25</v>
      </c>
      <c r="M24" s="6">
        <f>J8+K8+L8+M8*$K24+N8</f>
        <v>0.64317808103281238</v>
      </c>
      <c r="N24" s="6">
        <f t="shared" si="2"/>
        <v>1.2235887823776554</v>
      </c>
    </row>
    <row r="28" spans="3:14" x14ac:dyDescent="0.25">
      <c r="K28" s="5"/>
    </row>
    <row r="30" spans="3:14" x14ac:dyDescent="0.25">
      <c r="D30" t="s">
        <v>62</v>
      </c>
      <c r="E30" t="s">
        <v>63</v>
      </c>
    </row>
    <row r="31" spans="3:14" x14ac:dyDescent="0.25">
      <c r="C31">
        <f>C18</f>
        <v>6</v>
      </c>
      <c r="D31">
        <f>'HPA 11 Fit'!L17</f>
        <v>0.71</v>
      </c>
      <c r="E31">
        <f>'HPA 5 Fit'!L18</f>
        <v>0.71</v>
      </c>
    </row>
    <row r="32" spans="3:14" x14ac:dyDescent="0.25">
      <c r="C32">
        <f t="shared" ref="C32:C37" si="3">C19</f>
        <v>12</v>
      </c>
      <c r="D32">
        <f>'HPA 11 Fit'!L18</f>
        <v>0.85</v>
      </c>
      <c r="E32">
        <f>'HPA 5 Fit'!L19</f>
        <v>0.71</v>
      </c>
    </row>
    <row r="33" spans="3:5" x14ac:dyDescent="0.25">
      <c r="C33">
        <f t="shared" si="3"/>
        <v>18</v>
      </c>
      <c r="D33">
        <f>'HPA 11 Fit'!L19</f>
        <v>1.0710000000000002</v>
      </c>
      <c r="E33">
        <f>'HPA 5 Fit'!L20</f>
        <v>0.71399999999999997</v>
      </c>
    </row>
    <row r="34" spans="3:5" x14ac:dyDescent="0.25">
      <c r="C34">
        <f t="shared" si="3"/>
        <v>24</v>
      </c>
      <c r="D34">
        <f>'HPA 11 Fit'!L20</f>
        <v>1.25</v>
      </c>
      <c r="E34">
        <f>'HPA 5 Fit'!L21</f>
        <v>0.85000000000000009</v>
      </c>
    </row>
    <row r="35" spans="3:5" x14ac:dyDescent="0.25">
      <c r="C35">
        <f t="shared" si="3"/>
        <v>30</v>
      </c>
      <c r="D35">
        <f>'HPA 11 Fit'!L21</f>
        <v>1.25</v>
      </c>
      <c r="E35">
        <f>'HPA 5 Fit'!L22</f>
        <v>1.1000000000000001</v>
      </c>
    </row>
    <row r="36" spans="3:5" x14ac:dyDescent="0.25">
      <c r="C36">
        <f t="shared" si="3"/>
        <v>36</v>
      </c>
      <c r="D36">
        <f>'HPA 11 Fit'!L22</f>
        <v>1.25</v>
      </c>
      <c r="E36">
        <f>'HPA 5 Fit'!L23</f>
        <v>1.1125</v>
      </c>
    </row>
    <row r="37" spans="3:5" x14ac:dyDescent="0.25">
      <c r="C37">
        <f t="shared" si="3"/>
        <v>42</v>
      </c>
      <c r="D37">
        <f>'HPA 11 Fit'!L23</f>
        <v>1.25</v>
      </c>
      <c r="E37">
        <f>'HPA 5 Fit'!L24</f>
        <v>1.2375</v>
      </c>
    </row>
  </sheetData>
  <conditionalFormatting sqref="E18:E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{D734DF07-DCC2-4725-9A33-BCB08588DE66}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34DF07-DCC2-4725-9A33-BCB08588D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vs 11</vt:lpstr>
      <vt:lpstr>HPA 5 Fit</vt:lpstr>
      <vt:lpstr>HPA 11 Fit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2018-06-12T14:21:45Z</dcterms:created>
  <dcterms:modified xsi:type="dcterms:W3CDTF">2018-06-12T17:45:15Z</dcterms:modified>
</cp:coreProperties>
</file>