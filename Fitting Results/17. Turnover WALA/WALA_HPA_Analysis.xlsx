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90" windowWidth="30675" windowHeight="19470" activeTab="1"/>
  </bookViews>
  <sheets>
    <sheet name="Starting point" sheetId="7" r:id="rId1"/>
    <sheet name="hpa_annual_plot" sheetId="5" r:id="rId2"/>
    <sheet name="hpa_cum_plot" sheetId="6" r:id="rId3"/>
    <sheet name="hpa_annual_data" sheetId="1" r:id="rId4"/>
    <sheet name="hpa_cum_data" sheetId="2" r:id="rId5"/>
  </sheets>
  <calcPr calcId="145621"/>
  <pivotCaches>
    <pivotCache cacheId="1" r:id="rId6"/>
    <pivotCache cacheId="4" r:id="rId7"/>
  </pivotCaches>
</workbook>
</file>

<file path=xl/sharedStrings.xml><?xml version="1.0" encoding="utf-8"?>
<sst xmlns="http://schemas.openxmlformats.org/spreadsheetml/2006/main" count="47" uniqueCount="21">
  <si>
    <t>walaBucket</t>
  </si>
  <si>
    <t>hpaBucket</t>
  </si>
  <si>
    <t>prepayAmount_</t>
  </si>
  <si>
    <t>calcScham_</t>
  </si>
  <si>
    <t>smm</t>
  </si>
  <si>
    <t>cpr</t>
  </si>
  <si>
    <t>hpa_annual_</t>
  </si>
  <si>
    <t>HPA_cum_</t>
  </si>
  <si>
    <t>hpa_2yr_</t>
  </si>
  <si>
    <t>fico</t>
  </si>
  <si>
    <t>bal</t>
  </si>
  <si>
    <t>Row Labels</t>
  </si>
  <si>
    <t>Column Labels</t>
  </si>
  <si>
    <t>Sum of cpr</t>
  </si>
  <si>
    <t>Sum of bal</t>
  </si>
  <si>
    <t>Sum of hpa_annual_</t>
  </si>
  <si>
    <t>Sum of HPA_cum_</t>
  </si>
  <si>
    <t>grp</t>
  </si>
  <si>
    <t>x</t>
  </si>
  <si>
    <t>hpa_annual</t>
  </si>
  <si>
    <t>hpa_cum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</si>
</sst>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17"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65" formatCode="_(* #,##0_);_(* \(#,##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65" formatCode="_(* #,##0_);_(* \(#,##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64" formatCode="_(* #,##0.0_);_(* \(#,##0.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65" formatCode="_(* #,##0_);_(* \(#,##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[WALA_HPA_Analysis.xlsx]hpa_annual_plot!PivotTable19</c:name>
    <c:fmtId val="0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hpa_annual_plot!$B$3:$B$4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strRef>
              <c:f>hpa_annual_plot!$A$5:$A$10</c:f>
              <c:strCache>
                <c:ptCount val="6"/>
                <c:pt idx="0">
                  <c:v>15</c:v>
                </c:pt>
                <c:pt idx="1">
                  <c:v>20</c:v>
                </c:pt>
                <c:pt idx="2">
                  <c:v>25</c:v>
                </c:pt>
                <c:pt idx="3">
                  <c:v>30</c:v>
                </c:pt>
                <c:pt idx="4">
                  <c:v>35</c:v>
                </c:pt>
                <c:pt idx="5">
                  <c:v>40</c:v>
                </c:pt>
              </c:strCache>
            </c:strRef>
          </c:cat>
          <c:val>
            <c:numRef>
              <c:f>hpa_annual_plot!$B$5:$B$10</c:f>
              <c:numCache>
                <c:formatCode>_(* #,##0.00_);_(* \(#,##0.00\);_(* "-"??_);_(@_)</c:formatCode>
                <c:ptCount val="6"/>
                <c:pt idx="0">
                  <c:v>4.1208897365096098</c:v>
                </c:pt>
                <c:pt idx="1">
                  <c:v>3.8631909501624602</c:v>
                </c:pt>
                <c:pt idx="2">
                  <c:v>6.26557493058879</c:v>
                </c:pt>
                <c:pt idx="3">
                  <c:v>5.8025052849821996</c:v>
                </c:pt>
                <c:pt idx="4">
                  <c:v>4.7480518500194702</c:v>
                </c:pt>
                <c:pt idx="5">
                  <c:v>4.9243001218151496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hpa_annual_plot!$C$3:$C$4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strRef>
              <c:f>hpa_annual_plot!$A$5:$A$10</c:f>
              <c:strCache>
                <c:ptCount val="6"/>
                <c:pt idx="0">
                  <c:v>15</c:v>
                </c:pt>
                <c:pt idx="1">
                  <c:v>20</c:v>
                </c:pt>
                <c:pt idx="2">
                  <c:v>25</c:v>
                </c:pt>
                <c:pt idx="3">
                  <c:v>30</c:v>
                </c:pt>
                <c:pt idx="4">
                  <c:v>35</c:v>
                </c:pt>
                <c:pt idx="5">
                  <c:v>40</c:v>
                </c:pt>
              </c:strCache>
            </c:strRef>
          </c:cat>
          <c:val>
            <c:numRef>
              <c:f>hpa_annual_plot!$C$5:$C$10</c:f>
              <c:numCache>
                <c:formatCode>_(* #,##0.00_);_(* \(#,##0.00\);_(* "-"??_);_(@_)</c:formatCode>
                <c:ptCount val="6"/>
                <c:pt idx="0">
                  <c:v>4.9810439400683197</c:v>
                </c:pt>
                <c:pt idx="1">
                  <c:v>3.8382397154686898</c:v>
                </c:pt>
                <c:pt idx="2">
                  <c:v>5.2899289841438302</c:v>
                </c:pt>
                <c:pt idx="3">
                  <c:v>5.5232378429836499</c:v>
                </c:pt>
                <c:pt idx="4">
                  <c:v>6.4327169119875904</c:v>
                </c:pt>
                <c:pt idx="5">
                  <c:v>6.89583639296188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hpa_annual_plot!$D$3:$D$4</c:f>
              <c:strCache>
                <c:ptCount val="1"/>
                <c:pt idx="0">
                  <c:v>5</c:v>
                </c:pt>
              </c:strCache>
            </c:strRef>
          </c:tx>
          <c:marker>
            <c:symbol val="none"/>
          </c:marker>
          <c:cat>
            <c:strRef>
              <c:f>hpa_annual_plot!$A$5:$A$10</c:f>
              <c:strCache>
                <c:ptCount val="6"/>
                <c:pt idx="0">
                  <c:v>15</c:v>
                </c:pt>
                <c:pt idx="1">
                  <c:v>20</c:v>
                </c:pt>
                <c:pt idx="2">
                  <c:v>25</c:v>
                </c:pt>
                <c:pt idx="3">
                  <c:v>30</c:v>
                </c:pt>
                <c:pt idx="4">
                  <c:v>35</c:v>
                </c:pt>
                <c:pt idx="5">
                  <c:v>40</c:v>
                </c:pt>
              </c:strCache>
            </c:strRef>
          </c:cat>
          <c:val>
            <c:numRef>
              <c:f>hpa_annual_plot!$D$5:$D$10</c:f>
              <c:numCache>
                <c:formatCode>_(* #,##0.00_);_(* \(#,##0.00\);_(* "-"??_);_(@_)</c:formatCode>
                <c:ptCount val="6"/>
                <c:pt idx="0">
                  <c:v>3.5404333169044002</c:v>
                </c:pt>
                <c:pt idx="1">
                  <c:v>4.1211818376022897</c:v>
                </c:pt>
                <c:pt idx="2">
                  <c:v>6.1751669871339701</c:v>
                </c:pt>
                <c:pt idx="3">
                  <c:v>6.3343292260953898</c:v>
                </c:pt>
                <c:pt idx="4">
                  <c:v>7.9415671655840399</c:v>
                </c:pt>
                <c:pt idx="5">
                  <c:v>5.7085546868004702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hpa_annual_plot!$E$3:$E$4</c:f>
              <c:strCache>
                <c:ptCount val="1"/>
                <c:pt idx="0">
                  <c:v>6</c:v>
                </c:pt>
              </c:strCache>
            </c:strRef>
          </c:tx>
          <c:marker>
            <c:symbol val="none"/>
          </c:marker>
          <c:cat>
            <c:strRef>
              <c:f>hpa_annual_plot!$A$5:$A$10</c:f>
              <c:strCache>
                <c:ptCount val="6"/>
                <c:pt idx="0">
                  <c:v>15</c:v>
                </c:pt>
                <c:pt idx="1">
                  <c:v>20</c:v>
                </c:pt>
                <c:pt idx="2">
                  <c:v>25</c:v>
                </c:pt>
                <c:pt idx="3">
                  <c:v>30</c:v>
                </c:pt>
                <c:pt idx="4">
                  <c:v>35</c:v>
                </c:pt>
                <c:pt idx="5">
                  <c:v>40</c:v>
                </c:pt>
              </c:strCache>
            </c:strRef>
          </c:cat>
          <c:val>
            <c:numRef>
              <c:f>hpa_annual_plot!$E$5:$E$10</c:f>
              <c:numCache>
                <c:formatCode>_(* #,##0.00_);_(* \(#,##0.00\);_(* "-"??_);_(@_)</c:formatCode>
                <c:ptCount val="6"/>
                <c:pt idx="0">
                  <c:v>4.9967529391235699</c:v>
                </c:pt>
                <c:pt idx="1">
                  <c:v>4.5342453257537096</c:v>
                </c:pt>
                <c:pt idx="2">
                  <c:v>6.34936036344949</c:v>
                </c:pt>
                <c:pt idx="3">
                  <c:v>7.4413432935580897</c:v>
                </c:pt>
                <c:pt idx="4">
                  <c:v>5.1961172616200502</c:v>
                </c:pt>
                <c:pt idx="5">
                  <c:v>6.7806266612848498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hpa_annual_plot!$F$3:$F$4</c:f>
              <c:strCache>
                <c:ptCount val="1"/>
                <c:pt idx="0">
                  <c:v>7</c:v>
                </c:pt>
              </c:strCache>
            </c:strRef>
          </c:tx>
          <c:marker>
            <c:symbol val="none"/>
          </c:marker>
          <c:cat>
            <c:strRef>
              <c:f>hpa_annual_plot!$A$5:$A$10</c:f>
              <c:strCache>
                <c:ptCount val="6"/>
                <c:pt idx="0">
                  <c:v>15</c:v>
                </c:pt>
                <c:pt idx="1">
                  <c:v>20</c:v>
                </c:pt>
                <c:pt idx="2">
                  <c:v>25</c:v>
                </c:pt>
                <c:pt idx="3">
                  <c:v>30</c:v>
                </c:pt>
                <c:pt idx="4">
                  <c:v>35</c:v>
                </c:pt>
                <c:pt idx="5">
                  <c:v>40</c:v>
                </c:pt>
              </c:strCache>
            </c:strRef>
          </c:cat>
          <c:val>
            <c:numRef>
              <c:f>hpa_annual_plot!$F$5:$F$10</c:f>
              <c:numCache>
                <c:formatCode>_(* #,##0.00_);_(* \(#,##0.00\);_(* "-"??_);_(@_)</c:formatCode>
                <c:ptCount val="6"/>
                <c:pt idx="0">
                  <c:v>4.0178849304991804</c:v>
                </c:pt>
                <c:pt idx="1">
                  <c:v>5.7033030049163802</c:v>
                </c:pt>
                <c:pt idx="2">
                  <c:v>6.7302828164358202</c:v>
                </c:pt>
                <c:pt idx="3">
                  <c:v>6.1754665829923203</c:v>
                </c:pt>
                <c:pt idx="4">
                  <c:v>8.8800770926896195</c:v>
                </c:pt>
                <c:pt idx="5">
                  <c:v>7.6848684608349203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hpa_annual_plot!$G$3:$G$4</c:f>
              <c:strCache>
                <c:ptCount val="1"/>
                <c:pt idx="0">
                  <c:v>8</c:v>
                </c:pt>
              </c:strCache>
            </c:strRef>
          </c:tx>
          <c:marker>
            <c:symbol val="none"/>
          </c:marker>
          <c:cat>
            <c:strRef>
              <c:f>hpa_annual_plot!$A$5:$A$10</c:f>
              <c:strCache>
                <c:ptCount val="6"/>
                <c:pt idx="0">
                  <c:v>15</c:v>
                </c:pt>
                <c:pt idx="1">
                  <c:v>20</c:v>
                </c:pt>
                <c:pt idx="2">
                  <c:v>25</c:v>
                </c:pt>
                <c:pt idx="3">
                  <c:v>30</c:v>
                </c:pt>
                <c:pt idx="4">
                  <c:v>35</c:v>
                </c:pt>
                <c:pt idx="5">
                  <c:v>40</c:v>
                </c:pt>
              </c:strCache>
            </c:strRef>
          </c:cat>
          <c:val>
            <c:numRef>
              <c:f>hpa_annual_plot!$G$5:$G$10</c:f>
              <c:numCache>
                <c:formatCode>_(* #,##0.00_);_(* \(#,##0.00\);_(* "-"??_);_(@_)</c:formatCode>
                <c:ptCount val="6"/>
                <c:pt idx="0">
                  <c:v>5.6360134955122101</c:v>
                </c:pt>
                <c:pt idx="1">
                  <c:v>6.5147229635430204</c:v>
                </c:pt>
                <c:pt idx="2">
                  <c:v>7.2887513715396297</c:v>
                </c:pt>
                <c:pt idx="3">
                  <c:v>8.4999940610443403</c:v>
                </c:pt>
                <c:pt idx="4">
                  <c:v>7.5034873272604701</c:v>
                </c:pt>
                <c:pt idx="5">
                  <c:v>8.8020715660538702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8391424"/>
        <c:axId val="338392960"/>
      </c:lineChart>
      <c:catAx>
        <c:axId val="338391424"/>
        <c:scaling>
          <c:orientation val="minMax"/>
        </c:scaling>
        <c:delete val="0"/>
        <c:axPos val="b"/>
        <c:majorTickMark val="out"/>
        <c:minorTickMark val="none"/>
        <c:tickLblPos val="nextTo"/>
        <c:crossAx val="338392960"/>
        <c:crosses val="autoZero"/>
        <c:auto val="1"/>
        <c:lblAlgn val="ctr"/>
        <c:lblOffset val="100"/>
        <c:noMultiLvlLbl val="0"/>
      </c:catAx>
      <c:valAx>
        <c:axId val="338392960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crossAx val="33839142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[WALA_HPA_Analysis.xlsx]hpa_cum_plot!PivotTable22</c:name>
    <c:fmtId val="0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  <c:pivotFmt>
        <c:idx val="12"/>
        <c:marker>
          <c:symbol val="none"/>
        </c:marker>
      </c:pivotFmt>
      <c:pivotFmt>
        <c:idx val="13"/>
        <c:marker>
          <c:symbol val="none"/>
        </c:marker>
      </c:pivotFmt>
      <c:pivotFmt>
        <c:idx val="14"/>
        <c:marker>
          <c:symbol val="none"/>
        </c:marker>
      </c:pivotFmt>
      <c:pivotFmt>
        <c:idx val="15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hpa_cum_plot!$B$1:$B$2</c:f>
              <c:strCache>
                <c:ptCount val="1"/>
                <c:pt idx="0">
                  <c:v>7</c:v>
                </c:pt>
              </c:strCache>
            </c:strRef>
          </c:tx>
          <c:marker>
            <c:symbol val="none"/>
          </c:marker>
          <c:cat>
            <c:strRef>
              <c:f>hpa_cum_plot!$A$3:$A$7</c:f>
              <c:strCache>
                <c:ptCount val="5"/>
                <c:pt idx="0">
                  <c:v>15</c:v>
                </c:pt>
                <c:pt idx="1">
                  <c:v>20</c:v>
                </c:pt>
                <c:pt idx="2">
                  <c:v>25</c:v>
                </c:pt>
                <c:pt idx="3">
                  <c:v>30</c:v>
                </c:pt>
                <c:pt idx="4">
                  <c:v>35</c:v>
                </c:pt>
              </c:strCache>
            </c:strRef>
          </c:cat>
          <c:val>
            <c:numRef>
              <c:f>hpa_cum_plot!$B$3:$B$7</c:f>
              <c:numCache>
                <c:formatCode>_(* #,##0.00_);_(* \(#,##0.00\);_(* "-"??_);_(@_)</c:formatCode>
                <c:ptCount val="5"/>
                <c:pt idx="0">
                  <c:v>4.3641025023044202</c:v>
                </c:pt>
                <c:pt idx="1">
                  <c:v>3.9710921464593301</c:v>
                </c:pt>
                <c:pt idx="2">
                  <c:v>5.7651625508633497</c:v>
                </c:pt>
                <c:pt idx="3">
                  <c:v>5.5202365953866499</c:v>
                </c:pt>
                <c:pt idx="4">
                  <c:v>5.0406070802755396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hpa_cum_plot!$C$1:$C$2</c:f>
              <c:strCache>
                <c:ptCount val="1"/>
                <c:pt idx="0">
                  <c:v>8</c:v>
                </c:pt>
              </c:strCache>
            </c:strRef>
          </c:tx>
          <c:marker>
            <c:symbol val="none"/>
          </c:marker>
          <c:cat>
            <c:strRef>
              <c:f>hpa_cum_plot!$A$3:$A$7</c:f>
              <c:strCache>
                <c:ptCount val="5"/>
                <c:pt idx="0">
                  <c:v>15</c:v>
                </c:pt>
                <c:pt idx="1">
                  <c:v>20</c:v>
                </c:pt>
                <c:pt idx="2">
                  <c:v>25</c:v>
                </c:pt>
                <c:pt idx="3">
                  <c:v>30</c:v>
                </c:pt>
                <c:pt idx="4">
                  <c:v>35</c:v>
                </c:pt>
              </c:strCache>
            </c:strRef>
          </c:cat>
          <c:val>
            <c:numRef>
              <c:f>hpa_cum_plot!$C$3:$C$7</c:f>
              <c:numCache>
                <c:formatCode>_(* #,##0.00_);_(* \(#,##0.00\);_(* "-"??_);_(@_)</c:formatCode>
                <c:ptCount val="5"/>
                <c:pt idx="0">
                  <c:v>3.8970322313386001</c:v>
                </c:pt>
                <c:pt idx="1">
                  <c:v>4.0143771421479704</c:v>
                </c:pt>
                <c:pt idx="2">
                  <c:v>5.2764244149689299</c:v>
                </c:pt>
                <c:pt idx="3">
                  <c:v>6.17344533037509</c:v>
                </c:pt>
                <c:pt idx="4">
                  <c:v>3.5094745035103601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hpa_cum_plot!$D$1:$D$2</c:f>
              <c:strCache>
                <c:ptCount val="1"/>
                <c:pt idx="0">
                  <c:v>9</c:v>
                </c:pt>
              </c:strCache>
            </c:strRef>
          </c:tx>
          <c:marker>
            <c:symbol val="none"/>
          </c:marker>
          <c:cat>
            <c:strRef>
              <c:f>hpa_cum_plot!$A$3:$A$7</c:f>
              <c:strCache>
                <c:ptCount val="5"/>
                <c:pt idx="0">
                  <c:v>15</c:v>
                </c:pt>
                <c:pt idx="1">
                  <c:v>20</c:v>
                </c:pt>
                <c:pt idx="2">
                  <c:v>25</c:v>
                </c:pt>
                <c:pt idx="3">
                  <c:v>30</c:v>
                </c:pt>
                <c:pt idx="4">
                  <c:v>35</c:v>
                </c:pt>
              </c:strCache>
            </c:strRef>
          </c:cat>
          <c:val>
            <c:numRef>
              <c:f>hpa_cum_plot!$D$3:$D$7</c:f>
              <c:numCache>
                <c:formatCode>_(* #,##0.00_);_(* \(#,##0.00\);_(* "-"??_);_(@_)</c:formatCode>
                <c:ptCount val="5"/>
                <c:pt idx="0">
                  <c:v>5.04979236069883</c:v>
                </c:pt>
                <c:pt idx="1">
                  <c:v>5.4118841295320097</c:v>
                </c:pt>
                <c:pt idx="2">
                  <c:v>6.1739889365787697</c:v>
                </c:pt>
                <c:pt idx="3">
                  <c:v>6.5568298262407003</c:v>
                </c:pt>
                <c:pt idx="4">
                  <c:v>5.6750563313711497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hpa_cum_plot!$E$1:$E$2</c:f>
              <c:strCache>
                <c:ptCount val="1"/>
                <c:pt idx="0">
                  <c:v>10</c:v>
                </c:pt>
              </c:strCache>
            </c:strRef>
          </c:tx>
          <c:marker>
            <c:symbol val="none"/>
          </c:marker>
          <c:cat>
            <c:strRef>
              <c:f>hpa_cum_plot!$A$3:$A$7</c:f>
              <c:strCache>
                <c:ptCount val="5"/>
                <c:pt idx="0">
                  <c:v>15</c:v>
                </c:pt>
                <c:pt idx="1">
                  <c:v>20</c:v>
                </c:pt>
                <c:pt idx="2">
                  <c:v>25</c:v>
                </c:pt>
                <c:pt idx="3">
                  <c:v>30</c:v>
                </c:pt>
                <c:pt idx="4">
                  <c:v>35</c:v>
                </c:pt>
              </c:strCache>
            </c:strRef>
          </c:cat>
          <c:val>
            <c:numRef>
              <c:f>hpa_cum_plot!$E$3:$E$7</c:f>
              <c:numCache>
                <c:formatCode>_(* #,##0.00_);_(* \(#,##0.00\);_(* "-"??_);_(@_)</c:formatCode>
                <c:ptCount val="5"/>
                <c:pt idx="0">
                  <c:v>5.8485836290436097</c:v>
                </c:pt>
                <c:pt idx="1">
                  <c:v>6.1988704589571499</c:v>
                </c:pt>
                <c:pt idx="2">
                  <c:v>5.8144823264943497</c:v>
                </c:pt>
                <c:pt idx="3">
                  <c:v>5.2999075670381002</c:v>
                </c:pt>
                <c:pt idx="4">
                  <c:v>7.3784779710666504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hpa_cum_plot!$F$1:$F$2</c:f>
              <c:strCache>
                <c:ptCount val="1"/>
                <c:pt idx="0">
                  <c:v>11</c:v>
                </c:pt>
              </c:strCache>
            </c:strRef>
          </c:tx>
          <c:marker>
            <c:symbol val="none"/>
          </c:marker>
          <c:cat>
            <c:strRef>
              <c:f>hpa_cum_plot!$A$3:$A$7</c:f>
              <c:strCache>
                <c:ptCount val="5"/>
                <c:pt idx="0">
                  <c:v>15</c:v>
                </c:pt>
                <c:pt idx="1">
                  <c:v>20</c:v>
                </c:pt>
                <c:pt idx="2">
                  <c:v>25</c:v>
                </c:pt>
                <c:pt idx="3">
                  <c:v>30</c:v>
                </c:pt>
                <c:pt idx="4">
                  <c:v>35</c:v>
                </c:pt>
              </c:strCache>
            </c:strRef>
          </c:cat>
          <c:val>
            <c:numRef>
              <c:f>hpa_cum_plot!$F$3:$F$7</c:f>
              <c:numCache>
                <c:formatCode>_(* #,##0.00_);_(* \(#,##0.00\);_(* "-"??_);_(@_)</c:formatCode>
                <c:ptCount val="5"/>
                <c:pt idx="0">
                  <c:v>5.1405851340230599</c:v>
                </c:pt>
                <c:pt idx="1">
                  <c:v>4.97554463923949</c:v>
                </c:pt>
                <c:pt idx="2">
                  <c:v>6.1598434709539998</c:v>
                </c:pt>
                <c:pt idx="3">
                  <c:v>6.9460833130673301</c:v>
                </c:pt>
                <c:pt idx="4">
                  <c:v>6.2373358322121204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hpa_cum_plot!$G$1:$G$2</c:f>
              <c:strCache>
                <c:ptCount val="1"/>
                <c:pt idx="0">
                  <c:v>12</c:v>
                </c:pt>
              </c:strCache>
            </c:strRef>
          </c:tx>
          <c:marker>
            <c:symbol val="none"/>
          </c:marker>
          <c:cat>
            <c:strRef>
              <c:f>hpa_cum_plot!$A$3:$A$7</c:f>
              <c:strCache>
                <c:ptCount val="5"/>
                <c:pt idx="0">
                  <c:v>15</c:v>
                </c:pt>
                <c:pt idx="1">
                  <c:v>20</c:v>
                </c:pt>
                <c:pt idx="2">
                  <c:v>25</c:v>
                </c:pt>
                <c:pt idx="3">
                  <c:v>30</c:v>
                </c:pt>
                <c:pt idx="4">
                  <c:v>35</c:v>
                </c:pt>
              </c:strCache>
            </c:strRef>
          </c:cat>
          <c:val>
            <c:numRef>
              <c:f>hpa_cum_plot!$G$3:$G$7</c:f>
              <c:numCache>
                <c:formatCode>_(* #,##0.00_);_(* \(#,##0.00\);_(* "-"??_);_(@_)</c:formatCode>
                <c:ptCount val="5"/>
                <c:pt idx="0">
                  <c:v>6.5927601899758699</c:v>
                </c:pt>
                <c:pt idx="1">
                  <c:v>5.9485931109033601</c:v>
                </c:pt>
                <c:pt idx="2">
                  <c:v>6.8648355451030802</c:v>
                </c:pt>
                <c:pt idx="3">
                  <c:v>6.5828235576592702</c:v>
                </c:pt>
                <c:pt idx="4">
                  <c:v>7.9468017177860499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hpa_cum_plot!$H$1:$H$2</c:f>
              <c:strCache>
                <c:ptCount val="1"/>
                <c:pt idx="0">
                  <c:v>13</c:v>
                </c:pt>
              </c:strCache>
            </c:strRef>
          </c:tx>
          <c:marker>
            <c:symbol val="none"/>
          </c:marker>
          <c:cat>
            <c:strRef>
              <c:f>hpa_cum_plot!$A$3:$A$7</c:f>
              <c:strCache>
                <c:ptCount val="5"/>
                <c:pt idx="0">
                  <c:v>15</c:v>
                </c:pt>
                <c:pt idx="1">
                  <c:v>20</c:v>
                </c:pt>
                <c:pt idx="2">
                  <c:v>25</c:v>
                </c:pt>
                <c:pt idx="3">
                  <c:v>30</c:v>
                </c:pt>
                <c:pt idx="4">
                  <c:v>35</c:v>
                </c:pt>
              </c:strCache>
            </c:strRef>
          </c:cat>
          <c:val>
            <c:numRef>
              <c:f>hpa_cum_plot!$H$3:$H$7</c:f>
              <c:numCache>
                <c:formatCode>_(* #,##0.00_);_(* \(#,##0.00\);_(* "-"??_);_(@_)</c:formatCode>
                <c:ptCount val="5"/>
                <c:pt idx="0">
                  <c:v>5.6122315204881597</c:v>
                </c:pt>
                <c:pt idx="1">
                  <c:v>7.3415271975909597</c:v>
                </c:pt>
                <c:pt idx="2">
                  <c:v>7.1920197544142503</c:v>
                </c:pt>
                <c:pt idx="3">
                  <c:v>7.7011126019622402</c:v>
                </c:pt>
                <c:pt idx="4">
                  <c:v>5.6117632786526199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hpa_cum_plot!$I$1:$I$2</c:f>
              <c:strCache>
                <c:ptCount val="1"/>
                <c:pt idx="0">
                  <c:v>14</c:v>
                </c:pt>
              </c:strCache>
            </c:strRef>
          </c:tx>
          <c:marker>
            <c:symbol val="none"/>
          </c:marker>
          <c:cat>
            <c:strRef>
              <c:f>hpa_cum_plot!$A$3:$A$7</c:f>
              <c:strCache>
                <c:ptCount val="5"/>
                <c:pt idx="0">
                  <c:v>15</c:v>
                </c:pt>
                <c:pt idx="1">
                  <c:v>20</c:v>
                </c:pt>
                <c:pt idx="2">
                  <c:v>25</c:v>
                </c:pt>
                <c:pt idx="3">
                  <c:v>30</c:v>
                </c:pt>
                <c:pt idx="4">
                  <c:v>35</c:v>
                </c:pt>
              </c:strCache>
            </c:strRef>
          </c:cat>
          <c:val>
            <c:numRef>
              <c:f>hpa_cum_plot!$I$3:$I$7</c:f>
              <c:numCache>
                <c:formatCode>_(* #,##0.00_);_(* \(#,##0.00\);_(* "-"??_);_(@_)</c:formatCode>
                <c:ptCount val="5"/>
                <c:pt idx="0">
                  <c:v>7.5939061591325396</c:v>
                </c:pt>
                <c:pt idx="1">
                  <c:v>7.5853084139728599</c:v>
                </c:pt>
                <c:pt idx="2">
                  <c:v>7.2609562851758396</c:v>
                </c:pt>
                <c:pt idx="3">
                  <c:v>8.0582965569301894</c:v>
                </c:pt>
                <c:pt idx="4">
                  <c:v>7.2950038670718502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5084672"/>
        <c:axId val="365086208"/>
      </c:lineChart>
      <c:catAx>
        <c:axId val="365084672"/>
        <c:scaling>
          <c:orientation val="minMax"/>
        </c:scaling>
        <c:delete val="0"/>
        <c:axPos val="b"/>
        <c:majorTickMark val="out"/>
        <c:minorTickMark val="none"/>
        <c:tickLblPos val="nextTo"/>
        <c:crossAx val="365086208"/>
        <c:crosses val="autoZero"/>
        <c:auto val="1"/>
        <c:lblAlgn val="ctr"/>
        <c:lblOffset val="100"/>
        <c:noMultiLvlLbl val="0"/>
      </c:catAx>
      <c:valAx>
        <c:axId val="365086208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crossAx val="36508467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1071561</xdr:colOff>
      <xdr:row>5</xdr:row>
      <xdr:rowOff>90487</xdr:rowOff>
    </xdr:from>
    <xdr:to>
      <xdr:col>18</xdr:col>
      <xdr:colOff>361949</xdr:colOff>
      <xdr:row>27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285750</xdr:colOff>
      <xdr:row>2</xdr:row>
      <xdr:rowOff>142874</xdr:rowOff>
    </xdr:from>
    <xdr:to>
      <xdr:col>20</xdr:col>
      <xdr:colOff>152400</xdr:colOff>
      <xdr:row>25</xdr:row>
      <xdr:rowOff>95249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ien Chen" refreshedDate="43251.721615509261" createdVersion="4" refreshedVersion="4" minRefreshableVersion="3" recordCount="64">
  <cacheSource type="worksheet">
    <worksheetSource ref="A1:K65" sheet="hpa_cum_data"/>
  </cacheSource>
  <cacheFields count="11">
    <cacheField name="walaBucket" numFmtId="0">
      <sharedItems containsSemiMixedTypes="0" containsString="0" containsNumber="1" containsInteger="1" minValue="15" maxValue="50" count="8">
        <n v="15"/>
        <n v="20"/>
        <n v="25"/>
        <n v="30"/>
        <n v="35"/>
        <n v="40"/>
        <n v="45"/>
        <n v="50"/>
      </sharedItems>
    </cacheField>
    <cacheField name="hpaBucket" numFmtId="0">
      <sharedItems containsSemiMixedTypes="0" containsString="0" containsNumber="1" containsInteger="1" minValue="7" maxValue="14" count="8">
        <n v="7"/>
        <n v="8"/>
        <n v="9"/>
        <n v="10"/>
        <n v="11"/>
        <n v="12"/>
        <n v="13"/>
        <n v="14"/>
      </sharedItems>
    </cacheField>
    <cacheField name="prepayAmount_" numFmtId="0">
      <sharedItems containsSemiMixedTypes="0" containsString="0" containsNumber="1" minValue="30406.59" maxValue="354494847.93000001"/>
    </cacheField>
    <cacheField name="calcScham_" numFmtId="0">
      <sharedItems containsSemiMixedTypes="0" containsString="0" containsNumber="1" minValue="51750589.939999998" maxValue="47789763889.760002"/>
    </cacheField>
    <cacheField name="smm" numFmtId="0">
      <sharedItems containsSemiMixedTypes="0" containsString="0" containsNumber="1" minValue="3.0306456803011402E-4" maxValue="1.5579667032487501E-2"/>
    </cacheField>
    <cacheField name="cpr" numFmtId="0">
      <sharedItems containsSemiMixedTypes="0" containsString="0" containsNumber="1" minValue="0.36307189593516298" maxValue="17.1739587241028"/>
    </cacheField>
    <cacheField name="hpa_annual_" numFmtId="0">
      <sharedItems containsSemiMixedTypes="0" containsString="0" containsNumber="1" minValue="1.0314215225732799" maxValue="12.1548126580039"/>
    </cacheField>
    <cacheField name="HPA_cum_" numFmtId="0">
      <sharedItems containsSemiMixedTypes="0" containsString="0" containsNumber="1" minValue="4.0622030513163301" maxValue="29.8940996144064"/>
    </cacheField>
    <cacheField name="hpa_2yr_" numFmtId="0">
      <sharedItems containsSemiMixedTypes="0" containsString="0" containsNumber="1" minValue="103.288654802227" maxValue="123.641546429226"/>
    </cacheField>
    <cacheField name="fico" numFmtId="0">
      <sharedItems containsSemiMixedTypes="0" containsString="0" containsNumber="1" minValue="778.52060844872506" maxValue="781.65535128030297"/>
    </cacheField>
    <cacheField name="bal" numFmtId="0">
      <sharedItems containsSemiMixedTypes="0" containsString="0" containsNumber="1" minValue="51750589.939999998" maxValue="47789763889.76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Lien Chen" refreshedDate="43251.73975497685" createdVersion="4" refreshedVersion="4" minRefreshableVersion="3" recordCount="46">
  <cacheSource type="worksheet">
    <worksheetSource ref="A1:K47" sheet="hpa_annual_data"/>
  </cacheSource>
  <cacheFields count="11">
    <cacheField name="walaBucket" numFmtId="0">
      <sharedItems containsSemiMixedTypes="0" containsString="0" containsNumber="1" containsInteger="1" minValue="15" maxValue="50" count="8">
        <n v="15"/>
        <n v="20"/>
        <n v="25"/>
        <n v="30"/>
        <n v="35"/>
        <n v="40"/>
        <n v="45"/>
        <n v="50"/>
      </sharedItems>
    </cacheField>
    <cacheField name="hpaBucket" numFmtId="0">
      <sharedItems containsSemiMixedTypes="0" containsString="0" containsNumber="1" containsInteger="1" minValue="3" maxValue="8" count="6">
        <n v="3"/>
        <n v="4"/>
        <n v="5"/>
        <n v="6"/>
        <n v="7"/>
        <n v="8"/>
      </sharedItems>
    </cacheField>
    <cacheField name="prepayAmount_" numFmtId="0">
      <sharedItems containsSemiMixedTypes="0" containsString="0" containsNumber="1" minValue="3036769.59" maxValue="395551032.69999999"/>
    </cacheField>
    <cacheField name="calcScham_" numFmtId="0">
      <sharedItems containsSemiMixedTypes="0" containsString="0" containsNumber="1" minValue="631081923.51999998" maxValue="70657783055.869995"/>
    </cacheField>
    <cacheField name="smm" numFmtId="0">
      <sharedItems containsSemiMixedTypes="0" containsString="0" containsNumber="1" minValue="2.9993482364964802E-3" maxValue="9.7038217371653492E-3"/>
    </cacheField>
    <cacheField name="cpr" numFmtId="0">
      <sharedItems containsSemiMixedTypes="0" containsString="0" containsNumber="1" minValue="3.5404333169044002" maxValue="11.042773028183399"/>
    </cacheField>
    <cacheField name="hpa_annual_" numFmtId="0">
      <sharedItems containsSemiMixedTypes="0" containsString="0" containsNumber="1" minValue="1.80732055349679" maxValue="8.8251718378750503"/>
    </cacheField>
    <cacheField name="HPA_cum_" numFmtId="0">
      <sharedItems containsSemiMixedTypes="0" containsString="0" containsNumber="1" minValue="2.4520737834122701" maxValue="32.695970944122401"/>
    </cacheField>
    <cacheField name="hpa_2yr_" numFmtId="0">
      <sharedItems containsSemiMixedTypes="0" containsString="0" containsNumber="1" minValue="104.28169427579699" maxValue="118.729161723586"/>
    </cacheField>
    <cacheField name="fico" numFmtId="0">
      <sharedItems containsSemiMixedTypes="0" containsString="0" containsNumber="1" minValue="778.85174873736696" maxValue="781.64704568874697"/>
    </cacheField>
    <cacheField name="bal" numFmtId="0">
      <sharedItems containsSemiMixedTypes="0" containsString="0" containsNumber="1" minValue="631081923.51999998" maxValue="70657783055.8699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4">
  <r>
    <x v="0"/>
    <x v="0"/>
    <n v="56513125.060000002"/>
    <n v="15226123096.559999"/>
    <n v="3.7115899235549898E-3"/>
    <n v="4.3641025023044202"/>
    <n v="4.5816705539781104"/>
    <n v="5.1526095491992399"/>
    <n v="109.575172364758"/>
    <n v="780.40637901256798"/>
    <n v="15226123096.559999"/>
  </r>
  <r>
    <x v="0"/>
    <x v="1"/>
    <n v="18214370.440000001"/>
    <n v="5507791686.3800001"/>
    <n v="3.3070187612653499E-3"/>
    <n v="3.8970322313386001"/>
    <n v="6.6327709883704404"/>
    <n v="7.4778694168838102"/>
    <n v="113.926929218574"/>
    <n v="780.02298169384096"/>
    <n v="5507791686.3800001"/>
  </r>
  <r>
    <x v="0"/>
    <x v="2"/>
    <n v="27404340.969999999"/>
    <n v="6360056389.8299999"/>
    <n v="4.3088204396773402E-3"/>
    <n v="5.04979236069883"/>
    <n v="7.6375989210309703"/>
    <n v="8.5755376608312197"/>
    <n v="115.391944016708"/>
    <n v="780.18241257155"/>
    <n v="6360056389.8299999"/>
  </r>
  <r>
    <x v="0"/>
    <x v="3"/>
    <n v="56188581.130000003"/>
    <n v="11216254322.139999"/>
    <n v="5.00956732222879E-3"/>
    <n v="5.8485836290436097"/>
    <n v="8.4192050175129207"/>
    <n v="9.4381871522234508"/>
    <n v="116.99126844239299"/>
    <n v="781.17928503676796"/>
    <n v="11216254322.139999"/>
  </r>
  <r>
    <x v="0"/>
    <x v="4"/>
    <n v="28552391.91"/>
    <n v="6506634862.0600004"/>
    <n v="4.3881964356856902E-3"/>
    <n v="5.1405851340230599"/>
    <n v="8.95554110573981"/>
    <n v="10.393356211052"/>
    <n v="117.671434507935"/>
    <n v="780.74945376390303"/>
    <n v="6506634862.0600004"/>
  </r>
  <r>
    <x v="0"/>
    <x v="5"/>
    <n v="7631292.1900000004"/>
    <n v="1346542439.5899999"/>
    <n v="5.6673239295180304E-3"/>
    <n v="6.5927601899758699"/>
    <n v="10.095002285950301"/>
    <n v="11.418619528437301"/>
    <n v="120.339329394884"/>
    <n v="780.32406996371401"/>
    <n v="1346542439.5899999"/>
  </r>
  <r>
    <x v="0"/>
    <x v="6"/>
    <n v="6897411.6100000003"/>
    <n v="1436464164.4400001"/>
    <n v="4.8016593666218802E-3"/>
    <n v="5.6122315204881597"/>
    <n v="11.0308325320874"/>
    <n v="12.4239808554055"/>
    <n v="122.070326371175"/>
    <n v="780.17467462565196"/>
    <n v="1436464164.4400001"/>
  </r>
  <r>
    <x v="0"/>
    <x v="7"/>
    <n v="15210382.970000001"/>
    <n v="2318716733.2800002"/>
    <n v="6.5598280081774997E-3"/>
    <n v="7.5939061591325396"/>
    <n v="12.1548126580039"/>
    <n v="14.053375433363501"/>
    <n v="123.641546429226"/>
    <n v="780.07541842013495"/>
    <n v="2318716733.2800002"/>
  </r>
  <r>
    <x v="1"/>
    <x v="0"/>
    <n v="84149365.400000006"/>
    <n v="24962373497.580002"/>
    <n v="3.37104824619974E-3"/>
    <n v="3.9710921464593301"/>
    <n v="3.6602561511813398"/>
    <n v="5.0713572694417604"/>
    <n v="108.97994409359001"/>
    <n v="780.23168209721496"/>
    <n v="24962373497.580002"/>
  </r>
  <r>
    <x v="1"/>
    <x v="1"/>
    <n v="29764364.809999999"/>
    <n v="8732414896.5900002"/>
    <n v="3.40849182757257E-3"/>
    <n v="4.0143771421479704"/>
    <n v="5.4401536603200196"/>
    <n v="7.4985290275265104"/>
    <n v="112.59572641634399"/>
    <n v="780.00554490269496"/>
    <n v="8732414896.5900002"/>
  </r>
  <r>
    <x v="1"/>
    <x v="2"/>
    <n v="43516963.340000004"/>
    <n v="9407453106.0499992"/>
    <n v="4.62579646684753E-3"/>
    <n v="5.4118841295320097"/>
    <n v="6.1469331375902501"/>
    <n v="8.57304045097532"/>
    <n v="113.859950983345"/>
    <n v="779.77832291764003"/>
    <n v="9407453106.0499992"/>
  </r>
  <r>
    <x v="1"/>
    <x v="3"/>
    <n v="60195160.539999999"/>
    <n v="11317900731.83"/>
    <n v="5.3185800058052797E-3"/>
    <n v="6.1988704589571499"/>
    <n v="6.9475847587551298"/>
    <n v="9.5330896372956406"/>
    <n v="115.45065020121901"/>
    <n v="779.65893277795897"/>
    <n v="11317900731.83"/>
  </r>
  <r>
    <x v="1"/>
    <x v="4"/>
    <n v="63050171.649999999"/>
    <n v="14856445597.290001"/>
    <n v="4.2439607264809697E-3"/>
    <n v="4.97554463923949"/>
    <n v="7.6365320669811201"/>
    <n v="10.5786254765473"/>
    <n v="116.394996305258"/>
    <n v="780.60741668225796"/>
    <n v="14856445597.290001"/>
  </r>
  <r>
    <x v="1"/>
    <x v="5"/>
    <n v="97555937.299999997"/>
    <n v="19137301637.91"/>
    <n v="5.0976850940545699E-3"/>
    <n v="5.9485931109033601"/>
    <n v="8.2788408890255596"/>
    <n v="11.5000373704907"/>
    <n v="117.43159708514899"/>
    <n v="780.57638700261703"/>
    <n v="19137301637.91"/>
  </r>
  <r>
    <x v="1"/>
    <x v="6"/>
    <n v="80109388.359999999"/>
    <n v="12647511338.93"/>
    <n v="6.3340040750481203E-3"/>
    <n v="7.3415271975909597"/>
    <n v="8.5542119382742907"/>
    <n v="12.556374467722"/>
    <n v="117.707003866044"/>
    <n v="780.54772543758895"/>
    <n v="12647511338.93"/>
  </r>
  <r>
    <x v="1"/>
    <x v="7"/>
    <n v="137459973.31999999"/>
    <n v="20979447202.400002"/>
    <n v="6.5521256110253803E-3"/>
    <n v="7.5853084139728599"/>
    <n v="10.2857961002384"/>
    <n v="15.0920191445617"/>
    <n v="121.70301470109"/>
    <n v="779.87347973699104"/>
    <n v="20979447202.400002"/>
  </r>
  <r>
    <x v="2"/>
    <x v="0"/>
    <n v="53647388.43"/>
    <n v="10868307038.16"/>
    <n v="4.9361311050228097E-3"/>
    <n v="5.7651625508633497"/>
    <n v="2.8705602437572701"/>
    <n v="5.1776836715363999"/>
    <n v="107.56013296983799"/>
    <n v="780.324534591614"/>
    <n v="10868307038.16"/>
  </r>
  <r>
    <x v="2"/>
    <x v="1"/>
    <n v="14939201.1"/>
    <n v="3314604038.3699999"/>
    <n v="4.5070846855501103E-3"/>
    <n v="5.2764244149689299"/>
    <n v="4.0670738219223797"/>
    <n v="7.5042350157128199"/>
    <n v="109.50717333034"/>
    <n v="780.90414564409696"/>
    <n v="3314604038.3699999"/>
  </r>
  <r>
    <x v="2"/>
    <x v="2"/>
    <n v="25872307.359999999"/>
    <n v="4884705258.1000004"/>
    <n v="5.2965953917275899E-3"/>
    <n v="6.1739889365787697"/>
    <n v="4.6131605255754398"/>
    <n v="8.5341532013511294"/>
    <n v="110.868682671531"/>
    <n v="780.64585244646696"/>
    <n v="4884705258.1000004"/>
  </r>
  <r>
    <x v="2"/>
    <x v="3"/>
    <n v="21392233.289999999"/>
    <n v="4296025583.5600004"/>
    <n v="4.9795404784979897E-3"/>
    <n v="5.8144823264943497"/>
    <n v="5.1591439410893001"/>
    <n v="9.5102820138731392"/>
    <n v="112.009289957609"/>
    <n v="780.73433959483305"/>
    <n v="4296025583.5600004"/>
  </r>
  <r>
    <x v="2"/>
    <x v="4"/>
    <n v="23636740.77"/>
    <n v="4473182600.0200005"/>
    <n v="5.2840992384022697E-3"/>
    <n v="6.1598434709539998"/>
    <n v="5.6568636083261499"/>
    <n v="10.522277541961"/>
    <n v="113.04695117783299"/>
    <n v="780.27319445997796"/>
    <n v="4473182600.0200005"/>
  </r>
  <r>
    <x v="2"/>
    <x v="5"/>
    <n v="35149993.75"/>
    <n v="5948548653.3299999"/>
    <n v="5.9090033213938598E-3"/>
    <n v="6.8648355451030802"/>
    <n v="6.33040857341717"/>
    <n v="11.527870505467099"/>
    <n v="114.477750375151"/>
    <n v="780.28354193500195"/>
    <n v="5948548653.3299999"/>
  </r>
  <r>
    <x v="2"/>
    <x v="6"/>
    <n v="34296251.259999998"/>
    <n v="5531213224.8400002"/>
    <n v="6.2004934299006399E-3"/>
    <n v="7.1920197544142503"/>
    <n v="6.7033558951144103"/>
    <n v="12.462682527397901"/>
    <n v="115.006943492064"/>
    <n v="780.56096778298297"/>
    <n v="5531213224.8400002"/>
  </r>
  <r>
    <x v="2"/>
    <x v="7"/>
    <n v="275282596.25"/>
    <n v="43960603772.220001"/>
    <n v="6.2620294679382703E-3"/>
    <n v="7.2609562851758396"/>
    <n v="8.3757153518616594"/>
    <n v="16.059377810308298"/>
    <n v="118.282600287709"/>
    <n v="780.91470089182701"/>
    <n v="43960603772.220001"/>
  </r>
  <r>
    <x v="3"/>
    <x v="0"/>
    <n v="6386565.2699999996"/>
    <n v="1352838019.6400001"/>
    <n v="4.7208647135002198E-3"/>
    <n v="5.5202365953866499"/>
    <n v="2.2226652938943001"/>
    <n v="4.9607593757300599"/>
    <n v="104.490362309795"/>
    <n v="779.72601217986801"/>
    <n v="1352838019.6400001"/>
  </r>
  <r>
    <x v="3"/>
    <x v="1"/>
    <n v="3300502.56"/>
    <n v="623193128.38"/>
    <n v="5.2961151362174103E-3"/>
    <n v="6.17344533037509"/>
    <n v="3.4043626456291398"/>
    <n v="7.5921989158476304"/>
    <n v="107.124978001675"/>
    <n v="780.26423952507605"/>
    <n v="623193128.38"/>
  </r>
  <r>
    <x v="3"/>
    <x v="2"/>
    <n v="5087662.29"/>
    <n v="902795153.63"/>
    <n v="5.63545591659779E-3"/>
    <n v="6.5568298262407003"/>
    <n v="3.7910775790406901"/>
    <n v="8.5088249689585993"/>
    <n v="108.031556269113"/>
    <n v="780.16712470472896"/>
    <n v="902795153.63"/>
  </r>
  <r>
    <x v="3"/>
    <x v="3"/>
    <n v="8811300.1799999997"/>
    <n v="1946107539.0899999"/>
    <n v="4.5276532786672997E-3"/>
    <n v="5.2999075670381002"/>
    <n v="4.3053929304084297"/>
    <n v="9.5640993472337801"/>
    <n v="108.44479292822"/>
    <n v="780.49950267088605"/>
    <n v="1946107539.0899999"/>
  </r>
  <r>
    <x v="3"/>
    <x v="4"/>
    <n v="9935791.9900000002"/>
    <n v="1661142651.3399999"/>
    <n v="5.9812996686257197E-3"/>
    <n v="6.9460833130673301"/>
    <n v="4.6334437642552402"/>
    <n v="10.4829669450562"/>
    <n v="108.974653229865"/>
    <n v="780.81945969716196"/>
    <n v="1661142651.3399999"/>
  </r>
  <r>
    <x v="3"/>
    <x v="5"/>
    <n v="9635862.9900000002"/>
    <n v="1702897693.1900001"/>
    <n v="5.6585096265820596E-3"/>
    <n v="6.5828235576592702"/>
    <n v="4.9408676351902399"/>
    <n v="11.386421120036101"/>
    <n v="109.528888988635"/>
    <n v="780.47036865991504"/>
    <n v="1702897693.1900001"/>
  </r>
  <r>
    <x v="3"/>
    <x v="6"/>
    <n v="10297172.800000001"/>
    <n v="1547068531.71"/>
    <n v="6.6559254415306099E-3"/>
    <n v="7.7011126019622402"/>
    <n v="5.4597701784976103"/>
    <n v="12.467244661232799"/>
    <n v="110.733783926393"/>
    <n v="780.36533511816901"/>
    <n v="1547068531.71"/>
  </r>
  <r>
    <x v="3"/>
    <x v="7"/>
    <n v="192353155.33000001"/>
    <n v="27570251856.009998"/>
    <n v="6.9768370755042301E-3"/>
    <n v="8.0582965569301894"/>
    <n v="8.1322968944030904"/>
    <n v="18.927316548011099"/>
    <n v="116.517856822724"/>
    <n v="781.00547166474803"/>
    <n v="27570251856.009998"/>
  </r>
  <r>
    <x v="4"/>
    <x v="0"/>
    <n v="4348398.95"/>
    <n v="1011068864.79"/>
    <n v="4.3007940422566202E-3"/>
    <n v="5.0406070802755396"/>
    <n v="1.6349777974406401"/>
    <n v="4.46822976078011"/>
    <n v="105.05419383678699"/>
    <n v="778.98465142831503"/>
    <n v="1011068864.79"/>
  </r>
  <r>
    <x v="4"/>
    <x v="1"/>
    <n v="436199.01"/>
    <n v="146735627.18000001"/>
    <n v="2.9726864455686401E-3"/>
    <n v="3.5094745035103601"/>
    <n v="2.8221346505709799"/>
    <n v="7.5518997206927096"/>
    <n v="107.70791744939299"/>
    <n v="779.14870681431603"/>
    <n v="146735627.18000001"/>
  </r>
  <r>
    <x v="4"/>
    <x v="2"/>
    <n v="3033684.07"/>
    <n v="624616225.76999998"/>
    <n v="4.8568768226605096E-3"/>
    <n v="5.6750563313711497"/>
    <n v="3.1763888880857301"/>
    <n v="8.6412231762723106"/>
    <n v="108.28452771669301"/>
    <n v="780.163600941033"/>
    <n v="624616225.76999998"/>
  </r>
  <r>
    <x v="4"/>
    <x v="3"/>
    <n v="7908377.6399999997"/>
    <n v="1242082346.6900001"/>
    <n v="6.3670316715110503E-3"/>
    <n v="7.3784779710666504"/>
    <n v="3.4271611579805099"/>
    <n v="9.5850839536674499"/>
    <n v="108.688491745894"/>
    <n v="780.36098901775904"/>
    <n v="1242082346.6900001"/>
  </r>
  <r>
    <x v="4"/>
    <x v="4"/>
    <n v="7222501.7000000002"/>
    <n v="1349350245.96"/>
    <n v="5.3525774509801298E-3"/>
    <n v="6.2373358322121204"/>
    <n v="3.7590098919681698"/>
    <n v="10.502970456722"/>
    <n v="109.126195518335"/>
    <n v="781.12770407888502"/>
    <n v="1349350245.96"/>
  </r>
  <r>
    <x v="4"/>
    <x v="5"/>
    <n v="8142024.9299999997"/>
    <n v="1184028947.6099999"/>
    <n v="6.8765421203889699E-3"/>
    <n v="7.9468017177860499"/>
    <n v="4.0253276852851201"/>
    <n v="11.392536818670401"/>
    <n v="109.243918918752"/>
    <n v="781.16567186504301"/>
    <n v="1184028947.6099999"/>
  </r>
  <r>
    <x v="4"/>
    <x v="6"/>
    <n v="2280214.4700000002"/>
    <n v="474921206.69"/>
    <n v="4.8012479499328501E-3"/>
    <n v="5.6117632786526199"/>
    <n v="4.4486696183369103"/>
    <n v="12.489413685086401"/>
    <n v="109.601673771734"/>
    <n v="780.24561628095796"/>
    <n v="474921206.69"/>
  </r>
  <r>
    <x v="4"/>
    <x v="7"/>
    <n v="132403111.92"/>
    <n v="21041625488.599998"/>
    <n v="6.2924374351085001E-3"/>
    <n v="7.2950038670718502"/>
    <n v="7.3603846365531496"/>
    <n v="21.364476296262598"/>
    <n v="116.541741449691"/>
    <n v="781.21413112908203"/>
    <n v="21041625488.599998"/>
  </r>
  <r>
    <x v="5"/>
    <x v="0"/>
    <n v="1744976.56"/>
    <n v="539574034.29999995"/>
    <n v="3.2339891267447502E-3"/>
    <n v="3.81249835212361"/>
    <n v="1.8265946420964101"/>
    <n v="5.6436510094074404"/>
    <n v="104.563998117446"/>
    <n v="778.52060844872506"/>
    <n v="539574034.29999995"/>
  </r>
  <r>
    <x v="5"/>
    <x v="1"/>
    <n v="30406.59"/>
    <n v="100330402.19"/>
    <n v="3.0306456803011402E-4"/>
    <n v="0.36307189593516298"/>
    <n v="2.4045694046763"/>
    <n v="7.4058698564998702"/>
    <n v="105.440993060438"/>
    <n v="779.45026933743202"/>
    <n v="100330402.19"/>
  </r>
  <r>
    <x v="5"/>
    <x v="2"/>
    <n v="806256.96"/>
    <n v="51750589.939999998"/>
    <n v="1.5579667032487501E-2"/>
    <n v="17.1739587241028"/>
    <n v="2.7511389959185202"/>
    <n v="8.49088188427225"/>
    <n v="105.577429915897"/>
    <n v="781.18782957146198"/>
    <n v="51750589.939999998"/>
  </r>
  <r>
    <x v="5"/>
    <x v="3"/>
    <n v="563879.14"/>
    <n v="69441540.409999996"/>
    <n v="8.1201991872691497E-3"/>
    <n v="9.3206175779410003"/>
    <n v="3.0070766952246499"/>
    <n v="9.4434518800084408"/>
    <n v="107.617355278378"/>
    <n v="779.81243855806895"/>
    <n v="69441540.409999996"/>
  </r>
  <r>
    <x v="5"/>
    <x v="4"/>
    <n v="3510071.87"/>
    <n v="466863378.60000002"/>
    <n v="7.5184133750772599E-3"/>
    <n v="8.6582143870341195"/>
    <n v="3.4413675320441199"/>
    <n v="10.5130698782891"/>
    <n v="108.31113589536101"/>
    <n v="779.59030825868399"/>
    <n v="466863378.60000002"/>
  </r>
  <r>
    <x v="5"/>
    <x v="5"/>
    <n v="3684059.22"/>
    <n v="735885197.26999998"/>
    <n v="5.0062961364995299E-3"/>
    <n v="5.8448691128597696"/>
    <n v="3.6950974535193901"/>
    <n v="11.5077844921114"/>
    <n v="108.40862985103"/>
    <n v="779.37871054057905"/>
    <n v="735885197.26999998"/>
  </r>
  <r>
    <x v="5"/>
    <x v="6"/>
    <n v="3709838.18"/>
    <n v="963613345"/>
    <n v="3.8499240377373499E-3"/>
    <n v="4.5233287891603799"/>
    <n v="4.0370160383135003"/>
    <n v="12.4547920307308"/>
    <n v="109.033615655139"/>
    <n v="780.26408358529295"/>
    <n v="963613345"/>
  </r>
  <r>
    <x v="5"/>
    <x v="7"/>
    <n v="168303756.91999999"/>
    <n v="23695894037.189999"/>
    <n v="7.1026548589326098E-3"/>
    <n v="8.1979892927647402"/>
    <n v="7.5184428191519102"/>
    <n v="24.5555397791952"/>
    <n v="116.157904441139"/>
    <n v="780.73327272847496"/>
    <n v="23695894037.189999"/>
  </r>
  <r>
    <x v="6"/>
    <x v="0"/>
    <n v="2846513.13"/>
    <n v="631222262.51999998"/>
    <n v="4.5095258817963602E-3"/>
    <n v="5.2792118065996698"/>
    <n v="1.2119913283392201"/>
    <n v="4.4419395839885603"/>
    <n v="104.498056915959"/>
    <n v="779.26961515467599"/>
    <n v="631222262.51999998"/>
  </r>
  <r>
    <x v="6"/>
    <x v="1"/>
    <n v="558986.09"/>
    <n v="142974321.19"/>
    <n v="3.9096957086241901E-3"/>
    <n v="4.5920523763610799"/>
    <n v="2.0607220282593701"/>
    <n v="7.6365578137219297"/>
    <n v="106.363674545387"/>
    <n v="779.46207604416497"/>
    <n v="142974321.19"/>
  </r>
  <r>
    <x v="6"/>
    <x v="2"/>
    <n v="1914385.5"/>
    <n v="621211178.36000001"/>
    <n v="3.0816984089919001E-3"/>
    <n v="3.6359982011711698"/>
    <n v="2.2994703501742899"/>
    <n v="8.6100779254787394"/>
    <n v="108.29594400945599"/>
    <n v="781.61256818190304"/>
    <n v="621211178.36000001"/>
  </r>
  <r>
    <x v="6"/>
    <x v="3"/>
    <n v="1596605.98"/>
    <n v="309798237.5"/>
    <n v="5.1536961374739898E-3"/>
    <n v="6.0121123510348697"/>
    <n v="2.5011620637966998"/>
    <n v="9.3776565255917692"/>
    <n v="108.038301978174"/>
    <n v="779.69704919023104"/>
    <n v="309798237.5"/>
  </r>
  <r>
    <x v="6"/>
    <x v="4"/>
    <n v="526476.02"/>
    <n v="251632176.25999999"/>
    <n v="2.09224443322389E-3"/>
    <n v="2.4820024548178399"/>
    <n v="2.8011085057334699"/>
    <n v="10.4953441404688"/>
    <n v="108.41788397080499"/>
    <n v="780.33668209856205"/>
    <n v="251632176.25999999"/>
  </r>
  <r>
    <x v="6"/>
    <x v="5"/>
    <n v="725082.57"/>
    <n v="185031045.90000001"/>
    <n v="3.9187076226757604E-3"/>
    <n v="4.6024100570325004"/>
    <n v="3.1394344300844601"/>
    <n v="11.586603898920201"/>
    <n v="108.341192149842"/>
    <n v="780.43750856103804"/>
    <n v="185031045.90000001"/>
  </r>
  <r>
    <x v="6"/>
    <x v="6"/>
    <n v="1629190.28"/>
    <n v="168921544.31"/>
    <n v="9.6446565573077899E-3"/>
    <n v="10.9789751431931"/>
    <n v="3.3129032574534598"/>
    <n v="12.425304234944001"/>
    <n v="108.677695689716"/>
    <n v="778.59677063833897"/>
    <n v="168921544.31"/>
  </r>
  <r>
    <x v="6"/>
    <x v="7"/>
    <n v="54455765.799999997"/>
    <n v="7507764696.4200001"/>
    <n v="7.2532595255637997E-3"/>
    <n v="8.3649465265813401"/>
    <n v="6.6190478302079896"/>
    <n v="25.968450899899"/>
    <n v="115.533202859341"/>
    <n v="780.61193116050197"/>
    <n v="7507764696.4200001"/>
  </r>
  <r>
    <x v="7"/>
    <x v="0"/>
    <n v="9458752.5199999996"/>
    <n v="1491154185.5799999"/>
    <n v="6.3432424436517401E-3"/>
    <n v="7.35186430513453"/>
    <n v="1.0314215225732799"/>
    <n v="4.0622030513163301"/>
    <n v="103.288654802227"/>
    <n v="780.43699644738899"/>
    <n v="1491154185.5799999"/>
  </r>
  <r>
    <x v="7"/>
    <x v="1"/>
    <n v="2115907.12"/>
    <n v="381340487.30000001"/>
    <n v="5.5486033884868304E-3"/>
    <n v="6.4588415115686004"/>
    <n v="1.9593624305510899"/>
    <n v="7.69129873613673"/>
    <n v="105.102647646752"/>
    <n v="780.88430837880196"/>
    <n v="381340487.30000001"/>
  </r>
  <r>
    <x v="7"/>
    <x v="2"/>
    <n v="6641714.2800000003"/>
    <n v="1216354203.5799999"/>
    <n v="5.4603455641884201E-3"/>
    <n v="6.35917123874371"/>
    <n v="2.1360752405903898"/>
    <n v="8.4366755387709702"/>
    <n v="106.63137610800899"/>
    <n v="780.45275908792496"/>
    <n v="1216354203.5799999"/>
  </r>
  <r>
    <x v="7"/>
    <x v="3"/>
    <n v="8553527.5899999999"/>
    <n v="1322309749.24"/>
    <n v="6.4686262767979699E-3"/>
    <n v="7.4920558104395303"/>
    <n v="2.40470475789231"/>
    <n v="9.5751900323286492"/>
    <n v="107.12230037521"/>
    <n v="779.90058130483999"/>
    <n v="1322309749.24"/>
  </r>
  <r>
    <x v="7"/>
    <x v="4"/>
    <n v="13366467.310000001"/>
    <n v="2026448248.8299999"/>
    <n v="6.5960072346862601E-3"/>
    <n v="7.6342811494417502"/>
    <n v="2.6390926946483702"/>
    <n v="10.516122585812999"/>
    <n v="108.144737431357"/>
    <n v="780.93966041586998"/>
    <n v="2026448248.8299999"/>
  </r>
  <r>
    <x v="7"/>
    <x v="5"/>
    <n v="12819291.25"/>
    <n v="2013745853.55"/>
    <n v="6.3658933064473198E-3"/>
    <n v="7.3772046103079001"/>
    <n v="2.8198256789415899"/>
    <n v="11.5092741816872"/>
    <n v="107.828855040474"/>
    <n v="780.91266525599099"/>
    <n v="2013745853.55"/>
  </r>
  <r>
    <x v="7"/>
    <x v="6"/>
    <n v="13769569.060000001"/>
    <n v="1767902840.6500001"/>
    <n v="7.7886458143465497E-3"/>
    <n v="8.9562138611550601"/>
    <n v="3.0330507384938699"/>
    <n v="12.394624972330501"/>
    <n v="108.287153662886"/>
    <n v="781.23492189011597"/>
    <n v="1767902840.6500001"/>
  </r>
  <r>
    <x v="7"/>
    <x v="7"/>
    <n v="354494847.93000001"/>
    <n v="47789763889.760002"/>
    <n v="7.4177986890192199E-3"/>
    <n v="8.5470330668165495"/>
    <n v="6.8775125382909996"/>
    <n v="29.8940996144064"/>
    <n v="115.23244710759"/>
    <n v="781.65535128030297"/>
    <n v="47789763889.76000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6">
  <r>
    <x v="0"/>
    <x v="0"/>
    <n v="5081180.8600000003"/>
    <n v="1451477224.75"/>
    <n v="3.50069623784498E-3"/>
    <n v="4.1208897365096098"/>
    <n v="2.1660845260677601"/>
    <n v="2.4520737834122701"/>
    <n v="104.760954644764"/>
    <n v="779.55201049901405"/>
    <n v="1451477224.75"/>
  </r>
  <r>
    <x v="0"/>
    <x v="1"/>
    <n v="11121473.49"/>
    <n v="2617579103.9200001"/>
    <n v="4.2487630930980597E-3"/>
    <n v="4.9810439400683197"/>
    <n v="3.6548300363549799"/>
    <n v="4.1491396357200996"/>
    <n v="108.231020405243"/>
    <n v="779.99370312446604"/>
    <n v="2617579103.9200001"/>
  </r>
  <r>
    <x v="0"/>
    <x v="2"/>
    <n v="15771347.75"/>
    <n v="5258258296.9499998"/>
    <n v="2.9993482364964802E-3"/>
    <n v="3.5404333169044002"/>
    <n v="4.4577438504660103"/>
    <n v="5.0332111043099896"/>
    <n v="109.30766633981401"/>
    <n v="780.68677637958001"/>
    <n v="5258258296.9499998"/>
  </r>
  <r>
    <x v="0"/>
    <x v="3"/>
    <n v="18896156.370000001"/>
    <n v="4433133885.7200003"/>
    <n v="4.2624826718787399E-3"/>
    <n v="4.9967529391235699"/>
    <n v="5.5076443330242801"/>
    <n v="6.2336481758856097"/>
    <n v="111.07838125703999"/>
    <n v="780.77951654578999"/>
    <n v="4433133885.7200003"/>
  </r>
  <r>
    <x v="0"/>
    <x v="4"/>
    <n v="20872369.010000002"/>
    <n v="6118189762.0299997"/>
    <n v="3.4115269094031099E-3"/>
    <n v="4.0178849304991804"/>
    <n v="6.4591874407799397"/>
    <n v="7.2936113503537898"/>
    <n v="113.633855021073"/>
    <n v="780.01655105720101"/>
    <n v="6118189762.0299997"/>
  </r>
  <r>
    <x v="0"/>
    <x v="5"/>
    <n v="144869368.80000001"/>
    <n v="30039945420.91"/>
    <n v="4.82255765681785E-3"/>
    <n v="5.6360134955122101"/>
    <n v="8.8251718378750503"/>
    <n v="9.9977692708660992"/>
    <n v="117.641093036562"/>
    <n v="780.66373622878598"/>
    <n v="30039945420.91"/>
  </r>
  <r>
    <x v="1"/>
    <x v="0"/>
    <n v="16966607.149999999"/>
    <n v="5176256015.8800001"/>
    <n v="3.2777758862677798E-3"/>
    <n v="3.8631909501624602"/>
    <n v="2.12955151603922"/>
    <n v="3.0437060460432899"/>
    <n v="106.52365646214901"/>
    <n v="779.72345727262098"/>
    <n v="5176256015.8800001"/>
  </r>
  <r>
    <x v="1"/>
    <x v="1"/>
    <n v="31538431.809999999"/>
    <n v="9685592830.6900005"/>
    <n v="3.2562211070928499E-3"/>
    <n v="3.8382397154686898"/>
    <n v="3.5274730875367002"/>
    <n v="5.0115542015874102"/>
    <n v="108.918140260428"/>
    <n v="780.55103529402402"/>
    <n v="9685592830.6900005"/>
  </r>
  <r>
    <x v="1"/>
    <x v="2"/>
    <n v="37253329.960000001"/>
    <n v="10640922653.24"/>
    <n v="3.5009492291212998E-3"/>
    <n v="4.1211818376022897"/>
    <n v="4.5095119972550197"/>
    <n v="6.3281527214483599"/>
    <n v="110.40496222495599"/>
    <n v="780.13394493550004"/>
    <n v="10640922653.24"/>
  </r>
  <r>
    <x v="1"/>
    <x v="3"/>
    <n v="44730009.530000001"/>
    <n v="11589838997.559999"/>
    <n v="3.85941595387278E-3"/>
    <n v="4.5342453257537096"/>
    <n v="5.5225245763671102"/>
    <n v="7.84362044994357"/>
    <n v="112.77482968129"/>
    <n v="780.19981479507805"/>
    <n v="11589838997.559999"/>
  </r>
  <r>
    <x v="1"/>
    <x v="4"/>
    <n v="69761913.569999993"/>
    <n v="14290454455.34"/>
    <n v="4.8817141391841196E-3"/>
    <n v="5.7033030049163802"/>
    <n v="6.5044473606984896"/>
    <n v="9.2540018628425198"/>
    <n v="114.671239044327"/>
    <n v="779.43491246795895"/>
    <n v="14290454455.34"/>
  </r>
  <r>
    <x v="1"/>
    <x v="5"/>
    <n v="395551032.69999999"/>
    <n v="70657783055.869995"/>
    <n v="5.5981240224765097E-3"/>
    <n v="6.5147229635430204"/>
    <n v="8.7898192778399"/>
    <n v="12.433249444376999"/>
    <n v="118.50127614094001"/>
    <n v="780.34875722941604"/>
    <n v="70657783055.869995"/>
  </r>
  <r>
    <x v="2"/>
    <x v="0"/>
    <n v="23754413.370000001"/>
    <n v="4417334524.5900002"/>
    <n v="5.37754458888412E-3"/>
    <n v="6.26557493058879"/>
    <n v="2.0159294660734401"/>
    <n v="3.6606675441706402"/>
    <n v="105.895565894276"/>
    <n v="780.00596002187797"/>
    <n v="4417334524.5900002"/>
  </r>
  <r>
    <x v="2"/>
    <x v="1"/>
    <n v="35713864.210000001"/>
    <n v="7903198715.6800003"/>
    <n v="4.5189125941048902E-3"/>
    <n v="5.2899289841438302"/>
    <n v="3.5198115017721099"/>
    <n v="6.4562960025370097"/>
    <n v="108.63774430885"/>
    <n v="780.54088365918994"/>
    <n v="7903198715.6800003"/>
  </r>
  <r>
    <x v="2"/>
    <x v="2"/>
    <n v="38008663.840000004"/>
    <n v="7174645948.96"/>
    <n v="5.2976361635669999E-3"/>
    <n v="6.1751669871339701"/>
    <n v="4.4641774767379703"/>
    <n v="8.4146396584799099"/>
    <n v="110.233076711671"/>
    <n v="780.88802395204596"/>
    <n v="7174645948.96"/>
  </r>
  <r>
    <x v="2"/>
    <x v="3"/>
    <n v="49924106.840000004"/>
    <n v="9157592737.5200005"/>
    <n v="5.4516627099448897E-3"/>
    <n v="6.34936036344949"/>
    <n v="5.4882153194991004"/>
    <n v="10.215825895321601"/>
    <n v="112.800671635163"/>
    <n v="780.35332181325998"/>
    <n v="9157592737.5200005"/>
  </r>
  <r>
    <x v="2"/>
    <x v="4"/>
    <n v="76811736.930000007"/>
    <n v="13267646325.309999"/>
    <n v="5.7894019064609996E-3"/>
    <n v="6.7302828164358202"/>
    <n v="6.5872914325040597"/>
    <n v="12.2765711155971"/>
    <n v="114.84436647353699"/>
    <n v="780.32229706491796"/>
    <n v="13267646325.309999"/>
  </r>
  <r>
    <x v="2"/>
    <x v="5"/>
    <n v="260003927.02000001"/>
    <n v="41356771916.540001"/>
    <n v="6.28685255088817E-3"/>
    <n v="7.2887513715396297"/>
    <n v="8.4921671145767093"/>
    <n v="16.206400702927201"/>
    <n v="118.56201117198501"/>
    <n v="780.98827767891305"/>
    <n v="41356771916.540001"/>
  </r>
  <r>
    <x v="3"/>
    <x v="0"/>
    <n v="6094091.0899999999"/>
    <n v="1226422816.78"/>
    <n v="4.9689968309625599E-3"/>
    <n v="5.8025052849821996"/>
    <n v="2.11799399214468"/>
    <n v="4.7684001172100601"/>
    <n v="104.28169427579699"/>
    <n v="779.71072675962205"/>
    <n v="1226422816.78"/>
  </r>
  <r>
    <x v="3"/>
    <x v="1"/>
    <n v="8673452.9600000009"/>
    <n v="1836234575.3199999"/>
    <n v="4.7234994246246904E-3"/>
    <n v="5.5232378429836499"/>
    <n v="3.62036238097041"/>
    <n v="8.1977609878526607"/>
    <n v="107.608984623437"/>
    <n v="780.275608355298"/>
    <n v="1836234575.3199999"/>
  </r>
  <r>
    <x v="3"/>
    <x v="2"/>
    <n v="24045455.52"/>
    <n v="4421452284.6499996"/>
    <n v="5.4383614188213301E-3"/>
    <n v="6.3343292260953898"/>
    <n v="4.5540452720350499"/>
    <n v="10.335237973712101"/>
    <n v="108.833118754118"/>
    <n v="780.52706186132798"/>
    <n v="4421452284.6499996"/>
  </r>
  <r>
    <x v="3"/>
    <x v="3"/>
    <n v="21891401.82"/>
    <n v="3408150281.1999998"/>
    <n v="6.4232501544186802E-3"/>
    <n v="7.4413432935580897"/>
    <n v="5.4870090258182502"/>
    <n v="12.6737239563061"/>
    <n v="111.08117287424901"/>
    <n v="780.45914686791002"/>
    <n v="3408150281.1999998"/>
  </r>
  <r>
    <x v="3"/>
    <x v="4"/>
    <n v="24755429.600000001"/>
    <n v="4672686466.6099997"/>
    <n v="5.2979008493073297E-3"/>
    <n v="6.1754665829923203"/>
    <n v="6.4844778829234997"/>
    <n v="14.973097018120599"/>
    <n v="113.01442012816"/>
    <n v="780.21496466479005"/>
    <n v="4672686466.6099997"/>
  </r>
  <r>
    <x v="3"/>
    <x v="5"/>
    <n v="160348182.41999999"/>
    <n v="21741348148.43"/>
    <n v="7.3752640050326898E-3"/>
    <n v="8.4999940610443403"/>
    <n v="8.6156208217546393"/>
    <n v="20.049489208463001"/>
    <n v="117.50056224592301"/>
    <n v="781.21034545337398"/>
    <n v="21741348148.43"/>
  </r>
  <r>
    <x v="4"/>
    <x v="0"/>
    <n v="4793020.2300000004"/>
    <n v="1184771956.02"/>
    <n v="4.0455213390610404E-3"/>
    <n v="4.7480518500194702"/>
    <n v="1.80732055349679"/>
    <n v="4.9393648340004601"/>
    <n v="105.468866369444"/>
    <n v="779.02668738667398"/>
    <n v="1184771956.02"/>
  </r>
  <r>
    <x v="4"/>
    <x v="1"/>
    <n v="20357639.91"/>
    <n v="3684332773.9099998"/>
    <n v="5.5254617753747104E-3"/>
    <n v="6.4327169119875904"/>
    <n v="3.5580969208141902"/>
    <n v="10.012704741914201"/>
    <n v="108.84977024769201"/>
    <n v="780.81753746251104"/>
    <n v="3684332773.9099998"/>
  </r>
  <r>
    <x v="4"/>
    <x v="2"/>
    <n v="12090309.16"/>
    <n v="1759400098.73"/>
    <n v="6.8718361268293804E-3"/>
    <n v="7.9415671655840399"/>
    <n v="4.4881491762860701"/>
    <n v="12.490366600930599"/>
    <n v="109.998239296593"/>
    <n v="780.49076558342199"/>
    <n v="1759400098.73"/>
  </r>
  <r>
    <x v="4"/>
    <x v="3"/>
    <n v="20072248.77"/>
    <n v="4524057728.5100002"/>
    <n v="4.4367799826044198E-3"/>
    <n v="5.1961172616200502"/>
    <n v="5.4300558320732302"/>
    <n v="15.464940602866999"/>
    <n v="112.957997377922"/>
    <n v="781.02751562912101"/>
    <n v="4524057728.5100002"/>
  </r>
  <r>
    <x v="4"/>
    <x v="4"/>
    <n v="33012957.949999999"/>
    <n v="4276552299.1700001"/>
    <n v="7.7195263007556799E-3"/>
    <n v="8.8800770926896195"/>
    <n v="6.6299577562642096"/>
    <n v="19.1172406417239"/>
    <n v="115.126011653916"/>
    <n v="780.330564094995"/>
    <n v="4276552299.1700001"/>
  </r>
  <r>
    <x v="4"/>
    <x v="5"/>
    <n v="75448336.670000002"/>
    <n v="11645314096.950001"/>
    <n v="6.4788580232250197E-3"/>
    <n v="7.5034873272604701"/>
    <n v="8.5070761757590105"/>
    <n v="24.870731037022601"/>
    <n v="118.729161723586"/>
    <n v="781.64704568874697"/>
    <n v="11645314096.950001"/>
  </r>
  <r>
    <x v="5"/>
    <x v="0"/>
    <n v="3036769.59"/>
    <n v="723174209.99000001"/>
    <n v="4.1992227433580503E-3"/>
    <n v="4.9243001218151496"/>
    <n v="2.0207847951327702"/>
    <n v="6.2602171019318096"/>
    <n v="104.867266440355"/>
    <n v="778.85174873736696"/>
    <n v="723174209.99000001"/>
  </r>
  <r>
    <x v="5"/>
    <x v="1"/>
    <n v="9207054.6799999997"/>
    <n v="1550901666.51"/>
    <n v="5.9365818470739403E-3"/>
    <n v="6.89583639296188"/>
    <n v="3.6307052233613"/>
    <n v="11.353580644696301"/>
    <n v="108.37617412849499"/>
    <n v="779.39771963240901"/>
    <n v="1550901666.51"/>
  </r>
  <r>
    <x v="5"/>
    <x v="2"/>
    <n v="15055582.539999999"/>
    <n v="3081161981.9099998"/>
    <n v="4.8863326979865897E-3"/>
    <n v="5.7085546868004702"/>
    <n v="4.3769018349488702"/>
    <n v="13.8178549143626"/>
    <n v="109.329154762268"/>
    <n v="780.351540380394"/>
    <n v="3081161981.9099998"/>
  </r>
  <r>
    <x v="5"/>
    <x v="3"/>
    <n v="15961478.08"/>
    <n v="2735878296.0700002"/>
    <n v="5.8341330836712002E-3"/>
    <n v="6.7806266612848498"/>
    <n v="5.6404819384860998"/>
    <n v="17.904056355857001"/>
    <n v="112.59863566990001"/>
    <n v="779.76090707427602"/>
    <n v="2735878296.0700002"/>
  </r>
  <r>
    <x v="5"/>
    <x v="4"/>
    <n v="17512143.329999998"/>
    <n v="2636831709.48"/>
    <n v="6.6413579854337698E-3"/>
    <n v="7.6848684608349203"/>
    <n v="6.4567733355000003"/>
    <n v="20.711153552626499"/>
    <n v="113.907027699434"/>
    <n v="779.85200226724703"/>
    <n v="2636831709.48"/>
  </r>
  <r>
    <x v="5"/>
    <x v="5"/>
    <n v="121580217.22"/>
    <n v="15895404660.940001"/>
    <n v="7.64876515026765E-3"/>
    <n v="8.8020715660538702"/>
    <n v="8.4876888200984304"/>
    <n v="27.9214361105488"/>
    <n v="118.186496270807"/>
    <n v="781.12626296652195"/>
    <n v="15895404660.940001"/>
  </r>
  <r>
    <x v="6"/>
    <x v="0"/>
    <n v="7443545.7300000004"/>
    <n v="1946013807.9400001"/>
    <n v="3.8250220525822098E-3"/>
    <n v="4.4946838816321204"/>
    <n v="2.0207936613112398"/>
    <n v="7.5416909773715002"/>
    <n v="106.89315537687"/>
    <n v="780.25809729593595"/>
    <n v="1946013807.9400001"/>
  </r>
  <r>
    <x v="6"/>
    <x v="1"/>
    <n v="6495810.96"/>
    <n v="1091900815.4000001"/>
    <n v="5.94908518098355E-3"/>
    <n v="6.9098881956445704"/>
    <n v="3.5749436513337298"/>
    <n v="13.4456982959346"/>
    <n v="109.694245401654"/>
    <n v="780.03569016034896"/>
    <n v="1091900815.4000001"/>
  </r>
  <r>
    <x v="6"/>
    <x v="2"/>
    <n v="5487340.5499999998"/>
    <n v="1479044513.27"/>
    <n v="3.7100577438796E-3"/>
    <n v="4.3623375601490997"/>
    <n v="4.5198483277829098"/>
    <n v="17.325168787243399"/>
    <n v="112.328109716287"/>
    <n v="779.89291919714503"/>
    <n v="1479044513.27"/>
  </r>
  <r>
    <x v="6"/>
    <x v="3"/>
    <n v="4312047.71"/>
    <n v="631081923.51999998"/>
    <n v="6.8327859653285403E-3"/>
    <n v="7.8981205167993096"/>
    <n v="5.4599741332387897"/>
    <n v="20.598399704146299"/>
    <n v="113.414716593935"/>
    <n v="779.84482301140099"/>
    <n v="631081923.51999998"/>
  </r>
  <r>
    <x v="6"/>
    <x v="4"/>
    <n v="9524328.5899999999"/>
    <n v="981502839.60000002"/>
    <n v="9.7038217371653492E-3"/>
    <n v="11.042773028183399"/>
    <n v="6.5755776173369398"/>
    <n v="25.880213479941801"/>
    <n v="115.41916127878901"/>
    <n v="780.00370600361305"/>
    <n v="981502839.60000002"/>
  </r>
  <r>
    <x v="6"/>
    <x v="5"/>
    <n v="30989931.829999998"/>
    <n v="3689011562.73"/>
    <n v="8.4006057728554101E-3"/>
    <n v="9.6277628299437001"/>
    <n v="8.2358286843867408"/>
    <n v="32.695970944122401"/>
    <n v="118.245355786266"/>
    <n v="781.24811232693503"/>
    <n v="3689011562.73"/>
  </r>
  <r>
    <x v="7"/>
    <x v="0"/>
    <n v="59484305.869999997"/>
    <n v="9259094752.3199997"/>
    <n v="6.4244191750057701E-3"/>
    <n v="7.4426501148984299"/>
    <n v="2.3205428580005498"/>
    <n v="9.3215242492208503"/>
    <n v="106.834608491277"/>
    <n v="780.64856434050398"/>
    <n v="9259094752.3199997"/>
  </r>
  <r>
    <x v="7"/>
    <x v="1"/>
    <n v="42445087.009999998"/>
    <n v="5583433075.5"/>
    <n v="7.6019693324969198E-3"/>
    <n v="8.7504512703346808"/>
    <n v="3.36402267433742"/>
    <n v="13.8484363243623"/>
    <n v="108.76575547552901"/>
    <n v="781.10470384181804"/>
    <n v="5583433075.5"/>
  </r>
  <r>
    <x v="7"/>
    <x v="2"/>
    <n v="48796701.960000001"/>
    <n v="6971253064.6899996"/>
    <n v="6.9997031390467597E-3"/>
    <n v="8.0836987269076293"/>
    <n v="4.5480731234197096"/>
    <n v="18.844951014741799"/>
    <n v="111.736770163179"/>
    <n v="780.61470738417802"/>
    <n v="6971253064.6899996"/>
  </r>
  <r>
    <x v="7"/>
    <x v="3"/>
    <n v="58782933.18"/>
    <n v="7088547812.0699997"/>
    <n v="8.2926622967693792E-3"/>
    <n v="9.5096392874468005"/>
    <n v="5.3722294712455998"/>
    <n v="22.764267658416902"/>
    <n v="113.374696178119"/>
    <n v="780.83387891066695"/>
    <n v="7088547812.069999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1" cacheId="4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 chartFormat="1">
  <location ref="A32:G41" firstHeaderRow="1" firstDataRow="2" firstDataCol="1"/>
  <pivotFields count="11"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Col" showAll="0" sortType="ascending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1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Sum of hpa_annual_" fld="6" baseField="0" baseItem="0"/>
  </dataFields>
  <formats count="1">
    <format dxfId="13">
      <pivotArea collapsedLevelsAreSubtotals="1" fieldPosition="0">
        <references count="2">
          <reference field="0" count="0"/>
          <reference field="1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0" cacheId="4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 chartFormat="1">
  <location ref="A18:G27" firstHeaderRow="1" firstDataRow="2" firstDataCol="1"/>
  <pivotFields count="11"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Col" showAll="0" sortType="ascending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1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Sum of bal" fld="10" baseField="0" baseItem="0" numFmtId="165"/>
  </dataFields>
  <formats count="2">
    <format dxfId="15">
      <pivotArea collapsedLevelsAreSubtotals="1" fieldPosition="0">
        <references count="2">
          <reference field="0" count="0"/>
          <reference field="1" count="0" selected="0"/>
        </references>
      </pivotArea>
    </format>
    <format dxfId="14">
      <pivotArea outline="0" collapsedLevelsAreSubtotals="1" fieldPosition="0"/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9" cacheId="4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 chartFormat="1">
  <location ref="A3:G10" firstHeaderRow="1" firstDataRow="2" firstDataCol="1"/>
  <pivotFields count="11">
    <pivotField axis="axisRow" showAll="0">
      <items count="9">
        <item x="0"/>
        <item x="1"/>
        <item x="2"/>
        <item x="3"/>
        <item x="4"/>
        <item x="5"/>
        <item h="1" x="6"/>
        <item h="1" x="7"/>
        <item t="default"/>
      </items>
    </pivotField>
    <pivotField axis="axisCol" showAll="0" sortType="ascending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1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Sum of cpr" fld="5" baseField="0" baseItem="0"/>
  </dataFields>
  <formats count="1">
    <format dxfId="16">
      <pivotArea collapsedLevelsAreSubtotals="1" fieldPosition="0">
        <references count="2">
          <reference field="0" count="0"/>
          <reference field="1" count="0" selected="0"/>
        </references>
      </pivotArea>
    </format>
  </format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4" cacheId="1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 chartFormat="1">
  <location ref="A31:I40" firstHeaderRow="1" firstDataRow="2" firstDataCol="1"/>
  <pivotFields count="11"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Col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colItems>
  <dataFields count="1">
    <dataField name="Sum of HPA_cum_" fld="7" baseField="0" baseItem="0"/>
  </dataFields>
  <formats count="1">
    <format dxfId="9">
      <pivotArea collapsedLevelsAreSubtotals="1" fieldPosition="0">
        <references count="2">
          <reference field="0" count="0"/>
          <reference field="1" count="0" selected="0"/>
        </references>
      </pivotArea>
    </format>
  </formats>
  <chartFormats count="8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1" count="1" selected="0">
            <x v="6"/>
          </reference>
        </references>
      </pivotArea>
    </chartFormat>
    <chartFormat chart="0" format="7" series="1">
      <pivotArea type="data" outline="0" fieldPosition="0">
        <references count="1">
          <reference field="1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23" cacheId="1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 chartFormat="1">
  <location ref="A16:I25" firstHeaderRow="1" firstDataRow="2" firstDataCol="1"/>
  <pivotFields count="11"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Col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colItems>
  <dataFields count="1">
    <dataField name="Sum of bal" fld="10" baseField="0" baseItem="0" numFmtId="164"/>
  </dataFields>
  <formats count="2">
    <format dxfId="11">
      <pivotArea collapsedLevelsAreSubtotals="1" fieldPosition="0">
        <references count="2">
          <reference field="0" count="0"/>
          <reference field="1" count="0" selected="0"/>
        </references>
      </pivotArea>
    </format>
    <format dxfId="10">
      <pivotArea outline="0" collapsedLevelsAreSubtotals="1" fieldPosition="0"/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8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1" count="1" selected="0">
            <x v="6"/>
          </reference>
        </references>
      </pivotArea>
    </chartFormat>
    <chartFormat chart="0" format="7" series="1">
      <pivotArea type="data" outline="0" fieldPosition="0">
        <references count="1">
          <reference field="1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22" cacheId="1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 chartFormat="1">
  <location ref="A1:I7" firstHeaderRow="1" firstDataRow="2" firstDataCol="1"/>
  <pivotFields count="11">
    <pivotField axis="axisRow" showAll="0">
      <items count="9">
        <item x="0"/>
        <item x="1"/>
        <item x="2"/>
        <item x="3"/>
        <item x="4"/>
        <item h="1" x="5"/>
        <item h="1" x="6"/>
        <item h="1" x="7"/>
        <item t="default"/>
      </items>
    </pivotField>
    <pivotField axis="axisCol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>
      <x v="4"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colItems>
  <dataFields count="1">
    <dataField name="Sum of cpr" fld="5" baseField="0" baseItem="0"/>
  </dataFields>
  <formats count="1">
    <format dxfId="12">
      <pivotArea collapsedLevelsAreSubtotals="1" fieldPosition="0">
        <references count="2">
          <reference field="0" count="0"/>
          <reference field="1" count="0" selected="0"/>
        </references>
      </pivotArea>
    </format>
  </formats>
  <chartFormats count="16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1" count="1" selected="0">
            <x v="6"/>
          </reference>
        </references>
      </pivotArea>
    </chartFormat>
    <chartFormat chart="0" format="7" series="1">
      <pivotArea type="data" outline="0" fieldPosition="0">
        <references count="1">
          <reference field="1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>
      <selection activeCell="H46" sqref="H46"/>
    </sheetView>
  </sheetViews>
  <sheetFormatPr defaultRowHeight="15" x14ac:dyDescent="0.25"/>
  <sheetData>
    <row r="1" spans="1:7" x14ac:dyDescent="0.25">
      <c r="A1" t="s">
        <v>17</v>
      </c>
      <c r="B1" t="s">
        <v>18</v>
      </c>
      <c r="C1" s="6" t="s">
        <v>19</v>
      </c>
      <c r="D1" s="6" t="s">
        <v>20</v>
      </c>
      <c r="E1" t="s">
        <v>10</v>
      </c>
      <c r="F1" s="6" t="s">
        <v>19</v>
      </c>
      <c r="G1" s="6" t="s">
        <v>20</v>
      </c>
    </row>
    <row r="2" spans="1:7" x14ac:dyDescent="0.25">
      <c r="A2">
        <v>10</v>
      </c>
      <c r="B2">
        <v>15</v>
      </c>
      <c r="C2" s="7">
        <v>6.1561554067758104</v>
      </c>
      <c r="D2" s="7">
        <v>7.2503599070482796</v>
      </c>
      <c r="E2">
        <v>42871904661.300003</v>
      </c>
    </row>
    <row r="3" spans="1:7" x14ac:dyDescent="0.25">
      <c r="A3">
        <v>10</v>
      </c>
      <c r="B3">
        <v>20</v>
      </c>
      <c r="C3" s="7">
        <v>5.2328203442863002</v>
      </c>
      <c r="D3" s="7">
        <v>7.0216536256697797</v>
      </c>
      <c r="E3">
        <v>49688621755.800003</v>
      </c>
      <c r="F3">
        <v>5</v>
      </c>
      <c r="G3">
        <v>7</v>
      </c>
    </row>
    <row r="4" spans="1:7" x14ac:dyDescent="0.25">
      <c r="A4">
        <v>10</v>
      </c>
      <c r="B4">
        <v>25</v>
      </c>
      <c r="C4" s="7">
        <v>3.7855494422794198</v>
      </c>
      <c r="D4" s="7">
        <v>7.1076623489840403</v>
      </c>
      <c r="E4">
        <v>26076926814.599998</v>
      </c>
    </row>
    <row r="5" spans="1:7" x14ac:dyDescent="0.25">
      <c r="A5">
        <v>10</v>
      </c>
      <c r="B5">
        <v>30</v>
      </c>
      <c r="C5" s="6">
        <v>3.4633793550970999</v>
      </c>
      <c r="D5" s="6">
        <v>7.7225303371993901</v>
      </c>
      <c r="E5">
        <v>1841990589.3</v>
      </c>
    </row>
    <row r="6" spans="1:7" x14ac:dyDescent="0.25">
      <c r="A6">
        <v>10</v>
      </c>
      <c r="B6">
        <v>35</v>
      </c>
      <c r="C6" s="6">
        <v>2.6361605158383301</v>
      </c>
      <c r="D6" s="6">
        <v>7.3977546390024402</v>
      </c>
      <c r="E6">
        <v>3525827830.5</v>
      </c>
    </row>
    <row r="7" spans="1:7" x14ac:dyDescent="0.25">
      <c r="A7">
        <v>10</v>
      </c>
      <c r="B7">
        <v>40</v>
      </c>
      <c r="C7" s="6">
        <v>2.0723034501122801</v>
      </c>
      <c r="D7" s="6">
        <v>6.4600972921024002</v>
      </c>
      <c r="E7">
        <v>223549188.40000001</v>
      </c>
    </row>
    <row r="8" spans="1:7" x14ac:dyDescent="0.25">
      <c r="A8">
        <v>10</v>
      </c>
      <c r="B8">
        <v>45</v>
      </c>
      <c r="C8" s="6">
        <v>1.92745469760548</v>
      </c>
      <c r="D8" s="6">
        <v>7.3576476477335699</v>
      </c>
      <c r="E8">
        <v>2536782802.3000002</v>
      </c>
    </row>
    <row r="9" spans="1:7" x14ac:dyDescent="0.25">
      <c r="A9">
        <v>10</v>
      </c>
      <c r="B9">
        <v>50</v>
      </c>
      <c r="C9" s="6">
        <v>1.80660056716143</v>
      </c>
      <c r="D9" s="6">
        <v>7.1363943072455802</v>
      </c>
      <c r="E9">
        <v>3529209933.1999998</v>
      </c>
    </row>
    <row r="10" spans="1:7" x14ac:dyDescent="0.25">
      <c r="A10">
        <v>20</v>
      </c>
      <c r="B10">
        <v>15</v>
      </c>
      <c r="C10" s="6">
        <v>9.3195110952446392</v>
      </c>
      <c r="D10" s="6">
        <v>11.3464756448872</v>
      </c>
      <c r="E10">
        <v>5763260667.8999996</v>
      </c>
    </row>
    <row r="11" spans="1:7" x14ac:dyDescent="0.25">
      <c r="A11">
        <v>20</v>
      </c>
      <c r="B11">
        <v>20</v>
      </c>
      <c r="C11" s="7">
        <v>8.9553266487725995</v>
      </c>
      <c r="D11" s="7">
        <v>12.531284530109501</v>
      </c>
      <c r="E11">
        <v>73269389311.800003</v>
      </c>
      <c r="F11">
        <v>8</v>
      </c>
      <c r="G11">
        <v>14</v>
      </c>
    </row>
    <row r="12" spans="1:7" x14ac:dyDescent="0.25">
      <c r="A12">
        <v>20</v>
      </c>
      <c r="B12">
        <v>25</v>
      </c>
      <c r="C12" s="7">
        <v>7.4405279871172301</v>
      </c>
      <c r="D12" s="7">
        <v>14.5804620261941</v>
      </c>
      <c r="E12">
        <v>66898728864.300003</v>
      </c>
    </row>
    <row r="13" spans="1:7" x14ac:dyDescent="0.25">
      <c r="A13">
        <v>20</v>
      </c>
      <c r="B13">
        <v>30</v>
      </c>
      <c r="C13" s="6">
        <v>6.96373145179472</v>
      </c>
      <c r="D13" s="6">
        <v>15.808119472013701</v>
      </c>
      <c r="E13">
        <v>13006968559.700001</v>
      </c>
    </row>
    <row r="14" spans="1:7" x14ac:dyDescent="0.25">
      <c r="A14">
        <v>20</v>
      </c>
      <c r="B14">
        <v>35</v>
      </c>
      <c r="C14" s="6">
        <v>5.1983698659331798</v>
      </c>
      <c r="D14" s="6">
        <v>15.222119692644499</v>
      </c>
      <c r="E14">
        <v>16456729334.200001</v>
      </c>
    </row>
    <row r="15" spans="1:7" x14ac:dyDescent="0.25">
      <c r="A15">
        <v>20</v>
      </c>
      <c r="B15">
        <v>40</v>
      </c>
      <c r="C15" s="6">
        <v>4.9023007304820698</v>
      </c>
      <c r="D15" s="6">
        <v>15.371914269627901</v>
      </c>
      <c r="E15">
        <v>3185512700.6999998</v>
      </c>
    </row>
    <row r="16" spans="1:7" x14ac:dyDescent="0.25">
      <c r="A16">
        <v>20</v>
      </c>
      <c r="B16">
        <v>45</v>
      </c>
      <c r="C16" s="6">
        <v>4.0107094220760402</v>
      </c>
      <c r="D16" s="6">
        <v>15.279139229214101</v>
      </c>
      <c r="E16">
        <v>1433879121.5</v>
      </c>
    </row>
    <row r="17" spans="1:5" x14ac:dyDescent="0.25">
      <c r="A17">
        <v>20</v>
      </c>
      <c r="B17">
        <v>50</v>
      </c>
      <c r="C17" s="6">
        <v>3.6009695287413899</v>
      </c>
      <c r="D17" s="6">
        <v>14.6479412957093</v>
      </c>
      <c r="E17">
        <v>17278675643.5</v>
      </c>
    </row>
    <row r="18" spans="1:5" x14ac:dyDescent="0.25">
      <c r="A18">
        <v>30</v>
      </c>
      <c r="B18">
        <v>20</v>
      </c>
      <c r="C18" s="6">
        <v>12.716203121021</v>
      </c>
      <c r="D18" s="6">
        <v>20.633861725226499</v>
      </c>
      <c r="E18">
        <v>25220640.699999999</v>
      </c>
    </row>
    <row r="19" spans="1:5" x14ac:dyDescent="0.25">
      <c r="A19">
        <v>30</v>
      </c>
      <c r="B19">
        <v>25</v>
      </c>
      <c r="C19" s="6">
        <v>10.6237662532966</v>
      </c>
      <c r="D19" s="6">
        <v>22.4861472377737</v>
      </c>
      <c r="E19">
        <v>5261624495.1000004</v>
      </c>
    </row>
    <row r="20" spans="1:5" x14ac:dyDescent="0.25">
      <c r="A20">
        <v>30</v>
      </c>
      <c r="B20">
        <v>30</v>
      </c>
      <c r="C20" s="6">
        <v>9.9829858545542596</v>
      </c>
      <c r="D20" s="6">
        <v>23.581112172412901</v>
      </c>
      <c r="E20">
        <v>7389032015.3999996</v>
      </c>
    </row>
    <row r="21" spans="1:5" x14ac:dyDescent="0.25">
      <c r="A21">
        <v>30</v>
      </c>
      <c r="B21">
        <v>35</v>
      </c>
      <c r="C21" s="6">
        <v>8.3150216056850805</v>
      </c>
      <c r="D21" s="6">
        <v>25.509393473382701</v>
      </c>
      <c r="E21">
        <v>17096557312.700001</v>
      </c>
    </row>
    <row r="22" spans="1:5" x14ac:dyDescent="0.25">
      <c r="A22">
        <v>30</v>
      </c>
      <c r="B22">
        <v>40</v>
      </c>
      <c r="C22" s="6">
        <v>8.3368003417654108</v>
      </c>
      <c r="D22" s="6">
        <v>27.096464021182801</v>
      </c>
      <c r="E22">
        <v>12992779340</v>
      </c>
    </row>
    <row r="23" spans="1:5" x14ac:dyDescent="0.25">
      <c r="A23">
        <v>30</v>
      </c>
      <c r="B23">
        <v>45</v>
      </c>
      <c r="C23" s="6">
        <v>7.8295150425440196</v>
      </c>
      <c r="D23" s="6">
        <v>30.661559131247099</v>
      </c>
      <c r="E23">
        <v>2005887814.2</v>
      </c>
    </row>
    <row r="24" spans="1:5" x14ac:dyDescent="0.25">
      <c r="A24">
        <v>30</v>
      </c>
      <c r="B24">
        <v>50</v>
      </c>
      <c r="C24" s="6">
        <v>7.6372982991753497</v>
      </c>
      <c r="D24" s="6">
        <v>33.2233357282581</v>
      </c>
      <c r="E24">
        <v>40873900741.599998</v>
      </c>
    </row>
  </sheetData>
  <conditionalFormatting sqref="E1:E24 F11:G11 F3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{6C6A5913-FE6B-449C-9D54-B31C94611EAE}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6A5913-FE6B-449C-9D54-B31C94611EA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E1:E24 F11:G11 F3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41"/>
  <sheetViews>
    <sheetView tabSelected="1" workbookViewId="0">
      <selection activeCell="U23" sqref="U23"/>
    </sheetView>
  </sheetViews>
  <sheetFormatPr defaultRowHeight="15" x14ac:dyDescent="0.25"/>
  <cols>
    <col min="1" max="1" width="13.140625" customWidth="1"/>
    <col min="2" max="2" width="16.28515625" customWidth="1"/>
    <col min="3" max="3" width="14.28515625" bestFit="1" customWidth="1"/>
    <col min="4" max="7" width="15.28515625" bestFit="1" customWidth="1"/>
    <col min="8" max="8" width="16.28515625" bestFit="1" customWidth="1"/>
    <col min="9" max="9" width="11.28515625" bestFit="1" customWidth="1"/>
  </cols>
  <sheetData>
    <row r="3" spans="1:7" x14ac:dyDescent="0.25">
      <c r="A3" s="1" t="s">
        <v>13</v>
      </c>
      <c r="B3" s="1" t="s">
        <v>12</v>
      </c>
    </row>
    <row r="4" spans="1:7" x14ac:dyDescent="0.25">
      <c r="A4" s="1" t="s">
        <v>11</v>
      </c>
      <c r="B4">
        <v>3</v>
      </c>
      <c r="C4">
        <v>4</v>
      </c>
      <c r="D4">
        <v>5</v>
      </c>
      <c r="E4">
        <v>6</v>
      </c>
      <c r="F4">
        <v>7</v>
      </c>
      <c r="G4">
        <v>8</v>
      </c>
    </row>
    <row r="5" spans="1:7" x14ac:dyDescent="0.25">
      <c r="A5" s="2">
        <v>15</v>
      </c>
      <c r="B5" s="3">
        <v>4.1208897365096098</v>
      </c>
      <c r="C5" s="3">
        <v>4.9810439400683197</v>
      </c>
      <c r="D5" s="3">
        <v>3.5404333169044002</v>
      </c>
      <c r="E5" s="3">
        <v>4.9967529391235699</v>
      </c>
      <c r="F5" s="3">
        <v>4.0178849304991804</v>
      </c>
      <c r="G5" s="3">
        <v>5.6360134955122101</v>
      </c>
    </row>
    <row r="6" spans="1:7" x14ac:dyDescent="0.25">
      <c r="A6" s="2">
        <v>20</v>
      </c>
      <c r="B6" s="3">
        <v>3.8631909501624602</v>
      </c>
      <c r="C6" s="3">
        <v>3.8382397154686898</v>
      </c>
      <c r="D6" s="3">
        <v>4.1211818376022897</v>
      </c>
      <c r="E6" s="3">
        <v>4.5342453257537096</v>
      </c>
      <c r="F6" s="3">
        <v>5.7033030049163802</v>
      </c>
      <c r="G6" s="3">
        <v>6.5147229635430204</v>
      </c>
    </row>
    <row r="7" spans="1:7" x14ac:dyDescent="0.25">
      <c r="A7" s="2">
        <v>25</v>
      </c>
      <c r="B7" s="3">
        <v>6.26557493058879</v>
      </c>
      <c r="C7" s="3">
        <v>5.2899289841438302</v>
      </c>
      <c r="D7" s="3">
        <v>6.1751669871339701</v>
      </c>
      <c r="E7" s="3">
        <v>6.34936036344949</v>
      </c>
      <c r="F7" s="3">
        <v>6.7302828164358202</v>
      </c>
      <c r="G7" s="3">
        <v>7.2887513715396297</v>
      </c>
    </row>
    <row r="8" spans="1:7" x14ac:dyDescent="0.25">
      <c r="A8" s="2">
        <v>30</v>
      </c>
      <c r="B8" s="3">
        <v>5.8025052849821996</v>
      </c>
      <c r="C8" s="3">
        <v>5.5232378429836499</v>
      </c>
      <c r="D8" s="3">
        <v>6.3343292260953898</v>
      </c>
      <c r="E8" s="3">
        <v>7.4413432935580897</v>
      </c>
      <c r="F8" s="3">
        <v>6.1754665829923203</v>
      </c>
      <c r="G8" s="3">
        <v>8.4999940610443403</v>
      </c>
    </row>
    <row r="9" spans="1:7" x14ac:dyDescent="0.25">
      <c r="A9" s="2">
        <v>35</v>
      </c>
      <c r="B9" s="3">
        <v>4.7480518500194702</v>
      </c>
      <c r="C9" s="3">
        <v>6.4327169119875904</v>
      </c>
      <c r="D9" s="3">
        <v>7.9415671655840399</v>
      </c>
      <c r="E9" s="3">
        <v>5.1961172616200502</v>
      </c>
      <c r="F9" s="3">
        <v>8.8800770926896195</v>
      </c>
      <c r="G9" s="3">
        <v>7.5034873272604701</v>
      </c>
    </row>
    <row r="10" spans="1:7" x14ac:dyDescent="0.25">
      <c r="A10" s="2">
        <v>40</v>
      </c>
      <c r="B10" s="3">
        <v>4.9243001218151496</v>
      </c>
      <c r="C10" s="3">
        <v>6.89583639296188</v>
      </c>
      <c r="D10" s="3">
        <v>5.7085546868004702</v>
      </c>
      <c r="E10" s="3">
        <v>6.7806266612848498</v>
      </c>
      <c r="F10" s="3">
        <v>7.6848684608349203</v>
      </c>
      <c r="G10" s="3">
        <v>8.8020715660538702</v>
      </c>
    </row>
    <row r="18" spans="1:7" x14ac:dyDescent="0.25">
      <c r="A18" s="1" t="s">
        <v>14</v>
      </c>
      <c r="B18" s="1" t="s">
        <v>12</v>
      </c>
    </row>
    <row r="19" spans="1:7" x14ac:dyDescent="0.25">
      <c r="A19" s="1" t="s">
        <v>11</v>
      </c>
      <c r="B19">
        <v>3</v>
      </c>
      <c r="C19">
        <v>4</v>
      </c>
      <c r="D19">
        <v>5</v>
      </c>
      <c r="E19">
        <v>6</v>
      </c>
      <c r="F19">
        <v>7</v>
      </c>
      <c r="G19">
        <v>8</v>
      </c>
    </row>
    <row r="20" spans="1:7" x14ac:dyDescent="0.25">
      <c r="A20" s="2">
        <v>15</v>
      </c>
      <c r="B20" s="5">
        <v>1451477224.75</v>
      </c>
      <c r="C20" s="5">
        <v>2617579103.9200001</v>
      </c>
      <c r="D20" s="5">
        <v>5258258296.9499998</v>
      </c>
      <c r="E20" s="5">
        <v>4433133885.7200003</v>
      </c>
      <c r="F20" s="5">
        <v>6118189762.0299997</v>
      </c>
      <c r="G20" s="5">
        <v>30039945420.91</v>
      </c>
    </row>
    <row r="21" spans="1:7" x14ac:dyDescent="0.25">
      <c r="A21" s="2">
        <v>20</v>
      </c>
      <c r="B21" s="5">
        <v>5176256015.8800001</v>
      </c>
      <c r="C21" s="5">
        <v>9685592830.6900005</v>
      </c>
      <c r="D21" s="5">
        <v>10640922653.24</v>
      </c>
      <c r="E21" s="5">
        <v>11589838997.559999</v>
      </c>
      <c r="F21" s="5">
        <v>14290454455.34</v>
      </c>
      <c r="G21" s="5">
        <v>70657783055.869995</v>
      </c>
    </row>
    <row r="22" spans="1:7" x14ac:dyDescent="0.25">
      <c r="A22" s="2">
        <v>25</v>
      </c>
      <c r="B22" s="5">
        <v>4417334524.5900002</v>
      </c>
      <c r="C22" s="5">
        <v>7903198715.6800003</v>
      </c>
      <c r="D22" s="5">
        <v>7174645948.96</v>
      </c>
      <c r="E22" s="5">
        <v>9157592737.5200005</v>
      </c>
      <c r="F22" s="5">
        <v>13267646325.309999</v>
      </c>
      <c r="G22" s="5">
        <v>41356771916.540001</v>
      </c>
    </row>
    <row r="23" spans="1:7" x14ac:dyDescent="0.25">
      <c r="A23" s="2">
        <v>30</v>
      </c>
      <c r="B23" s="5">
        <v>1226422816.78</v>
      </c>
      <c r="C23" s="5">
        <v>1836234575.3199999</v>
      </c>
      <c r="D23" s="5">
        <v>4421452284.6499996</v>
      </c>
      <c r="E23" s="5">
        <v>3408150281.1999998</v>
      </c>
      <c r="F23" s="5">
        <v>4672686466.6099997</v>
      </c>
      <c r="G23" s="5">
        <v>21741348148.43</v>
      </c>
    </row>
    <row r="24" spans="1:7" x14ac:dyDescent="0.25">
      <c r="A24" s="2">
        <v>35</v>
      </c>
      <c r="B24" s="5">
        <v>1184771956.02</v>
      </c>
      <c r="C24" s="5">
        <v>3684332773.9099998</v>
      </c>
      <c r="D24" s="5">
        <v>1759400098.73</v>
      </c>
      <c r="E24" s="5">
        <v>4524057728.5100002</v>
      </c>
      <c r="F24" s="5">
        <v>4276552299.1700001</v>
      </c>
      <c r="G24" s="5">
        <v>11645314096.950001</v>
      </c>
    </row>
    <row r="25" spans="1:7" x14ac:dyDescent="0.25">
      <c r="A25" s="2">
        <v>40</v>
      </c>
      <c r="B25" s="5">
        <v>723174209.99000001</v>
      </c>
      <c r="C25" s="5">
        <v>1550901666.51</v>
      </c>
      <c r="D25" s="5">
        <v>3081161981.9099998</v>
      </c>
      <c r="E25" s="5">
        <v>2735878296.0700002</v>
      </c>
      <c r="F25" s="5">
        <v>2636831709.48</v>
      </c>
      <c r="G25" s="5">
        <v>15895404660.940001</v>
      </c>
    </row>
    <row r="26" spans="1:7" x14ac:dyDescent="0.25">
      <c r="A26" s="2">
        <v>45</v>
      </c>
      <c r="B26" s="5">
        <v>1946013807.9400001</v>
      </c>
      <c r="C26" s="5">
        <v>1091900815.4000001</v>
      </c>
      <c r="D26" s="5">
        <v>1479044513.27</v>
      </c>
      <c r="E26" s="5">
        <v>631081923.51999998</v>
      </c>
      <c r="F26" s="5">
        <v>981502839.60000002</v>
      </c>
      <c r="G26" s="5">
        <v>3689011562.73</v>
      </c>
    </row>
    <row r="27" spans="1:7" x14ac:dyDescent="0.25">
      <c r="A27" s="2">
        <v>50</v>
      </c>
      <c r="B27" s="5">
        <v>9259094752.3199997</v>
      </c>
      <c r="C27" s="5">
        <v>5583433075.5</v>
      </c>
      <c r="D27" s="5">
        <v>6971253064.6899996</v>
      </c>
      <c r="E27" s="5">
        <v>7088547812.0699997</v>
      </c>
      <c r="F27" s="5"/>
      <c r="G27" s="5"/>
    </row>
    <row r="28" spans="1:7" x14ac:dyDescent="0.25">
      <c r="B28" s="5"/>
      <c r="C28" s="5"/>
      <c r="D28" s="5"/>
      <c r="E28" s="5"/>
    </row>
    <row r="32" spans="1:7" x14ac:dyDescent="0.25">
      <c r="A32" s="1" t="s">
        <v>15</v>
      </c>
      <c r="B32" s="1" t="s">
        <v>12</v>
      </c>
    </row>
    <row r="33" spans="1:7" x14ac:dyDescent="0.25">
      <c r="A33" s="1" t="s">
        <v>11</v>
      </c>
      <c r="B33">
        <v>3</v>
      </c>
      <c r="C33">
        <v>4</v>
      </c>
      <c r="D33">
        <v>5</v>
      </c>
      <c r="E33">
        <v>6</v>
      </c>
      <c r="F33">
        <v>7</v>
      </c>
      <c r="G33">
        <v>8</v>
      </c>
    </row>
    <row r="34" spans="1:7" x14ac:dyDescent="0.25">
      <c r="A34" s="2">
        <v>15</v>
      </c>
      <c r="B34" s="3">
        <v>2.1660845260677601</v>
      </c>
      <c r="C34" s="3">
        <v>3.6548300363549799</v>
      </c>
      <c r="D34" s="3">
        <v>4.4577438504660103</v>
      </c>
      <c r="E34" s="3">
        <v>5.5076443330242801</v>
      </c>
      <c r="F34" s="3">
        <v>6.4591874407799397</v>
      </c>
      <c r="G34" s="3">
        <v>8.8251718378750503</v>
      </c>
    </row>
    <row r="35" spans="1:7" x14ac:dyDescent="0.25">
      <c r="A35" s="2">
        <v>20</v>
      </c>
      <c r="B35" s="3">
        <v>2.12955151603922</v>
      </c>
      <c r="C35" s="3">
        <v>3.5274730875367002</v>
      </c>
      <c r="D35" s="3">
        <v>4.5095119972550197</v>
      </c>
      <c r="E35" s="3">
        <v>5.5225245763671102</v>
      </c>
      <c r="F35" s="3">
        <v>6.5044473606984896</v>
      </c>
      <c r="G35" s="3">
        <v>8.7898192778399</v>
      </c>
    </row>
    <row r="36" spans="1:7" x14ac:dyDescent="0.25">
      <c r="A36" s="2">
        <v>25</v>
      </c>
      <c r="B36" s="3">
        <v>2.0159294660734401</v>
      </c>
      <c r="C36" s="3">
        <v>3.5198115017721099</v>
      </c>
      <c r="D36" s="3">
        <v>4.4641774767379703</v>
      </c>
      <c r="E36" s="3">
        <v>5.4882153194991004</v>
      </c>
      <c r="F36" s="3">
        <v>6.5872914325040597</v>
      </c>
      <c r="G36" s="3">
        <v>8.4921671145767093</v>
      </c>
    </row>
    <row r="37" spans="1:7" x14ac:dyDescent="0.25">
      <c r="A37" s="2">
        <v>30</v>
      </c>
      <c r="B37" s="3">
        <v>2.11799399214468</v>
      </c>
      <c r="C37" s="3">
        <v>3.62036238097041</v>
      </c>
      <c r="D37" s="3">
        <v>4.5540452720350499</v>
      </c>
      <c r="E37" s="3">
        <v>5.4870090258182502</v>
      </c>
      <c r="F37" s="3">
        <v>6.4844778829234997</v>
      </c>
      <c r="G37" s="3">
        <v>8.6156208217546393</v>
      </c>
    </row>
    <row r="38" spans="1:7" x14ac:dyDescent="0.25">
      <c r="A38" s="2">
        <v>35</v>
      </c>
      <c r="B38" s="3">
        <v>1.80732055349679</v>
      </c>
      <c r="C38" s="3">
        <v>3.5580969208141902</v>
      </c>
      <c r="D38" s="3">
        <v>4.4881491762860701</v>
      </c>
      <c r="E38" s="3">
        <v>5.4300558320732302</v>
      </c>
      <c r="F38" s="3">
        <v>6.6299577562642096</v>
      </c>
      <c r="G38" s="3">
        <v>8.5070761757590105</v>
      </c>
    </row>
    <row r="39" spans="1:7" x14ac:dyDescent="0.25">
      <c r="A39" s="2">
        <v>40</v>
      </c>
      <c r="B39" s="3">
        <v>2.0207847951327702</v>
      </c>
      <c r="C39" s="3">
        <v>3.6307052233613</v>
      </c>
      <c r="D39" s="3">
        <v>4.3769018349488702</v>
      </c>
      <c r="E39" s="3">
        <v>5.6404819384860998</v>
      </c>
      <c r="F39" s="3">
        <v>6.4567733355000003</v>
      </c>
      <c r="G39" s="3">
        <v>8.4876888200984304</v>
      </c>
    </row>
    <row r="40" spans="1:7" x14ac:dyDescent="0.25">
      <c r="A40" s="2">
        <v>45</v>
      </c>
      <c r="B40" s="3">
        <v>2.0207936613112398</v>
      </c>
      <c r="C40" s="3">
        <v>3.5749436513337298</v>
      </c>
      <c r="D40" s="3">
        <v>4.5198483277829098</v>
      </c>
      <c r="E40" s="3">
        <v>5.4599741332387897</v>
      </c>
      <c r="F40" s="3">
        <v>6.5755776173369398</v>
      </c>
      <c r="G40" s="3">
        <v>8.2358286843867408</v>
      </c>
    </row>
    <row r="41" spans="1:7" x14ac:dyDescent="0.25">
      <c r="A41" s="2">
        <v>50</v>
      </c>
      <c r="B41" s="3">
        <v>2.3205428580005498</v>
      </c>
      <c r="C41" s="3">
        <v>3.36402267433742</v>
      </c>
      <c r="D41" s="3">
        <v>4.5480731234197096</v>
      </c>
      <c r="E41" s="3">
        <v>5.3722294712455998</v>
      </c>
      <c r="F41" s="3"/>
      <c r="G41" s="3"/>
    </row>
  </sheetData>
  <conditionalFormatting pivot="1" sqref="B20:G27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{A0D3E0F5-79E8-4C26-BC7F-C0FBC7A6F020}</x14:id>
        </ext>
      </extLst>
    </cfRule>
  </conditionalFormatting>
  <pageMargins left="0.7" right="0.7" top="0.75" bottom="0.75" header="0.3" footer="0.3"/>
  <drawing r:id="rId4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A0D3E0F5-79E8-4C26-BC7F-C0FBC7A6F02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B20:G27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workbookViewId="0">
      <selection activeCell="Q40" sqref="Q40"/>
    </sheetView>
  </sheetViews>
  <sheetFormatPr defaultRowHeight="15" x14ac:dyDescent="0.25"/>
  <cols>
    <col min="1" max="1" width="13.140625" customWidth="1"/>
    <col min="2" max="2" width="16.85546875" bestFit="1" customWidth="1"/>
    <col min="3" max="4" width="15.85546875" bestFit="1" customWidth="1"/>
    <col min="5" max="9" width="16.85546875" bestFit="1" customWidth="1"/>
    <col min="10" max="10" width="12" bestFit="1" customWidth="1"/>
  </cols>
  <sheetData>
    <row r="1" spans="1:9" x14ac:dyDescent="0.25">
      <c r="A1" s="1" t="s">
        <v>13</v>
      </c>
      <c r="B1" s="1" t="s">
        <v>12</v>
      </c>
    </row>
    <row r="2" spans="1:9" x14ac:dyDescent="0.25">
      <c r="A2" s="1" t="s">
        <v>11</v>
      </c>
      <c r="B2">
        <v>7</v>
      </c>
      <c r="C2">
        <v>8</v>
      </c>
      <c r="D2">
        <v>9</v>
      </c>
      <c r="E2">
        <v>10</v>
      </c>
      <c r="F2">
        <v>11</v>
      </c>
      <c r="G2">
        <v>12</v>
      </c>
      <c r="H2">
        <v>13</v>
      </c>
      <c r="I2">
        <v>14</v>
      </c>
    </row>
    <row r="3" spans="1:9" x14ac:dyDescent="0.25">
      <c r="A3" s="2">
        <v>15</v>
      </c>
      <c r="B3" s="3">
        <v>4.3641025023044202</v>
      </c>
      <c r="C3" s="3">
        <v>3.8970322313386001</v>
      </c>
      <c r="D3" s="3">
        <v>5.04979236069883</v>
      </c>
      <c r="E3" s="3">
        <v>5.8485836290436097</v>
      </c>
      <c r="F3" s="3">
        <v>5.1405851340230599</v>
      </c>
      <c r="G3" s="3">
        <v>6.5927601899758699</v>
      </c>
      <c r="H3" s="3">
        <v>5.6122315204881597</v>
      </c>
      <c r="I3" s="3">
        <v>7.5939061591325396</v>
      </c>
    </row>
    <row r="4" spans="1:9" x14ac:dyDescent="0.25">
      <c r="A4" s="2">
        <v>20</v>
      </c>
      <c r="B4" s="3">
        <v>3.9710921464593301</v>
      </c>
      <c r="C4" s="3">
        <v>4.0143771421479704</v>
      </c>
      <c r="D4" s="3">
        <v>5.4118841295320097</v>
      </c>
      <c r="E4" s="3">
        <v>6.1988704589571499</v>
      </c>
      <c r="F4" s="3">
        <v>4.97554463923949</v>
      </c>
      <c r="G4" s="3">
        <v>5.9485931109033601</v>
      </c>
      <c r="H4" s="3">
        <v>7.3415271975909597</v>
      </c>
      <c r="I4" s="3">
        <v>7.5853084139728599</v>
      </c>
    </row>
    <row r="5" spans="1:9" x14ac:dyDescent="0.25">
      <c r="A5" s="2">
        <v>25</v>
      </c>
      <c r="B5" s="3">
        <v>5.7651625508633497</v>
      </c>
      <c r="C5" s="3">
        <v>5.2764244149689299</v>
      </c>
      <c r="D5" s="3">
        <v>6.1739889365787697</v>
      </c>
      <c r="E5" s="3">
        <v>5.8144823264943497</v>
      </c>
      <c r="F5" s="3">
        <v>6.1598434709539998</v>
      </c>
      <c r="G5" s="3">
        <v>6.8648355451030802</v>
      </c>
      <c r="H5" s="3">
        <v>7.1920197544142503</v>
      </c>
      <c r="I5" s="3">
        <v>7.2609562851758396</v>
      </c>
    </row>
    <row r="6" spans="1:9" x14ac:dyDescent="0.25">
      <c r="A6" s="2">
        <v>30</v>
      </c>
      <c r="B6" s="3">
        <v>5.5202365953866499</v>
      </c>
      <c r="C6" s="3">
        <v>6.17344533037509</v>
      </c>
      <c r="D6" s="3">
        <v>6.5568298262407003</v>
      </c>
      <c r="E6" s="3">
        <v>5.2999075670381002</v>
      </c>
      <c r="F6" s="3">
        <v>6.9460833130673301</v>
      </c>
      <c r="G6" s="3">
        <v>6.5828235576592702</v>
      </c>
      <c r="H6" s="3">
        <v>7.7011126019622402</v>
      </c>
      <c r="I6" s="3">
        <v>8.0582965569301894</v>
      </c>
    </row>
    <row r="7" spans="1:9" x14ac:dyDescent="0.25">
      <c r="A7" s="2">
        <v>35</v>
      </c>
      <c r="B7" s="3">
        <v>5.0406070802755396</v>
      </c>
      <c r="C7" s="3">
        <v>3.5094745035103601</v>
      </c>
      <c r="D7" s="3">
        <v>5.6750563313711497</v>
      </c>
      <c r="E7" s="3">
        <v>7.3784779710666504</v>
      </c>
      <c r="F7" s="3">
        <v>6.2373358322121204</v>
      </c>
      <c r="G7" s="3">
        <v>7.9468017177860499</v>
      </c>
      <c r="H7" s="3">
        <v>5.6117632786526199</v>
      </c>
      <c r="I7" s="3">
        <v>7.2950038670718502</v>
      </c>
    </row>
    <row r="16" spans="1:9" x14ac:dyDescent="0.25">
      <c r="A16" s="1" t="s">
        <v>14</v>
      </c>
      <c r="B16" s="1" t="s">
        <v>12</v>
      </c>
    </row>
    <row r="17" spans="1:9" x14ac:dyDescent="0.25">
      <c r="A17" s="1" t="s">
        <v>11</v>
      </c>
      <c r="B17">
        <v>7</v>
      </c>
      <c r="C17">
        <v>8</v>
      </c>
      <c r="D17">
        <v>9</v>
      </c>
      <c r="E17">
        <v>10</v>
      </c>
      <c r="F17">
        <v>11</v>
      </c>
      <c r="G17">
        <v>12</v>
      </c>
      <c r="H17">
        <v>13</v>
      </c>
      <c r="I17">
        <v>14</v>
      </c>
    </row>
    <row r="18" spans="1:9" x14ac:dyDescent="0.25">
      <c r="A18" s="2">
        <v>15</v>
      </c>
      <c r="B18" s="4">
        <v>15226123096.559999</v>
      </c>
      <c r="C18" s="4">
        <v>5507791686.3800001</v>
      </c>
      <c r="D18" s="4">
        <v>6360056389.8299999</v>
      </c>
      <c r="E18" s="4">
        <v>11216254322.139999</v>
      </c>
      <c r="F18" s="4">
        <v>6506634862.0600004</v>
      </c>
      <c r="G18" s="4">
        <v>1346542439.5899999</v>
      </c>
      <c r="H18" s="4">
        <v>1436464164.4400001</v>
      </c>
      <c r="I18" s="4">
        <v>2318716733.2800002</v>
      </c>
    </row>
    <row r="19" spans="1:9" x14ac:dyDescent="0.25">
      <c r="A19" s="2">
        <v>20</v>
      </c>
      <c r="B19" s="4">
        <v>24962373497.580002</v>
      </c>
      <c r="C19" s="4">
        <v>8732414896.5900002</v>
      </c>
      <c r="D19" s="4">
        <v>9407453106.0499992</v>
      </c>
      <c r="E19" s="4">
        <v>11317900731.83</v>
      </c>
      <c r="F19" s="4">
        <v>14856445597.290001</v>
      </c>
      <c r="G19" s="4">
        <v>19137301637.91</v>
      </c>
      <c r="H19" s="4">
        <v>12647511338.93</v>
      </c>
      <c r="I19" s="4">
        <v>20979447202.400002</v>
      </c>
    </row>
    <row r="20" spans="1:9" x14ac:dyDescent="0.25">
      <c r="A20" s="2">
        <v>25</v>
      </c>
      <c r="B20" s="4">
        <v>10868307038.16</v>
      </c>
      <c r="C20" s="4">
        <v>3314604038.3699999</v>
      </c>
      <c r="D20" s="4">
        <v>4884705258.1000004</v>
      </c>
      <c r="E20" s="4">
        <v>4296025583.5600004</v>
      </c>
      <c r="F20" s="4">
        <v>4473182600.0200005</v>
      </c>
      <c r="G20" s="4">
        <v>5948548653.3299999</v>
      </c>
      <c r="H20" s="4">
        <v>5531213224.8400002</v>
      </c>
      <c r="I20" s="4">
        <v>43960603772.220001</v>
      </c>
    </row>
    <row r="21" spans="1:9" x14ac:dyDescent="0.25">
      <c r="A21" s="2">
        <v>30</v>
      </c>
      <c r="B21" s="4">
        <v>1352838019.6400001</v>
      </c>
      <c r="C21" s="4">
        <v>623193128.38</v>
      </c>
      <c r="D21" s="4">
        <v>902795153.63</v>
      </c>
      <c r="E21" s="4">
        <v>1946107539.0899999</v>
      </c>
      <c r="F21" s="4">
        <v>1661142651.3399999</v>
      </c>
      <c r="G21" s="4">
        <v>1702897693.1900001</v>
      </c>
      <c r="H21" s="4">
        <v>1547068531.71</v>
      </c>
      <c r="I21" s="4">
        <v>27570251856.009998</v>
      </c>
    </row>
    <row r="22" spans="1:9" x14ac:dyDescent="0.25">
      <c r="A22" s="2">
        <v>35</v>
      </c>
      <c r="B22" s="4">
        <v>1011068864.79</v>
      </c>
      <c r="C22" s="4">
        <v>146735627.18000001</v>
      </c>
      <c r="D22" s="4">
        <v>624616225.76999998</v>
      </c>
      <c r="E22" s="4">
        <v>1242082346.6900001</v>
      </c>
      <c r="F22" s="4">
        <v>1349350245.96</v>
      </c>
      <c r="G22" s="4">
        <v>1184028947.6099999</v>
      </c>
      <c r="H22" s="4">
        <v>474921206.69</v>
      </c>
      <c r="I22" s="4">
        <v>21041625488.599998</v>
      </c>
    </row>
    <row r="23" spans="1:9" x14ac:dyDescent="0.25">
      <c r="A23" s="2">
        <v>40</v>
      </c>
      <c r="B23" s="4">
        <v>539574034.29999995</v>
      </c>
      <c r="C23" s="4">
        <v>100330402.19</v>
      </c>
      <c r="D23" s="4">
        <v>51750589.939999998</v>
      </c>
      <c r="E23" s="4">
        <v>69441540.409999996</v>
      </c>
      <c r="F23" s="4">
        <v>466863378.60000002</v>
      </c>
      <c r="G23" s="4">
        <v>735885197.26999998</v>
      </c>
      <c r="H23" s="4">
        <v>963613345</v>
      </c>
      <c r="I23" s="4">
        <v>23695894037.189999</v>
      </c>
    </row>
    <row r="24" spans="1:9" x14ac:dyDescent="0.25">
      <c r="A24" s="2">
        <v>45</v>
      </c>
      <c r="B24" s="4">
        <v>631222262.51999998</v>
      </c>
      <c r="C24" s="4">
        <v>142974321.19</v>
      </c>
      <c r="D24" s="4">
        <v>621211178.36000001</v>
      </c>
      <c r="E24" s="4">
        <v>309798237.5</v>
      </c>
      <c r="F24" s="4">
        <v>251632176.25999999</v>
      </c>
      <c r="G24" s="4">
        <v>185031045.90000001</v>
      </c>
      <c r="H24" s="4">
        <v>168921544.31</v>
      </c>
      <c r="I24" s="4">
        <v>7507764696.4200001</v>
      </c>
    </row>
    <row r="25" spans="1:9" x14ac:dyDescent="0.25">
      <c r="A25" s="2">
        <v>50</v>
      </c>
      <c r="B25" s="4">
        <v>1491154185.5799999</v>
      </c>
      <c r="C25" s="4">
        <v>381340487.30000001</v>
      </c>
      <c r="D25" s="4">
        <v>1216354203.5799999</v>
      </c>
      <c r="E25" s="4">
        <v>1322309749.24</v>
      </c>
      <c r="F25" s="4">
        <v>2026448248.8299999</v>
      </c>
      <c r="G25" s="4">
        <v>2013745853.55</v>
      </c>
      <c r="H25" s="4">
        <v>1767902840.6500001</v>
      </c>
      <c r="I25" s="4">
        <v>47789763889.760002</v>
      </c>
    </row>
    <row r="31" spans="1:9" x14ac:dyDescent="0.25">
      <c r="A31" s="1" t="s">
        <v>16</v>
      </c>
      <c r="B31" s="1" t="s">
        <v>12</v>
      </c>
    </row>
    <row r="32" spans="1:9" x14ac:dyDescent="0.25">
      <c r="A32" s="1" t="s">
        <v>11</v>
      </c>
      <c r="B32">
        <v>7</v>
      </c>
      <c r="C32">
        <v>8</v>
      </c>
      <c r="D32">
        <v>9</v>
      </c>
      <c r="E32">
        <v>10</v>
      </c>
      <c r="F32">
        <v>11</v>
      </c>
      <c r="G32">
        <v>12</v>
      </c>
      <c r="H32">
        <v>13</v>
      </c>
      <c r="I32">
        <v>14</v>
      </c>
    </row>
    <row r="33" spans="1:9" x14ac:dyDescent="0.25">
      <c r="A33" s="2">
        <v>15</v>
      </c>
      <c r="B33" s="3">
        <v>5.1526095491992399</v>
      </c>
      <c r="C33" s="3">
        <v>7.4778694168838102</v>
      </c>
      <c r="D33" s="3">
        <v>8.5755376608312197</v>
      </c>
      <c r="E33" s="3">
        <v>9.4381871522234508</v>
      </c>
      <c r="F33" s="3">
        <v>10.393356211052</v>
      </c>
      <c r="G33" s="3">
        <v>11.418619528437301</v>
      </c>
      <c r="H33" s="3">
        <v>12.4239808554055</v>
      </c>
      <c r="I33" s="3">
        <v>14.053375433363501</v>
      </c>
    </row>
    <row r="34" spans="1:9" x14ac:dyDescent="0.25">
      <c r="A34" s="2">
        <v>20</v>
      </c>
      <c r="B34" s="3">
        <v>5.0713572694417604</v>
      </c>
      <c r="C34" s="3">
        <v>7.4985290275265104</v>
      </c>
      <c r="D34" s="3">
        <v>8.57304045097532</v>
      </c>
      <c r="E34" s="3">
        <v>9.5330896372956406</v>
      </c>
      <c r="F34" s="3">
        <v>10.5786254765473</v>
      </c>
      <c r="G34" s="3">
        <v>11.5000373704907</v>
      </c>
      <c r="H34" s="3">
        <v>12.556374467722</v>
      </c>
      <c r="I34" s="3">
        <v>15.0920191445617</v>
      </c>
    </row>
    <row r="35" spans="1:9" x14ac:dyDescent="0.25">
      <c r="A35" s="2">
        <v>25</v>
      </c>
      <c r="B35" s="3">
        <v>5.1776836715363999</v>
      </c>
      <c r="C35" s="3">
        <v>7.5042350157128199</v>
      </c>
      <c r="D35" s="3">
        <v>8.5341532013511294</v>
      </c>
      <c r="E35" s="3">
        <v>9.5102820138731392</v>
      </c>
      <c r="F35" s="3">
        <v>10.522277541961</v>
      </c>
      <c r="G35" s="3">
        <v>11.527870505467099</v>
      </c>
      <c r="H35" s="3">
        <v>12.462682527397901</v>
      </c>
      <c r="I35" s="3">
        <v>16.059377810308298</v>
      </c>
    </row>
    <row r="36" spans="1:9" x14ac:dyDescent="0.25">
      <c r="A36" s="2">
        <v>30</v>
      </c>
      <c r="B36" s="3">
        <v>4.9607593757300599</v>
      </c>
      <c r="C36" s="3">
        <v>7.5921989158476304</v>
      </c>
      <c r="D36" s="3">
        <v>8.5088249689585993</v>
      </c>
      <c r="E36" s="3">
        <v>9.5640993472337801</v>
      </c>
      <c r="F36" s="3">
        <v>10.4829669450562</v>
      </c>
      <c r="G36" s="3">
        <v>11.386421120036101</v>
      </c>
      <c r="H36" s="3">
        <v>12.467244661232799</v>
      </c>
      <c r="I36" s="3">
        <v>18.927316548011099</v>
      </c>
    </row>
    <row r="37" spans="1:9" x14ac:dyDescent="0.25">
      <c r="A37" s="2">
        <v>35</v>
      </c>
      <c r="B37" s="3">
        <v>4.46822976078011</v>
      </c>
      <c r="C37" s="3">
        <v>7.5518997206927096</v>
      </c>
      <c r="D37" s="3">
        <v>8.6412231762723106</v>
      </c>
      <c r="E37" s="3">
        <v>9.5850839536674499</v>
      </c>
      <c r="F37" s="3">
        <v>10.502970456722</v>
      </c>
      <c r="G37" s="3">
        <v>11.392536818670401</v>
      </c>
      <c r="H37" s="3">
        <v>12.489413685086401</v>
      </c>
      <c r="I37" s="3">
        <v>21.364476296262598</v>
      </c>
    </row>
    <row r="38" spans="1:9" x14ac:dyDescent="0.25">
      <c r="A38" s="2">
        <v>40</v>
      </c>
      <c r="B38" s="3">
        <v>5.6436510094074404</v>
      </c>
      <c r="C38" s="3">
        <v>7.4058698564998702</v>
      </c>
      <c r="D38" s="3">
        <v>8.49088188427225</v>
      </c>
      <c r="E38" s="3">
        <v>9.4434518800084408</v>
      </c>
      <c r="F38" s="3">
        <v>10.5130698782891</v>
      </c>
      <c r="G38" s="3">
        <v>11.5077844921114</v>
      </c>
      <c r="H38" s="3">
        <v>12.4547920307308</v>
      </c>
      <c r="I38" s="3">
        <v>24.5555397791952</v>
      </c>
    </row>
    <row r="39" spans="1:9" x14ac:dyDescent="0.25">
      <c r="A39" s="2">
        <v>45</v>
      </c>
      <c r="B39" s="3">
        <v>4.4419395839885603</v>
      </c>
      <c r="C39" s="3">
        <v>7.6365578137219297</v>
      </c>
      <c r="D39" s="3">
        <v>8.6100779254787394</v>
      </c>
      <c r="E39" s="3">
        <v>9.3776565255917692</v>
      </c>
      <c r="F39" s="3">
        <v>10.4953441404688</v>
      </c>
      <c r="G39" s="3">
        <v>11.586603898920201</v>
      </c>
      <c r="H39" s="3">
        <v>12.425304234944001</v>
      </c>
      <c r="I39" s="3">
        <v>25.968450899899</v>
      </c>
    </row>
    <row r="40" spans="1:9" x14ac:dyDescent="0.25">
      <c r="A40" s="2">
        <v>50</v>
      </c>
      <c r="B40" s="3">
        <v>4.0622030513163301</v>
      </c>
      <c r="C40" s="3">
        <v>7.69129873613673</v>
      </c>
      <c r="D40" s="3">
        <v>8.4366755387709702</v>
      </c>
      <c r="E40" s="3">
        <v>9.5751900323286492</v>
      </c>
      <c r="F40" s="3">
        <v>10.516122585812999</v>
      </c>
      <c r="G40" s="3">
        <v>11.5092741816872</v>
      </c>
      <c r="H40" s="3">
        <v>12.394624972330501</v>
      </c>
      <c r="I40" s="3">
        <v>29.8940996144064</v>
      </c>
    </row>
  </sheetData>
  <conditionalFormatting pivot="1" sqref="B18:I25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{F819C824-2958-4F77-BB40-88981C818267}</x14:id>
        </ext>
      </extLst>
    </cfRule>
  </conditionalFormatting>
  <pageMargins left="0.7" right="0.7" top="0.75" bottom="0.75" header="0.3" footer="0.3"/>
  <drawing r:id="rId4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F819C824-2958-4F77-BB40-88981C81826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B18:I25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7"/>
  <sheetViews>
    <sheetView workbookViewId="0">
      <selection sqref="A1:A47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15</v>
      </c>
      <c r="B2">
        <v>3</v>
      </c>
      <c r="C2">
        <v>5081180.8600000003</v>
      </c>
      <c r="D2">
        <v>1451477224.75</v>
      </c>
      <c r="E2">
        <v>3.50069623784498E-3</v>
      </c>
      <c r="F2">
        <v>4.1208897365096098</v>
      </c>
      <c r="G2">
        <v>2.1660845260677601</v>
      </c>
      <c r="H2">
        <v>2.4520737834122701</v>
      </c>
      <c r="I2">
        <v>104.760954644764</v>
      </c>
      <c r="J2">
        <v>779.55201049901405</v>
      </c>
      <c r="K2">
        <v>1451477224.75</v>
      </c>
    </row>
    <row r="3" spans="1:11" x14ac:dyDescent="0.25">
      <c r="A3">
        <v>15</v>
      </c>
      <c r="B3">
        <v>4</v>
      </c>
      <c r="C3">
        <v>11121473.49</v>
      </c>
      <c r="D3">
        <v>2617579103.9200001</v>
      </c>
      <c r="E3">
        <v>4.2487630930980597E-3</v>
      </c>
      <c r="F3">
        <v>4.9810439400683197</v>
      </c>
      <c r="G3">
        <v>3.6548300363549799</v>
      </c>
      <c r="H3">
        <v>4.1491396357200996</v>
      </c>
      <c r="I3">
        <v>108.231020405243</v>
      </c>
      <c r="J3">
        <v>779.99370312446604</v>
      </c>
      <c r="K3">
        <v>2617579103.9200001</v>
      </c>
    </row>
    <row r="4" spans="1:11" x14ac:dyDescent="0.25">
      <c r="A4">
        <v>15</v>
      </c>
      <c r="B4">
        <v>5</v>
      </c>
      <c r="C4">
        <v>15771347.75</v>
      </c>
      <c r="D4">
        <v>5258258296.9499998</v>
      </c>
      <c r="E4">
        <v>2.9993482364964802E-3</v>
      </c>
      <c r="F4">
        <v>3.5404333169044002</v>
      </c>
      <c r="G4">
        <v>4.4577438504660103</v>
      </c>
      <c r="H4">
        <v>5.0332111043099896</v>
      </c>
      <c r="I4">
        <v>109.30766633981401</v>
      </c>
      <c r="J4">
        <v>780.68677637958001</v>
      </c>
      <c r="K4">
        <v>5258258296.9499998</v>
      </c>
    </row>
    <row r="5" spans="1:11" x14ac:dyDescent="0.25">
      <c r="A5">
        <v>15</v>
      </c>
      <c r="B5">
        <v>6</v>
      </c>
      <c r="C5">
        <v>18896156.370000001</v>
      </c>
      <c r="D5">
        <v>4433133885.7200003</v>
      </c>
      <c r="E5">
        <v>4.2624826718787399E-3</v>
      </c>
      <c r="F5">
        <v>4.9967529391235699</v>
      </c>
      <c r="G5">
        <v>5.5076443330242801</v>
      </c>
      <c r="H5">
        <v>6.2336481758856097</v>
      </c>
      <c r="I5">
        <v>111.07838125703999</v>
      </c>
      <c r="J5">
        <v>780.77951654578999</v>
      </c>
      <c r="K5">
        <v>4433133885.7200003</v>
      </c>
    </row>
    <row r="6" spans="1:11" x14ac:dyDescent="0.25">
      <c r="A6">
        <v>15</v>
      </c>
      <c r="B6">
        <v>7</v>
      </c>
      <c r="C6">
        <v>20872369.010000002</v>
      </c>
      <c r="D6">
        <v>6118189762.0299997</v>
      </c>
      <c r="E6">
        <v>3.4115269094031099E-3</v>
      </c>
      <c r="F6">
        <v>4.0178849304991804</v>
      </c>
      <c r="G6">
        <v>6.4591874407799397</v>
      </c>
      <c r="H6">
        <v>7.2936113503537898</v>
      </c>
      <c r="I6">
        <v>113.633855021073</v>
      </c>
      <c r="J6">
        <v>780.01655105720101</v>
      </c>
      <c r="K6">
        <v>6118189762.0299997</v>
      </c>
    </row>
    <row r="7" spans="1:11" x14ac:dyDescent="0.25">
      <c r="A7">
        <v>15</v>
      </c>
      <c r="B7">
        <v>8</v>
      </c>
      <c r="C7">
        <v>144869368.80000001</v>
      </c>
      <c r="D7">
        <v>30039945420.91</v>
      </c>
      <c r="E7">
        <v>4.82255765681785E-3</v>
      </c>
      <c r="F7">
        <v>5.6360134955122101</v>
      </c>
      <c r="G7">
        <v>8.8251718378750503</v>
      </c>
      <c r="H7">
        <v>9.9977692708660992</v>
      </c>
      <c r="I7">
        <v>117.641093036562</v>
      </c>
      <c r="J7">
        <v>780.66373622878598</v>
      </c>
      <c r="K7">
        <v>30039945420.91</v>
      </c>
    </row>
    <row r="8" spans="1:11" x14ac:dyDescent="0.25">
      <c r="A8">
        <v>20</v>
      </c>
      <c r="B8">
        <v>3</v>
      </c>
      <c r="C8">
        <v>16966607.149999999</v>
      </c>
      <c r="D8">
        <v>5176256015.8800001</v>
      </c>
      <c r="E8">
        <v>3.2777758862677798E-3</v>
      </c>
      <c r="F8">
        <v>3.8631909501624602</v>
      </c>
      <c r="G8">
        <v>2.12955151603922</v>
      </c>
      <c r="H8">
        <v>3.0437060460432899</v>
      </c>
      <c r="I8">
        <v>106.52365646214901</v>
      </c>
      <c r="J8">
        <v>779.72345727262098</v>
      </c>
      <c r="K8">
        <v>5176256015.8800001</v>
      </c>
    </row>
    <row r="9" spans="1:11" x14ac:dyDescent="0.25">
      <c r="A9">
        <v>20</v>
      </c>
      <c r="B9">
        <v>4</v>
      </c>
      <c r="C9">
        <v>31538431.809999999</v>
      </c>
      <c r="D9">
        <v>9685592830.6900005</v>
      </c>
      <c r="E9">
        <v>3.2562211070928499E-3</v>
      </c>
      <c r="F9">
        <v>3.8382397154686898</v>
      </c>
      <c r="G9">
        <v>3.5274730875367002</v>
      </c>
      <c r="H9">
        <v>5.0115542015874102</v>
      </c>
      <c r="I9">
        <v>108.918140260428</v>
      </c>
      <c r="J9">
        <v>780.55103529402402</v>
      </c>
      <c r="K9">
        <v>9685592830.6900005</v>
      </c>
    </row>
    <row r="10" spans="1:11" x14ac:dyDescent="0.25">
      <c r="A10">
        <v>20</v>
      </c>
      <c r="B10">
        <v>5</v>
      </c>
      <c r="C10">
        <v>37253329.960000001</v>
      </c>
      <c r="D10">
        <v>10640922653.24</v>
      </c>
      <c r="E10">
        <v>3.5009492291212998E-3</v>
      </c>
      <c r="F10">
        <v>4.1211818376022897</v>
      </c>
      <c r="G10">
        <v>4.5095119972550197</v>
      </c>
      <c r="H10">
        <v>6.3281527214483599</v>
      </c>
      <c r="I10">
        <v>110.40496222495599</v>
      </c>
      <c r="J10">
        <v>780.13394493550004</v>
      </c>
      <c r="K10">
        <v>10640922653.24</v>
      </c>
    </row>
    <row r="11" spans="1:11" x14ac:dyDescent="0.25">
      <c r="A11">
        <v>20</v>
      </c>
      <c r="B11">
        <v>6</v>
      </c>
      <c r="C11">
        <v>44730009.530000001</v>
      </c>
      <c r="D11">
        <v>11589838997.559999</v>
      </c>
      <c r="E11">
        <v>3.85941595387278E-3</v>
      </c>
      <c r="F11">
        <v>4.5342453257537096</v>
      </c>
      <c r="G11">
        <v>5.5225245763671102</v>
      </c>
      <c r="H11">
        <v>7.84362044994357</v>
      </c>
      <c r="I11">
        <v>112.77482968129</v>
      </c>
      <c r="J11">
        <v>780.19981479507805</v>
      </c>
      <c r="K11">
        <v>11589838997.559999</v>
      </c>
    </row>
    <row r="12" spans="1:11" x14ac:dyDescent="0.25">
      <c r="A12">
        <v>20</v>
      </c>
      <c r="B12">
        <v>7</v>
      </c>
      <c r="C12">
        <v>69761913.569999993</v>
      </c>
      <c r="D12">
        <v>14290454455.34</v>
      </c>
      <c r="E12">
        <v>4.8817141391841196E-3</v>
      </c>
      <c r="F12">
        <v>5.7033030049163802</v>
      </c>
      <c r="G12">
        <v>6.5044473606984896</v>
      </c>
      <c r="H12">
        <v>9.2540018628425198</v>
      </c>
      <c r="I12">
        <v>114.671239044327</v>
      </c>
      <c r="J12">
        <v>779.43491246795895</v>
      </c>
      <c r="K12">
        <v>14290454455.34</v>
      </c>
    </row>
    <row r="13" spans="1:11" x14ac:dyDescent="0.25">
      <c r="A13">
        <v>20</v>
      </c>
      <c r="B13">
        <v>8</v>
      </c>
      <c r="C13">
        <v>395551032.69999999</v>
      </c>
      <c r="D13">
        <v>70657783055.869995</v>
      </c>
      <c r="E13">
        <v>5.5981240224765097E-3</v>
      </c>
      <c r="F13">
        <v>6.5147229635430204</v>
      </c>
      <c r="G13">
        <v>8.7898192778399</v>
      </c>
      <c r="H13">
        <v>12.433249444376999</v>
      </c>
      <c r="I13">
        <v>118.50127614094001</v>
      </c>
      <c r="J13">
        <v>780.34875722941604</v>
      </c>
      <c r="K13">
        <v>70657783055.869995</v>
      </c>
    </row>
    <row r="14" spans="1:11" x14ac:dyDescent="0.25">
      <c r="A14">
        <v>25</v>
      </c>
      <c r="B14">
        <v>3</v>
      </c>
      <c r="C14">
        <v>23754413.370000001</v>
      </c>
      <c r="D14">
        <v>4417334524.5900002</v>
      </c>
      <c r="E14">
        <v>5.37754458888412E-3</v>
      </c>
      <c r="F14">
        <v>6.26557493058879</v>
      </c>
      <c r="G14">
        <v>2.0159294660734401</v>
      </c>
      <c r="H14">
        <v>3.6606675441706402</v>
      </c>
      <c r="I14">
        <v>105.895565894276</v>
      </c>
      <c r="J14">
        <v>780.00596002187797</v>
      </c>
      <c r="K14">
        <v>4417334524.5900002</v>
      </c>
    </row>
    <row r="15" spans="1:11" x14ac:dyDescent="0.25">
      <c r="A15">
        <v>25</v>
      </c>
      <c r="B15">
        <v>4</v>
      </c>
      <c r="C15">
        <v>35713864.210000001</v>
      </c>
      <c r="D15">
        <v>7903198715.6800003</v>
      </c>
      <c r="E15">
        <v>4.5189125941048902E-3</v>
      </c>
      <c r="F15">
        <v>5.2899289841438302</v>
      </c>
      <c r="G15">
        <v>3.5198115017721099</v>
      </c>
      <c r="H15">
        <v>6.4562960025370097</v>
      </c>
      <c r="I15">
        <v>108.63774430885</v>
      </c>
      <c r="J15">
        <v>780.54088365918994</v>
      </c>
      <c r="K15">
        <v>7903198715.6800003</v>
      </c>
    </row>
    <row r="16" spans="1:11" x14ac:dyDescent="0.25">
      <c r="A16">
        <v>25</v>
      </c>
      <c r="B16">
        <v>5</v>
      </c>
      <c r="C16">
        <v>38008663.840000004</v>
      </c>
      <c r="D16">
        <v>7174645948.96</v>
      </c>
      <c r="E16">
        <v>5.2976361635669999E-3</v>
      </c>
      <c r="F16">
        <v>6.1751669871339701</v>
      </c>
      <c r="G16">
        <v>4.4641774767379703</v>
      </c>
      <c r="H16">
        <v>8.4146396584799099</v>
      </c>
      <c r="I16">
        <v>110.233076711671</v>
      </c>
      <c r="J16">
        <v>780.88802395204596</v>
      </c>
      <c r="K16">
        <v>7174645948.96</v>
      </c>
    </row>
    <row r="17" spans="1:11" x14ac:dyDescent="0.25">
      <c r="A17">
        <v>25</v>
      </c>
      <c r="B17">
        <v>6</v>
      </c>
      <c r="C17">
        <v>49924106.840000004</v>
      </c>
      <c r="D17">
        <v>9157592737.5200005</v>
      </c>
      <c r="E17">
        <v>5.4516627099448897E-3</v>
      </c>
      <c r="F17">
        <v>6.34936036344949</v>
      </c>
      <c r="G17">
        <v>5.4882153194991004</v>
      </c>
      <c r="H17">
        <v>10.215825895321601</v>
      </c>
      <c r="I17">
        <v>112.800671635163</v>
      </c>
      <c r="J17">
        <v>780.35332181325998</v>
      </c>
      <c r="K17">
        <v>9157592737.5200005</v>
      </c>
    </row>
    <row r="18" spans="1:11" x14ac:dyDescent="0.25">
      <c r="A18">
        <v>25</v>
      </c>
      <c r="B18">
        <v>7</v>
      </c>
      <c r="C18">
        <v>76811736.930000007</v>
      </c>
      <c r="D18">
        <v>13267646325.309999</v>
      </c>
      <c r="E18">
        <v>5.7894019064609996E-3</v>
      </c>
      <c r="F18">
        <v>6.7302828164358202</v>
      </c>
      <c r="G18">
        <v>6.5872914325040597</v>
      </c>
      <c r="H18">
        <v>12.2765711155971</v>
      </c>
      <c r="I18">
        <v>114.84436647353699</v>
      </c>
      <c r="J18">
        <v>780.32229706491796</v>
      </c>
      <c r="K18">
        <v>13267646325.309999</v>
      </c>
    </row>
    <row r="19" spans="1:11" x14ac:dyDescent="0.25">
      <c r="A19">
        <v>25</v>
      </c>
      <c r="B19">
        <v>8</v>
      </c>
      <c r="C19">
        <v>260003927.02000001</v>
      </c>
      <c r="D19">
        <v>41356771916.540001</v>
      </c>
      <c r="E19">
        <v>6.28685255088817E-3</v>
      </c>
      <c r="F19">
        <v>7.2887513715396297</v>
      </c>
      <c r="G19">
        <v>8.4921671145767093</v>
      </c>
      <c r="H19">
        <v>16.206400702927201</v>
      </c>
      <c r="I19">
        <v>118.56201117198501</v>
      </c>
      <c r="J19">
        <v>780.98827767891305</v>
      </c>
      <c r="K19">
        <v>41356771916.540001</v>
      </c>
    </row>
    <row r="20" spans="1:11" x14ac:dyDescent="0.25">
      <c r="A20">
        <v>30</v>
      </c>
      <c r="B20">
        <v>3</v>
      </c>
      <c r="C20">
        <v>6094091.0899999999</v>
      </c>
      <c r="D20">
        <v>1226422816.78</v>
      </c>
      <c r="E20">
        <v>4.9689968309625599E-3</v>
      </c>
      <c r="F20">
        <v>5.8025052849821996</v>
      </c>
      <c r="G20">
        <v>2.11799399214468</v>
      </c>
      <c r="H20">
        <v>4.7684001172100601</v>
      </c>
      <c r="I20">
        <v>104.28169427579699</v>
      </c>
      <c r="J20">
        <v>779.71072675962205</v>
      </c>
      <c r="K20">
        <v>1226422816.78</v>
      </c>
    </row>
    <row r="21" spans="1:11" x14ac:dyDescent="0.25">
      <c r="A21">
        <v>30</v>
      </c>
      <c r="B21">
        <v>4</v>
      </c>
      <c r="C21">
        <v>8673452.9600000009</v>
      </c>
      <c r="D21">
        <v>1836234575.3199999</v>
      </c>
      <c r="E21">
        <v>4.7234994246246904E-3</v>
      </c>
      <c r="F21">
        <v>5.5232378429836499</v>
      </c>
      <c r="G21">
        <v>3.62036238097041</v>
      </c>
      <c r="H21">
        <v>8.1977609878526607</v>
      </c>
      <c r="I21">
        <v>107.608984623437</v>
      </c>
      <c r="J21">
        <v>780.275608355298</v>
      </c>
      <c r="K21">
        <v>1836234575.3199999</v>
      </c>
    </row>
    <row r="22" spans="1:11" x14ac:dyDescent="0.25">
      <c r="A22">
        <v>30</v>
      </c>
      <c r="B22">
        <v>5</v>
      </c>
      <c r="C22">
        <v>24045455.52</v>
      </c>
      <c r="D22">
        <v>4421452284.6499996</v>
      </c>
      <c r="E22">
        <v>5.4383614188213301E-3</v>
      </c>
      <c r="F22">
        <v>6.3343292260953898</v>
      </c>
      <c r="G22">
        <v>4.5540452720350499</v>
      </c>
      <c r="H22">
        <v>10.335237973712101</v>
      </c>
      <c r="I22">
        <v>108.833118754118</v>
      </c>
      <c r="J22">
        <v>780.52706186132798</v>
      </c>
      <c r="K22">
        <v>4421452284.6499996</v>
      </c>
    </row>
    <row r="23" spans="1:11" x14ac:dyDescent="0.25">
      <c r="A23">
        <v>30</v>
      </c>
      <c r="B23">
        <v>6</v>
      </c>
      <c r="C23">
        <v>21891401.82</v>
      </c>
      <c r="D23">
        <v>3408150281.1999998</v>
      </c>
      <c r="E23">
        <v>6.4232501544186802E-3</v>
      </c>
      <c r="F23">
        <v>7.4413432935580897</v>
      </c>
      <c r="G23">
        <v>5.4870090258182502</v>
      </c>
      <c r="H23">
        <v>12.6737239563061</v>
      </c>
      <c r="I23">
        <v>111.08117287424901</v>
      </c>
      <c r="J23">
        <v>780.45914686791002</v>
      </c>
      <c r="K23">
        <v>3408150281.1999998</v>
      </c>
    </row>
    <row r="24" spans="1:11" x14ac:dyDescent="0.25">
      <c r="A24">
        <v>30</v>
      </c>
      <c r="B24">
        <v>7</v>
      </c>
      <c r="C24">
        <v>24755429.600000001</v>
      </c>
      <c r="D24">
        <v>4672686466.6099997</v>
      </c>
      <c r="E24">
        <v>5.2979008493073297E-3</v>
      </c>
      <c r="F24">
        <v>6.1754665829923203</v>
      </c>
      <c r="G24">
        <v>6.4844778829234997</v>
      </c>
      <c r="H24">
        <v>14.973097018120599</v>
      </c>
      <c r="I24">
        <v>113.01442012816</v>
      </c>
      <c r="J24">
        <v>780.21496466479005</v>
      </c>
      <c r="K24">
        <v>4672686466.6099997</v>
      </c>
    </row>
    <row r="25" spans="1:11" x14ac:dyDescent="0.25">
      <c r="A25">
        <v>30</v>
      </c>
      <c r="B25">
        <v>8</v>
      </c>
      <c r="C25">
        <v>160348182.41999999</v>
      </c>
      <c r="D25">
        <v>21741348148.43</v>
      </c>
      <c r="E25">
        <v>7.3752640050326898E-3</v>
      </c>
      <c r="F25">
        <v>8.4999940610443403</v>
      </c>
      <c r="G25">
        <v>8.6156208217546393</v>
      </c>
      <c r="H25">
        <v>20.049489208463001</v>
      </c>
      <c r="I25">
        <v>117.50056224592301</v>
      </c>
      <c r="J25">
        <v>781.21034545337398</v>
      </c>
      <c r="K25">
        <v>21741348148.43</v>
      </c>
    </row>
    <row r="26" spans="1:11" x14ac:dyDescent="0.25">
      <c r="A26">
        <v>35</v>
      </c>
      <c r="B26">
        <v>3</v>
      </c>
      <c r="C26">
        <v>4793020.2300000004</v>
      </c>
      <c r="D26">
        <v>1184771956.02</v>
      </c>
      <c r="E26">
        <v>4.0455213390610404E-3</v>
      </c>
      <c r="F26">
        <v>4.7480518500194702</v>
      </c>
      <c r="G26">
        <v>1.80732055349679</v>
      </c>
      <c r="H26">
        <v>4.9393648340004601</v>
      </c>
      <c r="I26">
        <v>105.468866369444</v>
      </c>
      <c r="J26">
        <v>779.02668738667398</v>
      </c>
      <c r="K26">
        <v>1184771956.02</v>
      </c>
    </row>
    <row r="27" spans="1:11" x14ac:dyDescent="0.25">
      <c r="A27">
        <v>35</v>
      </c>
      <c r="B27">
        <v>4</v>
      </c>
      <c r="C27">
        <v>20357639.91</v>
      </c>
      <c r="D27">
        <v>3684332773.9099998</v>
      </c>
      <c r="E27">
        <v>5.5254617753747104E-3</v>
      </c>
      <c r="F27">
        <v>6.4327169119875904</v>
      </c>
      <c r="G27">
        <v>3.5580969208141902</v>
      </c>
      <c r="H27">
        <v>10.012704741914201</v>
      </c>
      <c r="I27">
        <v>108.84977024769201</v>
      </c>
      <c r="J27">
        <v>780.81753746251104</v>
      </c>
      <c r="K27">
        <v>3684332773.9099998</v>
      </c>
    </row>
    <row r="28" spans="1:11" x14ac:dyDescent="0.25">
      <c r="A28">
        <v>35</v>
      </c>
      <c r="B28">
        <v>5</v>
      </c>
      <c r="C28">
        <v>12090309.16</v>
      </c>
      <c r="D28">
        <v>1759400098.73</v>
      </c>
      <c r="E28">
        <v>6.8718361268293804E-3</v>
      </c>
      <c r="F28">
        <v>7.9415671655840399</v>
      </c>
      <c r="G28">
        <v>4.4881491762860701</v>
      </c>
      <c r="H28">
        <v>12.490366600930599</v>
      </c>
      <c r="I28">
        <v>109.998239296593</v>
      </c>
      <c r="J28">
        <v>780.49076558342199</v>
      </c>
      <c r="K28">
        <v>1759400098.73</v>
      </c>
    </row>
    <row r="29" spans="1:11" x14ac:dyDescent="0.25">
      <c r="A29">
        <v>35</v>
      </c>
      <c r="B29">
        <v>6</v>
      </c>
      <c r="C29">
        <v>20072248.77</v>
      </c>
      <c r="D29">
        <v>4524057728.5100002</v>
      </c>
      <c r="E29">
        <v>4.4367799826044198E-3</v>
      </c>
      <c r="F29">
        <v>5.1961172616200502</v>
      </c>
      <c r="G29">
        <v>5.4300558320732302</v>
      </c>
      <c r="H29">
        <v>15.464940602866999</v>
      </c>
      <c r="I29">
        <v>112.957997377922</v>
      </c>
      <c r="J29">
        <v>781.02751562912101</v>
      </c>
      <c r="K29">
        <v>4524057728.5100002</v>
      </c>
    </row>
    <row r="30" spans="1:11" x14ac:dyDescent="0.25">
      <c r="A30">
        <v>35</v>
      </c>
      <c r="B30">
        <v>7</v>
      </c>
      <c r="C30">
        <v>33012957.949999999</v>
      </c>
      <c r="D30">
        <v>4276552299.1700001</v>
      </c>
      <c r="E30">
        <v>7.7195263007556799E-3</v>
      </c>
      <c r="F30">
        <v>8.8800770926896195</v>
      </c>
      <c r="G30">
        <v>6.6299577562642096</v>
      </c>
      <c r="H30">
        <v>19.1172406417239</v>
      </c>
      <c r="I30">
        <v>115.126011653916</v>
      </c>
      <c r="J30">
        <v>780.330564094995</v>
      </c>
      <c r="K30">
        <v>4276552299.1700001</v>
      </c>
    </row>
    <row r="31" spans="1:11" x14ac:dyDescent="0.25">
      <c r="A31">
        <v>35</v>
      </c>
      <c r="B31">
        <v>8</v>
      </c>
      <c r="C31">
        <v>75448336.670000002</v>
      </c>
      <c r="D31">
        <v>11645314096.950001</v>
      </c>
      <c r="E31">
        <v>6.4788580232250197E-3</v>
      </c>
      <c r="F31">
        <v>7.5034873272604701</v>
      </c>
      <c r="G31">
        <v>8.5070761757590105</v>
      </c>
      <c r="H31">
        <v>24.870731037022601</v>
      </c>
      <c r="I31">
        <v>118.729161723586</v>
      </c>
      <c r="J31">
        <v>781.64704568874697</v>
      </c>
      <c r="K31">
        <v>11645314096.950001</v>
      </c>
    </row>
    <row r="32" spans="1:11" x14ac:dyDescent="0.25">
      <c r="A32">
        <v>40</v>
      </c>
      <c r="B32">
        <v>3</v>
      </c>
      <c r="C32">
        <v>3036769.59</v>
      </c>
      <c r="D32">
        <v>723174209.99000001</v>
      </c>
      <c r="E32">
        <v>4.1992227433580503E-3</v>
      </c>
      <c r="F32">
        <v>4.9243001218151496</v>
      </c>
      <c r="G32">
        <v>2.0207847951327702</v>
      </c>
      <c r="H32">
        <v>6.2602171019318096</v>
      </c>
      <c r="I32">
        <v>104.867266440355</v>
      </c>
      <c r="J32">
        <v>778.85174873736696</v>
      </c>
      <c r="K32">
        <v>723174209.99000001</v>
      </c>
    </row>
    <row r="33" spans="1:11" x14ac:dyDescent="0.25">
      <c r="A33">
        <v>40</v>
      </c>
      <c r="B33">
        <v>4</v>
      </c>
      <c r="C33">
        <v>9207054.6799999997</v>
      </c>
      <c r="D33">
        <v>1550901666.51</v>
      </c>
      <c r="E33">
        <v>5.9365818470739403E-3</v>
      </c>
      <c r="F33">
        <v>6.89583639296188</v>
      </c>
      <c r="G33">
        <v>3.6307052233613</v>
      </c>
      <c r="H33">
        <v>11.353580644696301</v>
      </c>
      <c r="I33">
        <v>108.37617412849499</v>
      </c>
      <c r="J33">
        <v>779.39771963240901</v>
      </c>
      <c r="K33">
        <v>1550901666.51</v>
      </c>
    </row>
    <row r="34" spans="1:11" x14ac:dyDescent="0.25">
      <c r="A34">
        <v>40</v>
      </c>
      <c r="B34">
        <v>5</v>
      </c>
      <c r="C34">
        <v>15055582.539999999</v>
      </c>
      <c r="D34">
        <v>3081161981.9099998</v>
      </c>
      <c r="E34">
        <v>4.8863326979865897E-3</v>
      </c>
      <c r="F34">
        <v>5.7085546868004702</v>
      </c>
      <c r="G34">
        <v>4.3769018349488702</v>
      </c>
      <c r="H34">
        <v>13.8178549143626</v>
      </c>
      <c r="I34">
        <v>109.329154762268</v>
      </c>
      <c r="J34">
        <v>780.351540380394</v>
      </c>
      <c r="K34">
        <v>3081161981.9099998</v>
      </c>
    </row>
    <row r="35" spans="1:11" x14ac:dyDescent="0.25">
      <c r="A35">
        <v>40</v>
      </c>
      <c r="B35">
        <v>6</v>
      </c>
      <c r="C35">
        <v>15961478.08</v>
      </c>
      <c r="D35">
        <v>2735878296.0700002</v>
      </c>
      <c r="E35">
        <v>5.8341330836712002E-3</v>
      </c>
      <c r="F35">
        <v>6.7806266612848498</v>
      </c>
      <c r="G35">
        <v>5.6404819384860998</v>
      </c>
      <c r="H35">
        <v>17.904056355857001</v>
      </c>
      <c r="I35">
        <v>112.59863566990001</v>
      </c>
      <c r="J35">
        <v>779.76090707427602</v>
      </c>
      <c r="K35">
        <v>2735878296.0700002</v>
      </c>
    </row>
    <row r="36" spans="1:11" x14ac:dyDescent="0.25">
      <c r="A36">
        <v>40</v>
      </c>
      <c r="B36">
        <v>7</v>
      </c>
      <c r="C36">
        <v>17512143.329999998</v>
      </c>
      <c r="D36">
        <v>2636831709.48</v>
      </c>
      <c r="E36">
        <v>6.6413579854337698E-3</v>
      </c>
      <c r="F36">
        <v>7.6848684608349203</v>
      </c>
      <c r="G36">
        <v>6.4567733355000003</v>
      </c>
      <c r="H36">
        <v>20.711153552626499</v>
      </c>
      <c r="I36">
        <v>113.907027699434</v>
      </c>
      <c r="J36">
        <v>779.85200226724703</v>
      </c>
      <c r="K36">
        <v>2636831709.48</v>
      </c>
    </row>
    <row r="37" spans="1:11" x14ac:dyDescent="0.25">
      <c r="A37">
        <v>40</v>
      </c>
      <c r="B37">
        <v>8</v>
      </c>
      <c r="C37">
        <v>121580217.22</v>
      </c>
      <c r="D37">
        <v>15895404660.940001</v>
      </c>
      <c r="E37">
        <v>7.64876515026765E-3</v>
      </c>
      <c r="F37">
        <v>8.8020715660538702</v>
      </c>
      <c r="G37">
        <v>8.4876888200984304</v>
      </c>
      <c r="H37">
        <v>27.9214361105488</v>
      </c>
      <c r="I37">
        <v>118.186496270807</v>
      </c>
      <c r="J37">
        <v>781.12626296652195</v>
      </c>
      <c r="K37">
        <v>15895404660.940001</v>
      </c>
    </row>
    <row r="38" spans="1:11" x14ac:dyDescent="0.25">
      <c r="A38">
        <v>45</v>
      </c>
      <c r="B38">
        <v>3</v>
      </c>
      <c r="C38">
        <v>7443545.7300000004</v>
      </c>
      <c r="D38">
        <v>1946013807.9400001</v>
      </c>
      <c r="E38">
        <v>3.8250220525822098E-3</v>
      </c>
      <c r="F38">
        <v>4.4946838816321204</v>
      </c>
      <c r="G38">
        <v>2.0207936613112398</v>
      </c>
      <c r="H38">
        <v>7.5416909773715002</v>
      </c>
      <c r="I38">
        <v>106.89315537687</v>
      </c>
      <c r="J38">
        <v>780.25809729593595</v>
      </c>
      <c r="K38">
        <v>1946013807.9400001</v>
      </c>
    </row>
    <row r="39" spans="1:11" x14ac:dyDescent="0.25">
      <c r="A39">
        <v>45</v>
      </c>
      <c r="B39">
        <v>4</v>
      </c>
      <c r="C39">
        <v>6495810.96</v>
      </c>
      <c r="D39">
        <v>1091900815.4000001</v>
      </c>
      <c r="E39">
        <v>5.94908518098355E-3</v>
      </c>
      <c r="F39">
        <v>6.9098881956445704</v>
      </c>
      <c r="G39">
        <v>3.5749436513337298</v>
      </c>
      <c r="H39">
        <v>13.4456982959346</v>
      </c>
      <c r="I39">
        <v>109.694245401654</v>
      </c>
      <c r="J39">
        <v>780.03569016034896</v>
      </c>
      <c r="K39">
        <v>1091900815.4000001</v>
      </c>
    </row>
    <row r="40" spans="1:11" x14ac:dyDescent="0.25">
      <c r="A40">
        <v>45</v>
      </c>
      <c r="B40">
        <v>5</v>
      </c>
      <c r="C40">
        <v>5487340.5499999998</v>
      </c>
      <c r="D40">
        <v>1479044513.27</v>
      </c>
      <c r="E40">
        <v>3.7100577438796E-3</v>
      </c>
      <c r="F40">
        <v>4.3623375601490997</v>
      </c>
      <c r="G40">
        <v>4.5198483277829098</v>
      </c>
      <c r="H40">
        <v>17.325168787243399</v>
      </c>
      <c r="I40">
        <v>112.328109716287</v>
      </c>
      <c r="J40">
        <v>779.89291919714503</v>
      </c>
      <c r="K40">
        <v>1479044513.27</v>
      </c>
    </row>
    <row r="41" spans="1:11" x14ac:dyDescent="0.25">
      <c r="A41">
        <v>45</v>
      </c>
      <c r="B41">
        <v>6</v>
      </c>
      <c r="C41">
        <v>4312047.71</v>
      </c>
      <c r="D41">
        <v>631081923.51999998</v>
      </c>
      <c r="E41">
        <v>6.8327859653285403E-3</v>
      </c>
      <c r="F41">
        <v>7.8981205167993096</v>
      </c>
      <c r="G41">
        <v>5.4599741332387897</v>
      </c>
      <c r="H41">
        <v>20.598399704146299</v>
      </c>
      <c r="I41">
        <v>113.414716593935</v>
      </c>
      <c r="J41">
        <v>779.84482301140099</v>
      </c>
      <c r="K41">
        <v>631081923.51999998</v>
      </c>
    </row>
    <row r="42" spans="1:11" x14ac:dyDescent="0.25">
      <c r="A42">
        <v>45</v>
      </c>
      <c r="B42">
        <v>7</v>
      </c>
      <c r="C42">
        <v>9524328.5899999999</v>
      </c>
      <c r="D42">
        <v>981502839.60000002</v>
      </c>
      <c r="E42">
        <v>9.7038217371653492E-3</v>
      </c>
      <c r="F42">
        <v>11.042773028183399</v>
      </c>
      <c r="G42">
        <v>6.5755776173369398</v>
      </c>
      <c r="H42">
        <v>25.880213479941801</v>
      </c>
      <c r="I42">
        <v>115.41916127878901</v>
      </c>
      <c r="J42">
        <v>780.00370600361305</v>
      </c>
      <c r="K42">
        <v>981502839.60000002</v>
      </c>
    </row>
    <row r="43" spans="1:11" x14ac:dyDescent="0.25">
      <c r="A43">
        <v>45</v>
      </c>
      <c r="B43">
        <v>8</v>
      </c>
      <c r="C43">
        <v>30989931.829999998</v>
      </c>
      <c r="D43">
        <v>3689011562.73</v>
      </c>
      <c r="E43">
        <v>8.4006057728554101E-3</v>
      </c>
      <c r="F43">
        <v>9.6277628299437001</v>
      </c>
      <c r="G43">
        <v>8.2358286843867408</v>
      </c>
      <c r="H43">
        <v>32.695970944122401</v>
      </c>
      <c r="I43">
        <v>118.245355786266</v>
      </c>
      <c r="J43">
        <v>781.24811232693503</v>
      </c>
      <c r="K43">
        <v>3689011562.73</v>
      </c>
    </row>
    <row r="44" spans="1:11" x14ac:dyDescent="0.25">
      <c r="A44">
        <v>50</v>
      </c>
      <c r="B44">
        <v>3</v>
      </c>
      <c r="C44">
        <v>59484305.869999997</v>
      </c>
      <c r="D44">
        <v>9259094752.3199997</v>
      </c>
      <c r="E44">
        <v>6.4244191750057701E-3</v>
      </c>
      <c r="F44">
        <v>7.4426501148984299</v>
      </c>
      <c r="G44">
        <v>2.3205428580005498</v>
      </c>
      <c r="H44">
        <v>9.3215242492208503</v>
      </c>
      <c r="I44">
        <v>106.834608491277</v>
      </c>
      <c r="J44">
        <v>780.64856434050398</v>
      </c>
      <c r="K44">
        <v>9259094752.3199997</v>
      </c>
    </row>
    <row r="45" spans="1:11" x14ac:dyDescent="0.25">
      <c r="A45">
        <v>50</v>
      </c>
      <c r="B45">
        <v>4</v>
      </c>
      <c r="C45">
        <v>42445087.009999998</v>
      </c>
      <c r="D45">
        <v>5583433075.5</v>
      </c>
      <c r="E45">
        <v>7.6019693324969198E-3</v>
      </c>
      <c r="F45">
        <v>8.7504512703346808</v>
      </c>
      <c r="G45">
        <v>3.36402267433742</v>
      </c>
      <c r="H45">
        <v>13.8484363243623</v>
      </c>
      <c r="I45">
        <v>108.76575547552901</v>
      </c>
      <c r="J45">
        <v>781.10470384181804</v>
      </c>
      <c r="K45">
        <v>5583433075.5</v>
      </c>
    </row>
    <row r="46" spans="1:11" x14ac:dyDescent="0.25">
      <c r="A46">
        <v>50</v>
      </c>
      <c r="B46">
        <v>5</v>
      </c>
      <c r="C46">
        <v>48796701.960000001</v>
      </c>
      <c r="D46">
        <v>6971253064.6899996</v>
      </c>
      <c r="E46">
        <v>6.9997031390467597E-3</v>
      </c>
      <c r="F46">
        <v>8.0836987269076293</v>
      </c>
      <c r="G46">
        <v>4.5480731234197096</v>
      </c>
      <c r="H46">
        <v>18.844951014741799</v>
      </c>
      <c r="I46">
        <v>111.736770163179</v>
      </c>
      <c r="J46">
        <v>780.61470738417802</v>
      </c>
      <c r="K46">
        <v>6971253064.6899996</v>
      </c>
    </row>
    <row r="47" spans="1:11" x14ac:dyDescent="0.25">
      <c r="A47">
        <v>50</v>
      </c>
      <c r="B47">
        <v>6</v>
      </c>
      <c r="C47">
        <v>58782933.18</v>
      </c>
      <c r="D47">
        <v>7088547812.0699997</v>
      </c>
      <c r="E47">
        <v>8.2926622967693792E-3</v>
      </c>
      <c r="F47">
        <v>9.5096392874468005</v>
      </c>
      <c r="G47">
        <v>5.3722294712455998</v>
      </c>
      <c r="H47">
        <v>22.764267658416902</v>
      </c>
      <c r="I47">
        <v>113.374696178119</v>
      </c>
      <c r="J47">
        <v>780.83387891066695</v>
      </c>
      <c r="K47">
        <v>7088547812.0699997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5"/>
  <sheetViews>
    <sheetView workbookViewId="0">
      <selection sqref="A1:K65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15</v>
      </c>
      <c r="B2">
        <v>7</v>
      </c>
      <c r="C2">
        <v>56513125.060000002</v>
      </c>
      <c r="D2">
        <v>15226123096.559999</v>
      </c>
      <c r="E2">
        <v>3.7115899235549898E-3</v>
      </c>
      <c r="F2">
        <v>4.3641025023044202</v>
      </c>
      <c r="G2">
        <v>4.5816705539781104</v>
      </c>
      <c r="H2">
        <v>5.1526095491992399</v>
      </c>
      <c r="I2">
        <v>109.575172364758</v>
      </c>
      <c r="J2">
        <v>780.40637901256798</v>
      </c>
      <c r="K2">
        <v>15226123096.559999</v>
      </c>
    </row>
    <row r="3" spans="1:11" x14ac:dyDescent="0.25">
      <c r="A3">
        <v>15</v>
      </c>
      <c r="B3">
        <v>8</v>
      </c>
      <c r="C3">
        <v>18214370.440000001</v>
      </c>
      <c r="D3">
        <v>5507791686.3800001</v>
      </c>
      <c r="E3">
        <v>3.3070187612653499E-3</v>
      </c>
      <c r="F3">
        <v>3.8970322313386001</v>
      </c>
      <c r="G3">
        <v>6.6327709883704404</v>
      </c>
      <c r="H3">
        <v>7.4778694168838102</v>
      </c>
      <c r="I3">
        <v>113.926929218574</v>
      </c>
      <c r="J3">
        <v>780.02298169384096</v>
      </c>
      <c r="K3">
        <v>5507791686.3800001</v>
      </c>
    </row>
    <row r="4" spans="1:11" x14ac:dyDescent="0.25">
      <c r="A4">
        <v>15</v>
      </c>
      <c r="B4">
        <v>9</v>
      </c>
      <c r="C4">
        <v>27404340.969999999</v>
      </c>
      <c r="D4">
        <v>6360056389.8299999</v>
      </c>
      <c r="E4">
        <v>4.3088204396773402E-3</v>
      </c>
      <c r="F4">
        <v>5.04979236069883</v>
      </c>
      <c r="G4">
        <v>7.6375989210309703</v>
      </c>
      <c r="H4">
        <v>8.5755376608312197</v>
      </c>
      <c r="I4">
        <v>115.391944016708</v>
      </c>
      <c r="J4">
        <v>780.18241257155</v>
      </c>
      <c r="K4">
        <v>6360056389.8299999</v>
      </c>
    </row>
    <row r="5" spans="1:11" x14ac:dyDescent="0.25">
      <c r="A5">
        <v>15</v>
      </c>
      <c r="B5">
        <v>10</v>
      </c>
      <c r="C5">
        <v>56188581.130000003</v>
      </c>
      <c r="D5">
        <v>11216254322.139999</v>
      </c>
      <c r="E5">
        <v>5.00956732222879E-3</v>
      </c>
      <c r="F5">
        <v>5.8485836290436097</v>
      </c>
      <c r="G5">
        <v>8.4192050175129207</v>
      </c>
      <c r="H5">
        <v>9.4381871522234508</v>
      </c>
      <c r="I5">
        <v>116.99126844239299</v>
      </c>
      <c r="J5">
        <v>781.17928503676796</v>
      </c>
      <c r="K5">
        <v>11216254322.139999</v>
      </c>
    </row>
    <row r="6" spans="1:11" x14ac:dyDescent="0.25">
      <c r="A6">
        <v>15</v>
      </c>
      <c r="B6">
        <v>11</v>
      </c>
      <c r="C6">
        <v>28552391.91</v>
      </c>
      <c r="D6">
        <v>6506634862.0600004</v>
      </c>
      <c r="E6">
        <v>4.3881964356856902E-3</v>
      </c>
      <c r="F6">
        <v>5.1405851340230599</v>
      </c>
      <c r="G6">
        <v>8.95554110573981</v>
      </c>
      <c r="H6">
        <v>10.393356211052</v>
      </c>
      <c r="I6">
        <v>117.671434507935</v>
      </c>
      <c r="J6">
        <v>780.74945376390303</v>
      </c>
      <c r="K6">
        <v>6506634862.0600004</v>
      </c>
    </row>
    <row r="7" spans="1:11" x14ac:dyDescent="0.25">
      <c r="A7">
        <v>15</v>
      </c>
      <c r="B7">
        <v>12</v>
      </c>
      <c r="C7">
        <v>7631292.1900000004</v>
      </c>
      <c r="D7">
        <v>1346542439.5899999</v>
      </c>
      <c r="E7">
        <v>5.6673239295180304E-3</v>
      </c>
      <c r="F7">
        <v>6.5927601899758699</v>
      </c>
      <c r="G7">
        <v>10.095002285950301</v>
      </c>
      <c r="H7">
        <v>11.418619528437301</v>
      </c>
      <c r="I7">
        <v>120.339329394884</v>
      </c>
      <c r="J7">
        <v>780.32406996371401</v>
      </c>
      <c r="K7">
        <v>1346542439.5899999</v>
      </c>
    </row>
    <row r="8" spans="1:11" x14ac:dyDescent="0.25">
      <c r="A8">
        <v>15</v>
      </c>
      <c r="B8">
        <v>13</v>
      </c>
      <c r="C8">
        <v>6897411.6100000003</v>
      </c>
      <c r="D8">
        <v>1436464164.4400001</v>
      </c>
      <c r="E8">
        <v>4.8016593666218802E-3</v>
      </c>
      <c r="F8">
        <v>5.6122315204881597</v>
      </c>
      <c r="G8">
        <v>11.0308325320874</v>
      </c>
      <c r="H8">
        <v>12.4239808554055</v>
      </c>
      <c r="I8">
        <v>122.070326371175</v>
      </c>
      <c r="J8">
        <v>780.17467462565196</v>
      </c>
      <c r="K8">
        <v>1436464164.4400001</v>
      </c>
    </row>
    <row r="9" spans="1:11" x14ac:dyDescent="0.25">
      <c r="A9">
        <v>15</v>
      </c>
      <c r="B9">
        <v>14</v>
      </c>
      <c r="C9">
        <v>15210382.970000001</v>
      </c>
      <c r="D9">
        <v>2318716733.2800002</v>
      </c>
      <c r="E9">
        <v>6.5598280081774997E-3</v>
      </c>
      <c r="F9">
        <v>7.5939061591325396</v>
      </c>
      <c r="G9">
        <v>12.1548126580039</v>
      </c>
      <c r="H9">
        <v>14.053375433363501</v>
      </c>
      <c r="I9">
        <v>123.641546429226</v>
      </c>
      <c r="J9">
        <v>780.07541842013495</v>
      </c>
      <c r="K9">
        <v>2318716733.2800002</v>
      </c>
    </row>
    <row r="10" spans="1:11" x14ac:dyDescent="0.25">
      <c r="A10">
        <v>20</v>
      </c>
      <c r="B10">
        <v>7</v>
      </c>
      <c r="C10">
        <v>84149365.400000006</v>
      </c>
      <c r="D10">
        <v>24962373497.580002</v>
      </c>
      <c r="E10">
        <v>3.37104824619974E-3</v>
      </c>
      <c r="F10">
        <v>3.9710921464593301</v>
      </c>
      <c r="G10">
        <v>3.6602561511813398</v>
      </c>
      <c r="H10">
        <v>5.0713572694417604</v>
      </c>
      <c r="I10">
        <v>108.97994409359001</v>
      </c>
      <c r="J10">
        <v>780.23168209721496</v>
      </c>
      <c r="K10">
        <v>24962373497.580002</v>
      </c>
    </row>
    <row r="11" spans="1:11" x14ac:dyDescent="0.25">
      <c r="A11">
        <v>20</v>
      </c>
      <c r="B11">
        <v>8</v>
      </c>
      <c r="C11">
        <v>29764364.809999999</v>
      </c>
      <c r="D11">
        <v>8732414896.5900002</v>
      </c>
      <c r="E11">
        <v>3.40849182757257E-3</v>
      </c>
      <c r="F11">
        <v>4.0143771421479704</v>
      </c>
      <c r="G11">
        <v>5.4401536603200196</v>
      </c>
      <c r="H11">
        <v>7.4985290275265104</v>
      </c>
      <c r="I11">
        <v>112.59572641634399</v>
      </c>
      <c r="J11">
        <v>780.00554490269496</v>
      </c>
      <c r="K11">
        <v>8732414896.5900002</v>
      </c>
    </row>
    <row r="12" spans="1:11" x14ac:dyDescent="0.25">
      <c r="A12">
        <v>20</v>
      </c>
      <c r="B12">
        <v>9</v>
      </c>
      <c r="C12">
        <v>43516963.340000004</v>
      </c>
      <c r="D12">
        <v>9407453106.0499992</v>
      </c>
      <c r="E12">
        <v>4.62579646684753E-3</v>
      </c>
      <c r="F12">
        <v>5.4118841295320097</v>
      </c>
      <c r="G12">
        <v>6.1469331375902501</v>
      </c>
      <c r="H12">
        <v>8.57304045097532</v>
      </c>
      <c r="I12">
        <v>113.859950983345</v>
      </c>
      <c r="J12">
        <v>779.77832291764003</v>
      </c>
      <c r="K12">
        <v>9407453106.0499992</v>
      </c>
    </row>
    <row r="13" spans="1:11" x14ac:dyDescent="0.25">
      <c r="A13">
        <v>20</v>
      </c>
      <c r="B13">
        <v>10</v>
      </c>
      <c r="C13">
        <v>60195160.539999999</v>
      </c>
      <c r="D13">
        <v>11317900731.83</v>
      </c>
      <c r="E13">
        <v>5.3185800058052797E-3</v>
      </c>
      <c r="F13">
        <v>6.1988704589571499</v>
      </c>
      <c r="G13">
        <v>6.9475847587551298</v>
      </c>
      <c r="H13">
        <v>9.5330896372956406</v>
      </c>
      <c r="I13">
        <v>115.45065020121901</v>
      </c>
      <c r="J13">
        <v>779.65893277795897</v>
      </c>
      <c r="K13">
        <v>11317900731.83</v>
      </c>
    </row>
    <row r="14" spans="1:11" x14ac:dyDescent="0.25">
      <c r="A14">
        <v>20</v>
      </c>
      <c r="B14">
        <v>11</v>
      </c>
      <c r="C14">
        <v>63050171.649999999</v>
      </c>
      <c r="D14">
        <v>14856445597.290001</v>
      </c>
      <c r="E14">
        <v>4.2439607264809697E-3</v>
      </c>
      <c r="F14">
        <v>4.97554463923949</v>
      </c>
      <c r="G14">
        <v>7.6365320669811201</v>
      </c>
      <c r="H14">
        <v>10.5786254765473</v>
      </c>
      <c r="I14">
        <v>116.394996305258</v>
      </c>
      <c r="J14">
        <v>780.60741668225796</v>
      </c>
      <c r="K14">
        <v>14856445597.290001</v>
      </c>
    </row>
    <row r="15" spans="1:11" x14ac:dyDescent="0.25">
      <c r="A15">
        <v>20</v>
      </c>
      <c r="B15">
        <v>12</v>
      </c>
      <c r="C15">
        <v>97555937.299999997</v>
      </c>
      <c r="D15">
        <v>19137301637.91</v>
      </c>
      <c r="E15">
        <v>5.0976850940545699E-3</v>
      </c>
      <c r="F15">
        <v>5.9485931109033601</v>
      </c>
      <c r="G15">
        <v>8.2788408890255596</v>
      </c>
      <c r="H15">
        <v>11.5000373704907</v>
      </c>
      <c r="I15">
        <v>117.43159708514899</v>
      </c>
      <c r="J15">
        <v>780.57638700261703</v>
      </c>
      <c r="K15">
        <v>19137301637.91</v>
      </c>
    </row>
    <row r="16" spans="1:11" x14ac:dyDescent="0.25">
      <c r="A16">
        <v>20</v>
      </c>
      <c r="B16">
        <v>13</v>
      </c>
      <c r="C16">
        <v>80109388.359999999</v>
      </c>
      <c r="D16">
        <v>12647511338.93</v>
      </c>
      <c r="E16">
        <v>6.3340040750481203E-3</v>
      </c>
      <c r="F16">
        <v>7.3415271975909597</v>
      </c>
      <c r="G16">
        <v>8.5542119382742907</v>
      </c>
      <c r="H16">
        <v>12.556374467722</v>
      </c>
      <c r="I16">
        <v>117.707003866044</v>
      </c>
      <c r="J16">
        <v>780.54772543758895</v>
      </c>
      <c r="K16">
        <v>12647511338.93</v>
      </c>
    </row>
    <row r="17" spans="1:11" x14ac:dyDescent="0.25">
      <c r="A17">
        <v>20</v>
      </c>
      <c r="B17">
        <v>14</v>
      </c>
      <c r="C17">
        <v>137459973.31999999</v>
      </c>
      <c r="D17">
        <v>20979447202.400002</v>
      </c>
      <c r="E17">
        <v>6.5521256110253803E-3</v>
      </c>
      <c r="F17">
        <v>7.5853084139728599</v>
      </c>
      <c r="G17">
        <v>10.2857961002384</v>
      </c>
      <c r="H17">
        <v>15.0920191445617</v>
      </c>
      <c r="I17">
        <v>121.70301470109</v>
      </c>
      <c r="J17">
        <v>779.87347973699104</v>
      </c>
      <c r="K17">
        <v>20979447202.400002</v>
      </c>
    </row>
    <row r="18" spans="1:11" x14ac:dyDescent="0.25">
      <c r="A18">
        <v>25</v>
      </c>
      <c r="B18">
        <v>7</v>
      </c>
      <c r="C18">
        <v>53647388.43</v>
      </c>
      <c r="D18">
        <v>10868307038.16</v>
      </c>
      <c r="E18">
        <v>4.9361311050228097E-3</v>
      </c>
      <c r="F18">
        <v>5.7651625508633497</v>
      </c>
      <c r="G18">
        <v>2.8705602437572701</v>
      </c>
      <c r="H18">
        <v>5.1776836715363999</v>
      </c>
      <c r="I18">
        <v>107.56013296983799</v>
      </c>
      <c r="J18">
        <v>780.324534591614</v>
      </c>
      <c r="K18">
        <v>10868307038.16</v>
      </c>
    </row>
    <row r="19" spans="1:11" x14ac:dyDescent="0.25">
      <c r="A19">
        <v>25</v>
      </c>
      <c r="B19">
        <v>8</v>
      </c>
      <c r="C19">
        <v>14939201.1</v>
      </c>
      <c r="D19">
        <v>3314604038.3699999</v>
      </c>
      <c r="E19">
        <v>4.5070846855501103E-3</v>
      </c>
      <c r="F19">
        <v>5.2764244149689299</v>
      </c>
      <c r="G19">
        <v>4.0670738219223797</v>
      </c>
      <c r="H19">
        <v>7.5042350157128199</v>
      </c>
      <c r="I19">
        <v>109.50717333034</v>
      </c>
      <c r="J19">
        <v>780.90414564409696</v>
      </c>
      <c r="K19">
        <v>3314604038.3699999</v>
      </c>
    </row>
    <row r="20" spans="1:11" x14ac:dyDescent="0.25">
      <c r="A20">
        <v>25</v>
      </c>
      <c r="B20">
        <v>9</v>
      </c>
      <c r="C20">
        <v>25872307.359999999</v>
      </c>
      <c r="D20">
        <v>4884705258.1000004</v>
      </c>
      <c r="E20">
        <v>5.2965953917275899E-3</v>
      </c>
      <c r="F20">
        <v>6.1739889365787697</v>
      </c>
      <c r="G20">
        <v>4.6131605255754398</v>
      </c>
      <c r="H20">
        <v>8.5341532013511294</v>
      </c>
      <c r="I20">
        <v>110.868682671531</v>
      </c>
      <c r="J20">
        <v>780.64585244646696</v>
      </c>
      <c r="K20">
        <v>4884705258.1000004</v>
      </c>
    </row>
    <row r="21" spans="1:11" x14ac:dyDescent="0.25">
      <c r="A21">
        <v>25</v>
      </c>
      <c r="B21">
        <v>10</v>
      </c>
      <c r="C21">
        <v>21392233.289999999</v>
      </c>
      <c r="D21">
        <v>4296025583.5600004</v>
      </c>
      <c r="E21">
        <v>4.9795404784979897E-3</v>
      </c>
      <c r="F21">
        <v>5.8144823264943497</v>
      </c>
      <c r="G21">
        <v>5.1591439410893001</v>
      </c>
      <c r="H21">
        <v>9.5102820138731392</v>
      </c>
      <c r="I21">
        <v>112.009289957609</v>
      </c>
      <c r="J21">
        <v>780.73433959483305</v>
      </c>
      <c r="K21">
        <v>4296025583.5600004</v>
      </c>
    </row>
    <row r="22" spans="1:11" x14ac:dyDescent="0.25">
      <c r="A22">
        <v>25</v>
      </c>
      <c r="B22">
        <v>11</v>
      </c>
      <c r="C22">
        <v>23636740.77</v>
      </c>
      <c r="D22">
        <v>4473182600.0200005</v>
      </c>
      <c r="E22">
        <v>5.2840992384022697E-3</v>
      </c>
      <c r="F22">
        <v>6.1598434709539998</v>
      </c>
      <c r="G22">
        <v>5.6568636083261499</v>
      </c>
      <c r="H22">
        <v>10.522277541961</v>
      </c>
      <c r="I22">
        <v>113.04695117783299</v>
      </c>
      <c r="J22">
        <v>780.27319445997796</v>
      </c>
      <c r="K22">
        <v>4473182600.0200005</v>
      </c>
    </row>
    <row r="23" spans="1:11" x14ac:dyDescent="0.25">
      <c r="A23">
        <v>25</v>
      </c>
      <c r="B23">
        <v>12</v>
      </c>
      <c r="C23">
        <v>35149993.75</v>
      </c>
      <c r="D23">
        <v>5948548653.3299999</v>
      </c>
      <c r="E23">
        <v>5.9090033213938598E-3</v>
      </c>
      <c r="F23">
        <v>6.8648355451030802</v>
      </c>
      <c r="G23">
        <v>6.33040857341717</v>
      </c>
      <c r="H23">
        <v>11.527870505467099</v>
      </c>
      <c r="I23">
        <v>114.477750375151</v>
      </c>
      <c r="J23">
        <v>780.28354193500195</v>
      </c>
      <c r="K23">
        <v>5948548653.3299999</v>
      </c>
    </row>
    <row r="24" spans="1:11" x14ac:dyDescent="0.25">
      <c r="A24">
        <v>25</v>
      </c>
      <c r="B24">
        <v>13</v>
      </c>
      <c r="C24">
        <v>34296251.259999998</v>
      </c>
      <c r="D24">
        <v>5531213224.8400002</v>
      </c>
      <c r="E24">
        <v>6.2004934299006399E-3</v>
      </c>
      <c r="F24">
        <v>7.1920197544142503</v>
      </c>
      <c r="G24">
        <v>6.7033558951144103</v>
      </c>
      <c r="H24">
        <v>12.462682527397901</v>
      </c>
      <c r="I24">
        <v>115.006943492064</v>
      </c>
      <c r="J24">
        <v>780.56096778298297</v>
      </c>
      <c r="K24">
        <v>5531213224.8400002</v>
      </c>
    </row>
    <row r="25" spans="1:11" x14ac:dyDescent="0.25">
      <c r="A25">
        <v>25</v>
      </c>
      <c r="B25">
        <v>14</v>
      </c>
      <c r="C25">
        <v>275282596.25</v>
      </c>
      <c r="D25">
        <v>43960603772.220001</v>
      </c>
      <c r="E25">
        <v>6.2620294679382703E-3</v>
      </c>
      <c r="F25">
        <v>7.2609562851758396</v>
      </c>
      <c r="G25">
        <v>8.3757153518616594</v>
      </c>
      <c r="H25">
        <v>16.059377810308298</v>
      </c>
      <c r="I25">
        <v>118.282600287709</v>
      </c>
      <c r="J25">
        <v>780.91470089182701</v>
      </c>
      <c r="K25">
        <v>43960603772.220001</v>
      </c>
    </row>
    <row r="26" spans="1:11" x14ac:dyDescent="0.25">
      <c r="A26">
        <v>30</v>
      </c>
      <c r="B26">
        <v>7</v>
      </c>
      <c r="C26">
        <v>6386565.2699999996</v>
      </c>
      <c r="D26">
        <v>1352838019.6400001</v>
      </c>
      <c r="E26">
        <v>4.7208647135002198E-3</v>
      </c>
      <c r="F26">
        <v>5.5202365953866499</v>
      </c>
      <c r="G26">
        <v>2.2226652938943001</v>
      </c>
      <c r="H26">
        <v>4.9607593757300599</v>
      </c>
      <c r="I26">
        <v>104.490362309795</v>
      </c>
      <c r="J26">
        <v>779.72601217986801</v>
      </c>
      <c r="K26">
        <v>1352838019.6400001</v>
      </c>
    </row>
    <row r="27" spans="1:11" x14ac:dyDescent="0.25">
      <c r="A27">
        <v>30</v>
      </c>
      <c r="B27">
        <v>8</v>
      </c>
      <c r="C27">
        <v>3300502.56</v>
      </c>
      <c r="D27">
        <v>623193128.38</v>
      </c>
      <c r="E27">
        <v>5.2961151362174103E-3</v>
      </c>
      <c r="F27">
        <v>6.17344533037509</v>
      </c>
      <c r="G27">
        <v>3.4043626456291398</v>
      </c>
      <c r="H27">
        <v>7.5921989158476304</v>
      </c>
      <c r="I27">
        <v>107.124978001675</v>
      </c>
      <c r="J27">
        <v>780.26423952507605</v>
      </c>
      <c r="K27">
        <v>623193128.38</v>
      </c>
    </row>
    <row r="28" spans="1:11" x14ac:dyDescent="0.25">
      <c r="A28">
        <v>30</v>
      </c>
      <c r="B28">
        <v>9</v>
      </c>
      <c r="C28">
        <v>5087662.29</v>
      </c>
      <c r="D28">
        <v>902795153.63</v>
      </c>
      <c r="E28">
        <v>5.63545591659779E-3</v>
      </c>
      <c r="F28">
        <v>6.5568298262407003</v>
      </c>
      <c r="G28">
        <v>3.7910775790406901</v>
      </c>
      <c r="H28">
        <v>8.5088249689585993</v>
      </c>
      <c r="I28">
        <v>108.031556269113</v>
      </c>
      <c r="J28">
        <v>780.16712470472896</v>
      </c>
      <c r="K28">
        <v>902795153.63</v>
      </c>
    </row>
    <row r="29" spans="1:11" x14ac:dyDescent="0.25">
      <c r="A29">
        <v>30</v>
      </c>
      <c r="B29">
        <v>10</v>
      </c>
      <c r="C29">
        <v>8811300.1799999997</v>
      </c>
      <c r="D29">
        <v>1946107539.0899999</v>
      </c>
      <c r="E29">
        <v>4.5276532786672997E-3</v>
      </c>
      <c r="F29">
        <v>5.2999075670381002</v>
      </c>
      <c r="G29">
        <v>4.3053929304084297</v>
      </c>
      <c r="H29">
        <v>9.5640993472337801</v>
      </c>
      <c r="I29">
        <v>108.44479292822</v>
      </c>
      <c r="J29">
        <v>780.49950267088605</v>
      </c>
      <c r="K29">
        <v>1946107539.0899999</v>
      </c>
    </row>
    <row r="30" spans="1:11" x14ac:dyDescent="0.25">
      <c r="A30">
        <v>30</v>
      </c>
      <c r="B30">
        <v>11</v>
      </c>
      <c r="C30">
        <v>9935791.9900000002</v>
      </c>
      <c r="D30">
        <v>1661142651.3399999</v>
      </c>
      <c r="E30">
        <v>5.9812996686257197E-3</v>
      </c>
      <c r="F30">
        <v>6.9460833130673301</v>
      </c>
      <c r="G30">
        <v>4.6334437642552402</v>
      </c>
      <c r="H30">
        <v>10.4829669450562</v>
      </c>
      <c r="I30">
        <v>108.974653229865</v>
      </c>
      <c r="J30">
        <v>780.81945969716196</v>
      </c>
      <c r="K30">
        <v>1661142651.3399999</v>
      </c>
    </row>
    <row r="31" spans="1:11" x14ac:dyDescent="0.25">
      <c r="A31">
        <v>30</v>
      </c>
      <c r="B31">
        <v>12</v>
      </c>
      <c r="C31">
        <v>9635862.9900000002</v>
      </c>
      <c r="D31">
        <v>1702897693.1900001</v>
      </c>
      <c r="E31">
        <v>5.6585096265820596E-3</v>
      </c>
      <c r="F31">
        <v>6.5828235576592702</v>
      </c>
      <c r="G31">
        <v>4.9408676351902399</v>
      </c>
      <c r="H31">
        <v>11.386421120036101</v>
      </c>
      <c r="I31">
        <v>109.528888988635</v>
      </c>
      <c r="J31">
        <v>780.47036865991504</v>
      </c>
      <c r="K31">
        <v>1702897693.1900001</v>
      </c>
    </row>
    <row r="32" spans="1:11" x14ac:dyDescent="0.25">
      <c r="A32">
        <v>30</v>
      </c>
      <c r="B32">
        <v>13</v>
      </c>
      <c r="C32">
        <v>10297172.800000001</v>
      </c>
      <c r="D32">
        <v>1547068531.71</v>
      </c>
      <c r="E32">
        <v>6.6559254415306099E-3</v>
      </c>
      <c r="F32">
        <v>7.7011126019622402</v>
      </c>
      <c r="G32">
        <v>5.4597701784976103</v>
      </c>
      <c r="H32">
        <v>12.467244661232799</v>
      </c>
      <c r="I32">
        <v>110.733783926393</v>
      </c>
      <c r="J32">
        <v>780.36533511816901</v>
      </c>
      <c r="K32">
        <v>1547068531.71</v>
      </c>
    </row>
    <row r="33" spans="1:11" x14ac:dyDescent="0.25">
      <c r="A33">
        <v>30</v>
      </c>
      <c r="B33">
        <v>14</v>
      </c>
      <c r="C33">
        <v>192353155.33000001</v>
      </c>
      <c r="D33">
        <v>27570251856.009998</v>
      </c>
      <c r="E33">
        <v>6.9768370755042301E-3</v>
      </c>
      <c r="F33">
        <v>8.0582965569301894</v>
      </c>
      <c r="G33">
        <v>8.1322968944030904</v>
      </c>
      <c r="H33">
        <v>18.927316548011099</v>
      </c>
      <c r="I33">
        <v>116.517856822724</v>
      </c>
      <c r="J33">
        <v>781.00547166474803</v>
      </c>
      <c r="K33">
        <v>27570251856.009998</v>
      </c>
    </row>
    <row r="34" spans="1:11" x14ac:dyDescent="0.25">
      <c r="A34">
        <v>35</v>
      </c>
      <c r="B34">
        <v>7</v>
      </c>
      <c r="C34">
        <v>4348398.95</v>
      </c>
      <c r="D34">
        <v>1011068864.79</v>
      </c>
      <c r="E34">
        <v>4.3007940422566202E-3</v>
      </c>
      <c r="F34">
        <v>5.0406070802755396</v>
      </c>
      <c r="G34">
        <v>1.6349777974406401</v>
      </c>
      <c r="H34">
        <v>4.46822976078011</v>
      </c>
      <c r="I34">
        <v>105.05419383678699</v>
      </c>
      <c r="J34">
        <v>778.98465142831503</v>
      </c>
      <c r="K34">
        <v>1011068864.79</v>
      </c>
    </row>
    <row r="35" spans="1:11" x14ac:dyDescent="0.25">
      <c r="A35">
        <v>35</v>
      </c>
      <c r="B35">
        <v>8</v>
      </c>
      <c r="C35">
        <v>436199.01</v>
      </c>
      <c r="D35">
        <v>146735627.18000001</v>
      </c>
      <c r="E35">
        <v>2.9726864455686401E-3</v>
      </c>
      <c r="F35">
        <v>3.5094745035103601</v>
      </c>
      <c r="G35">
        <v>2.8221346505709799</v>
      </c>
      <c r="H35">
        <v>7.5518997206927096</v>
      </c>
      <c r="I35">
        <v>107.70791744939299</v>
      </c>
      <c r="J35">
        <v>779.14870681431603</v>
      </c>
      <c r="K35">
        <v>146735627.18000001</v>
      </c>
    </row>
    <row r="36" spans="1:11" x14ac:dyDescent="0.25">
      <c r="A36">
        <v>35</v>
      </c>
      <c r="B36">
        <v>9</v>
      </c>
      <c r="C36">
        <v>3033684.07</v>
      </c>
      <c r="D36">
        <v>624616225.76999998</v>
      </c>
      <c r="E36">
        <v>4.8568768226605096E-3</v>
      </c>
      <c r="F36">
        <v>5.6750563313711497</v>
      </c>
      <c r="G36">
        <v>3.1763888880857301</v>
      </c>
      <c r="H36">
        <v>8.6412231762723106</v>
      </c>
      <c r="I36">
        <v>108.28452771669301</v>
      </c>
      <c r="J36">
        <v>780.163600941033</v>
      </c>
      <c r="K36">
        <v>624616225.76999998</v>
      </c>
    </row>
    <row r="37" spans="1:11" x14ac:dyDescent="0.25">
      <c r="A37">
        <v>35</v>
      </c>
      <c r="B37">
        <v>10</v>
      </c>
      <c r="C37">
        <v>7908377.6399999997</v>
      </c>
      <c r="D37">
        <v>1242082346.6900001</v>
      </c>
      <c r="E37">
        <v>6.3670316715110503E-3</v>
      </c>
      <c r="F37">
        <v>7.3784779710666504</v>
      </c>
      <c r="G37">
        <v>3.4271611579805099</v>
      </c>
      <c r="H37">
        <v>9.5850839536674499</v>
      </c>
      <c r="I37">
        <v>108.688491745894</v>
      </c>
      <c r="J37">
        <v>780.36098901775904</v>
      </c>
      <c r="K37">
        <v>1242082346.6900001</v>
      </c>
    </row>
    <row r="38" spans="1:11" x14ac:dyDescent="0.25">
      <c r="A38">
        <v>35</v>
      </c>
      <c r="B38">
        <v>11</v>
      </c>
      <c r="C38">
        <v>7222501.7000000002</v>
      </c>
      <c r="D38">
        <v>1349350245.96</v>
      </c>
      <c r="E38">
        <v>5.3525774509801298E-3</v>
      </c>
      <c r="F38">
        <v>6.2373358322121204</v>
      </c>
      <c r="G38">
        <v>3.7590098919681698</v>
      </c>
      <c r="H38">
        <v>10.502970456722</v>
      </c>
      <c r="I38">
        <v>109.126195518335</v>
      </c>
      <c r="J38">
        <v>781.12770407888502</v>
      </c>
      <c r="K38">
        <v>1349350245.96</v>
      </c>
    </row>
    <row r="39" spans="1:11" x14ac:dyDescent="0.25">
      <c r="A39">
        <v>35</v>
      </c>
      <c r="B39">
        <v>12</v>
      </c>
      <c r="C39">
        <v>8142024.9299999997</v>
      </c>
      <c r="D39">
        <v>1184028947.6099999</v>
      </c>
      <c r="E39">
        <v>6.8765421203889699E-3</v>
      </c>
      <c r="F39">
        <v>7.9468017177860499</v>
      </c>
      <c r="G39">
        <v>4.0253276852851201</v>
      </c>
      <c r="H39">
        <v>11.392536818670401</v>
      </c>
      <c r="I39">
        <v>109.243918918752</v>
      </c>
      <c r="J39">
        <v>781.16567186504301</v>
      </c>
      <c r="K39">
        <v>1184028947.6099999</v>
      </c>
    </row>
    <row r="40" spans="1:11" x14ac:dyDescent="0.25">
      <c r="A40">
        <v>35</v>
      </c>
      <c r="B40">
        <v>13</v>
      </c>
      <c r="C40">
        <v>2280214.4700000002</v>
      </c>
      <c r="D40">
        <v>474921206.69</v>
      </c>
      <c r="E40">
        <v>4.8012479499328501E-3</v>
      </c>
      <c r="F40">
        <v>5.6117632786526199</v>
      </c>
      <c r="G40">
        <v>4.4486696183369103</v>
      </c>
      <c r="H40">
        <v>12.489413685086401</v>
      </c>
      <c r="I40">
        <v>109.601673771734</v>
      </c>
      <c r="J40">
        <v>780.24561628095796</v>
      </c>
      <c r="K40">
        <v>474921206.69</v>
      </c>
    </row>
    <row r="41" spans="1:11" x14ac:dyDescent="0.25">
      <c r="A41">
        <v>35</v>
      </c>
      <c r="B41">
        <v>14</v>
      </c>
      <c r="C41">
        <v>132403111.92</v>
      </c>
      <c r="D41">
        <v>21041625488.599998</v>
      </c>
      <c r="E41">
        <v>6.2924374351085001E-3</v>
      </c>
      <c r="F41">
        <v>7.2950038670718502</v>
      </c>
      <c r="G41">
        <v>7.3603846365531496</v>
      </c>
      <c r="H41">
        <v>21.364476296262598</v>
      </c>
      <c r="I41">
        <v>116.541741449691</v>
      </c>
      <c r="J41">
        <v>781.21413112908203</v>
      </c>
      <c r="K41">
        <v>21041625488.599998</v>
      </c>
    </row>
    <row r="42" spans="1:11" x14ac:dyDescent="0.25">
      <c r="A42">
        <v>40</v>
      </c>
      <c r="B42">
        <v>7</v>
      </c>
      <c r="C42">
        <v>1744976.56</v>
      </c>
      <c r="D42">
        <v>539574034.29999995</v>
      </c>
      <c r="E42">
        <v>3.2339891267447502E-3</v>
      </c>
      <c r="F42">
        <v>3.81249835212361</v>
      </c>
      <c r="G42">
        <v>1.8265946420964101</v>
      </c>
      <c r="H42">
        <v>5.6436510094074404</v>
      </c>
      <c r="I42">
        <v>104.563998117446</v>
      </c>
      <c r="J42">
        <v>778.52060844872506</v>
      </c>
      <c r="K42">
        <v>539574034.29999995</v>
      </c>
    </row>
    <row r="43" spans="1:11" x14ac:dyDescent="0.25">
      <c r="A43">
        <v>40</v>
      </c>
      <c r="B43">
        <v>8</v>
      </c>
      <c r="C43">
        <v>30406.59</v>
      </c>
      <c r="D43">
        <v>100330402.19</v>
      </c>
      <c r="E43">
        <v>3.0306456803011402E-4</v>
      </c>
      <c r="F43">
        <v>0.36307189593516298</v>
      </c>
      <c r="G43">
        <v>2.4045694046763</v>
      </c>
      <c r="H43">
        <v>7.4058698564998702</v>
      </c>
      <c r="I43">
        <v>105.440993060438</v>
      </c>
      <c r="J43">
        <v>779.45026933743202</v>
      </c>
      <c r="K43">
        <v>100330402.19</v>
      </c>
    </row>
    <row r="44" spans="1:11" x14ac:dyDescent="0.25">
      <c r="A44">
        <v>40</v>
      </c>
      <c r="B44">
        <v>9</v>
      </c>
      <c r="C44">
        <v>806256.96</v>
      </c>
      <c r="D44">
        <v>51750589.939999998</v>
      </c>
      <c r="E44">
        <v>1.5579667032487501E-2</v>
      </c>
      <c r="F44">
        <v>17.1739587241028</v>
      </c>
      <c r="G44">
        <v>2.7511389959185202</v>
      </c>
      <c r="H44">
        <v>8.49088188427225</v>
      </c>
      <c r="I44">
        <v>105.577429915897</v>
      </c>
      <c r="J44">
        <v>781.18782957146198</v>
      </c>
      <c r="K44">
        <v>51750589.939999998</v>
      </c>
    </row>
    <row r="45" spans="1:11" x14ac:dyDescent="0.25">
      <c r="A45">
        <v>40</v>
      </c>
      <c r="B45">
        <v>10</v>
      </c>
      <c r="C45">
        <v>563879.14</v>
      </c>
      <c r="D45">
        <v>69441540.409999996</v>
      </c>
      <c r="E45">
        <v>8.1201991872691497E-3</v>
      </c>
      <c r="F45">
        <v>9.3206175779410003</v>
      </c>
      <c r="G45">
        <v>3.0070766952246499</v>
      </c>
      <c r="H45">
        <v>9.4434518800084408</v>
      </c>
      <c r="I45">
        <v>107.617355278378</v>
      </c>
      <c r="J45">
        <v>779.81243855806895</v>
      </c>
      <c r="K45">
        <v>69441540.409999996</v>
      </c>
    </row>
    <row r="46" spans="1:11" x14ac:dyDescent="0.25">
      <c r="A46">
        <v>40</v>
      </c>
      <c r="B46">
        <v>11</v>
      </c>
      <c r="C46">
        <v>3510071.87</v>
      </c>
      <c r="D46">
        <v>466863378.60000002</v>
      </c>
      <c r="E46">
        <v>7.5184133750772599E-3</v>
      </c>
      <c r="F46">
        <v>8.6582143870341195</v>
      </c>
      <c r="G46">
        <v>3.4413675320441199</v>
      </c>
      <c r="H46">
        <v>10.5130698782891</v>
      </c>
      <c r="I46">
        <v>108.31113589536101</v>
      </c>
      <c r="J46">
        <v>779.59030825868399</v>
      </c>
      <c r="K46">
        <v>466863378.60000002</v>
      </c>
    </row>
    <row r="47" spans="1:11" x14ac:dyDescent="0.25">
      <c r="A47">
        <v>40</v>
      </c>
      <c r="B47">
        <v>12</v>
      </c>
      <c r="C47">
        <v>3684059.22</v>
      </c>
      <c r="D47">
        <v>735885197.26999998</v>
      </c>
      <c r="E47">
        <v>5.0062961364995299E-3</v>
      </c>
      <c r="F47">
        <v>5.8448691128597696</v>
      </c>
      <c r="G47">
        <v>3.6950974535193901</v>
      </c>
      <c r="H47">
        <v>11.5077844921114</v>
      </c>
      <c r="I47">
        <v>108.40862985103</v>
      </c>
      <c r="J47">
        <v>779.37871054057905</v>
      </c>
      <c r="K47">
        <v>735885197.26999998</v>
      </c>
    </row>
    <row r="48" spans="1:11" x14ac:dyDescent="0.25">
      <c r="A48">
        <v>40</v>
      </c>
      <c r="B48">
        <v>13</v>
      </c>
      <c r="C48">
        <v>3709838.18</v>
      </c>
      <c r="D48">
        <v>963613345</v>
      </c>
      <c r="E48">
        <v>3.8499240377373499E-3</v>
      </c>
      <c r="F48">
        <v>4.5233287891603799</v>
      </c>
      <c r="G48">
        <v>4.0370160383135003</v>
      </c>
      <c r="H48">
        <v>12.4547920307308</v>
      </c>
      <c r="I48">
        <v>109.033615655139</v>
      </c>
      <c r="J48">
        <v>780.26408358529295</v>
      </c>
      <c r="K48">
        <v>963613345</v>
      </c>
    </row>
    <row r="49" spans="1:11" x14ac:dyDescent="0.25">
      <c r="A49">
        <v>40</v>
      </c>
      <c r="B49">
        <v>14</v>
      </c>
      <c r="C49">
        <v>168303756.91999999</v>
      </c>
      <c r="D49">
        <v>23695894037.189999</v>
      </c>
      <c r="E49">
        <v>7.1026548589326098E-3</v>
      </c>
      <c r="F49">
        <v>8.1979892927647402</v>
      </c>
      <c r="G49">
        <v>7.5184428191519102</v>
      </c>
      <c r="H49">
        <v>24.5555397791952</v>
      </c>
      <c r="I49">
        <v>116.157904441139</v>
      </c>
      <c r="J49">
        <v>780.73327272847496</v>
      </c>
      <c r="K49">
        <v>23695894037.189999</v>
      </c>
    </row>
    <row r="50" spans="1:11" x14ac:dyDescent="0.25">
      <c r="A50">
        <v>45</v>
      </c>
      <c r="B50">
        <v>7</v>
      </c>
      <c r="C50">
        <v>2846513.13</v>
      </c>
      <c r="D50">
        <v>631222262.51999998</v>
      </c>
      <c r="E50">
        <v>4.5095258817963602E-3</v>
      </c>
      <c r="F50">
        <v>5.2792118065996698</v>
      </c>
      <c r="G50">
        <v>1.2119913283392201</v>
      </c>
      <c r="H50">
        <v>4.4419395839885603</v>
      </c>
      <c r="I50">
        <v>104.498056915959</v>
      </c>
      <c r="J50">
        <v>779.26961515467599</v>
      </c>
      <c r="K50">
        <v>631222262.51999998</v>
      </c>
    </row>
    <row r="51" spans="1:11" x14ac:dyDescent="0.25">
      <c r="A51">
        <v>45</v>
      </c>
      <c r="B51">
        <v>8</v>
      </c>
      <c r="C51">
        <v>558986.09</v>
      </c>
      <c r="D51">
        <v>142974321.19</v>
      </c>
      <c r="E51">
        <v>3.9096957086241901E-3</v>
      </c>
      <c r="F51">
        <v>4.5920523763610799</v>
      </c>
      <c r="G51">
        <v>2.0607220282593701</v>
      </c>
      <c r="H51">
        <v>7.6365578137219297</v>
      </c>
      <c r="I51">
        <v>106.363674545387</v>
      </c>
      <c r="J51">
        <v>779.46207604416497</v>
      </c>
      <c r="K51">
        <v>142974321.19</v>
      </c>
    </row>
    <row r="52" spans="1:11" x14ac:dyDescent="0.25">
      <c r="A52">
        <v>45</v>
      </c>
      <c r="B52">
        <v>9</v>
      </c>
      <c r="C52">
        <v>1914385.5</v>
      </c>
      <c r="D52">
        <v>621211178.36000001</v>
      </c>
      <c r="E52">
        <v>3.0816984089919001E-3</v>
      </c>
      <c r="F52">
        <v>3.6359982011711698</v>
      </c>
      <c r="G52">
        <v>2.2994703501742899</v>
      </c>
      <c r="H52">
        <v>8.6100779254787394</v>
      </c>
      <c r="I52">
        <v>108.29594400945599</v>
      </c>
      <c r="J52">
        <v>781.61256818190304</v>
      </c>
      <c r="K52">
        <v>621211178.36000001</v>
      </c>
    </row>
    <row r="53" spans="1:11" x14ac:dyDescent="0.25">
      <c r="A53">
        <v>45</v>
      </c>
      <c r="B53">
        <v>10</v>
      </c>
      <c r="C53">
        <v>1596605.98</v>
      </c>
      <c r="D53">
        <v>309798237.5</v>
      </c>
      <c r="E53">
        <v>5.1536961374739898E-3</v>
      </c>
      <c r="F53">
        <v>6.0121123510348697</v>
      </c>
      <c r="G53">
        <v>2.5011620637966998</v>
      </c>
      <c r="H53">
        <v>9.3776565255917692</v>
      </c>
      <c r="I53">
        <v>108.038301978174</v>
      </c>
      <c r="J53">
        <v>779.69704919023104</v>
      </c>
      <c r="K53">
        <v>309798237.5</v>
      </c>
    </row>
    <row r="54" spans="1:11" x14ac:dyDescent="0.25">
      <c r="A54">
        <v>45</v>
      </c>
      <c r="B54">
        <v>11</v>
      </c>
      <c r="C54">
        <v>526476.02</v>
      </c>
      <c r="D54">
        <v>251632176.25999999</v>
      </c>
      <c r="E54">
        <v>2.09224443322389E-3</v>
      </c>
      <c r="F54">
        <v>2.4820024548178399</v>
      </c>
      <c r="G54">
        <v>2.8011085057334699</v>
      </c>
      <c r="H54">
        <v>10.4953441404688</v>
      </c>
      <c r="I54">
        <v>108.41788397080499</v>
      </c>
      <c r="J54">
        <v>780.33668209856205</v>
      </c>
      <c r="K54">
        <v>251632176.25999999</v>
      </c>
    </row>
    <row r="55" spans="1:11" x14ac:dyDescent="0.25">
      <c r="A55">
        <v>45</v>
      </c>
      <c r="B55">
        <v>12</v>
      </c>
      <c r="C55">
        <v>725082.57</v>
      </c>
      <c r="D55">
        <v>185031045.90000001</v>
      </c>
      <c r="E55">
        <v>3.9187076226757604E-3</v>
      </c>
      <c r="F55">
        <v>4.6024100570325004</v>
      </c>
      <c r="G55">
        <v>3.1394344300844601</v>
      </c>
      <c r="H55">
        <v>11.586603898920201</v>
      </c>
      <c r="I55">
        <v>108.341192149842</v>
      </c>
      <c r="J55">
        <v>780.43750856103804</v>
      </c>
      <c r="K55">
        <v>185031045.90000001</v>
      </c>
    </row>
    <row r="56" spans="1:11" x14ac:dyDescent="0.25">
      <c r="A56">
        <v>45</v>
      </c>
      <c r="B56">
        <v>13</v>
      </c>
      <c r="C56">
        <v>1629190.28</v>
      </c>
      <c r="D56">
        <v>168921544.31</v>
      </c>
      <c r="E56">
        <v>9.6446565573077899E-3</v>
      </c>
      <c r="F56">
        <v>10.9789751431931</v>
      </c>
      <c r="G56">
        <v>3.3129032574534598</v>
      </c>
      <c r="H56">
        <v>12.425304234944001</v>
      </c>
      <c r="I56">
        <v>108.677695689716</v>
      </c>
      <c r="J56">
        <v>778.59677063833897</v>
      </c>
      <c r="K56">
        <v>168921544.31</v>
      </c>
    </row>
    <row r="57" spans="1:11" x14ac:dyDescent="0.25">
      <c r="A57">
        <v>45</v>
      </c>
      <c r="B57">
        <v>14</v>
      </c>
      <c r="C57">
        <v>54455765.799999997</v>
      </c>
      <c r="D57">
        <v>7507764696.4200001</v>
      </c>
      <c r="E57">
        <v>7.2532595255637997E-3</v>
      </c>
      <c r="F57">
        <v>8.3649465265813401</v>
      </c>
      <c r="G57">
        <v>6.6190478302079896</v>
      </c>
      <c r="H57">
        <v>25.968450899899</v>
      </c>
      <c r="I57">
        <v>115.533202859341</v>
      </c>
      <c r="J57">
        <v>780.61193116050197</v>
      </c>
      <c r="K57">
        <v>7507764696.4200001</v>
      </c>
    </row>
    <row r="58" spans="1:11" x14ac:dyDescent="0.25">
      <c r="A58">
        <v>50</v>
      </c>
      <c r="B58">
        <v>7</v>
      </c>
      <c r="C58">
        <v>9458752.5199999996</v>
      </c>
      <c r="D58">
        <v>1491154185.5799999</v>
      </c>
      <c r="E58">
        <v>6.3432424436517401E-3</v>
      </c>
      <c r="F58">
        <v>7.35186430513453</v>
      </c>
      <c r="G58">
        <v>1.0314215225732799</v>
      </c>
      <c r="H58">
        <v>4.0622030513163301</v>
      </c>
      <c r="I58">
        <v>103.288654802227</v>
      </c>
      <c r="J58">
        <v>780.43699644738899</v>
      </c>
      <c r="K58">
        <v>1491154185.5799999</v>
      </c>
    </row>
    <row r="59" spans="1:11" x14ac:dyDescent="0.25">
      <c r="A59">
        <v>50</v>
      </c>
      <c r="B59">
        <v>8</v>
      </c>
      <c r="C59">
        <v>2115907.12</v>
      </c>
      <c r="D59">
        <v>381340487.30000001</v>
      </c>
      <c r="E59">
        <v>5.5486033884868304E-3</v>
      </c>
      <c r="F59">
        <v>6.4588415115686004</v>
      </c>
      <c r="G59">
        <v>1.9593624305510899</v>
      </c>
      <c r="H59">
        <v>7.69129873613673</v>
      </c>
      <c r="I59">
        <v>105.102647646752</v>
      </c>
      <c r="J59">
        <v>780.88430837880196</v>
      </c>
      <c r="K59">
        <v>381340487.30000001</v>
      </c>
    </row>
    <row r="60" spans="1:11" x14ac:dyDescent="0.25">
      <c r="A60">
        <v>50</v>
      </c>
      <c r="B60">
        <v>9</v>
      </c>
      <c r="C60">
        <v>6641714.2800000003</v>
      </c>
      <c r="D60">
        <v>1216354203.5799999</v>
      </c>
      <c r="E60">
        <v>5.4603455641884201E-3</v>
      </c>
      <c r="F60">
        <v>6.35917123874371</v>
      </c>
      <c r="G60">
        <v>2.1360752405903898</v>
      </c>
      <c r="H60">
        <v>8.4366755387709702</v>
      </c>
      <c r="I60">
        <v>106.63137610800899</v>
      </c>
      <c r="J60">
        <v>780.45275908792496</v>
      </c>
      <c r="K60">
        <v>1216354203.5799999</v>
      </c>
    </row>
    <row r="61" spans="1:11" x14ac:dyDescent="0.25">
      <c r="A61">
        <v>50</v>
      </c>
      <c r="B61">
        <v>10</v>
      </c>
      <c r="C61">
        <v>8553527.5899999999</v>
      </c>
      <c r="D61">
        <v>1322309749.24</v>
      </c>
      <c r="E61">
        <v>6.4686262767979699E-3</v>
      </c>
      <c r="F61">
        <v>7.4920558104395303</v>
      </c>
      <c r="G61">
        <v>2.40470475789231</v>
      </c>
      <c r="H61">
        <v>9.5751900323286492</v>
      </c>
      <c r="I61">
        <v>107.12230037521</v>
      </c>
      <c r="J61">
        <v>779.90058130483999</v>
      </c>
      <c r="K61">
        <v>1322309749.24</v>
      </c>
    </row>
    <row r="62" spans="1:11" x14ac:dyDescent="0.25">
      <c r="A62">
        <v>50</v>
      </c>
      <c r="B62">
        <v>11</v>
      </c>
      <c r="C62">
        <v>13366467.310000001</v>
      </c>
      <c r="D62">
        <v>2026448248.8299999</v>
      </c>
      <c r="E62">
        <v>6.5960072346862601E-3</v>
      </c>
      <c r="F62">
        <v>7.6342811494417502</v>
      </c>
      <c r="G62">
        <v>2.6390926946483702</v>
      </c>
      <c r="H62">
        <v>10.516122585812999</v>
      </c>
      <c r="I62">
        <v>108.144737431357</v>
      </c>
      <c r="J62">
        <v>780.93966041586998</v>
      </c>
      <c r="K62">
        <v>2026448248.8299999</v>
      </c>
    </row>
    <row r="63" spans="1:11" x14ac:dyDescent="0.25">
      <c r="A63">
        <v>50</v>
      </c>
      <c r="B63">
        <v>12</v>
      </c>
      <c r="C63">
        <v>12819291.25</v>
      </c>
      <c r="D63">
        <v>2013745853.55</v>
      </c>
      <c r="E63">
        <v>6.3658933064473198E-3</v>
      </c>
      <c r="F63">
        <v>7.3772046103079001</v>
      </c>
      <c r="G63">
        <v>2.8198256789415899</v>
      </c>
      <c r="H63">
        <v>11.5092741816872</v>
      </c>
      <c r="I63">
        <v>107.828855040474</v>
      </c>
      <c r="J63">
        <v>780.91266525599099</v>
      </c>
      <c r="K63">
        <v>2013745853.55</v>
      </c>
    </row>
    <row r="64" spans="1:11" x14ac:dyDescent="0.25">
      <c r="A64">
        <v>50</v>
      </c>
      <c r="B64">
        <v>13</v>
      </c>
      <c r="C64">
        <v>13769569.060000001</v>
      </c>
      <c r="D64">
        <v>1767902840.6500001</v>
      </c>
      <c r="E64">
        <v>7.7886458143465497E-3</v>
      </c>
      <c r="F64">
        <v>8.9562138611550601</v>
      </c>
      <c r="G64">
        <v>3.0330507384938699</v>
      </c>
      <c r="H64">
        <v>12.394624972330501</v>
      </c>
      <c r="I64">
        <v>108.287153662886</v>
      </c>
      <c r="J64">
        <v>781.23492189011597</v>
      </c>
      <c r="K64">
        <v>1767902840.6500001</v>
      </c>
    </row>
    <row r="65" spans="1:11" x14ac:dyDescent="0.25">
      <c r="A65">
        <v>50</v>
      </c>
      <c r="B65">
        <v>14</v>
      </c>
      <c r="C65">
        <v>354494847.93000001</v>
      </c>
      <c r="D65">
        <v>47789763889.760002</v>
      </c>
      <c r="E65">
        <v>7.4177986890192199E-3</v>
      </c>
      <c r="F65">
        <v>8.5470330668165495</v>
      </c>
      <c r="G65">
        <v>6.8775125382909996</v>
      </c>
      <c r="H65">
        <v>29.8940996144064</v>
      </c>
      <c r="I65">
        <v>115.23244710759</v>
      </c>
      <c r="J65">
        <v>781.65535128030297</v>
      </c>
      <c r="K65">
        <v>47789763889.760002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Starting point</vt:lpstr>
      <vt:lpstr>hpa_annual_plot</vt:lpstr>
      <vt:lpstr>hpa_cum_plot</vt:lpstr>
      <vt:lpstr>hpa_annual_data</vt:lpstr>
      <vt:lpstr>hpa_cum_data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2018-05-31T21:13:00Z</dcterms:created>
  <dcterms:modified xsi:type="dcterms:W3CDTF">2018-05-31T21:46:38Z</dcterms:modified>
</cp:coreProperties>
</file>