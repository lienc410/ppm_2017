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grp_by_hpa_cum_plot_by_incentiv" sheetId="1" r:id="rId1"/>
  </sheets>
  <calcPr calcId="0"/>
</workbook>
</file>

<file path=xl/calcChain.xml><?xml version="1.0" encoding="utf-8"?>
<calcChain xmlns="http://schemas.openxmlformats.org/spreadsheetml/2006/main">
  <c r="Q50" i="1" l="1"/>
  <c r="Q49" i="1"/>
  <c r="Q48" i="1"/>
  <c r="Q46" i="1"/>
  <c r="Q32" i="1"/>
  <c r="R32" i="1" s="1"/>
  <c r="Q33" i="1"/>
  <c r="Q34" i="1"/>
  <c r="Q35" i="1"/>
  <c r="Q31" i="1"/>
  <c r="P31" i="1"/>
  <c r="R50" i="1"/>
  <c r="R49" i="1"/>
  <c r="R48" i="1"/>
  <c r="R46" i="1"/>
  <c r="R33" i="1"/>
  <c r="R34" i="1"/>
  <c r="R35" i="1"/>
  <c r="R31" i="1"/>
  <c r="P50" i="1"/>
  <c r="P32" i="1"/>
  <c r="P33" i="1"/>
  <c r="P34" i="1"/>
  <c r="P35" i="1"/>
  <c r="O50" i="1"/>
  <c r="O49" i="1"/>
  <c r="O48" i="1"/>
  <c r="O47" i="1"/>
  <c r="P47" i="1" s="1"/>
  <c r="O46" i="1"/>
  <c r="E50" i="1"/>
  <c r="F50" i="1" s="1"/>
  <c r="E49" i="1"/>
  <c r="E48" i="1"/>
  <c r="F48" i="1" s="1"/>
  <c r="E47" i="1"/>
  <c r="E46" i="1"/>
  <c r="E32" i="1"/>
  <c r="E33" i="1"/>
  <c r="E34" i="1"/>
  <c r="E35" i="1"/>
  <c r="E31" i="1"/>
  <c r="F31" i="1" s="1"/>
  <c r="K50" i="1"/>
  <c r="K32" i="1"/>
  <c r="L32" i="1" s="1"/>
  <c r="K33" i="1"/>
  <c r="L33" i="1" s="1"/>
  <c r="K34" i="1"/>
  <c r="L34" i="1" s="1"/>
  <c r="K35" i="1"/>
  <c r="L35" i="1" s="1"/>
  <c r="K31" i="1"/>
  <c r="L31" i="1" s="1"/>
  <c r="B50" i="1"/>
  <c r="B49" i="1"/>
  <c r="B48" i="1"/>
  <c r="B47" i="1"/>
  <c r="B46" i="1"/>
  <c r="B32" i="1"/>
  <c r="B33" i="1"/>
  <c r="B34" i="1"/>
  <c r="B35" i="1"/>
  <c r="B31" i="1"/>
  <c r="C47" i="1"/>
  <c r="D47" i="1"/>
  <c r="F47" i="1"/>
  <c r="I47" i="1"/>
  <c r="K47" i="1" s="1"/>
  <c r="L47" i="1" s="1"/>
  <c r="J47" i="1"/>
  <c r="C48" i="1"/>
  <c r="D48" i="1"/>
  <c r="I48" i="1"/>
  <c r="J48" i="1" s="1"/>
  <c r="C49" i="1"/>
  <c r="D49" i="1"/>
  <c r="F49" i="1"/>
  <c r="I49" i="1"/>
  <c r="J49" i="1" s="1"/>
  <c r="C50" i="1"/>
  <c r="D50" i="1"/>
  <c r="I50" i="1"/>
  <c r="J50" i="1" s="1"/>
  <c r="I46" i="1"/>
  <c r="F46" i="1"/>
  <c r="D46" i="1"/>
  <c r="C46" i="1"/>
  <c r="J32" i="1"/>
  <c r="J33" i="1"/>
  <c r="J34" i="1"/>
  <c r="J35" i="1"/>
  <c r="J31" i="1"/>
  <c r="F32" i="1"/>
  <c r="F33" i="1"/>
  <c r="F34" i="1"/>
  <c r="F35" i="1"/>
  <c r="D32" i="1"/>
  <c r="D33" i="1"/>
  <c r="D34" i="1"/>
  <c r="D35" i="1"/>
  <c r="D31" i="1"/>
  <c r="C32" i="1"/>
  <c r="C33" i="1"/>
  <c r="C34" i="1"/>
  <c r="C35" i="1"/>
  <c r="C31" i="1"/>
  <c r="Q47" i="1" l="1"/>
  <c r="R47" i="1" s="1"/>
  <c r="P49" i="1"/>
  <c r="P48" i="1"/>
  <c r="P46" i="1"/>
  <c r="K48" i="1"/>
  <c r="L48" i="1" s="1"/>
  <c r="K49" i="1"/>
  <c r="L49" i="1" s="1"/>
  <c r="K46" i="1"/>
  <c r="L46" i="1" s="1"/>
  <c r="L50" i="1"/>
  <c r="J46" i="1"/>
</calcChain>
</file>

<file path=xl/sharedStrings.xml><?xml version="1.0" encoding="utf-8"?>
<sst xmlns="http://schemas.openxmlformats.org/spreadsheetml/2006/main" count="141" uniqueCount="65">
  <si>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</si>
  <si>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</si>
  <si>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</si>
  <si>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</si>
  <si>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</si>
  <si>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</si>
  <si>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</si>
  <si>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</si>
  <si>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</si>
  <si>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</si>
  <si>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</si>
  <si>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</si>
  <si>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</si>
  <si>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</si>
  <si>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</si>
  <si>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</si>
  <si>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</si>
  <si>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</si>
  <si>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</si>
  <si>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</si>
  <si>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</si>
  <si>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</si>
  <si>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</si>
  <si>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</si>
  <si>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</si>
  <si>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</si>
  <si>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</si>
  <si>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</si>
  <si>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</si>
  <si>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</si>
  <si>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</si>
  <si>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</si>
  <si>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</si>
  <si>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</si>
  <si>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</si>
  <si>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</si>
  <si>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</si>
  <si>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</si>
  <si>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</si>
  <si>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</si>
  <si>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</si>
  <si>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</si>
  <si>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</si>
  <si>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</si>
  <si>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</si>
  <si>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</si>
  <si>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</si>
  <si>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</si>
  <si>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</si>
  <si>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</si>
  <si>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</si>
  <si>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</si>
  <si>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</si>
  <si>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</si>
  <si>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</si>
  <si>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</si>
  <si>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NA</t>
  </si>
  <si>
    <t>WALA 48+</t>
  </si>
  <si>
    <t>WALA 12-48</t>
  </si>
  <si>
    <t>act</t>
  </si>
  <si>
    <t>mdl</t>
  </si>
  <si>
    <t>Ratio</t>
  </si>
  <si>
    <t>Dev</t>
  </si>
  <si>
    <t>Dev Knots</t>
  </si>
  <si>
    <t>Prod 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</si>
</sst>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.0000_);_(* \(#,##0.0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3" fontId="0" fillId="0" borderId="0" xfId="1" applyFont="1"/>
    <xf numFmtId="0" fontId="18" fillId="0" borderId="0" xfId="0" applyFont="1"/>
    <xf numFmtId="165" fontId="19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43" fontId="19" fillId="0" borderId="0" xfId="0" applyNumberFormat="1" applyFont="1"/>
    <xf numFmtId="165" fontId="19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0"/>
  <sheetViews>
    <sheetView tabSelected="1" workbookViewId="0">
      <selection activeCell="P32" sqref="P32"/>
    </sheetView>
  </sheetViews>
  <sheetFormatPr defaultRowHeight="15" x14ac:dyDescent="0.25"/>
  <cols>
    <col min="1" max="1" width="9.28515625" bestFit="1" customWidth="1"/>
    <col min="2" max="2" width="12" bestFit="1" customWidth="1"/>
    <col min="3" max="54" width="9.28515625" bestFit="1" customWidth="1"/>
    <col min="55" max="55" width="12" bestFit="1" customWidth="1"/>
    <col min="56" max="57" width="9.28515625" bestFit="1" customWidth="1"/>
  </cols>
  <sheetData>
    <row r="1" spans="1:57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10</v>
      </c>
      <c r="C2">
        <v>-75</v>
      </c>
      <c r="D2">
        <v>0.38286805123540602</v>
      </c>
      <c r="E2">
        <v>0.409126503088656</v>
      </c>
      <c r="F2">
        <v>4.4988927241426397</v>
      </c>
      <c r="G2">
        <v>4.8005370832037002</v>
      </c>
      <c r="H2">
        <v>0.93581825754378001</v>
      </c>
      <c r="I2">
        <v>2.6258451853250198E-2</v>
      </c>
      <c r="J2">
        <v>3.6904186596725397E-2</v>
      </c>
      <c r="K2">
        <v>6.7273904129080096E-3</v>
      </c>
      <c r="L2">
        <v>0</v>
      </c>
      <c r="M2">
        <v>0.36549492607902301</v>
      </c>
      <c r="N2">
        <v>0</v>
      </c>
      <c r="O2">
        <v>0</v>
      </c>
      <c r="P2">
        <v>5.2416674217052801</v>
      </c>
      <c r="Q2">
        <v>94.758332578294699</v>
      </c>
      <c r="R2">
        <v>50.228558051999798</v>
      </c>
      <c r="S2">
        <v>36.368526877691203</v>
      </c>
      <c r="T2">
        <v>13.402915070309</v>
      </c>
      <c r="U2">
        <v>0</v>
      </c>
      <c r="V2">
        <v>49.771441948000202</v>
      </c>
      <c r="W2">
        <v>0.53097785148644105</v>
      </c>
      <c r="X2">
        <v>-85.246501146278106</v>
      </c>
      <c r="Y2">
        <v>5.1824953783035497</v>
      </c>
      <c r="Z2">
        <v>100</v>
      </c>
      <c r="AA2">
        <v>64.304050771994895</v>
      </c>
      <c r="AB2">
        <v>296.165832662551</v>
      </c>
      <c r="AC2">
        <v>293.983111654016</v>
      </c>
      <c r="AD2">
        <v>18.527996106044199</v>
      </c>
      <c r="AE2">
        <v>336.65482214357098</v>
      </c>
      <c r="AF2">
        <v>3.3846567311560398</v>
      </c>
      <c r="AG2">
        <v>780.37946972094005</v>
      </c>
      <c r="AH2">
        <v>4.4880785263740499</v>
      </c>
      <c r="AI2">
        <v>43.648768070886</v>
      </c>
      <c r="AJ2">
        <v>179.01674057903099</v>
      </c>
      <c r="AK2">
        <v>16.764817200289301</v>
      </c>
      <c r="AL2">
        <v>-37.781569335254503</v>
      </c>
      <c r="AM2">
        <v>4.6979474573111002</v>
      </c>
      <c r="AN2">
        <v>7.0116836783760004</v>
      </c>
      <c r="AO2">
        <v>0.9</v>
      </c>
      <c r="AP2">
        <v>1.25769483233097</v>
      </c>
      <c r="AQ2">
        <v>0.96279554625663699</v>
      </c>
      <c r="AR2">
        <v>1.1211258955327801</v>
      </c>
      <c r="AS2">
        <v>1.0045260820696</v>
      </c>
      <c r="AT2">
        <v>0.86222540859844599</v>
      </c>
      <c r="AU2">
        <v>0.83897264041654196</v>
      </c>
      <c r="AV2">
        <v>1</v>
      </c>
      <c r="AW2">
        <v>0.97397745672131797</v>
      </c>
      <c r="AX2">
        <v>1</v>
      </c>
      <c r="AY2">
        <v>1</v>
      </c>
      <c r="AZ2">
        <v>0.93529712546760002</v>
      </c>
      <c r="BA2">
        <v>1</v>
      </c>
      <c r="BB2">
        <v>0.98645187058222705</v>
      </c>
      <c r="BC2">
        <v>7756287623.6000004</v>
      </c>
      <c r="BD2">
        <v>4.24373210890059E-2</v>
      </c>
      <c r="BE2">
        <v>1965</v>
      </c>
    </row>
    <row r="3" spans="1:57" x14ac:dyDescent="0.25">
      <c r="A3">
        <v>2</v>
      </c>
      <c r="B3">
        <v>10</v>
      </c>
      <c r="C3">
        <v>-50</v>
      </c>
      <c r="D3">
        <v>0.43817700804554499</v>
      </c>
      <c r="E3">
        <v>0.43911396247226098</v>
      </c>
      <c r="F3">
        <v>5.1332374275808501</v>
      </c>
      <c r="G3">
        <v>5.14395011603259</v>
      </c>
      <c r="H3">
        <v>0.99786626136540701</v>
      </c>
      <c r="I3">
        <v>9.3695442671641702E-4</v>
      </c>
      <c r="J3">
        <v>3.7637074382014503E-2</v>
      </c>
      <c r="K3">
        <v>6.4369658901297496E-3</v>
      </c>
      <c r="L3">
        <v>0</v>
      </c>
      <c r="M3">
        <v>0.39503992220011702</v>
      </c>
      <c r="N3">
        <v>0</v>
      </c>
      <c r="O3">
        <v>0</v>
      </c>
      <c r="P3">
        <v>5.28199771038744</v>
      </c>
      <c r="Q3">
        <v>94.718002289612599</v>
      </c>
      <c r="R3">
        <v>48.172575812774497</v>
      </c>
      <c r="S3">
        <v>34.982178626189203</v>
      </c>
      <c r="T3">
        <v>16.8452455610363</v>
      </c>
      <c r="U3">
        <v>0</v>
      </c>
      <c r="V3">
        <v>51.827424187225503</v>
      </c>
      <c r="W3">
        <v>0.47843632422739601</v>
      </c>
      <c r="X3">
        <v>-61.740740265015702</v>
      </c>
      <c r="Y3">
        <v>33.067652588022398</v>
      </c>
      <c r="Z3">
        <v>100</v>
      </c>
      <c r="AA3">
        <v>64.325424421524303</v>
      </c>
      <c r="AB3">
        <v>294.91408556584298</v>
      </c>
      <c r="AC3">
        <v>292.73424048340399</v>
      </c>
      <c r="AD3">
        <v>20.261595139800601</v>
      </c>
      <c r="AE3">
        <v>334.72356697927398</v>
      </c>
      <c r="AF3">
        <v>3.4836271014473899</v>
      </c>
      <c r="AG3">
        <v>780.23318572964797</v>
      </c>
      <c r="AH3">
        <v>5.05398677821288</v>
      </c>
      <c r="AI3">
        <v>47.399823675139103</v>
      </c>
      <c r="AJ3">
        <v>177.53080864652799</v>
      </c>
      <c r="AK3">
        <v>21.5565309074066</v>
      </c>
      <c r="AL3">
        <v>-31.187936813284999</v>
      </c>
      <c r="AM3">
        <v>4.5976395191389701</v>
      </c>
      <c r="AN3">
        <v>7.0781837731484503</v>
      </c>
      <c r="AO3">
        <v>0.9</v>
      </c>
      <c r="AP3">
        <v>1.24046791912569</v>
      </c>
      <c r="AQ3">
        <v>0.97813611061456895</v>
      </c>
      <c r="AR3">
        <v>1.25788997521121</v>
      </c>
      <c r="AS3">
        <v>1.0045837379629601</v>
      </c>
      <c r="AT3">
        <v>0.86363730412337703</v>
      </c>
      <c r="AU3">
        <v>0.83942389246112603</v>
      </c>
      <c r="AV3">
        <v>1</v>
      </c>
      <c r="AW3">
        <v>0.98817746981350596</v>
      </c>
      <c r="AX3">
        <v>1</v>
      </c>
      <c r="AY3">
        <v>1</v>
      </c>
      <c r="AZ3">
        <v>0.93262434855660703</v>
      </c>
      <c r="BA3">
        <v>1</v>
      </c>
      <c r="BB3">
        <v>0.99178708919026204</v>
      </c>
      <c r="BC3">
        <v>32307447232.400002</v>
      </c>
      <c r="BD3">
        <v>5.6469401629423203E-2</v>
      </c>
      <c r="BE3">
        <v>7187</v>
      </c>
    </row>
    <row r="4" spans="1:57" x14ac:dyDescent="0.25">
      <c r="A4">
        <v>3</v>
      </c>
      <c r="B4">
        <v>10</v>
      </c>
      <c r="C4">
        <v>-25</v>
      </c>
      <c r="D4">
        <v>0.43841539842349198</v>
      </c>
      <c r="E4">
        <v>0.49820596255845701</v>
      </c>
      <c r="F4">
        <v>5.1359631742434502</v>
      </c>
      <c r="G4">
        <v>5.8173437414492097</v>
      </c>
      <c r="H4">
        <v>0.87998826062233404</v>
      </c>
      <c r="I4">
        <v>5.9790564134964801E-2</v>
      </c>
      <c r="J4">
        <v>3.7013121983840901E-2</v>
      </c>
      <c r="K4">
        <v>5.9980716724587499E-3</v>
      </c>
      <c r="L4">
        <v>0</v>
      </c>
      <c r="M4">
        <v>0.392639555107472</v>
      </c>
      <c r="N4">
        <v>6.25552137946849E-2</v>
      </c>
      <c r="O4">
        <v>0</v>
      </c>
      <c r="P4">
        <v>5.3835910355543</v>
      </c>
      <c r="Q4">
        <v>94.616408964445696</v>
      </c>
      <c r="R4">
        <v>48.933323244614002</v>
      </c>
      <c r="S4">
        <v>34.081922414580902</v>
      </c>
      <c r="T4">
        <v>16.9847543408051</v>
      </c>
      <c r="U4">
        <v>0</v>
      </c>
      <c r="V4">
        <v>51.066676755385998</v>
      </c>
      <c r="W4">
        <v>0.46116267677830902</v>
      </c>
      <c r="X4">
        <v>-35.944230358535101</v>
      </c>
      <c r="Y4">
        <v>85.847107946405799</v>
      </c>
      <c r="Z4">
        <v>100</v>
      </c>
      <c r="AA4">
        <v>63.779814314651397</v>
      </c>
      <c r="AB4">
        <v>298.11141545762098</v>
      </c>
      <c r="AC4">
        <v>295.91624943028</v>
      </c>
      <c r="AD4">
        <v>18.145917242468499</v>
      </c>
      <c r="AE4">
        <v>337.18141209129698</v>
      </c>
      <c r="AF4">
        <v>3.56430764172016</v>
      </c>
      <c r="AG4">
        <v>780.19235127513798</v>
      </c>
      <c r="AH4">
        <v>4.6946062064191203</v>
      </c>
      <c r="AI4">
        <v>48.616475750105401</v>
      </c>
      <c r="AJ4">
        <v>175.21101010403601</v>
      </c>
      <c r="AK4">
        <v>28.285419633907001</v>
      </c>
      <c r="AL4">
        <v>-28.8764745486429</v>
      </c>
      <c r="AM4">
        <v>5.1541710020685603</v>
      </c>
      <c r="AN4">
        <v>7.17723534917977</v>
      </c>
      <c r="AO4">
        <v>0.9</v>
      </c>
      <c r="AP4">
        <v>1.2561426569170999</v>
      </c>
      <c r="AQ4">
        <v>0.95426417220455095</v>
      </c>
      <c r="AR4">
        <v>1.2869999999999999</v>
      </c>
      <c r="AS4">
        <v>1.0045596505477301</v>
      </c>
      <c r="AT4">
        <v>0.86027740773084205</v>
      </c>
      <c r="AU4">
        <v>0.83944618730871401</v>
      </c>
      <c r="AV4">
        <v>1</v>
      </c>
      <c r="AW4">
        <v>0.99127552830567001</v>
      </c>
      <c r="AX4">
        <v>1</v>
      </c>
      <c r="AY4">
        <v>1</v>
      </c>
      <c r="AZ4">
        <v>0.93361332021799803</v>
      </c>
      <c r="BA4">
        <v>1</v>
      </c>
      <c r="BB4">
        <v>0.99075067426330998</v>
      </c>
      <c r="BC4">
        <v>90238320994.600006</v>
      </c>
      <c r="BD4">
        <v>6.2557284921987796E-2</v>
      </c>
      <c r="BE4">
        <v>18446</v>
      </c>
    </row>
    <row r="5" spans="1:57" s="2" customFormat="1" x14ac:dyDescent="0.25">
      <c r="A5" s="2">
        <v>4</v>
      </c>
      <c r="B5" s="2">
        <v>10</v>
      </c>
      <c r="C5" s="2">
        <v>0</v>
      </c>
      <c r="D5" s="2">
        <v>0.51915167179871602</v>
      </c>
      <c r="E5" s="2">
        <v>0.63505555477541098</v>
      </c>
      <c r="F5" s="2">
        <v>6.0549804801404203</v>
      </c>
      <c r="G5" s="2">
        <v>7.3600464227178097</v>
      </c>
      <c r="H5" s="2">
        <v>0.81749016742687097</v>
      </c>
      <c r="I5" s="2">
        <v>0.115903882976696</v>
      </c>
      <c r="J5" s="2">
        <v>3.6855594383301701E-2</v>
      </c>
      <c r="K5" s="2">
        <v>6.0358095668881099E-3</v>
      </c>
      <c r="L5" s="2">
        <v>0</v>
      </c>
      <c r="M5" s="2">
        <v>0.421296895389</v>
      </c>
      <c r="N5" s="2">
        <v>0.170867255436222</v>
      </c>
      <c r="O5" s="2">
        <v>0</v>
      </c>
      <c r="P5" s="2">
        <v>5.703518657309</v>
      </c>
      <c r="Q5" s="2">
        <v>94.296481342690996</v>
      </c>
      <c r="R5" s="2">
        <v>49.474161320383097</v>
      </c>
      <c r="S5" s="2">
        <v>29.062364463935499</v>
      </c>
      <c r="T5" s="2">
        <v>21.463474215681501</v>
      </c>
      <c r="U5" s="2">
        <v>0</v>
      </c>
      <c r="V5" s="2">
        <v>50.525838679616903</v>
      </c>
      <c r="W5" s="2">
        <v>0.45370516593552801</v>
      </c>
      <c r="X5" s="2">
        <v>-13.1510744522643</v>
      </c>
      <c r="Y5" s="2">
        <v>203.912788606303</v>
      </c>
      <c r="Z5" s="2">
        <v>100</v>
      </c>
      <c r="AA5" s="2">
        <v>63.7633139997562</v>
      </c>
      <c r="AB5" s="2">
        <v>293.91288860006898</v>
      </c>
      <c r="AC5" s="2">
        <v>291.72483416880698</v>
      </c>
      <c r="AD5" s="2">
        <v>17.623302961973199</v>
      </c>
      <c r="AE5" s="2">
        <v>337.66331324251598</v>
      </c>
      <c r="AF5" s="2">
        <v>3.72554463997036</v>
      </c>
      <c r="AG5" s="2">
        <v>779.77072538937</v>
      </c>
      <c r="AH5" s="2">
        <v>5.4621429122014602</v>
      </c>
      <c r="AI5" s="2">
        <v>48.0575613252553</v>
      </c>
      <c r="AJ5" s="2">
        <v>174.49875604820301</v>
      </c>
      <c r="AK5" s="2">
        <v>31.063190912943501</v>
      </c>
      <c r="AL5" s="2">
        <v>-18.8551743130873</v>
      </c>
      <c r="AM5" s="2">
        <v>5.4688376838764698</v>
      </c>
      <c r="AN5" s="2">
        <v>7.5051306524150103</v>
      </c>
      <c r="AO5" s="2">
        <v>0.9</v>
      </c>
      <c r="AP5" s="2">
        <v>1.2644528648784199</v>
      </c>
      <c r="AQ5" s="2">
        <v>0.94911328489132896</v>
      </c>
      <c r="AR5" s="2">
        <v>1.2869999999999999</v>
      </c>
      <c r="AS5" s="2">
        <v>1.0046074081762399</v>
      </c>
      <c r="AT5" s="2">
        <v>0.864644435641715</v>
      </c>
      <c r="AU5" s="2">
        <v>0.84035231038292002</v>
      </c>
      <c r="AV5" s="2">
        <v>1</v>
      </c>
      <c r="AW5" s="2">
        <v>1.0132810843605999</v>
      </c>
      <c r="AX5" s="2">
        <v>1</v>
      </c>
      <c r="AY5" s="2">
        <v>1</v>
      </c>
      <c r="AZ5" s="2">
        <v>0.93431640971649799</v>
      </c>
      <c r="BA5" s="2">
        <v>1</v>
      </c>
      <c r="BB5" s="2">
        <v>0.99424865393945505</v>
      </c>
      <c r="BC5" s="2">
        <v>152445314375.5</v>
      </c>
      <c r="BD5" s="2">
        <v>6.4111811593813198E-2</v>
      </c>
      <c r="BE5" s="2">
        <v>31578</v>
      </c>
    </row>
    <row r="6" spans="1:57" x14ac:dyDescent="0.25">
      <c r="A6">
        <v>5</v>
      </c>
      <c r="B6">
        <v>10</v>
      </c>
      <c r="C6">
        <v>25</v>
      </c>
      <c r="D6">
        <v>0.70310023454844195</v>
      </c>
      <c r="E6">
        <v>0.73789135873319101</v>
      </c>
      <c r="F6">
        <v>8.1184589413241994</v>
      </c>
      <c r="G6">
        <v>8.5040309950905595</v>
      </c>
      <c r="H6">
        <v>0.95285061442584496</v>
      </c>
      <c r="I6">
        <v>3.4791124184748702E-2</v>
      </c>
      <c r="J6">
        <v>3.7970418153600201E-2</v>
      </c>
      <c r="K6">
        <v>8.1978373584699008E-3</v>
      </c>
      <c r="L6">
        <v>0</v>
      </c>
      <c r="M6">
        <v>0.45381701575624001</v>
      </c>
      <c r="N6">
        <v>0.23790608746488101</v>
      </c>
      <c r="O6">
        <v>0</v>
      </c>
      <c r="P6">
        <v>5.8402146091078304</v>
      </c>
      <c r="Q6">
        <v>94.159785390892196</v>
      </c>
      <c r="R6">
        <v>47.825031621827101</v>
      </c>
      <c r="S6">
        <v>23.676927719199899</v>
      </c>
      <c r="T6">
        <v>28.498040658973</v>
      </c>
      <c r="U6">
        <v>0</v>
      </c>
      <c r="V6">
        <v>52.174968378172899</v>
      </c>
      <c r="W6">
        <v>0.55584399833355003</v>
      </c>
      <c r="X6">
        <v>10.19894895066</v>
      </c>
      <c r="Y6">
        <v>541.02105940396802</v>
      </c>
      <c r="Z6">
        <v>100</v>
      </c>
      <c r="AA6">
        <v>63.8764120494655</v>
      </c>
      <c r="AB6">
        <v>284.08577066948999</v>
      </c>
      <c r="AC6">
        <v>281.99671935729202</v>
      </c>
      <c r="AD6">
        <v>20.597457485997801</v>
      </c>
      <c r="AE6">
        <v>334.04876756642199</v>
      </c>
      <c r="AF6">
        <v>3.97518539380876</v>
      </c>
      <c r="AG6">
        <v>778.41451025612798</v>
      </c>
      <c r="AH6">
        <v>5.3987626710712799</v>
      </c>
      <c r="AI6">
        <v>44.398174517533199</v>
      </c>
      <c r="AJ6">
        <v>173.589788645846</v>
      </c>
      <c r="AK6">
        <v>30.749346433686298</v>
      </c>
      <c r="AL6">
        <v>-8.3426640982525608</v>
      </c>
      <c r="AM6">
        <v>4.91193867144331</v>
      </c>
      <c r="AN6">
        <v>7.66877188263771</v>
      </c>
      <c r="AO6">
        <v>0.9</v>
      </c>
      <c r="AP6">
        <v>1.24190466421416</v>
      </c>
      <c r="AQ6">
        <v>0.98132263337997006</v>
      </c>
      <c r="AR6">
        <v>1.2869999999999999</v>
      </c>
      <c r="AS6">
        <v>1.0046703676480799</v>
      </c>
      <c r="AT6">
        <v>0.87521747091723001</v>
      </c>
      <c r="AU6">
        <v>0.84300870454668897</v>
      </c>
      <c r="AV6">
        <v>1</v>
      </c>
      <c r="AW6">
        <v>1.0325348712918601</v>
      </c>
      <c r="AX6">
        <v>1</v>
      </c>
      <c r="AY6">
        <v>1</v>
      </c>
      <c r="AZ6">
        <v>0.932172541108375</v>
      </c>
      <c r="BA6">
        <v>1</v>
      </c>
      <c r="BB6">
        <v>1.00058834997734</v>
      </c>
      <c r="BC6">
        <v>88079455859</v>
      </c>
      <c r="BD6">
        <v>6.4437573118084096E-2</v>
      </c>
      <c r="BE6">
        <v>31806</v>
      </c>
    </row>
    <row r="7" spans="1:57" x14ac:dyDescent="0.25">
      <c r="A7">
        <v>6</v>
      </c>
      <c r="B7">
        <v>10</v>
      </c>
      <c r="C7">
        <v>50</v>
      </c>
      <c r="D7">
        <v>0.896869883378137</v>
      </c>
      <c r="E7">
        <v>0.84984281431753905</v>
      </c>
      <c r="F7">
        <v>10.247106231173399</v>
      </c>
      <c r="G7">
        <v>9.7346886481522308</v>
      </c>
      <c r="H7">
        <v>1.05533619660991</v>
      </c>
      <c r="I7">
        <v>-4.7027069060598399E-2</v>
      </c>
      <c r="J7">
        <v>4.0297782323805799E-2</v>
      </c>
      <c r="K7">
        <v>1.25760976672823E-2</v>
      </c>
      <c r="L7">
        <v>0</v>
      </c>
      <c r="M7">
        <v>0.47381547463717899</v>
      </c>
      <c r="N7">
        <v>0.323153459689272</v>
      </c>
      <c r="O7">
        <v>0</v>
      </c>
      <c r="P7">
        <v>6.2950751442185604</v>
      </c>
      <c r="Q7">
        <v>93.7049248557814</v>
      </c>
      <c r="R7">
        <v>48.0206451509357</v>
      </c>
      <c r="S7">
        <v>21.306969773128699</v>
      </c>
      <c r="T7">
        <v>30.672385075935502</v>
      </c>
      <c r="U7">
        <v>0</v>
      </c>
      <c r="V7">
        <v>51.9793548490643</v>
      </c>
      <c r="W7">
        <v>0.76594361162568303</v>
      </c>
      <c r="X7">
        <v>34.645060458423899</v>
      </c>
      <c r="Y7">
        <v>1099.2938339247</v>
      </c>
      <c r="Z7">
        <v>100</v>
      </c>
      <c r="AA7">
        <v>63.879265466564803</v>
      </c>
      <c r="AB7">
        <v>273.806358720964</v>
      </c>
      <c r="AC7">
        <v>271.871615856186</v>
      </c>
      <c r="AD7">
        <v>26.055193393163599</v>
      </c>
      <c r="AE7">
        <v>327.42366991404401</v>
      </c>
      <c r="AF7">
        <v>4.1983553925204697</v>
      </c>
      <c r="AG7">
        <v>777.38568404664295</v>
      </c>
      <c r="AH7">
        <v>5.9211437262986202</v>
      </c>
      <c r="AI7">
        <v>43.2313501154158</v>
      </c>
      <c r="AJ7">
        <v>174.02964560535099</v>
      </c>
      <c r="AK7">
        <v>31.737015295456899</v>
      </c>
      <c r="AL7">
        <v>-0.55465053557702704</v>
      </c>
      <c r="AM7">
        <v>4.0325464883302899</v>
      </c>
      <c r="AN7">
        <v>7.8206302495668201</v>
      </c>
      <c r="AO7">
        <v>0.9</v>
      </c>
      <c r="AP7">
        <v>1.1969539867349199</v>
      </c>
      <c r="AQ7">
        <v>1.03763407492238</v>
      </c>
      <c r="AR7">
        <v>1.2869999999999999</v>
      </c>
      <c r="AS7">
        <v>1.0047796636578299</v>
      </c>
      <c r="AT7">
        <v>0.88636721511101202</v>
      </c>
      <c r="AU7">
        <v>0.84495817117938499</v>
      </c>
      <c r="AV7">
        <v>1</v>
      </c>
      <c r="AW7">
        <v>1.04231635195564</v>
      </c>
      <c r="AX7">
        <v>1</v>
      </c>
      <c r="AY7">
        <v>1</v>
      </c>
      <c r="AZ7">
        <v>0.93242683869621601</v>
      </c>
      <c r="BA7">
        <v>1</v>
      </c>
      <c r="BB7">
        <v>1.00398100136204</v>
      </c>
      <c r="BC7">
        <v>32321079699.400002</v>
      </c>
      <c r="BD7">
        <v>8.1897669357316003E-2</v>
      </c>
      <c r="BE7">
        <v>20354</v>
      </c>
    </row>
    <row r="8" spans="1:57" x14ac:dyDescent="0.25">
      <c r="A8">
        <v>7</v>
      </c>
      <c r="B8">
        <v>10</v>
      </c>
      <c r="C8">
        <v>75</v>
      </c>
      <c r="D8">
        <v>1.0951719180450299</v>
      </c>
      <c r="E8">
        <v>1.0757615781537799</v>
      </c>
      <c r="F8">
        <v>12.3786563565479</v>
      </c>
      <c r="G8">
        <v>12.172082370686899</v>
      </c>
      <c r="H8">
        <v>1.0180433474158399</v>
      </c>
      <c r="I8">
        <v>-1.9410339891245999E-2</v>
      </c>
      <c r="J8">
        <v>4.3093718683942898E-2</v>
      </c>
      <c r="K8">
        <v>1.9657403374448899E-2</v>
      </c>
      <c r="L8">
        <v>0</v>
      </c>
      <c r="M8">
        <v>0.49206691133828301</v>
      </c>
      <c r="N8">
        <v>0.52094354475710603</v>
      </c>
      <c r="O8">
        <v>0</v>
      </c>
      <c r="P8">
        <v>7.6215203468573396</v>
      </c>
      <c r="Q8">
        <v>92.378479653142705</v>
      </c>
      <c r="R8">
        <v>43.481470927792401</v>
      </c>
      <c r="S8">
        <v>23.7922371611667</v>
      </c>
      <c r="T8">
        <v>32.726291911040903</v>
      </c>
      <c r="U8">
        <v>0</v>
      </c>
      <c r="V8">
        <v>56.518529072207599</v>
      </c>
      <c r="W8">
        <v>1.0568046164076601</v>
      </c>
      <c r="X8">
        <v>59.243000612980701</v>
      </c>
      <c r="Y8">
        <v>2027.44610324466</v>
      </c>
      <c r="Z8">
        <v>100</v>
      </c>
      <c r="AA8">
        <v>63.2464402732694</v>
      </c>
      <c r="AB8">
        <v>261.30113089359202</v>
      </c>
      <c r="AC8">
        <v>259.67907061915298</v>
      </c>
      <c r="AD8">
        <v>32.1794911138171</v>
      </c>
      <c r="AE8">
        <v>320.09173282008499</v>
      </c>
      <c r="AF8">
        <v>4.4475084720742197</v>
      </c>
      <c r="AG8">
        <v>776.01696719670599</v>
      </c>
      <c r="AH8">
        <v>10.225466019187801</v>
      </c>
      <c r="AI8">
        <v>43.577303822560303</v>
      </c>
      <c r="AJ8">
        <v>173.538244087387</v>
      </c>
      <c r="AK8">
        <v>31.547618201407602</v>
      </c>
      <c r="AL8">
        <v>10.576763686646499</v>
      </c>
      <c r="AM8">
        <v>3.2837576187042998</v>
      </c>
      <c r="AN8">
        <v>7.7725548659949197</v>
      </c>
      <c r="AO8">
        <v>0.9</v>
      </c>
      <c r="AP8">
        <v>1.13525312977403</v>
      </c>
      <c r="AQ8">
        <v>1.09688807170358</v>
      </c>
      <c r="AR8">
        <v>1.2869999999999999</v>
      </c>
      <c r="AS8">
        <v>1.0049685864640301</v>
      </c>
      <c r="AT8">
        <v>0.90022175323709896</v>
      </c>
      <c r="AU8">
        <v>0.84745652014087003</v>
      </c>
      <c r="AV8">
        <v>1</v>
      </c>
      <c r="AW8">
        <v>1.0548308000303801</v>
      </c>
      <c r="AX8">
        <v>1</v>
      </c>
      <c r="AY8">
        <v>1</v>
      </c>
      <c r="AZ8">
        <v>0.92652591220613001</v>
      </c>
      <c r="BA8">
        <v>1</v>
      </c>
      <c r="BB8">
        <v>1.0059407399329101</v>
      </c>
      <c r="BC8">
        <v>7107143057.3999996</v>
      </c>
      <c r="BD8">
        <v>9.7185696825448503E-2</v>
      </c>
      <c r="BE8">
        <v>8202</v>
      </c>
    </row>
    <row r="9" spans="1:57" x14ac:dyDescent="0.25">
      <c r="A9">
        <v>8</v>
      </c>
      <c r="B9">
        <v>10</v>
      </c>
      <c r="C9">
        <v>100</v>
      </c>
      <c r="D9">
        <v>1.3739541896079399</v>
      </c>
      <c r="E9">
        <v>1.2945884407338999</v>
      </c>
      <c r="F9">
        <v>15.296870388766299</v>
      </c>
      <c r="G9">
        <v>14.475299094032501</v>
      </c>
      <c r="H9">
        <v>1.0613057759337401</v>
      </c>
      <c r="I9">
        <v>-7.9365748874037495E-2</v>
      </c>
      <c r="J9">
        <v>4.4924645598199399E-2</v>
      </c>
      <c r="K9">
        <v>2.5545208431767601E-2</v>
      </c>
      <c r="L9">
        <v>0</v>
      </c>
      <c r="M9">
        <v>0.50627168878578399</v>
      </c>
      <c r="N9">
        <v>0.71784689791815404</v>
      </c>
      <c r="O9">
        <v>0</v>
      </c>
      <c r="P9">
        <v>9.1334451659763705</v>
      </c>
      <c r="Q9">
        <v>90.866554834023603</v>
      </c>
      <c r="R9">
        <v>34.727444560299404</v>
      </c>
      <c r="S9">
        <v>32.605501752741397</v>
      </c>
      <c r="T9">
        <v>32.6670536869592</v>
      </c>
      <c r="U9">
        <v>0</v>
      </c>
      <c r="V9">
        <v>65.272555439700596</v>
      </c>
      <c r="W9">
        <v>1.3313207143486401</v>
      </c>
      <c r="X9">
        <v>83.228087472072403</v>
      </c>
      <c r="Y9">
        <v>2869.89187280855</v>
      </c>
      <c r="Z9">
        <v>100</v>
      </c>
      <c r="AA9">
        <v>62.702539325971799</v>
      </c>
      <c r="AB9">
        <v>252.91146592746</v>
      </c>
      <c r="AC9">
        <v>251.84496612334399</v>
      </c>
      <c r="AD9">
        <v>35.552820647247799</v>
      </c>
      <c r="AE9">
        <v>315.54787228313398</v>
      </c>
      <c r="AF9">
        <v>4.6437734732692801</v>
      </c>
      <c r="AG9">
        <v>774.60822040142398</v>
      </c>
      <c r="AH9">
        <v>18.886543376804799</v>
      </c>
      <c r="AI9">
        <v>40.582467987763799</v>
      </c>
      <c r="AJ9">
        <v>174.24900104235201</v>
      </c>
      <c r="AK9">
        <v>33.168188477170403</v>
      </c>
      <c r="AL9">
        <v>24.450895833298901</v>
      </c>
      <c r="AM9">
        <v>2.92621353389552</v>
      </c>
      <c r="AN9">
        <v>7.83740951436162</v>
      </c>
      <c r="AO9">
        <v>0.9</v>
      </c>
      <c r="AP9">
        <v>1.1065260441381899</v>
      </c>
      <c r="AQ9">
        <v>1.12855808837269</v>
      </c>
      <c r="AR9">
        <v>1.2869999999999999</v>
      </c>
      <c r="AS9">
        <v>1.00513391027649</v>
      </c>
      <c r="AT9">
        <v>0.91031415422581297</v>
      </c>
      <c r="AU9">
        <v>0.84992342217350803</v>
      </c>
      <c r="AV9">
        <v>1</v>
      </c>
      <c r="AW9">
        <v>1.06658936475691</v>
      </c>
      <c r="AX9">
        <v>1</v>
      </c>
      <c r="AY9">
        <v>1</v>
      </c>
      <c r="AZ9">
        <v>0.91514567792838897</v>
      </c>
      <c r="BA9">
        <v>1</v>
      </c>
      <c r="BB9">
        <v>1.0200011726342599</v>
      </c>
      <c r="BC9">
        <v>1171654326</v>
      </c>
      <c r="BD9">
        <v>0.101987590379605</v>
      </c>
      <c r="BE9">
        <v>2671</v>
      </c>
    </row>
    <row r="10" spans="1:57" x14ac:dyDescent="0.25">
      <c r="A10">
        <v>9</v>
      </c>
      <c r="B10">
        <v>10</v>
      </c>
      <c r="C10">
        <v>125</v>
      </c>
      <c r="D10">
        <v>2.6467788705538</v>
      </c>
      <c r="E10">
        <v>1.3624618131244</v>
      </c>
      <c r="F10">
        <v>27.522382725988098</v>
      </c>
      <c r="G10">
        <v>15.1783543087243</v>
      </c>
      <c r="H10">
        <v>1.94264444335816</v>
      </c>
      <c r="I10">
        <v>-1.2843170574294001</v>
      </c>
      <c r="J10">
        <v>4.5565988329555801E-2</v>
      </c>
      <c r="K10">
        <v>3.65848089562218E-2</v>
      </c>
      <c r="L10">
        <v>0</v>
      </c>
      <c r="M10">
        <v>0.525693158932931</v>
      </c>
      <c r="N10">
        <v>0.75461785690568906</v>
      </c>
      <c r="O10">
        <v>0</v>
      </c>
      <c r="P10">
        <v>6.1715795637214903</v>
      </c>
      <c r="Q10">
        <v>93.828420436278506</v>
      </c>
      <c r="R10">
        <v>18.5138181387196</v>
      </c>
      <c r="S10">
        <v>57.214506525702603</v>
      </c>
      <c r="T10">
        <v>24.2716753355778</v>
      </c>
      <c r="U10">
        <v>0</v>
      </c>
      <c r="V10">
        <v>81.4861818612804</v>
      </c>
      <c r="W10">
        <v>1.9240601658368099</v>
      </c>
      <c r="X10">
        <v>107.888376477527</v>
      </c>
      <c r="Y10">
        <v>3764.20826497182</v>
      </c>
      <c r="Z10">
        <v>100</v>
      </c>
      <c r="AA10">
        <v>60.583322702376101</v>
      </c>
      <c r="AB10">
        <v>246.72469201452901</v>
      </c>
      <c r="AC10">
        <v>246.58050557499499</v>
      </c>
      <c r="AD10">
        <v>35.865501529249997</v>
      </c>
      <c r="AE10">
        <v>314.23831571833699</v>
      </c>
      <c r="AF10">
        <v>4.8571158867695301</v>
      </c>
      <c r="AG10">
        <v>774.09365648710002</v>
      </c>
      <c r="AH10">
        <v>47.810784605473302</v>
      </c>
      <c r="AI10">
        <v>45.673605730139997</v>
      </c>
      <c r="AJ10">
        <v>173.94052537482099</v>
      </c>
      <c r="AK10">
        <v>33.080934078871699</v>
      </c>
      <c r="AL10">
        <v>47.107593703074897</v>
      </c>
      <c r="AM10">
        <v>3.0309387121434499</v>
      </c>
      <c r="AN10">
        <v>7.9658264297361603</v>
      </c>
      <c r="AO10">
        <v>0.9</v>
      </c>
      <c r="AP10">
        <v>1.1072339819846799</v>
      </c>
      <c r="AQ10">
        <v>1.1299544963771899</v>
      </c>
      <c r="AR10">
        <v>1.2869999999999999</v>
      </c>
      <c r="AS10">
        <v>1.00549597200394</v>
      </c>
      <c r="AT10">
        <v>0.91586934912038098</v>
      </c>
      <c r="AU10">
        <v>0.85100715236481195</v>
      </c>
      <c r="AV10">
        <v>1</v>
      </c>
      <c r="AW10">
        <v>1.0758611488815</v>
      </c>
      <c r="AX10">
        <v>1</v>
      </c>
      <c r="AY10">
        <v>1</v>
      </c>
      <c r="AZ10">
        <v>0.89406796358033502</v>
      </c>
      <c r="BA10">
        <v>1</v>
      </c>
      <c r="BB10">
        <v>1.0652016914747799</v>
      </c>
      <c r="BC10">
        <v>84297207</v>
      </c>
      <c r="BD10">
        <v>0.15241308271027801</v>
      </c>
      <c r="BE10">
        <v>337</v>
      </c>
    </row>
    <row r="11" spans="1:57" x14ac:dyDescent="0.25">
      <c r="A11">
        <v>10</v>
      </c>
      <c r="B11">
        <v>10</v>
      </c>
      <c r="C11">
        <v>150</v>
      </c>
      <c r="D11">
        <v>0.18551017167886599</v>
      </c>
      <c r="E11">
        <v>1.3407230593086299</v>
      </c>
      <c r="F11">
        <v>2.2035486712684502</v>
      </c>
      <c r="G11">
        <v>14.953755806203</v>
      </c>
      <c r="H11">
        <v>0.138365764943678</v>
      </c>
      <c r="I11">
        <v>1.15521288762976</v>
      </c>
      <c r="J11">
        <v>4.7558385262312597E-2</v>
      </c>
      <c r="K11">
        <v>7.1181905713212201E-2</v>
      </c>
      <c r="L11">
        <v>0</v>
      </c>
      <c r="M11">
        <v>0.56097328495870402</v>
      </c>
      <c r="N11">
        <v>0.66100948337439802</v>
      </c>
      <c r="O11">
        <v>0</v>
      </c>
      <c r="P11">
        <v>0</v>
      </c>
      <c r="Q11">
        <v>100</v>
      </c>
      <c r="R11">
        <v>15.5354288667764</v>
      </c>
      <c r="S11">
        <v>59.860501478715797</v>
      </c>
      <c r="T11">
        <v>24.604069654507899</v>
      </c>
      <c r="U11">
        <v>0</v>
      </c>
      <c r="V11">
        <v>84.4645711332236</v>
      </c>
      <c r="W11">
        <v>3.3350915544554698</v>
      </c>
      <c r="X11">
        <v>130.88145305376699</v>
      </c>
      <c r="Y11">
        <v>4673.8104181525396</v>
      </c>
      <c r="Z11">
        <v>100</v>
      </c>
      <c r="AA11">
        <v>64.040448983777296</v>
      </c>
      <c r="AB11">
        <v>214.55028398353801</v>
      </c>
      <c r="AC11">
        <v>214.38887280111399</v>
      </c>
      <c r="AD11">
        <v>37.035362602173599</v>
      </c>
      <c r="AE11">
        <v>319.46424269085099</v>
      </c>
      <c r="AF11">
        <v>5.0773976761521897</v>
      </c>
      <c r="AG11">
        <v>779.22702843972604</v>
      </c>
      <c r="AH11">
        <v>59.860501478715797</v>
      </c>
      <c r="AI11">
        <v>50.475355921250099</v>
      </c>
      <c r="AJ11">
        <v>173.63299298398101</v>
      </c>
      <c r="AK11">
        <v>33.703211744934102</v>
      </c>
      <c r="AL11">
        <v>66.655054839724997</v>
      </c>
      <c r="AM11">
        <v>2.7776510508674601</v>
      </c>
      <c r="AN11">
        <v>7.8862831356782701</v>
      </c>
      <c r="AO11">
        <v>0.9</v>
      </c>
      <c r="AP11">
        <v>1.1020100135775399</v>
      </c>
      <c r="AQ11">
        <v>1.1419468024248001</v>
      </c>
      <c r="AR11">
        <v>1.2869999999999999</v>
      </c>
      <c r="AS11">
        <v>1.00472179699777</v>
      </c>
      <c r="AT11">
        <v>0.95272833467547502</v>
      </c>
      <c r="AU11">
        <v>0.84071127863064699</v>
      </c>
      <c r="AV11">
        <v>1</v>
      </c>
      <c r="AW11">
        <v>1.0788752732518401</v>
      </c>
      <c r="AX11">
        <v>1</v>
      </c>
      <c r="AY11">
        <v>1</v>
      </c>
      <c r="AZ11">
        <v>0.89019605752680897</v>
      </c>
      <c r="BA11">
        <v>1</v>
      </c>
      <c r="BB11">
        <v>1.0602103257259401</v>
      </c>
      <c r="BC11">
        <v>6095863.9000000004</v>
      </c>
      <c r="BD11">
        <v>4.9683040111234998E-2</v>
      </c>
      <c r="BE11">
        <v>29</v>
      </c>
    </row>
    <row r="15" spans="1:57" x14ac:dyDescent="0.25">
      <c r="A15" t="s">
        <v>57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24</v>
      </c>
      <c r="AA15" t="s">
        <v>25</v>
      </c>
      <c r="AB15" t="s">
        <v>26</v>
      </c>
      <c r="AC15" t="s">
        <v>27</v>
      </c>
      <c r="AD15" t="s">
        <v>28</v>
      </c>
      <c r="AE15" t="s">
        <v>29</v>
      </c>
      <c r="AF15" t="s">
        <v>30</v>
      </c>
      <c r="AG15" t="s">
        <v>31</v>
      </c>
      <c r="AH15" t="s">
        <v>32</v>
      </c>
      <c r="AI15" t="s">
        <v>33</v>
      </c>
      <c r="AJ15" t="s">
        <v>34</v>
      </c>
      <c r="AK15" t="s">
        <v>35</v>
      </c>
      <c r="AL15" t="s">
        <v>36</v>
      </c>
      <c r="AM15" t="s">
        <v>37</v>
      </c>
      <c r="AN15" t="s">
        <v>38</v>
      </c>
      <c r="AO15" t="s">
        <v>39</v>
      </c>
      <c r="AP15" t="s">
        <v>40</v>
      </c>
      <c r="AQ15" t="s">
        <v>41</v>
      </c>
      <c r="AR15" t="s">
        <v>42</v>
      </c>
      <c r="AS15" t="s">
        <v>43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</row>
    <row r="16" spans="1:57" x14ac:dyDescent="0.25">
      <c r="A16">
        <v>1</v>
      </c>
      <c r="B16">
        <v>10</v>
      </c>
      <c r="C16">
        <v>-100</v>
      </c>
      <c r="D16">
        <v>0</v>
      </c>
      <c r="E16">
        <v>0.38721574017420701</v>
      </c>
      <c r="F16">
        <v>0</v>
      </c>
      <c r="G16">
        <v>4.5488973102847501</v>
      </c>
      <c r="H16">
        <v>0</v>
      </c>
      <c r="I16">
        <v>0.38721574017420701</v>
      </c>
      <c r="J16">
        <v>4.9012332175925898E-2</v>
      </c>
      <c r="K16">
        <v>9.9786653917373694E-3</v>
      </c>
      <c r="L16">
        <v>0</v>
      </c>
      <c r="M16">
        <v>0.328224742606544</v>
      </c>
      <c r="N16">
        <v>0</v>
      </c>
      <c r="O16">
        <v>0</v>
      </c>
      <c r="P16">
        <v>0</v>
      </c>
      <c r="Q16">
        <v>100</v>
      </c>
      <c r="R16">
        <v>0</v>
      </c>
      <c r="S16">
        <v>100</v>
      </c>
      <c r="T16">
        <v>0</v>
      </c>
      <c r="U16">
        <v>0</v>
      </c>
      <c r="V16">
        <v>100</v>
      </c>
      <c r="W16">
        <v>0.3</v>
      </c>
      <c r="X16">
        <v>-100</v>
      </c>
      <c r="Y16">
        <v>0</v>
      </c>
      <c r="Z16">
        <v>100</v>
      </c>
      <c r="AA16">
        <v>68.8</v>
      </c>
      <c r="AB16">
        <v>231</v>
      </c>
      <c r="AC16">
        <v>231</v>
      </c>
      <c r="AD16">
        <v>56</v>
      </c>
      <c r="AE16">
        <v>304</v>
      </c>
      <c r="AF16">
        <v>3.3</v>
      </c>
      <c r="AG16">
        <v>742</v>
      </c>
      <c r="AH16">
        <v>0</v>
      </c>
      <c r="AI16">
        <v>0</v>
      </c>
      <c r="AJ16">
        <v>179.5</v>
      </c>
      <c r="AK16">
        <v>14.5</v>
      </c>
      <c r="AL16">
        <v>-85.4</v>
      </c>
      <c r="AM16">
        <v>1.0141</v>
      </c>
      <c r="AN16">
        <v>4.8216999999999999</v>
      </c>
      <c r="AO16">
        <v>0.9</v>
      </c>
      <c r="AP16">
        <v>0.89341156099357</v>
      </c>
      <c r="AQ16">
        <v>1.24644444444444</v>
      </c>
      <c r="AR16">
        <v>1.0449999999999999</v>
      </c>
      <c r="AS16">
        <v>1.00427222606542</v>
      </c>
      <c r="AT16">
        <v>0.92370365186445702</v>
      </c>
      <c r="AU16">
        <v>0.90407296000000004</v>
      </c>
      <c r="AV16">
        <v>1</v>
      </c>
      <c r="AW16">
        <v>0.92747478175999998</v>
      </c>
      <c r="AX16">
        <v>1</v>
      </c>
      <c r="AY16">
        <v>1</v>
      </c>
      <c r="AZ16">
        <v>0.87</v>
      </c>
      <c r="BA16">
        <v>1</v>
      </c>
      <c r="BB16">
        <v>0.97</v>
      </c>
      <c r="BC16">
        <v>231010</v>
      </c>
      <c r="BD16" t="s">
        <v>56</v>
      </c>
      <c r="BE16">
        <v>1</v>
      </c>
    </row>
    <row r="17" spans="1:57" x14ac:dyDescent="0.25">
      <c r="A17">
        <v>2</v>
      </c>
      <c r="B17">
        <v>10</v>
      </c>
      <c r="C17">
        <v>-75</v>
      </c>
      <c r="D17">
        <v>0.32008131544917601</v>
      </c>
      <c r="E17">
        <v>0.427027954504762</v>
      </c>
      <c r="F17">
        <v>3.7740737098630901</v>
      </c>
      <c r="G17">
        <v>5.0056793441904501</v>
      </c>
      <c r="H17">
        <v>0.74955588287044295</v>
      </c>
      <c r="I17">
        <v>0.106946639055586</v>
      </c>
      <c r="J17">
        <v>5.4584052961501699E-2</v>
      </c>
      <c r="K17">
        <v>9.1478778149924195E-3</v>
      </c>
      <c r="L17">
        <v>0</v>
      </c>
      <c r="M17">
        <v>0.36329602372826802</v>
      </c>
      <c r="N17">
        <v>0</v>
      </c>
      <c r="O17">
        <v>0</v>
      </c>
      <c r="P17">
        <v>3.1580500411290102</v>
      </c>
      <c r="Q17">
        <v>96.841949958870998</v>
      </c>
      <c r="R17">
        <v>30.098204610879801</v>
      </c>
      <c r="S17">
        <v>50.203873727723298</v>
      </c>
      <c r="T17">
        <v>19.697921661396901</v>
      </c>
      <c r="U17">
        <v>0</v>
      </c>
      <c r="V17">
        <v>69.901795389120196</v>
      </c>
      <c r="W17">
        <v>0.33498054945732098</v>
      </c>
      <c r="X17">
        <v>-84.923310673363105</v>
      </c>
      <c r="Y17">
        <v>20.825778353893899</v>
      </c>
      <c r="Z17">
        <v>100</v>
      </c>
      <c r="AA17">
        <v>55.963624620932599</v>
      </c>
      <c r="AB17">
        <v>270.76922296676798</v>
      </c>
      <c r="AC17">
        <v>269.29703250503502</v>
      </c>
      <c r="AD17">
        <v>58.0965999654562</v>
      </c>
      <c r="AE17">
        <v>292.11113088182998</v>
      </c>
      <c r="AF17">
        <v>3.2939535724512998</v>
      </c>
      <c r="AG17">
        <v>782.35983240199403</v>
      </c>
      <c r="AH17">
        <v>0.98591037100010603</v>
      </c>
      <c r="AI17">
        <v>50.5505283032062</v>
      </c>
      <c r="AJ17">
        <v>176.134676310575</v>
      </c>
      <c r="AK17">
        <v>19.926058763609699</v>
      </c>
      <c r="AL17">
        <v>-38.717066903307199</v>
      </c>
      <c r="AM17">
        <v>1.43187703193806</v>
      </c>
      <c r="AN17">
        <v>7.1188372051093403</v>
      </c>
      <c r="AO17">
        <v>0.9</v>
      </c>
      <c r="AP17">
        <v>0.93279503250425899</v>
      </c>
      <c r="AQ17">
        <v>1.24814199380145</v>
      </c>
      <c r="AR17">
        <v>1.12378173503538</v>
      </c>
      <c r="AS17">
        <v>1.0062680761893099</v>
      </c>
      <c r="AT17">
        <v>0.89039881509897401</v>
      </c>
      <c r="AU17">
        <v>0.83499485017350605</v>
      </c>
      <c r="AV17">
        <v>1</v>
      </c>
      <c r="AW17">
        <v>0.97416748692861999</v>
      </c>
      <c r="AX17">
        <v>1</v>
      </c>
      <c r="AY17">
        <v>1</v>
      </c>
      <c r="AZ17">
        <v>0.90912766599414396</v>
      </c>
      <c r="BA17">
        <v>1</v>
      </c>
      <c r="BB17">
        <v>1.0134748210232001</v>
      </c>
      <c r="BC17">
        <v>1094316896.5</v>
      </c>
      <c r="BD17">
        <v>6.1845602393695902E-2</v>
      </c>
      <c r="BE17">
        <v>1349</v>
      </c>
    </row>
    <row r="18" spans="1:57" x14ac:dyDescent="0.25">
      <c r="A18">
        <v>3</v>
      </c>
      <c r="B18">
        <v>10</v>
      </c>
      <c r="C18">
        <v>-50</v>
      </c>
      <c r="D18">
        <v>0.54832464052803598</v>
      </c>
      <c r="E18">
        <v>0.47281292118703799</v>
      </c>
      <c r="F18">
        <v>6.38504269189679</v>
      </c>
      <c r="G18">
        <v>5.5285115065427997</v>
      </c>
      <c r="H18">
        <v>1.15970739367998</v>
      </c>
      <c r="I18">
        <v>-7.5511719340998207E-2</v>
      </c>
      <c r="J18">
        <v>5.3314601977752098E-2</v>
      </c>
      <c r="K18">
        <v>8.6635091949788801E-3</v>
      </c>
      <c r="L18">
        <v>0</v>
      </c>
      <c r="M18">
        <v>0.41083481001430699</v>
      </c>
      <c r="N18">
        <v>0</v>
      </c>
      <c r="O18">
        <v>0</v>
      </c>
      <c r="P18">
        <v>5.3261520087159004</v>
      </c>
      <c r="Q18">
        <v>94.673847991284106</v>
      </c>
      <c r="R18">
        <v>27.697573314762799</v>
      </c>
      <c r="S18">
        <v>50.860924281310297</v>
      </c>
      <c r="T18">
        <v>21.441502403926901</v>
      </c>
      <c r="U18">
        <v>0</v>
      </c>
      <c r="V18">
        <v>72.302426685237194</v>
      </c>
      <c r="W18">
        <v>0.30933503890328301</v>
      </c>
      <c r="X18">
        <v>-60.8110133247066</v>
      </c>
      <c r="Y18">
        <v>62.803528745929803</v>
      </c>
      <c r="Z18">
        <v>100</v>
      </c>
      <c r="AA18">
        <v>56.5654752199356</v>
      </c>
      <c r="AB18">
        <v>271.560474907811</v>
      </c>
      <c r="AC18">
        <v>269.92696944051602</v>
      </c>
      <c r="AD18">
        <v>55.313672462616303</v>
      </c>
      <c r="AE18">
        <v>295.01881218699799</v>
      </c>
      <c r="AF18">
        <v>3.3924096801019799</v>
      </c>
      <c r="AG18">
        <v>781.83077117717903</v>
      </c>
      <c r="AH18">
        <v>2.1209295908956798</v>
      </c>
      <c r="AI18">
        <v>52.767348086338004</v>
      </c>
      <c r="AJ18">
        <v>173.13734569184899</v>
      </c>
      <c r="AK18">
        <v>25.440143266309398</v>
      </c>
      <c r="AL18">
        <v>-29.927709212475101</v>
      </c>
      <c r="AM18">
        <v>1.47271649795085</v>
      </c>
      <c r="AN18">
        <v>6.9363026413960904</v>
      </c>
      <c r="AO18">
        <v>0.9</v>
      </c>
      <c r="AP18">
        <v>0.940680370880559</v>
      </c>
      <c r="AQ18">
        <v>1.24499511571818</v>
      </c>
      <c r="AR18">
        <v>1.2599695763418599</v>
      </c>
      <c r="AS18">
        <v>1.0061694088022</v>
      </c>
      <c r="AT18">
        <v>0.88934919054216499</v>
      </c>
      <c r="AU18">
        <v>0.83607151809604996</v>
      </c>
      <c r="AV18">
        <v>1</v>
      </c>
      <c r="AW18">
        <v>0.99022164192787299</v>
      </c>
      <c r="AX18">
        <v>1</v>
      </c>
      <c r="AY18">
        <v>1</v>
      </c>
      <c r="AZ18">
        <v>0.90600684530919195</v>
      </c>
      <c r="BA18">
        <v>1</v>
      </c>
      <c r="BB18">
        <v>1.0065125653187199</v>
      </c>
      <c r="BC18">
        <v>4366060664.8000002</v>
      </c>
      <c r="BD18">
        <v>6.9731752940423594E-2</v>
      </c>
      <c r="BE18">
        <v>4236</v>
      </c>
    </row>
    <row r="19" spans="1:57" x14ac:dyDescent="0.25">
      <c r="A19">
        <v>4</v>
      </c>
      <c r="B19">
        <v>10</v>
      </c>
      <c r="C19">
        <v>-25</v>
      </c>
      <c r="D19">
        <v>0.55326926690126799</v>
      </c>
      <c r="E19">
        <v>0.53229263377666303</v>
      </c>
      <c r="F19">
        <v>6.4408805963029598</v>
      </c>
      <c r="G19">
        <v>6.2037887900898303</v>
      </c>
      <c r="H19">
        <v>1.03940808456389</v>
      </c>
      <c r="I19">
        <v>-2.0976633124604401E-2</v>
      </c>
      <c r="J19">
        <v>5.4047691844500201E-2</v>
      </c>
      <c r="K19">
        <v>8.9942879974427709E-3</v>
      </c>
      <c r="L19">
        <v>0</v>
      </c>
      <c r="M19">
        <v>0.42821333288211599</v>
      </c>
      <c r="N19">
        <v>4.10373210526042E-2</v>
      </c>
      <c r="O19">
        <v>0</v>
      </c>
      <c r="P19">
        <v>5.0109538628074803</v>
      </c>
      <c r="Q19">
        <v>94.989046137192503</v>
      </c>
      <c r="R19">
        <v>29.371870481774199</v>
      </c>
      <c r="S19">
        <v>48.308508146918001</v>
      </c>
      <c r="T19">
        <v>22.3196213713079</v>
      </c>
      <c r="U19">
        <v>0</v>
      </c>
      <c r="V19">
        <v>70.628129518225805</v>
      </c>
      <c r="W19">
        <v>0.321291737278666</v>
      </c>
      <c r="X19">
        <v>-37.401478047644801</v>
      </c>
      <c r="Y19">
        <v>197.33120944176</v>
      </c>
      <c r="Z19">
        <v>100</v>
      </c>
      <c r="AA19">
        <v>56.914194082019399</v>
      </c>
      <c r="AB19">
        <v>269.14634980742898</v>
      </c>
      <c r="AC19">
        <v>267.54854979822898</v>
      </c>
      <c r="AD19">
        <v>56.496542152852697</v>
      </c>
      <c r="AE19">
        <v>293.46926387622898</v>
      </c>
      <c r="AF19">
        <v>3.5228137463467299</v>
      </c>
      <c r="AG19">
        <v>781.11966198228697</v>
      </c>
      <c r="AH19">
        <v>3.68444290073883</v>
      </c>
      <c r="AI19">
        <v>48.266710399023601</v>
      </c>
      <c r="AJ19">
        <v>173.97944234688899</v>
      </c>
      <c r="AK19">
        <v>29.320279020007401</v>
      </c>
      <c r="AL19">
        <v>-23.395286757885199</v>
      </c>
      <c r="AM19">
        <v>1.45608320575577</v>
      </c>
      <c r="AN19">
        <v>6.9850364013578696</v>
      </c>
      <c r="AO19">
        <v>0.9</v>
      </c>
      <c r="AP19">
        <v>0.93864318009254</v>
      </c>
      <c r="AQ19">
        <v>1.24639473058013</v>
      </c>
      <c r="AR19">
        <v>1.2869999999999999</v>
      </c>
      <c r="AS19">
        <v>1.00614697655192</v>
      </c>
      <c r="AT19">
        <v>0.89226931024884704</v>
      </c>
      <c r="AU19">
        <v>0.83749250630477401</v>
      </c>
      <c r="AV19">
        <v>1</v>
      </c>
      <c r="AW19">
        <v>1.00360686452166</v>
      </c>
      <c r="AX19">
        <v>1</v>
      </c>
      <c r="AY19">
        <v>1</v>
      </c>
      <c r="AZ19">
        <v>0.90818343162630599</v>
      </c>
      <c r="BA19">
        <v>1</v>
      </c>
      <c r="BB19">
        <v>1.00611345416959</v>
      </c>
      <c r="BC19">
        <v>8088602537.5</v>
      </c>
      <c r="BD19">
        <v>7.0400352056616697E-2</v>
      </c>
      <c r="BE19">
        <v>8167</v>
      </c>
    </row>
    <row r="20" spans="1:57" x14ac:dyDescent="0.25">
      <c r="A20">
        <v>5</v>
      </c>
      <c r="B20">
        <v>10</v>
      </c>
      <c r="C20">
        <v>0</v>
      </c>
      <c r="D20">
        <v>0.57236032314020202</v>
      </c>
      <c r="E20">
        <v>0.64500001140041197</v>
      </c>
      <c r="F20">
        <v>6.6561827230092403</v>
      </c>
      <c r="G20">
        <v>7.4712422266682896</v>
      </c>
      <c r="H20">
        <v>0.88738033026930296</v>
      </c>
      <c r="I20">
        <v>7.2639688260210597E-2</v>
      </c>
      <c r="J20">
        <v>5.61816730579364E-2</v>
      </c>
      <c r="K20">
        <v>1.01033632842097E-2</v>
      </c>
      <c r="L20">
        <v>0</v>
      </c>
      <c r="M20">
        <v>0.42786605658082399</v>
      </c>
      <c r="N20">
        <v>0.150848918477442</v>
      </c>
      <c r="O20">
        <v>0</v>
      </c>
      <c r="P20">
        <v>5.4338788570459604</v>
      </c>
      <c r="Q20">
        <v>94.566121142954003</v>
      </c>
      <c r="R20">
        <v>25.323006026490098</v>
      </c>
      <c r="S20">
        <v>51.305791904906002</v>
      </c>
      <c r="T20">
        <v>23.3712020686038</v>
      </c>
      <c r="U20">
        <v>0</v>
      </c>
      <c r="V20">
        <v>74.676993973509894</v>
      </c>
      <c r="W20">
        <v>0.35440462561193598</v>
      </c>
      <c r="X20">
        <v>-13.140755532070701</v>
      </c>
      <c r="Y20">
        <v>695.73785870043196</v>
      </c>
      <c r="Z20">
        <v>100</v>
      </c>
      <c r="AA20">
        <v>56.210080298332898</v>
      </c>
      <c r="AB20">
        <v>263.76831671134602</v>
      </c>
      <c r="AC20">
        <v>262.363132329162</v>
      </c>
      <c r="AD20">
        <v>60.179817470413902</v>
      </c>
      <c r="AE20">
        <v>289.03019779702697</v>
      </c>
      <c r="AF20">
        <v>3.7568095945419802</v>
      </c>
      <c r="AG20">
        <v>780.56381845938904</v>
      </c>
      <c r="AH20">
        <v>7.4520195542415202</v>
      </c>
      <c r="AI20">
        <v>43.179562385096602</v>
      </c>
      <c r="AJ20">
        <v>173.61831845609001</v>
      </c>
      <c r="AK20">
        <v>29.4566836712387</v>
      </c>
      <c r="AL20">
        <v>-16.903235370185701</v>
      </c>
      <c r="AM20">
        <v>1.32721062022832</v>
      </c>
      <c r="AN20">
        <v>6.7229005339470804</v>
      </c>
      <c r="AO20">
        <v>0.9</v>
      </c>
      <c r="AP20">
        <v>0.92570166437822099</v>
      </c>
      <c r="AQ20">
        <v>1.24993311187518</v>
      </c>
      <c r="AR20">
        <v>1.2869999999999999</v>
      </c>
      <c r="AS20">
        <v>1.00619479828436</v>
      </c>
      <c r="AT20">
        <v>0.89847563969291999</v>
      </c>
      <c r="AU20">
        <v>0.83853951840038299</v>
      </c>
      <c r="AV20">
        <v>1</v>
      </c>
      <c r="AW20">
        <v>1.0166266688977601</v>
      </c>
      <c r="AX20">
        <v>1</v>
      </c>
      <c r="AY20">
        <v>1</v>
      </c>
      <c r="AZ20">
        <v>0.90291990783443699</v>
      </c>
      <c r="BA20">
        <v>1</v>
      </c>
      <c r="BB20">
        <v>1.0073215380076099</v>
      </c>
      <c r="BC20">
        <v>8022578295.6999998</v>
      </c>
      <c r="BD20">
        <v>6.92849426278839E-2</v>
      </c>
      <c r="BE20">
        <v>11037</v>
      </c>
    </row>
    <row r="21" spans="1:57" x14ac:dyDescent="0.25">
      <c r="A21">
        <v>6</v>
      </c>
      <c r="B21">
        <v>10</v>
      </c>
      <c r="C21">
        <v>25</v>
      </c>
      <c r="D21">
        <v>0.78319588981171095</v>
      </c>
      <c r="E21">
        <v>0.701938326722087</v>
      </c>
      <c r="F21">
        <v>9.0038945148557694</v>
      </c>
      <c r="G21">
        <v>8.1055564535925999</v>
      </c>
      <c r="H21">
        <v>1.1157616844617699</v>
      </c>
      <c r="I21">
        <v>-8.1257563089623994E-2</v>
      </c>
      <c r="J21">
        <v>6.1054957683360701E-2</v>
      </c>
      <c r="K21">
        <v>1.3705660658850601E-2</v>
      </c>
      <c r="L21">
        <v>0</v>
      </c>
      <c r="M21">
        <v>0.42345500274785203</v>
      </c>
      <c r="N21">
        <v>0.20372270563202399</v>
      </c>
      <c r="O21">
        <v>0</v>
      </c>
      <c r="P21">
        <v>4.86601059275407</v>
      </c>
      <c r="Q21">
        <v>95.133989407245906</v>
      </c>
      <c r="R21">
        <v>24.981314026221099</v>
      </c>
      <c r="S21">
        <v>51.197585365574596</v>
      </c>
      <c r="T21">
        <v>23.821100608204301</v>
      </c>
      <c r="U21">
        <v>0</v>
      </c>
      <c r="V21">
        <v>75.018685973778901</v>
      </c>
      <c r="W21">
        <v>0.47138520283313601</v>
      </c>
      <c r="X21">
        <v>12.039202783381199</v>
      </c>
      <c r="Y21">
        <v>1672.1470662352899</v>
      </c>
      <c r="Z21">
        <v>100</v>
      </c>
      <c r="AA21">
        <v>54.953215166838</v>
      </c>
      <c r="AB21">
        <v>256.32869736753702</v>
      </c>
      <c r="AC21">
        <v>254.994110656012</v>
      </c>
      <c r="AD21">
        <v>68.799256554404096</v>
      </c>
      <c r="AE21">
        <v>279.23565498376598</v>
      </c>
      <c r="AF21">
        <v>4.00826166683356</v>
      </c>
      <c r="AG21">
        <v>780.61416042564395</v>
      </c>
      <c r="AH21">
        <v>12.7735946845998</v>
      </c>
      <c r="AI21">
        <v>46.054396830813097</v>
      </c>
      <c r="AJ21">
        <v>174.095820875991</v>
      </c>
      <c r="AK21">
        <v>29.268339320100701</v>
      </c>
      <c r="AL21">
        <v>-19.787513235151799</v>
      </c>
      <c r="AM21">
        <v>1.13626584486287</v>
      </c>
      <c r="AN21">
        <v>6.4758865543516801</v>
      </c>
      <c r="AO21">
        <v>0.9</v>
      </c>
      <c r="AP21">
        <v>0.91147264291754004</v>
      </c>
      <c r="AQ21">
        <v>1.2565457822106201</v>
      </c>
      <c r="AR21">
        <v>1.2869999999999999</v>
      </c>
      <c r="AS21">
        <v>1.00633333711093</v>
      </c>
      <c r="AT21">
        <v>0.90707494881270101</v>
      </c>
      <c r="AU21">
        <v>0.83842314930024897</v>
      </c>
      <c r="AV21">
        <v>1</v>
      </c>
      <c r="AW21">
        <v>1.0096819293119399</v>
      </c>
      <c r="AX21">
        <v>1</v>
      </c>
      <c r="AY21">
        <v>1</v>
      </c>
      <c r="AZ21">
        <v>0.90247570823408696</v>
      </c>
      <c r="BA21">
        <v>1</v>
      </c>
      <c r="BB21">
        <v>1.00526691347203</v>
      </c>
      <c r="BC21">
        <v>6894678277.1000004</v>
      </c>
      <c r="BD21">
        <v>7.9225104759290205E-2</v>
      </c>
      <c r="BE21">
        <v>10493</v>
      </c>
    </row>
    <row r="22" spans="1:57" x14ac:dyDescent="0.25">
      <c r="A22">
        <v>7</v>
      </c>
      <c r="B22">
        <v>10</v>
      </c>
      <c r="C22">
        <v>50</v>
      </c>
      <c r="D22">
        <v>0.82700212048335597</v>
      </c>
      <c r="E22">
        <v>0.76207952242430599</v>
      </c>
      <c r="F22">
        <v>9.4848449823504293</v>
      </c>
      <c r="G22">
        <v>8.7712212620265699</v>
      </c>
      <c r="H22">
        <v>1.0851913693370501</v>
      </c>
      <c r="I22">
        <v>-6.4922598059049402E-2</v>
      </c>
      <c r="J22">
        <v>6.6106505187230893E-2</v>
      </c>
      <c r="K22">
        <v>1.89196304317404E-2</v>
      </c>
      <c r="L22">
        <v>0</v>
      </c>
      <c r="M22">
        <v>0.42843644442837198</v>
      </c>
      <c r="N22">
        <v>0.248616942376963</v>
      </c>
      <c r="O22">
        <v>0</v>
      </c>
      <c r="P22">
        <v>6.7157020786022397</v>
      </c>
      <c r="Q22">
        <v>93.284297921397794</v>
      </c>
      <c r="R22">
        <v>25.315810459949098</v>
      </c>
      <c r="S22">
        <v>49.802578377310702</v>
      </c>
      <c r="T22">
        <v>24.881611162740199</v>
      </c>
      <c r="U22">
        <v>0</v>
      </c>
      <c r="V22">
        <v>74.684189540050895</v>
      </c>
      <c r="W22">
        <v>0.62947287446961098</v>
      </c>
      <c r="X22">
        <v>37.960682086191298</v>
      </c>
      <c r="Y22">
        <v>3145.4891529687602</v>
      </c>
      <c r="Z22">
        <v>100</v>
      </c>
      <c r="AA22">
        <v>54.3631838846322</v>
      </c>
      <c r="AB22">
        <v>248.66622838533701</v>
      </c>
      <c r="AC22">
        <v>247.243486133933</v>
      </c>
      <c r="AD22">
        <v>78.157981449694006</v>
      </c>
      <c r="AE22">
        <v>269.06626395222997</v>
      </c>
      <c r="AF22">
        <v>4.2897441353201096</v>
      </c>
      <c r="AG22">
        <v>780.23081318325501</v>
      </c>
      <c r="AH22">
        <v>18.292849844648298</v>
      </c>
      <c r="AI22">
        <v>48.487982501068402</v>
      </c>
      <c r="AJ22">
        <v>173.68295488911099</v>
      </c>
      <c r="AK22">
        <v>28.496198653284601</v>
      </c>
      <c r="AL22">
        <v>-21.1026399131867</v>
      </c>
      <c r="AM22">
        <v>0.88578453370812404</v>
      </c>
      <c r="AN22">
        <v>5.7208559892730797</v>
      </c>
      <c r="AO22">
        <v>0.9</v>
      </c>
      <c r="AP22">
        <v>0.90042190191095905</v>
      </c>
      <c r="AQ22">
        <v>1.2605665089500799</v>
      </c>
      <c r="AR22">
        <v>1.2869999999999999</v>
      </c>
      <c r="AS22">
        <v>1.0063773536901599</v>
      </c>
      <c r="AT22">
        <v>0.91601995987037499</v>
      </c>
      <c r="AU22">
        <v>0.83920013771017699</v>
      </c>
      <c r="AV22">
        <v>1</v>
      </c>
      <c r="AW22">
        <v>1.0081291475946501</v>
      </c>
      <c r="AX22">
        <v>1</v>
      </c>
      <c r="AY22">
        <v>1</v>
      </c>
      <c r="AZ22">
        <v>0.90291055359793404</v>
      </c>
      <c r="BA22">
        <v>1</v>
      </c>
      <c r="BB22">
        <v>1.00752471906931</v>
      </c>
      <c r="BC22">
        <v>6950738127.3999996</v>
      </c>
      <c r="BD22">
        <v>7.63087372324215E-2</v>
      </c>
      <c r="BE22">
        <v>10235</v>
      </c>
    </row>
    <row r="23" spans="1:57" x14ac:dyDescent="0.25">
      <c r="A23">
        <v>8</v>
      </c>
      <c r="B23">
        <v>10</v>
      </c>
      <c r="C23">
        <v>75</v>
      </c>
      <c r="D23">
        <v>1.02976649227872</v>
      </c>
      <c r="E23">
        <v>0.89236881774058197</v>
      </c>
      <c r="F23">
        <v>11.680797436109399</v>
      </c>
      <c r="G23">
        <v>10.1981772503601</v>
      </c>
      <c r="H23">
        <v>1.15396960517515</v>
      </c>
      <c r="I23">
        <v>-0.13739767453813301</v>
      </c>
      <c r="J23">
        <v>6.8685485158800005E-2</v>
      </c>
      <c r="K23">
        <v>2.5485239468938801E-2</v>
      </c>
      <c r="L23">
        <v>0</v>
      </c>
      <c r="M23">
        <v>0.43175730755862302</v>
      </c>
      <c r="N23">
        <v>0.36644078555421999</v>
      </c>
      <c r="O23">
        <v>0</v>
      </c>
      <c r="P23">
        <v>6.8487068119730603</v>
      </c>
      <c r="Q23">
        <v>93.151293188026898</v>
      </c>
      <c r="R23">
        <v>24.213297830088099</v>
      </c>
      <c r="S23">
        <v>49.265485906018803</v>
      </c>
      <c r="T23">
        <v>26.521216263893098</v>
      </c>
      <c r="U23">
        <v>0</v>
      </c>
      <c r="V23">
        <v>75.786702169911905</v>
      </c>
      <c r="W23">
        <v>0.83816936805715503</v>
      </c>
      <c r="X23">
        <v>62.299847136872003</v>
      </c>
      <c r="Y23">
        <v>4796.9772979199697</v>
      </c>
      <c r="Z23">
        <v>100</v>
      </c>
      <c r="AA23">
        <v>54.624533737121503</v>
      </c>
      <c r="AB23">
        <v>243.074319447086</v>
      </c>
      <c r="AC23">
        <v>241.672411916844</v>
      </c>
      <c r="AD23">
        <v>83.056041218687199</v>
      </c>
      <c r="AE23">
        <v>264.321529668398</v>
      </c>
      <c r="AF23">
        <v>4.5284181645417103</v>
      </c>
      <c r="AG23">
        <v>779.03957010184604</v>
      </c>
      <c r="AH23">
        <v>19.9016728369592</v>
      </c>
      <c r="AI23">
        <v>42.456510092283402</v>
      </c>
      <c r="AJ23">
        <v>173.98697636043701</v>
      </c>
      <c r="AK23">
        <v>28.794249428735</v>
      </c>
      <c r="AL23">
        <v>-15.7107029939224</v>
      </c>
      <c r="AM23">
        <v>0.74604589903130603</v>
      </c>
      <c r="AN23">
        <v>5.0652023951325296</v>
      </c>
      <c r="AO23">
        <v>0.9</v>
      </c>
      <c r="AP23">
        <v>0.89782027176576595</v>
      </c>
      <c r="AQ23">
        <v>1.2612002714775801</v>
      </c>
      <c r="AR23">
        <v>1.2869999999999999</v>
      </c>
      <c r="AS23">
        <v>1.0063445415750201</v>
      </c>
      <c r="AT23">
        <v>0.92313943573826995</v>
      </c>
      <c r="AU23">
        <v>0.84150325795791503</v>
      </c>
      <c r="AV23">
        <v>1</v>
      </c>
      <c r="AW23">
        <v>1.0181258740685499</v>
      </c>
      <c r="AX23">
        <v>1</v>
      </c>
      <c r="AY23">
        <v>1</v>
      </c>
      <c r="AZ23">
        <v>0.90147728717911402</v>
      </c>
      <c r="BA23">
        <v>1</v>
      </c>
      <c r="BB23">
        <v>1.01242680680439</v>
      </c>
      <c r="BC23">
        <v>7392092554.1000004</v>
      </c>
      <c r="BD23">
        <v>9.3063154797552006E-2</v>
      </c>
      <c r="BE23">
        <v>11175</v>
      </c>
    </row>
    <row r="24" spans="1:57" x14ac:dyDescent="0.25">
      <c r="A24">
        <v>9</v>
      </c>
      <c r="B24">
        <v>10</v>
      </c>
      <c r="C24">
        <v>100</v>
      </c>
      <c r="D24">
        <v>1.18034560907601</v>
      </c>
      <c r="E24">
        <v>1.08890013346602</v>
      </c>
      <c r="F24">
        <v>13.2798604620071</v>
      </c>
      <c r="G24">
        <v>12.3119578255703</v>
      </c>
      <c r="H24">
        <v>1.0839796715966099</v>
      </c>
      <c r="I24">
        <v>-9.1445475609986407E-2</v>
      </c>
      <c r="J24">
        <v>7.0437786277568401E-2</v>
      </c>
      <c r="K24">
        <v>3.3458759167552303E-2</v>
      </c>
      <c r="L24">
        <v>0</v>
      </c>
      <c r="M24">
        <v>0.44446219816766602</v>
      </c>
      <c r="N24">
        <v>0.54054138985323696</v>
      </c>
      <c r="O24">
        <v>0</v>
      </c>
      <c r="P24">
        <v>7.1856778166420598</v>
      </c>
      <c r="Q24">
        <v>92.814322183357902</v>
      </c>
      <c r="R24">
        <v>24.814075315591801</v>
      </c>
      <c r="S24">
        <v>45.505036351731498</v>
      </c>
      <c r="T24">
        <v>29.680888332676702</v>
      </c>
      <c r="U24">
        <v>0</v>
      </c>
      <c r="V24">
        <v>75.185924684408207</v>
      </c>
      <c r="W24">
        <v>1.0670939097112</v>
      </c>
      <c r="X24">
        <v>87.492371121074399</v>
      </c>
      <c r="Y24">
        <v>6578.0940698230297</v>
      </c>
      <c r="Z24">
        <v>100</v>
      </c>
      <c r="AA24">
        <v>55.3553107245191</v>
      </c>
      <c r="AB24">
        <v>241.46200870990501</v>
      </c>
      <c r="AC24">
        <v>240.040965098958</v>
      </c>
      <c r="AD24">
        <v>87.739972860538302</v>
      </c>
      <c r="AE24">
        <v>260.549288318707</v>
      </c>
      <c r="AF24">
        <v>4.7698362534939003</v>
      </c>
      <c r="AG24">
        <v>777.91947481912098</v>
      </c>
      <c r="AH24">
        <v>15.541056847822199</v>
      </c>
      <c r="AI24">
        <v>43.4421999975416</v>
      </c>
      <c r="AJ24">
        <v>173.28795167764301</v>
      </c>
      <c r="AK24">
        <v>29.001604251877399</v>
      </c>
      <c r="AL24">
        <v>-11.8664052512514</v>
      </c>
      <c r="AM24">
        <v>0.57874120531319095</v>
      </c>
      <c r="AN24">
        <v>4.1996723361075601</v>
      </c>
      <c r="AO24">
        <v>0.9</v>
      </c>
      <c r="AP24">
        <v>0.89521117775311199</v>
      </c>
      <c r="AQ24">
        <v>1.2623026350063999</v>
      </c>
      <c r="AR24">
        <v>1.2869999999999999</v>
      </c>
      <c r="AS24">
        <v>1.00627554954808</v>
      </c>
      <c r="AT24">
        <v>0.925316823179135</v>
      </c>
      <c r="AU24">
        <v>0.84377299017843899</v>
      </c>
      <c r="AV24">
        <v>1</v>
      </c>
      <c r="AW24">
        <v>1.0247756157210799</v>
      </c>
      <c r="AX24">
        <v>1</v>
      </c>
      <c r="AY24">
        <v>1</v>
      </c>
      <c r="AZ24">
        <v>0.90225829791026901</v>
      </c>
      <c r="BA24">
        <v>1</v>
      </c>
      <c r="BB24">
        <v>1.0145518485979299</v>
      </c>
      <c r="BC24">
        <v>8237467498.6000004</v>
      </c>
      <c r="BD24">
        <v>9.3656925891269893E-2</v>
      </c>
      <c r="BE24">
        <v>11297</v>
      </c>
    </row>
    <row r="25" spans="1:57" x14ac:dyDescent="0.25">
      <c r="A25">
        <v>10</v>
      </c>
      <c r="B25">
        <v>10</v>
      </c>
      <c r="C25">
        <v>125</v>
      </c>
      <c r="D25">
        <v>1.2936124637352899</v>
      </c>
      <c r="E25">
        <v>1.2041866999389601</v>
      </c>
      <c r="F25">
        <v>14.4651507531382</v>
      </c>
      <c r="G25">
        <v>13.5305913347764</v>
      </c>
      <c r="H25">
        <v>1.0742623745976101</v>
      </c>
      <c r="I25">
        <v>-8.9425763796321903E-2</v>
      </c>
      <c r="J25">
        <v>7.2677715167400597E-2</v>
      </c>
      <c r="K25">
        <v>4.0484783834753797E-2</v>
      </c>
      <c r="L25">
        <v>0</v>
      </c>
      <c r="M25">
        <v>0.45099826184099301</v>
      </c>
      <c r="N25">
        <v>0.64002593909581795</v>
      </c>
      <c r="O25">
        <v>0</v>
      </c>
      <c r="P25">
        <v>7.6362712642199</v>
      </c>
      <c r="Q25">
        <v>92.3637287357801</v>
      </c>
      <c r="R25">
        <v>27.634148293755601</v>
      </c>
      <c r="S25">
        <v>41.890652975531502</v>
      </c>
      <c r="T25">
        <v>30.475198730712901</v>
      </c>
      <c r="U25">
        <v>0</v>
      </c>
      <c r="V25">
        <v>72.365851706244399</v>
      </c>
      <c r="W25">
        <v>1.2902663593833601</v>
      </c>
      <c r="X25">
        <v>110.625772808275</v>
      </c>
      <c r="Y25">
        <v>8065.62977936466</v>
      </c>
      <c r="Z25">
        <v>100</v>
      </c>
      <c r="AA25">
        <v>55.503924461258102</v>
      </c>
      <c r="AB25">
        <v>237.687809870552</v>
      </c>
      <c r="AC25">
        <v>236.25051450943101</v>
      </c>
      <c r="AD25">
        <v>90.880675246334107</v>
      </c>
      <c r="AE25">
        <v>256.65575028012802</v>
      </c>
      <c r="AF25">
        <v>4.9460282707612597</v>
      </c>
      <c r="AG25">
        <v>776.80128034362701</v>
      </c>
      <c r="AH25">
        <v>15.233662727184701</v>
      </c>
      <c r="AI25">
        <v>41.664892993779297</v>
      </c>
      <c r="AJ25">
        <v>174.06591629010899</v>
      </c>
      <c r="AK25">
        <v>31.2490571056458</v>
      </c>
      <c r="AL25">
        <v>-4.0854834525466801</v>
      </c>
      <c r="AM25">
        <v>0.57609550199962001</v>
      </c>
      <c r="AN25">
        <v>4.4405383190120098</v>
      </c>
      <c r="AO25">
        <v>0.9</v>
      </c>
      <c r="AP25">
        <v>0.89379573072686902</v>
      </c>
      <c r="AQ25">
        <v>1.26292363357116</v>
      </c>
      <c r="AR25">
        <v>1.2869999999999999</v>
      </c>
      <c r="AS25">
        <v>1.0062994738584099</v>
      </c>
      <c r="AT25">
        <v>0.93056958412170598</v>
      </c>
      <c r="AU25">
        <v>0.84596064050979702</v>
      </c>
      <c r="AV25">
        <v>1</v>
      </c>
      <c r="AW25">
        <v>1.0386811434440499</v>
      </c>
      <c r="AX25">
        <v>1</v>
      </c>
      <c r="AY25">
        <v>1</v>
      </c>
      <c r="AZ25">
        <v>0.90592439278188197</v>
      </c>
      <c r="BA25">
        <v>1</v>
      </c>
      <c r="BB25">
        <v>1.0132924231315199</v>
      </c>
      <c r="BC25">
        <v>6383129783.3000002</v>
      </c>
      <c r="BD25">
        <v>9.8269907626249903E-2</v>
      </c>
      <c r="BE25">
        <v>8779</v>
      </c>
    </row>
    <row r="26" spans="1:57" x14ac:dyDescent="0.25">
      <c r="A26">
        <v>11</v>
      </c>
      <c r="B26">
        <v>10</v>
      </c>
      <c r="C26">
        <v>150</v>
      </c>
      <c r="D26">
        <v>1.5098351316973999</v>
      </c>
      <c r="E26">
        <v>1.2652681530244201</v>
      </c>
      <c r="F26">
        <v>16.686693041846201</v>
      </c>
      <c r="G26">
        <v>14.1699407915763</v>
      </c>
      <c r="H26">
        <v>1.19329260606804</v>
      </c>
      <c r="I26">
        <v>-0.24456697867298799</v>
      </c>
      <c r="J26">
        <v>7.3122597136303299E-2</v>
      </c>
      <c r="K26">
        <v>5.9337910426725399E-2</v>
      </c>
      <c r="L26">
        <v>0</v>
      </c>
      <c r="M26">
        <v>0.46899009332209002</v>
      </c>
      <c r="N26">
        <v>0.66381755213929705</v>
      </c>
      <c r="O26">
        <v>0</v>
      </c>
      <c r="P26">
        <v>8.1802502285723904</v>
      </c>
      <c r="Q26">
        <v>91.819749771427595</v>
      </c>
      <c r="R26">
        <v>30.421536599941799</v>
      </c>
      <c r="S26">
        <v>36.659594065978901</v>
      </c>
      <c r="T26">
        <v>32.918869334079297</v>
      </c>
      <c r="U26">
        <v>0</v>
      </c>
      <c r="V26">
        <v>69.578463400058297</v>
      </c>
      <c r="W26">
        <v>1.88535724604479</v>
      </c>
      <c r="X26">
        <v>135.97801162616</v>
      </c>
      <c r="Y26">
        <v>10034.8287997307</v>
      </c>
      <c r="Z26">
        <v>100</v>
      </c>
      <c r="AA26">
        <v>57.375805930488497</v>
      </c>
      <c r="AB26">
        <v>230.01551230521801</v>
      </c>
      <c r="AC26">
        <v>228.61463807857299</v>
      </c>
      <c r="AD26">
        <v>92.063769594317904</v>
      </c>
      <c r="AE26">
        <v>256.04042799892301</v>
      </c>
      <c r="AF26">
        <v>5.1924509212371701</v>
      </c>
      <c r="AG26">
        <v>776.23832668592604</v>
      </c>
      <c r="AH26">
        <v>16.644158203273701</v>
      </c>
      <c r="AI26">
        <v>38.360633146089903</v>
      </c>
      <c r="AJ26">
        <v>173.99860511895201</v>
      </c>
      <c r="AK26">
        <v>31.620180819639799</v>
      </c>
      <c r="AL26">
        <v>14.3391247390686</v>
      </c>
      <c r="AM26">
        <v>0.56506409229897803</v>
      </c>
      <c r="AN26">
        <v>4.4433380352459197</v>
      </c>
      <c r="AO26">
        <v>0.9</v>
      </c>
      <c r="AP26">
        <v>0.89358550325343</v>
      </c>
      <c r="AQ26">
        <v>1.2629777067596299</v>
      </c>
      <c r="AR26">
        <v>1.2869999999999999</v>
      </c>
      <c r="AS26">
        <v>1.0061264413025801</v>
      </c>
      <c r="AT26">
        <v>0.94019977895850104</v>
      </c>
      <c r="AU26">
        <v>0.847126030073025</v>
      </c>
      <c r="AV26">
        <v>1</v>
      </c>
      <c r="AW26">
        <v>1.0630581133039401</v>
      </c>
      <c r="AX26">
        <v>1</v>
      </c>
      <c r="AY26">
        <v>1</v>
      </c>
      <c r="AZ26">
        <v>0.90954799757992399</v>
      </c>
      <c r="BA26">
        <v>1</v>
      </c>
      <c r="BB26">
        <v>1.0086738823663399</v>
      </c>
      <c r="BC26">
        <v>3114868156.5999999</v>
      </c>
      <c r="BD26">
        <v>0.110523879443476</v>
      </c>
      <c r="BE26">
        <v>4372</v>
      </c>
    </row>
    <row r="29" spans="1:57" x14ac:dyDescent="0.25">
      <c r="E29">
        <v>1</v>
      </c>
    </row>
    <row r="30" spans="1:57" x14ac:dyDescent="0.25">
      <c r="B30" t="s">
        <v>53</v>
      </c>
      <c r="D30" t="s">
        <v>59</v>
      </c>
      <c r="E30" t="s">
        <v>60</v>
      </c>
      <c r="F30" t="s">
        <v>6</v>
      </c>
      <c r="H30" t="s">
        <v>64</v>
      </c>
      <c r="I30" t="s">
        <v>61</v>
      </c>
      <c r="J30" t="s">
        <v>63</v>
      </c>
      <c r="K30" t="s">
        <v>62</v>
      </c>
      <c r="L30" t="s">
        <v>61</v>
      </c>
      <c r="O30" t="s">
        <v>61</v>
      </c>
      <c r="P30" t="s">
        <v>63</v>
      </c>
      <c r="Q30" t="s">
        <v>62</v>
      </c>
      <c r="R30" t="s">
        <v>61</v>
      </c>
    </row>
    <row r="31" spans="1:57" x14ac:dyDescent="0.25">
      <c r="B31" s="1">
        <f>BC5/1000000000</f>
        <v>152.4453143755</v>
      </c>
      <c r="C31">
        <f>C5</f>
        <v>0</v>
      </c>
      <c r="D31" s="1">
        <f>D5</f>
        <v>0.51915167179871602</v>
      </c>
      <c r="E31" s="1">
        <f>J5+K5+L5+M5+N5*$E$29</f>
        <v>0.63505555477541176</v>
      </c>
      <c r="F31" s="1">
        <f>D31/E31</f>
        <v>0.81749016742687131</v>
      </c>
      <c r="H31">
        <v>0.23619999999999999</v>
      </c>
      <c r="I31">
        <v>0.5</v>
      </c>
      <c r="J31" s="3">
        <f>H31*I31</f>
        <v>0.1181</v>
      </c>
      <c r="K31" s="1">
        <f>J5+K5+L5+M5+N5*I31</f>
        <v>0.54962192705730084</v>
      </c>
      <c r="L31" s="1">
        <f>D31/K31</f>
        <v>0.9445614271218693</v>
      </c>
      <c r="O31">
        <v>1</v>
      </c>
      <c r="P31" s="7">
        <f>J31*O31</f>
        <v>0.1181</v>
      </c>
      <c r="Q31" s="1">
        <f>J5+K5+L5+M5+N5*O31*J31</f>
        <v>0.48436772220620761</v>
      </c>
      <c r="R31" s="1">
        <f>D31/Q31</f>
        <v>1.0718131039658749</v>
      </c>
    </row>
    <row r="32" spans="1:57" x14ac:dyDescent="0.25">
      <c r="B32" s="1">
        <f t="shared" ref="B32:B35" si="0">BC6/1000000000</f>
        <v>88.079455859000007</v>
      </c>
      <c r="C32">
        <f t="shared" ref="C32:D35" si="1">C6</f>
        <v>25</v>
      </c>
      <c r="D32" s="1">
        <f t="shared" si="1"/>
        <v>0.70310023454844195</v>
      </c>
      <c r="E32" s="1">
        <f t="shared" ref="E32:E35" si="2">J6+K6+L6+M6+N6*$E$29</f>
        <v>0.73789135873319112</v>
      </c>
      <c r="F32" s="1">
        <f t="shared" ref="F32:F35" si="3">D32/E32</f>
        <v>0.95285061442584384</v>
      </c>
      <c r="H32">
        <v>0.334202579</v>
      </c>
      <c r="I32">
        <v>0.95</v>
      </c>
      <c r="J32" s="3">
        <f t="shared" ref="J32:J35" si="4">H32*I32</f>
        <v>0.31749245004999999</v>
      </c>
      <c r="K32" s="1">
        <f t="shared" ref="K32:K35" si="5">J6+K6+L6+M6+N6*I32</f>
        <v>0.72599605435994707</v>
      </c>
      <c r="L32" s="1">
        <f t="shared" ref="L32:L35" si="6">D32/K32</f>
        <v>0.96846288671404623</v>
      </c>
      <c r="O32">
        <v>1.1499999999999999</v>
      </c>
      <c r="P32" s="7">
        <f t="shared" ref="P32:P35" si="7">J32*O32</f>
        <v>0.36511631755749996</v>
      </c>
      <c r="Q32" s="1">
        <f t="shared" ref="Q32:Q35" si="8">J6+K6+L6+M6+N6*O32*J32</f>
        <v>0.586848665848</v>
      </c>
      <c r="R32" s="1">
        <f t="shared" ref="R32:R35" si="9">D32/Q32</f>
        <v>1.1980946289320735</v>
      </c>
    </row>
    <row r="33" spans="2:18" x14ac:dyDescent="0.25">
      <c r="B33" s="1">
        <f t="shared" si="0"/>
        <v>32.321079699400002</v>
      </c>
      <c r="C33">
        <f t="shared" si="1"/>
        <v>50</v>
      </c>
      <c r="D33" s="1">
        <f t="shared" si="1"/>
        <v>0.896869883378137</v>
      </c>
      <c r="E33" s="1">
        <f t="shared" si="2"/>
        <v>0.84984281431753905</v>
      </c>
      <c r="F33" s="1">
        <f t="shared" si="3"/>
        <v>1.055336196609914</v>
      </c>
      <c r="H33">
        <v>0.623487032</v>
      </c>
      <c r="I33">
        <v>1.1499999999999999</v>
      </c>
      <c r="J33" s="3">
        <f t="shared" si="4"/>
        <v>0.71701008679999989</v>
      </c>
      <c r="K33" s="1">
        <f t="shared" si="5"/>
        <v>0.89831583327092979</v>
      </c>
      <c r="L33" s="1">
        <f t="shared" si="6"/>
        <v>0.99839037692619992</v>
      </c>
      <c r="O33">
        <v>1</v>
      </c>
      <c r="P33" s="7">
        <f t="shared" si="7"/>
        <v>0.71701008679999989</v>
      </c>
      <c r="Q33" s="1">
        <f t="shared" si="8"/>
        <v>0.75839364480979221</v>
      </c>
      <c r="R33" s="1">
        <f t="shared" si="9"/>
        <v>1.1825915070834687</v>
      </c>
    </row>
    <row r="34" spans="2:18" x14ac:dyDescent="0.25">
      <c r="B34" s="1">
        <f t="shared" si="0"/>
        <v>7.1071430573999992</v>
      </c>
      <c r="C34">
        <f t="shared" si="1"/>
        <v>75</v>
      </c>
      <c r="D34" s="1">
        <f t="shared" si="1"/>
        <v>1.0951719180450299</v>
      </c>
      <c r="E34" s="1">
        <f t="shared" si="2"/>
        <v>1.0757615781537808</v>
      </c>
      <c r="F34" s="1">
        <f t="shared" si="3"/>
        <v>1.0180433474158475</v>
      </c>
      <c r="H34">
        <v>1.0905055219999999</v>
      </c>
      <c r="I34">
        <v>1.17</v>
      </c>
      <c r="J34" s="3">
        <f t="shared" si="4"/>
        <v>1.2758914607399998</v>
      </c>
      <c r="K34" s="1">
        <f t="shared" si="5"/>
        <v>1.1643219807624887</v>
      </c>
      <c r="L34" s="1">
        <f t="shared" si="6"/>
        <v>0.94060915806796508</v>
      </c>
      <c r="O34">
        <v>1</v>
      </c>
      <c r="P34" s="7">
        <f t="shared" si="7"/>
        <v>1.2758914607399998</v>
      </c>
      <c r="Q34" s="1">
        <f t="shared" si="8"/>
        <v>1.2194854536798923</v>
      </c>
      <c r="R34" s="1">
        <f t="shared" si="9"/>
        <v>0.89806066545547014</v>
      </c>
    </row>
    <row r="35" spans="2:18" x14ac:dyDescent="0.25">
      <c r="B35" s="1">
        <f t="shared" si="0"/>
        <v>1.1716543260000001</v>
      </c>
      <c r="C35">
        <f t="shared" si="1"/>
        <v>100</v>
      </c>
      <c r="D35" s="1">
        <f t="shared" si="1"/>
        <v>1.3739541896079399</v>
      </c>
      <c r="E35" s="1">
        <f t="shared" si="2"/>
        <v>1.294588440733905</v>
      </c>
      <c r="F35" s="1">
        <f t="shared" si="3"/>
        <v>1.0613057759337341</v>
      </c>
      <c r="H35">
        <v>1.4117</v>
      </c>
      <c r="I35">
        <v>1.1499999999999999</v>
      </c>
      <c r="J35" s="3">
        <f t="shared" si="4"/>
        <v>1.6234549999999999</v>
      </c>
      <c r="K35" s="1">
        <f t="shared" si="5"/>
        <v>1.4022654754216282</v>
      </c>
      <c r="L35" s="1">
        <f t="shared" si="6"/>
        <v>0.97981032385812983</v>
      </c>
      <c r="O35">
        <v>1</v>
      </c>
      <c r="P35" s="7">
        <f t="shared" si="7"/>
        <v>1.6234549999999999</v>
      </c>
      <c r="Q35" s="1">
        <f t="shared" si="8"/>
        <v>1.7421336784754677</v>
      </c>
      <c r="R35" s="1">
        <f t="shared" si="9"/>
        <v>0.78866174656027555</v>
      </c>
    </row>
    <row r="36" spans="2:18" x14ac:dyDescent="0.25">
      <c r="J36" s="4"/>
      <c r="Q36" s="1"/>
      <c r="R36" s="1"/>
    </row>
    <row r="37" spans="2:18" x14ac:dyDescent="0.25">
      <c r="J37" s="4"/>
      <c r="Q37" s="1"/>
      <c r="R37" s="1"/>
    </row>
    <row r="38" spans="2:18" x14ac:dyDescent="0.25">
      <c r="J38" s="4"/>
      <c r="Q38" s="1"/>
      <c r="R38" s="1"/>
    </row>
    <row r="39" spans="2:18" x14ac:dyDescent="0.25">
      <c r="J39" s="4"/>
      <c r="Q39" s="1"/>
      <c r="R39" s="1"/>
    </row>
    <row r="40" spans="2:18" x14ac:dyDescent="0.25">
      <c r="J40" s="4"/>
      <c r="Q40" s="1"/>
      <c r="R40" s="1"/>
    </row>
    <row r="41" spans="2:18" x14ac:dyDescent="0.25">
      <c r="J41" s="4"/>
      <c r="Q41" s="1"/>
      <c r="R41" s="1"/>
    </row>
    <row r="42" spans="2:18" x14ac:dyDescent="0.25">
      <c r="J42" s="4"/>
      <c r="Q42" s="1"/>
      <c r="R42" s="1"/>
    </row>
    <row r="43" spans="2:18" x14ac:dyDescent="0.25">
      <c r="J43" s="4"/>
      <c r="Q43" s="1"/>
      <c r="R43" s="1"/>
    </row>
    <row r="44" spans="2:18" x14ac:dyDescent="0.25">
      <c r="J44" s="4"/>
      <c r="Q44" s="1"/>
      <c r="R44" s="1"/>
    </row>
    <row r="45" spans="2:18" x14ac:dyDescent="0.25">
      <c r="B45" t="s">
        <v>53</v>
      </c>
      <c r="D45" t="s">
        <v>59</v>
      </c>
      <c r="E45" t="s">
        <v>60</v>
      </c>
      <c r="F45" t="s">
        <v>6</v>
      </c>
      <c r="H45" t="s">
        <v>64</v>
      </c>
      <c r="I45" t="s">
        <v>61</v>
      </c>
      <c r="J45" s="4" t="s">
        <v>63</v>
      </c>
      <c r="K45" t="s">
        <v>62</v>
      </c>
      <c r="L45" t="s">
        <v>61</v>
      </c>
      <c r="O45" t="s">
        <v>61</v>
      </c>
      <c r="P45" t="s">
        <v>63</v>
      </c>
      <c r="Q45" s="1" t="s">
        <v>62</v>
      </c>
      <c r="R45" s="1" t="s">
        <v>61</v>
      </c>
    </row>
    <row r="46" spans="2:18" x14ac:dyDescent="0.25">
      <c r="B46" s="1">
        <f>BC20/1000000000</f>
        <v>8.0225782957000007</v>
      </c>
      <c r="C46">
        <f>C20</f>
        <v>0</v>
      </c>
      <c r="D46" s="1">
        <f>D20</f>
        <v>0.57236032314020202</v>
      </c>
      <c r="E46" s="1">
        <f>J20+K20+L20+M20+N20*$E$29</f>
        <v>0.64500001140041208</v>
      </c>
      <c r="F46" s="1">
        <f>D46/E46</f>
        <v>0.88738033026930319</v>
      </c>
      <c r="H46">
        <v>0.23619999999999999</v>
      </c>
      <c r="I46">
        <f>I31</f>
        <v>0.5</v>
      </c>
      <c r="J46" s="5">
        <f>H46*I46</f>
        <v>0.1181</v>
      </c>
      <c r="K46" s="1">
        <f>J20+K20+L20+M20+N20*I46</f>
        <v>0.56957555216169109</v>
      </c>
      <c r="L46" s="1">
        <f>D46/K46</f>
        <v>1.0048892038430055</v>
      </c>
      <c r="O46">
        <f>O31</f>
        <v>1</v>
      </c>
      <c r="P46" s="6">
        <f>J46*O46</f>
        <v>0.1181</v>
      </c>
      <c r="Q46" s="1">
        <f>J20+K20+L20+M20+N20*O46*J46</f>
        <v>0.51196635019515602</v>
      </c>
      <c r="R46" s="1">
        <f>D46/Q46</f>
        <v>1.1179647313188152</v>
      </c>
    </row>
    <row r="47" spans="2:18" x14ac:dyDescent="0.25">
      <c r="B47" s="1">
        <f t="shared" ref="B47:B50" si="10">BC21/1000000000</f>
        <v>6.8946782771000006</v>
      </c>
      <c r="C47">
        <f t="shared" ref="C47:D47" si="11">C21</f>
        <v>25</v>
      </c>
      <c r="D47" s="1">
        <f t="shared" si="11"/>
        <v>0.78319588981171095</v>
      </c>
      <c r="E47" s="1">
        <f t="shared" ref="E47:E50" si="12">J21+K21+L21+M21+N21*$E$29</f>
        <v>0.70193832672208734</v>
      </c>
      <c r="F47" s="1">
        <f t="shared" ref="F47:F50" si="13">D47/E47</f>
        <v>1.1157616844617679</v>
      </c>
      <c r="H47">
        <v>0.334202579</v>
      </c>
      <c r="I47">
        <f t="shared" ref="I47:I50" si="14">I32</f>
        <v>0.95</v>
      </c>
      <c r="J47" s="5">
        <f t="shared" ref="J47:J50" si="15">H47*I47</f>
        <v>0.31749245004999999</v>
      </c>
      <c r="K47" s="1">
        <f t="shared" ref="K47:K50" si="16">J21+K21+L21+M21+N21*I47</f>
        <v>0.69175219144048616</v>
      </c>
      <c r="L47" s="1">
        <f t="shared" ref="L47:L50" si="17">D47/K47</f>
        <v>1.1321914111768911</v>
      </c>
      <c r="O47">
        <f t="shared" ref="O47:O50" si="18">O32</f>
        <v>1.1499999999999999</v>
      </c>
      <c r="P47" s="6">
        <f t="shared" ref="P47:P50" si="19">J47*O47</f>
        <v>0.36511631755749996</v>
      </c>
      <c r="Q47" s="1">
        <f t="shared" ref="Q47:Q50" si="20">J21+K21+L21+M21+N21*O47*J47</f>
        <v>0.57259810517327847</v>
      </c>
      <c r="R47" s="1">
        <f t="shared" ref="R47:R50" si="21">D47/Q47</f>
        <v>1.3677933662995652</v>
      </c>
    </row>
    <row r="48" spans="2:18" x14ac:dyDescent="0.25">
      <c r="B48" s="1">
        <f t="shared" si="10"/>
        <v>6.9507381273999993</v>
      </c>
      <c r="C48">
        <f t="shared" ref="C48:D48" si="22">C22</f>
        <v>50</v>
      </c>
      <c r="D48" s="1">
        <f t="shared" si="22"/>
        <v>0.82700212048335597</v>
      </c>
      <c r="E48" s="1">
        <f t="shared" si="12"/>
        <v>0.76207952242430621</v>
      </c>
      <c r="F48" s="1">
        <f t="shared" si="13"/>
        <v>1.0851913693370474</v>
      </c>
      <c r="H48">
        <v>0.623487032</v>
      </c>
      <c r="I48">
        <f t="shared" si="14"/>
        <v>1.1499999999999999</v>
      </c>
      <c r="J48" s="5">
        <f t="shared" si="15"/>
        <v>0.71701008679999989</v>
      </c>
      <c r="K48" s="1">
        <f t="shared" si="16"/>
        <v>0.79937206378085068</v>
      </c>
      <c r="L48" s="1">
        <f t="shared" si="17"/>
        <v>1.0345647014130332</v>
      </c>
      <c r="O48">
        <f t="shared" si="18"/>
        <v>1</v>
      </c>
      <c r="P48" s="6">
        <f t="shared" si="19"/>
        <v>0.71701008679999989</v>
      </c>
      <c r="Q48" s="1">
        <f t="shared" si="20"/>
        <v>0.69172343548100002</v>
      </c>
      <c r="R48" s="1">
        <f t="shared" si="21"/>
        <v>1.1955675896802427</v>
      </c>
    </row>
    <row r="49" spans="2:18" x14ac:dyDescent="0.25">
      <c r="B49" s="1">
        <f t="shared" si="10"/>
        <v>7.3920925541000004</v>
      </c>
      <c r="C49">
        <f t="shared" ref="C49:D49" si="23">C23</f>
        <v>75</v>
      </c>
      <c r="D49" s="1">
        <f t="shared" si="23"/>
        <v>1.02976649227872</v>
      </c>
      <c r="E49" s="1">
        <f t="shared" si="12"/>
        <v>0.89236881774058185</v>
      </c>
      <c r="F49" s="1">
        <f t="shared" si="13"/>
        <v>1.153969605175156</v>
      </c>
      <c r="H49">
        <v>1.0905055219999999</v>
      </c>
      <c r="I49">
        <f t="shared" si="14"/>
        <v>1.17</v>
      </c>
      <c r="J49" s="5">
        <f t="shared" si="15"/>
        <v>1.2758914607399998</v>
      </c>
      <c r="K49" s="1">
        <f t="shared" si="16"/>
        <v>0.9546637512847993</v>
      </c>
      <c r="L49" s="1">
        <f t="shared" si="17"/>
        <v>1.0786693125122289</v>
      </c>
      <c r="O49">
        <f t="shared" si="18"/>
        <v>1</v>
      </c>
      <c r="P49" s="6">
        <f t="shared" si="19"/>
        <v>1.2758914607399998</v>
      </c>
      <c r="Q49" s="1">
        <f t="shared" si="20"/>
        <v>0.99346670134184856</v>
      </c>
      <c r="R49" s="1">
        <f t="shared" si="21"/>
        <v>1.0365385079216467</v>
      </c>
    </row>
    <row r="50" spans="2:18" x14ac:dyDescent="0.25">
      <c r="B50" s="1">
        <f t="shared" si="10"/>
        <v>8.2374674986000009</v>
      </c>
      <c r="C50">
        <f t="shared" ref="C50:D50" si="24">C24</f>
        <v>100</v>
      </c>
      <c r="D50" s="1">
        <f t="shared" si="24"/>
        <v>1.18034560907601</v>
      </c>
      <c r="E50" s="1">
        <f t="shared" si="12"/>
        <v>1.0889001334660238</v>
      </c>
      <c r="F50" s="1">
        <f t="shared" si="13"/>
        <v>1.0839796715966143</v>
      </c>
      <c r="H50">
        <v>1.4117</v>
      </c>
      <c r="I50">
        <f t="shared" si="14"/>
        <v>1.1499999999999999</v>
      </c>
      <c r="J50" s="5">
        <f t="shared" si="15"/>
        <v>1.6234549999999999</v>
      </c>
      <c r="K50" s="1">
        <f t="shared" si="16"/>
        <v>1.169981341944009</v>
      </c>
      <c r="L50" s="1">
        <f t="shared" si="17"/>
        <v>1.0088584892428969</v>
      </c>
      <c r="O50">
        <f t="shared" si="18"/>
        <v>1</v>
      </c>
      <c r="P50" s="6">
        <f t="shared" si="19"/>
        <v>1.6234549999999999</v>
      </c>
      <c r="Q50" s="1">
        <f t="shared" si="20"/>
        <v>1.4259033656769735</v>
      </c>
      <c r="R50" s="1">
        <f t="shared" si="21"/>
        <v>0.8277879395534069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2018-05-30T18:23:31Z</dcterms:created>
  <dcterms:modified xsi:type="dcterms:W3CDTF">2018-05-30T18:23:32Z</dcterms:modified>
</cp:coreProperties>
</file>