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630" windowWidth="33075" windowHeight="19410" activeTab="1"/>
  </bookViews>
  <sheets>
    <sheet name="Refi Index Weekly" sheetId="1" r:id="rId1"/>
    <sheet name="Refi Index Monthly" sheetId="2" r:id="rId2"/>
    <sheet name="Compare" sheetId="4" r:id="rId3"/>
  </sheets>
  <calcPr calcId="145621"/>
  <pivotCaches>
    <pivotCache cacheId="6" r:id="rId4"/>
  </pivotCaches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2" i="2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2" i="4"/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2" i="1"/>
</calcChain>
</file>

<file path=xl/sharedStrings.xml><?xml version="1.0" encoding="utf-8"?>
<sst xmlns="http://schemas.openxmlformats.org/spreadsheetml/2006/main" count="14" uniqueCount="12">
  <si>
    <t>MBAVREFI</t>
  </si>
  <si>
    <t>Asof</t>
  </si>
  <si>
    <t>Month</t>
  </si>
  <si>
    <t>Row Labels</t>
  </si>
  <si>
    <t>Average of MBAVREFI</t>
  </si>
  <si>
    <t>Lagged</t>
  </si>
  <si>
    <t>asof</t>
  </si>
  <si>
    <t>media_effect</t>
  </si>
  <si>
    <t>CPR</t>
  </si>
  <si>
    <t>refi_index</t>
  </si>
  <si>
    <t>Flag</t>
  </si>
  <si>
    <t>Cutoff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</si>
</sst>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'Refi Index Weekly'!$B$1</c:f>
              <c:strCache>
                <c:ptCount val="1"/>
                <c:pt idx="0">
                  <c:v>MBAVREFI</c:v>
                </c:pt>
              </c:strCache>
            </c:strRef>
          </c:tx>
          <c:marker>
            <c:symbol val="none"/>
          </c:marker>
          <c:cat>
            <c:numRef>
              <c:f>'Refi Index Weekly'!$A$2:$A$489</c:f>
              <c:numCache>
                <c:formatCode>m/d/yyyy</c:formatCode>
                <c:ptCount val="488"/>
                <c:pt idx="0">
                  <c:v>39815</c:v>
                </c:pt>
                <c:pt idx="1">
                  <c:v>39822</c:v>
                </c:pt>
                <c:pt idx="2">
                  <c:v>39829</c:v>
                </c:pt>
                <c:pt idx="3">
                  <c:v>39836</c:v>
                </c:pt>
                <c:pt idx="4">
                  <c:v>39843</c:v>
                </c:pt>
                <c:pt idx="5">
                  <c:v>39850</c:v>
                </c:pt>
                <c:pt idx="6">
                  <c:v>39857</c:v>
                </c:pt>
                <c:pt idx="7">
                  <c:v>39864</c:v>
                </c:pt>
                <c:pt idx="8">
                  <c:v>39871</c:v>
                </c:pt>
                <c:pt idx="9">
                  <c:v>39878</c:v>
                </c:pt>
                <c:pt idx="10">
                  <c:v>39885</c:v>
                </c:pt>
                <c:pt idx="11">
                  <c:v>39892</c:v>
                </c:pt>
                <c:pt idx="12">
                  <c:v>39899</c:v>
                </c:pt>
                <c:pt idx="13">
                  <c:v>39906</c:v>
                </c:pt>
                <c:pt idx="14">
                  <c:v>39913</c:v>
                </c:pt>
                <c:pt idx="15">
                  <c:v>39920</c:v>
                </c:pt>
                <c:pt idx="16">
                  <c:v>39927</c:v>
                </c:pt>
                <c:pt idx="17">
                  <c:v>39934</c:v>
                </c:pt>
                <c:pt idx="18">
                  <c:v>39941</c:v>
                </c:pt>
                <c:pt idx="19">
                  <c:v>39948</c:v>
                </c:pt>
                <c:pt idx="20">
                  <c:v>39955</c:v>
                </c:pt>
                <c:pt idx="21">
                  <c:v>39962</c:v>
                </c:pt>
                <c:pt idx="22">
                  <c:v>39969</c:v>
                </c:pt>
                <c:pt idx="23">
                  <c:v>39976</c:v>
                </c:pt>
                <c:pt idx="24">
                  <c:v>39983</c:v>
                </c:pt>
                <c:pt idx="25">
                  <c:v>39990</c:v>
                </c:pt>
                <c:pt idx="26">
                  <c:v>39997</c:v>
                </c:pt>
                <c:pt idx="27">
                  <c:v>40004</c:v>
                </c:pt>
                <c:pt idx="28">
                  <c:v>40011</c:v>
                </c:pt>
                <c:pt idx="29">
                  <c:v>40018</c:v>
                </c:pt>
                <c:pt idx="30">
                  <c:v>40025</c:v>
                </c:pt>
                <c:pt idx="31">
                  <c:v>40032</c:v>
                </c:pt>
                <c:pt idx="32">
                  <c:v>40039</c:v>
                </c:pt>
                <c:pt idx="33">
                  <c:v>40046</c:v>
                </c:pt>
                <c:pt idx="34">
                  <c:v>40053</c:v>
                </c:pt>
                <c:pt idx="35">
                  <c:v>40060</c:v>
                </c:pt>
                <c:pt idx="36">
                  <c:v>40067</c:v>
                </c:pt>
                <c:pt idx="37">
                  <c:v>40074</c:v>
                </c:pt>
                <c:pt idx="38">
                  <c:v>40081</c:v>
                </c:pt>
                <c:pt idx="39">
                  <c:v>40088</c:v>
                </c:pt>
                <c:pt idx="40">
                  <c:v>40095</c:v>
                </c:pt>
                <c:pt idx="41">
                  <c:v>40102</c:v>
                </c:pt>
                <c:pt idx="42">
                  <c:v>40109</c:v>
                </c:pt>
                <c:pt idx="43">
                  <c:v>40116</c:v>
                </c:pt>
                <c:pt idx="44">
                  <c:v>40123</c:v>
                </c:pt>
                <c:pt idx="45">
                  <c:v>40130</c:v>
                </c:pt>
                <c:pt idx="46">
                  <c:v>40137</c:v>
                </c:pt>
                <c:pt idx="47">
                  <c:v>40144</c:v>
                </c:pt>
                <c:pt idx="48">
                  <c:v>40151</c:v>
                </c:pt>
                <c:pt idx="49">
                  <c:v>40158</c:v>
                </c:pt>
                <c:pt idx="50">
                  <c:v>40165</c:v>
                </c:pt>
                <c:pt idx="51">
                  <c:v>40172</c:v>
                </c:pt>
                <c:pt idx="52">
                  <c:v>40179</c:v>
                </c:pt>
                <c:pt idx="53">
                  <c:v>40186</c:v>
                </c:pt>
                <c:pt idx="54">
                  <c:v>40193</c:v>
                </c:pt>
                <c:pt idx="55">
                  <c:v>40200</c:v>
                </c:pt>
                <c:pt idx="56">
                  <c:v>40207</c:v>
                </c:pt>
                <c:pt idx="57">
                  <c:v>40214</c:v>
                </c:pt>
                <c:pt idx="58">
                  <c:v>40221</c:v>
                </c:pt>
                <c:pt idx="59">
                  <c:v>40228</c:v>
                </c:pt>
                <c:pt idx="60">
                  <c:v>40235</c:v>
                </c:pt>
                <c:pt idx="61">
                  <c:v>40242</c:v>
                </c:pt>
                <c:pt idx="62">
                  <c:v>40249</c:v>
                </c:pt>
                <c:pt idx="63">
                  <c:v>40256</c:v>
                </c:pt>
                <c:pt idx="64">
                  <c:v>40263</c:v>
                </c:pt>
                <c:pt idx="65">
                  <c:v>40270</c:v>
                </c:pt>
                <c:pt idx="66">
                  <c:v>40277</c:v>
                </c:pt>
                <c:pt idx="67">
                  <c:v>40284</c:v>
                </c:pt>
                <c:pt idx="68">
                  <c:v>40291</c:v>
                </c:pt>
                <c:pt idx="69">
                  <c:v>40298</c:v>
                </c:pt>
                <c:pt idx="70">
                  <c:v>40305</c:v>
                </c:pt>
                <c:pt idx="71">
                  <c:v>40312</c:v>
                </c:pt>
                <c:pt idx="72">
                  <c:v>40319</c:v>
                </c:pt>
                <c:pt idx="73">
                  <c:v>40326</c:v>
                </c:pt>
                <c:pt idx="74">
                  <c:v>40333</c:v>
                </c:pt>
                <c:pt idx="75">
                  <c:v>40340</c:v>
                </c:pt>
                <c:pt idx="76">
                  <c:v>40347</c:v>
                </c:pt>
                <c:pt idx="77">
                  <c:v>40354</c:v>
                </c:pt>
                <c:pt idx="78">
                  <c:v>40361</c:v>
                </c:pt>
                <c:pt idx="79">
                  <c:v>40368</c:v>
                </c:pt>
                <c:pt idx="80">
                  <c:v>40375</c:v>
                </c:pt>
                <c:pt idx="81">
                  <c:v>40382</c:v>
                </c:pt>
                <c:pt idx="82">
                  <c:v>40389</c:v>
                </c:pt>
                <c:pt idx="83">
                  <c:v>40396</c:v>
                </c:pt>
                <c:pt idx="84">
                  <c:v>40403</c:v>
                </c:pt>
                <c:pt idx="85">
                  <c:v>40410</c:v>
                </c:pt>
                <c:pt idx="86">
                  <c:v>40417</c:v>
                </c:pt>
                <c:pt idx="87">
                  <c:v>40424</c:v>
                </c:pt>
                <c:pt idx="88">
                  <c:v>40431</c:v>
                </c:pt>
                <c:pt idx="89">
                  <c:v>40438</c:v>
                </c:pt>
                <c:pt idx="90">
                  <c:v>40445</c:v>
                </c:pt>
                <c:pt idx="91">
                  <c:v>40452</c:v>
                </c:pt>
                <c:pt idx="92">
                  <c:v>40459</c:v>
                </c:pt>
                <c:pt idx="93">
                  <c:v>40466</c:v>
                </c:pt>
                <c:pt idx="94">
                  <c:v>40473</c:v>
                </c:pt>
                <c:pt idx="95">
                  <c:v>40480</c:v>
                </c:pt>
                <c:pt idx="96">
                  <c:v>40487</c:v>
                </c:pt>
                <c:pt idx="97">
                  <c:v>40494</c:v>
                </c:pt>
                <c:pt idx="98">
                  <c:v>40501</c:v>
                </c:pt>
                <c:pt idx="99">
                  <c:v>40508</c:v>
                </c:pt>
                <c:pt idx="100">
                  <c:v>40515</c:v>
                </c:pt>
                <c:pt idx="101">
                  <c:v>40522</c:v>
                </c:pt>
                <c:pt idx="102">
                  <c:v>40529</c:v>
                </c:pt>
                <c:pt idx="103">
                  <c:v>40536</c:v>
                </c:pt>
                <c:pt idx="104">
                  <c:v>40543</c:v>
                </c:pt>
                <c:pt idx="105">
                  <c:v>40550</c:v>
                </c:pt>
                <c:pt idx="106">
                  <c:v>40557</c:v>
                </c:pt>
                <c:pt idx="107">
                  <c:v>40564</c:v>
                </c:pt>
                <c:pt idx="108">
                  <c:v>40571</c:v>
                </c:pt>
                <c:pt idx="109">
                  <c:v>40578</c:v>
                </c:pt>
                <c:pt idx="110">
                  <c:v>40585</c:v>
                </c:pt>
                <c:pt idx="111">
                  <c:v>40592</c:v>
                </c:pt>
                <c:pt idx="112">
                  <c:v>40599</c:v>
                </c:pt>
                <c:pt idx="113">
                  <c:v>40606</c:v>
                </c:pt>
                <c:pt idx="114">
                  <c:v>40613</c:v>
                </c:pt>
                <c:pt idx="115">
                  <c:v>40620</c:v>
                </c:pt>
                <c:pt idx="116">
                  <c:v>40627</c:v>
                </c:pt>
                <c:pt idx="117">
                  <c:v>40634</c:v>
                </c:pt>
                <c:pt idx="118">
                  <c:v>40641</c:v>
                </c:pt>
                <c:pt idx="119">
                  <c:v>40648</c:v>
                </c:pt>
                <c:pt idx="120">
                  <c:v>40655</c:v>
                </c:pt>
                <c:pt idx="121">
                  <c:v>40662</c:v>
                </c:pt>
                <c:pt idx="122">
                  <c:v>40669</c:v>
                </c:pt>
                <c:pt idx="123">
                  <c:v>40676</c:v>
                </c:pt>
                <c:pt idx="124">
                  <c:v>40683</c:v>
                </c:pt>
                <c:pt idx="125">
                  <c:v>40690</c:v>
                </c:pt>
                <c:pt idx="126">
                  <c:v>40697</c:v>
                </c:pt>
                <c:pt idx="127">
                  <c:v>40704</c:v>
                </c:pt>
                <c:pt idx="128">
                  <c:v>40711</c:v>
                </c:pt>
                <c:pt idx="129">
                  <c:v>40718</c:v>
                </c:pt>
                <c:pt idx="130">
                  <c:v>40725</c:v>
                </c:pt>
                <c:pt idx="131">
                  <c:v>40732</c:v>
                </c:pt>
                <c:pt idx="132">
                  <c:v>40739</c:v>
                </c:pt>
                <c:pt idx="133">
                  <c:v>40746</c:v>
                </c:pt>
                <c:pt idx="134">
                  <c:v>40753</c:v>
                </c:pt>
                <c:pt idx="135">
                  <c:v>40760</c:v>
                </c:pt>
                <c:pt idx="136">
                  <c:v>40767</c:v>
                </c:pt>
                <c:pt idx="137">
                  <c:v>40774</c:v>
                </c:pt>
                <c:pt idx="138">
                  <c:v>40781</c:v>
                </c:pt>
                <c:pt idx="139">
                  <c:v>40788</c:v>
                </c:pt>
                <c:pt idx="140">
                  <c:v>40795</c:v>
                </c:pt>
                <c:pt idx="141">
                  <c:v>40802</c:v>
                </c:pt>
                <c:pt idx="142">
                  <c:v>40809</c:v>
                </c:pt>
                <c:pt idx="143">
                  <c:v>40816</c:v>
                </c:pt>
                <c:pt idx="144">
                  <c:v>40823</c:v>
                </c:pt>
                <c:pt idx="145">
                  <c:v>40830</c:v>
                </c:pt>
                <c:pt idx="146">
                  <c:v>40837</c:v>
                </c:pt>
                <c:pt idx="147">
                  <c:v>40844</c:v>
                </c:pt>
                <c:pt idx="148">
                  <c:v>40851</c:v>
                </c:pt>
                <c:pt idx="149">
                  <c:v>40858</c:v>
                </c:pt>
                <c:pt idx="150">
                  <c:v>40865</c:v>
                </c:pt>
                <c:pt idx="151">
                  <c:v>40872</c:v>
                </c:pt>
                <c:pt idx="152">
                  <c:v>40879</c:v>
                </c:pt>
                <c:pt idx="153">
                  <c:v>40886</c:v>
                </c:pt>
                <c:pt idx="154">
                  <c:v>40893</c:v>
                </c:pt>
                <c:pt idx="155">
                  <c:v>40900</c:v>
                </c:pt>
                <c:pt idx="156">
                  <c:v>40907</c:v>
                </c:pt>
                <c:pt idx="157">
                  <c:v>40914</c:v>
                </c:pt>
                <c:pt idx="158">
                  <c:v>40921</c:v>
                </c:pt>
                <c:pt idx="159">
                  <c:v>40928</c:v>
                </c:pt>
                <c:pt idx="160">
                  <c:v>40935</c:v>
                </c:pt>
                <c:pt idx="161">
                  <c:v>40942</c:v>
                </c:pt>
                <c:pt idx="162">
                  <c:v>40949</c:v>
                </c:pt>
                <c:pt idx="163">
                  <c:v>40956</c:v>
                </c:pt>
                <c:pt idx="164">
                  <c:v>40963</c:v>
                </c:pt>
                <c:pt idx="165">
                  <c:v>40970</c:v>
                </c:pt>
                <c:pt idx="166">
                  <c:v>40977</c:v>
                </c:pt>
                <c:pt idx="167">
                  <c:v>40984</c:v>
                </c:pt>
                <c:pt idx="168">
                  <c:v>40991</c:v>
                </c:pt>
                <c:pt idx="169">
                  <c:v>40998</c:v>
                </c:pt>
                <c:pt idx="170">
                  <c:v>41005</c:v>
                </c:pt>
                <c:pt idx="171">
                  <c:v>41012</c:v>
                </c:pt>
                <c:pt idx="172">
                  <c:v>41019</c:v>
                </c:pt>
                <c:pt idx="173">
                  <c:v>41026</c:v>
                </c:pt>
                <c:pt idx="174">
                  <c:v>41033</c:v>
                </c:pt>
                <c:pt idx="175">
                  <c:v>41040</c:v>
                </c:pt>
                <c:pt idx="176">
                  <c:v>41047</c:v>
                </c:pt>
                <c:pt idx="177">
                  <c:v>41054</c:v>
                </c:pt>
                <c:pt idx="178">
                  <c:v>41061</c:v>
                </c:pt>
                <c:pt idx="179">
                  <c:v>41068</c:v>
                </c:pt>
                <c:pt idx="180">
                  <c:v>41075</c:v>
                </c:pt>
                <c:pt idx="181">
                  <c:v>41082</c:v>
                </c:pt>
                <c:pt idx="182">
                  <c:v>41089</c:v>
                </c:pt>
                <c:pt idx="183">
                  <c:v>41096</c:v>
                </c:pt>
                <c:pt idx="184">
                  <c:v>41103</c:v>
                </c:pt>
                <c:pt idx="185">
                  <c:v>41110</c:v>
                </c:pt>
                <c:pt idx="186">
                  <c:v>41117</c:v>
                </c:pt>
                <c:pt idx="187">
                  <c:v>41124</c:v>
                </c:pt>
                <c:pt idx="188">
                  <c:v>41131</c:v>
                </c:pt>
                <c:pt idx="189">
                  <c:v>41138</c:v>
                </c:pt>
                <c:pt idx="190">
                  <c:v>41145</c:v>
                </c:pt>
                <c:pt idx="191">
                  <c:v>41152</c:v>
                </c:pt>
                <c:pt idx="192">
                  <c:v>41159</c:v>
                </c:pt>
                <c:pt idx="193">
                  <c:v>41166</c:v>
                </c:pt>
                <c:pt idx="194">
                  <c:v>41173</c:v>
                </c:pt>
                <c:pt idx="195">
                  <c:v>41180</c:v>
                </c:pt>
                <c:pt idx="196">
                  <c:v>41187</c:v>
                </c:pt>
                <c:pt idx="197">
                  <c:v>41194</c:v>
                </c:pt>
                <c:pt idx="198">
                  <c:v>41201</c:v>
                </c:pt>
                <c:pt idx="199">
                  <c:v>41208</c:v>
                </c:pt>
                <c:pt idx="200">
                  <c:v>41215</c:v>
                </c:pt>
                <c:pt idx="201">
                  <c:v>41222</c:v>
                </c:pt>
                <c:pt idx="202">
                  <c:v>41229</c:v>
                </c:pt>
                <c:pt idx="203">
                  <c:v>41236</c:v>
                </c:pt>
                <c:pt idx="204">
                  <c:v>41243</c:v>
                </c:pt>
                <c:pt idx="205">
                  <c:v>41250</c:v>
                </c:pt>
                <c:pt idx="206">
                  <c:v>41257</c:v>
                </c:pt>
                <c:pt idx="207">
                  <c:v>41264</c:v>
                </c:pt>
                <c:pt idx="208">
                  <c:v>41271</c:v>
                </c:pt>
                <c:pt idx="209">
                  <c:v>41278</c:v>
                </c:pt>
                <c:pt idx="210">
                  <c:v>41285</c:v>
                </c:pt>
                <c:pt idx="211">
                  <c:v>41292</c:v>
                </c:pt>
                <c:pt idx="212">
                  <c:v>41299</c:v>
                </c:pt>
                <c:pt idx="213">
                  <c:v>41306</c:v>
                </c:pt>
                <c:pt idx="214">
                  <c:v>41313</c:v>
                </c:pt>
                <c:pt idx="215">
                  <c:v>41320</c:v>
                </c:pt>
                <c:pt idx="216">
                  <c:v>41327</c:v>
                </c:pt>
                <c:pt idx="217">
                  <c:v>41334</c:v>
                </c:pt>
                <c:pt idx="218">
                  <c:v>41341</c:v>
                </c:pt>
                <c:pt idx="219">
                  <c:v>41348</c:v>
                </c:pt>
                <c:pt idx="220">
                  <c:v>41355</c:v>
                </c:pt>
                <c:pt idx="221">
                  <c:v>41362</c:v>
                </c:pt>
                <c:pt idx="222">
                  <c:v>41369</c:v>
                </c:pt>
                <c:pt idx="223">
                  <c:v>41376</c:v>
                </c:pt>
                <c:pt idx="224">
                  <c:v>41383</c:v>
                </c:pt>
                <c:pt idx="225">
                  <c:v>41390</c:v>
                </c:pt>
                <c:pt idx="226">
                  <c:v>41397</c:v>
                </c:pt>
                <c:pt idx="227">
                  <c:v>41404</c:v>
                </c:pt>
                <c:pt idx="228">
                  <c:v>41411</c:v>
                </c:pt>
                <c:pt idx="229">
                  <c:v>41418</c:v>
                </c:pt>
                <c:pt idx="230">
                  <c:v>41425</c:v>
                </c:pt>
                <c:pt idx="231">
                  <c:v>41432</c:v>
                </c:pt>
                <c:pt idx="232">
                  <c:v>41439</c:v>
                </c:pt>
                <c:pt idx="233">
                  <c:v>41446</c:v>
                </c:pt>
                <c:pt idx="234">
                  <c:v>41453</c:v>
                </c:pt>
                <c:pt idx="235">
                  <c:v>41460</c:v>
                </c:pt>
                <c:pt idx="236">
                  <c:v>41467</c:v>
                </c:pt>
                <c:pt idx="237">
                  <c:v>41474</c:v>
                </c:pt>
                <c:pt idx="238">
                  <c:v>41481</c:v>
                </c:pt>
                <c:pt idx="239">
                  <c:v>41488</c:v>
                </c:pt>
                <c:pt idx="240">
                  <c:v>41495</c:v>
                </c:pt>
                <c:pt idx="241">
                  <c:v>41502</c:v>
                </c:pt>
                <c:pt idx="242">
                  <c:v>41509</c:v>
                </c:pt>
                <c:pt idx="243">
                  <c:v>41516</c:v>
                </c:pt>
                <c:pt idx="244">
                  <c:v>41523</c:v>
                </c:pt>
                <c:pt idx="245">
                  <c:v>41530</c:v>
                </c:pt>
                <c:pt idx="246">
                  <c:v>41537</c:v>
                </c:pt>
                <c:pt idx="247">
                  <c:v>41544</c:v>
                </c:pt>
                <c:pt idx="248">
                  <c:v>41551</c:v>
                </c:pt>
                <c:pt idx="249">
                  <c:v>41558</c:v>
                </c:pt>
                <c:pt idx="250">
                  <c:v>41565</c:v>
                </c:pt>
                <c:pt idx="251">
                  <c:v>41572</c:v>
                </c:pt>
                <c:pt idx="252">
                  <c:v>41579</c:v>
                </c:pt>
                <c:pt idx="253">
                  <c:v>41586</c:v>
                </c:pt>
                <c:pt idx="254">
                  <c:v>41593</c:v>
                </c:pt>
                <c:pt idx="255">
                  <c:v>41600</c:v>
                </c:pt>
                <c:pt idx="256">
                  <c:v>41607</c:v>
                </c:pt>
                <c:pt idx="257">
                  <c:v>41614</c:v>
                </c:pt>
                <c:pt idx="258">
                  <c:v>41621</c:v>
                </c:pt>
                <c:pt idx="259">
                  <c:v>41628</c:v>
                </c:pt>
                <c:pt idx="260">
                  <c:v>41635</c:v>
                </c:pt>
                <c:pt idx="261">
                  <c:v>41642</c:v>
                </c:pt>
                <c:pt idx="262">
                  <c:v>41649</c:v>
                </c:pt>
                <c:pt idx="263">
                  <c:v>41656</c:v>
                </c:pt>
                <c:pt idx="264">
                  <c:v>41663</c:v>
                </c:pt>
                <c:pt idx="265">
                  <c:v>41670</c:v>
                </c:pt>
                <c:pt idx="266">
                  <c:v>41677</c:v>
                </c:pt>
                <c:pt idx="267">
                  <c:v>41684</c:v>
                </c:pt>
                <c:pt idx="268">
                  <c:v>41691</c:v>
                </c:pt>
                <c:pt idx="269">
                  <c:v>41698</c:v>
                </c:pt>
                <c:pt idx="270">
                  <c:v>41705</c:v>
                </c:pt>
                <c:pt idx="271">
                  <c:v>41712</c:v>
                </c:pt>
                <c:pt idx="272">
                  <c:v>41719</c:v>
                </c:pt>
                <c:pt idx="273">
                  <c:v>41726</c:v>
                </c:pt>
                <c:pt idx="274">
                  <c:v>41733</c:v>
                </c:pt>
                <c:pt idx="275">
                  <c:v>41740</c:v>
                </c:pt>
                <c:pt idx="276">
                  <c:v>41747</c:v>
                </c:pt>
                <c:pt idx="277">
                  <c:v>41754</c:v>
                </c:pt>
                <c:pt idx="278">
                  <c:v>41761</c:v>
                </c:pt>
                <c:pt idx="279">
                  <c:v>41768</c:v>
                </c:pt>
                <c:pt idx="280">
                  <c:v>41775</c:v>
                </c:pt>
                <c:pt idx="281">
                  <c:v>41782</c:v>
                </c:pt>
                <c:pt idx="282">
                  <c:v>41789</c:v>
                </c:pt>
                <c:pt idx="283">
                  <c:v>41796</c:v>
                </c:pt>
                <c:pt idx="284">
                  <c:v>41803</c:v>
                </c:pt>
                <c:pt idx="285">
                  <c:v>41810</c:v>
                </c:pt>
                <c:pt idx="286">
                  <c:v>41817</c:v>
                </c:pt>
                <c:pt idx="287">
                  <c:v>41824</c:v>
                </c:pt>
                <c:pt idx="288">
                  <c:v>41831</c:v>
                </c:pt>
                <c:pt idx="289">
                  <c:v>41838</c:v>
                </c:pt>
                <c:pt idx="290">
                  <c:v>41845</c:v>
                </c:pt>
                <c:pt idx="291">
                  <c:v>41852</c:v>
                </c:pt>
                <c:pt idx="292">
                  <c:v>41859</c:v>
                </c:pt>
                <c:pt idx="293">
                  <c:v>41866</c:v>
                </c:pt>
                <c:pt idx="294">
                  <c:v>41873</c:v>
                </c:pt>
                <c:pt idx="295">
                  <c:v>41880</c:v>
                </c:pt>
                <c:pt idx="296">
                  <c:v>41887</c:v>
                </c:pt>
                <c:pt idx="297">
                  <c:v>41894</c:v>
                </c:pt>
                <c:pt idx="298">
                  <c:v>41901</c:v>
                </c:pt>
                <c:pt idx="299">
                  <c:v>41908</c:v>
                </c:pt>
                <c:pt idx="300">
                  <c:v>41915</c:v>
                </c:pt>
                <c:pt idx="301">
                  <c:v>41922</c:v>
                </c:pt>
                <c:pt idx="302">
                  <c:v>41929</c:v>
                </c:pt>
                <c:pt idx="303">
                  <c:v>41936</c:v>
                </c:pt>
                <c:pt idx="304">
                  <c:v>41943</c:v>
                </c:pt>
                <c:pt idx="305">
                  <c:v>41950</c:v>
                </c:pt>
                <c:pt idx="306">
                  <c:v>41957</c:v>
                </c:pt>
                <c:pt idx="307">
                  <c:v>41964</c:v>
                </c:pt>
                <c:pt idx="308">
                  <c:v>41971</c:v>
                </c:pt>
                <c:pt idx="309">
                  <c:v>41978</c:v>
                </c:pt>
                <c:pt idx="310">
                  <c:v>41985</c:v>
                </c:pt>
                <c:pt idx="311">
                  <c:v>41992</c:v>
                </c:pt>
                <c:pt idx="312">
                  <c:v>41999</c:v>
                </c:pt>
                <c:pt idx="313">
                  <c:v>42006</c:v>
                </c:pt>
                <c:pt idx="314">
                  <c:v>42013</c:v>
                </c:pt>
                <c:pt idx="315">
                  <c:v>42020</c:v>
                </c:pt>
                <c:pt idx="316">
                  <c:v>42027</c:v>
                </c:pt>
                <c:pt idx="317">
                  <c:v>42034</c:v>
                </c:pt>
                <c:pt idx="318">
                  <c:v>42041</c:v>
                </c:pt>
                <c:pt idx="319">
                  <c:v>42048</c:v>
                </c:pt>
                <c:pt idx="320">
                  <c:v>42055</c:v>
                </c:pt>
                <c:pt idx="321">
                  <c:v>42062</c:v>
                </c:pt>
                <c:pt idx="322">
                  <c:v>42069</c:v>
                </c:pt>
                <c:pt idx="323">
                  <c:v>42076</c:v>
                </c:pt>
                <c:pt idx="324">
                  <c:v>42083</c:v>
                </c:pt>
                <c:pt idx="325">
                  <c:v>42090</c:v>
                </c:pt>
                <c:pt idx="326">
                  <c:v>42097</c:v>
                </c:pt>
                <c:pt idx="327">
                  <c:v>42104</c:v>
                </c:pt>
                <c:pt idx="328">
                  <c:v>42111</c:v>
                </c:pt>
                <c:pt idx="329">
                  <c:v>42118</c:v>
                </c:pt>
                <c:pt idx="330">
                  <c:v>42125</c:v>
                </c:pt>
                <c:pt idx="331">
                  <c:v>42132</c:v>
                </c:pt>
                <c:pt idx="332">
                  <c:v>42139</c:v>
                </c:pt>
                <c:pt idx="333">
                  <c:v>42146</c:v>
                </c:pt>
                <c:pt idx="334">
                  <c:v>42153</c:v>
                </c:pt>
                <c:pt idx="335">
                  <c:v>42160</c:v>
                </c:pt>
                <c:pt idx="336">
                  <c:v>42167</c:v>
                </c:pt>
                <c:pt idx="337">
                  <c:v>42174</c:v>
                </c:pt>
                <c:pt idx="338">
                  <c:v>42181</c:v>
                </c:pt>
                <c:pt idx="339">
                  <c:v>42188</c:v>
                </c:pt>
                <c:pt idx="340">
                  <c:v>42195</c:v>
                </c:pt>
                <c:pt idx="341">
                  <c:v>42202</c:v>
                </c:pt>
                <c:pt idx="342">
                  <c:v>42209</c:v>
                </c:pt>
                <c:pt idx="343">
                  <c:v>42216</c:v>
                </c:pt>
                <c:pt idx="344">
                  <c:v>42223</c:v>
                </c:pt>
                <c:pt idx="345">
                  <c:v>42230</c:v>
                </c:pt>
                <c:pt idx="346">
                  <c:v>42237</c:v>
                </c:pt>
                <c:pt idx="347">
                  <c:v>42244</c:v>
                </c:pt>
                <c:pt idx="348">
                  <c:v>42251</c:v>
                </c:pt>
                <c:pt idx="349">
                  <c:v>42258</c:v>
                </c:pt>
                <c:pt idx="350">
                  <c:v>42265</c:v>
                </c:pt>
                <c:pt idx="351">
                  <c:v>42272</c:v>
                </c:pt>
                <c:pt idx="352">
                  <c:v>42279</c:v>
                </c:pt>
                <c:pt idx="353">
                  <c:v>42286</c:v>
                </c:pt>
                <c:pt idx="354">
                  <c:v>42293</c:v>
                </c:pt>
                <c:pt idx="355">
                  <c:v>42300</c:v>
                </c:pt>
                <c:pt idx="356">
                  <c:v>42307</c:v>
                </c:pt>
                <c:pt idx="357">
                  <c:v>42314</c:v>
                </c:pt>
                <c:pt idx="358">
                  <c:v>42321</c:v>
                </c:pt>
                <c:pt idx="359">
                  <c:v>42328</c:v>
                </c:pt>
                <c:pt idx="360">
                  <c:v>42335</c:v>
                </c:pt>
                <c:pt idx="361">
                  <c:v>42342</c:v>
                </c:pt>
                <c:pt idx="362">
                  <c:v>42349</c:v>
                </c:pt>
                <c:pt idx="363">
                  <c:v>42356</c:v>
                </c:pt>
                <c:pt idx="364">
                  <c:v>42363</c:v>
                </c:pt>
                <c:pt idx="365">
                  <c:v>42370</c:v>
                </c:pt>
                <c:pt idx="366">
                  <c:v>42377</c:v>
                </c:pt>
                <c:pt idx="367">
                  <c:v>42384</c:v>
                </c:pt>
                <c:pt idx="368">
                  <c:v>42391</c:v>
                </c:pt>
                <c:pt idx="369">
                  <c:v>42398</c:v>
                </c:pt>
                <c:pt idx="370">
                  <c:v>42405</c:v>
                </c:pt>
                <c:pt idx="371">
                  <c:v>42412</c:v>
                </c:pt>
                <c:pt idx="372">
                  <c:v>42419</c:v>
                </c:pt>
                <c:pt idx="373">
                  <c:v>42426</c:v>
                </c:pt>
                <c:pt idx="374">
                  <c:v>42433</c:v>
                </c:pt>
                <c:pt idx="375">
                  <c:v>42440</c:v>
                </c:pt>
                <c:pt idx="376">
                  <c:v>42447</c:v>
                </c:pt>
                <c:pt idx="377">
                  <c:v>42454</c:v>
                </c:pt>
                <c:pt idx="378">
                  <c:v>42461</c:v>
                </c:pt>
                <c:pt idx="379">
                  <c:v>42468</c:v>
                </c:pt>
                <c:pt idx="380">
                  <c:v>42475</c:v>
                </c:pt>
                <c:pt idx="381">
                  <c:v>42482</c:v>
                </c:pt>
                <c:pt idx="382">
                  <c:v>42489</c:v>
                </c:pt>
                <c:pt idx="383">
                  <c:v>42496</c:v>
                </c:pt>
                <c:pt idx="384">
                  <c:v>42503</c:v>
                </c:pt>
                <c:pt idx="385">
                  <c:v>42510</c:v>
                </c:pt>
                <c:pt idx="386">
                  <c:v>42517</c:v>
                </c:pt>
                <c:pt idx="387">
                  <c:v>42524</c:v>
                </c:pt>
                <c:pt idx="388">
                  <c:v>42531</c:v>
                </c:pt>
                <c:pt idx="389">
                  <c:v>42538</c:v>
                </c:pt>
                <c:pt idx="390">
                  <c:v>42545</c:v>
                </c:pt>
                <c:pt idx="391">
                  <c:v>42552</c:v>
                </c:pt>
                <c:pt idx="392">
                  <c:v>42559</c:v>
                </c:pt>
                <c:pt idx="393">
                  <c:v>42566</c:v>
                </c:pt>
                <c:pt idx="394">
                  <c:v>42573</c:v>
                </c:pt>
                <c:pt idx="395">
                  <c:v>42580</c:v>
                </c:pt>
                <c:pt idx="396">
                  <c:v>42587</c:v>
                </c:pt>
                <c:pt idx="397">
                  <c:v>42594</c:v>
                </c:pt>
                <c:pt idx="398">
                  <c:v>42601</c:v>
                </c:pt>
                <c:pt idx="399">
                  <c:v>42608</c:v>
                </c:pt>
                <c:pt idx="400">
                  <c:v>42615</c:v>
                </c:pt>
                <c:pt idx="401">
                  <c:v>42622</c:v>
                </c:pt>
                <c:pt idx="402">
                  <c:v>42629</c:v>
                </c:pt>
                <c:pt idx="403">
                  <c:v>42636</c:v>
                </c:pt>
                <c:pt idx="404">
                  <c:v>42643</c:v>
                </c:pt>
                <c:pt idx="405">
                  <c:v>42650</c:v>
                </c:pt>
                <c:pt idx="406">
                  <c:v>42657</c:v>
                </c:pt>
                <c:pt idx="407">
                  <c:v>42664</c:v>
                </c:pt>
                <c:pt idx="408">
                  <c:v>42671</c:v>
                </c:pt>
                <c:pt idx="409">
                  <c:v>42678</c:v>
                </c:pt>
                <c:pt idx="410">
                  <c:v>42685</c:v>
                </c:pt>
                <c:pt idx="411">
                  <c:v>42692</c:v>
                </c:pt>
                <c:pt idx="412">
                  <c:v>42699</c:v>
                </c:pt>
                <c:pt idx="413">
                  <c:v>42706</c:v>
                </c:pt>
                <c:pt idx="414">
                  <c:v>42713</c:v>
                </c:pt>
                <c:pt idx="415">
                  <c:v>42720</c:v>
                </c:pt>
                <c:pt idx="416">
                  <c:v>42727</c:v>
                </c:pt>
                <c:pt idx="417">
                  <c:v>42734</c:v>
                </c:pt>
                <c:pt idx="418">
                  <c:v>42741</c:v>
                </c:pt>
                <c:pt idx="419">
                  <c:v>42748</c:v>
                </c:pt>
                <c:pt idx="420">
                  <c:v>42755</c:v>
                </c:pt>
                <c:pt idx="421">
                  <c:v>42762</c:v>
                </c:pt>
                <c:pt idx="422">
                  <c:v>42769</c:v>
                </c:pt>
                <c:pt idx="423">
                  <c:v>42776</c:v>
                </c:pt>
                <c:pt idx="424">
                  <c:v>42783</c:v>
                </c:pt>
                <c:pt idx="425">
                  <c:v>42790</c:v>
                </c:pt>
                <c:pt idx="426">
                  <c:v>42797</c:v>
                </c:pt>
                <c:pt idx="427">
                  <c:v>42804</c:v>
                </c:pt>
                <c:pt idx="428">
                  <c:v>42811</c:v>
                </c:pt>
                <c:pt idx="429">
                  <c:v>42818</c:v>
                </c:pt>
                <c:pt idx="430">
                  <c:v>42825</c:v>
                </c:pt>
                <c:pt idx="431">
                  <c:v>42832</c:v>
                </c:pt>
                <c:pt idx="432">
                  <c:v>42839</c:v>
                </c:pt>
                <c:pt idx="433">
                  <c:v>42846</c:v>
                </c:pt>
                <c:pt idx="434">
                  <c:v>42853</c:v>
                </c:pt>
                <c:pt idx="435">
                  <c:v>42860</c:v>
                </c:pt>
                <c:pt idx="436">
                  <c:v>42867</c:v>
                </c:pt>
                <c:pt idx="437">
                  <c:v>42874</c:v>
                </c:pt>
                <c:pt idx="438">
                  <c:v>42881</c:v>
                </c:pt>
                <c:pt idx="439">
                  <c:v>42888</c:v>
                </c:pt>
                <c:pt idx="440">
                  <c:v>42895</c:v>
                </c:pt>
                <c:pt idx="441">
                  <c:v>42902</c:v>
                </c:pt>
                <c:pt idx="442">
                  <c:v>42909</c:v>
                </c:pt>
                <c:pt idx="443">
                  <c:v>42916</c:v>
                </c:pt>
                <c:pt idx="444">
                  <c:v>42923</c:v>
                </c:pt>
                <c:pt idx="445">
                  <c:v>42930</c:v>
                </c:pt>
                <c:pt idx="446">
                  <c:v>42937</c:v>
                </c:pt>
                <c:pt idx="447">
                  <c:v>42944</c:v>
                </c:pt>
                <c:pt idx="448">
                  <c:v>42951</c:v>
                </c:pt>
                <c:pt idx="449">
                  <c:v>42958</c:v>
                </c:pt>
                <c:pt idx="450">
                  <c:v>42965</c:v>
                </c:pt>
                <c:pt idx="451">
                  <c:v>42972</c:v>
                </c:pt>
                <c:pt idx="452">
                  <c:v>42979</c:v>
                </c:pt>
                <c:pt idx="453">
                  <c:v>42986</c:v>
                </c:pt>
                <c:pt idx="454">
                  <c:v>42993</c:v>
                </c:pt>
                <c:pt idx="455">
                  <c:v>43000</c:v>
                </c:pt>
                <c:pt idx="456">
                  <c:v>43007</c:v>
                </c:pt>
                <c:pt idx="457">
                  <c:v>43014</c:v>
                </c:pt>
                <c:pt idx="458">
                  <c:v>43021</c:v>
                </c:pt>
                <c:pt idx="459">
                  <c:v>43028</c:v>
                </c:pt>
                <c:pt idx="460">
                  <c:v>43035</c:v>
                </c:pt>
                <c:pt idx="461">
                  <c:v>43042</c:v>
                </c:pt>
                <c:pt idx="462">
                  <c:v>43049</c:v>
                </c:pt>
                <c:pt idx="463">
                  <c:v>43056</c:v>
                </c:pt>
                <c:pt idx="464">
                  <c:v>43063</c:v>
                </c:pt>
                <c:pt idx="465">
                  <c:v>43070</c:v>
                </c:pt>
                <c:pt idx="466">
                  <c:v>43077</c:v>
                </c:pt>
                <c:pt idx="467">
                  <c:v>43084</c:v>
                </c:pt>
                <c:pt idx="468">
                  <c:v>43091</c:v>
                </c:pt>
                <c:pt idx="469">
                  <c:v>43098</c:v>
                </c:pt>
                <c:pt idx="470">
                  <c:v>43105</c:v>
                </c:pt>
                <c:pt idx="471">
                  <c:v>43112</c:v>
                </c:pt>
                <c:pt idx="472">
                  <c:v>43119</c:v>
                </c:pt>
                <c:pt idx="473">
                  <c:v>43126</c:v>
                </c:pt>
                <c:pt idx="474">
                  <c:v>43133</c:v>
                </c:pt>
                <c:pt idx="475">
                  <c:v>43140</c:v>
                </c:pt>
                <c:pt idx="476">
                  <c:v>43147</c:v>
                </c:pt>
                <c:pt idx="477">
                  <c:v>43154</c:v>
                </c:pt>
                <c:pt idx="478">
                  <c:v>43161</c:v>
                </c:pt>
                <c:pt idx="479">
                  <c:v>43168</c:v>
                </c:pt>
                <c:pt idx="480">
                  <c:v>43175</c:v>
                </c:pt>
                <c:pt idx="481">
                  <c:v>43182</c:v>
                </c:pt>
                <c:pt idx="482">
                  <c:v>43189</c:v>
                </c:pt>
                <c:pt idx="483">
                  <c:v>43196</c:v>
                </c:pt>
                <c:pt idx="484">
                  <c:v>43203</c:v>
                </c:pt>
                <c:pt idx="485">
                  <c:v>43210</c:v>
                </c:pt>
                <c:pt idx="486">
                  <c:v>43217</c:v>
                </c:pt>
                <c:pt idx="487">
                  <c:v>43224</c:v>
                </c:pt>
              </c:numCache>
            </c:numRef>
          </c:cat>
          <c:val>
            <c:numRef>
              <c:f>'Refi Index Weekly'!$B$2:$B$489</c:f>
              <c:numCache>
                <c:formatCode>General</c:formatCode>
                <c:ptCount val="488"/>
                <c:pt idx="0">
                  <c:v>5904.5</c:v>
                </c:pt>
                <c:pt idx="1">
                  <c:v>7414.1</c:v>
                </c:pt>
                <c:pt idx="2">
                  <c:v>6491.8</c:v>
                </c:pt>
                <c:pt idx="3">
                  <c:v>3373.9</c:v>
                </c:pt>
                <c:pt idx="4">
                  <c:v>3906.3</c:v>
                </c:pt>
                <c:pt idx="5">
                  <c:v>2722.7</c:v>
                </c:pt>
                <c:pt idx="6">
                  <c:v>4472.8999999999996</c:v>
                </c:pt>
                <c:pt idx="7">
                  <c:v>3618</c:v>
                </c:pt>
                <c:pt idx="8">
                  <c:v>3063.4</c:v>
                </c:pt>
                <c:pt idx="9">
                  <c:v>3470.7</c:v>
                </c:pt>
                <c:pt idx="10">
                  <c:v>4497.6000000000004</c:v>
                </c:pt>
                <c:pt idx="11">
                  <c:v>6363.2</c:v>
                </c:pt>
                <c:pt idx="12">
                  <c:v>6600.1</c:v>
                </c:pt>
                <c:pt idx="13">
                  <c:v>6813.5</c:v>
                </c:pt>
                <c:pt idx="14">
                  <c:v>6071.7</c:v>
                </c:pt>
                <c:pt idx="15">
                  <c:v>6540.7</c:v>
                </c:pt>
                <c:pt idx="16">
                  <c:v>5108.2</c:v>
                </c:pt>
                <c:pt idx="17">
                  <c:v>5169.3</c:v>
                </c:pt>
                <c:pt idx="18">
                  <c:v>4588.6000000000004</c:v>
                </c:pt>
                <c:pt idx="19">
                  <c:v>4794.3999999999996</c:v>
                </c:pt>
                <c:pt idx="20">
                  <c:v>3890.4</c:v>
                </c:pt>
                <c:pt idx="21">
                  <c:v>2953.6</c:v>
                </c:pt>
                <c:pt idx="22">
                  <c:v>2605.6999999999998</c:v>
                </c:pt>
                <c:pt idx="23">
                  <c:v>1998.1</c:v>
                </c:pt>
                <c:pt idx="24">
                  <c:v>2116.3000000000002</c:v>
                </c:pt>
                <c:pt idx="25">
                  <c:v>1482.2</c:v>
                </c:pt>
                <c:pt idx="26">
                  <c:v>1707.7</c:v>
                </c:pt>
                <c:pt idx="27">
                  <c:v>2009.4</c:v>
                </c:pt>
                <c:pt idx="28">
                  <c:v>2089.6999999999998</c:v>
                </c:pt>
                <c:pt idx="29">
                  <c:v>1862.1</c:v>
                </c:pt>
                <c:pt idx="30">
                  <c:v>1996.7</c:v>
                </c:pt>
                <c:pt idx="31">
                  <c:v>1853.8</c:v>
                </c:pt>
                <c:pt idx="32">
                  <c:v>1982.5</c:v>
                </c:pt>
                <c:pt idx="33">
                  <c:v>2233.5</c:v>
                </c:pt>
                <c:pt idx="34">
                  <c:v>2164.1</c:v>
                </c:pt>
                <c:pt idx="35">
                  <c:v>2651.2</c:v>
                </c:pt>
                <c:pt idx="36">
                  <c:v>2454.5</c:v>
                </c:pt>
                <c:pt idx="37">
                  <c:v>2881.5</c:v>
                </c:pt>
                <c:pt idx="38">
                  <c:v>2857.3</c:v>
                </c:pt>
                <c:pt idx="39">
                  <c:v>3377.1</c:v>
                </c:pt>
                <c:pt idx="40">
                  <c:v>3374.6</c:v>
                </c:pt>
                <c:pt idx="41">
                  <c:v>2808</c:v>
                </c:pt>
                <c:pt idx="42">
                  <c:v>2352.5</c:v>
                </c:pt>
                <c:pt idx="43">
                  <c:v>2693.7</c:v>
                </c:pt>
                <c:pt idx="44">
                  <c:v>2998.2</c:v>
                </c:pt>
                <c:pt idx="45">
                  <c:v>3115.1</c:v>
                </c:pt>
                <c:pt idx="46">
                  <c:v>2818.7</c:v>
                </c:pt>
                <c:pt idx="47">
                  <c:v>2866.4</c:v>
                </c:pt>
                <c:pt idx="48">
                  <c:v>3185.9</c:v>
                </c:pt>
                <c:pt idx="49">
                  <c:v>3214</c:v>
                </c:pt>
                <c:pt idx="50">
                  <c:v>2889.9</c:v>
                </c:pt>
                <c:pt idx="51">
                  <c:v>2008.9</c:v>
                </c:pt>
                <c:pt idx="52">
                  <c:v>1976.9</c:v>
                </c:pt>
                <c:pt idx="53">
                  <c:v>2407.1999999999998</c:v>
                </c:pt>
                <c:pt idx="54">
                  <c:v>2663.8</c:v>
                </c:pt>
                <c:pt idx="55">
                  <c:v>2260.4</c:v>
                </c:pt>
                <c:pt idx="56">
                  <c:v>2854.8</c:v>
                </c:pt>
                <c:pt idx="57">
                  <c:v>2893.9</c:v>
                </c:pt>
                <c:pt idx="58">
                  <c:v>2860.1</c:v>
                </c:pt>
                <c:pt idx="59">
                  <c:v>2605.3000000000002</c:v>
                </c:pt>
                <c:pt idx="60">
                  <c:v>3054.3</c:v>
                </c:pt>
                <c:pt idx="61">
                  <c:v>3007.2</c:v>
                </c:pt>
                <c:pt idx="62">
                  <c:v>2955.9</c:v>
                </c:pt>
                <c:pt idx="63">
                  <c:v>2744.7</c:v>
                </c:pt>
                <c:pt idx="64">
                  <c:v>2707.8</c:v>
                </c:pt>
                <c:pt idx="65">
                  <c:v>2250.6</c:v>
                </c:pt>
                <c:pt idx="66">
                  <c:v>2047.1</c:v>
                </c:pt>
                <c:pt idx="67">
                  <c:v>2371</c:v>
                </c:pt>
                <c:pt idx="68">
                  <c:v>2161.8000000000002</c:v>
                </c:pt>
                <c:pt idx="69">
                  <c:v>2117.3000000000002</c:v>
                </c:pt>
                <c:pt idx="70">
                  <c:v>2430.8000000000002</c:v>
                </c:pt>
                <c:pt idx="71">
                  <c:v>2783</c:v>
                </c:pt>
                <c:pt idx="72">
                  <c:v>3257.4</c:v>
                </c:pt>
                <c:pt idx="73">
                  <c:v>3336.9</c:v>
                </c:pt>
                <c:pt idx="74">
                  <c:v>2859.5</c:v>
                </c:pt>
                <c:pt idx="75">
                  <c:v>3461.5</c:v>
                </c:pt>
                <c:pt idx="76">
                  <c:v>3208.5</c:v>
                </c:pt>
                <c:pt idx="77">
                  <c:v>3613.1</c:v>
                </c:pt>
                <c:pt idx="78">
                  <c:v>3944.6</c:v>
                </c:pt>
                <c:pt idx="79">
                  <c:v>3831.2</c:v>
                </c:pt>
                <c:pt idx="80">
                  <c:v>4161.8999999999996</c:v>
                </c:pt>
                <c:pt idx="81">
                  <c:v>3918.1</c:v>
                </c:pt>
                <c:pt idx="82">
                  <c:v>3969</c:v>
                </c:pt>
                <c:pt idx="83">
                  <c:v>3993</c:v>
                </c:pt>
                <c:pt idx="84">
                  <c:v>4676.7</c:v>
                </c:pt>
                <c:pt idx="85">
                  <c:v>4944.7</c:v>
                </c:pt>
                <c:pt idx="86">
                  <c:v>5085.3</c:v>
                </c:pt>
                <c:pt idx="87">
                  <c:v>4926.5</c:v>
                </c:pt>
                <c:pt idx="88">
                  <c:v>4396.1000000000004</c:v>
                </c:pt>
                <c:pt idx="89">
                  <c:v>4357.3999999999996</c:v>
                </c:pt>
                <c:pt idx="90">
                  <c:v>4288.3</c:v>
                </c:pt>
                <c:pt idx="91">
                  <c:v>4180.8</c:v>
                </c:pt>
                <c:pt idx="92">
                  <c:v>5060.3</c:v>
                </c:pt>
                <c:pt idx="93">
                  <c:v>4491.1000000000004</c:v>
                </c:pt>
                <c:pt idx="94">
                  <c:v>4626.1000000000004</c:v>
                </c:pt>
                <c:pt idx="95">
                  <c:v>4328.8</c:v>
                </c:pt>
                <c:pt idx="96">
                  <c:v>4587.7</c:v>
                </c:pt>
                <c:pt idx="97">
                  <c:v>3831</c:v>
                </c:pt>
                <c:pt idx="98">
                  <c:v>3793.6</c:v>
                </c:pt>
                <c:pt idx="99">
                  <c:v>2974.4</c:v>
                </c:pt>
                <c:pt idx="100">
                  <c:v>2932</c:v>
                </c:pt>
                <c:pt idx="101">
                  <c:v>2910.9</c:v>
                </c:pt>
                <c:pt idx="102">
                  <c:v>2196.1</c:v>
                </c:pt>
                <c:pt idx="103">
                  <c:v>2036.9</c:v>
                </c:pt>
                <c:pt idx="104">
                  <c:v>2115.4</c:v>
                </c:pt>
                <c:pt idx="105">
                  <c:v>2219.1999999999998</c:v>
                </c:pt>
                <c:pt idx="106">
                  <c:v>2390.6999999999998</c:v>
                </c:pt>
                <c:pt idx="107">
                  <c:v>2025.2</c:v>
                </c:pt>
                <c:pt idx="108">
                  <c:v>2261.1999999999998</c:v>
                </c:pt>
                <c:pt idx="109">
                  <c:v>2086.4</c:v>
                </c:pt>
                <c:pt idx="110">
                  <c:v>1848.6</c:v>
                </c:pt>
                <c:pt idx="111">
                  <c:v>2177.1999999999998</c:v>
                </c:pt>
                <c:pt idx="112">
                  <c:v>2034.7</c:v>
                </c:pt>
                <c:pt idx="113">
                  <c:v>2383.6999999999998</c:v>
                </c:pt>
                <c:pt idx="114">
                  <c:v>2406.3000000000002</c:v>
                </c:pt>
                <c:pt idx="115">
                  <c:v>2471.1999999999998</c:v>
                </c:pt>
                <c:pt idx="116">
                  <c:v>2222.5</c:v>
                </c:pt>
                <c:pt idx="117">
                  <c:v>2084.1</c:v>
                </c:pt>
                <c:pt idx="118">
                  <c:v>1923.9</c:v>
                </c:pt>
                <c:pt idx="119">
                  <c:v>1975.2</c:v>
                </c:pt>
                <c:pt idx="120">
                  <c:v>1964</c:v>
                </c:pt>
                <c:pt idx="121">
                  <c:v>2081.6</c:v>
                </c:pt>
                <c:pt idx="122">
                  <c:v>2269.1</c:v>
                </c:pt>
                <c:pt idx="123">
                  <c:v>2568.1999999999998</c:v>
                </c:pt>
                <c:pt idx="124">
                  <c:v>2591.6999999999998</c:v>
                </c:pt>
                <c:pt idx="125">
                  <c:v>2442.9</c:v>
                </c:pt>
                <c:pt idx="126">
                  <c:v>2475.6999999999998</c:v>
                </c:pt>
                <c:pt idx="127">
                  <c:v>2883.7</c:v>
                </c:pt>
                <c:pt idx="128">
                  <c:v>2675.2</c:v>
                </c:pt>
                <c:pt idx="129">
                  <c:v>2604.4</c:v>
                </c:pt>
                <c:pt idx="130">
                  <c:v>2363.6</c:v>
                </c:pt>
                <c:pt idx="131">
                  <c:v>2217.3000000000002</c:v>
                </c:pt>
                <c:pt idx="132">
                  <c:v>2728.6</c:v>
                </c:pt>
                <c:pt idx="133">
                  <c:v>2578.8000000000002</c:v>
                </c:pt>
                <c:pt idx="134">
                  <c:v>2780.5</c:v>
                </c:pt>
                <c:pt idx="135">
                  <c:v>3625.7</c:v>
                </c:pt>
                <c:pt idx="136">
                  <c:v>3915.5</c:v>
                </c:pt>
                <c:pt idx="137">
                  <c:v>3850.6</c:v>
                </c:pt>
                <c:pt idx="138">
                  <c:v>3381.7</c:v>
                </c:pt>
                <c:pt idx="139">
                  <c:v>3169.4</c:v>
                </c:pt>
                <c:pt idx="140">
                  <c:v>3361</c:v>
                </c:pt>
                <c:pt idx="141">
                  <c:v>3813.22</c:v>
                </c:pt>
                <c:pt idx="142">
                  <c:v>4239.6400000000003</c:v>
                </c:pt>
                <c:pt idx="143">
                  <c:v>4019.03</c:v>
                </c:pt>
                <c:pt idx="144">
                  <c:v>4072.31</c:v>
                </c:pt>
                <c:pt idx="145">
                  <c:v>3396.13</c:v>
                </c:pt>
                <c:pt idx="146">
                  <c:v>3546.68</c:v>
                </c:pt>
                <c:pt idx="147">
                  <c:v>3539.33</c:v>
                </c:pt>
                <c:pt idx="148">
                  <c:v>3967.54</c:v>
                </c:pt>
                <c:pt idx="149">
                  <c:v>3483.9</c:v>
                </c:pt>
                <c:pt idx="150">
                  <c:v>3344.74</c:v>
                </c:pt>
                <c:pt idx="151">
                  <c:v>2834.54</c:v>
                </c:pt>
                <c:pt idx="152">
                  <c:v>3268.66</c:v>
                </c:pt>
                <c:pt idx="153">
                  <c:v>3573.67</c:v>
                </c:pt>
                <c:pt idx="154">
                  <c:v>3516.82</c:v>
                </c:pt>
                <c:pt idx="155">
                  <c:v>3534.99</c:v>
                </c:pt>
                <c:pt idx="156">
                  <c:v>3448.31</c:v>
                </c:pt>
                <c:pt idx="157">
                  <c:v>3560.57</c:v>
                </c:pt>
                <c:pt idx="158">
                  <c:v>4500.62</c:v>
                </c:pt>
                <c:pt idx="159">
                  <c:v>4265.3</c:v>
                </c:pt>
                <c:pt idx="160">
                  <c:v>4113.8</c:v>
                </c:pt>
                <c:pt idx="161">
                  <c:v>4500.7</c:v>
                </c:pt>
                <c:pt idx="162">
                  <c:v>4538</c:v>
                </c:pt>
                <c:pt idx="163">
                  <c:v>4322</c:v>
                </c:pt>
                <c:pt idx="164">
                  <c:v>4225.3999999999996</c:v>
                </c:pt>
                <c:pt idx="165">
                  <c:v>4141.7</c:v>
                </c:pt>
                <c:pt idx="166">
                  <c:v>3971.1</c:v>
                </c:pt>
                <c:pt idx="167">
                  <c:v>3603.5</c:v>
                </c:pt>
                <c:pt idx="168">
                  <c:v>3438.6</c:v>
                </c:pt>
                <c:pt idx="169">
                  <c:v>3576.8</c:v>
                </c:pt>
                <c:pt idx="170">
                  <c:v>3467.3</c:v>
                </c:pt>
                <c:pt idx="171">
                  <c:v>3936.3</c:v>
                </c:pt>
                <c:pt idx="172">
                  <c:v>3715.2</c:v>
                </c:pt>
                <c:pt idx="173">
                  <c:v>3687.7</c:v>
                </c:pt>
                <c:pt idx="174">
                  <c:v>3734.8</c:v>
                </c:pt>
                <c:pt idx="175">
                  <c:v>4219.1000000000004</c:v>
                </c:pt>
                <c:pt idx="176">
                  <c:v>4456.3999999999996</c:v>
                </c:pt>
                <c:pt idx="177">
                  <c:v>4388.8</c:v>
                </c:pt>
                <c:pt idx="178">
                  <c:v>4476.2</c:v>
                </c:pt>
                <c:pt idx="179">
                  <c:v>5334.3</c:v>
                </c:pt>
                <c:pt idx="180">
                  <c:v>5385.8</c:v>
                </c:pt>
                <c:pt idx="181">
                  <c:v>4938.3</c:v>
                </c:pt>
                <c:pt idx="182">
                  <c:v>4524.1000000000004</c:v>
                </c:pt>
                <c:pt idx="183">
                  <c:v>4369.3</c:v>
                </c:pt>
                <c:pt idx="184">
                  <c:v>5314.4</c:v>
                </c:pt>
                <c:pt idx="185">
                  <c:v>5411.6</c:v>
                </c:pt>
                <c:pt idx="186">
                  <c:v>5452.8</c:v>
                </c:pt>
                <c:pt idx="187">
                  <c:v>5349.6</c:v>
                </c:pt>
                <c:pt idx="188">
                  <c:v>5077.3</c:v>
                </c:pt>
                <c:pt idx="189">
                  <c:v>4609.8999999999996</c:v>
                </c:pt>
                <c:pt idx="190">
                  <c:v>4346.2</c:v>
                </c:pt>
                <c:pt idx="191">
                  <c:v>4216</c:v>
                </c:pt>
                <c:pt idx="192">
                  <c:v>4729.5</c:v>
                </c:pt>
                <c:pt idx="193">
                  <c:v>4765.3</c:v>
                </c:pt>
                <c:pt idx="194">
                  <c:v>4921.3999999999996</c:v>
                </c:pt>
                <c:pt idx="195">
                  <c:v>5888</c:v>
                </c:pt>
                <c:pt idx="196">
                  <c:v>5757.3</c:v>
                </c:pt>
                <c:pt idx="197">
                  <c:v>5452.9</c:v>
                </c:pt>
                <c:pt idx="198">
                  <c:v>4752.1000000000004</c:v>
                </c:pt>
                <c:pt idx="199">
                  <c:v>4465.8</c:v>
                </c:pt>
                <c:pt idx="200">
                  <c:v>4244.3</c:v>
                </c:pt>
                <c:pt idx="201">
                  <c:v>4801.3</c:v>
                </c:pt>
                <c:pt idx="202">
                  <c:v>4645.8</c:v>
                </c:pt>
                <c:pt idx="203">
                  <c:v>4575.5</c:v>
                </c:pt>
                <c:pt idx="204">
                  <c:v>4856.7</c:v>
                </c:pt>
                <c:pt idx="205">
                  <c:v>5242.9</c:v>
                </c:pt>
                <c:pt idx="206">
                  <c:v>4519.1000000000004</c:v>
                </c:pt>
                <c:pt idx="207">
                  <c:v>3937.4</c:v>
                </c:pt>
                <c:pt idx="208">
                  <c:v>3528.3</c:v>
                </c:pt>
                <c:pt idx="209">
                  <c:v>3956.6</c:v>
                </c:pt>
                <c:pt idx="210">
                  <c:v>4563.7</c:v>
                </c:pt>
                <c:pt idx="211">
                  <c:v>4916.7</c:v>
                </c:pt>
                <c:pt idx="212">
                  <c:v>4415.2</c:v>
                </c:pt>
                <c:pt idx="213">
                  <c:v>4567.6000000000004</c:v>
                </c:pt>
                <c:pt idx="214">
                  <c:v>4315.8</c:v>
                </c:pt>
                <c:pt idx="215">
                  <c:v>4244.6000000000004</c:v>
                </c:pt>
                <c:pt idx="216">
                  <c:v>4105.8</c:v>
                </c:pt>
                <c:pt idx="217">
                  <c:v>4712.3999999999996</c:v>
                </c:pt>
                <c:pt idx="218">
                  <c:v>4466.8</c:v>
                </c:pt>
                <c:pt idx="219">
                  <c:v>4108.8</c:v>
                </c:pt>
                <c:pt idx="220">
                  <c:v>4436.6000000000004</c:v>
                </c:pt>
                <c:pt idx="221">
                  <c:v>4189</c:v>
                </c:pt>
                <c:pt idx="222">
                  <c:v>4453.8999999999996</c:v>
                </c:pt>
                <c:pt idx="223">
                  <c:v>4685.1000000000004</c:v>
                </c:pt>
                <c:pt idx="224">
                  <c:v>4698</c:v>
                </c:pt>
                <c:pt idx="225">
                  <c:v>4829.3999999999996</c:v>
                </c:pt>
                <c:pt idx="226">
                  <c:v>5229.7</c:v>
                </c:pt>
                <c:pt idx="227">
                  <c:v>4805.8</c:v>
                </c:pt>
                <c:pt idx="228">
                  <c:v>4245.5</c:v>
                </c:pt>
                <c:pt idx="229">
                  <c:v>3723.3</c:v>
                </c:pt>
                <c:pt idx="230">
                  <c:v>3163.5</c:v>
                </c:pt>
                <c:pt idx="231">
                  <c:v>3322.3</c:v>
                </c:pt>
                <c:pt idx="232">
                  <c:v>3208.5</c:v>
                </c:pt>
                <c:pt idx="233">
                  <c:v>3041.4</c:v>
                </c:pt>
                <c:pt idx="234">
                  <c:v>2568.3000000000002</c:v>
                </c:pt>
                <c:pt idx="235">
                  <c:v>2454.6</c:v>
                </c:pt>
                <c:pt idx="236">
                  <c:v>2351.6999999999998</c:v>
                </c:pt>
                <c:pt idx="237">
                  <c:v>2336.1999999999998</c:v>
                </c:pt>
                <c:pt idx="238">
                  <c:v>2247.6</c:v>
                </c:pt>
                <c:pt idx="239">
                  <c:v>2244.6999999999998</c:v>
                </c:pt>
                <c:pt idx="240">
                  <c:v>2145.3000000000002</c:v>
                </c:pt>
                <c:pt idx="241">
                  <c:v>1979.6</c:v>
                </c:pt>
                <c:pt idx="242">
                  <c:v>1871.8</c:v>
                </c:pt>
                <c:pt idx="243">
                  <c:v>1916.3</c:v>
                </c:pt>
                <c:pt idx="244">
                  <c:v>1528.5</c:v>
                </c:pt>
                <c:pt idx="245">
                  <c:v>1801.7</c:v>
                </c:pt>
                <c:pt idx="246">
                  <c:v>1889.2</c:v>
                </c:pt>
                <c:pt idx="247">
                  <c:v>1947.4</c:v>
                </c:pt>
                <c:pt idx="248">
                  <c:v>1995.4</c:v>
                </c:pt>
                <c:pt idx="249">
                  <c:v>2060.8000000000002</c:v>
                </c:pt>
                <c:pt idx="250">
                  <c:v>2034.4</c:v>
                </c:pt>
                <c:pt idx="251">
                  <c:v>2211.3000000000002</c:v>
                </c:pt>
                <c:pt idx="252">
                  <c:v>2125.1</c:v>
                </c:pt>
                <c:pt idx="253">
                  <c:v>2076</c:v>
                </c:pt>
                <c:pt idx="254">
                  <c:v>1941.3</c:v>
                </c:pt>
                <c:pt idx="255">
                  <c:v>1942.6</c:v>
                </c:pt>
                <c:pt idx="256">
                  <c:v>1602.1</c:v>
                </c:pt>
                <c:pt idx="257">
                  <c:v>1635.4</c:v>
                </c:pt>
                <c:pt idx="258">
                  <c:v>1565.4</c:v>
                </c:pt>
                <c:pt idx="259">
                  <c:v>1444.3</c:v>
                </c:pt>
                <c:pt idx="260">
                  <c:v>1315.1</c:v>
                </c:pt>
                <c:pt idx="261">
                  <c:v>1375.6</c:v>
                </c:pt>
                <c:pt idx="262">
                  <c:v>1530.3</c:v>
                </c:pt>
                <c:pt idx="263">
                  <c:v>1682.1</c:v>
                </c:pt>
                <c:pt idx="264">
                  <c:v>1645.2</c:v>
                </c:pt>
                <c:pt idx="265">
                  <c:v>1693.2</c:v>
                </c:pt>
                <c:pt idx="266">
                  <c:v>1690</c:v>
                </c:pt>
                <c:pt idx="267">
                  <c:v>1644.5</c:v>
                </c:pt>
                <c:pt idx="268">
                  <c:v>1457.2</c:v>
                </c:pt>
                <c:pt idx="269">
                  <c:v>1597.6</c:v>
                </c:pt>
                <c:pt idx="270">
                  <c:v>1547.9</c:v>
                </c:pt>
                <c:pt idx="271">
                  <c:v>1552.2</c:v>
                </c:pt>
                <c:pt idx="272">
                  <c:v>1432.2</c:v>
                </c:pt>
                <c:pt idx="273">
                  <c:v>1391.3</c:v>
                </c:pt>
                <c:pt idx="274">
                  <c:v>1322.9</c:v>
                </c:pt>
                <c:pt idx="275">
                  <c:v>1414.4</c:v>
                </c:pt>
                <c:pt idx="276">
                  <c:v>1361.4</c:v>
                </c:pt>
                <c:pt idx="277">
                  <c:v>1267</c:v>
                </c:pt>
                <c:pt idx="278">
                  <c:v>1297.5999999999999</c:v>
                </c:pt>
                <c:pt idx="279">
                  <c:v>1386.4</c:v>
                </c:pt>
                <c:pt idx="280">
                  <c:v>1438.9</c:v>
                </c:pt>
                <c:pt idx="281">
                  <c:v>1418.6</c:v>
                </c:pt>
                <c:pt idx="282">
                  <c:v>1377.4</c:v>
                </c:pt>
                <c:pt idx="283">
                  <c:v>1528.9</c:v>
                </c:pt>
                <c:pt idx="284">
                  <c:v>1334</c:v>
                </c:pt>
                <c:pt idx="285">
                  <c:v>1322.6</c:v>
                </c:pt>
                <c:pt idx="286">
                  <c:v>1323.9</c:v>
                </c:pt>
                <c:pt idx="287">
                  <c:v>1328.9</c:v>
                </c:pt>
                <c:pt idx="288">
                  <c:v>1327.4</c:v>
                </c:pt>
                <c:pt idx="289">
                  <c:v>1382.3</c:v>
                </c:pt>
                <c:pt idx="290">
                  <c:v>1326.4</c:v>
                </c:pt>
                <c:pt idx="291">
                  <c:v>1377</c:v>
                </c:pt>
                <c:pt idx="292">
                  <c:v>1322.2</c:v>
                </c:pt>
                <c:pt idx="293">
                  <c:v>1358</c:v>
                </c:pt>
                <c:pt idx="294">
                  <c:v>1396.2</c:v>
                </c:pt>
                <c:pt idx="295">
                  <c:v>1415.8</c:v>
                </c:pt>
                <c:pt idx="296">
                  <c:v>1265</c:v>
                </c:pt>
                <c:pt idx="297">
                  <c:v>1395.5</c:v>
                </c:pt>
                <c:pt idx="298">
                  <c:v>1297.5</c:v>
                </c:pt>
                <c:pt idx="299">
                  <c:v>1293.7</c:v>
                </c:pt>
                <c:pt idx="300">
                  <c:v>1358</c:v>
                </c:pt>
                <c:pt idx="301">
                  <c:v>1502.4</c:v>
                </c:pt>
                <c:pt idx="302">
                  <c:v>1852.3</c:v>
                </c:pt>
                <c:pt idx="303">
                  <c:v>1715.3</c:v>
                </c:pt>
                <c:pt idx="304">
                  <c:v>1621.2</c:v>
                </c:pt>
                <c:pt idx="305">
                  <c:v>1590.3</c:v>
                </c:pt>
                <c:pt idx="306">
                  <c:v>1604.6</c:v>
                </c:pt>
                <c:pt idx="307">
                  <c:v>1549</c:v>
                </c:pt>
                <c:pt idx="308">
                  <c:v>1341.1</c:v>
                </c:pt>
                <c:pt idx="309">
                  <c:v>1518.7</c:v>
                </c:pt>
                <c:pt idx="310">
                  <c:v>1518.9</c:v>
                </c:pt>
                <c:pt idx="311">
                  <c:v>1535.2</c:v>
                </c:pt>
                <c:pt idx="312">
                  <c:v>1162.9000000000001</c:v>
                </c:pt>
                <c:pt idx="313">
                  <c:v>1349.3</c:v>
                </c:pt>
                <c:pt idx="314">
                  <c:v>2211.4</c:v>
                </c:pt>
                <c:pt idx="315">
                  <c:v>2746.1</c:v>
                </c:pt>
                <c:pt idx="316">
                  <c:v>2605.4</c:v>
                </c:pt>
                <c:pt idx="317">
                  <c:v>2669.9</c:v>
                </c:pt>
                <c:pt idx="318">
                  <c:v>2395.8000000000002</c:v>
                </c:pt>
                <c:pt idx="319">
                  <c:v>2012.8</c:v>
                </c:pt>
                <c:pt idx="320">
                  <c:v>1861.8</c:v>
                </c:pt>
                <c:pt idx="321">
                  <c:v>1870.3</c:v>
                </c:pt>
                <c:pt idx="322">
                  <c:v>1815.3</c:v>
                </c:pt>
                <c:pt idx="323">
                  <c:v>1720.3</c:v>
                </c:pt>
                <c:pt idx="324">
                  <c:v>1932.5</c:v>
                </c:pt>
                <c:pt idx="325">
                  <c:v>2008.7</c:v>
                </c:pt>
                <c:pt idx="326">
                  <c:v>1942.2</c:v>
                </c:pt>
                <c:pt idx="327">
                  <c:v>1908.1</c:v>
                </c:pt>
                <c:pt idx="328">
                  <c:v>1920.1</c:v>
                </c:pt>
                <c:pt idx="329">
                  <c:v>1850</c:v>
                </c:pt>
                <c:pt idx="330">
                  <c:v>1697.2</c:v>
                </c:pt>
                <c:pt idx="331">
                  <c:v>1596.5</c:v>
                </c:pt>
                <c:pt idx="332">
                  <c:v>1600.6</c:v>
                </c:pt>
                <c:pt idx="333">
                  <c:v>1537.8</c:v>
                </c:pt>
                <c:pt idx="334">
                  <c:v>1360.3</c:v>
                </c:pt>
                <c:pt idx="335">
                  <c:v>1455.2</c:v>
                </c:pt>
                <c:pt idx="336">
                  <c:v>1354.9</c:v>
                </c:pt>
                <c:pt idx="337">
                  <c:v>1379.9</c:v>
                </c:pt>
                <c:pt idx="338">
                  <c:v>1307.7</c:v>
                </c:pt>
                <c:pt idx="339">
                  <c:v>1342.9</c:v>
                </c:pt>
                <c:pt idx="340">
                  <c:v>1392.4</c:v>
                </c:pt>
                <c:pt idx="341">
                  <c:v>1384.8</c:v>
                </c:pt>
                <c:pt idx="342">
                  <c:v>1406.3</c:v>
                </c:pt>
                <c:pt idx="343">
                  <c:v>1488.8</c:v>
                </c:pt>
                <c:pt idx="344">
                  <c:v>1534.8</c:v>
                </c:pt>
                <c:pt idx="345">
                  <c:v>1646</c:v>
                </c:pt>
                <c:pt idx="346">
                  <c:v>1629.3</c:v>
                </c:pt>
                <c:pt idx="347">
                  <c:v>1902.4</c:v>
                </c:pt>
                <c:pt idx="348">
                  <c:v>1713.4</c:v>
                </c:pt>
                <c:pt idx="349">
                  <c:v>1557.7</c:v>
                </c:pt>
                <c:pt idx="350">
                  <c:v>1833</c:v>
                </c:pt>
                <c:pt idx="351">
                  <c:v>1695.9</c:v>
                </c:pt>
                <c:pt idx="352">
                  <c:v>2106.1999999999998</c:v>
                </c:pt>
                <c:pt idx="353">
                  <c:v>1631.4</c:v>
                </c:pt>
                <c:pt idx="354">
                  <c:v>1774.7</c:v>
                </c:pt>
                <c:pt idx="355">
                  <c:v>1707.9</c:v>
                </c:pt>
                <c:pt idx="356">
                  <c:v>1692.9</c:v>
                </c:pt>
                <c:pt idx="357">
                  <c:v>1656.2</c:v>
                </c:pt>
                <c:pt idx="358">
                  <c:v>1694.8</c:v>
                </c:pt>
                <c:pt idx="359">
                  <c:v>1612.9</c:v>
                </c:pt>
                <c:pt idx="360">
                  <c:v>1516.9</c:v>
                </c:pt>
                <c:pt idx="361">
                  <c:v>1570.1</c:v>
                </c:pt>
                <c:pt idx="362">
                  <c:v>1592.7</c:v>
                </c:pt>
                <c:pt idx="363">
                  <c:v>1764</c:v>
                </c:pt>
                <c:pt idx="364">
                  <c:v>1272.9000000000001</c:v>
                </c:pt>
                <c:pt idx="365">
                  <c:v>1114.8</c:v>
                </c:pt>
                <c:pt idx="366">
                  <c:v>1380.4</c:v>
                </c:pt>
                <c:pt idx="367">
                  <c:v>1638.1</c:v>
                </c:pt>
                <c:pt idx="368">
                  <c:v>1822.5</c:v>
                </c:pt>
                <c:pt idx="369">
                  <c:v>1827.6</c:v>
                </c:pt>
                <c:pt idx="370">
                  <c:v>2117.1999999999998</c:v>
                </c:pt>
                <c:pt idx="371">
                  <c:v>2456.6999999999998</c:v>
                </c:pt>
                <c:pt idx="372">
                  <c:v>2267.4</c:v>
                </c:pt>
                <c:pt idx="373">
                  <c:v>2104.5</c:v>
                </c:pt>
                <c:pt idx="374">
                  <c:v>2055.9</c:v>
                </c:pt>
                <c:pt idx="375">
                  <c:v>1940.3</c:v>
                </c:pt>
                <c:pt idx="376">
                  <c:v>1845.4</c:v>
                </c:pt>
                <c:pt idx="377">
                  <c:v>1784.7</c:v>
                </c:pt>
                <c:pt idx="378">
                  <c:v>1906</c:v>
                </c:pt>
                <c:pt idx="379">
                  <c:v>2122</c:v>
                </c:pt>
                <c:pt idx="380">
                  <c:v>2177.4</c:v>
                </c:pt>
                <c:pt idx="381">
                  <c:v>2067.6999999999998</c:v>
                </c:pt>
                <c:pt idx="382">
                  <c:v>1953.1</c:v>
                </c:pt>
                <c:pt idx="383">
                  <c:v>1963.1</c:v>
                </c:pt>
                <c:pt idx="384">
                  <c:v>1998.4</c:v>
                </c:pt>
                <c:pt idx="385">
                  <c:v>2005.6</c:v>
                </c:pt>
                <c:pt idx="386">
                  <c:v>1928.2</c:v>
                </c:pt>
                <c:pt idx="387">
                  <c:v>2070.8000000000002</c:v>
                </c:pt>
                <c:pt idx="388">
                  <c:v>2055.4</c:v>
                </c:pt>
                <c:pt idx="389">
                  <c:v>2189.4</c:v>
                </c:pt>
                <c:pt idx="390">
                  <c:v>2136.4</c:v>
                </c:pt>
                <c:pt idx="391">
                  <c:v>2579.9</c:v>
                </c:pt>
                <c:pt idx="392">
                  <c:v>2869.8</c:v>
                </c:pt>
                <c:pt idx="393">
                  <c:v>2843.7</c:v>
                </c:pt>
                <c:pt idx="394">
                  <c:v>2415.5</c:v>
                </c:pt>
                <c:pt idx="395">
                  <c:v>2315.1999999999998</c:v>
                </c:pt>
                <c:pt idx="396">
                  <c:v>2538.3000000000002</c:v>
                </c:pt>
                <c:pt idx="397">
                  <c:v>2432.8000000000002</c:v>
                </c:pt>
                <c:pt idx="398">
                  <c:v>2355.1999999999998</c:v>
                </c:pt>
                <c:pt idx="399">
                  <c:v>2441.6999999999998</c:v>
                </c:pt>
                <c:pt idx="400">
                  <c:v>2457.8000000000002</c:v>
                </c:pt>
                <c:pt idx="401">
                  <c:v>2500.5</c:v>
                </c:pt>
                <c:pt idx="402">
                  <c:v>2309.6</c:v>
                </c:pt>
                <c:pt idx="403">
                  <c:v>2273.1999999999998</c:v>
                </c:pt>
                <c:pt idx="404">
                  <c:v>2380.1</c:v>
                </c:pt>
                <c:pt idx="405">
                  <c:v>2189.8000000000002</c:v>
                </c:pt>
                <c:pt idx="406">
                  <c:v>2172.5</c:v>
                </c:pt>
                <c:pt idx="407">
                  <c:v>2122.5</c:v>
                </c:pt>
                <c:pt idx="408">
                  <c:v>2088</c:v>
                </c:pt>
                <c:pt idx="409">
                  <c:v>2031.9</c:v>
                </c:pt>
                <c:pt idx="410">
                  <c:v>1810.1</c:v>
                </c:pt>
                <c:pt idx="411">
                  <c:v>1754.2</c:v>
                </c:pt>
                <c:pt idx="412">
                  <c:v>1469.9</c:v>
                </c:pt>
                <c:pt idx="413">
                  <c:v>1459.3</c:v>
                </c:pt>
                <c:pt idx="414">
                  <c:v>1407</c:v>
                </c:pt>
                <c:pt idx="415">
                  <c:v>1449.4</c:v>
                </c:pt>
                <c:pt idx="416">
                  <c:v>1113.2</c:v>
                </c:pt>
                <c:pt idx="417">
                  <c:v>1132</c:v>
                </c:pt>
                <c:pt idx="418">
                  <c:v>1182.3</c:v>
                </c:pt>
                <c:pt idx="419">
                  <c:v>1263.2</c:v>
                </c:pt>
                <c:pt idx="420">
                  <c:v>1265.5999999999999</c:v>
                </c:pt>
                <c:pt idx="421">
                  <c:v>1248.4000000000001</c:v>
                </c:pt>
                <c:pt idx="422">
                  <c:v>1276.4000000000001</c:v>
                </c:pt>
                <c:pt idx="423">
                  <c:v>1239.5999999999999</c:v>
                </c:pt>
                <c:pt idx="424">
                  <c:v>1227.5999999999999</c:v>
                </c:pt>
                <c:pt idx="425">
                  <c:v>1290.8</c:v>
                </c:pt>
                <c:pt idx="426">
                  <c:v>1357.6</c:v>
                </c:pt>
                <c:pt idx="427">
                  <c:v>1413.3</c:v>
                </c:pt>
                <c:pt idx="428">
                  <c:v>1366.1</c:v>
                </c:pt>
                <c:pt idx="429">
                  <c:v>1327.1</c:v>
                </c:pt>
                <c:pt idx="430">
                  <c:v>1271.9000000000001</c:v>
                </c:pt>
                <c:pt idx="431">
                  <c:v>1272.3</c:v>
                </c:pt>
                <c:pt idx="432">
                  <c:v>1274.5</c:v>
                </c:pt>
                <c:pt idx="433">
                  <c:v>1365.8</c:v>
                </c:pt>
                <c:pt idx="434">
                  <c:v>1302</c:v>
                </c:pt>
                <c:pt idx="435">
                  <c:v>1345.5</c:v>
                </c:pt>
                <c:pt idx="436">
                  <c:v>1269.0999999999999</c:v>
                </c:pt>
                <c:pt idx="437">
                  <c:v>1402</c:v>
                </c:pt>
                <c:pt idx="438">
                  <c:v>1323.1</c:v>
                </c:pt>
                <c:pt idx="439">
                  <c:v>1368.7</c:v>
                </c:pt>
                <c:pt idx="440">
                  <c:v>1494.8</c:v>
                </c:pt>
                <c:pt idx="441">
                  <c:v>1526.8</c:v>
                </c:pt>
                <c:pt idx="442">
                  <c:v>1396.2</c:v>
                </c:pt>
                <c:pt idx="443">
                  <c:v>1391</c:v>
                </c:pt>
                <c:pt idx="444">
                  <c:v>1210.5</c:v>
                </c:pt>
                <c:pt idx="445">
                  <c:v>1367.8</c:v>
                </c:pt>
                <c:pt idx="446">
                  <c:v>1414.3</c:v>
                </c:pt>
                <c:pt idx="447">
                  <c:v>1361</c:v>
                </c:pt>
                <c:pt idx="448">
                  <c:v>1433.2</c:v>
                </c:pt>
                <c:pt idx="449">
                  <c:v>1455.9</c:v>
                </c:pt>
                <c:pt idx="450">
                  <c:v>1459.9</c:v>
                </c:pt>
                <c:pt idx="451">
                  <c:v>1430.3</c:v>
                </c:pt>
                <c:pt idx="452">
                  <c:v>1502.6</c:v>
                </c:pt>
                <c:pt idx="453">
                  <c:v>1636.8</c:v>
                </c:pt>
                <c:pt idx="454">
                  <c:v>1497.8</c:v>
                </c:pt>
                <c:pt idx="455">
                  <c:v>1445.6</c:v>
                </c:pt>
                <c:pt idx="456">
                  <c:v>1419.2</c:v>
                </c:pt>
                <c:pt idx="457">
                  <c:v>1359.2</c:v>
                </c:pt>
                <c:pt idx="458">
                  <c:v>1399.6</c:v>
                </c:pt>
                <c:pt idx="459">
                  <c:v>1357.6</c:v>
                </c:pt>
                <c:pt idx="460">
                  <c:v>1297</c:v>
                </c:pt>
                <c:pt idx="461">
                  <c:v>1290.8</c:v>
                </c:pt>
                <c:pt idx="462">
                  <c:v>1371.6</c:v>
                </c:pt>
                <c:pt idx="463">
                  <c:v>1306.0999999999999</c:v>
                </c:pt>
                <c:pt idx="464">
                  <c:v>1205.0999999999999</c:v>
                </c:pt>
                <c:pt idx="465">
                  <c:v>1313.9</c:v>
                </c:pt>
                <c:pt idx="466">
                  <c:v>1281</c:v>
                </c:pt>
                <c:pt idx="467">
                  <c:v>1240.5</c:v>
                </c:pt>
                <c:pt idx="468">
                  <c:v>1135.7</c:v>
                </c:pt>
                <c:pt idx="469">
                  <c:v>1130.4000000000001</c:v>
                </c:pt>
                <c:pt idx="470">
                  <c:v>1259.2</c:v>
                </c:pt>
                <c:pt idx="471">
                  <c:v>1314</c:v>
                </c:pt>
                <c:pt idx="472">
                  <c:v>1325.8</c:v>
                </c:pt>
                <c:pt idx="473">
                  <c:v>1288</c:v>
                </c:pt>
                <c:pt idx="474">
                  <c:v>1299.3</c:v>
                </c:pt>
                <c:pt idx="475">
                  <c:v>1274</c:v>
                </c:pt>
                <c:pt idx="476">
                  <c:v>1183.0999999999999</c:v>
                </c:pt>
                <c:pt idx="477">
                  <c:v>1168.5</c:v>
                </c:pt>
                <c:pt idx="478">
                  <c:v>1185.7</c:v>
                </c:pt>
                <c:pt idx="479">
                  <c:v>1159.3</c:v>
                </c:pt>
                <c:pt idx="480">
                  <c:v>1107.7</c:v>
                </c:pt>
                <c:pt idx="481">
                  <c:v>1188.5</c:v>
                </c:pt>
                <c:pt idx="482">
                  <c:v>1130.0999999999999</c:v>
                </c:pt>
                <c:pt idx="483">
                  <c:v>1110.8</c:v>
                </c:pt>
                <c:pt idx="484">
                  <c:v>1149.5</c:v>
                </c:pt>
                <c:pt idx="485">
                  <c:v>1145.5</c:v>
                </c:pt>
                <c:pt idx="486">
                  <c:v>1104.9000000000001</c:v>
                </c:pt>
                <c:pt idx="487">
                  <c:v>1098.4000000000001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431552"/>
        <c:axId val="79441920"/>
      </c:lineChart>
      <c:dateAx>
        <c:axId val="7943155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79441920"/>
        <c:crosses val="autoZero"/>
        <c:auto val="1"/>
        <c:lblOffset val="100"/>
        <c:baseTimeUnit val="days"/>
      </c:dateAx>
      <c:valAx>
        <c:axId val="794419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7943155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[Low ME Period.xlsx]Refi Index Monthly!PivotTable1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'Refi Index Monthly'!$B$1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'Refi Index Monthly'!$A$2:$A$113</c:f>
              <c:strCache>
                <c:ptCount val="112"/>
                <c:pt idx="0">
                  <c:v>2/1/2009</c:v>
                </c:pt>
                <c:pt idx="1">
                  <c:v>3/1/2009</c:v>
                </c:pt>
                <c:pt idx="2">
                  <c:v>4/1/2009</c:v>
                </c:pt>
                <c:pt idx="3">
                  <c:v>5/1/2009</c:v>
                </c:pt>
                <c:pt idx="4">
                  <c:v>6/1/2009</c:v>
                </c:pt>
                <c:pt idx="5">
                  <c:v>7/1/2009</c:v>
                </c:pt>
                <c:pt idx="6">
                  <c:v>8/1/2009</c:v>
                </c:pt>
                <c:pt idx="7">
                  <c:v>9/1/2009</c:v>
                </c:pt>
                <c:pt idx="8">
                  <c:v>10/1/2009</c:v>
                </c:pt>
                <c:pt idx="9">
                  <c:v>11/1/2009</c:v>
                </c:pt>
                <c:pt idx="10">
                  <c:v>12/1/2009</c:v>
                </c:pt>
                <c:pt idx="11">
                  <c:v>1/1/2010</c:v>
                </c:pt>
                <c:pt idx="12">
                  <c:v>2/1/2010</c:v>
                </c:pt>
                <c:pt idx="13">
                  <c:v>3/1/2010</c:v>
                </c:pt>
                <c:pt idx="14">
                  <c:v>4/1/2010</c:v>
                </c:pt>
                <c:pt idx="15">
                  <c:v>5/1/2010</c:v>
                </c:pt>
                <c:pt idx="16">
                  <c:v>6/1/2010</c:v>
                </c:pt>
                <c:pt idx="17">
                  <c:v>7/1/2010</c:v>
                </c:pt>
                <c:pt idx="18">
                  <c:v>8/1/2010</c:v>
                </c:pt>
                <c:pt idx="19">
                  <c:v>9/1/2010</c:v>
                </c:pt>
                <c:pt idx="20">
                  <c:v>10/1/2010</c:v>
                </c:pt>
                <c:pt idx="21">
                  <c:v>11/1/2010</c:v>
                </c:pt>
                <c:pt idx="22">
                  <c:v>12/1/2010</c:v>
                </c:pt>
                <c:pt idx="23">
                  <c:v>1/1/2011</c:v>
                </c:pt>
                <c:pt idx="24">
                  <c:v>2/1/2011</c:v>
                </c:pt>
                <c:pt idx="25">
                  <c:v>3/1/2011</c:v>
                </c:pt>
                <c:pt idx="26">
                  <c:v>4/1/2011</c:v>
                </c:pt>
                <c:pt idx="27">
                  <c:v>5/1/2011</c:v>
                </c:pt>
                <c:pt idx="28">
                  <c:v>6/1/2011</c:v>
                </c:pt>
                <c:pt idx="29">
                  <c:v>7/1/2011</c:v>
                </c:pt>
                <c:pt idx="30">
                  <c:v>8/1/2011</c:v>
                </c:pt>
                <c:pt idx="31">
                  <c:v>9/1/2011</c:v>
                </c:pt>
                <c:pt idx="32">
                  <c:v>10/1/2011</c:v>
                </c:pt>
                <c:pt idx="33">
                  <c:v>11/1/2011</c:v>
                </c:pt>
                <c:pt idx="34">
                  <c:v>12/1/2011</c:v>
                </c:pt>
                <c:pt idx="35">
                  <c:v>1/1/2012</c:v>
                </c:pt>
                <c:pt idx="36">
                  <c:v>2/1/2012</c:v>
                </c:pt>
                <c:pt idx="37">
                  <c:v>3/1/2012</c:v>
                </c:pt>
                <c:pt idx="38">
                  <c:v>4/1/2012</c:v>
                </c:pt>
                <c:pt idx="39">
                  <c:v>5/1/2012</c:v>
                </c:pt>
                <c:pt idx="40">
                  <c:v>6/1/2012</c:v>
                </c:pt>
                <c:pt idx="41">
                  <c:v>7/1/2012</c:v>
                </c:pt>
                <c:pt idx="42">
                  <c:v>8/1/2012</c:v>
                </c:pt>
                <c:pt idx="43">
                  <c:v>9/1/2012</c:v>
                </c:pt>
                <c:pt idx="44">
                  <c:v>10/1/2012</c:v>
                </c:pt>
                <c:pt idx="45">
                  <c:v>11/1/2012</c:v>
                </c:pt>
                <c:pt idx="46">
                  <c:v>12/1/2012</c:v>
                </c:pt>
                <c:pt idx="47">
                  <c:v>1/1/2013</c:v>
                </c:pt>
                <c:pt idx="48">
                  <c:v>2/1/2013</c:v>
                </c:pt>
                <c:pt idx="49">
                  <c:v>3/1/2013</c:v>
                </c:pt>
                <c:pt idx="50">
                  <c:v>4/1/2013</c:v>
                </c:pt>
                <c:pt idx="51">
                  <c:v>5/1/2013</c:v>
                </c:pt>
                <c:pt idx="52">
                  <c:v>6/1/2013</c:v>
                </c:pt>
                <c:pt idx="53">
                  <c:v>7/1/2013</c:v>
                </c:pt>
                <c:pt idx="54">
                  <c:v>8/1/2013</c:v>
                </c:pt>
                <c:pt idx="55">
                  <c:v>9/1/2013</c:v>
                </c:pt>
                <c:pt idx="56">
                  <c:v>10/1/2013</c:v>
                </c:pt>
                <c:pt idx="57">
                  <c:v>11/1/2013</c:v>
                </c:pt>
                <c:pt idx="58">
                  <c:v>12/1/2013</c:v>
                </c:pt>
                <c:pt idx="59">
                  <c:v>1/1/2014</c:v>
                </c:pt>
                <c:pt idx="60">
                  <c:v>2/1/2014</c:v>
                </c:pt>
                <c:pt idx="61">
                  <c:v>3/1/2014</c:v>
                </c:pt>
                <c:pt idx="62">
                  <c:v>4/1/2014</c:v>
                </c:pt>
                <c:pt idx="63">
                  <c:v>5/1/2014</c:v>
                </c:pt>
                <c:pt idx="64">
                  <c:v>6/1/2014</c:v>
                </c:pt>
                <c:pt idx="65">
                  <c:v>7/1/2014</c:v>
                </c:pt>
                <c:pt idx="66">
                  <c:v>8/1/2014</c:v>
                </c:pt>
                <c:pt idx="67">
                  <c:v>9/1/2014</c:v>
                </c:pt>
                <c:pt idx="68">
                  <c:v>10/1/2014</c:v>
                </c:pt>
                <c:pt idx="69">
                  <c:v>11/1/2014</c:v>
                </c:pt>
                <c:pt idx="70">
                  <c:v>12/1/2014</c:v>
                </c:pt>
                <c:pt idx="71">
                  <c:v>1/1/2015</c:v>
                </c:pt>
                <c:pt idx="72">
                  <c:v>2/1/2015</c:v>
                </c:pt>
                <c:pt idx="73">
                  <c:v>3/1/2015</c:v>
                </c:pt>
                <c:pt idx="74">
                  <c:v>4/1/2015</c:v>
                </c:pt>
                <c:pt idx="75">
                  <c:v>5/1/2015</c:v>
                </c:pt>
                <c:pt idx="76">
                  <c:v>6/1/2015</c:v>
                </c:pt>
                <c:pt idx="77">
                  <c:v>7/1/2015</c:v>
                </c:pt>
                <c:pt idx="78">
                  <c:v>8/1/2015</c:v>
                </c:pt>
                <c:pt idx="79">
                  <c:v>9/1/2015</c:v>
                </c:pt>
                <c:pt idx="80">
                  <c:v>10/1/2015</c:v>
                </c:pt>
                <c:pt idx="81">
                  <c:v>11/1/2015</c:v>
                </c:pt>
                <c:pt idx="82">
                  <c:v>12/1/2015</c:v>
                </c:pt>
                <c:pt idx="83">
                  <c:v>1/1/2016</c:v>
                </c:pt>
                <c:pt idx="84">
                  <c:v>2/1/2016</c:v>
                </c:pt>
                <c:pt idx="85">
                  <c:v>3/1/2016</c:v>
                </c:pt>
                <c:pt idx="86">
                  <c:v>4/1/2016</c:v>
                </c:pt>
                <c:pt idx="87">
                  <c:v>5/1/2016</c:v>
                </c:pt>
                <c:pt idx="88">
                  <c:v>6/1/2016</c:v>
                </c:pt>
                <c:pt idx="89">
                  <c:v>7/1/2016</c:v>
                </c:pt>
                <c:pt idx="90">
                  <c:v>8/1/2016</c:v>
                </c:pt>
                <c:pt idx="91">
                  <c:v>9/1/2016</c:v>
                </c:pt>
                <c:pt idx="92">
                  <c:v>10/1/2016</c:v>
                </c:pt>
                <c:pt idx="93">
                  <c:v>11/1/2016</c:v>
                </c:pt>
                <c:pt idx="94">
                  <c:v>12/1/2016</c:v>
                </c:pt>
                <c:pt idx="95">
                  <c:v>1/1/2017</c:v>
                </c:pt>
                <c:pt idx="96">
                  <c:v>2/1/2017</c:v>
                </c:pt>
                <c:pt idx="97">
                  <c:v>3/1/2017</c:v>
                </c:pt>
                <c:pt idx="98">
                  <c:v>4/1/2017</c:v>
                </c:pt>
                <c:pt idx="99">
                  <c:v>5/1/2017</c:v>
                </c:pt>
                <c:pt idx="100">
                  <c:v>6/1/2017</c:v>
                </c:pt>
                <c:pt idx="101">
                  <c:v>7/1/2017</c:v>
                </c:pt>
                <c:pt idx="102">
                  <c:v>8/1/2017</c:v>
                </c:pt>
                <c:pt idx="103">
                  <c:v>9/1/2017</c:v>
                </c:pt>
                <c:pt idx="104">
                  <c:v>10/1/2017</c:v>
                </c:pt>
                <c:pt idx="105">
                  <c:v>11/1/2017</c:v>
                </c:pt>
                <c:pt idx="106">
                  <c:v>12/1/2017</c:v>
                </c:pt>
                <c:pt idx="107">
                  <c:v>1/1/2018</c:v>
                </c:pt>
                <c:pt idx="108">
                  <c:v>2/1/2018</c:v>
                </c:pt>
                <c:pt idx="109">
                  <c:v>3/1/2018</c:v>
                </c:pt>
                <c:pt idx="110">
                  <c:v>4/1/2018</c:v>
                </c:pt>
                <c:pt idx="111">
                  <c:v>5/1/2018</c:v>
                </c:pt>
              </c:strCache>
            </c:strRef>
          </c:cat>
          <c:val>
            <c:numRef>
              <c:f>'Refi Index Monthly'!$B$2:$B$113</c:f>
              <c:numCache>
                <c:formatCode>General</c:formatCode>
                <c:ptCount val="112"/>
                <c:pt idx="0">
                  <c:v>6603.4666666666672</c:v>
                </c:pt>
                <c:pt idx="1">
                  <c:v>3618.9500000000003</c:v>
                </c:pt>
                <c:pt idx="2">
                  <c:v>3662.4249999999997</c:v>
                </c:pt>
                <c:pt idx="3">
                  <c:v>6477.84</c:v>
                </c:pt>
                <c:pt idx="4">
                  <c:v>4915.125</c:v>
                </c:pt>
                <c:pt idx="5">
                  <c:v>2712.8200000000006</c:v>
                </c:pt>
                <c:pt idx="6">
                  <c:v>1822.25</c:v>
                </c:pt>
                <c:pt idx="7">
                  <c:v>1923.7750000000001</c:v>
                </c:pt>
                <c:pt idx="8">
                  <c:v>2476.96</c:v>
                </c:pt>
                <c:pt idx="9">
                  <c:v>3104.25</c:v>
                </c:pt>
                <c:pt idx="10">
                  <c:v>2789.875</c:v>
                </c:pt>
                <c:pt idx="11">
                  <c:v>2994.98</c:v>
                </c:pt>
                <c:pt idx="12">
                  <c:v>2264.1999999999998</c:v>
                </c:pt>
                <c:pt idx="13">
                  <c:v>2717.3</c:v>
                </c:pt>
                <c:pt idx="14">
                  <c:v>2873.4799999999996</c:v>
                </c:pt>
                <c:pt idx="15">
                  <c:v>2344.125</c:v>
                </c:pt>
                <c:pt idx="16">
                  <c:v>2373.2250000000004</c:v>
                </c:pt>
                <c:pt idx="17">
                  <c:v>3224.7599999999998</c:v>
                </c:pt>
                <c:pt idx="18">
                  <c:v>3887.7</c:v>
                </c:pt>
                <c:pt idx="19">
                  <c:v>4139.2</c:v>
                </c:pt>
                <c:pt idx="20">
                  <c:v>4742</c:v>
                </c:pt>
                <c:pt idx="21">
                  <c:v>4505.125</c:v>
                </c:pt>
                <c:pt idx="22">
                  <c:v>4233.4400000000005</c:v>
                </c:pt>
                <c:pt idx="23">
                  <c:v>2753.35</c:v>
                </c:pt>
                <c:pt idx="24">
                  <c:v>2190.5500000000002</c:v>
                </c:pt>
                <c:pt idx="25">
                  <c:v>2055.35</c:v>
                </c:pt>
                <c:pt idx="26">
                  <c:v>2294.62</c:v>
                </c:pt>
                <c:pt idx="27">
                  <c:v>2051.4250000000002</c:v>
                </c:pt>
                <c:pt idx="28">
                  <c:v>2220.7249999999999</c:v>
                </c:pt>
                <c:pt idx="29">
                  <c:v>2613.84</c:v>
                </c:pt>
                <c:pt idx="30">
                  <c:v>2478.4749999999999</c:v>
                </c:pt>
                <c:pt idx="31">
                  <c:v>3350.22</c:v>
                </c:pt>
                <c:pt idx="32">
                  <c:v>3431.33</c:v>
                </c:pt>
                <c:pt idx="33">
                  <c:v>3931.7775000000001</c:v>
                </c:pt>
                <c:pt idx="34">
                  <c:v>3576.4379999999996</c:v>
                </c:pt>
                <c:pt idx="35">
                  <c:v>3298.4224999999997</c:v>
                </c:pt>
                <c:pt idx="36">
                  <c:v>3761.1224999999995</c:v>
                </c:pt>
                <c:pt idx="37">
                  <c:v>4347.96</c:v>
                </c:pt>
                <c:pt idx="38">
                  <c:v>3985.4249999999997</c:v>
                </c:pt>
                <c:pt idx="39">
                  <c:v>3604.75</c:v>
                </c:pt>
                <c:pt idx="40">
                  <c:v>3962.6400000000003</c:v>
                </c:pt>
                <c:pt idx="41">
                  <c:v>4896.2749999999996</c:v>
                </c:pt>
                <c:pt idx="42">
                  <c:v>4911.5399999999991</c:v>
                </c:pt>
                <c:pt idx="43">
                  <c:v>5122.3999999999996</c:v>
                </c:pt>
                <c:pt idx="44">
                  <c:v>4514.25</c:v>
                </c:pt>
                <c:pt idx="45">
                  <c:v>5354.3399999999992</c:v>
                </c:pt>
                <c:pt idx="46">
                  <c:v>4539.3</c:v>
                </c:pt>
                <c:pt idx="47">
                  <c:v>4798.55</c:v>
                </c:pt>
                <c:pt idx="48">
                  <c:v>3996.5</c:v>
                </c:pt>
                <c:pt idx="49">
                  <c:v>4491.9800000000005</c:v>
                </c:pt>
                <c:pt idx="50">
                  <c:v>4348.45</c:v>
                </c:pt>
                <c:pt idx="51">
                  <c:v>4492.5199999999995</c:v>
                </c:pt>
                <c:pt idx="52">
                  <c:v>4777.5999999999995</c:v>
                </c:pt>
                <c:pt idx="53">
                  <c:v>3354.4</c:v>
                </c:pt>
                <c:pt idx="54">
                  <c:v>2550.44</c:v>
                </c:pt>
                <c:pt idx="55">
                  <c:v>2154.2999999999997</c:v>
                </c:pt>
                <c:pt idx="56">
                  <c:v>1779.575</c:v>
                </c:pt>
                <c:pt idx="57">
                  <c:v>1985.44</c:v>
                </c:pt>
                <c:pt idx="58">
                  <c:v>2088.4249999999997</c:v>
                </c:pt>
                <c:pt idx="59">
                  <c:v>1637.96</c:v>
                </c:pt>
                <c:pt idx="60">
                  <c:v>1475.7750000000001</c:v>
                </c:pt>
                <c:pt idx="61">
                  <c:v>1668.2249999999999</c:v>
                </c:pt>
                <c:pt idx="62">
                  <c:v>1538.7250000000001</c:v>
                </c:pt>
                <c:pt idx="63">
                  <c:v>1384.4399999999998</c:v>
                </c:pt>
                <c:pt idx="64">
                  <c:v>1347.4749999999999</c:v>
                </c:pt>
                <c:pt idx="65">
                  <c:v>1414.7249999999999</c:v>
                </c:pt>
                <c:pt idx="66">
                  <c:v>1337.02</c:v>
                </c:pt>
                <c:pt idx="67">
                  <c:v>1345.9</c:v>
                </c:pt>
                <c:pt idx="68">
                  <c:v>1354</c:v>
                </c:pt>
                <c:pt idx="69">
                  <c:v>1501.6000000000001</c:v>
                </c:pt>
                <c:pt idx="70">
                  <c:v>1632.85</c:v>
                </c:pt>
                <c:pt idx="71">
                  <c:v>1492.5800000000002</c:v>
                </c:pt>
                <c:pt idx="72">
                  <c:v>1867.4250000000002</c:v>
                </c:pt>
                <c:pt idx="73">
                  <c:v>2420.9749999999999</c:v>
                </c:pt>
                <c:pt idx="74">
                  <c:v>1816.925</c:v>
                </c:pt>
                <c:pt idx="75">
                  <c:v>1942.3200000000002</c:v>
                </c:pt>
                <c:pt idx="76">
                  <c:v>1686.0749999999998</c:v>
                </c:pt>
                <c:pt idx="77">
                  <c:v>1417.6200000000001</c:v>
                </c:pt>
                <c:pt idx="78">
                  <c:v>1356.95</c:v>
                </c:pt>
                <c:pt idx="79">
                  <c:v>1518.9749999999999</c:v>
                </c:pt>
                <c:pt idx="80">
                  <c:v>1727.1599999999999</c:v>
                </c:pt>
                <c:pt idx="81">
                  <c:v>1802.05</c:v>
                </c:pt>
                <c:pt idx="82">
                  <c:v>1687.95</c:v>
                </c:pt>
                <c:pt idx="83">
                  <c:v>1611.32</c:v>
                </c:pt>
                <c:pt idx="84">
                  <c:v>1351.55</c:v>
                </c:pt>
                <c:pt idx="85">
                  <c:v>2056</c:v>
                </c:pt>
                <c:pt idx="86">
                  <c:v>2042.6999999999996</c:v>
                </c:pt>
                <c:pt idx="87">
                  <c:v>1997.5250000000001</c:v>
                </c:pt>
                <c:pt idx="88">
                  <c:v>1995.5749999999998</c:v>
                </c:pt>
                <c:pt idx="89">
                  <c:v>2049.88</c:v>
                </c:pt>
                <c:pt idx="90">
                  <c:v>2607.4499999999998</c:v>
                </c:pt>
                <c:pt idx="91">
                  <c:v>2411.4</c:v>
                </c:pt>
                <c:pt idx="92">
                  <c:v>2427.4</c:v>
                </c:pt>
                <c:pt idx="93">
                  <c:v>2253.8999999999996</c:v>
                </c:pt>
                <c:pt idx="94">
                  <c:v>1961.3400000000001</c:v>
                </c:pt>
                <c:pt idx="95">
                  <c:v>1446.4</c:v>
                </c:pt>
                <c:pt idx="96">
                  <c:v>1172.675</c:v>
                </c:pt>
                <c:pt idx="97">
                  <c:v>1251.52</c:v>
                </c:pt>
                <c:pt idx="98">
                  <c:v>1356.9499999999998</c:v>
                </c:pt>
                <c:pt idx="99">
                  <c:v>1286.45</c:v>
                </c:pt>
                <c:pt idx="100">
                  <c:v>1336.8799999999999</c:v>
                </c:pt>
                <c:pt idx="101">
                  <c:v>1428.3500000000001</c:v>
                </c:pt>
                <c:pt idx="102">
                  <c:v>1341.375</c:v>
                </c:pt>
                <c:pt idx="103">
                  <c:v>1424.86</c:v>
                </c:pt>
                <c:pt idx="104">
                  <c:v>1516.875</c:v>
                </c:pt>
                <c:pt idx="105">
                  <c:v>1405.9</c:v>
                </c:pt>
                <c:pt idx="106">
                  <c:v>1324.6200000000001</c:v>
                </c:pt>
                <c:pt idx="107">
                  <c:v>1260.125</c:v>
                </c:pt>
                <c:pt idx="108">
                  <c:v>1209.825</c:v>
                </c:pt>
                <c:pt idx="109">
                  <c:v>1274.0400000000002</c:v>
                </c:pt>
                <c:pt idx="110">
                  <c:v>1155.3</c:v>
                </c:pt>
                <c:pt idx="111">
                  <c:v>1144.7249999999999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106304"/>
        <c:axId val="109107840"/>
      </c:lineChart>
      <c:catAx>
        <c:axId val="109106304"/>
        <c:scaling>
          <c:orientation val="minMax"/>
        </c:scaling>
        <c:delete val="0"/>
        <c:axPos val="b"/>
        <c:majorTickMark val="out"/>
        <c:minorTickMark val="none"/>
        <c:tickLblPos val="nextTo"/>
        <c:crossAx val="109107840"/>
        <c:crosses val="autoZero"/>
        <c:auto val="1"/>
        <c:lblAlgn val="ctr"/>
        <c:lblOffset val="100"/>
        <c:noMultiLvlLbl val="0"/>
      </c:catAx>
      <c:valAx>
        <c:axId val="1091078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910630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areaChart>
        <c:grouping val="standard"/>
        <c:varyColors val="0"/>
        <c:ser>
          <c:idx val="1"/>
          <c:order val="1"/>
          <c:tx>
            <c:strRef>
              <c:f>'Refi Index Monthly'!$G$1</c:f>
              <c:strCache>
                <c:ptCount val="1"/>
                <c:pt idx="0">
                  <c:v>Flag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</c:spPr>
          <c:cat>
            <c:numRef>
              <c:f>'Refi Index Monthly'!$E$2:$E$116</c:f>
              <c:numCache>
                <c:formatCode>m/d/yyyy</c:formatCode>
                <c:ptCount val="115"/>
                <c:pt idx="0">
                  <c:v>39845</c:v>
                </c:pt>
                <c:pt idx="1">
                  <c:v>39873</c:v>
                </c:pt>
                <c:pt idx="2">
                  <c:v>39904</c:v>
                </c:pt>
                <c:pt idx="3">
                  <c:v>39934</c:v>
                </c:pt>
                <c:pt idx="4">
                  <c:v>39965</c:v>
                </c:pt>
                <c:pt idx="5">
                  <c:v>39995</c:v>
                </c:pt>
                <c:pt idx="6">
                  <c:v>40026</c:v>
                </c:pt>
                <c:pt idx="7">
                  <c:v>40057</c:v>
                </c:pt>
                <c:pt idx="8">
                  <c:v>40087</c:v>
                </c:pt>
                <c:pt idx="9">
                  <c:v>40118</c:v>
                </c:pt>
                <c:pt idx="10">
                  <c:v>40148</c:v>
                </c:pt>
                <c:pt idx="11">
                  <c:v>40179</c:v>
                </c:pt>
                <c:pt idx="12">
                  <c:v>40210</c:v>
                </c:pt>
                <c:pt idx="13">
                  <c:v>40238</c:v>
                </c:pt>
                <c:pt idx="14">
                  <c:v>40269</c:v>
                </c:pt>
                <c:pt idx="15">
                  <c:v>40299</c:v>
                </c:pt>
                <c:pt idx="16">
                  <c:v>40330</c:v>
                </c:pt>
                <c:pt idx="17">
                  <c:v>40360</c:v>
                </c:pt>
                <c:pt idx="18">
                  <c:v>40391</c:v>
                </c:pt>
                <c:pt idx="19">
                  <c:v>40422</c:v>
                </c:pt>
                <c:pt idx="20">
                  <c:v>40452</c:v>
                </c:pt>
                <c:pt idx="21">
                  <c:v>40483</c:v>
                </c:pt>
                <c:pt idx="22">
                  <c:v>40513</c:v>
                </c:pt>
                <c:pt idx="23">
                  <c:v>40544</c:v>
                </c:pt>
                <c:pt idx="24">
                  <c:v>40575</c:v>
                </c:pt>
                <c:pt idx="25">
                  <c:v>40603</c:v>
                </c:pt>
                <c:pt idx="26">
                  <c:v>40634</c:v>
                </c:pt>
                <c:pt idx="27">
                  <c:v>40664</c:v>
                </c:pt>
                <c:pt idx="28">
                  <c:v>40695</c:v>
                </c:pt>
                <c:pt idx="29">
                  <c:v>40725</c:v>
                </c:pt>
                <c:pt idx="30">
                  <c:v>40756</c:v>
                </c:pt>
                <c:pt idx="31">
                  <c:v>40787</c:v>
                </c:pt>
                <c:pt idx="32">
                  <c:v>40817</c:v>
                </c:pt>
                <c:pt idx="33">
                  <c:v>40848</c:v>
                </c:pt>
                <c:pt idx="34">
                  <c:v>40878</c:v>
                </c:pt>
                <c:pt idx="35">
                  <c:v>40909</c:v>
                </c:pt>
                <c:pt idx="36">
                  <c:v>40940</c:v>
                </c:pt>
                <c:pt idx="37">
                  <c:v>40969</c:v>
                </c:pt>
                <c:pt idx="38">
                  <c:v>41000</c:v>
                </c:pt>
                <c:pt idx="39">
                  <c:v>41030</c:v>
                </c:pt>
                <c:pt idx="40">
                  <c:v>41061</c:v>
                </c:pt>
                <c:pt idx="41">
                  <c:v>41091</c:v>
                </c:pt>
                <c:pt idx="42">
                  <c:v>41122</c:v>
                </c:pt>
                <c:pt idx="43">
                  <c:v>41153</c:v>
                </c:pt>
                <c:pt idx="44">
                  <c:v>41183</c:v>
                </c:pt>
                <c:pt idx="45">
                  <c:v>41214</c:v>
                </c:pt>
                <c:pt idx="46">
                  <c:v>41244</c:v>
                </c:pt>
                <c:pt idx="47">
                  <c:v>41275</c:v>
                </c:pt>
                <c:pt idx="48">
                  <c:v>41306</c:v>
                </c:pt>
                <c:pt idx="49">
                  <c:v>41334</c:v>
                </c:pt>
                <c:pt idx="50">
                  <c:v>41365</c:v>
                </c:pt>
                <c:pt idx="51">
                  <c:v>41395</c:v>
                </c:pt>
                <c:pt idx="52">
                  <c:v>41426</c:v>
                </c:pt>
                <c:pt idx="53">
                  <c:v>41456</c:v>
                </c:pt>
                <c:pt idx="54">
                  <c:v>41487</c:v>
                </c:pt>
                <c:pt idx="55">
                  <c:v>41518</c:v>
                </c:pt>
                <c:pt idx="56">
                  <c:v>41548</c:v>
                </c:pt>
                <c:pt idx="57">
                  <c:v>41579</c:v>
                </c:pt>
                <c:pt idx="58">
                  <c:v>41609</c:v>
                </c:pt>
                <c:pt idx="59">
                  <c:v>41640</c:v>
                </c:pt>
                <c:pt idx="60">
                  <c:v>41671</c:v>
                </c:pt>
                <c:pt idx="61">
                  <c:v>41699</c:v>
                </c:pt>
                <c:pt idx="62">
                  <c:v>41730</c:v>
                </c:pt>
                <c:pt idx="63">
                  <c:v>41760</c:v>
                </c:pt>
                <c:pt idx="64">
                  <c:v>41791</c:v>
                </c:pt>
                <c:pt idx="65">
                  <c:v>41821</c:v>
                </c:pt>
                <c:pt idx="66">
                  <c:v>41852</c:v>
                </c:pt>
                <c:pt idx="67">
                  <c:v>41883</c:v>
                </c:pt>
                <c:pt idx="68">
                  <c:v>41913</c:v>
                </c:pt>
                <c:pt idx="69">
                  <c:v>41944</c:v>
                </c:pt>
                <c:pt idx="70">
                  <c:v>41974</c:v>
                </c:pt>
                <c:pt idx="71">
                  <c:v>42005</c:v>
                </c:pt>
                <c:pt idx="72">
                  <c:v>42036</c:v>
                </c:pt>
                <c:pt idx="73">
                  <c:v>42064</c:v>
                </c:pt>
                <c:pt idx="74">
                  <c:v>42095</c:v>
                </c:pt>
                <c:pt idx="75">
                  <c:v>42125</c:v>
                </c:pt>
                <c:pt idx="76">
                  <c:v>42156</c:v>
                </c:pt>
                <c:pt idx="77">
                  <c:v>42186</c:v>
                </c:pt>
                <c:pt idx="78">
                  <c:v>42217</c:v>
                </c:pt>
                <c:pt idx="79">
                  <c:v>42248</c:v>
                </c:pt>
                <c:pt idx="80">
                  <c:v>42278</c:v>
                </c:pt>
                <c:pt idx="81">
                  <c:v>42309</c:v>
                </c:pt>
                <c:pt idx="82">
                  <c:v>42339</c:v>
                </c:pt>
                <c:pt idx="83">
                  <c:v>42370</c:v>
                </c:pt>
                <c:pt idx="84">
                  <c:v>42401</c:v>
                </c:pt>
                <c:pt idx="85">
                  <c:v>42430</c:v>
                </c:pt>
                <c:pt idx="86">
                  <c:v>42461</c:v>
                </c:pt>
                <c:pt idx="87">
                  <c:v>42491</c:v>
                </c:pt>
                <c:pt idx="88">
                  <c:v>42522</c:v>
                </c:pt>
                <c:pt idx="89">
                  <c:v>42552</c:v>
                </c:pt>
                <c:pt idx="90">
                  <c:v>42583</c:v>
                </c:pt>
                <c:pt idx="91">
                  <c:v>42614</c:v>
                </c:pt>
                <c:pt idx="92">
                  <c:v>42644</c:v>
                </c:pt>
                <c:pt idx="93">
                  <c:v>42675</c:v>
                </c:pt>
                <c:pt idx="94">
                  <c:v>42705</c:v>
                </c:pt>
                <c:pt idx="95">
                  <c:v>42736</c:v>
                </c:pt>
                <c:pt idx="96">
                  <c:v>42767</c:v>
                </c:pt>
                <c:pt idx="97">
                  <c:v>42795</c:v>
                </c:pt>
                <c:pt idx="98">
                  <c:v>42826</c:v>
                </c:pt>
                <c:pt idx="99">
                  <c:v>42856</c:v>
                </c:pt>
                <c:pt idx="100">
                  <c:v>42887</c:v>
                </c:pt>
                <c:pt idx="101">
                  <c:v>42917</c:v>
                </c:pt>
                <c:pt idx="102">
                  <c:v>42948</c:v>
                </c:pt>
                <c:pt idx="103">
                  <c:v>42979</c:v>
                </c:pt>
                <c:pt idx="104">
                  <c:v>43009</c:v>
                </c:pt>
                <c:pt idx="105">
                  <c:v>43040</c:v>
                </c:pt>
                <c:pt idx="106">
                  <c:v>43070</c:v>
                </c:pt>
                <c:pt idx="107">
                  <c:v>43101</c:v>
                </c:pt>
                <c:pt idx="108">
                  <c:v>43132</c:v>
                </c:pt>
                <c:pt idx="109">
                  <c:v>43160</c:v>
                </c:pt>
                <c:pt idx="110">
                  <c:v>43191</c:v>
                </c:pt>
                <c:pt idx="111">
                  <c:v>43221</c:v>
                </c:pt>
              </c:numCache>
            </c:numRef>
          </c:cat>
          <c:val>
            <c:numRef>
              <c:f>'Refi Index Monthly'!$G$2:$G$116</c:f>
              <c:numCache>
                <c:formatCode>General</c:formatCode>
                <c:ptCount val="1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1</c:v>
                </c:pt>
                <c:pt idx="57">
                  <c:v>0</c:v>
                </c:pt>
                <c:pt idx="58">
                  <c:v>0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0674304"/>
        <c:axId val="133911680"/>
      </c:areaChart>
      <c:lineChart>
        <c:grouping val="standard"/>
        <c:varyColors val="0"/>
        <c:ser>
          <c:idx val="0"/>
          <c:order val="0"/>
          <c:tx>
            <c:strRef>
              <c:f>'Refi Index Monthly'!$F$1</c:f>
              <c:strCache>
                <c:ptCount val="1"/>
                <c:pt idx="0">
                  <c:v>Average of MBAVREFI</c:v>
                </c:pt>
              </c:strCache>
            </c:strRef>
          </c:tx>
          <c:marker>
            <c:symbol val="none"/>
          </c:marker>
          <c:cat>
            <c:numRef>
              <c:f>'Refi Index Monthly'!$E$2:$E$116</c:f>
              <c:numCache>
                <c:formatCode>m/d/yyyy</c:formatCode>
                <c:ptCount val="115"/>
                <c:pt idx="0">
                  <c:v>39845</c:v>
                </c:pt>
                <c:pt idx="1">
                  <c:v>39873</c:v>
                </c:pt>
                <c:pt idx="2">
                  <c:v>39904</c:v>
                </c:pt>
                <c:pt idx="3">
                  <c:v>39934</c:v>
                </c:pt>
                <c:pt idx="4">
                  <c:v>39965</c:v>
                </c:pt>
                <c:pt idx="5">
                  <c:v>39995</c:v>
                </c:pt>
                <c:pt idx="6">
                  <c:v>40026</c:v>
                </c:pt>
                <c:pt idx="7">
                  <c:v>40057</c:v>
                </c:pt>
                <c:pt idx="8">
                  <c:v>40087</c:v>
                </c:pt>
                <c:pt idx="9">
                  <c:v>40118</c:v>
                </c:pt>
                <c:pt idx="10">
                  <c:v>40148</c:v>
                </c:pt>
                <c:pt idx="11">
                  <c:v>40179</c:v>
                </c:pt>
                <c:pt idx="12">
                  <c:v>40210</c:v>
                </c:pt>
                <c:pt idx="13">
                  <c:v>40238</c:v>
                </c:pt>
                <c:pt idx="14">
                  <c:v>40269</c:v>
                </c:pt>
                <c:pt idx="15">
                  <c:v>40299</c:v>
                </c:pt>
                <c:pt idx="16">
                  <c:v>40330</c:v>
                </c:pt>
                <c:pt idx="17">
                  <c:v>40360</c:v>
                </c:pt>
                <c:pt idx="18">
                  <c:v>40391</c:v>
                </c:pt>
                <c:pt idx="19">
                  <c:v>40422</c:v>
                </c:pt>
                <c:pt idx="20">
                  <c:v>40452</c:v>
                </c:pt>
                <c:pt idx="21">
                  <c:v>40483</c:v>
                </c:pt>
                <c:pt idx="22">
                  <c:v>40513</c:v>
                </c:pt>
                <c:pt idx="23">
                  <c:v>40544</c:v>
                </c:pt>
                <c:pt idx="24">
                  <c:v>40575</c:v>
                </c:pt>
                <c:pt idx="25">
                  <c:v>40603</c:v>
                </c:pt>
                <c:pt idx="26">
                  <c:v>40634</c:v>
                </c:pt>
                <c:pt idx="27">
                  <c:v>40664</c:v>
                </c:pt>
                <c:pt idx="28">
                  <c:v>40695</c:v>
                </c:pt>
                <c:pt idx="29">
                  <c:v>40725</c:v>
                </c:pt>
                <c:pt idx="30">
                  <c:v>40756</c:v>
                </c:pt>
                <c:pt idx="31">
                  <c:v>40787</c:v>
                </c:pt>
                <c:pt idx="32">
                  <c:v>40817</c:v>
                </c:pt>
                <c:pt idx="33">
                  <c:v>40848</c:v>
                </c:pt>
                <c:pt idx="34">
                  <c:v>40878</c:v>
                </c:pt>
                <c:pt idx="35">
                  <c:v>40909</c:v>
                </c:pt>
                <c:pt idx="36">
                  <c:v>40940</c:v>
                </c:pt>
                <c:pt idx="37">
                  <c:v>40969</c:v>
                </c:pt>
                <c:pt idx="38">
                  <c:v>41000</c:v>
                </c:pt>
                <c:pt idx="39">
                  <c:v>41030</c:v>
                </c:pt>
                <c:pt idx="40">
                  <c:v>41061</c:v>
                </c:pt>
                <c:pt idx="41">
                  <c:v>41091</c:v>
                </c:pt>
                <c:pt idx="42">
                  <c:v>41122</c:v>
                </c:pt>
                <c:pt idx="43">
                  <c:v>41153</c:v>
                </c:pt>
                <c:pt idx="44">
                  <c:v>41183</c:v>
                </c:pt>
                <c:pt idx="45">
                  <c:v>41214</c:v>
                </c:pt>
                <c:pt idx="46">
                  <c:v>41244</c:v>
                </c:pt>
                <c:pt idx="47">
                  <c:v>41275</c:v>
                </c:pt>
                <c:pt idx="48">
                  <c:v>41306</c:v>
                </c:pt>
                <c:pt idx="49">
                  <c:v>41334</c:v>
                </c:pt>
                <c:pt idx="50">
                  <c:v>41365</c:v>
                </c:pt>
                <c:pt idx="51">
                  <c:v>41395</c:v>
                </c:pt>
                <c:pt idx="52">
                  <c:v>41426</c:v>
                </c:pt>
                <c:pt idx="53">
                  <c:v>41456</c:v>
                </c:pt>
                <c:pt idx="54">
                  <c:v>41487</c:v>
                </c:pt>
                <c:pt idx="55">
                  <c:v>41518</c:v>
                </c:pt>
                <c:pt idx="56">
                  <c:v>41548</c:v>
                </c:pt>
                <c:pt idx="57">
                  <c:v>41579</c:v>
                </c:pt>
                <c:pt idx="58">
                  <c:v>41609</c:v>
                </c:pt>
                <c:pt idx="59">
                  <c:v>41640</c:v>
                </c:pt>
                <c:pt idx="60">
                  <c:v>41671</c:v>
                </c:pt>
                <c:pt idx="61">
                  <c:v>41699</c:v>
                </c:pt>
                <c:pt idx="62">
                  <c:v>41730</c:v>
                </c:pt>
                <c:pt idx="63">
                  <c:v>41760</c:v>
                </c:pt>
                <c:pt idx="64">
                  <c:v>41791</c:v>
                </c:pt>
                <c:pt idx="65">
                  <c:v>41821</c:v>
                </c:pt>
                <c:pt idx="66">
                  <c:v>41852</c:v>
                </c:pt>
                <c:pt idx="67">
                  <c:v>41883</c:v>
                </c:pt>
                <c:pt idx="68">
                  <c:v>41913</c:v>
                </c:pt>
                <c:pt idx="69">
                  <c:v>41944</c:v>
                </c:pt>
                <c:pt idx="70">
                  <c:v>41974</c:v>
                </c:pt>
                <c:pt idx="71">
                  <c:v>42005</c:v>
                </c:pt>
                <c:pt idx="72">
                  <c:v>42036</c:v>
                </c:pt>
                <c:pt idx="73">
                  <c:v>42064</c:v>
                </c:pt>
                <c:pt idx="74">
                  <c:v>42095</c:v>
                </c:pt>
                <c:pt idx="75">
                  <c:v>42125</c:v>
                </c:pt>
                <c:pt idx="76">
                  <c:v>42156</c:v>
                </c:pt>
                <c:pt idx="77">
                  <c:v>42186</c:v>
                </c:pt>
                <c:pt idx="78">
                  <c:v>42217</c:v>
                </c:pt>
                <c:pt idx="79">
                  <c:v>42248</c:v>
                </c:pt>
                <c:pt idx="80">
                  <c:v>42278</c:v>
                </c:pt>
                <c:pt idx="81">
                  <c:v>42309</c:v>
                </c:pt>
                <c:pt idx="82">
                  <c:v>42339</c:v>
                </c:pt>
                <c:pt idx="83">
                  <c:v>42370</c:v>
                </c:pt>
                <c:pt idx="84">
                  <c:v>42401</c:v>
                </c:pt>
                <c:pt idx="85">
                  <c:v>42430</c:v>
                </c:pt>
                <c:pt idx="86">
                  <c:v>42461</c:v>
                </c:pt>
                <c:pt idx="87">
                  <c:v>42491</c:v>
                </c:pt>
                <c:pt idx="88">
                  <c:v>42522</c:v>
                </c:pt>
                <c:pt idx="89">
                  <c:v>42552</c:v>
                </c:pt>
                <c:pt idx="90">
                  <c:v>42583</c:v>
                </c:pt>
                <c:pt idx="91">
                  <c:v>42614</c:v>
                </c:pt>
                <c:pt idx="92">
                  <c:v>42644</c:v>
                </c:pt>
                <c:pt idx="93">
                  <c:v>42675</c:v>
                </c:pt>
                <c:pt idx="94">
                  <c:v>42705</c:v>
                </c:pt>
                <c:pt idx="95">
                  <c:v>42736</c:v>
                </c:pt>
                <c:pt idx="96">
                  <c:v>42767</c:v>
                </c:pt>
                <c:pt idx="97">
                  <c:v>42795</c:v>
                </c:pt>
                <c:pt idx="98">
                  <c:v>42826</c:v>
                </c:pt>
                <c:pt idx="99">
                  <c:v>42856</c:v>
                </c:pt>
                <c:pt idx="100">
                  <c:v>42887</c:v>
                </c:pt>
                <c:pt idx="101">
                  <c:v>42917</c:v>
                </c:pt>
                <c:pt idx="102">
                  <c:v>42948</c:v>
                </c:pt>
                <c:pt idx="103">
                  <c:v>42979</c:v>
                </c:pt>
                <c:pt idx="104">
                  <c:v>43009</c:v>
                </c:pt>
                <c:pt idx="105">
                  <c:v>43040</c:v>
                </c:pt>
                <c:pt idx="106">
                  <c:v>43070</c:v>
                </c:pt>
                <c:pt idx="107">
                  <c:v>43101</c:v>
                </c:pt>
                <c:pt idx="108">
                  <c:v>43132</c:v>
                </c:pt>
                <c:pt idx="109">
                  <c:v>43160</c:v>
                </c:pt>
                <c:pt idx="110">
                  <c:v>43191</c:v>
                </c:pt>
                <c:pt idx="111">
                  <c:v>43221</c:v>
                </c:pt>
              </c:numCache>
            </c:numRef>
          </c:cat>
          <c:val>
            <c:numRef>
              <c:f>'Refi Index Monthly'!$F$2:$F$116</c:f>
              <c:numCache>
                <c:formatCode>General</c:formatCode>
                <c:ptCount val="115"/>
                <c:pt idx="0">
                  <c:v>6603.4666666666672</c:v>
                </c:pt>
                <c:pt idx="1">
                  <c:v>3618.9500000000003</c:v>
                </c:pt>
                <c:pt idx="2">
                  <c:v>3662.4249999999997</c:v>
                </c:pt>
                <c:pt idx="3">
                  <c:v>6477.84</c:v>
                </c:pt>
                <c:pt idx="4">
                  <c:v>4915.125</c:v>
                </c:pt>
                <c:pt idx="5">
                  <c:v>2712.8200000000006</c:v>
                </c:pt>
                <c:pt idx="6">
                  <c:v>1822.25</c:v>
                </c:pt>
                <c:pt idx="7">
                  <c:v>1923.7750000000001</c:v>
                </c:pt>
                <c:pt idx="8">
                  <c:v>2476.96</c:v>
                </c:pt>
                <c:pt idx="9">
                  <c:v>3104.25</c:v>
                </c:pt>
                <c:pt idx="10">
                  <c:v>2789.875</c:v>
                </c:pt>
                <c:pt idx="11">
                  <c:v>2994.98</c:v>
                </c:pt>
                <c:pt idx="12">
                  <c:v>2264.1999999999998</c:v>
                </c:pt>
                <c:pt idx="13">
                  <c:v>2717.3</c:v>
                </c:pt>
                <c:pt idx="14">
                  <c:v>2873.4799999999996</c:v>
                </c:pt>
                <c:pt idx="15">
                  <c:v>2344.125</c:v>
                </c:pt>
                <c:pt idx="16">
                  <c:v>2373.2250000000004</c:v>
                </c:pt>
                <c:pt idx="17">
                  <c:v>3224.7599999999998</c:v>
                </c:pt>
                <c:pt idx="18">
                  <c:v>3887.7</c:v>
                </c:pt>
                <c:pt idx="19">
                  <c:v>4139.2</c:v>
                </c:pt>
                <c:pt idx="20">
                  <c:v>4742</c:v>
                </c:pt>
                <c:pt idx="21">
                  <c:v>4505.125</c:v>
                </c:pt>
                <c:pt idx="22">
                  <c:v>4233.4400000000005</c:v>
                </c:pt>
                <c:pt idx="23">
                  <c:v>2753.35</c:v>
                </c:pt>
                <c:pt idx="24">
                  <c:v>2190.5500000000002</c:v>
                </c:pt>
                <c:pt idx="25">
                  <c:v>2055.35</c:v>
                </c:pt>
                <c:pt idx="26">
                  <c:v>2294.62</c:v>
                </c:pt>
                <c:pt idx="27">
                  <c:v>2051.4250000000002</c:v>
                </c:pt>
                <c:pt idx="28">
                  <c:v>2220.7249999999999</c:v>
                </c:pt>
                <c:pt idx="29">
                  <c:v>2613.84</c:v>
                </c:pt>
                <c:pt idx="30">
                  <c:v>2478.4749999999999</c:v>
                </c:pt>
                <c:pt idx="31">
                  <c:v>3350.22</c:v>
                </c:pt>
                <c:pt idx="32">
                  <c:v>3431.33</c:v>
                </c:pt>
                <c:pt idx="33">
                  <c:v>3931.7775000000001</c:v>
                </c:pt>
                <c:pt idx="34">
                  <c:v>3576.4379999999996</c:v>
                </c:pt>
                <c:pt idx="35">
                  <c:v>3298.4224999999997</c:v>
                </c:pt>
                <c:pt idx="36">
                  <c:v>3761.1224999999995</c:v>
                </c:pt>
                <c:pt idx="37">
                  <c:v>4347.96</c:v>
                </c:pt>
                <c:pt idx="38">
                  <c:v>3985.4249999999997</c:v>
                </c:pt>
                <c:pt idx="39">
                  <c:v>3604.75</c:v>
                </c:pt>
                <c:pt idx="40">
                  <c:v>3962.6400000000003</c:v>
                </c:pt>
                <c:pt idx="41">
                  <c:v>4896.2749999999996</c:v>
                </c:pt>
                <c:pt idx="42">
                  <c:v>4911.5399999999991</c:v>
                </c:pt>
                <c:pt idx="43">
                  <c:v>5122.3999999999996</c:v>
                </c:pt>
                <c:pt idx="44">
                  <c:v>4514.25</c:v>
                </c:pt>
                <c:pt idx="45">
                  <c:v>5354.3399999999992</c:v>
                </c:pt>
                <c:pt idx="46">
                  <c:v>4539.3</c:v>
                </c:pt>
                <c:pt idx="47">
                  <c:v>4798.55</c:v>
                </c:pt>
                <c:pt idx="48">
                  <c:v>3996.5</c:v>
                </c:pt>
                <c:pt idx="49">
                  <c:v>4491.9800000000005</c:v>
                </c:pt>
                <c:pt idx="50">
                  <c:v>4348.45</c:v>
                </c:pt>
                <c:pt idx="51">
                  <c:v>4492.5199999999995</c:v>
                </c:pt>
                <c:pt idx="52">
                  <c:v>4777.5999999999995</c:v>
                </c:pt>
                <c:pt idx="53">
                  <c:v>3354.4</c:v>
                </c:pt>
                <c:pt idx="54">
                  <c:v>2550.44</c:v>
                </c:pt>
                <c:pt idx="55">
                  <c:v>2154.2999999999997</c:v>
                </c:pt>
                <c:pt idx="56">
                  <c:v>1779.575</c:v>
                </c:pt>
                <c:pt idx="57">
                  <c:v>1985.44</c:v>
                </c:pt>
                <c:pt idx="58">
                  <c:v>2088.4249999999997</c:v>
                </c:pt>
                <c:pt idx="59">
                  <c:v>1637.96</c:v>
                </c:pt>
                <c:pt idx="60">
                  <c:v>1475.7750000000001</c:v>
                </c:pt>
                <c:pt idx="61">
                  <c:v>1668.2249999999999</c:v>
                </c:pt>
                <c:pt idx="62">
                  <c:v>1538.7250000000001</c:v>
                </c:pt>
                <c:pt idx="63">
                  <c:v>1384.4399999999998</c:v>
                </c:pt>
                <c:pt idx="64">
                  <c:v>1347.4749999999999</c:v>
                </c:pt>
                <c:pt idx="65">
                  <c:v>1414.7249999999999</c:v>
                </c:pt>
                <c:pt idx="66">
                  <c:v>1337.02</c:v>
                </c:pt>
                <c:pt idx="67">
                  <c:v>1345.9</c:v>
                </c:pt>
                <c:pt idx="68">
                  <c:v>1354</c:v>
                </c:pt>
                <c:pt idx="69">
                  <c:v>1501.6000000000001</c:v>
                </c:pt>
                <c:pt idx="70">
                  <c:v>1632.85</c:v>
                </c:pt>
                <c:pt idx="71">
                  <c:v>1492.5800000000002</c:v>
                </c:pt>
                <c:pt idx="72">
                  <c:v>1867.4250000000002</c:v>
                </c:pt>
                <c:pt idx="73">
                  <c:v>2420.9749999999999</c:v>
                </c:pt>
                <c:pt idx="74">
                  <c:v>1816.925</c:v>
                </c:pt>
                <c:pt idx="75">
                  <c:v>1942.3200000000002</c:v>
                </c:pt>
                <c:pt idx="76">
                  <c:v>1686.0749999999998</c:v>
                </c:pt>
                <c:pt idx="77">
                  <c:v>1417.6200000000001</c:v>
                </c:pt>
                <c:pt idx="78">
                  <c:v>1356.95</c:v>
                </c:pt>
                <c:pt idx="79">
                  <c:v>1518.9749999999999</c:v>
                </c:pt>
                <c:pt idx="80">
                  <c:v>1727.1599999999999</c:v>
                </c:pt>
                <c:pt idx="81">
                  <c:v>1802.05</c:v>
                </c:pt>
                <c:pt idx="82">
                  <c:v>1687.95</c:v>
                </c:pt>
                <c:pt idx="83">
                  <c:v>1611.32</c:v>
                </c:pt>
                <c:pt idx="84">
                  <c:v>1351.55</c:v>
                </c:pt>
                <c:pt idx="85">
                  <c:v>2056</c:v>
                </c:pt>
                <c:pt idx="86">
                  <c:v>2042.6999999999996</c:v>
                </c:pt>
                <c:pt idx="87">
                  <c:v>1997.5250000000001</c:v>
                </c:pt>
                <c:pt idx="88">
                  <c:v>1995.5749999999998</c:v>
                </c:pt>
                <c:pt idx="89">
                  <c:v>2049.88</c:v>
                </c:pt>
                <c:pt idx="90">
                  <c:v>2607.4499999999998</c:v>
                </c:pt>
                <c:pt idx="91">
                  <c:v>2411.4</c:v>
                </c:pt>
                <c:pt idx="92">
                  <c:v>2427.4</c:v>
                </c:pt>
                <c:pt idx="93">
                  <c:v>2253.8999999999996</c:v>
                </c:pt>
                <c:pt idx="94">
                  <c:v>1961.3400000000001</c:v>
                </c:pt>
                <c:pt idx="95">
                  <c:v>1446.4</c:v>
                </c:pt>
                <c:pt idx="96">
                  <c:v>1172.675</c:v>
                </c:pt>
                <c:pt idx="97">
                  <c:v>1251.52</c:v>
                </c:pt>
                <c:pt idx="98">
                  <c:v>1356.9499999999998</c:v>
                </c:pt>
                <c:pt idx="99">
                  <c:v>1286.45</c:v>
                </c:pt>
                <c:pt idx="100">
                  <c:v>1336.8799999999999</c:v>
                </c:pt>
                <c:pt idx="101">
                  <c:v>1428.3500000000001</c:v>
                </c:pt>
                <c:pt idx="102">
                  <c:v>1341.375</c:v>
                </c:pt>
                <c:pt idx="103">
                  <c:v>1424.86</c:v>
                </c:pt>
                <c:pt idx="104">
                  <c:v>1516.875</c:v>
                </c:pt>
                <c:pt idx="105">
                  <c:v>1405.9</c:v>
                </c:pt>
                <c:pt idx="106">
                  <c:v>1324.6200000000001</c:v>
                </c:pt>
                <c:pt idx="107">
                  <c:v>1260.125</c:v>
                </c:pt>
                <c:pt idx="108">
                  <c:v>1209.825</c:v>
                </c:pt>
                <c:pt idx="109">
                  <c:v>1274.0400000000002</c:v>
                </c:pt>
                <c:pt idx="110">
                  <c:v>1155.3</c:v>
                </c:pt>
                <c:pt idx="111">
                  <c:v>1144.7249999999999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645248"/>
        <c:axId val="132648320"/>
      </c:lineChart>
      <c:dateAx>
        <c:axId val="13264524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132648320"/>
        <c:crosses val="autoZero"/>
        <c:auto val="1"/>
        <c:lblOffset val="100"/>
        <c:baseTimeUnit val="months"/>
      </c:dateAx>
      <c:valAx>
        <c:axId val="132648320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2645248"/>
        <c:crosses val="autoZero"/>
        <c:crossBetween val="between"/>
      </c:valAx>
      <c:valAx>
        <c:axId val="13391168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260674304"/>
        <c:crosses val="max"/>
        <c:crossBetween val="between"/>
      </c:valAx>
      <c:dateAx>
        <c:axId val="260674304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33911680"/>
        <c:crosses val="autoZero"/>
        <c:auto val="1"/>
        <c:lblOffset val="100"/>
        <c:baseTimeUnit val="months"/>
      </c:date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Compare!$C$1</c:f>
              <c:strCache>
                <c:ptCount val="1"/>
                <c:pt idx="0">
                  <c:v>refi_index</c:v>
                </c:pt>
              </c:strCache>
            </c:strRef>
          </c:tx>
          <c:marker>
            <c:symbol val="none"/>
          </c:marker>
          <c:cat>
            <c:numRef>
              <c:f>Compare!$A$2:$A$59</c:f>
              <c:numCache>
                <c:formatCode>m/d/yyyy</c:formatCode>
                <c:ptCount val="58"/>
                <c:pt idx="0">
                  <c:v>41456</c:v>
                </c:pt>
                <c:pt idx="1">
                  <c:v>41487</c:v>
                </c:pt>
                <c:pt idx="2">
                  <c:v>41518</c:v>
                </c:pt>
                <c:pt idx="3">
                  <c:v>41548</c:v>
                </c:pt>
                <c:pt idx="4">
                  <c:v>41579</c:v>
                </c:pt>
                <c:pt idx="5">
                  <c:v>41609</c:v>
                </c:pt>
                <c:pt idx="6">
                  <c:v>41640</c:v>
                </c:pt>
                <c:pt idx="7">
                  <c:v>41671</c:v>
                </c:pt>
                <c:pt idx="8">
                  <c:v>41699</c:v>
                </c:pt>
                <c:pt idx="9">
                  <c:v>41791</c:v>
                </c:pt>
                <c:pt idx="10">
                  <c:v>41730</c:v>
                </c:pt>
                <c:pt idx="11">
                  <c:v>41760</c:v>
                </c:pt>
                <c:pt idx="12">
                  <c:v>41821</c:v>
                </c:pt>
                <c:pt idx="13">
                  <c:v>41852</c:v>
                </c:pt>
                <c:pt idx="14">
                  <c:v>41883</c:v>
                </c:pt>
                <c:pt idx="15">
                  <c:v>41913</c:v>
                </c:pt>
                <c:pt idx="16">
                  <c:v>41944</c:v>
                </c:pt>
                <c:pt idx="17">
                  <c:v>41974</c:v>
                </c:pt>
                <c:pt idx="18">
                  <c:v>42005</c:v>
                </c:pt>
                <c:pt idx="19">
                  <c:v>42036</c:v>
                </c:pt>
                <c:pt idx="20">
                  <c:v>42064</c:v>
                </c:pt>
                <c:pt idx="21">
                  <c:v>42125</c:v>
                </c:pt>
                <c:pt idx="22">
                  <c:v>42156</c:v>
                </c:pt>
                <c:pt idx="23">
                  <c:v>42095</c:v>
                </c:pt>
                <c:pt idx="24">
                  <c:v>42186</c:v>
                </c:pt>
                <c:pt idx="25">
                  <c:v>42217</c:v>
                </c:pt>
                <c:pt idx="26">
                  <c:v>42248</c:v>
                </c:pt>
                <c:pt idx="27">
                  <c:v>42278</c:v>
                </c:pt>
                <c:pt idx="28">
                  <c:v>42309</c:v>
                </c:pt>
                <c:pt idx="29">
                  <c:v>42339</c:v>
                </c:pt>
                <c:pt idx="30">
                  <c:v>42370</c:v>
                </c:pt>
                <c:pt idx="31">
                  <c:v>42401</c:v>
                </c:pt>
                <c:pt idx="32">
                  <c:v>42430</c:v>
                </c:pt>
                <c:pt idx="33">
                  <c:v>42461</c:v>
                </c:pt>
                <c:pt idx="34">
                  <c:v>42491</c:v>
                </c:pt>
                <c:pt idx="35">
                  <c:v>42522</c:v>
                </c:pt>
                <c:pt idx="36">
                  <c:v>42552</c:v>
                </c:pt>
                <c:pt idx="37">
                  <c:v>42583</c:v>
                </c:pt>
                <c:pt idx="38">
                  <c:v>42614</c:v>
                </c:pt>
                <c:pt idx="39">
                  <c:v>42644</c:v>
                </c:pt>
                <c:pt idx="40">
                  <c:v>42675</c:v>
                </c:pt>
                <c:pt idx="41">
                  <c:v>42705</c:v>
                </c:pt>
                <c:pt idx="42">
                  <c:v>42736</c:v>
                </c:pt>
                <c:pt idx="43">
                  <c:v>42767</c:v>
                </c:pt>
                <c:pt idx="44">
                  <c:v>42795</c:v>
                </c:pt>
                <c:pt idx="45">
                  <c:v>42826</c:v>
                </c:pt>
                <c:pt idx="46">
                  <c:v>42856</c:v>
                </c:pt>
                <c:pt idx="47">
                  <c:v>42887</c:v>
                </c:pt>
                <c:pt idx="48">
                  <c:v>42917</c:v>
                </c:pt>
                <c:pt idx="49">
                  <c:v>42948</c:v>
                </c:pt>
                <c:pt idx="50">
                  <c:v>42979</c:v>
                </c:pt>
                <c:pt idx="51">
                  <c:v>43009</c:v>
                </c:pt>
                <c:pt idx="52">
                  <c:v>43040</c:v>
                </c:pt>
                <c:pt idx="53">
                  <c:v>43070</c:v>
                </c:pt>
                <c:pt idx="54">
                  <c:v>43101</c:v>
                </c:pt>
                <c:pt idx="55">
                  <c:v>43132</c:v>
                </c:pt>
                <c:pt idx="56">
                  <c:v>43160</c:v>
                </c:pt>
                <c:pt idx="57">
                  <c:v>43191</c:v>
                </c:pt>
              </c:numCache>
            </c:numRef>
          </c:cat>
          <c:val>
            <c:numRef>
              <c:f>Compare!$C$2:$C$59</c:f>
              <c:numCache>
                <c:formatCode>General</c:formatCode>
                <c:ptCount val="58"/>
                <c:pt idx="0">
                  <c:v>3354.4</c:v>
                </c:pt>
                <c:pt idx="1">
                  <c:v>2550.44</c:v>
                </c:pt>
                <c:pt idx="2">
                  <c:v>2154.2999999999997</c:v>
                </c:pt>
                <c:pt idx="3">
                  <c:v>1779.575</c:v>
                </c:pt>
                <c:pt idx="4">
                  <c:v>1985.44</c:v>
                </c:pt>
                <c:pt idx="5">
                  <c:v>2088.4249999999997</c:v>
                </c:pt>
                <c:pt idx="6">
                  <c:v>1637.96</c:v>
                </c:pt>
                <c:pt idx="7">
                  <c:v>1475.7750000000001</c:v>
                </c:pt>
                <c:pt idx="8">
                  <c:v>1668.2249999999999</c:v>
                </c:pt>
                <c:pt idx="9">
                  <c:v>1347.4749999999999</c:v>
                </c:pt>
                <c:pt idx="10">
                  <c:v>1538.7250000000001</c:v>
                </c:pt>
                <c:pt idx="11">
                  <c:v>1384.4399999999998</c:v>
                </c:pt>
                <c:pt idx="12">
                  <c:v>1414.7249999999999</c:v>
                </c:pt>
                <c:pt idx="13">
                  <c:v>1337.02</c:v>
                </c:pt>
                <c:pt idx="14">
                  <c:v>1345.9</c:v>
                </c:pt>
                <c:pt idx="15">
                  <c:v>1354</c:v>
                </c:pt>
                <c:pt idx="16">
                  <c:v>1501.6000000000001</c:v>
                </c:pt>
                <c:pt idx="17">
                  <c:v>1632.85</c:v>
                </c:pt>
                <c:pt idx="18">
                  <c:v>1492.5800000000002</c:v>
                </c:pt>
                <c:pt idx="19">
                  <c:v>1867.4250000000002</c:v>
                </c:pt>
                <c:pt idx="20">
                  <c:v>2420.9749999999999</c:v>
                </c:pt>
                <c:pt idx="21">
                  <c:v>1942.3200000000002</c:v>
                </c:pt>
                <c:pt idx="22">
                  <c:v>1686.0749999999998</c:v>
                </c:pt>
                <c:pt idx="23">
                  <c:v>1816.925</c:v>
                </c:pt>
                <c:pt idx="24">
                  <c:v>1417.6200000000001</c:v>
                </c:pt>
                <c:pt idx="25">
                  <c:v>1356.95</c:v>
                </c:pt>
                <c:pt idx="26">
                  <c:v>1518.9749999999999</c:v>
                </c:pt>
                <c:pt idx="27">
                  <c:v>1727.1599999999999</c:v>
                </c:pt>
                <c:pt idx="28">
                  <c:v>1802.05</c:v>
                </c:pt>
                <c:pt idx="29">
                  <c:v>1687.95</c:v>
                </c:pt>
                <c:pt idx="30">
                  <c:v>1611.32</c:v>
                </c:pt>
                <c:pt idx="31">
                  <c:v>1351.55</c:v>
                </c:pt>
                <c:pt idx="32">
                  <c:v>2056</c:v>
                </c:pt>
                <c:pt idx="33">
                  <c:v>2042.6999999999996</c:v>
                </c:pt>
                <c:pt idx="34">
                  <c:v>1997.5250000000001</c:v>
                </c:pt>
                <c:pt idx="35">
                  <c:v>1995.5749999999998</c:v>
                </c:pt>
                <c:pt idx="36">
                  <c:v>2049.88</c:v>
                </c:pt>
                <c:pt idx="37">
                  <c:v>2607.4499999999998</c:v>
                </c:pt>
                <c:pt idx="38">
                  <c:v>2411.4</c:v>
                </c:pt>
                <c:pt idx="39">
                  <c:v>2427.4</c:v>
                </c:pt>
                <c:pt idx="40">
                  <c:v>2253.8999999999996</c:v>
                </c:pt>
                <c:pt idx="41">
                  <c:v>1961.3400000000001</c:v>
                </c:pt>
                <c:pt idx="42">
                  <c:v>1446.4</c:v>
                </c:pt>
                <c:pt idx="43">
                  <c:v>1172.675</c:v>
                </c:pt>
                <c:pt idx="44">
                  <c:v>1251.52</c:v>
                </c:pt>
                <c:pt idx="45">
                  <c:v>1356.9499999999998</c:v>
                </c:pt>
                <c:pt idx="46">
                  <c:v>1286.45</c:v>
                </c:pt>
                <c:pt idx="47">
                  <c:v>1336.8799999999999</c:v>
                </c:pt>
                <c:pt idx="48">
                  <c:v>1428.3500000000001</c:v>
                </c:pt>
                <c:pt idx="49">
                  <c:v>1341.375</c:v>
                </c:pt>
                <c:pt idx="50">
                  <c:v>1424.86</c:v>
                </c:pt>
                <c:pt idx="51">
                  <c:v>1516.875</c:v>
                </c:pt>
                <c:pt idx="52">
                  <c:v>1405.9</c:v>
                </c:pt>
                <c:pt idx="53">
                  <c:v>1324.6200000000001</c:v>
                </c:pt>
                <c:pt idx="54">
                  <c:v>1260.125</c:v>
                </c:pt>
                <c:pt idx="55">
                  <c:v>1209.825</c:v>
                </c:pt>
                <c:pt idx="56">
                  <c:v>1274.0400000000002</c:v>
                </c:pt>
                <c:pt idx="57">
                  <c:v>1155.3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0930560"/>
        <c:axId val="260958080"/>
      </c:lineChart>
      <c:lineChart>
        <c:grouping val="standard"/>
        <c:varyColors val="0"/>
        <c:ser>
          <c:idx val="0"/>
          <c:order val="0"/>
          <c:tx>
            <c:strRef>
              <c:f>Compare!$B$1</c:f>
              <c:strCache>
                <c:ptCount val="1"/>
                <c:pt idx="0">
                  <c:v>media_effect</c:v>
                </c:pt>
              </c:strCache>
            </c:strRef>
          </c:tx>
          <c:marker>
            <c:symbol val="none"/>
          </c:marker>
          <c:cat>
            <c:numRef>
              <c:f>Compare!$A$2:$A$59</c:f>
              <c:numCache>
                <c:formatCode>m/d/yyyy</c:formatCode>
                <c:ptCount val="58"/>
                <c:pt idx="0">
                  <c:v>41456</c:v>
                </c:pt>
                <c:pt idx="1">
                  <c:v>41487</c:v>
                </c:pt>
                <c:pt idx="2">
                  <c:v>41518</c:v>
                </c:pt>
                <c:pt idx="3">
                  <c:v>41548</c:v>
                </c:pt>
                <c:pt idx="4">
                  <c:v>41579</c:v>
                </c:pt>
                <c:pt idx="5">
                  <c:v>41609</c:v>
                </c:pt>
                <c:pt idx="6">
                  <c:v>41640</c:v>
                </c:pt>
                <c:pt idx="7">
                  <c:v>41671</c:v>
                </c:pt>
                <c:pt idx="8">
                  <c:v>41699</c:v>
                </c:pt>
                <c:pt idx="9">
                  <c:v>41791</c:v>
                </c:pt>
                <c:pt idx="10">
                  <c:v>41730</c:v>
                </c:pt>
                <c:pt idx="11">
                  <c:v>41760</c:v>
                </c:pt>
                <c:pt idx="12">
                  <c:v>41821</c:v>
                </c:pt>
                <c:pt idx="13">
                  <c:v>41852</c:v>
                </c:pt>
                <c:pt idx="14">
                  <c:v>41883</c:v>
                </c:pt>
                <c:pt idx="15">
                  <c:v>41913</c:v>
                </c:pt>
                <c:pt idx="16">
                  <c:v>41944</c:v>
                </c:pt>
                <c:pt idx="17">
                  <c:v>41974</c:v>
                </c:pt>
                <c:pt idx="18">
                  <c:v>42005</c:v>
                </c:pt>
                <c:pt idx="19">
                  <c:v>42036</c:v>
                </c:pt>
                <c:pt idx="20">
                  <c:v>42064</c:v>
                </c:pt>
                <c:pt idx="21">
                  <c:v>42125</c:v>
                </c:pt>
                <c:pt idx="22">
                  <c:v>42156</c:v>
                </c:pt>
                <c:pt idx="23">
                  <c:v>42095</c:v>
                </c:pt>
                <c:pt idx="24">
                  <c:v>42186</c:v>
                </c:pt>
                <c:pt idx="25">
                  <c:v>42217</c:v>
                </c:pt>
                <c:pt idx="26">
                  <c:v>42248</c:v>
                </c:pt>
                <c:pt idx="27">
                  <c:v>42278</c:v>
                </c:pt>
                <c:pt idx="28">
                  <c:v>42309</c:v>
                </c:pt>
                <c:pt idx="29">
                  <c:v>42339</c:v>
                </c:pt>
                <c:pt idx="30">
                  <c:v>42370</c:v>
                </c:pt>
                <c:pt idx="31">
                  <c:v>42401</c:v>
                </c:pt>
                <c:pt idx="32">
                  <c:v>42430</c:v>
                </c:pt>
                <c:pt idx="33">
                  <c:v>42461</c:v>
                </c:pt>
                <c:pt idx="34">
                  <c:v>42491</c:v>
                </c:pt>
                <c:pt idx="35">
                  <c:v>42522</c:v>
                </c:pt>
                <c:pt idx="36">
                  <c:v>42552</c:v>
                </c:pt>
                <c:pt idx="37">
                  <c:v>42583</c:v>
                </c:pt>
                <c:pt idx="38">
                  <c:v>42614</c:v>
                </c:pt>
                <c:pt idx="39">
                  <c:v>42644</c:v>
                </c:pt>
                <c:pt idx="40">
                  <c:v>42675</c:v>
                </c:pt>
                <c:pt idx="41">
                  <c:v>42705</c:v>
                </c:pt>
                <c:pt idx="42">
                  <c:v>42736</c:v>
                </c:pt>
                <c:pt idx="43">
                  <c:v>42767</c:v>
                </c:pt>
                <c:pt idx="44">
                  <c:v>42795</c:v>
                </c:pt>
                <c:pt idx="45">
                  <c:v>42826</c:v>
                </c:pt>
                <c:pt idx="46">
                  <c:v>42856</c:v>
                </c:pt>
                <c:pt idx="47">
                  <c:v>42887</c:v>
                </c:pt>
                <c:pt idx="48">
                  <c:v>42917</c:v>
                </c:pt>
                <c:pt idx="49">
                  <c:v>42948</c:v>
                </c:pt>
                <c:pt idx="50">
                  <c:v>42979</c:v>
                </c:pt>
                <c:pt idx="51">
                  <c:v>43009</c:v>
                </c:pt>
                <c:pt idx="52">
                  <c:v>43040</c:v>
                </c:pt>
                <c:pt idx="53">
                  <c:v>43070</c:v>
                </c:pt>
                <c:pt idx="54">
                  <c:v>43101</c:v>
                </c:pt>
                <c:pt idx="55">
                  <c:v>43132</c:v>
                </c:pt>
                <c:pt idx="56">
                  <c:v>43160</c:v>
                </c:pt>
                <c:pt idx="57">
                  <c:v>43191</c:v>
                </c:pt>
              </c:numCache>
            </c:numRef>
          </c:cat>
          <c:val>
            <c:numRef>
              <c:f>Compare!$B$2:$B$59</c:f>
              <c:numCache>
                <c:formatCode>General</c:formatCode>
                <c:ptCount val="58"/>
                <c:pt idx="0">
                  <c:v>63.704999999999998</c:v>
                </c:pt>
                <c:pt idx="1">
                  <c:v>47.8</c:v>
                </c:pt>
                <c:pt idx="2">
                  <c:v>39.79</c:v>
                </c:pt>
                <c:pt idx="3">
                  <c:v>35.299999999999997</c:v>
                </c:pt>
                <c:pt idx="4">
                  <c:v>38.695</c:v>
                </c:pt>
                <c:pt idx="5">
                  <c:v>42.7</c:v>
                </c:pt>
                <c:pt idx="6">
                  <c:v>37.04</c:v>
                </c:pt>
                <c:pt idx="7">
                  <c:v>32.244999999999997</c:v>
                </c:pt>
                <c:pt idx="8">
                  <c:v>34.58</c:v>
                </c:pt>
                <c:pt idx="9">
                  <c:v>37.655000000000001</c:v>
                </c:pt>
                <c:pt idx="10">
                  <c:v>36.695</c:v>
                </c:pt>
                <c:pt idx="11">
                  <c:v>35.549999999999997</c:v>
                </c:pt>
                <c:pt idx="12">
                  <c:v>41.064999999999998</c:v>
                </c:pt>
                <c:pt idx="13">
                  <c:v>42.225000000000001</c:v>
                </c:pt>
                <c:pt idx="14">
                  <c:v>42.945</c:v>
                </c:pt>
                <c:pt idx="15">
                  <c:v>42.32</c:v>
                </c:pt>
                <c:pt idx="16">
                  <c:v>44.81</c:v>
                </c:pt>
                <c:pt idx="17">
                  <c:v>48.98</c:v>
                </c:pt>
                <c:pt idx="18">
                  <c:v>52.484999999999999</c:v>
                </c:pt>
                <c:pt idx="19">
                  <c:v>58.36</c:v>
                </c:pt>
                <c:pt idx="20">
                  <c:v>61.32</c:v>
                </c:pt>
                <c:pt idx="21">
                  <c:v>59.954999999999998</c:v>
                </c:pt>
                <c:pt idx="22">
                  <c:v>57.695</c:v>
                </c:pt>
                <c:pt idx="23">
                  <c:v>59.82</c:v>
                </c:pt>
                <c:pt idx="24">
                  <c:v>49.62</c:v>
                </c:pt>
                <c:pt idx="25">
                  <c:v>43.564999999999998</c:v>
                </c:pt>
                <c:pt idx="26">
                  <c:v>45.28</c:v>
                </c:pt>
                <c:pt idx="27">
                  <c:v>48.454999999999998</c:v>
                </c:pt>
                <c:pt idx="28">
                  <c:v>49.895000000000003</c:v>
                </c:pt>
                <c:pt idx="29">
                  <c:v>47.854999999999997</c:v>
                </c:pt>
                <c:pt idx="30">
                  <c:v>43.31</c:v>
                </c:pt>
                <c:pt idx="31">
                  <c:v>44.16</c:v>
                </c:pt>
                <c:pt idx="32">
                  <c:v>51.12</c:v>
                </c:pt>
                <c:pt idx="33">
                  <c:v>55.35</c:v>
                </c:pt>
                <c:pt idx="34">
                  <c:v>57.54</c:v>
                </c:pt>
                <c:pt idx="35">
                  <c:v>62.42</c:v>
                </c:pt>
                <c:pt idx="36">
                  <c:v>65.86</c:v>
                </c:pt>
                <c:pt idx="37">
                  <c:v>72.28</c:v>
                </c:pt>
                <c:pt idx="38">
                  <c:v>76.3</c:v>
                </c:pt>
                <c:pt idx="39">
                  <c:v>74.41</c:v>
                </c:pt>
                <c:pt idx="40">
                  <c:v>71.885000000000005</c:v>
                </c:pt>
                <c:pt idx="41">
                  <c:v>54.555</c:v>
                </c:pt>
                <c:pt idx="42">
                  <c:v>29.42</c:v>
                </c:pt>
                <c:pt idx="43">
                  <c:v>23.91</c:v>
                </c:pt>
                <c:pt idx="44">
                  <c:v>26.434999999999999</c:v>
                </c:pt>
                <c:pt idx="45">
                  <c:v>24.09</c:v>
                </c:pt>
                <c:pt idx="46">
                  <c:v>25.62</c:v>
                </c:pt>
                <c:pt idx="47">
                  <c:v>29.11</c:v>
                </c:pt>
                <c:pt idx="48">
                  <c:v>31.92</c:v>
                </c:pt>
                <c:pt idx="49">
                  <c:v>32.31</c:v>
                </c:pt>
                <c:pt idx="50">
                  <c:v>33.015000000000001</c:v>
                </c:pt>
                <c:pt idx="51">
                  <c:v>37.685000000000002</c:v>
                </c:pt>
                <c:pt idx="52">
                  <c:v>37.604999999999997</c:v>
                </c:pt>
                <c:pt idx="53">
                  <c:v>34.299999999999997</c:v>
                </c:pt>
                <c:pt idx="54">
                  <c:v>31.77</c:v>
                </c:pt>
                <c:pt idx="55">
                  <c:v>28.46</c:v>
                </c:pt>
                <c:pt idx="56">
                  <c:v>20.96</c:v>
                </c:pt>
                <c:pt idx="57">
                  <c:v>14.565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0963712"/>
        <c:axId val="260959616"/>
      </c:lineChart>
      <c:dateAx>
        <c:axId val="26093056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60958080"/>
        <c:crosses val="autoZero"/>
        <c:auto val="1"/>
        <c:lblOffset val="100"/>
        <c:baseTimeUnit val="months"/>
      </c:dateAx>
      <c:valAx>
        <c:axId val="2609580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60930560"/>
        <c:crosses val="autoZero"/>
        <c:crossBetween val="between"/>
      </c:valAx>
      <c:valAx>
        <c:axId val="26095961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260963712"/>
        <c:crosses val="max"/>
        <c:crossBetween val="between"/>
      </c:valAx>
      <c:dateAx>
        <c:axId val="260963712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60959616"/>
        <c:crosses val="autoZero"/>
        <c:auto val="1"/>
        <c:lblOffset val="100"/>
        <c:baseTimeUnit val="months"/>
      </c:date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Compare!$C$1</c:f>
              <c:strCache>
                <c:ptCount val="1"/>
                <c:pt idx="0">
                  <c:v>refi_index</c:v>
                </c:pt>
              </c:strCache>
            </c:strRef>
          </c:tx>
          <c:marker>
            <c:symbol val="none"/>
          </c:marker>
          <c:cat>
            <c:numRef>
              <c:f>Compare!$A$2:$A$59</c:f>
              <c:numCache>
                <c:formatCode>m/d/yyyy</c:formatCode>
                <c:ptCount val="58"/>
                <c:pt idx="0">
                  <c:v>41456</c:v>
                </c:pt>
                <c:pt idx="1">
                  <c:v>41487</c:v>
                </c:pt>
                <c:pt idx="2">
                  <c:v>41518</c:v>
                </c:pt>
                <c:pt idx="3">
                  <c:v>41548</c:v>
                </c:pt>
                <c:pt idx="4">
                  <c:v>41579</c:v>
                </c:pt>
                <c:pt idx="5">
                  <c:v>41609</c:v>
                </c:pt>
                <c:pt idx="6">
                  <c:v>41640</c:v>
                </c:pt>
                <c:pt idx="7">
                  <c:v>41671</c:v>
                </c:pt>
                <c:pt idx="8">
                  <c:v>41699</c:v>
                </c:pt>
                <c:pt idx="9">
                  <c:v>41791</c:v>
                </c:pt>
                <c:pt idx="10">
                  <c:v>41730</c:v>
                </c:pt>
                <c:pt idx="11">
                  <c:v>41760</c:v>
                </c:pt>
                <c:pt idx="12">
                  <c:v>41821</c:v>
                </c:pt>
                <c:pt idx="13">
                  <c:v>41852</c:v>
                </c:pt>
                <c:pt idx="14">
                  <c:v>41883</c:v>
                </c:pt>
                <c:pt idx="15">
                  <c:v>41913</c:v>
                </c:pt>
                <c:pt idx="16">
                  <c:v>41944</c:v>
                </c:pt>
                <c:pt idx="17">
                  <c:v>41974</c:v>
                </c:pt>
                <c:pt idx="18">
                  <c:v>42005</c:v>
                </c:pt>
                <c:pt idx="19">
                  <c:v>42036</c:v>
                </c:pt>
                <c:pt idx="20">
                  <c:v>42064</c:v>
                </c:pt>
                <c:pt idx="21">
                  <c:v>42125</c:v>
                </c:pt>
                <c:pt idx="22">
                  <c:v>42156</c:v>
                </c:pt>
                <c:pt idx="23">
                  <c:v>42095</c:v>
                </c:pt>
                <c:pt idx="24">
                  <c:v>42186</c:v>
                </c:pt>
                <c:pt idx="25">
                  <c:v>42217</c:v>
                </c:pt>
                <c:pt idx="26">
                  <c:v>42248</c:v>
                </c:pt>
                <c:pt idx="27">
                  <c:v>42278</c:v>
                </c:pt>
                <c:pt idx="28">
                  <c:v>42309</c:v>
                </c:pt>
                <c:pt idx="29">
                  <c:v>42339</c:v>
                </c:pt>
                <c:pt idx="30">
                  <c:v>42370</c:v>
                </c:pt>
                <c:pt idx="31">
                  <c:v>42401</c:v>
                </c:pt>
                <c:pt idx="32">
                  <c:v>42430</c:v>
                </c:pt>
                <c:pt idx="33">
                  <c:v>42461</c:v>
                </c:pt>
                <c:pt idx="34">
                  <c:v>42491</c:v>
                </c:pt>
                <c:pt idx="35">
                  <c:v>42522</c:v>
                </c:pt>
                <c:pt idx="36">
                  <c:v>42552</c:v>
                </c:pt>
                <c:pt idx="37">
                  <c:v>42583</c:v>
                </c:pt>
                <c:pt idx="38">
                  <c:v>42614</c:v>
                </c:pt>
                <c:pt idx="39">
                  <c:v>42644</c:v>
                </c:pt>
                <c:pt idx="40">
                  <c:v>42675</c:v>
                </c:pt>
                <c:pt idx="41">
                  <c:v>42705</c:v>
                </c:pt>
                <c:pt idx="42">
                  <c:v>42736</c:v>
                </c:pt>
                <c:pt idx="43">
                  <c:v>42767</c:v>
                </c:pt>
                <c:pt idx="44">
                  <c:v>42795</c:v>
                </c:pt>
                <c:pt idx="45">
                  <c:v>42826</c:v>
                </c:pt>
                <c:pt idx="46">
                  <c:v>42856</c:v>
                </c:pt>
                <c:pt idx="47">
                  <c:v>42887</c:v>
                </c:pt>
                <c:pt idx="48">
                  <c:v>42917</c:v>
                </c:pt>
                <c:pt idx="49">
                  <c:v>42948</c:v>
                </c:pt>
                <c:pt idx="50">
                  <c:v>42979</c:v>
                </c:pt>
                <c:pt idx="51">
                  <c:v>43009</c:v>
                </c:pt>
                <c:pt idx="52">
                  <c:v>43040</c:v>
                </c:pt>
                <c:pt idx="53">
                  <c:v>43070</c:v>
                </c:pt>
                <c:pt idx="54">
                  <c:v>43101</c:v>
                </c:pt>
                <c:pt idx="55">
                  <c:v>43132</c:v>
                </c:pt>
                <c:pt idx="56">
                  <c:v>43160</c:v>
                </c:pt>
                <c:pt idx="57">
                  <c:v>43191</c:v>
                </c:pt>
              </c:numCache>
            </c:numRef>
          </c:cat>
          <c:val>
            <c:numRef>
              <c:f>Compare!$C$2:$C$59</c:f>
              <c:numCache>
                <c:formatCode>General</c:formatCode>
                <c:ptCount val="58"/>
                <c:pt idx="0">
                  <c:v>3354.4</c:v>
                </c:pt>
                <c:pt idx="1">
                  <c:v>2550.44</c:v>
                </c:pt>
                <c:pt idx="2">
                  <c:v>2154.2999999999997</c:v>
                </c:pt>
                <c:pt idx="3">
                  <c:v>1779.575</c:v>
                </c:pt>
                <c:pt idx="4">
                  <c:v>1985.44</c:v>
                </c:pt>
                <c:pt idx="5">
                  <c:v>2088.4249999999997</c:v>
                </c:pt>
                <c:pt idx="6">
                  <c:v>1637.96</c:v>
                </c:pt>
                <c:pt idx="7">
                  <c:v>1475.7750000000001</c:v>
                </c:pt>
                <c:pt idx="8">
                  <c:v>1668.2249999999999</c:v>
                </c:pt>
                <c:pt idx="9">
                  <c:v>1347.4749999999999</c:v>
                </c:pt>
                <c:pt idx="10">
                  <c:v>1538.7250000000001</c:v>
                </c:pt>
                <c:pt idx="11">
                  <c:v>1384.4399999999998</c:v>
                </c:pt>
                <c:pt idx="12">
                  <c:v>1414.7249999999999</c:v>
                </c:pt>
                <c:pt idx="13">
                  <c:v>1337.02</c:v>
                </c:pt>
                <c:pt idx="14">
                  <c:v>1345.9</c:v>
                </c:pt>
                <c:pt idx="15">
                  <c:v>1354</c:v>
                </c:pt>
                <c:pt idx="16">
                  <c:v>1501.6000000000001</c:v>
                </c:pt>
                <c:pt idx="17">
                  <c:v>1632.85</c:v>
                </c:pt>
                <c:pt idx="18">
                  <c:v>1492.5800000000002</c:v>
                </c:pt>
                <c:pt idx="19">
                  <c:v>1867.4250000000002</c:v>
                </c:pt>
                <c:pt idx="20">
                  <c:v>2420.9749999999999</c:v>
                </c:pt>
                <c:pt idx="21">
                  <c:v>1942.3200000000002</c:v>
                </c:pt>
                <c:pt idx="22">
                  <c:v>1686.0749999999998</c:v>
                </c:pt>
                <c:pt idx="23">
                  <c:v>1816.925</c:v>
                </c:pt>
                <c:pt idx="24">
                  <c:v>1417.6200000000001</c:v>
                </c:pt>
                <c:pt idx="25">
                  <c:v>1356.95</c:v>
                </c:pt>
                <c:pt idx="26">
                  <c:v>1518.9749999999999</c:v>
                </c:pt>
                <c:pt idx="27">
                  <c:v>1727.1599999999999</c:v>
                </c:pt>
                <c:pt idx="28">
                  <c:v>1802.05</c:v>
                </c:pt>
                <c:pt idx="29">
                  <c:v>1687.95</c:v>
                </c:pt>
                <c:pt idx="30">
                  <c:v>1611.32</c:v>
                </c:pt>
                <c:pt idx="31">
                  <c:v>1351.55</c:v>
                </c:pt>
                <c:pt idx="32">
                  <c:v>2056</c:v>
                </c:pt>
                <c:pt idx="33">
                  <c:v>2042.6999999999996</c:v>
                </c:pt>
                <c:pt idx="34">
                  <c:v>1997.5250000000001</c:v>
                </c:pt>
                <c:pt idx="35">
                  <c:v>1995.5749999999998</c:v>
                </c:pt>
                <c:pt idx="36">
                  <c:v>2049.88</c:v>
                </c:pt>
                <c:pt idx="37">
                  <c:v>2607.4499999999998</c:v>
                </c:pt>
                <c:pt idx="38">
                  <c:v>2411.4</c:v>
                </c:pt>
                <c:pt idx="39">
                  <c:v>2427.4</c:v>
                </c:pt>
                <c:pt idx="40">
                  <c:v>2253.8999999999996</c:v>
                </c:pt>
                <c:pt idx="41">
                  <c:v>1961.3400000000001</c:v>
                </c:pt>
                <c:pt idx="42">
                  <c:v>1446.4</c:v>
                </c:pt>
                <c:pt idx="43">
                  <c:v>1172.675</c:v>
                </c:pt>
                <c:pt idx="44">
                  <c:v>1251.52</c:v>
                </c:pt>
                <c:pt idx="45">
                  <c:v>1356.9499999999998</c:v>
                </c:pt>
                <c:pt idx="46">
                  <c:v>1286.45</c:v>
                </c:pt>
                <c:pt idx="47">
                  <c:v>1336.8799999999999</c:v>
                </c:pt>
                <c:pt idx="48">
                  <c:v>1428.3500000000001</c:v>
                </c:pt>
                <c:pt idx="49">
                  <c:v>1341.375</c:v>
                </c:pt>
                <c:pt idx="50">
                  <c:v>1424.86</c:v>
                </c:pt>
                <c:pt idx="51">
                  <c:v>1516.875</c:v>
                </c:pt>
                <c:pt idx="52">
                  <c:v>1405.9</c:v>
                </c:pt>
                <c:pt idx="53">
                  <c:v>1324.6200000000001</c:v>
                </c:pt>
                <c:pt idx="54">
                  <c:v>1260.125</c:v>
                </c:pt>
                <c:pt idx="55">
                  <c:v>1209.825</c:v>
                </c:pt>
                <c:pt idx="56">
                  <c:v>1274.0400000000002</c:v>
                </c:pt>
                <c:pt idx="57">
                  <c:v>1155.3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1683456"/>
        <c:axId val="261904640"/>
      </c:lineChart>
      <c:lineChart>
        <c:grouping val="standard"/>
        <c:varyColors val="0"/>
        <c:ser>
          <c:idx val="1"/>
          <c:order val="1"/>
          <c:tx>
            <c:strRef>
              <c:f>Compare!$D$1</c:f>
              <c:strCache>
                <c:ptCount val="1"/>
                <c:pt idx="0">
                  <c:v>CPR</c:v>
                </c:pt>
              </c:strCache>
            </c:strRef>
          </c:tx>
          <c:marker>
            <c:symbol val="none"/>
          </c:marker>
          <c:cat>
            <c:numRef>
              <c:f>Compare!$A$2:$A$59</c:f>
              <c:numCache>
                <c:formatCode>m/d/yyyy</c:formatCode>
                <c:ptCount val="58"/>
                <c:pt idx="0">
                  <c:v>41456</c:v>
                </c:pt>
                <c:pt idx="1">
                  <c:v>41487</c:v>
                </c:pt>
                <c:pt idx="2">
                  <c:v>41518</c:v>
                </c:pt>
                <c:pt idx="3">
                  <c:v>41548</c:v>
                </c:pt>
                <c:pt idx="4">
                  <c:v>41579</c:v>
                </c:pt>
                <c:pt idx="5">
                  <c:v>41609</c:v>
                </c:pt>
                <c:pt idx="6">
                  <c:v>41640</c:v>
                </c:pt>
                <c:pt idx="7">
                  <c:v>41671</c:v>
                </c:pt>
                <c:pt idx="8">
                  <c:v>41699</c:v>
                </c:pt>
                <c:pt idx="9">
                  <c:v>41791</c:v>
                </c:pt>
                <c:pt idx="10">
                  <c:v>41730</c:v>
                </c:pt>
                <c:pt idx="11">
                  <c:v>41760</c:v>
                </c:pt>
                <c:pt idx="12">
                  <c:v>41821</c:v>
                </c:pt>
                <c:pt idx="13">
                  <c:v>41852</c:v>
                </c:pt>
                <c:pt idx="14">
                  <c:v>41883</c:v>
                </c:pt>
                <c:pt idx="15">
                  <c:v>41913</c:v>
                </c:pt>
                <c:pt idx="16">
                  <c:v>41944</c:v>
                </c:pt>
                <c:pt idx="17">
                  <c:v>41974</c:v>
                </c:pt>
                <c:pt idx="18">
                  <c:v>42005</c:v>
                </c:pt>
                <c:pt idx="19">
                  <c:v>42036</c:v>
                </c:pt>
                <c:pt idx="20">
                  <c:v>42064</c:v>
                </c:pt>
                <c:pt idx="21">
                  <c:v>42125</c:v>
                </c:pt>
                <c:pt idx="22">
                  <c:v>42156</c:v>
                </c:pt>
                <c:pt idx="23">
                  <c:v>42095</c:v>
                </c:pt>
                <c:pt idx="24">
                  <c:v>42186</c:v>
                </c:pt>
                <c:pt idx="25">
                  <c:v>42217</c:v>
                </c:pt>
                <c:pt idx="26">
                  <c:v>42248</c:v>
                </c:pt>
                <c:pt idx="27">
                  <c:v>42278</c:v>
                </c:pt>
                <c:pt idx="28">
                  <c:v>42309</c:v>
                </c:pt>
                <c:pt idx="29">
                  <c:v>42339</c:v>
                </c:pt>
                <c:pt idx="30">
                  <c:v>42370</c:v>
                </c:pt>
                <c:pt idx="31">
                  <c:v>42401</c:v>
                </c:pt>
                <c:pt idx="32">
                  <c:v>42430</c:v>
                </c:pt>
                <c:pt idx="33">
                  <c:v>42461</c:v>
                </c:pt>
                <c:pt idx="34">
                  <c:v>42491</c:v>
                </c:pt>
                <c:pt idx="35">
                  <c:v>42522</c:v>
                </c:pt>
                <c:pt idx="36">
                  <c:v>42552</c:v>
                </c:pt>
                <c:pt idx="37">
                  <c:v>42583</c:v>
                </c:pt>
                <c:pt idx="38">
                  <c:v>42614</c:v>
                </c:pt>
                <c:pt idx="39">
                  <c:v>42644</c:v>
                </c:pt>
                <c:pt idx="40">
                  <c:v>42675</c:v>
                </c:pt>
                <c:pt idx="41">
                  <c:v>42705</c:v>
                </c:pt>
                <c:pt idx="42">
                  <c:v>42736</c:v>
                </c:pt>
                <c:pt idx="43">
                  <c:v>42767</c:v>
                </c:pt>
                <c:pt idx="44">
                  <c:v>42795</c:v>
                </c:pt>
                <c:pt idx="45">
                  <c:v>42826</c:v>
                </c:pt>
                <c:pt idx="46">
                  <c:v>42856</c:v>
                </c:pt>
                <c:pt idx="47">
                  <c:v>42887</c:v>
                </c:pt>
                <c:pt idx="48">
                  <c:v>42917</c:v>
                </c:pt>
                <c:pt idx="49">
                  <c:v>42948</c:v>
                </c:pt>
                <c:pt idx="50">
                  <c:v>42979</c:v>
                </c:pt>
                <c:pt idx="51">
                  <c:v>43009</c:v>
                </c:pt>
                <c:pt idx="52">
                  <c:v>43040</c:v>
                </c:pt>
                <c:pt idx="53">
                  <c:v>43070</c:v>
                </c:pt>
                <c:pt idx="54">
                  <c:v>43101</c:v>
                </c:pt>
                <c:pt idx="55">
                  <c:v>43132</c:v>
                </c:pt>
                <c:pt idx="56">
                  <c:v>43160</c:v>
                </c:pt>
                <c:pt idx="57">
                  <c:v>43191</c:v>
                </c:pt>
              </c:numCache>
            </c:numRef>
          </c:cat>
          <c:val>
            <c:numRef>
              <c:f>Compare!$D$2:$D$59</c:f>
              <c:numCache>
                <c:formatCode>General</c:formatCode>
                <c:ptCount val="58"/>
                <c:pt idx="0">
                  <c:v>30.908342829761402</c:v>
                </c:pt>
                <c:pt idx="1">
                  <c:v>23.814669998544559</c:v>
                </c:pt>
                <c:pt idx="2">
                  <c:v>16.971263986944873</c:v>
                </c:pt>
                <c:pt idx="3">
                  <c:v>15.41282833899289</c:v>
                </c:pt>
                <c:pt idx="4">
                  <c:v>13.556214249231735</c:v>
                </c:pt>
                <c:pt idx="5">
                  <c:v>14.317263264065893</c:v>
                </c:pt>
                <c:pt idx="6">
                  <c:v>11.145575261238626</c:v>
                </c:pt>
                <c:pt idx="7">
                  <c:v>10.113937055734423</c:v>
                </c:pt>
                <c:pt idx="8">
                  <c:v>12.074552777556946</c:v>
                </c:pt>
                <c:pt idx="9">
                  <c:v>15.775417320503415</c:v>
                </c:pt>
                <c:pt idx="10">
                  <c:v>12.827751921505692</c:v>
                </c:pt>
                <c:pt idx="11">
                  <c:v>13.766493895764587</c:v>
                </c:pt>
                <c:pt idx="12">
                  <c:v>16.638096453741667</c:v>
                </c:pt>
                <c:pt idx="13">
                  <c:v>16.192646315955763</c:v>
                </c:pt>
                <c:pt idx="14">
                  <c:v>16.031085562871329</c:v>
                </c:pt>
                <c:pt idx="15">
                  <c:v>15.576595061262621</c:v>
                </c:pt>
                <c:pt idx="16">
                  <c:v>14.2750259893613</c:v>
                </c:pt>
                <c:pt idx="17">
                  <c:v>16.597240999873208</c:v>
                </c:pt>
                <c:pt idx="18">
                  <c:v>13.958499291122939</c:v>
                </c:pt>
                <c:pt idx="19">
                  <c:v>16.896786191384905</c:v>
                </c:pt>
                <c:pt idx="20">
                  <c:v>23.788595175864646</c:v>
                </c:pt>
                <c:pt idx="21">
                  <c:v>21.188191037685943</c:v>
                </c:pt>
                <c:pt idx="22">
                  <c:v>22.427342784436664</c:v>
                </c:pt>
                <c:pt idx="23">
                  <c:v>21.592470709757905</c:v>
                </c:pt>
                <c:pt idx="24">
                  <c:v>20.458612893264338</c:v>
                </c:pt>
                <c:pt idx="25">
                  <c:v>17.623156437134334</c:v>
                </c:pt>
                <c:pt idx="26">
                  <c:v>16.789723153388959</c:v>
                </c:pt>
                <c:pt idx="27">
                  <c:v>16.622818681057694</c:v>
                </c:pt>
                <c:pt idx="28">
                  <c:v>14.211026691665008</c:v>
                </c:pt>
                <c:pt idx="29">
                  <c:v>15.939132300622806</c:v>
                </c:pt>
                <c:pt idx="30">
                  <c:v>12.689078895098282</c:v>
                </c:pt>
                <c:pt idx="31">
                  <c:v>12.204590056069286</c:v>
                </c:pt>
                <c:pt idx="32">
                  <c:v>15.821481097212475</c:v>
                </c:pt>
                <c:pt idx="33">
                  <c:v>17.001469730442331</c:v>
                </c:pt>
                <c:pt idx="34">
                  <c:v>18.015580871220372</c:v>
                </c:pt>
                <c:pt idx="35">
                  <c:v>19.688737634374466</c:v>
                </c:pt>
                <c:pt idx="36">
                  <c:v>17.767663080289577</c:v>
                </c:pt>
                <c:pt idx="37">
                  <c:v>22.410446780402172</c:v>
                </c:pt>
                <c:pt idx="38">
                  <c:v>22.03901804916697</c:v>
                </c:pt>
                <c:pt idx="39">
                  <c:v>21.387401694418639</c:v>
                </c:pt>
                <c:pt idx="40">
                  <c:v>19.770238128489648</c:v>
                </c:pt>
                <c:pt idx="41">
                  <c:v>18.4013229618735</c:v>
                </c:pt>
                <c:pt idx="42">
                  <c:v>14.117648657243475</c:v>
                </c:pt>
                <c:pt idx="43">
                  <c:v>11.294272901488867</c:v>
                </c:pt>
                <c:pt idx="44">
                  <c:v>12.472770437711356</c:v>
                </c:pt>
                <c:pt idx="45">
                  <c:v>11.518287900667467</c:v>
                </c:pt>
                <c:pt idx="46">
                  <c:v>12.930970337485192</c:v>
                </c:pt>
                <c:pt idx="47">
                  <c:v>13.855310866108228</c:v>
                </c:pt>
                <c:pt idx="48">
                  <c:v>12.410779077884493</c:v>
                </c:pt>
                <c:pt idx="49">
                  <c:v>13.233142543432342</c:v>
                </c:pt>
                <c:pt idx="50">
                  <c:v>11.657839424377038</c:v>
                </c:pt>
                <c:pt idx="51">
                  <c:v>11.99008698603048</c:v>
                </c:pt>
                <c:pt idx="52">
                  <c:v>11.229005332711894</c:v>
                </c:pt>
                <c:pt idx="53">
                  <c:v>10.992253034069211</c:v>
                </c:pt>
                <c:pt idx="54">
                  <c:v>9.8090099010026748</c:v>
                </c:pt>
                <c:pt idx="55">
                  <c:v>9.3468655569715615</c:v>
                </c:pt>
                <c:pt idx="56">
                  <c:v>11.137690663282063</c:v>
                </c:pt>
                <c:pt idx="57">
                  <c:v>11.801883302472739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2612864"/>
        <c:axId val="262611328"/>
      </c:lineChart>
      <c:dateAx>
        <c:axId val="26168345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61904640"/>
        <c:crosses val="autoZero"/>
        <c:auto val="1"/>
        <c:lblOffset val="100"/>
        <c:baseTimeUnit val="months"/>
      </c:dateAx>
      <c:valAx>
        <c:axId val="2619046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61683456"/>
        <c:crosses val="autoZero"/>
        <c:crossBetween val="between"/>
      </c:valAx>
      <c:valAx>
        <c:axId val="26261132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262612864"/>
        <c:crosses val="max"/>
        <c:crossBetween val="between"/>
      </c:valAx>
      <c:dateAx>
        <c:axId val="262612864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62611328"/>
        <c:crosses val="autoZero"/>
        <c:auto val="1"/>
        <c:lblOffset val="100"/>
        <c:baseTimeUnit val="months"/>
      </c:date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280987</xdr:colOff>
      <xdr:row>25</xdr:row>
      <xdr:rowOff>171450</xdr:rowOff>
    </xdr:from>
    <xdr:to>
      <xdr:col>21</xdr:col>
      <xdr:colOff>585787</xdr:colOff>
      <xdr:row>40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461962</xdr:colOff>
      <xdr:row>7</xdr:row>
      <xdr:rowOff>76199</xdr:rowOff>
    </xdr:from>
    <xdr:to>
      <xdr:col>19</xdr:col>
      <xdr:colOff>76200</xdr:colOff>
      <xdr:row>32</xdr:row>
      <xdr:rowOff>123824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442911</xdr:colOff>
      <xdr:row>34</xdr:row>
      <xdr:rowOff>104774</xdr:rowOff>
    </xdr:from>
    <xdr:to>
      <xdr:col>19</xdr:col>
      <xdr:colOff>47624</xdr:colOff>
      <xdr:row>52</xdr:row>
      <xdr:rowOff>190499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490537</xdr:colOff>
      <xdr:row>4</xdr:row>
      <xdr:rowOff>76200</xdr:rowOff>
    </xdr:from>
    <xdr:to>
      <xdr:col>17</xdr:col>
      <xdr:colOff>185737</xdr:colOff>
      <xdr:row>18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442912</xdr:colOff>
      <xdr:row>19</xdr:row>
      <xdr:rowOff>123825</xdr:rowOff>
    </xdr:from>
    <xdr:to>
      <xdr:col>17</xdr:col>
      <xdr:colOff>138112</xdr:colOff>
      <xdr:row>34</xdr:row>
      <xdr:rowOff>9525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ien Chen" refreshedDate="43235.418253124997" createdVersion="4" refreshedVersion="4" minRefreshableVersion="3" recordCount="489">
  <cacheSource type="worksheet">
    <worksheetSource ref="A1:D1048576" sheet="Refi Index Weekly"/>
  </cacheSource>
  <cacheFields count="4">
    <cacheField name="Asof" numFmtId="0">
      <sharedItems containsNonDate="0" containsDate="1" containsString="0" containsBlank="1" minDate="2009-01-02T00:00:00" maxDate="2018-05-05T00:00:00"/>
    </cacheField>
    <cacheField name="MBAVREFI" numFmtId="0">
      <sharedItems containsString="0" containsBlank="1" containsNumber="1" minValue="1098.4000000000001" maxValue="7414.1"/>
    </cacheField>
    <cacheField name="Lagged" numFmtId="0">
      <sharedItems containsNonDate="0" containsDate="1" containsString="0" containsBlank="1" minDate="2009-02-13T00:00:00" maxDate="2018-06-16T00:00:00"/>
    </cacheField>
    <cacheField name="Month" numFmtId="0">
      <sharedItems containsNonDate="0" containsDate="1" containsString="0" containsBlank="1" minDate="2009-01-01T00:00:00" maxDate="2018-06-02T00:00:00" count="115"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  <d v="2016-11-01T00:00:00"/>
        <d v="2016-12-01T00:00:00"/>
        <d v="2017-01-01T00:00:00"/>
        <d v="2017-02-01T00:00:00"/>
        <d v="2017-03-01T00:00:00"/>
        <d v="2017-04-01T00:00:00"/>
        <d v="2017-05-01T00:00:00"/>
        <d v="2017-06-01T00:00:00"/>
        <d v="2017-07-01T00:00:00"/>
        <d v="2017-08-01T00:00:00"/>
        <d v="2017-09-01T00:00:00"/>
        <d v="2017-10-01T00:00:00"/>
        <d v="2017-11-01T00:00:00"/>
        <d v="2017-12-01T00:00:00"/>
        <d v="2018-01-01T00:00:00"/>
        <d v="2018-02-01T00:00:00"/>
        <d v="2018-03-01T00:00:00"/>
        <d v="2018-04-01T00:00:00"/>
        <d v="2018-05-01T00:00:00"/>
        <d v="2018-06-01T00:00:00"/>
        <m/>
        <d v="2009-01-01T00:00:0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89">
  <r>
    <d v="2009-01-02T00:00:00"/>
    <n v="5904.5"/>
    <d v="2009-02-13T00:00:00"/>
    <x v="0"/>
  </r>
  <r>
    <d v="2009-01-09T00:00:00"/>
    <n v="7414.1"/>
    <d v="2009-02-20T00:00:00"/>
    <x v="0"/>
  </r>
  <r>
    <d v="2009-01-16T00:00:00"/>
    <n v="6491.8"/>
    <d v="2009-02-27T00:00:00"/>
    <x v="0"/>
  </r>
  <r>
    <d v="2009-01-23T00:00:00"/>
    <n v="3373.9"/>
    <d v="2009-03-06T00:00:00"/>
    <x v="1"/>
  </r>
  <r>
    <d v="2009-01-30T00:00:00"/>
    <n v="3906.3"/>
    <d v="2009-03-13T00:00:00"/>
    <x v="1"/>
  </r>
  <r>
    <d v="2009-02-06T00:00:00"/>
    <n v="2722.7"/>
    <d v="2009-03-20T00:00:00"/>
    <x v="1"/>
  </r>
  <r>
    <d v="2009-02-13T00:00:00"/>
    <n v="4472.8999999999996"/>
    <d v="2009-03-27T00:00:00"/>
    <x v="1"/>
  </r>
  <r>
    <d v="2009-02-20T00:00:00"/>
    <n v="3618"/>
    <d v="2009-04-03T00:00:00"/>
    <x v="2"/>
  </r>
  <r>
    <d v="2009-02-27T00:00:00"/>
    <n v="3063.4"/>
    <d v="2009-04-10T00:00:00"/>
    <x v="2"/>
  </r>
  <r>
    <d v="2009-03-06T00:00:00"/>
    <n v="3470.7"/>
    <d v="2009-04-17T00:00:00"/>
    <x v="2"/>
  </r>
  <r>
    <d v="2009-03-13T00:00:00"/>
    <n v="4497.6000000000004"/>
    <d v="2009-04-24T00:00:00"/>
    <x v="2"/>
  </r>
  <r>
    <d v="2009-03-20T00:00:00"/>
    <n v="6363.2"/>
    <d v="2009-05-01T00:00:00"/>
    <x v="3"/>
  </r>
  <r>
    <d v="2009-03-27T00:00:00"/>
    <n v="6600.1"/>
    <d v="2009-05-08T00:00:00"/>
    <x v="3"/>
  </r>
  <r>
    <d v="2009-04-03T00:00:00"/>
    <n v="6813.5"/>
    <d v="2009-05-15T00:00:00"/>
    <x v="3"/>
  </r>
  <r>
    <d v="2009-04-10T00:00:00"/>
    <n v="6071.7"/>
    <d v="2009-05-22T00:00:00"/>
    <x v="3"/>
  </r>
  <r>
    <d v="2009-04-17T00:00:00"/>
    <n v="6540.7"/>
    <d v="2009-05-29T00:00:00"/>
    <x v="3"/>
  </r>
  <r>
    <d v="2009-04-24T00:00:00"/>
    <n v="5108.2"/>
    <d v="2009-06-05T00:00:00"/>
    <x v="4"/>
  </r>
  <r>
    <d v="2009-05-01T00:00:00"/>
    <n v="5169.3"/>
    <d v="2009-06-12T00:00:00"/>
    <x v="4"/>
  </r>
  <r>
    <d v="2009-05-08T00:00:00"/>
    <n v="4588.6000000000004"/>
    <d v="2009-06-19T00:00:00"/>
    <x v="4"/>
  </r>
  <r>
    <d v="2009-05-15T00:00:00"/>
    <n v="4794.3999999999996"/>
    <d v="2009-06-26T00:00:00"/>
    <x v="4"/>
  </r>
  <r>
    <d v="2009-05-22T00:00:00"/>
    <n v="3890.4"/>
    <d v="2009-07-03T00:00:00"/>
    <x v="5"/>
  </r>
  <r>
    <d v="2009-05-29T00:00:00"/>
    <n v="2953.6"/>
    <d v="2009-07-10T00:00:00"/>
    <x v="5"/>
  </r>
  <r>
    <d v="2009-06-05T00:00:00"/>
    <n v="2605.6999999999998"/>
    <d v="2009-07-17T00:00:00"/>
    <x v="5"/>
  </r>
  <r>
    <d v="2009-06-12T00:00:00"/>
    <n v="1998.1"/>
    <d v="2009-07-24T00:00:00"/>
    <x v="5"/>
  </r>
  <r>
    <d v="2009-06-19T00:00:00"/>
    <n v="2116.3000000000002"/>
    <d v="2009-07-31T00:00:00"/>
    <x v="5"/>
  </r>
  <r>
    <d v="2009-06-26T00:00:00"/>
    <n v="1482.2"/>
    <d v="2009-08-07T00:00:00"/>
    <x v="6"/>
  </r>
  <r>
    <d v="2009-07-03T00:00:00"/>
    <n v="1707.7"/>
    <d v="2009-08-14T00:00:00"/>
    <x v="6"/>
  </r>
  <r>
    <d v="2009-07-10T00:00:00"/>
    <n v="2009.4"/>
    <d v="2009-08-21T00:00:00"/>
    <x v="6"/>
  </r>
  <r>
    <d v="2009-07-17T00:00:00"/>
    <n v="2089.6999999999998"/>
    <d v="2009-08-28T00:00:00"/>
    <x v="6"/>
  </r>
  <r>
    <d v="2009-07-24T00:00:00"/>
    <n v="1862.1"/>
    <d v="2009-09-04T00:00:00"/>
    <x v="7"/>
  </r>
  <r>
    <d v="2009-07-31T00:00:00"/>
    <n v="1996.7"/>
    <d v="2009-09-11T00:00:00"/>
    <x v="7"/>
  </r>
  <r>
    <d v="2009-08-07T00:00:00"/>
    <n v="1853.8"/>
    <d v="2009-09-18T00:00:00"/>
    <x v="7"/>
  </r>
  <r>
    <d v="2009-08-14T00:00:00"/>
    <n v="1982.5"/>
    <d v="2009-09-25T00:00:00"/>
    <x v="7"/>
  </r>
  <r>
    <d v="2009-08-21T00:00:00"/>
    <n v="2233.5"/>
    <d v="2009-10-02T00:00:00"/>
    <x v="8"/>
  </r>
  <r>
    <d v="2009-08-28T00:00:00"/>
    <n v="2164.1"/>
    <d v="2009-10-09T00:00:00"/>
    <x v="8"/>
  </r>
  <r>
    <d v="2009-09-04T00:00:00"/>
    <n v="2651.2"/>
    <d v="2009-10-16T00:00:00"/>
    <x v="8"/>
  </r>
  <r>
    <d v="2009-09-11T00:00:00"/>
    <n v="2454.5"/>
    <d v="2009-10-23T00:00:00"/>
    <x v="8"/>
  </r>
  <r>
    <d v="2009-09-18T00:00:00"/>
    <n v="2881.5"/>
    <d v="2009-10-30T00:00:00"/>
    <x v="8"/>
  </r>
  <r>
    <d v="2009-09-25T00:00:00"/>
    <n v="2857.3"/>
    <d v="2009-11-06T00:00:00"/>
    <x v="9"/>
  </r>
  <r>
    <d v="2009-10-02T00:00:00"/>
    <n v="3377.1"/>
    <d v="2009-11-13T00:00:00"/>
    <x v="9"/>
  </r>
  <r>
    <d v="2009-10-09T00:00:00"/>
    <n v="3374.6"/>
    <d v="2009-11-20T00:00:00"/>
    <x v="9"/>
  </r>
  <r>
    <d v="2009-10-16T00:00:00"/>
    <n v="2808"/>
    <d v="2009-11-27T00:00:00"/>
    <x v="9"/>
  </r>
  <r>
    <d v="2009-10-23T00:00:00"/>
    <n v="2352.5"/>
    <d v="2009-12-04T00:00:00"/>
    <x v="10"/>
  </r>
  <r>
    <d v="2009-10-30T00:00:00"/>
    <n v="2693.7"/>
    <d v="2009-12-11T00:00:00"/>
    <x v="10"/>
  </r>
  <r>
    <d v="2009-11-06T00:00:00"/>
    <n v="2998.2"/>
    <d v="2009-12-18T00:00:00"/>
    <x v="10"/>
  </r>
  <r>
    <d v="2009-11-13T00:00:00"/>
    <n v="3115.1"/>
    <d v="2009-12-25T00:00:00"/>
    <x v="10"/>
  </r>
  <r>
    <d v="2009-11-20T00:00:00"/>
    <n v="2818.7"/>
    <d v="2010-01-01T00:00:00"/>
    <x v="11"/>
  </r>
  <r>
    <d v="2009-11-27T00:00:00"/>
    <n v="2866.4"/>
    <d v="2010-01-08T00:00:00"/>
    <x v="11"/>
  </r>
  <r>
    <d v="2009-12-04T00:00:00"/>
    <n v="3185.9"/>
    <d v="2010-01-15T00:00:00"/>
    <x v="11"/>
  </r>
  <r>
    <d v="2009-12-11T00:00:00"/>
    <n v="3214"/>
    <d v="2010-01-22T00:00:00"/>
    <x v="11"/>
  </r>
  <r>
    <d v="2009-12-18T00:00:00"/>
    <n v="2889.9"/>
    <d v="2010-01-29T00:00:00"/>
    <x v="11"/>
  </r>
  <r>
    <d v="2009-12-25T00:00:00"/>
    <n v="2008.9"/>
    <d v="2010-02-05T00:00:00"/>
    <x v="12"/>
  </r>
  <r>
    <d v="2010-01-01T00:00:00"/>
    <n v="1976.9"/>
    <d v="2010-02-12T00:00:00"/>
    <x v="12"/>
  </r>
  <r>
    <d v="2010-01-08T00:00:00"/>
    <n v="2407.1999999999998"/>
    <d v="2010-02-19T00:00:00"/>
    <x v="12"/>
  </r>
  <r>
    <d v="2010-01-15T00:00:00"/>
    <n v="2663.8"/>
    <d v="2010-02-26T00:00:00"/>
    <x v="12"/>
  </r>
  <r>
    <d v="2010-01-22T00:00:00"/>
    <n v="2260.4"/>
    <d v="2010-03-05T00:00:00"/>
    <x v="13"/>
  </r>
  <r>
    <d v="2010-01-29T00:00:00"/>
    <n v="2854.8"/>
    <d v="2010-03-12T00:00:00"/>
    <x v="13"/>
  </r>
  <r>
    <d v="2010-02-05T00:00:00"/>
    <n v="2893.9"/>
    <d v="2010-03-19T00:00:00"/>
    <x v="13"/>
  </r>
  <r>
    <d v="2010-02-12T00:00:00"/>
    <n v="2860.1"/>
    <d v="2010-03-26T00:00:00"/>
    <x v="13"/>
  </r>
  <r>
    <d v="2010-02-19T00:00:00"/>
    <n v="2605.3000000000002"/>
    <d v="2010-04-02T00:00:00"/>
    <x v="14"/>
  </r>
  <r>
    <d v="2010-02-26T00:00:00"/>
    <n v="3054.3"/>
    <d v="2010-04-09T00:00:00"/>
    <x v="14"/>
  </r>
  <r>
    <d v="2010-03-05T00:00:00"/>
    <n v="3007.2"/>
    <d v="2010-04-16T00:00:00"/>
    <x v="14"/>
  </r>
  <r>
    <d v="2010-03-12T00:00:00"/>
    <n v="2955.9"/>
    <d v="2010-04-23T00:00:00"/>
    <x v="14"/>
  </r>
  <r>
    <d v="2010-03-19T00:00:00"/>
    <n v="2744.7"/>
    <d v="2010-04-30T00:00:00"/>
    <x v="14"/>
  </r>
  <r>
    <d v="2010-03-26T00:00:00"/>
    <n v="2707.8"/>
    <d v="2010-05-07T00:00:00"/>
    <x v="15"/>
  </r>
  <r>
    <d v="2010-04-02T00:00:00"/>
    <n v="2250.6"/>
    <d v="2010-05-14T00:00:00"/>
    <x v="15"/>
  </r>
  <r>
    <d v="2010-04-09T00:00:00"/>
    <n v="2047.1"/>
    <d v="2010-05-21T00:00:00"/>
    <x v="15"/>
  </r>
  <r>
    <d v="2010-04-16T00:00:00"/>
    <n v="2371"/>
    <d v="2010-05-28T00:00:00"/>
    <x v="15"/>
  </r>
  <r>
    <d v="2010-04-23T00:00:00"/>
    <n v="2161.8000000000002"/>
    <d v="2010-06-04T00:00:00"/>
    <x v="16"/>
  </r>
  <r>
    <d v="2010-04-30T00:00:00"/>
    <n v="2117.3000000000002"/>
    <d v="2010-06-11T00:00:00"/>
    <x v="16"/>
  </r>
  <r>
    <d v="2010-05-07T00:00:00"/>
    <n v="2430.8000000000002"/>
    <d v="2010-06-18T00:00:00"/>
    <x v="16"/>
  </r>
  <r>
    <d v="2010-05-14T00:00:00"/>
    <n v="2783"/>
    <d v="2010-06-25T00:00:00"/>
    <x v="16"/>
  </r>
  <r>
    <d v="2010-05-21T00:00:00"/>
    <n v="3257.4"/>
    <d v="2010-07-02T00:00:00"/>
    <x v="17"/>
  </r>
  <r>
    <d v="2010-05-28T00:00:00"/>
    <n v="3336.9"/>
    <d v="2010-07-09T00:00:00"/>
    <x v="17"/>
  </r>
  <r>
    <d v="2010-06-04T00:00:00"/>
    <n v="2859.5"/>
    <d v="2010-07-16T00:00:00"/>
    <x v="17"/>
  </r>
  <r>
    <d v="2010-06-11T00:00:00"/>
    <n v="3461.5"/>
    <d v="2010-07-23T00:00:00"/>
    <x v="17"/>
  </r>
  <r>
    <d v="2010-06-18T00:00:00"/>
    <n v="3208.5"/>
    <d v="2010-07-30T00:00:00"/>
    <x v="17"/>
  </r>
  <r>
    <d v="2010-06-25T00:00:00"/>
    <n v="3613.1"/>
    <d v="2010-08-06T00:00:00"/>
    <x v="18"/>
  </r>
  <r>
    <d v="2010-07-02T00:00:00"/>
    <n v="3944.6"/>
    <d v="2010-08-13T00:00:00"/>
    <x v="18"/>
  </r>
  <r>
    <d v="2010-07-09T00:00:00"/>
    <n v="3831.2"/>
    <d v="2010-08-20T00:00:00"/>
    <x v="18"/>
  </r>
  <r>
    <d v="2010-07-16T00:00:00"/>
    <n v="4161.8999999999996"/>
    <d v="2010-08-27T00:00:00"/>
    <x v="18"/>
  </r>
  <r>
    <d v="2010-07-23T00:00:00"/>
    <n v="3918.1"/>
    <d v="2010-09-03T00:00:00"/>
    <x v="19"/>
  </r>
  <r>
    <d v="2010-07-30T00:00:00"/>
    <n v="3969"/>
    <d v="2010-09-10T00:00:00"/>
    <x v="19"/>
  </r>
  <r>
    <d v="2010-08-06T00:00:00"/>
    <n v="3993"/>
    <d v="2010-09-17T00:00:00"/>
    <x v="19"/>
  </r>
  <r>
    <d v="2010-08-13T00:00:00"/>
    <n v="4676.7"/>
    <d v="2010-09-24T00:00:00"/>
    <x v="19"/>
  </r>
  <r>
    <d v="2010-08-20T00:00:00"/>
    <n v="4944.7"/>
    <d v="2010-10-01T00:00:00"/>
    <x v="20"/>
  </r>
  <r>
    <d v="2010-08-27T00:00:00"/>
    <n v="5085.3"/>
    <d v="2010-10-08T00:00:00"/>
    <x v="20"/>
  </r>
  <r>
    <d v="2010-09-03T00:00:00"/>
    <n v="4926.5"/>
    <d v="2010-10-15T00:00:00"/>
    <x v="20"/>
  </r>
  <r>
    <d v="2010-09-10T00:00:00"/>
    <n v="4396.1000000000004"/>
    <d v="2010-10-22T00:00:00"/>
    <x v="20"/>
  </r>
  <r>
    <d v="2010-09-17T00:00:00"/>
    <n v="4357.3999999999996"/>
    <d v="2010-10-29T00:00:00"/>
    <x v="20"/>
  </r>
  <r>
    <d v="2010-09-24T00:00:00"/>
    <n v="4288.3"/>
    <d v="2010-11-05T00:00:00"/>
    <x v="21"/>
  </r>
  <r>
    <d v="2010-10-01T00:00:00"/>
    <n v="4180.8"/>
    <d v="2010-11-12T00:00:00"/>
    <x v="21"/>
  </r>
  <r>
    <d v="2010-10-08T00:00:00"/>
    <n v="5060.3"/>
    <d v="2010-11-19T00:00:00"/>
    <x v="21"/>
  </r>
  <r>
    <d v="2010-10-15T00:00:00"/>
    <n v="4491.1000000000004"/>
    <d v="2010-11-26T00:00:00"/>
    <x v="21"/>
  </r>
  <r>
    <d v="2010-10-22T00:00:00"/>
    <n v="4626.1000000000004"/>
    <d v="2010-12-03T00:00:00"/>
    <x v="22"/>
  </r>
  <r>
    <d v="2010-10-29T00:00:00"/>
    <n v="4328.8"/>
    <d v="2010-12-10T00:00:00"/>
    <x v="22"/>
  </r>
  <r>
    <d v="2010-11-05T00:00:00"/>
    <n v="4587.7"/>
    <d v="2010-12-17T00:00:00"/>
    <x v="22"/>
  </r>
  <r>
    <d v="2010-11-12T00:00:00"/>
    <n v="3831"/>
    <d v="2010-12-24T00:00:00"/>
    <x v="22"/>
  </r>
  <r>
    <d v="2010-11-19T00:00:00"/>
    <n v="3793.6"/>
    <d v="2010-12-31T00:00:00"/>
    <x v="22"/>
  </r>
  <r>
    <d v="2010-11-26T00:00:00"/>
    <n v="2974.4"/>
    <d v="2011-01-07T00:00:00"/>
    <x v="23"/>
  </r>
  <r>
    <d v="2010-12-03T00:00:00"/>
    <n v="2932"/>
    <d v="2011-01-14T00:00:00"/>
    <x v="23"/>
  </r>
  <r>
    <d v="2010-12-10T00:00:00"/>
    <n v="2910.9"/>
    <d v="2011-01-21T00:00:00"/>
    <x v="23"/>
  </r>
  <r>
    <d v="2010-12-17T00:00:00"/>
    <n v="2196.1"/>
    <d v="2011-01-28T00:00:00"/>
    <x v="23"/>
  </r>
  <r>
    <d v="2010-12-24T00:00:00"/>
    <n v="2036.9"/>
    <d v="2011-02-04T00:00:00"/>
    <x v="24"/>
  </r>
  <r>
    <d v="2010-12-31T00:00:00"/>
    <n v="2115.4"/>
    <d v="2011-02-11T00:00:00"/>
    <x v="24"/>
  </r>
  <r>
    <d v="2011-01-07T00:00:00"/>
    <n v="2219.1999999999998"/>
    <d v="2011-02-18T00:00:00"/>
    <x v="24"/>
  </r>
  <r>
    <d v="2011-01-14T00:00:00"/>
    <n v="2390.6999999999998"/>
    <d v="2011-02-25T00:00:00"/>
    <x v="24"/>
  </r>
  <r>
    <d v="2011-01-21T00:00:00"/>
    <n v="2025.2"/>
    <d v="2011-03-04T00:00:00"/>
    <x v="25"/>
  </r>
  <r>
    <d v="2011-01-28T00:00:00"/>
    <n v="2261.1999999999998"/>
    <d v="2011-03-11T00:00:00"/>
    <x v="25"/>
  </r>
  <r>
    <d v="2011-02-04T00:00:00"/>
    <n v="2086.4"/>
    <d v="2011-03-18T00:00:00"/>
    <x v="25"/>
  </r>
  <r>
    <d v="2011-02-11T00:00:00"/>
    <n v="1848.6"/>
    <d v="2011-03-25T00:00:00"/>
    <x v="25"/>
  </r>
  <r>
    <d v="2011-02-18T00:00:00"/>
    <n v="2177.1999999999998"/>
    <d v="2011-04-01T00:00:00"/>
    <x v="26"/>
  </r>
  <r>
    <d v="2011-02-25T00:00:00"/>
    <n v="2034.7"/>
    <d v="2011-04-08T00:00:00"/>
    <x v="26"/>
  </r>
  <r>
    <d v="2011-03-04T00:00:00"/>
    <n v="2383.6999999999998"/>
    <d v="2011-04-15T00:00:00"/>
    <x v="26"/>
  </r>
  <r>
    <d v="2011-03-11T00:00:00"/>
    <n v="2406.3000000000002"/>
    <d v="2011-04-22T00:00:00"/>
    <x v="26"/>
  </r>
  <r>
    <d v="2011-03-18T00:00:00"/>
    <n v="2471.1999999999998"/>
    <d v="2011-04-29T00:00:00"/>
    <x v="26"/>
  </r>
  <r>
    <d v="2011-03-25T00:00:00"/>
    <n v="2222.5"/>
    <d v="2011-05-06T00:00:00"/>
    <x v="27"/>
  </r>
  <r>
    <d v="2011-04-01T00:00:00"/>
    <n v="2084.1"/>
    <d v="2011-05-13T00:00:00"/>
    <x v="27"/>
  </r>
  <r>
    <d v="2011-04-08T00:00:00"/>
    <n v="1923.9"/>
    <d v="2011-05-20T00:00:00"/>
    <x v="27"/>
  </r>
  <r>
    <d v="2011-04-15T00:00:00"/>
    <n v="1975.2"/>
    <d v="2011-05-27T00:00:00"/>
    <x v="27"/>
  </r>
  <r>
    <d v="2011-04-22T00:00:00"/>
    <n v="1964"/>
    <d v="2011-06-03T00:00:00"/>
    <x v="28"/>
  </r>
  <r>
    <d v="2011-04-29T00:00:00"/>
    <n v="2081.6"/>
    <d v="2011-06-10T00:00:00"/>
    <x v="28"/>
  </r>
  <r>
    <d v="2011-05-06T00:00:00"/>
    <n v="2269.1"/>
    <d v="2011-06-17T00:00:00"/>
    <x v="28"/>
  </r>
  <r>
    <d v="2011-05-13T00:00:00"/>
    <n v="2568.1999999999998"/>
    <d v="2011-06-24T00:00:00"/>
    <x v="28"/>
  </r>
  <r>
    <d v="2011-05-20T00:00:00"/>
    <n v="2591.6999999999998"/>
    <d v="2011-07-01T00:00:00"/>
    <x v="29"/>
  </r>
  <r>
    <d v="2011-05-27T00:00:00"/>
    <n v="2442.9"/>
    <d v="2011-07-08T00:00:00"/>
    <x v="29"/>
  </r>
  <r>
    <d v="2011-06-03T00:00:00"/>
    <n v="2475.6999999999998"/>
    <d v="2011-07-15T00:00:00"/>
    <x v="29"/>
  </r>
  <r>
    <d v="2011-06-10T00:00:00"/>
    <n v="2883.7"/>
    <d v="2011-07-22T00:00:00"/>
    <x v="29"/>
  </r>
  <r>
    <d v="2011-06-17T00:00:00"/>
    <n v="2675.2"/>
    <d v="2011-07-29T00:00:00"/>
    <x v="29"/>
  </r>
  <r>
    <d v="2011-06-24T00:00:00"/>
    <n v="2604.4"/>
    <d v="2011-08-05T00:00:00"/>
    <x v="30"/>
  </r>
  <r>
    <d v="2011-07-01T00:00:00"/>
    <n v="2363.6"/>
    <d v="2011-08-12T00:00:00"/>
    <x v="30"/>
  </r>
  <r>
    <d v="2011-07-08T00:00:00"/>
    <n v="2217.3000000000002"/>
    <d v="2011-08-19T00:00:00"/>
    <x v="30"/>
  </r>
  <r>
    <d v="2011-07-15T00:00:00"/>
    <n v="2728.6"/>
    <d v="2011-08-26T00:00:00"/>
    <x v="30"/>
  </r>
  <r>
    <d v="2011-07-22T00:00:00"/>
    <n v="2578.8000000000002"/>
    <d v="2011-09-02T00:00:00"/>
    <x v="31"/>
  </r>
  <r>
    <d v="2011-07-29T00:00:00"/>
    <n v="2780.5"/>
    <d v="2011-09-09T00:00:00"/>
    <x v="31"/>
  </r>
  <r>
    <d v="2011-08-05T00:00:00"/>
    <n v="3625.7"/>
    <d v="2011-09-16T00:00:00"/>
    <x v="31"/>
  </r>
  <r>
    <d v="2011-08-12T00:00:00"/>
    <n v="3915.5"/>
    <d v="2011-09-23T00:00:00"/>
    <x v="31"/>
  </r>
  <r>
    <d v="2011-08-19T00:00:00"/>
    <n v="3850.6"/>
    <d v="2011-09-30T00:00:00"/>
    <x v="31"/>
  </r>
  <r>
    <d v="2011-08-26T00:00:00"/>
    <n v="3381.7"/>
    <d v="2011-10-07T00:00:00"/>
    <x v="32"/>
  </r>
  <r>
    <d v="2011-09-02T00:00:00"/>
    <n v="3169.4"/>
    <d v="2011-10-14T00:00:00"/>
    <x v="32"/>
  </r>
  <r>
    <d v="2011-09-09T00:00:00"/>
    <n v="3361"/>
    <d v="2011-10-21T00:00:00"/>
    <x v="32"/>
  </r>
  <r>
    <d v="2011-09-16T00:00:00"/>
    <n v="3813.22"/>
    <d v="2011-10-28T00:00:00"/>
    <x v="32"/>
  </r>
  <r>
    <d v="2011-09-23T00:00:00"/>
    <n v="4239.6400000000003"/>
    <d v="2011-11-04T00:00:00"/>
    <x v="33"/>
  </r>
  <r>
    <d v="2011-09-30T00:00:00"/>
    <n v="4019.03"/>
    <d v="2011-11-11T00:00:00"/>
    <x v="33"/>
  </r>
  <r>
    <d v="2011-10-07T00:00:00"/>
    <n v="4072.31"/>
    <d v="2011-11-18T00:00:00"/>
    <x v="33"/>
  </r>
  <r>
    <d v="2011-10-14T00:00:00"/>
    <n v="3396.13"/>
    <d v="2011-11-25T00:00:00"/>
    <x v="33"/>
  </r>
  <r>
    <d v="2011-10-21T00:00:00"/>
    <n v="3546.68"/>
    <d v="2011-12-02T00:00:00"/>
    <x v="34"/>
  </r>
  <r>
    <d v="2011-10-28T00:00:00"/>
    <n v="3539.33"/>
    <d v="2011-12-09T00:00:00"/>
    <x v="34"/>
  </r>
  <r>
    <d v="2011-11-04T00:00:00"/>
    <n v="3967.54"/>
    <d v="2011-12-16T00:00:00"/>
    <x v="34"/>
  </r>
  <r>
    <d v="2011-11-11T00:00:00"/>
    <n v="3483.9"/>
    <d v="2011-12-23T00:00:00"/>
    <x v="34"/>
  </r>
  <r>
    <d v="2011-11-18T00:00:00"/>
    <n v="3344.74"/>
    <d v="2011-12-30T00:00:00"/>
    <x v="34"/>
  </r>
  <r>
    <d v="2011-11-25T00:00:00"/>
    <n v="2834.54"/>
    <d v="2012-01-06T00:00:00"/>
    <x v="35"/>
  </r>
  <r>
    <d v="2011-12-02T00:00:00"/>
    <n v="3268.66"/>
    <d v="2012-01-13T00:00:00"/>
    <x v="35"/>
  </r>
  <r>
    <d v="2011-12-09T00:00:00"/>
    <n v="3573.67"/>
    <d v="2012-01-20T00:00:00"/>
    <x v="35"/>
  </r>
  <r>
    <d v="2011-12-16T00:00:00"/>
    <n v="3516.82"/>
    <d v="2012-01-27T00:00:00"/>
    <x v="35"/>
  </r>
  <r>
    <d v="2011-12-23T00:00:00"/>
    <n v="3534.99"/>
    <d v="2012-02-03T00:00:00"/>
    <x v="36"/>
  </r>
  <r>
    <d v="2011-12-30T00:00:00"/>
    <n v="3448.31"/>
    <d v="2012-02-10T00:00:00"/>
    <x v="36"/>
  </r>
  <r>
    <d v="2012-01-06T00:00:00"/>
    <n v="3560.57"/>
    <d v="2012-02-17T00:00:00"/>
    <x v="36"/>
  </r>
  <r>
    <d v="2012-01-13T00:00:00"/>
    <n v="4500.62"/>
    <d v="2012-02-24T00:00:00"/>
    <x v="36"/>
  </r>
  <r>
    <d v="2012-01-20T00:00:00"/>
    <n v="4265.3"/>
    <d v="2012-03-02T00:00:00"/>
    <x v="37"/>
  </r>
  <r>
    <d v="2012-01-27T00:00:00"/>
    <n v="4113.8"/>
    <d v="2012-03-09T00:00:00"/>
    <x v="37"/>
  </r>
  <r>
    <d v="2012-02-03T00:00:00"/>
    <n v="4500.7"/>
    <d v="2012-03-16T00:00:00"/>
    <x v="37"/>
  </r>
  <r>
    <d v="2012-02-10T00:00:00"/>
    <n v="4538"/>
    <d v="2012-03-23T00:00:00"/>
    <x v="37"/>
  </r>
  <r>
    <d v="2012-02-17T00:00:00"/>
    <n v="4322"/>
    <d v="2012-03-30T00:00:00"/>
    <x v="37"/>
  </r>
  <r>
    <d v="2012-02-24T00:00:00"/>
    <n v="4225.3999999999996"/>
    <d v="2012-04-06T00:00:00"/>
    <x v="38"/>
  </r>
  <r>
    <d v="2012-03-02T00:00:00"/>
    <n v="4141.7"/>
    <d v="2012-04-13T00:00:00"/>
    <x v="38"/>
  </r>
  <r>
    <d v="2012-03-09T00:00:00"/>
    <n v="3971.1"/>
    <d v="2012-04-20T00:00:00"/>
    <x v="38"/>
  </r>
  <r>
    <d v="2012-03-16T00:00:00"/>
    <n v="3603.5"/>
    <d v="2012-04-27T00:00:00"/>
    <x v="38"/>
  </r>
  <r>
    <d v="2012-03-23T00:00:00"/>
    <n v="3438.6"/>
    <d v="2012-05-04T00:00:00"/>
    <x v="39"/>
  </r>
  <r>
    <d v="2012-03-30T00:00:00"/>
    <n v="3576.8"/>
    <d v="2012-05-11T00:00:00"/>
    <x v="39"/>
  </r>
  <r>
    <d v="2012-04-06T00:00:00"/>
    <n v="3467.3"/>
    <d v="2012-05-18T00:00:00"/>
    <x v="39"/>
  </r>
  <r>
    <d v="2012-04-13T00:00:00"/>
    <n v="3936.3"/>
    <d v="2012-05-25T00:00:00"/>
    <x v="39"/>
  </r>
  <r>
    <d v="2012-04-20T00:00:00"/>
    <n v="3715.2"/>
    <d v="2012-06-01T00:00:00"/>
    <x v="40"/>
  </r>
  <r>
    <d v="2012-04-27T00:00:00"/>
    <n v="3687.7"/>
    <d v="2012-06-08T00:00:00"/>
    <x v="40"/>
  </r>
  <r>
    <d v="2012-05-04T00:00:00"/>
    <n v="3734.8"/>
    <d v="2012-06-15T00:00:00"/>
    <x v="40"/>
  </r>
  <r>
    <d v="2012-05-11T00:00:00"/>
    <n v="4219.1000000000004"/>
    <d v="2012-06-22T00:00:00"/>
    <x v="40"/>
  </r>
  <r>
    <d v="2012-05-18T00:00:00"/>
    <n v="4456.3999999999996"/>
    <d v="2012-06-29T00:00:00"/>
    <x v="40"/>
  </r>
  <r>
    <d v="2012-05-25T00:00:00"/>
    <n v="4388.8"/>
    <d v="2012-07-06T00:00:00"/>
    <x v="41"/>
  </r>
  <r>
    <d v="2012-06-01T00:00:00"/>
    <n v="4476.2"/>
    <d v="2012-07-13T00:00:00"/>
    <x v="41"/>
  </r>
  <r>
    <d v="2012-06-08T00:00:00"/>
    <n v="5334.3"/>
    <d v="2012-07-20T00:00:00"/>
    <x v="41"/>
  </r>
  <r>
    <d v="2012-06-15T00:00:00"/>
    <n v="5385.8"/>
    <d v="2012-07-27T00:00:00"/>
    <x v="41"/>
  </r>
  <r>
    <d v="2012-06-22T00:00:00"/>
    <n v="4938.3"/>
    <d v="2012-08-03T00:00:00"/>
    <x v="42"/>
  </r>
  <r>
    <d v="2012-06-29T00:00:00"/>
    <n v="4524.1000000000004"/>
    <d v="2012-08-10T00:00:00"/>
    <x v="42"/>
  </r>
  <r>
    <d v="2012-07-06T00:00:00"/>
    <n v="4369.3"/>
    <d v="2012-08-17T00:00:00"/>
    <x v="42"/>
  </r>
  <r>
    <d v="2012-07-13T00:00:00"/>
    <n v="5314.4"/>
    <d v="2012-08-24T00:00:00"/>
    <x v="42"/>
  </r>
  <r>
    <d v="2012-07-20T00:00:00"/>
    <n v="5411.6"/>
    <d v="2012-08-31T00:00:00"/>
    <x v="42"/>
  </r>
  <r>
    <d v="2012-07-27T00:00:00"/>
    <n v="5452.8"/>
    <d v="2012-09-07T00:00:00"/>
    <x v="43"/>
  </r>
  <r>
    <d v="2012-08-03T00:00:00"/>
    <n v="5349.6"/>
    <d v="2012-09-14T00:00:00"/>
    <x v="43"/>
  </r>
  <r>
    <d v="2012-08-10T00:00:00"/>
    <n v="5077.3"/>
    <d v="2012-09-21T00:00:00"/>
    <x v="43"/>
  </r>
  <r>
    <d v="2012-08-17T00:00:00"/>
    <n v="4609.8999999999996"/>
    <d v="2012-09-28T00:00:00"/>
    <x v="43"/>
  </r>
  <r>
    <d v="2012-08-24T00:00:00"/>
    <n v="4346.2"/>
    <d v="2012-10-05T00:00:00"/>
    <x v="44"/>
  </r>
  <r>
    <d v="2012-08-31T00:00:00"/>
    <n v="4216"/>
    <d v="2012-10-12T00:00:00"/>
    <x v="44"/>
  </r>
  <r>
    <d v="2012-09-07T00:00:00"/>
    <n v="4729.5"/>
    <d v="2012-10-19T00:00:00"/>
    <x v="44"/>
  </r>
  <r>
    <d v="2012-09-14T00:00:00"/>
    <n v="4765.3"/>
    <d v="2012-10-26T00:00:00"/>
    <x v="44"/>
  </r>
  <r>
    <d v="2012-09-21T00:00:00"/>
    <n v="4921.3999999999996"/>
    <d v="2012-11-02T00:00:00"/>
    <x v="45"/>
  </r>
  <r>
    <d v="2012-09-28T00:00:00"/>
    <n v="5888"/>
    <d v="2012-11-09T00:00:00"/>
    <x v="45"/>
  </r>
  <r>
    <d v="2012-10-05T00:00:00"/>
    <n v="5757.3"/>
    <d v="2012-11-16T00:00:00"/>
    <x v="45"/>
  </r>
  <r>
    <d v="2012-10-12T00:00:00"/>
    <n v="5452.9"/>
    <d v="2012-11-23T00:00:00"/>
    <x v="45"/>
  </r>
  <r>
    <d v="2012-10-19T00:00:00"/>
    <n v="4752.1000000000004"/>
    <d v="2012-11-30T00:00:00"/>
    <x v="45"/>
  </r>
  <r>
    <d v="2012-10-26T00:00:00"/>
    <n v="4465.8"/>
    <d v="2012-12-07T00:00:00"/>
    <x v="46"/>
  </r>
  <r>
    <d v="2012-11-02T00:00:00"/>
    <n v="4244.3"/>
    <d v="2012-12-14T00:00:00"/>
    <x v="46"/>
  </r>
  <r>
    <d v="2012-11-09T00:00:00"/>
    <n v="4801.3"/>
    <d v="2012-12-21T00:00:00"/>
    <x v="46"/>
  </r>
  <r>
    <d v="2012-11-16T00:00:00"/>
    <n v="4645.8"/>
    <d v="2012-12-28T00:00:00"/>
    <x v="46"/>
  </r>
  <r>
    <d v="2012-11-23T00:00:00"/>
    <n v="4575.5"/>
    <d v="2013-01-04T00:00:00"/>
    <x v="47"/>
  </r>
  <r>
    <d v="2012-11-30T00:00:00"/>
    <n v="4856.7"/>
    <d v="2013-01-11T00:00:00"/>
    <x v="47"/>
  </r>
  <r>
    <d v="2012-12-07T00:00:00"/>
    <n v="5242.9"/>
    <d v="2013-01-18T00:00:00"/>
    <x v="47"/>
  </r>
  <r>
    <d v="2012-12-14T00:00:00"/>
    <n v="4519.1000000000004"/>
    <d v="2013-01-25T00:00:00"/>
    <x v="47"/>
  </r>
  <r>
    <d v="2012-12-21T00:00:00"/>
    <n v="3937.4"/>
    <d v="2013-02-01T00:00:00"/>
    <x v="48"/>
  </r>
  <r>
    <d v="2012-12-28T00:00:00"/>
    <n v="3528.3"/>
    <d v="2013-02-08T00:00:00"/>
    <x v="48"/>
  </r>
  <r>
    <d v="2013-01-04T00:00:00"/>
    <n v="3956.6"/>
    <d v="2013-02-15T00:00:00"/>
    <x v="48"/>
  </r>
  <r>
    <d v="2013-01-11T00:00:00"/>
    <n v="4563.7"/>
    <d v="2013-02-22T00:00:00"/>
    <x v="48"/>
  </r>
  <r>
    <d v="2013-01-18T00:00:00"/>
    <n v="4916.7"/>
    <d v="2013-03-01T00:00:00"/>
    <x v="49"/>
  </r>
  <r>
    <d v="2013-01-25T00:00:00"/>
    <n v="4415.2"/>
    <d v="2013-03-08T00:00:00"/>
    <x v="49"/>
  </r>
  <r>
    <d v="2013-02-01T00:00:00"/>
    <n v="4567.6000000000004"/>
    <d v="2013-03-15T00:00:00"/>
    <x v="49"/>
  </r>
  <r>
    <d v="2013-02-08T00:00:00"/>
    <n v="4315.8"/>
    <d v="2013-03-22T00:00:00"/>
    <x v="49"/>
  </r>
  <r>
    <d v="2013-02-15T00:00:00"/>
    <n v="4244.6000000000004"/>
    <d v="2013-03-29T00:00:00"/>
    <x v="49"/>
  </r>
  <r>
    <d v="2013-02-22T00:00:00"/>
    <n v="4105.8"/>
    <d v="2013-04-05T00:00:00"/>
    <x v="50"/>
  </r>
  <r>
    <d v="2013-03-01T00:00:00"/>
    <n v="4712.3999999999996"/>
    <d v="2013-04-12T00:00:00"/>
    <x v="50"/>
  </r>
  <r>
    <d v="2013-03-08T00:00:00"/>
    <n v="4466.8"/>
    <d v="2013-04-19T00:00:00"/>
    <x v="50"/>
  </r>
  <r>
    <d v="2013-03-15T00:00:00"/>
    <n v="4108.8"/>
    <d v="2013-04-26T00:00:00"/>
    <x v="50"/>
  </r>
  <r>
    <d v="2013-03-22T00:00:00"/>
    <n v="4436.6000000000004"/>
    <d v="2013-05-03T00:00:00"/>
    <x v="51"/>
  </r>
  <r>
    <d v="2013-03-29T00:00:00"/>
    <n v="4189"/>
    <d v="2013-05-10T00:00:00"/>
    <x v="51"/>
  </r>
  <r>
    <d v="2013-04-05T00:00:00"/>
    <n v="4453.8999999999996"/>
    <d v="2013-05-17T00:00:00"/>
    <x v="51"/>
  </r>
  <r>
    <d v="2013-04-12T00:00:00"/>
    <n v="4685.1000000000004"/>
    <d v="2013-05-24T00:00:00"/>
    <x v="51"/>
  </r>
  <r>
    <d v="2013-04-19T00:00:00"/>
    <n v="4698"/>
    <d v="2013-05-31T00:00:00"/>
    <x v="51"/>
  </r>
  <r>
    <d v="2013-04-26T00:00:00"/>
    <n v="4829.3999999999996"/>
    <d v="2013-06-07T00:00:00"/>
    <x v="52"/>
  </r>
  <r>
    <d v="2013-05-03T00:00:00"/>
    <n v="5229.7"/>
    <d v="2013-06-14T00:00:00"/>
    <x v="52"/>
  </r>
  <r>
    <d v="2013-05-10T00:00:00"/>
    <n v="4805.8"/>
    <d v="2013-06-21T00:00:00"/>
    <x v="52"/>
  </r>
  <r>
    <d v="2013-05-17T00:00:00"/>
    <n v="4245.5"/>
    <d v="2013-06-28T00:00:00"/>
    <x v="52"/>
  </r>
  <r>
    <d v="2013-05-24T00:00:00"/>
    <n v="3723.3"/>
    <d v="2013-07-05T00:00:00"/>
    <x v="53"/>
  </r>
  <r>
    <d v="2013-05-31T00:00:00"/>
    <n v="3163.5"/>
    <d v="2013-07-12T00:00:00"/>
    <x v="53"/>
  </r>
  <r>
    <d v="2013-06-07T00:00:00"/>
    <n v="3322.3"/>
    <d v="2013-07-19T00:00:00"/>
    <x v="53"/>
  </r>
  <r>
    <d v="2013-06-14T00:00:00"/>
    <n v="3208.5"/>
    <d v="2013-07-26T00:00:00"/>
    <x v="53"/>
  </r>
  <r>
    <d v="2013-06-21T00:00:00"/>
    <n v="3041.4"/>
    <d v="2013-08-02T00:00:00"/>
    <x v="54"/>
  </r>
  <r>
    <d v="2013-06-28T00:00:00"/>
    <n v="2568.3000000000002"/>
    <d v="2013-08-09T00:00:00"/>
    <x v="54"/>
  </r>
  <r>
    <d v="2013-07-05T00:00:00"/>
    <n v="2454.6"/>
    <d v="2013-08-16T00:00:00"/>
    <x v="54"/>
  </r>
  <r>
    <d v="2013-07-12T00:00:00"/>
    <n v="2351.6999999999998"/>
    <d v="2013-08-23T00:00:00"/>
    <x v="54"/>
  </r>
  <r>
    <d v="2013-07-19T00:00:00"/>
    <n v="2336.1999999999998"/>
    <d v="2013-08-30T00:00:00"/>
    <x v="54"/>
  </r>
  <r>
    <d v="2013-07-26T00:00:00"/>
    <n v="2247.6"/>
    <d v="2013-09-06T00:00:00"/>
    <x v="55"/>
  </r>
  <r>
    <d v="2013-08-02T00:00:00"/>
    <n v="2244.6999999999998"/>
    <d v="2013-09-13T00:00:00"/>
    <x v="55"/>
  </r>
  <r>
    <d v="2013-08-09T00:00:00"/>
    <n v="2145.3000000000002"/>
    <d v="2013-09-20T00:00:00"/>
    <x v="55"/>
  </r>
  <r>
    <d v="2013-08-16T00:00:00"/>
    <n v="1979.6"/>
    <d v="2013-09-27T00:00:00"/>
    <x v="55"/>
  </r>
  <r>
    <d v="2013-08-23T00:00:00"/>
    <n v="1871.8"/>
    <d v="2013-10-04T00:00:00"/>
    <x v="56"/>
  </r>
  <r>
    <d v="2013-08-30T00:00:00"/>
    <n v="1916.3"/>
    <d v="2013-10-11T00:00:00"/>
    <x v="56"/>
  </r>
  <r>
    <d v="2013-09-06T00:00:00"/>
    <n v="1528.5"/>
    <d v="2013-10-18T00:00:00"/>
    <x v="56"/>
  </r>
  <r>
    <d v="2013-09-13T00:00:00"/>
    <n v="1801.7"/>
    <d v="2013-10-25T00:00:00"/>
    <x v="56"/>
  </r>
  <r>
    <d v="2013-09-20T00:00:00"/>
    <n v="1889.2"/>
    <d v="2013-11-01T00:00:00"/>
    <x v="57"/>
  </r>
  <r>
    <d v="2013-09-27T00:00:00"/>
    <n v="1947.4"/>
    <d v="2013-11-08T00:00:00"/>
    <x v="57"/>
  </r>
  <r>
    <d v="2013-10-04T00:00:00"/>
    <n v="1995.4"/>
    <d v="2013-11-15T00:00:00"/>
    <x v="57"/>
  </r>
  <r>
    <d v="2013-10-11T00:00:00"/>
    <n v="2060.8000000000002"/>
    <d v="2013-11-22T00:00:00"/>
    <x v="57"/>
  </r>
  <r>
    <d v="2013-10-18T00:00:00"/>
    <n v="2034.4"/>
    <d v="2013-11-29T00:00:00"/>
    <x v="57"/>
  </r>
  <r>
    <d v="2013-10-25T00:00:00"/>
    <n v="2211.3000000000002"/>
    <d v="2013-12-06T00:00:00"/>
    <x v="58"/>
  </r>
  <r>
    <d v="2013-11-01T00:00:00"/>
    <n v="2125.1"/>
    <d v="2013-12-13T00:00:00"/>
    <x v="58"/>
  </r>
  <r>
    <d v="2013-11-08T00:00:00"/>
    <n v="2076"/>
    <d v="2013-12-20T00:00:00"/>
    <x v="58"/>
  </r>
  <r>
    <d v="2013-11-15T00:00:00"/>
    <n v="1941.3"/>
    <d v="2013-12-27T00:00:00"/>
    <x v="58"/>
  </r>
  <r>
    <d v="2013-11-22T00:00:00"/>
    <n v="1942.6"/>
    <d v="2014-01-03T00:00:00"/>
    <x v="59"/>
  </r>
  <r>
    <d v="2013-11-29T00:00:00"/>
    <n v="1602.1"/>
    <d v="2014-01-10T00:00:00"/>
    <x v="59"/>
  </r>
  <r>
    <d v="2013-12-06T00:00:00"/>
    <n v="1635.4"/>
    <d v="2014-01-17T00:00:00"/>
    <x v="59"/>
  </r>
  <r>
    <d v="2013-12-13T00:00:00"/>
    <n v="1565.4"/>
    <d v="2014-01-24T00:00:00"/>
    <x v="59"/>
  </r>
  <r>
    <d v="2013-12-20T00:00:00"/>
    <n v="1444.3"/>
    <d v="2014-01-31T00:00:00"/>
    <x v="59"/>
  </r>
  <r>
    <d v="2013-12-27T00:00:00"/>
    <n v="1315.1"/>
    <d v="2014-02-07T00:00:00"/>
    <x v="60"/>
  </r>
  <r>
    <d v="2014-01-03T00:00:00"/>
    <n v="1375.6"/>
    <d v="2014-02-14T00:00:00"/>
    <x v="60"/>
  </r>
  <r>
    <d v="2014-01-10T00:00:00"/>
    <n v="1530.3"/>
    <d v="2014-02-21T00:00:00"/>
    <x v="60"/>
  </r>
  <r>
    <d v="2014-01-17T00:00:00"/>
    <n v="1682.1"/>
    <d v="2014-02-28T00:00:00"/>
    <x v="60"/>
  </r>
  <r>
    <d v="2014-01-24T00:00:00"/>
    <n v="1645.2"/>
    <d v="2014-03-07T00:00:00"/>
    <x v="61"/>
  </r>
  <r>
    <d v="2014-01-31T00:00:00"/>
    <n v="1693.2"/>
    <d v="2014-03-14T00:00:00"/>
    <x v="61"/>
  </r>
  <r>
    <d v="2014-02-07T00:00:00"/>
    <n v="1690"/>
    <d v="2014-03-21T00:00:00"/>
    <x v="61"/>
  </r>
  <r>
    <d v="2014-02-14T00:00:00"/>
    <n v="1644.5"/>
    <d v="2014-03-28T00:00:00"/>
    <x v="61"/>
  </r>
  <r>
    <d v="2014-02-21T00:00:00"/>
    <n v="1457.2"/>
    <d v="2014-04-04T00:00:00"/>
    <x v="62"/>
  </r>
  <r>
    <d v="2014-02-28T00:00:00"/>
    <n v="1597.6"/>
    <d v="2014-04-11T00:00:00"/>
    <x v="62"/>
  </r>
  <r>
    <d v="2014-03-07T00:00:00"/>
    <n v="1547.9"/>
    <d v="2014-04-18T00:00:00"/>
    <x v="62"/>
  </r>
  <r>
    <d v="2014-03-14T00:00:00"/>
    <n v="1552.2"/>
    <d v="2014-04-25T00:00:00"/>
    <x v="62"/>
  </r>
  <r>
    <d v="2014-03-21T00:00:00"/>
    <n v="1432.2"/>
    <d v="2014-05-02T00:00:00"/>
    <x v="63"/>
  </r>
  <r>
    <d v="2014-03-28T00:00:00"/>
    <n v="1391.3"/>
    <d v="2014-05-09T00:00:00"/>
    <x v="63"/>
  </r>
  <r>
    <d v="2014-04-04T00:00:00"/>
    <n v="1322.9"/>
    <d v="2014-05-16T00:00:00"/>
    <x v="63"/>
  </r>
  <r>
    <d v="2014-04-11T00:00:00"/>
    <n v="1414.4"/>
    <d v="2014-05-23T00:00:00"/>
    <x v="63"/>
  </r>
  <r>
    <d v="2014-04-18T00:00:00"/>
    <n v="1361.4"/>
    <d v="2014-05-30T00:00:00"/>
    <x v="63"/>
  </r>
  <r>
    <d v="2014-04-25T00:00:00"/>
    <n v="1267"/>
    <d v="2014-06-06T00:00:00"/>
    <x v="64"/>
  </r>
  <r>
    <d v="2014-05-02T00:00:00"/>
    <n v="1297.5999999999999"/>
    <d v="2014-06-13T00:00:00"/>
    <x v="64"/>
  </r>
  <r>
    <d v="2014-05-09T00:00:00"/>
    <n v="1386.4"/>
    <d v="2014-06-20T00:00:00"/>
    <x v="64"/>
  </r>
  <r>
    <d v="2014-05-16T00:00:00"/>
    <n v="1438.9"/>
    <d v="2014-06-27T00:00:00"/>
    <x v="64"/>
  </r>
  <r>
    <d v="2014-05-23T00:00:00"/>
    <n v="1418.6"/>
    <d v="2014-07-04T00:00:00"/>
    <x v="65"/>
  </r>
  <r>
    <d v="2014-05-30T00:00:00"/>
    <n v="1377.4"/>
    <d v="2014-07-11T00:00:00"/>
    <x v="65"/>
  </r>
  <r>
    <d v="2014-06-06T00:00:00"/>
    <n v="1528.9"/>
    <d v="2014-07-18T00:00:00"/>
    <x v="65"/>
  </r>
  <r>
    <d v="2014-06-13T00:00:00"/>
    <n v="1334"/>
    <d v="2014-07-25T00:00:00"/>
    <x v="65"/>
  </r>
  <r>
    <d v="2014-06-20T00:00:00"/>
    <n v="1322.6"/>
    <d v="2014-08-01T00:00:00"/>
    <x v="66"/>
  </r>
  <r>
    <d v="2014-06-27T00:00:00"/>
    <n v="1323.9"/>
    <d v="2014-08-08T00:00:00"/>
    <x v="66"/>
  </r>
  <r>
    <d v="2014-07-04T00:00:00"/>
    <n v="1328.9"/>
    <d v="2014-08-15T00:00:00"/>
    <x v="66"/>
  </r>
  <r>
    <d v="2014-07-11T00:00:00"/>
    <n v="1327.4"/>
    <d v="2014-08-22T00:00:00"/>
    <x v="66"/>
  </r>
  <r>
    <d v="2014-07-18T00:00:00"/>
    <n v="1382.3"/>
    <d v="2014-08-29T00:00:00"/>
    <x v="66"/>
  </r>
  <r>
    <d v="2014-07-25T00:00:00"/>
    <n v="1326.4"/>
    <d v="2014-09-05T00:00:00"/>
    <x v="67"/>
  </r>
  <r>
    <d v="2014-08-01T00:00:00"/>
    <n v="1377"/>
    <d v="2014-09-12T00:00:00"/>
    <x v="67"/>
  </r>
  <r>
    <d v="2014-08-08T00:00:00"/>
    <n v="1322.2"/>
    <d v="2014-09-19T00:00:00"/>
    <x v="67"/>
  </r>
  <r>
    <d v="2014-08-15T00:00:00"/>
    <n v="1358"/>
    <d v="2014-09-26T00:00:00"/>
    <x v="67"/>
  </r>
  <r>
    <d v="2014-08-22T00:00:00"/>
    <n v="1396.2"/>
    <d v="2014-10-03T00:00:00"/>
    <x v="68"/>
  </r>
  <r>
    <d v="2014-08-29T00:00:00"/>
    <n v="1415.8"/>
    <d v="2014-10-10T00:00:00"/>
    <x v="68"/>
  </r>
  <r>
    <d v="2014-09-05T00:00:00"/>
    <n v="1265"/>
    <d v="2014-10-17T00:00:00"/>
    <x v="68"/>
  </r>
  <r>
    <d v="2014-09-12T00:00:00"/>
    <n v="1395.5"/>
    <d v="2014-10-24T00:00:00"/>
    <x v="68"/>
  </r>
  <r>
    <d v="2014-09-19T00:00:00"/>
    <n v="1297.5"/>
    <d v="2014-10-31T00:00:00"/>
    <x v="68"/>
  </r>
  <r>
    <d v="2014-09-26T00:00:00"/>
    <n v="1293.7"/>
    <d v="2014-11-07T00:00:00"/>
    <x v="69"/>
  </r>
  <r>
    <d v="2014-10-03T00:00:00"/>
    <n v="1358"/>
    <d v="2014-11-14T00:00:00"/>
    <x v="69"/>
  </r>
  <r>
    <d v="2014-10-10T00:00:00"/>
    <n v="1502.4"/>
    <d v="2014-11-21T00:00:00"/>
    <x v="69"/>
  </r>
  <r>
    <d v="2014-10-17T00:00:00"/>
    <n v="1852.3"/>
    <d v="2014-11-28T00:00:00"/>
    <x v="69"/>
  </r>
  <r>
    <d v="2014-10-24T00:00:00"/>
    <n v="1715.3"/>
    <d v="2014-12-05T00:00:00"/>
    <x v="70"/>
  </r>
  <r>
    <d v="2014-10-31T00:00:00"/>
    <n v="1621.2"/>
    <d v="2014-12-12T00:00:00"/>
    <x v="70"/>
  </r>
  <r>
    <d v="2014-11-07T00:00:00"/>
    <n v="1590.3"/>
    <d v="2014-12-19T00:00:00"/>
    <x v="70"/>
  </r>
  <r>
    <d v="2014-11-14T00:00:00"/>
    <n v="1604.6"/>
    <d v="2014-12-26T00:00:00"/>
    <x v="70"/>
  </r>
  <r>
    <d v="2014-11-21T00:00:00"/>
    <n v="1549"/>
    <d v="2015-01-02T00:00:00"/>
    <x v="71"/>
  </r>
  <r>
    <d v="2014-11-28T00:00:00"/>
    <n v="1341.1"/>
    <d v="2015-01-09T00:00:00"/>
    <x v="71"/>
  </r>
  <r>
    <d v="2014-12-05T00:00:00"/>
    <n v="1518.7"/>
    <d v="2015-01-16T00:00:00"/>
    <x v="71"/>
  </r>
  <r>
    <d v="2014-12-12T00:00:00"/>
    <n v="1518.9"/>
    <d v="2015-01-23T00:00:00"/>
    <x v="71"/>
  </r>
  <r>
    <d v="2014-12-19T00:00:00"/>
    <n v="1535.2"/>
    <d v="2015-01-30T00:00:00"/>
    <x v="71"/>
  </r>
  <r>
    <d v="2014-12-26T00:00:00"/>
    <n v="1162.9000000000001"/>
    <d v="2015-02-06T00:00:00"/>
    <x v="72"/>
  </r>
  <r>
    <d v="2015-01-02T00:00:00"/>
    <n v="1349.3"/>
    <d v="2015-02-13T00:00:00"/>
    <x v="72"/>
  </r>
  <r>
    <d v="2015-01-09T00:00:00"/>
    <n v="2211.4"/>
    <d v="2015-02-20T00:00:00"/>
    <x v="72"/>
  </r>
  <r>
    <d v="2015-01-16T00:00:00"/>
    <n v="2746.1"/>
    <d v="2015-02-27T00:00:00"/>
    <x v="72"/>
  </r>
  <r>
    <d v="2015-01-23T00:00:00"/>
    <n v="2605.4"/>
    <d v="2015-03-06T00:00:00"/>
    <x v="73"/>
  </r>
  <r>
    <d v="2015-01-30T00:00:00"/>
    <n v="2669.9"/>
    <d v="2015-03-13T00:00:00"/>
    <x v="73"/>
  </r>
  <r>
    <d v="2015-02-06T00:00:00"/>
    <n v="2395.8000000000002"/>
    <d v="2015-03-20T00:00:00"/>
    <x v="73"/>
  </r>
  <r>
    <d v="2015-02-13T00:00:00"/>
    <n v="2012.8"/>
    <d v="2015-03-27T00:00:00"/>
    <x v="73"/>
  </r>
  <r>
    <d v="2015-02-20T00:00:00"/>
    <n v="1861.8"/>
    <d v="2015-04-03T00:00:00"/>
    <x v="74"/>
  </r>
  <r>
    <d v="2015-02-27T00:00:00"/>
    <n v="1870.3"/>
    <d v="2015-04-10T00:00:00"/>
    <x v="74"/>
  </r>
  <r>
    <d v="2015-03-06T00:00:00"/>
    <n v="1815.3"/>
    <d v="2015-04-17T00:00:00"/>
    <x v="74"/>
  </r>
  <r>
    <d v="2015-03-13T00:00:00"/>
    <n v="1720.3"/>
    <d v="2015-04-24T00:00:00"/>
    <x v="74"/>
  </r>
  <r>
    <d v="2015-03-20T00:00:00"/>
    <n v="1932.5"/>
    <d v="2015-05-01T00:00:00"/>
    <x v="75"/>
  </r>
  <r>
    <d v="2015-03-27T00:00:00"/>
    <n v="2008.7"/>
    <d v="2015-05-08T00:00:00"/>
    <x v="75"/>
  </r>
  <r>
    <d v="2015-04-03T00:00:00"/>
    <n v="1942.2"/>
    <d v="2015-05-15T00:00:00"/>
    <x v="75"/>
  </r>
  <r>
    <d v="2015-04-10T00:00:00"/>
    <n v="1908.1"/>
    <d v="2015-05-22T00:00:00"/>
    <x v="75"/>
  </r>
  <r>
    <d v="2015-04-17T00:00:00"/>
    <n v="1920.1"/>
    <d v="2015-05-29T00:00:00"/>
    <x v="75"/>
  </r>
  <r>
    <d v="2015-04-24T00:00:00"/>
    <n v="1850"/>
    <d v="2015-06-05T00:00:00"/>
    <x v="76"/>
  </r>
  <r>
    <d v="2015-05-01T00:00:00"/>
    <n v="1697.2"/>
    <d v="2015-06-12T00:00:00"/>
    <x v="76"/>
  </r>
  <r>
    <d v="2015-05-08T00:00:00"/>
    <n v="1596.5"/>
    <d v="2015-06-19T00:00:00"/>
    <x v="76"/>
  </r>
  <r>
    <d v="2015-05-15T00:00:00"/>
    <n v="1600.6"/>
    <d v="2015-06-26T00:00:00"/>
    <x v="76"/>
  </r>
  <r>
    <d v="2015-05-22T00:00:00"/>
    <n v="1537.8"/>
    <d v="2015-07-03T00:00:00"/>
    <x v="77"/>
  </r>
  <r>
    <d v="2015-05-29T00:00:00"/>
    <n v="1360.3"/>
    <d v="2015-07-10T00:00:00"/>
    <x v="77"/>
  </r>
  <r>
    <d v="2015-06-05T00:00:00"/>
    <n v="1455.2"/>
    <d v="2015-07-17T00:00:00"/>
    <x v="77"/>
  </r>
  <r>
    <d v="2015-06-12T00:00:00"/>
    <n v="1354.9"/>
    <d v="2015-07-24T00:00:00"/>
    <x v="77"/>
  </r>
  <r>
    <d v="2015-06-19T00:00:00"/>
    <n v="1379.9"/>
    <d v="2015-07-31T00:00:00"/>
    <x v="77"/>
  </r>
  <r>
    <d v="2015-06-26T00:00:00"/>
    <n v="1307.7"/>
    <d v="2015-08-07T00:00:00"/>
    <x v="78"/>
  </r>
  <r>
    <d v="2015-07-03T00:00:00"/>
    <n v="1342.9"/>
    <d v="2015-08-14T00:00:00"/>
    <x v="78"/>
  </r>
  <r>
    <d v="2015-07-10T00:00:00"/>
    <n v="1392.4"/>
    <d v="2015-08-21T00:00:00"/>
    <x v="78"/>
  </r>
  <r>
    <d v="2015-07-17T00:00:00"/>
    <n v="1384.8"/>
    <d v="2015-08-28T00:00:00"/>
    <x v="78"/>
  </r>
  <r>
    <d v="2015-07-24T00:00:00"/>
    <n v="1406.3"/>
    <d v="2015-09-04T00:00:00"/>
    <x v="79"/>
  </r>
  <r>
    <d v="2015-07-31T00:00:00"/>
    <n v="1488.8"/>
    <d v="2015-09-11T00:00:00"/>
    <x v="79"/>
  </r>
  <r>
    <d v="2015-08-07T00:00:00"/>
    <n v="1534.8"/>
    <d v="2015-09-18T00:00:00"/>
    <x v="79"/>
  </r>
  <r>
    <d v="2015-08-14T00:00:00"/>
    <n v="1646"/>
    <d v="2015-09-25T00:00:00"/>
    <x v="79"/>
  </r>
  <r>
    <d v="2015-08-21T00:00:00"/>
    <n v="1629.3"/>
    <d v="2015-10-02T00:00:00"/>
    <x v="80"/>
  </r>
  <r>
    <d v="2015-08-28T00:00:00"/>
    <n v="1902.4"/>
    <d v="2015-10-09T00:00:00"/>
    <x v="80"/>
  </r>
  <r>
    <d v="2015-09-04T00:00:00"/>
    <n v="1713.4"/>
    <d v="2015-10-16T00:00:00"/>
    <x v="80"/>
  </r>
  <r>
    <d v="2015-09-11T00:00:00"/>
    <n v="1557.7"/>
    <d v="2015-10-23T00:00:00"/>
    <x v="80"/>
  </r>
  <r>
    <d v="2015-09-18T00:00:00"/>
    <n v="1833"/>
    <d v="2015-10-30T00:00:00"/>
    <x v="80"/>
  </r>
  <r>
    <d v="2015-09-25T00:00:00"/>
    <n v="1695.9"/>
    <d v="2015-11-06T00:00:00"/>
    <x v="81"/>
  </r>
  <r>
    <d v="2015-10-02T00:00:00"/>
    <n v="2106.1999999999998"/>
    <d v="2015-11-13T00:00:00"/>
    <x v="81"/>
  </r>
  <r>
    <d v="2015-10-09T00:00:00"/>
    <n v="1631.4"/>
    <d v="2015-11-20T00:00:00"/>
    <x v="81"/>
  </r>
  <r>
    <d v="2015-10-16T00:00:00"/>
    <n v="1774.7"/>
    <d v="2015-11-27T00:00:00"/>
    <x v="81"/>
  </r>
  <r>
    <d v="2015-10-23T00:00:00"/>
    <n v="1707.9"/>
    <d v="2015-12-04T00:00:00"/>
    <x v="82"/>
  </r>
  <r>
    <d v="2015-10-30T00:00:00"/>
    <n v="1692.9"/>
    <d v="2015-12-11T00:00:00"/>
    <x v="82"/>
  </r>
  <r>
    <d v="2015-11-06T00:00:00"/>
    <n v="1656.2"/>
    <d v="2015-12-18T00:00:00"/>
    <x v="82"/>
  </r>
  <r>
    <d v="2015-11-13T00:00:00"/>
    <n v="1694.8"/>
    <d v="2015-12-25T00:00:00"/>
    <x v="82"/>
  </r>
  <r>
    <d v="2015-11-20T00:00:00"/>
    <n v="1612.9"/>
    <d v="2016-01-01T00:00:00"/>
    <x v="83"/>
  </r>
  <r>
    <d v="2015-11-27T00:00:00"/>
    <n v="1516.9"/>
    <d v="2016-01-08T00:00:00"/>
    <x v="83"/>
  </r>
  <r>
    <d v="2015-12-04T00:00:00"/>
    <n v="1570.1"/>
    <d v="2016-01-15T00:00:00"/>
    <x v="83"/>
  </r>
  <r>
    <d v="2015-12-11T00:00:00"/>
    <n v="1592.7"/>
    <d v="2016-01-22T00:00:00"/>
    <x v="83"/>
  </r>
  <r>
    <d v="2015-12-18T00:00:00"/>
    <n v="1764"/>
    <d v="2016-01-29T00:00:00"/>
    <x v="83"/>
  </r>
  <r>
    <d v="2015-12-25T00:00:00"/>
    <n v="1272.9000000000001"/>
    <d v="2016-02-05T00:00:00"/>
    <x v="84"/>
  </r>
  <r>
    <d v="2016-01-01T00:00:00"/>
    <n v="1114.8"/>
    <d v="2016-02-12T00:00:00"/>
    <x v="84"/>
  </r>
  <r>
    <d v="2016-01-08T00:00:00"/>
    <n v="1380.4"/>
    <d v="2016-02-19T00:00:00"/>
    <x v="84"/>
  </r>
  <r>
    <d v="2016-01-15T00:00:00"/>
    <n v="1638.1"/>
    <d v="2016-02-26T00:00:00"/>
    <x v="84"/>
  </r>
  <r>
    <d v="2016-01-22T00:00:00"/>
    <n v="1822.5"/>
    <d v="2016-03-04T00:00:00"/>
    <x v="85"/>
  </r>
  <r>
    <d v="2016-01-29T00:00:00"/>
    <n v="1827.6"/>
    <d v="2016-03-11T00:00:00"/>
    <x v="85"/>
  </r>
  <r>
    <d v="2016-02-05T00:00:00"/>
    <n v="2117.1999999999998"/>
    <d v="2016-03-18T00:00:00"/>
    <x v="85"/>
  </r>
  <r>
    <d v="2016-02-12T00:00:00"/>
    <n v="2456.6999999999998"/>
    <d v="2016-03-25T00:00:00"/>
    <x v="85"/>
  </r>
  <r>
    <d v="2016-02-19T00:00:00"/>
    <n v="2267.4"/>
    <d v="2016-04-01T00:00:00"/>
    <x v="86"/>
  </r>
  <r>
    <d v="2016-02-26T00:00:00"/>
    <n v="2104.5"/>
    <d v="2016-04-08T00:00:00"/>
    <x v="86"/>
  </r>
  <r>
    <d v="2016-03-04T00:00:00"/>
    <n v="2055.9"/>
    <d v="2016-04-15T00:00:00"/>
    <x v="86"/>
  </r>
  <r>
    <d v="2016-03-11T00:00:00"/>
    <n v="1940.3"/>
    <d v="2016-04-22T00:00:00"/>
    <x v="86"/>
  </r>
  <r>
    <d v="2016-03-18T00:00:00"/>
    <n v="1845.4"/>
    <d v="2016-04-29T00:00:00"/>
    <x v="86"/>
  </r>
  <r>
    <d v="2016-03-25T00:00:00"/>
    <n v="1784.7"/>
    <d v="2016-05-06T00:00:00"/>
    <x v="87"/>
  </r>
  <r>
    <d v="2016-04-01T00:00:00"/>
    <n v="1906"/>
    <d v="2016-05-13T00:00:00"/>
    <x v="87"/>
  </r>
  <r>
    <d v="2016-04-08T00:00:00"/>
    <n v="2122"/>
    <d v="2016-05-20T00:00:00"/>
    <x v="87"/>
  </r>
  <r>
    <d v="2016-04-15T00:00:00"/>
    <n v="2177.4"/>
    <d v="2016-05-27T00:00:00"/>
    <x v="87"/>
  </r>
  <r>
    <d v="2016-04-22T00:00:00"/>
    <n v="2067.6999999999998"/>
    <d v="2016-06-03T00:00:00"/>
    <x v="88"/>
  </r>
  <r>
    <d v="2016-04-29T00:00:00"/>
    <n v="1953.1"/>
    <d v="2016-06-10T00:00:00"/>
    <x v="88"/>
  </r>
  <r>
    <d v="2016-05-06T00:00:00"/>
    <n v="1963.1"/>
    <d v="2016-06-17T00:00:00"/>
    <x v="88"/>
  </r>
  <r>
    <d v="2016-05-13T00:00:00"/>
    <n v="1998.4"/>
    <d v="2016-06-24T00:00:00"/>
    <x v="88"/>
  </r>
  <r>
    <d v="2016-05-20T00:00:00"/>
    <n v="2005.6"/>
    <d v="2016-07-01T00:00:00"/>
    <x v="89"/>
  </r>
  <r>
    <d v="2016-05-27T00:00:00"/>
    <n v="1928.2"/>
    <d v="2016-07-08T00:00:00"/>
    <x v="89"/>
  </r>
  <r>
    <d v="2016-06-03T00:00:00"/>
    <n v="2070.8000000000002"/>
    <d v="2016-07-15T00:00:00"/>
    <x v="89"/>
  </r>
  <r>
    <d v="2016-06-10T00:00:00"/>
    <n v="2055.4"/>
    <d v="2016-07-22T00:00:00"/>
    <x v="89"/>
  </r>
  <r>
    <d v="2016-06-17T00:00:00"/>
    <n v="2189.4"/>
    <d v="2016-07-29T00:00:00"/>
    <x v="89"/>
  </r>
  <r>
    <d v="2016-06-24T00:00:00"/>
    <n v="2136.4"/>
    <d v="2016-08-05T00:00:00"/>
    <x v="90"/>
  </r>
  <r>
    <d v="2016-07-01T00:00:00"/>
    <n v="2579.9"/>
    <d v="2016-08-12T00:00:00"/>
    <x v="90"/>
  </r>
  <r>
    <d v="2016-07-08T00:00:00"/>
    <n v="2869.8"/>
    <d v="2016-08-19T00:00:00"/>
    <x v="90"/>
  </r>
  <r>
    <d v="2016-07-15T00:00:00"/>
    <n v="2843.7"/>
    <d v="2016-08-26T00:00:00"/>
    <x v="90"/>
  </r>
  <r>
    <d v="2016-07-22T00:00:00"/>
    <n v="2415.5"/>
    <d v="2016-09-02T00:00:00"/>
    <x v="91"/>
  </r>
  <r>
    <d v="2016-07-29T00:00:00"/>
    <n v="2315.1999999999998"/>
    <d v="2016-09-09T00:00:00"/>
    <x v="91"/>
  </r>
  <r>
    <d v="2016-08-05T00:00:00"/>
    <n v="2538.3000000000002"/>
    <d v="2016-09-16T00:00:00"/>
    <x v="91"/>
  </r>
  <r>
    <d v="2016-08-12T00:00:00"/>
    <n v="2432.8000000000002"/>
    <d v="2016-09-23T00:00:00"/>
    <x v="91"/>
  </r>
  <r>
    <d v="2016-08-19T00:00:00"/>
    <n v="2355.1999999999998"/>
    <d v="2016-09-30T00:00:00"/>
    <x v="91"/>
  </r>
  <r>
    <d v="2016-08-26T00:00:00"/>
    <n v="2441.6999999999998"/>
    <d v="2016-10-07T00:00:00"/>
    <x v="92"/>
  </r>
  <r>
    <d v="2016-09-02T00:00:00"/>
    <n v="2457.8000000000002"/>
    <d v="2016-10-14T00:00:00"/>
    <x v="92"/>
  </r>
  <r>
    <d v="2016-09-09T00:00:00"/>
    <n v="2500.5"/>
    <d v="2016-10-21T00:00:00"/>
    <x v="92"/>
  </r>
  <r>
    <d v="2016-09-16T00:00:00"/>
    <n v="2309.6"/>
    <d v="2016-10-28T00:00:00"/>
    <x v="92"/>
  </r>
  <r>
    <d v="2016-09-23T00:00:00"/>
    <n v="2273.1999999999998"/>
    <d v="2016-11-04T00:00:00"/>
    <x v="93"/>
  </r>
  <r>
    <d v="2016-09-30T00:00:00"/>
    <n v="2380.1"/>
    <d v="2016-11-11T00:00:00"/>
    <x v="93"/>
  </r>
  <r>
    <d v="2016-10-07T00:00:00"/>
    <n v="2189.8000000000002"/>
    <d v="2016-11-18T00:00:00"/>
    <x v="93"/>
  </r>
  <r>
    <d v="2016-10-14T00:00:00"/>
    <n v="2172.5"/>
    <d v="2016-11-25T00:00:00"/>
    <x v="93"/>
  </r>
  <r>
    <d v="2016-10-21T00:00:00"/>
    <n v="2122.5"/>
    <d v="2016-12-02T00:00:00"/>
    <x v="94"/>
  </r>
  <r>
    <d v="2016-10-28T00:00:00"/>
    <n v="2088"/>
    <d v="2016-12-09T00:00:00"/>
    <x v="94"/>
  </r>
  <r>
    <d v="2016-11-04T00:00:00"/>
    <n v="2031.9"/>
    <d v="2016-12-16T00:00:00"/>
    <x v="94"/>
  </r>
  <r>
    <d v="2016-11-11T00:00:00"/>
    <n v="1810.1"/>
    <d v="2016-12-23T00:00:00"/>
    <x v="94"/>
  </r>
  <r>
    <d v="2016-11-18T00:00:00"/>
    <n v="1754.2"/>
    <d v="2016-12-30T00:00:00"/>
    <x v="94"/>
  </r>
  <r>
    <d v="2016-11-25T00:00:00"/>
    <n v="1469.9"/>
    <d v="2017-01-06T00:00:00"/>
    <x v="95"/>
  </r>
  <r>
    <d v="2016-12-02T00:00:00"/>
    <n v="1459.3"/>
    <d v="2017-01-13T00:00:00"/>
    <x v="95"/>
  </r>
  <r>
    <d v="2016-12-09T00:00:00"/>
    <n v="1407"/>
    <d v="2017-01-20T00:00:00"/>
    <x v="95"/>
  </r>
  <r>
    <d v="2016-12-16T00:00:00"/>
    <n v="1449.4"/>
    <d v="2017-01-27T00:00:00"/>
    <x v="95"/>
  </r>
  <r>
    <d v="2016-12-23T00:00:00"/>
    <n v="1113.2"/>
    <d v="2017-02-03T00:00:00"/>
    <x v="96"/>
  </r>
  <r>
    <d v="2016-12-30T00:00:00"/>
    <n v="1132"/>
    <d v="2017-02-10T00:00:00"/>
    <x v="96"/>
  </r>
  <r>
    <d v="2017-01-06T00:00:00"/>
    <n v="1182.3"/>
    <d v="2017-02-17T00:00:00"/>
    <x v="96"/>
  </r>
  <r>
    <d v="2017-01-13T00:00:00"/>
    <n v="1263.2"/>
    <d v="2017-02-24T00:00:00"/>
    <x v="96"/>
  </r>
  <r>
    <d v="2017-01-20T00:00:00"/>
    <n v="1265.5999999999999"/>
    <d v="2017-03-03T00:00:00"/>
    <x v="97"/>
  </r>
  <r>
    <d v="2017-01-27T00:00:00"/>
    <n v="1248.4000000000001"/>
    <d v="2017-03-10T00:00:00"/>
    <x v="97"/>
  </r>
  <r>
    <d v="2017-02-03T00:00:00"/>
    <n v="1276.4000000000001"/>
    <d v="2017-03-17T00:00:00"/>
    <x v="97"/>
  </r>
  <r>
    <d v="2017-02-10T00:00:00"/>
    <n v="1239.5999999999999"/>
    <d v="2017-03-24T00:00:00"/>
    <x v="97"/>
  </r>
  <r>
    <d v="2017-02-17T00:00:00"/>
    <n v="1227.5999999999999"/>
    <d v="2017-03-31T00:00:00"/>
    <x v="97"/>
  </r>
  <r>
    <d v="2017-02-24T00:00:00"/>
    <n v="1290.8"/>
    <d v="2017-04-07T00:00:00"/>
    <x v="98"/>
  </r>
  <r>
    <d v="2017-03-03T00:00:00"/>
    <n v="1357.6"/>
    <d v="2017-04-14T00:00:00"/>
    <x v="98"/>
  </r>
  <r>
    <d v="2017-03-10T00:00:00"/>
    <n v="1413.3"/>
    <d v="2017-04-21T00:00:00"/>
    <x v="98"/>
  </r>
  <r>
    <d v="2017-03-17T00:00:00"/>
    <n v="1366.1"/>
    <d v="2017-04-28T00:00:00"/>
    <x v="98"/>
  </r>
  <r>
    <d v="2017-03-24T00:00:00"/>
    <n v="1327.1"/>
    <d v="2017-05-05T00:00:00"/>
    <x v="99"/>
  </r>
  <r>
    <d v="2017-03-31T00:00:00"/>
    <n v="1271.9000000000001"/>
    <d v="2017-05-12T00:00:00"/>
    <x v="99"/>
  </r>
  <r>
    <d v="2017-04-07T00:00:00"/>
    <n v="1272.3"/>
    <d v="2017-05-19T00:00:00"/>
    <x v="99"/>
  </r>
  <r>
    <d v="2017-04-14T00:00:00"/>
    <n v="1274.5"/>
    <d v="2017-05-26T00:00:00"/>
    <x v="99"/>
  </r>
  <r>
    <d v="2017-04-21T00:00:00"/>
    <n v="1365.8"/>
    <d v="2017-06-02T00:00:00"/>
    <x v="100"/>
  </r>
  <r>
    <d v="2017-04-28T00:00:00"/>
    <n v="1302"/>
    <d v="2017-06-09T00:00:00"/>
    <x v="100"/>
  </r>
  <r>
    <d v="2017-05-05T00:00:00"/>
    <n v="1345.5"/>
    <d v="2017-06-16T00:00:00"/>
    <x v="100"/>
  </r>
  <r>
    <d v="2017-05-12T00:00:00"/>
    <n v="1269.0999999999999"/>
    <d v="2017-06-23T00:00:00"/>
    <x v="100"/>
  </r>
  <r>
    <d v="2017-05-19T00:00:00"/>
    <n v="1402"/>
    <d v="2017-06-30T00:00:00"/>
    <x v="100"/>
  </r>
  <r>
    <d v="2017-05-26T00:00:00"/>
    <n v="1323.1"/>
    <d v="2017-07-07T00:00:00"/>
    <x v="101"/>
  </r>
  <r>
    <d v="2017-06-02T00:00:00"/>
    <n v="1368.7"/>
    <d v="2017-07-14T00:00:00"/>
    <x v="101"/>
  </r>
  <r>
    <d v="2017-06-09T00:00:00"/>
    <n v="1494.8"/>
    <d v="2017-07-21T00:00:00"/>
    <x v="101"/>
  </r>
  <r>
    <d v="2017-06-16T00:00:00"/>
    <n v="1526.8"/>
    <d v="2017-07-28T00:00:00"/>
    <x v="101"/>
  </r>
  <r>
    <d v="2017-06-23T00:00:00"/>
    <n v="1396.2"/>
    <d v="2017-08-04T00:00:00"/>
    <x v="102"/>
  </r>
  <r>
    <d v="2017-06-30T00:00:00"/>
    <n v="1391"/>
    <d v="2017-08-11T00:00:00"/>
    <x v="102"/>
  </r>
  <r>
    <d v="2017-07-07T00:00:00"/>
    <n v="1210.5"/>
    <d v="2017-08-18T00:00:00"/>
    <x v="102"/>
  </r>
  <r>
    <d v="2017-07-14T00:00:00"/>
    <n v="1367.8"/>
    <d v="2017-08-25T00:00:00"/>
    <x v="102"/>
  </r>
  <r>
    <d v="2017-07-21T00:00:00"/>
    <n v="1414.3"/>
    <d v="2017-09-01T00:00:00"/>
    <x v="103"/>
  </r>
  <r>
    <d v="2017-07-28T00:00:00"/>
    <n v="1361"/>
    <d v="2017-09-08T00:00:00"/>
    <x v="103"/>
  </r>
  <r>
    <d v="2017-08-04T00:00:00"/>
    <n v="1433.2"/>
    <d v="2017-09-15T00:00:00"/>
    <x v="103"/>
  </r>
  <r>
    <d v="2017-08-11T00:00:00"/>
    <n v="1455.9"/>
    <d v="2017-09-22T00:00:00"/>
    <x v="103"/>
  </r>
  <r>
    <d v="2017-08-18T00:00:00"/>
    <n v="1459.9"/>
    <d v="2017-09-29T00:00:00"/>
    <x v="103"/>
  </r>
  <r>
    <d v="2017-08-25T00:00:00"/>
    <n v="1430.3"/>
    <d v="2017-10-06T00:00:00"/>
    <x v="104"/>
  </r>
  <r>
    <d v="2017-09-01T00:00:00"/>
    <n v="1502.6"/>
    <d v="2017-10-13T00:00:00"/>
    <x v="104"/>
  </r>
  <r>
    <d v="2017-09-08T00:00:00"/>
    <n v="1636.8"/>
    <d v="2017-10-20T00:00:00"/>
    <x v="104"/>
  </r>
  <r>
    <d v="2017-09-15T00:00:00"/>
    <n v="1497.8"/>
    <d v="2017-10-27T00:00:00"/>
    <x v="104"/>
  </r>
  <r>
    <d v="2017-09-22T00:00:00"/>
    <n v="1445.6"/>
    <d v="2017-11-03T00:00:00"/>
    <x v="105"/>
  </r>
  <r>
    <d v="2017-09-29T00:00:00"/>
    <n v="1419.2"/>
    <d v="2017-11-10T00:00:00"/>
    <x v="105"/>
  </r>
  <r>
    <d v="2017-10-06T00:00:00"/>
    <n v="1359.2"/>
    <d v="2017-11-17T00:00:00"/>
    <x v="105"/>
  </r>
  <r>
    <d v="2017-10-13T00:00:00"/>
    <n v="1399.6"/>
    <d v="2017-11-24T00:00:00"/>
    <x v="105"/>
  </r>
  <r>
    <d v="2017-10-20T00:00:00"/>
    <n v="1357.6"/>
    <d v="2017-12-01T00:00:00"/>
    <x v="106"/>
  </r>
  <r>
    <d v="2017-10-27T00:00:00"/>
    <n v="1297"/>
    <d v="2017-12-08T00:00:00"/>
    <x v="106"/>
  </r>
  <r>
    <d v="2017-11-03T00:00:00"/>
    <n v="1290.8"/>
    <d v="2017-12-15T00:00:00"/>
    <x v="106"/>
  </r>
  <r>
    <d v="2017-11-10T00:00:00"/>
    <n v="1371.6"/>
    <d v="2017-12-22T00:00:00"/>
    <x v="106"/>
  </r>
  <r>
    <d v="2017-11-17T00:00:00"/>
    <n v="1306.0999999999999"/>
    <d v="2017-12-29T00:00:00"/>
    <x v="106"/>
  </r>
  <r>
    <d v="2017-11-24T00:00:00"/>
    <n v="1205.0999999999999"/>
    <d v="2018-01-05T00:00:00"/>
    <x v="107"/>
  </r>
  <r>
    <d v="2017-12-01T00:00:00"/>
    <n v="1313.9"/>
    <d v="2018-01-12T00:00:00"/>
    <x v="107"/>
  </r>
  <r>
    <d v="2017-12-08T00:00:00"/>
    <n v="1281"/>
    <d v="2018-01-19T00:00:00"/>
    <x v="107"/>
  </r>
  <r>
    <d v="2017-12-15T00:00:00"/>
    <n v="1240.5"/>
    <d v="2018-01-26T00:00:00"/>
    <x v="107"/>
  </r>
  <r>
    <d v="2017-12-22T00:00:00"/>
    <n v="1135.7"/>
    <d v="2018-02-02T00:00:00"/>
    <x v="108"/>
  </r>
  <r>
    <d v="2017-12-29T00:00:00"/>
    <n v="1130.4000000000001"/>
    <d v="2018-02-09T00:00:00"/>
    <x v="108"/>
  </r>
  <r>
    <d v="2018-01-05T00:00:00"/>
    <n v="1259.2"/>
    <d v="2018-02-16T00:00:00"/>
    <x v="108"/>
  </r>
  <r>
    <d v="2018-01-12T00:00:00"/>
    <n v="1314"/>
    <d v="2018-02-23T00:00:00"/>
    <x v="108"/>
  </r>
  <r>
    <d v="2018-01-19T00:00:00"/>
    <n v="1325.8"/>
    <d v="2018-03-02T00:00:00"/>
    <x v="109"/>
  </r>
  <r>
    <d v="2018-01-26T00:00:00"/>
    <n v="1288"/>
    <d v="2018-03-09T00:00:00"/>
    <x v="109"/>
  </r>
  <r>
    <d v="2018-02-02T00:00:00"/>
    <n v="1299.3"/>
    <d v="2018-03-16T00:00:00"/>
    <x v="109"/>
  </r>
  <r>
    <d v="2018-02-09T00:00:00"/>
    <n v="1274"/>
    <d v="2018-03-23T00:00:00"/>
    <x v="109"/>
  </r>
  <r>
    <d v="2018-02-16T00:00:00"/>
    <n v="1183.0999999999999"/>
    <d v="2018-03-30T00:00:00"/>
    <x v="109"/>
  </r>
  <r>
    <d v="2018-02-23T00:00:00"/>
    <n v="1168.5"/>
    <d v="2018-04-06T00:00:00"/>
    <x v="110"/>
  </r>
  <r>
    <d v="2018-03-02T00:00:00"/>
    <n v="1185.7"/>
    <d v="2018-04-13T00:00:00"/>
    <x v="110"/>
  </r>
  <r>
    <d v="2018-03-09T00:00:00"/>
    <n v="1159.3"/>
    <d v="2018-04-20T00:00:00"/>
    <x v="110"/>
  </r>
  <r>
    <d v="2018-03-16T00:00:00"/>
    <n v="1107.7"/>
    <d v="2018-04-27T00:00:00"/>
    <x v="110"/>
  </r>
  <r>
    <d v="2018-03-23T00:00:00"/>
    <n v="1188.5"/>
    <d v="2018-05-04T00:00:00"/>
    <x v="111"/>
  </r>
  <r>
    <d v="2018-03-30T00:00:00"/>
    <n v="1130.0999999999999"/>
    <d v="2018-05-11T00:00:00"/>
    <x v="111"/>
  </r>
  <r>
    <d v="2018-04-06T00:00:00"/>
    <n v="1110.8"/>
    <d v="2018-05-18T00:00:00"/>
    <x v="111"/>
  </r>
  <r>
    <d v="2018-04-13T00:00:00"/>
    <n v="1149.5"/>
    <d v="2018-05-25T00:00:00"/>
    <x v="111"/>
  </r>
  <r>
    <d v="2018-04-20T00:00:00"/>
    <n v="1145.5"/>
    <d v="2018-06-01T00:00:00"/>
    <x v="112"/>
  </r>
  <r>
    <d v="2018-04-27T00:00:00"/>
    <n v="1104.9000000000001"/>
    <d v="2018-06-08T00:00:00"/>
    <x v="112"/>
  </r>
  <r>
    <d v="2018-05-04T00:00:00"/>
    <n v="1098.4000000000001"/>
    <d v="2018-06-15T00:00:00"/>
    <x v="112"/>
  </r>
  <r>
    <m/>
    <m/>
    <m/>
    <x v="1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6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 chartFormat="1">
  <location ref="A1:B113" firstHeaderRow="1" firstDataRow="1" firstDataCol="1"/>
  <pivotFields count="4">
    <pivotField showAll="0" defaultSubtotal="0"/>
    <pivotField dataField="1" showAll="0" defaultSubtotal="0"/>
    <pivotField showAll="0" defaultSubtotal="0"/>
    <pivotField axis="axisRow" showAll="0" defaultSubtotal="0">
      <items count="115">
        <item m="1" x="11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h="1" x="113"/>
        <item h="1" x="112"/>
      </items>
    </pivotField>
  </pivotFields>
  <rowFields count="1">
    <field x="3"/>
  </rowFields>
  <rowItems count="1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</rowItems>
  <colItems count="1">
    <i/>
  </colItems>
  <dataFields count="1">
    <dataField name="Average of MBAVREFI" fld="1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9"/>
  <sheetViews>
    <sheetView workbookViewId="0">
      <selection activeCell="D2" sqref="D2:D489"/>
    </sheetView>
  </sheetViews>
  <sheetFormatPr defaultRowHeight="15" x14ac:dyDescent="0.25"/>
  <cols>
    <col min="1" max="1" width="10.7109375" bestFit="1" customWidth="1"/>
    <col min="3" max="4" width="10.7109375" bestFit="1" customWidth="1"/>
  </cols>
  <sheetData>
    <row r="1" spans="1:4" x14ac:dyDescent="0.25">
      <c r="A1" t="s">
        <v>1</v>
      </c>
      <c r="B1" t="s">
        <v>0</v>
      </c>
      <c r="C1" t="s">
        <v>5</v>
      </c>
      <c r="D1" t="s">
        <v>2</v>
      </c>
    </row>
    <row r="2" spans="1:4" x14ac:dyDescent="0.25">
      <c r="A2" s="1">
        <v>39815</v>
      </c>
      <c r="B2">
        <v>5904.5</v>
      </c>
      <c r="C2" s="1">
        <f>A2+6*7</f>
        <v>39857</v>
      </c>
      <c r="D2" s="1">
        <f>C2-DAY(C2)+1</f>
        <v>39845</v>
      </c>
    </row>
    <row r="3" spans="1:4" x14ac:dyDescent="0.25">
      <c r="A3" s="1">
        <v>39822</v>
      </c>
      <c r="B3">
        <v>7414.1</v>
      </c>
      <c r="C3" s="1">
        <f t="shared" ref="C3:C66" si="0">A3+6*7</f>
        <v>39864</v>
      </c>
      <c r="D3" s="1">
        <f t="shared" ref="D3:D66" si="1">C3-DAY(C3)+1</f>
        <v>39845</v>
      </c>
    </row>
    <row r="4" spans="1:4" x14ac:dyDescent="0.25">
      <c r="A4" s="1">
        <v>39829</v>
      </c>
      <c r="B4">
        <v>6491.8</v>
      </c>
      <c r="C4" s="1">
        <f t="shared" si="0"/>
        <v>39871</v>
      </c>
      <c r="D4" s="1">
        <f t="shared" si="1"/>
        <v>39845</v>
      </c>
    </row>
    <row r="5" spans="1:4" x14ac:dyDescent="0.25">
      <c r="A5" s="1">
        <v>39836</v>
      </c>
      <c r="B5">
        <v>3373.9</v>
      </c>
      <c r="C5" s="1">
        <f t="shared" si="0"/>
        <v>39878</v>
      </c>
      <c r="D5" s="1">
        <f t="shared" si="1"/>
        <v>39873</v>
      </c>
    </row>
    <row r="6" spans="1:4" x14ac:dyDescent="0.25">
      <c r="A6" s="1">
        <v>39843</v>
      </c>
      <c r="B6">
        <v>3906.3</v>
      </c>
      <c r="C6" s="1">
        <f t="shared" si="0"/>
        <v>39885</v>
      </c>
      <c r="D6" s="1">
        <f t="shared" si="1"/>
        <v>39873</v>
      </c>
    </row>
    <row r="7" spans="1:4" x14ac:dyDescent="0.25">
      <c r="A7" s="1">
        <v>39850</v>
      </c>
      <c r="B7">
        <v>2722.7</v>
      </c>
      <c r="C7" s="1">
        <f t="shared" si="0"/>
        <v>39892</v>
      </c>
      <c r="D7" s="1">
        <f t="shared" si="1"/>
        <v>39873</v>
      </c>
    </row>
    <row r="8" spans="1:4" x14ac:dyDescent="0.25">
      <c r="A8" s="1">
        <v>39857</v>
      </c>
      <c r="B8">
        <v>4472.8999999999996</v>
      </c>
      <c r="C8" s="1">
        <f t="shared" si="0"/>
        <v>39899</v>
      </c>
      <c r="D8" s="1">
        <f t="shared" si="1"/>
        <v>39873</v>
      </c>
    </row>
    <row r="9" spans="1:4" x14ac:dyDescent="0.25">
      <c r="A9" s="1">
        <v>39864</v>
      </c>
      <c r="B9">
        <v>3618</v>
      </c>
      <c r="C9" s="1">
        <f t="shared" si="0"/>
        <v>39906</v>
      </c>
      <c r="D9" s="1">
        <f t="shared" si="1"/>
        <v>39904</v>
      </c>
    </row>
    <row r="10" spans="1:4" x14ac:dyDescent="0.25">
      <c r="A10" s="1">
        <v>39871</v>
      </c>
      <c r="B10">
        <v>3063.4</v>
      </c>
      <c r="C10" s="1">
        <f t="shared" si="0"/>
        <v>39913</v>
      </c>
      <c r="D10" s="1">
        <f t="shared" si="1"/>
        <v>39904</v>
      </c>
    </row>
    <row r="11" spans="1:4" x14ac:dyDescent="0.25">
      <c r="A11" s="1">
        <v>39878</v>
      </c>
      <c r="B11">
        <v>3470.7</v>
      </c>
      <c r="C11" s="1">
        <f t="shared" si="0"/>
        <v>39920</v>
      </c>
      <c r="D11" s="1">
        <f t="shared" si="1"/>
        <v>39904</v>
      </c>
    </row>
    <row r="12" spans="1:4" x14ac:dyDescent="0.25">
      <c r="A12" s="1">
        <v>39885</v>
      </c>
      <c r="B12">
        <v>4497.6000000000004</v>
      </c>
      <c r="C12" s="1">
        <f t="shared" si="0"/>
        <v>39927</v>
      </c>
      <c r="D12" s="1">
        <f t="shared" si="1"/>
        <v>39904</v>
      </c>
    </row>
    <row r="13" spans="1:4" x14ac:dyDescent="0.25">
      <c r="A13" s="1">
        <v>39892</v>
      </c>
      <c r="B13">
        <v>6363.2</v>
      </c>
      <c r="C13" s="1">
        <f t="shared" si="0"/>
        <v>39934</v>
      </c>
      <c r="D13" s="1">
        <f t="shared" si="1"/>
        <v>39934</v>
      </c>
    </row>
    <row r="14" spans="1:4" x14ac:dyDescent="0.25">
      <c r="A14" s="1">
        <v>39899</v>
      </c>
      <c r="B14">
        <v>6600.1</v>
      </c>
      <c r="C14" s="1">
        <f t="shared" si="0"/>
        <v>39941</v>
      </c>
      <c r="D14" s="1">
        <f t="shared" si="1"/>
        <v>39934</v>
      </c>
    </row>
    <row r="15" spans="1:4" x14ac:dyDescent="0.25">
      <c r="A15" s="1">
        <v>39906</v>
      </c>
      <c r="B15">
        <v>6813.5</v>
      </c>
      <c r="C15" s="1">
        <f t="shared" si="0"/>
        <v>39948</v>
      </c>
      <c r="D15" s="1">
        <f t="shared" si="1"/>
        <v>39934</v>
      </c>
    </row>
    <row r="16" spans="1:4" x14ac:dyDescent="0.25">
      <c r="A16" s="1">
        <v>39913</v>
      </c>
      <c r="B16">
        <v>6071.7</v>
      </c>
      <c r="C16" s="1">
        <f t="shared" si="0"/>
        <v>39955</v>
      </c>
      <c r="D16" s="1">
        <f t="shared" si="1"/>
        <v>39934</v>
      </c>
    </row>
    <row r="17" spans="1:4" x14ac:dyDescent="0.25">
      <c r="A17" s="1">
        <v>39920</v>
      </c>
      <c r="B17">
        <v>6540.7</v>
      </c>
      <c r="C17" s="1">
        <f t="shared" si="0"/>
        <v>39962</v>
      </c>
      <c r="D17" s="1">
        <f t="shared" si="1"/>
        <v>39934</v>
      </c>
    </row>
    <row r="18" spans="1:4" x14ac:dyDescent="0.25">
      <c r="A18" s="1">
        <v>39927</v>
      </c>
      <c r="B18">
        <v>5108.2</v>
      </c>
      <c r="C18" s="1">
        <f t="shared" si="0"/>
        <v>39969</v>
      </c>
      <c r="D18" s="1">
        <f t="shared" si="1"/>
        <v>39965</v>
      </c>
    </row>
    <row r="19" spans="1:4" x14ac:dyDescent="0.25">
      <c r="A19" s="1">
        <v>39934</v>
      </c>
      <c r="B19">
        <v>5169.3</v>
      </c>
      <c r="C19" s="1">
        <f t="shared" si="0"/>
        <v>39976</v>
      </c>
      <c r="D19" s="1">
        <f t="shared" si="1"/>
        <v>39965</v>
      </c>
    </row>
    <row r="20" spans="1:4" x14ac:dyDescent="0.25">
      <c r="A20" s="1">
        <v>39941</v>
      </c>
      <c r="B20">
        <v>4588.6000000000004</v>
      </c>
      <c r="C20" s="1">
        <f t="shared" si="0"/>
        <v>39983</v>
      </c>
      <c r="D20" s="1">
        <f t="shared" si="1"/>
        <v>39965</v>
      </c>
    </row>
    <row r="21" spans="1:4" x14ac:dyDescent="0.25">
      <c r="A21" s="1">
        <v>39948</v>
      </c>
      <c r="B21">
        <v>4794.3999999999996</v>
      </c>
      <c r="C21" s="1">
        <f t="shared" si="0"/>
        <v>39990</v>
      </c>
      <c r="D21" s="1">
        <f t="shared" si="1"/>
        <v>39965</v>
      </c>
    </row>
    <row r="22" spans="1:4" x14ac:dyDescent="0.25">
      <c r="A22" s="1">
        <v>39955</v>
      </c>
      <c r="B22">
        <v>3890.4</v>
      </c>
      <c r="C22" s="1">
        <f t="shared" si="0"/>
        <v>39997</v>
      </c>
      <c r="D22" s="1">
        <f t="shared" si="1"/>
        <v>39995</v>
      </c>
    </row>
    <row r="23" spans="1:4" x14ac:dyDescent="0.25">
      <c r="A23" s="1">
        <v>39962</v>
      </c>
      <c r="B23">
        <v>2953.6</v>
      </c>
      <c r="C23" s="1">
        <f t="shared" si="0"/>
        <v>40004</v>
      </c>
      <c r="D23" s="1">
        <f t="shared" si="1"/>
        <v>39995</v>
      </c>
    </row>
    <row r="24" spans="1:4" x14ac:dyDescent="0.25">
      <c r="A24" s="1">
        <v>39969</v>
      </c>
      <c r="B24">
        <v>2605.6999999999998</v>
      </c>
      <c r="C24" s="1">
        <f t="shared" si="0"/>
        <v>40011</v>
      </c>
      <c r="D24" s="1">
        <f t="shared" si="1"/>
        <v>39995</v>
      </c>
    </row>
    <row r="25" spans="1:4" x14ac:dyDescent="0.25">
      <c r="A25" s="1">
        <v>39976</v>
      </c>
      <c r="B25">
        <v>1998.1</v>
      </c>
      <c r="C25" s="1">
        <f t="shared" si="0"/>
        <v>40018</v>
      </c>
      <c r="D25" s="1">
        <f t="shared" si="1"/>
        <v>39995</v>
      </c>
    </row>
    <row r="26" spans="1:4" x14ac:dyDescent="0.25">
      <c r="A26" s="1">
        <v>39983</v>
      </c>
      <c r="B26">
        <v>2116.3000000000002</v>
      </c>
      <c r="C26" s="1">
        <f t="shared" si="0"/>
        <v>40025</v>
      </c>
      <c r="D26" s="1">
        <f t="shared" si="1"/>
        <v>39995</v>
      </c>
    </row>
    <row r="27" spans="1:4" x14ac:dyDescent="0.25">
      <c r="A27" s="1">
        <v>39990</v>
      </c>
      <c r="B27">
        <v>1482.2</v>
      </c>
      <c r="C27" s="1">
        <f t="shared" si="0"/>
        <v>40032</v>
      </c>
      <c r="D27" s="1">
        <f t="shared" si="1"/>
        <v>40026</v>
      </c>
    </row>
    <row r="28" spans="1:4" x14ac:dyDescent="0.25">
      <c r="A28" s="1">
        <v>39997</v>
      </c>
      <c r="B28">
        <v>1707.7</v>
      </c>
      <c r="C28" s="1">
        <f t="shared" si="0"/>
        <v>40039</v>
      </c>
      <c r="D28" s="1">
        <f t="shared" si="1"/>
        <v>40026</v>
      </c>
    </row>
    <row r="29" spans="1:4" x14ac:dyDescent="0.25">
      <c r="A29" s="1">
        <v>40004</v>
      </c>
      <c r="B29">
        <v>2009.4</v>
      </c>
      <c r="C29" s="1">
        <f t="shared" si="0"/>
        <v>40046</v>
      </c>
      <c r="D29" s="1">
        <f t="shared" si="1"/>
        <v>40026</v>
      </c>
    </row>
    <row r="30" spans="1:4" x14ac:dyDescent="0.25">
      <c r="A30" s="1">
        <v>40011</v>
      </c>
      <c r="B30">
        <v>2089.6999999999998</v>
      </c>
      <c r="C30" s="1">
        <f t="shared" si="0"/>
        <v>40053</v>
      </c>
      <c r="D30" s="1">
        <f t="shared" si="1"/>
        <v>40026</v>
      </c>
    </row>
    <row r="31" spans="1:4" x14ac:dyDescent="0.25">
      <c r="A31" s="1">
        <v>40018</v>
      </c>
      <c r="B31">
        <v>1862.1</v>
      </c>
      <c r="C31" s="1">
        <f t="shared" si="0"/>
        <v>40060</v>
      </c>
      <c r="D31" s="1">
        <f t="shared" si="1"/>
        <v>40057</v>
      </c>
    </row>
    <row r="32" spans="1:4" x14ac:dyDescent="0.25">
      <c r="A32" s="1">
        <v>40025</v>
      </c>
      <c r="B32">
        <v>1996.7</v>
      </c>
      <c r="C32" s="1">
        <f t="shared" si="0"/>
        <v>40067</v>
      </c>
      <c r="D32" s="1">
        <f t="shared" si="1"/>
        <v>40057</v>
      </c>
    </row>
    <row r="33" spans="1:4" x14ac:dyDescent="0.25">
      <c r="A33" s="1">
        <v>40032</v>
      </c>
      <c r="B33">
        <v>1853.8</v>
      </c>
      <c r="C33" s="1">
        <f t="shared" si="0"/>
        <v>40074</v>
      </c>
      <c r="D33" s="1">
        <f t="shared" si="1"/>
        <v>40057</v>
      </c>
    </row>
    <row r="34" spans="1:4" x14ac:dyDescent="0.25">
      <c r="A34" s="1">
        <v>40039</v>
      </c>
      <c r="B34">
        <v>1982.5</v>
      </c>
      <c r="C34" s="1">
        <f t="shared" si="0"/>
        <v>40081</v>
      </c>
      <c r="D34" s="1">
        <f t="shared" si="1"/>
        <v>40057</v>
      </c>
    </row>
    <row r="35" spans="1:4" x14ac:dyDescent="0.25">
      <c r="A35" s="1">
        <v>40046</v>
      </c>
      <c r="B35">
        <v>2233.5</v>
      </c>
      <c r="C35" s="1">
        <f t="shared" si="0"/>
        <v>40088</v>
      </c>
      <c r="D35" s="1">
        <f t="shared" si="1"/>
        <v>40087</v>
      </c>
    </row>
    <row r="36" spans="1:4" x14ac:dyDescent="0.25">
      <c r="A36" s="1">
        <v>40053</v>
      </c>
      <c r="B36">
        <v>2164.1</v>
      </c>
      <c r="C36" s="1">
        <f t="shared" si="0"/>
        <v>40095</v>
      </c>
      <c r="D36" s="1">
        <f t="shared" si="1"/>
        <v>40087</v>
      </c>
    </row>
    <row r="37" spans="1:4" x14ac:dyDescent="0.25">
      <c r="A37" s="1">
        <v>40060</v>
      </c>
      <c r="B37">
        <v>2651.2</v>
      </c>
      <c r="C37" s="1">
        <f t="shared" si="0"/>
        <v>40102</v>
      </c>
      <c r="D37" s="1">
        <f t="shared" si="1"/>
        <v>40087</v>
      </c>
    </row>
    <row r="38" spans="1:4" x14ac:dyDescent="0.25">
      <c r="A38" s="1">
        <v>40067</v>
      </c>
      <c r="B38">
        <v>2454.5</v>
      </c>
      <c r="C38" s="1">
        <f t="shared" si="0"/>
        <v>40109</v>
      </c>
      <c r="D38" s="1">
        <f t="shared" si="1"/>
        <v>40087</v>
      </c>
    </row>
    <row r="39" spans="1:4" x14ac:dyDescent="0.25">
      <c r="A39" s="1">
        <v>40074</v>
      </c>
      <c r="B39">
        <v>2881.5</v>
      </c>
      <c r="C39" s="1">
        <f t="shared" si="0"/>
        <v>40116</v>
      </c>
      <c r="D39" s="1">
        <f t="shared" si="1"/>
        <v>40087</v>
      </c>
    </row>
    <row r="40" spans="1:4" x14ac:dyDescent="0.25">
      <c r="A40" s="1">
        <v>40081</v>
      </c>
      <c r="B40">
        <v>2857.3</v>
      </c>
      <c r="C40" s="1">
        <f t="shared" si="0"/>
        <v>40123</v>
      </c>
      <c r="D40" s="1">
        <f t="shared" si="1"/>
        <v>40118</v>
      </c>
    </row>
    <row r="41" spans="1:4" x14ac:dyDescent="0.25">
      <c r="A41" s="1">
        <v>40088</v>
      </c>
      <c r="B41">
        <v>3377.1</v>
      </c>
      <c r="C41" s="1">
        <f t="shared" si="0"/>
        <v>40130</v>
      </c>
      <c r="D41" s="1">
        <f t="shared" si="1"/>
        <v>40118</v>
      </c>
    </row>
    <row r="42" spans="1:4" x14ac:dyDescent="0.25">
      <c r="A42" s="1">
        <v>40095</v>
      </c>
      <c r="B42">
        <v>3374.6</v>
      </c>
      <c r="C42" s="1">
        <f t="shared" si="0"/>
        <v>40137</v>
      </c>
      <c r="D42" s="1">
        <f t="shared" si="1"/>
        <v>40118</v>
      </c>
    </row>
    <row r="43" spans="1:4" x14ac:dyDescent="0.25">
      <c r="A43" s="1">
        <v>40102</v>
      </c>
      <c r="B43">
        <v>2808</v>
      </c>
      <c r="C43" s="1">
        <f t="shared" si="0"/>
        <v>40144</v>
      </c>
      <c r="D43" s="1">
        <f t="shared" si="1"/>
        <v>40118</v>
      </c>
    </row>
    <row r="44" spans="1:4" x14ac:dyDescent="0.25">
      <c r="A44" s="1">
        <v>40109</v>
      </c>
      <c r="B44">
        <v>2352.5</v>
      </c>
      <c r="C44" s="1">
        <f t="shared" si="0"/>
        <v>40151</v>
      </c>
      <c r="D44" s="1">
        <f t="shared" si="1"/>
        <v>40148</v>
      </c>
    </row>
    <row r="45" spans="1:4" x14ac:dyDescent="0.25">
      <c r="A45" s="1">
        <v>40116</v>
      </c>
      <c r="B45">
        <v>2693.7</v>
      </c>
      <c r="C45" s="1">
        <f t="shared" si="0"/>
        <v>40158</v>
      </c>
      <c r="D45" s="1">
        <f t="shared" si="1"/>
        <v>40148</v>
      </c>
    </row>
    <row r="46" spans="1:4" x14ac:dyDescent="0.25">
      <c r="A46" s="1">
        <v>40123</v>
      </c>
      <c r="B46">
        <v>2998.2</v>
      </c>
      <c r="C46" s="1">
        <f t="shared" si="0"/>
        <v>40165</v>
      </c>
      <c r="D46" s="1">
        <f t="shared" si="1"/>
        <v>40148</v>
      </c>
    </row>
    <row r="47" spans="1:4" x14ac:dyDescent="0.25">
      <c r="A47" s="1">
        <v>40130</v>
      </c>
      <c r="B47">
        <v>3115.1</v>
      </c>
      <c r="C47" s="1">
        <f t="shared" si="0"/>
        <v>40172</v>
      </c>
      <c r="D47" s="1">
        <f t="shared" si="1"/>
        <v>40148</v>
      </c>
    </row>
    <row r="48" spans="1:4" x14ac:dyDescent="0.25">
      <c r="A48" s="1">
        <v>40137</v>
      </c>
      <c r="B48">
        <v>2818.7</v>
      </c>
      <c r="C48" s="1">
        <f t="shared" si="0"/>
        <v>40179</v>
      </c>
      <c r="D48" s="1">
        <f t="shared" si="1"/>
        <v>40179</v>
      </c>
    </row>
    <row r="49" spans="1:4" x14ac:dyDescent="0.25">
      <c r="A49" s="1">
        <v>40144</v>
      </c>
      <c r="B49">
        <v>2866.4</v>
      </c>
      <c r="C49" s="1">
        <f t="shared" si="0"/>
        <v>40186</v>
      </c>
      <c r="D49" s="1">
        <f t="shared" si="1"/>
        <v>40179</v>
      </c>
    </row>
    <row r="50" spans="1:4" x14ac:dyDescent="0.25">
      <c r="A50" s="1">
        <v>40151</v>
      </c>
      <c r="B50">
        <v>3185.9</v>
      </c>
      <c r="C50" s="1">
        <f t="shared" si="0"/>
        <v>40193</v>
      </c>
      <c r="D50" s="1">
        <f t="shared" si="1"/>
        <v>40179</v>
      </c>
    </row>
    <row r="51" spans="1:4" x14ac:dyDescent="0.25">
      <c r="A51" s="1">
        <v>40158</v>
      </c>
      <c r="B51">
        <v>3214</v>
      </c>
      <c r="C51" s="1">
        <f t="shared" si="0"/>
        <v>40200</v>
      </c>
      <c r="D51" s="1">
        <f t="shared" si="1"/>
        <v>40179</v>
      </c>
    </row>
    <row r="52" spans="1:4" x14ac:dyDescent="0.25">
      <c r="A52" s="1">
        <v>40165</v>
      </c>
      <c r="B52">
        <v>2889.9</v>
      </c>
      <c r="C52" s="1">
        <f t="shared" si="0"/>
        <v>40207</v>
      </c>
      <c r="D52" s="1">
        <f t="shared" si="1"/>
        <v>40179</v>
      </c>
    </row>
    <row r="53" spans="1:4" x14ac:dyDescent="0.25">
      <c r="A53" s="1">
        <v>40172</v>
      </c>
      <c r="B53">
        <v>2008.9</v>
      </c>
      <c r="C53" s="1">
        <f t="shared" si="0"/>
        <v>40214</v>
      </c>
      <c r="D53" s="1">
        <f t="shared" si="1"/>
        <v>40210</v>
      </c>
    </row>
    <row r="54" spans="1:4" x14ac:dyDescent="0.25">
      <c r="A54" s="1">
        <v>40179</v>
      </c>
      <c r="B54">
        <v>1976.9</v>
      </c>
      <c r="C54" s="1">
        <f t="shared" si="0"/>
        <v>40221</v>
      </c>
      <c r="D54" s="1">
        <f t="shared" si="1"/>
        <v>40210</v>
      </c>
    </row>
    <row r="55" spans="1:4" x14ac:dyDescent="0.25">
      <c r="A55" s="1">
        <v>40186</v>
      </c>
      <c r="B55">
        <v>2407.1999999999998</v>
      </c>
      <c r="C55" s="1">
        <f t="shared" si="0"/>
        <v>40228</v>
      </c>
      <c r="D55" s="1">
        <f t="shared" si="1"/>
        <v>40210</v>
      </c>
    </row>
    <row r="56" spans="1:4" x14ac:dyDescent="0.25">
      <c r="A56" s="1">
        <v>40193</v>
      </c>
      <c r="B56">
        <v>2663.8</v>
      </c>
      <c r="C56" s="1">
        <f t="shared" si="0"/>
        <v>40235</v>
      </c>
      <c r="D56" s="1">
        <f t="shared" si="1"/>
        <v>40210</v>
      </c>
    </row>
    <row r="57" spans="1:4" x14ac:dyDescent="0.25">
      <c r="A57" s="1">
        <v>40200</v>
      </c>
      <c r="B57">
        <v>2260.4</v>
      </c>
      <c r="C57" s="1">
        <f t="shared" si="0"/>
        <v>40242</v>
      </c>
      <c r="D57" s="1">
        <f t="shared" si="1"/>
        <v>40238</v>
      </c>
    </row>
    <row r="58" spans="1:4" x14ac:dyDescent="0.25">
      <c r="A58" s="1">
        <v>40207</v>
      </c>
      <c r="B58">
        <v>2854.8</v>
      </c>
      <c r="C58" s="1">
        <f t="shared" si="0"/>
        <v>40249</v>
      </c>
      <c r="D58" s="1">
        <f t="shared" si="1"/>
        <v>40238</v>
      </c>
    </row>
    <row r="59" spans="1:4" x14ac:dyDescent="0.25">
      <c r="A59" s="1">
        <v>40214</v>
      </c>
      <c r="B59">
        <v>2893.9</v>
      </c>
      <c r="C59" s="1">
        <f t="shared" si="0"/>
        <v>40256</v>
      </c>
      <c r="D59" s="1">
        <f t="shared" si="1"/>
        <v>40238</v>
      </c>
    </row>
    <row r="60" spans="1:4" x14ac:dyDescent="0.25">
      <c r="A60" s="1">
        <v>40221</v>
      </c>
      <c r="B60">
        <v>2860.1</v>
      </c>
      <c r="C60" s="1">
        <f t="shared" si="0"/>
        <v>40263</v>
      </c>
      <c r="D60" s="1">
        <f t="shared" si="1"/>
        <v>40238</v>
      </c>
    </row>
    <row r="61" spans="1:4" x14ac:dyDescent="0.25">
      <c r="A61" s="1">
        <v>40228</v>
      </c>
      <c r="B61">
        <v>2605.3000000000002</v>
      </c>
      <c r="C61" s="1">
        <f t="shared" si="0"/>
        <v>40270</v>
      </c>
      <c r="D61" s="1">
        <f t="shared" si="1"/>
        <v>40269</v>
      </c>
    </row>
    <row r="62" spans="1:4" x14ac:dyDescent="0.25">
      <c r="A62" s="1">
        <v>40235</v>
      </c>
      <c r="B62">
        <v>3054.3</v>
      </c>
      <c r="C62" s="1">
        <f t="shared" si="0"/>
        <v>40277</v>
      </c>
      <c r="D62" s="1">
        <f t="shared" si="1"/>
        <v>40269</v>
      </c>
    </row>
    <row r="63" spans="1:4" x14ac:dyDescent="0.25">
      <c r="A63" s="1">
        <v>40242</v>
      </c>
      <c r="B63">
        <v>3007.2</v>
      </c>
      <c r="C63" s="1">
        <f t="shared" si="0"/>
        <v>40284</v>
      </c>
      <c r="D63" s="1">
        <f t="shared" si="1"/>
        <v>40269</v>
      </c>
    </row>
    <row r="64" spans="1:4" x14ac:dyDescent="0.25">
      <c r="A64" s="1">
        <v>40249</v>
      </c>
      <c r="B64">
        <v>2955.9</v>
      </c>
      <c r="C64" s="1">
        <f t="shared" si="0"/>
        <v>40291</v>
      </c>
      <c r="D64" s="1">
        <f t="shared" si="1"/>
        <v>40269</v>
      </c>
    </row>
    <row r="65" spans="1:4" x14ac:dyDescent="0.25">
      <c r="A65" s="1">
        <v>40256</v>
      </c>
      <c r="B65">
        <v>2744.7</v>
      </c>
      <c r="C65" s="1">
        <f t="shared" si="0"/>
        <v>40298</v>
      </c>
      <c r="D65" s="1">
        <f t="shared" si="1"/>
        <v>40269</v>
      </c>
    </row>
    <row r="66" spans="1:4" x14ac:dyDescent="0.25">
      <c r="A66" s="1">
        <v>40263</v>
      </c>
      <c r="B66">
        <v>2707.8</v>
      </c>
      <c r="C66" s="1">
        <f t="shared" si="0"/>
        <v>40305</v>
      </c>
      <c r="D66" s="1">
        <f t="shared" si="1"/>
        <v>40299</v>
      </c>
    </row>
    <row r="67" spans="1:4" x14ac:dyDescent="0.25">
      <c r="A67" s="1">
        <v>40270</v>
      </c>
      <c r="B67">
        <v>2250.6</v>
      </c>
      <c r="C67" s="1">
        <f t="shared" ref="C67:C130" si="2">A67+6*7</f>
        <v>40312</v>
      </c>
      <c r="D67" s="1">
        <f t="shared" ref="D67:D130" si="3">C67-DAY(C67)+1</f>
        <v>40299</v>
      </c>
    </row>
    <row r="68" spans="1:4" x14ac:dyDescent="0.25">
      <c r="A68" s="1">
        <v>40277</v>
      </c>
      <c r="B68">
        <v>2047.1</v>
      </c>
      <c r="C68" s="1">
        <f t="shared" si="2"/>
        <v>40319</v>
      </c>
      <c r="D68" s="1">
        <f t="shared" si="3"/>
        <v>40299</v>
      </c>
    </row>
    <row r="69" spans="1:4" x14ac:dyDescent="0.25">
      <c r="A69" s="1">
        <v>40284</v>
      </c>
      <c r="B69">
        <v>2371</v>
      </c>
      <c r="C69" s="1">
        <f t="shared" si="2"/>
        <v>40326</v>
      </c>
      <c r="D69" s="1">
        <f t="shared" si="3"/>
        <v>40299</v>
      </c>
    </row>
    <row r="70" spans="1:4" x14ac:dyDescent="0.25">
      <c r="A70" s="1">
        <v>40291</v>
      </c>
      <c r="B70">
        <v>2161.8000000000002</v>
      </c>
      <c r="C70" s="1">
        <f t="shared" si="2"/>
        <v>40333</v>
      </c>
      <c r="D70" s="1">
        <f t="shared" si="3"/>
        <v>40330</v>
      </c>
    </row>
    <row r="71" spans="1:4" x14ac:dyDescent="0.25">
      <c r="A71" s="1">
        <v>40298</v>
      </c>
      <c r="B71">
        <v>2117.3000000000002</v>
      </c>
      <c r="C71" s="1">
        <f t="shared" si="2"/>
        <v>40340</v>
      </c>
      <c r="D71" s="1">
        <f t="shared" si="3"/>
        <v>40330</v>
      </c>
    </row>
    <row r="72" spans="1:4" x14ac:dyDescent="0.25">
      <c r="A72" s="1">
        <v>40305</v>
      </c>
      <c r="B72">
        <v>2430.8000000000002</v>
      </c>
      <c r="C72" s="1">
        <f t="shared" si="2"/>
        <v>40347</v>
      </c>
      <c r="D72" s="1">
        <f t="shared" si="3"/>
        <v>40330</v>
      </c>
    </row>
    <row r="73" spans="1:4" x14ac:dyDescent="0.25">
      <c r="A73" s="1">
        <v>40312</v>
      </c>
      <c r="B73">
        <v>2783</v>
      </c>
      <c r="C73" s="1">
        <f t="shared" si="2"/>
        <v>40354</v>
      </c>
      <c r="D73" s="1">
        <f t="shared" si="3"/>
        <v>40330</v>
      </c>
    </row>
    <row r="74" spans="1:4" x14ac:dyDescent="0.25">
      <c r="A74" s="1">
        <v>40319</v>
      </c>
      <c r="B74">
        <v>3257.4</v>
      </c>
      <c r="C74" s="1">
        <f t="shared" si="2"/>
        <v>40361</v>
      </c>
      <c r="D74" s="1">
        <f t="shared" si="3"/>
        <v>40360</v>
      </c>
    </row>
    <row r="75" spans="1:4" x14ac:dyDescent="0.25">
      <c r="A75" s="1">
        <v>40326</v>
      </c>
      <c r="B75">
        <v>3336.9</v>
      </c>
      <c r="C75" s="1">
        <f t="shared" si="2"/>
        <v>40368</v>
      </c>
      <c r="D75" s="1">
        <f t="shared" si="3"/>
        <v>40360</v>
      </c>
    </row>
    <row r="76" spans="1:4" x14ac:dyDescent="0.25">
      <c r="A76" s="1">
        <v>40333</v>
      </c>
      <c r="B76">
        <v>2859.5</v>
      </c>
      <c r="C76" s="1">
        <f t="shared" si="2"/>
        <v>40375</v>
      </c>
      <c r="D76" s="1">
        <f t="shared" si="3"/>
        <v>40360</v>
      </c>
    </row>
    <row r="77" spans="1:4" x14ac:dyDescent="0.25">
      <c r="A77" s="1">
        <v>40340</v>
      </c>
      <c r="B77">
        <v>3461.5</v>
      </c>
      <c r="C77" s="1">
        <f t="shared" si="2"/>
        <v>40382</v>
      </c>
      <c r="D77" s="1">
        <f t="shared" si="3"/>
        <v>40360</v>
      </c>
    </row>
    <row r="78" spans="1:4" x14ac:dyDescent="0.25">
      <c r="A78" s="1">
        <v>40347</v>
      </c>
      <c r="B78">
        <v>3208.5</v>
      </c>
      <c r="C78" s="1">
        <f t="shared" si="2"/>
        <v>40389</v>
      </c>
      <c r="D78" s="1">
        <f t="shared" si="3"/>
        <v>40360</v>
      </c>
    </row>
    <row r="79" spans="1:4" x14ac:dyDescent="0.25">
      <c r="A79" s="1">
        <v>40354</v>
      </c>
      <c r="B79">
        <v>3613.1</v>
      </c>
      <c r="C79" s="1">
        <f t="shared" si="2"/>
        <v>40396</v>
      </c>
      <c r="D79" s="1">
        <f t="shared" si="3"/>
        <v>40391</v>
      </c>
    </row>
    <row r="80" spans="1:4" x14ac:dyDescent="0.25">
      <c r="A80" s="1">
        <v>40361</v>
      </c>
      <c r="B80">
        <v>3944.6</v>
      </c>
      <c r="C80" s="1">
        <f t="shared" si="2"/>
        <v>40403</v>
      </c>
      <c r="D80" s="1">
        <f t="shared" si="3"/>
        <v>40391</v>
      </c>
    </row>
    <row r="81" spans="1:4" x14ac:dyDescent="0.25">
      <c r="A81" s="1">
        <v>40368</v>
      </c>
      <c r="B81">
        <v>3831.2</v>
      </c>
      <c r="C81" s="1">
        <f t="shared" si="2"/>
        <v>40410</v>
      </c>
      <c r="D81" s="1">
        <f t="shared" si="3"/>
        <v>40391</v>
      </c>
    </row>
    <row r="82" spans="1:4" x14ac:dyDescent="0.25">
      <c r="A82" s="1">
        <v>40375</v>
      </c>
      <c r="B82">
        <v>4161.8999999999996</v>
      </c>
      <c r="C82" s="1">
        <f t="shared" si="2"/>
        <v>40417</v>
      </c>
      <c r="D82" s="1">
        <f t="shared" si="3"/>
        <v>40391</v>
      </c>
    </row>
    <row r="83" spans="1:4" x14ac:dyDescent="0.25">
      <c r="A83" s="1">
        <v>40382</v>
      </c>
      <c r="B83">
        <v>3918.1</v>
      </c>
      <c r="C83" s="1">
        <f t="shared" si="2"/>
        <v>40424</v>
      </c>
      <c r="D83" s="1">
        <f t="shared" si="3"/>
        <v>40422</v>
      </c>
    </row>
    <row r="84" spans="1:4" x14ac:dyDescent="0.25">
      <c r="A84" s="1">
        <v>40389</v>
      </c>
      <c r="B84">
        <v>3969</v>
      </c>
      <c r="C84" s="1">
        <f t="shared" si="2"/>
        <v>40431</v>
      </c>
      <c r="D84" s="1">
        <f t="shared" si="3"/>
        <v>40422</v>
      </c>
    </row>
    <row r="85" spans="1:4" x14ac:dyDescent="0.25">
      <c r="A85" s="1">
        <v>40396</v>
      </c>
      <c r="B85">
        <v>3993</v>
      </c>
      <c r="C85" s="1">
        <f t="shared" si="2"/>
        <v>40438</v>
      </c>
      <c r="D85" s="1">
        <f t="shared" si="3"/>
        <v>40422</v>
      </c>
    </row>
    <row r="86" spans="1:4" x14ac:dyDescent="0.25">
      <c r="A86" s="1">
        <v>40403</v>
      </c>
      <c r="B86">
        <v>4676.7</v>
      </c>
      <c r="C86" s="1">
        <f t="shared" si="2"/>
        <v>40445</v>
      </c>
      <c r="D86" s="1">
        <f t="shared" si="3"/>
        <v>40422</v>
      </c>
    </row>
    <row r="87" spans="1:4" x14ac:dyDescent="0.25">
      <c r="A87" s="1">
        <v>40410</v>
      </c>
      <c r="B87">
        <v>4944.7</v>
      </c>
      <c r="C87" s="1">
        <f t="shared" si="2"/>
        <v>40452</v>
      </c>
      <c r="D87" s="1">
        <f t="shared" si="3"/>
        <v>40452</v>
      </c>
    </row>
    <row r="88" spans="1:4" x14ac:dyDescent="0.25">
      <c r="A88" s="1">
        <v>40417</v>
      </c>
      <c r="B88">
        <v>5085.3</v>
      </c>
      <c r="C88" s="1">
        <f t="shared" si="2"/>
        <v>40459</v>
      </c>
      <c r="D88" s="1">
        <f t="shared" si="3"/>
        <v>40452</v>
      </c>
    </row>
    <row r="89" spans="1:4" x14ac:dyDescent="0.25">
      <c r="A89" s="1">
        <v>40424</v>
      </c>
      <c r="B89">
        <v>4926.5</v>
      </c>
      <c r="C89" s="1">
        <f t="shared" si="2"/>
        <v>40466</v>
      </c>
      <c r="D89" s="1">
        <f t="shared" si="3"/>
        <v>40452</v>
      </c>
    </row>
    <row r="90" spans="1:4" x14ac:dyDescent="0.25">
      <c r="A90" s="1">
        <v>40431</v>
      </c>
      <c r="B90">
        <v>4396.1000000000004</v>
      </c>
      <c r="C90" s="1">
        <f t="shared" si="2"/>
        <v>40473</v>
      </c>
      <c r="D90" s="1">
        <f t="shared" si="3"/>
        <v>40452</v>
      </c>
    </row>
    <row r="91" spans="1:4" x14ac:dyDescent="0.25">
      <c r="A91" s="1">
        <v>40438</v>
      </c>
      <c r="B91">
        <v>4357.3999999999996</v>
      </c>
      <c r="C91" s="1">
        <f t="shared" si="2"/>
        <v>40480</v>
      </c>
      <c r="D91" s="1">
        <f t="shared" si="3"/>
        <v>40452</v>
      </c>
    </row>
    <row r="92" spans="1:4" x14ac:dyDescent="0.25">
      <c r="A92" s="1">
        <v>40445</v>
      </c>
      <c r="B92">
        <v>4288.3</v>
      </c>
      <c r="C92" s="1">
        <f t="shared" si="2"/>
        <v>40487</v>
      </c>
      <c r="D92" s="1">
        <f t="shared" si="3"/>
        <v>40483</v>
      </c>
    </row>
    <row r="93" spans="1:4" x14ac:dyDescent="0.25">
      <c r="A93" s="1">
        <v>40452</v>
      </c>
      <c r="B93">
        <v>4180.8</v>
      </c>
      <c r="C93" s="1">
        <f t="shared" si="2"/>
        <v>40494</v>
      </c>
      <c r="D93" s="1">
        <f t="shared" si="3"/>
        <v>40483</v>
      </c>
    </row>
    <row r="94" spans="1:4" x14ac:dyDescent="0.25">
      <c r="A94" s="1">
        <v>40459</v>
      </c>
      <c r="B94">
        <v>5060.3</v>
      </c>
      <c r="C94" s="1">
        <f t="shared" si="2"/>
        <v>40501</v>
      </c>
      <c r="D94" s="1">
        <f t="shared" si="3"/>
        <v>40483</v>
      </c>
    </row>
    <row r="95" spans="1:4" x14ac:dyDescent="0.25">
      <c r="A95" s="1">
        <v>40466</v>
      </c>
      <c r="B95">
        <v>4491.1000000000004</v>
      </c>
      <c r="C95" s="1">
        <f t="shared" si="2"/>
        <v>40508</v>
      </c>
      <c r="D95" s="1">
        <f t="shared" si="3"/>
        <v>40483</v>
      </c>
    </row>
    <row r="96" spans="1:4" x14ac:dyDescent="0.25">
      <c r="A96" s="1">
        <v>40473</v>
      </c>
      <c r="B96">
        <v>4626.1000000000004</v>
      </c>
      <c r="C96" s="1">
        <f t="shared" si="2"/>
        <v>40515</v>
      </c>
      <c r="D96" s="1">
        <f t="shared" si="3"/>
        <v>40513</v>
      </c>
    </row>
    <row r="97" spans="1:4" x14ac:dyDescent="0.25">
      <c r="A97" s="1">
        <v>40480</v>
      </c>
      <c r="B97">
        <v>4328.8</v>
      </c>
      <c r="C97" s="1">
        <f t="shared" si="2"/>
        <v>40522</v>
      </c>
      <c r="D97" s="1">
        <f t="shared" si="3"/>
        <v>40513</v>
      </c>
    </row>
    <row r="98" spans="1:4" x14ac:dyDescent="0.25">
      <c r="A98" s="1">
        <v>40487</v>
      </c>
      <c r="B98">
        <v>4587.7</v>
      </c>
      <c r="C98" s="1">
        <f t="shared" si="2"/>
        <v>40529</v>
      </c>
      <c r="D98" s="1">
        <f t="shared" si="3"/>
        <v>40513</v>
      </c>
    </row>
    <row r="99" spans="1:4" x14ac:dyDescent="0.25">
      <c r="A99" s="1">
        <v>40494</v>
      </c>
      <c r="B99">
        <v>3831</v>
      </c>
      <c r="C99" s="1">
        <f t="shared" si="2"/>
        <v>40536</v>
      </c>
      <c r="D99" s="1">
        <f t="shared" si="3"/>
        <v>40513</v>
      </c>
    </row>
    <row r="100" spans="1:4" x14ac:dyDescent="0.25">
      <c r="A100" s="1">
        <v>40501</v>
      </c>
      <c r="B100">
        <v>3793.6</v>
      </c>
      <c r="C100" s="1">
        <f t="shared" si="2"/>
        <v>40543</v>
      </c>
      <c r="D100" s="1">
        <f t="shared" si="3"/>
        <v>40513</v>
      </c>
    </row>
    <row r="101" spans="1:4" x14ac:dyDescent="0.25">
      <c r="A101" s="1">
        <v>40508</v>
      </c>
      <c r="B101">
        <v>2974.4</v>
      </c>
      <c r="C101" s="1">
        <f t="shared" si="2"/>
        <v>40550</v>
      </c>
      <c r="D101" s="1">
        <f t="shared" si="3"/>
        <v>40544</v>
      </c>
    </row>
    <row r="102" spans="1:4" x14ac:dyDescent="0.25">
      <c r="A102" s="1">
        <v>40515</v>
      </c>
      <c r="B102">
        <v>2932</v>
      </c>
      <c r="C102" s="1">
        <f t="shared" si="2"/>
        <v>40557</v>
      </c>
      <c r="D102" s="1">
        <f t="shared" si="3"/>
        <v>40544</v>
      </c>
    </row>
    <row r="103" spans="1:4" x14ac:dyDescent="0.25">
      <c r="A103" s="1">
        <v>40522</v>
      </c>
      <c r="B103">
        <v>2910.9</v>
      </c>
      <c r="C103" s="1">
        <f t="shared" si="2"/>
        <v>40564</v>
      </c>
      <c r="D103" s="1">
        <f t="shared" si="3"/>
        <v>40544</v>
      </c>
    </row>
    <row r="104" spans="1:4" x14ac:dyDescent="0.25">
      <c r="A104" s="1">
        <v>40529</v>
      </c>
      <c r="B104">
        <v>2196.1</v>
      </c>
      <c r="C104" s="1">
        <f t="shared" si="2"/>
        <v>40571</v>
      </c>
      <c r="D104" s="1">
        <f t="shared" si="3"/>
        <v>40544</v>
      </c>
    </row>
    <row r="105" spans="1:4" x14ac:dyDescent="0.25">
      <c r="A105" s="1">
        <v>40536</v>
      </c>
      <c r="B105">
        <v>2036.9</v>
      </c>
      <c r="C105" s="1">
        <f t="shared" si="2"/>
        <v>40578</v>
      </c>
      <c r="D105" s="1">
        <f t="shared" si="3"/>
        <v>40575</v>
      </c>
    </row>
    <row r="106" spans="1:4" x14ac:dyDescent="0.25">
      <c r="A106" s="1">
        <v>40543</v>
      </c>
      <c r="B106">
        <v>2115.4</v>
      </c>
      <c r="C106" s="1">
        <f t="shared" si="2"/>
        <v>40585</v>
      </c>
      <c r="D106" s="1">
        <f t="shared" si="3"/>
        <v>40575</v>
      </c>
    </row>
    <row r="107" spans="1:4" x14ac:dyDescent="0.25">
      <c r="A107" s="1">
        <v>40550</v>
      </c>
      <c r="B107">
        <v>2219.1999999999998</v>
      </c>
      <c r="C107" s="1">
        <f t="shared" si="2"/>
        <v>40592</v>
      </c>
      <c r="D107" s="1">
        <f t="shared" si="3"/>
        <v>40575</v>
      </c>
    </row>
    <row r="108" spans="1:4" x14ac:dyDescent="0.25">
      <c r="A108" s="1">
        <v>40557</v>
      </c>
      <c r="B108">
        <v>2390.6999999999998</v>
      </c>
      <c r="C108" s="1">
        <f t="shared" si="2"/>
        <v>40599</v>
      </c>
      <c r="D108" s="1">
        <f t="shared" si="3"/>
        <v>40575</v>
      </c>
    </row>
    <row r="109" spans="1:4" x14ac:dyDescent="0.25">
      <c r="A109" s="1">
        <v>40564</v>
      </c>
      <c r="B109">
        <v>2025.2</v>
      </c>
      <c r="C109" s="1">
        <f t="shared" si="2"/>
        <v>40606</v>
      </c>
      <c r="D109" s="1">
        <f t="shared" si="3"/>
        <v>40603</v>
      </c>
    </row>
    <row r="110" spans="1:4" x14ac:dyDescent="0.25">
      <c r="A110" s="1">
        <v>40571</v>
      </c>
      <c r="B110">
        <v>2261.1999999999998</v>
      </c>
      <c r="C110" s="1">
        <f t="shared" si="2"/>
        <v>40613</v>
      </c>
      <c r="D110" s="1">
        <f t="shared" si="3"/>
        <v>40603</v>
      </c>
    </row>
    <row r="111" spans="1:4" x14ac:dyDescent="0.25">
      <c r="A111" s="1">
        <v>40578</v>
      </c>
      <c r="B111">
        <v>2086.4</v>
      </c>
      <c r="C111" s="1">
        <f t="shared" si="2"/>
        <v>40620</v>
      </c>
      <c r="D111" s="1">
        <f t="shared" si="3"/>
        <v>40603</v>
      </c>
    </row>
    <row r="112" spans="1:4" x14ac:dyDescent="0.25">
      <c r="A112" s="1">
        <v>40585</v>
      </c>
      <c r="B112">
        <v>1848.6</v>
      </c>
      <c r="C112" s="1">
        <f t="shared" si="2"/>
        <v>40627</v>
      </c>
      <c r="D112" s="1">
        <f t="shared" si="3"/>
        <v>40603</v>
      </c>
    </row>
    <row r="113" spans="1:4" x14ac:dyDescent="0.25">
      <c r="A113" s="1">
        <v>40592</v>
      </c>
      <c r="B113">
        <v>2177.1999999999998</v>
      </c>
      <c r="C113" s="1">
        <f t="shared" si="2"/>
        <v>40634</v>
      </c>
      <c r="D113" s="1">
        <f t="shared" si="3"/>
        <v>40634</v>
      </c>
    </row>
    <row r="114" spans="1:4" x14ac:dyDescent="0.25">
      <c r="A114" s="1">
        <v>40599</v>
      </c>
      <c r="B114">
        <v>2034.7</v>
      </c>
      <c r="C114" s="1">
        <f t="shared" si="2"/>
        <v>40641</v>
      </c>
      <c r="D114" s="1">
        <f t="shared" si="3"/>
        <v>40634</v>
      </c>
    </row>
    <row r="115" spans="1:4" x14ac:dyDescent="0.25">
      <c r="A115" s="1">
        <v>40606</v>
      </c>
      <c r="B115">
        <v>2383.6999999999998</v>
      </c>
      <c r="C115" s="1">
        <f t="shared" si="2"/>
        <v>40648</v>
      </c>
      <c r="D115" s="1">
        <f t="shared" si="3"/>
        <v>40634</v>
      </c>
    </row>
    <row r="116" spans="1:4" x14ac:dyDescent="0.25">
      <c r="A116" s="1">
        <v>40613</v>
      </c>
      <c r="B116">
        <v>2406.3000000000002</v>
      </c>
      <c r="C116" s="1">
        <f t="shared" si="2"/>
        <v>40655</v>
      </c>
      <c r="D116" s="1">
        <f t="shared" si="3"/>
        <v>40634</v>
      </c>
    </row>
    <row r="117" spans="1:4" x14ac:dyDescent="0.25">
      <c r="A117" s="1">
        <v>40620</v>
      </c>
      <c r="B117">
        <v>2471.1999999999998</v>
      </c>
      <c r="C117" s="1">
        <f t="shared" si="2"/>
        <v>40662</v>
      </c>
      <c r="D117" s="1">
        <f t="shared" si="3"/>
        <v>40634</v>
      </c>
    </row>
    <row r="118" spans="1:4" x14ac:dyDescent="0.25">
      <c r="A118" s="1">
        <v>40627</v>
      </c>
      <c r="B118">
        <v>2222.5</v>
      </c>
      <c r="C118" s="1">
        <f t="shared" si="2"/>
        <v>40669</v>
      </c>
      <c r="D118" s="1">
        <f t="shared" si="3"/>
        <v>40664</v>
      </c>
    </row>
    <row r="119" spans="1:4" x14ac:dyDescent="0.25">
      <c r="A119" s="1">
        <v>40634</v>
      </c>
      <c r="B119">
        <v>2084.1</v>
      </c>
      <c r="C119" s="1">
        <f t="shared" si="2"/>
        <v>40676</v>
      </c>
      <c r="D119" s="1">
        <f t="shared" si="3"/>
        <v>40664</v>
      </c>
    </row>
    <row r="120" spans="1:4" x14ac:dyDescent="0.25">
      <c r="A120" s="1">
        <v>40641</v>
      </c>
      <c r="B120">
        <v>1923.9</v>
      </c>
      <c r="C120" s="1">
        <f t="shared" si="2"/>
        <v>40683</v>
      </c>
      <c r="D120" s="1">
        <f t="shared" si="3"/>
        <v>40664</v>
      </c>
    </row>
    <row r="121" spans="1:4" x14ac:dyDescent="0.25">
      <c r="A121" s="1">
        <v>40648</v>
      </c>
      <c r="B121">
        <v>1975.2</v>
      </c>
      <c r="C121" s="1">
        <f t="shared" si="2"/>
        <v>40690</v>
      </c>
      <c r="D121" s="1">
        <f t="shared" si="3"/>
        <v>40664</v>
      </c>
    </row>
    <row r="122" spans="1:4" x14ac:dyDescent="0.25">
      <c r="A122" s="1">
        <v>40655</v>
      </c>
      <c r="B122">
        <v>1964</v>
      </c>
      <c r="C122" s="1">
        <f t="shared" si="2"/>
        <v>40697</v>
      </c>
      <c r="D122" s="1">
        <f t="shared" si="3"/>
        <v>40695</v>
      </c>
    </row>
    <row r="123" spans="1:4" x14ac:dyDescent="0.25">
      <c r="A123" s="1">
        <v>40662</v>
      </c>
      <c r="B123">
        <v>2081.6</v>
      </c>
      <c r="C123" s="1">
        <f t="shared" si="2"/>
        <v>40704</v>
      </c>
      <c r="D123" s="1">
        <f t="shared" si="3"/>
        <v>40695</v>
      </c>
    </row>
    <row r="124" spans="1:4" x14ac:dyDescent="0.25">
      <c r="A124" s="1">
        <v>40669</v>
      </c>
      <c r="B124">
        <v>2269.1</v>
      </c>
      <c r="C124" s="1">
        <f t="shared" si="2"/>
        <v>40711</v>
      </c>
      <c r="D124" s="1">
        <f t="shared" si="3"/>
        <v>40695</v>
      </c>
    </row>
    <row r="125" spans="1:4" x14ac:dyDescent="0.25">
      <c r="A125" s="1">
        <v>40676</v>
      </c>
      <c r="B125">
        <v>2568.1999999999998</v>
      </c>
      <c r="C125" s="1">
        <f t="shared" si="2"/>
        <v>40718</v>
      </c>
      <c r="D125" s="1">
        <f t="shared" si="3"/>
        <v>40695</v>
      </c>
    </row>
    <row r="126" spans="1:4" x14ac:dyDescent="0.25">
      <c r="A126" s="1">
        <v>40683</v>
      </c>
      <c r="B126">
        <v>2591.6999999999998</v>
      </c>
      <c r="C126" s="1">
        <f t="shared" si="2"/>
        <v>40725</v>
      </c>
      <c r="D126" s="1">
        <f t="shared" si="3"/>
        <v>40725</v>
      </c>
    </row>
    <row r="127" spans="1:4" x14ac:dyDescent="0.25">
      <c r="A127" s="1">
        <v>40690</v>
      </c>
      <c r="B127">
        <v>2442.9</v>
      </c>
      <c r="C127" s="1">
        <f t="shared" si="2"/>
        <v>40732</v>
      </c>
      <c r="D127" s="1">
        <f t="shared" si="3"/>
        <v>40725</v>
      </c>
    </row>
    <row r="128" spans="1:4" x14ac:dyDescent="0.25">
      <c r="A128" s="1">
        <v>40697</v>
      </c>
      <c r="B128">
        <v>2475.6999999999998</v>
      </c>
      <c r="C128" s="1">
        <f t="shared" si="2"/>
        <v>40739</v>
      </c>
      <c r="D128" s="1">
        <f t="shared" si="3"/>
        <v>40725</v>
      </c>
    </row>
    <row r="129" spans="1:4" x14ac:dyDescent="0.25">
      <c r="A129" s="1">
        <v>40704</v>
      </c>
      <c r="B129">
        <v>2883.7</v>
      </c>
      <c r="C129" s="1">
        <f t="shared" si="2"/>
        <v>40746</v>
      </c>
      <c r="D129" s="1">
        <f t="shared" si="3"/>
        <v>40725</v>
      </c>
    </row>
    <row r="130" spans="1:4" x14ac:dyDescent="0.25">
      <c r="A130" s="1">
        <v>40711</v>
      </c>
      <c r="B130">
        <v>2675.2</v>
      </c>
      <c r="C130" s="1">
        <f t="shared" si="2"/>
        <v>40753</v>
      </c>
      <c r="D130" s="1">
        <f t="shared" si="3"/>
        <v>40725</v>
      </c>
    </row>
    <row r="131" spans="1:4" x14ac:dyDescent="0.25">
      <c r="A131" s="1">
        <v>40718</v>
      </c>
      <c r="B131">
        <v>2604.4</v>
      </c>
      <c r="C131" s="1">
        <f t="shared" ref="C131:C194" si="4">A131+6*7</f>
        <v>40760</v>
      </c>
      <c r="D131" s="1">
        <f t="shared" ref="D131:D194" si="5">C131-DAY(C131)+1</f>
        <v>40756</v>
      </c>
    </row>
    <row r="132" spans="1:4" x14ac:dyDescent="0.25">
      <c r="A132" s="1">
        <v>40725</v>
      </c>
      <c r="B132">
        <v>2363.6</v>
      </c>
      <c r="C132" s="1">
        <f t="shared" si="4"/>
        <v>40767</v>
      </c>
      <c r="D132" s="1">
        <f t="shared" si="5"/>
        <v>40756</v>
      </c>
    </row>
    <row r="133" spans="1:4" x14ac:dyDescent="0.25">
      <c r="A133" s="1">
        <v>40732</v>
      </c>
      <c r="B133">
        <v>2217.3000000000002</v>
      </c>
      <c r="C133" s="1">
        <f t="shared" si="4"/>
        <v>40774</v>
      </c>
      <c r="D133" s="1">
        <f t="shared" si="5"/>
        <v>40756</v>
      </c>
    </row>
    <row r="134" spans="1:4" x14ac:dyDescent="0.25">
      <c r="A134" s="1">
        <v>40739</v>
      </c>
      <c r="B134">
        <v>2728.6</v>
      </c>
      <c r="C134" s="1">
        <f t="shared" si="4"/>
        <v>40781</v>
      </c>
      <c r="D134" s="1">
        <f t="shared" si="5"/>
        <v>40756</v>
      </c>
    </row>
    <row r="135" spans="1:4" x14ac:dyDescent="0.25">
      <c r="A135" s="1">
        <v>40746</v>
      </c>
      <c r="B135">
        <v>2578.8000000000002</v>
      </c>
      <c r="C135" s="1">
        <f t="shared" si="4"/>
        <v>40788</v>
      </c>
      <c r="D135" s="1">
        <f t="shared" si="5"/>
        <v>40787</v>
      </c>
    </row>
    <row r="136" spans="1:4" x14ac:dyDescent="0.25">
      <c r="A136" s="1">
        <v>40753</v>
      </c>
      <c r="B136">
        <v>2780.5</v>
      </c>
      <c r="C136" s="1">
        <f t="shared" si="4"/>
        <v>40795</v>
      </c>
      <c r="D136" s="1">
        <f t="shared" si="5"/>
        <v>40787</v>
      </c>
    </row>
    <row r="137" spans="1:4" x14ac:dyDescent="0.25">
      <c r="A137" s="1">
        <v>40760</v>
      </c>
      <c r="B137">
        <v>3625.7</v>
      </c>
      <c r="C137" s="1">
        <f t="shared" si="4"/>
        <v>40802</v>
      </c>
      <c r="D137" s="1">
        <f t="shared" si="5"/>
        <v>40787</v>
      </c>
    </row>
    <row r="138" spans="1:4" x14ac:dyDescent="0.25">
      <c r="A138" s="1">
        <v>40767</v>
      </c>
      <c r="B138">
        <v>3915.5</v>
      </c>
      <c r="C138" s="1">
        <f t="shared" si="4"/>
        <v>40809</v>
      </c>
      <c r="D138" s="1">
        <f t="shared" si="5"/>
        <v>40787</v>
      </c>
    </row>
    <row r="139" spans="1:4" x14ac:dyDescent="0.25">
      <c r="A139" s="1">
        <v>40774</v>
      </c>
      <c r="B139">
        <v>3850.6</v>
      </c>
      <c r="C139" s="1">
        <f t="shared" si="4"/>
        <v>40816</v>
      </c>
      <c r="D139" s="1">
        <f t="shared" si="5"/>
        <v>40787</v>
      </c>
    </row>
    <row r="140" spans="1:4" x14ac:dyDescent="0.25">
      <c r="A140" s="1">
        <v>40781</v>
      </c>
      <c r="B140">
        <v>3381.7</v>
      </c>
      <c r="C140" s="1">
        <f t="shared" si="4"/>
        <v>40823</v>
      </c>
      <c r="D140" s="1">
        <f t="shared" si="5"/>
        <v>40817</v>
      </c>
    </row>
    <row r="141" spans="1:4" x14ac:dyDescent="0.25">
      <c r="A141" s="1">
        <v>40788</v>
      </c>
      <c r="B141">
        <v>3169.4</v>
      </c>
      <c r="C141" s="1">
        <f t="shared" si="4"/>
        <v>40830</v>
      </c>
      <c r="D141" s="1">
        <f t="shared" si="5"/>
        <v>40817</v>
      </c>
    </row>
    <row r="142" spans="1:4" x14ac:dyDescent="0.25">
      <c r="A142" s="1">
        <v>40795</v>
      </c>
      <c r="B142">
        <v>3361</v>
      </c>
      <c r="C142" s="1">
        <f t="shared" si="4"/>
        <v>40837</v>
      </c>
      <c r="D142" s="1">
        <f t="shared" si="5"/>
        <v>40817</v>
      </c>
    </row>
    <row r="143" spans="1:4" x14ac:dyDescent="0.25">
      <c r="A143" s="1">
        <v>40802</v>
      </c>
      <c r="B143">
        <v>3813.22</v>
      </c>
      <c r="C143" s="1">
        <f t="shared" si="4"/>
        <v>40844</v>
      </c>
      <c r="D143" s="1">
        <f t="shared" si="5"/>
        <v>40817</v>
      </c>
    </row>
    <row r="144" spans="1:4" x14ac:dyDescent="0.25">
      <c r="A144" s="1">
        <v>40809</v>
      </c>
      <c r="B144">
        <v>4239.6400000000003</v>
      </c>
      <c r="C144" s="1">
        <f t="shared" si="4"/>
        <v>40851</v>
      </c>
      <c r="D144" s="1">
        <f t="shared" si="5"/>
        <v>40848</v>
      </c>
    </row>
    <row r="145" spans="1:4" x14ac:dyDescent="0.25">
      <c r="A145" s="1">
        <v>40816</v>
      </c>
      <c r="B145">
        <v>4019.03</v>
      </c>
      <c r="C145" s="1">
        <f t="shared" si="4"/>
        <v>40858</v>
      </c>
      <c r="D145" s="1">
        <f t="shared" si="5"/>
        <v>40848</v>
      </c>
    </row>
    <row r="146" spans="1:4" x14ac:dyDescent="0.25">
      <c r="A146" s="1">
        <v>40823</v>
      </c>
      <c r="B146">
        <v>4072.31</v>
      </c>
      <c r="C146" s="1">
        <f t="shared" si="4"/>
        <v>40865</v>
      </c>
      <c r="D146" s="1">
        <f t="shared" si="5"/>
        <v>40848</v>
      </c>
    </row>
    <row r="147" spans="1:4" x14ac:dyDescent="0.25">
      <c r="A147" s="1">
        <v>40830</v>
      </c>
      <c r="B147">
        <v>3396.13</v>
      </c>
      <c r="C147" s="1">
        <f t="shared" si="4"/>
        <v>40872</v>
      </c>
      <c r="D147" s="1">
        <f t="shared" si="5"/>
        <v>40848</v>
      </c>
    </row>
    <row r="148" spans="1:4" x14ac:dyDescent="0.25">
      <c r="A148" s="1">
        <v>40837</v>
      </c>
      <c r="B148">
        <v>3546.68</v>
      </c>
      <c r="C148" s="1">
        <f t="shared" si="4"/>
        <v>40879</v>
      </c>
      <c r="D148" s="1">
        <f t="shared" si="5"/>
        <v>40878</v>
      </c>
    </row>
    <row r="149" spans="1:4" x14ac:dyDescent="0.25">
      <c r="A149" s="1">
        <v>40844</v>
      </c>
      <c r="B149">
        <v>3539.33</v>
      </c>
      <c r="C149" s="1">
        <f t="shared" si="4"/>
        <v>40886</v>
      </c>
      <c r="D149" s="1">
        <f t="shared" si="5"/>
        <v>40878</v>
      </c>
    </row>
    <row r="150" spans="1:4" x14ac:dyDescent="0.25">
      <c r="A150" s="1">
        <v>40851</v>
      </c>
      <c r="B150">
        <v>3967.54</v>
      </c>
      <c r="C150" s="1">
        <f t="shared" si="4"/>
        <v>40893</v>
      </c>
      <c r="D150" s="1">
        <f t="shared" si="5"/>
        <v>40878</v>
      </c>
    </row>
    <row r="151" spans="1:4" x14ac:dyDescent="0.25">
      <c r="A151" s="1">
        <v>40858</v>
      </c>
      <c r="B151">
        <v>3483.9</v>
      </c>
      <c r="C151" s="1">
        <f t="shared" si="4"/>
        <v>40900</v>
      </c>
      <c r="D151" s="1">
        <f t="shared" si="5"/>
        <v>40878</v>
      </c>
    </row>
    <row r="152" spans="1:4" x14ac:dyDescent="0.25">
      <c r="A152" s="1">
        <v>40865</v>
      </c>
      <c r="B152">
        <v>3344.74</v>
      </c>
      <c r="C152" s="1">
        <f t="shared" si="4"/>
        <v>40907</v>
      </c>
      <c r="D152" s="1">
        <f t="shared" si="5"/>
        <v>40878</v>
      </c>
    </row>
    <row r="153" spans="1:4" x14ac:dyDescent="0.25">
      <c r="A153" s="1">
        <v>40872</v>
      </c>
      <c r="B153">
        <v>2834.54</v>
      </c>
      <c r="C153" s="1">
        <f t="shared" si="4"/>
        <v>40914</v>
      </c>
      <c r="D153" s="1">
        <f t="shared" si="5"/>
        <v>40909</v>
      </c>
    </row>
    <row r="154" spans="1:4" x14ac:dyDescent="0.25">
      <c r="A154" s="1">
        <v>40879</v>
      </c>
      <c r="B154">
        <v>3268.66</v>
      </c>
      <c r="C154" s="1">
        <f t="shared" si="4"/>
        <v>40921</v>
      </c>
      <c r="D154" s="1">
        <f t="shared" si="5"/>
        <v>40909</v>
      </c>
    </row>
    <row r="155" spans="1:4" x14ac:dyDescent="0.25">
      <c r="A155" s="1">
        <v>40886</v>
      </c>
      <c r="B155">
        <v>3573.67</v>
      </c>
      <c r="C155" s="1">
        <f t="shared" si="4"/>
        <v>40928</v>
      </c>
      <c r="D155" s="1">
        <f t="shared" si="5"/>
        <v>40909</v>
      </c>
    </row>
    <row r="156" spans="1:4" x14ac:dyDescent="0.25">
      <c r="A156" s="1">
        <v>40893</v>
      </c>
      <c r="B156">
        <v>3516.82</v>
      </c>
      <c r="C156" s="1">
        <f t="shared" si="4"/>
        <v>40935</v>
      </c>
      <c r="D156" s="1">
        <f t="shared" si="5"/>
        <v>40909</v>
      </c>
    </row>
    <row r="157" spans="1:4" x14ac:dyDescent="0.25">
      <c r="A157" s="1">
        <v>40900</v>
      </c>
      <c r="B157">
        <v>3534.99</v>
      </c>
      <c r="C157" s="1">
        <f t="shared" si="4"/>
        <v>40942</v>
      </c>
      <c r="D157" s="1">
        <f t="shared" si="5"/>
        <v>40940</v>
      </c>
    </row>
    <row r="158" spans="1:4" x14ac:dyDescent="0.25">
      <c r="A158" s="1">
        <v>40907</v>
      </c>
      <c r="B158">
        <v>3448.31</v>
      </c>
      <c r="C158" s="1">
        <f t="shared" si="4"/>
        <v>40949</v>
      </c>
      <c r="D158" s="1">
        <f t="shared" si="5"/>
        <v>40940</v>
      </c>
    </row>
    <row r="159" spans="1:4" x14ac:dyDescent="0.25">
      <c r="A159" s="1">
        <v>40914</v>
      </c>
      <c r="B159">
        <v>3560.57</v>
      </c>
      <c r="C159" s="1">
        <f t="shared" si="4"/>
        <v>40956</v>
      </c>
      <c r="D159" s="1">
        <f t="shared" si="5"/>
        <v>40940</v>
      </c>
    </row>
    <row r="160" spans="1:4" x14ac:dyDescent="0.25">
      <c r="A160" s="1">
        <v>40921</v>
      </c>
      <c r="B160">
        <v>4500.62</v>
      </c>
      <c r="C160" s="1">
        <f t="shared" si="4"/>
        <v>40963</v>
      </c>
      <c r="D160" s="1">
        <f t="shared" si="5"/>
        <v>40940</v>
      </c>
    </row>
    <row r="161" spans="1:4" x14ac:dyDescent="0.25">
      <c r="A161" s="1">
        <v>40928</v>
      </c>
      <c r="B161">
        <v>4265.3</v>
      </c>
      <c r="C161" s="1">
        <f t="shared" si="4"/>
        <v>40970</v>
      </c>
      <c r="D161" s="1">
        <f t="shared" si="5"/>
        <v>40969</v>
      </c>
    </row>
    <row r="162" spans="1:4" x14ac:dyDescent="0.25">
      <c r="A162" s="1">
        <v>40935</v>
      </c>
      <c r="B162">
        <v>4113.8</v>
      </c>
      <c r="C162" s="1">
        <f t="shared" si="4"/>
        <v>40977</v>
      </c>
      <c r="D162" s="1">
        <f t="shared" si="5"/>
        <v>40969</v>
      </c>
    </row>
    <row r="163" spans="1:4" x14ac:dyDescent="0.25">
      <c r="A163" s="1">
        <v>40942</v>
      </c>
      <c r="B163">
        <v>4500.7</v>
      </c>
      <c r="C163" s="1">
        <f t="shared" si="4"/>
        <v>40984</v>
      </c>
      <c r="D163" s="1">
        <f t="shared" si="5"/>
        <v>40969</v>
      </c>
    </row>
    <row r="164" spans="1:4" x14ac:dyDescent="0.25">
      <c r="A164" s="1">
        <v>40949</v>
      </c>
      <c r="B164">
        <v>4538</v>
      </c>
      <c r="C164" s="1">
        <f t="shared" si="4"/>
        <v>40991</v>
      </c>
      <c r="D164" s="1">
        <f t="shared" si="5"/>
        <v>40969</v>
      </c>
    </row>
    <row r="165" spans="1:4" x14ac:dyDescent="0.25">
      <c r="A165" s="1">
        <v>40956</v>
      </c>
      <c r="B165">
        <v>4322</v>
      </c>
      <c r="C165" s="1">
        <f t="shared" si="4"/>
        <v>40998</v>
      </c>
      <c r="D165" s="1">
        <f t="shared" si="5"/>
        <v>40969</v>
      </c>
    </row>
    <row r="166" spans="1:4" x14ac:dyDescent="0.25">
      <c r="A166" s="1">
        <v>40963</v>
      </c>
      <c r="B166">
        <v>4225.3999999999996</v>
      </c>
      <c r="C166" s="1">
        <f t="shared" si="4"/>
        <v>41005</v>
      </c>
      <c r="D166" s="1">
        <f t="shared" si="5"/>
        <v>41000</v>
      </c>
    </row>
    <row r="167" spans="1:4" x14ac:dyDescent="0.25">
      <c r="A167" s="1">
        <v>40970</v>
      </c>
      <c r="B167">
        <v>4141.7</v>
      </c>
      <c r="C167" s="1">
        <f t="shared" si="4"/>
        <v>41012</v>
      </c>
      <c r="D167" s="1">
        <f t="shared" si="5"/>
        <v>41000</v>
      </c>
    </row>
    <row r="168" spans="1:4" x14ac:dyDescent="0.25">
      <c r="A168" s="1">
        <v>40977</v>
      </c>
      <c r="B168">
        <v>3971.1</v>
      </c>
      <c r="C168" s="1">
        <f t="shared" si="4"/>
        <v>41019</v>
      </c>
      <c r="D168" s="1">
        <f t="shared" si="5"/>
        <v>41000</v>
      </c>
    </row>
    <row r="169" spans="1:4" x14ac:dyDescent="0.25">
      <c r="A169" s="1">
        <v>40984</v>
      </c>
      <c r="B169">
        <v>3603.5</v>
      </c>
      <c r="C169" s="1">
        <f t="shared" si="4"/>
        <v>41026</v>
      </c>
      <c r="D169" s="1">
        <f t="shared" si="5"/>
        <v>41000</v>
      </c>
    </row>
    <row r="170" spans="1:4" x14ac:dyDescent="0.25">
      <c r="A170" s="1">
        <v>40991</v>
      </c>
      <c r="B170">
        <v>3438.6</v>
      </c>
      <c r="C170" s="1">
        <f t="shared" si="4"/>
        <v>41033</v>
      </c>
      <c r="D170" s="1">
        <f t="shared" si="5"/>
        <v>41030</v>
      </c>
    </row>
    <row r="171" spans="1:4" x14ac:dyDescent="0.25">
      <c r="A171" s="1">
        <v>40998</v>
      </c>
      <c r="B171">
        <v>3576.8</v>
      </c>
      <c r="C171" s="1">
        <f t="shared" si="4"/>
        <v>41040</v>
      </c>
      <c r="D171" s="1">
        <f t="shared" si="5"/>
        <v>41030</v>
      </c>
    </row>
    <row r="172" spans="1:4" x14ac:dyDescent="0.25">
      <c r="A172" s="1">
        <v>41005</v>
      </c>
      <c r="B172">
        <v>3467.3</v>
      </c>
      <c r="C172" s="1">
        <f t="shared" si="4"/>
        <v>41047</v>
      </c>
      <c r="D172" s="1">
        <f t="shared" si="5"/>
        <v>41030</v>
      </c>
    </row>
    <row r="173" spans="1:4" x14ac:dyDescent="0.25">
      <c r="A173" s="1">
        <v>41012</v>
      </c>
      <c r="B173">
        <v>3936.3</v>
      </c>
      <c r="C173" s="1">
        <f t="shared" si="4"/>
        <v>41054</v>
      </c>
      <c r="D173" s="1">
        <f t="shared" si="5"/>
        <v>41030</v>
      </c>
    </row>
    <row r="174" spans="1:4" x14ac:dyDescent="0.25">
      <c r="A174" s="1">
        <v>41019</v>
      </c>
      <c r="B174">
        <v>3715.2</v>
      </c>
      <c r="C174" s="1">
        <f t="shared" si="4"/>
        <v>41061</v>
      </c>
      <c r="D174" s="1">
        <f t="shared" si="5"/>
        <v>41061</v>
      </c>
    </row>
    <row r="175" spans="1:4" x14ac:dyDescent="0.25">
      <c r="A175" s="1">
        <v>41026</v>
      </c>
      <c r="B175">
        <v>3687.7</v>
      </c>
      <c r="C175" s="1">
        <f t="shared" si="4"/>
        <v>41068</v>
      </c>
      <c r="D175" s="1">
        <f t="shared" si="5"/>
        <v>41061</v>
      </c>
    </row>
    <row r="176" spans="1:4" x14ac:dyDescent="0.25">
      <c r="A176" s="1">
        <v>41033</v>
      </c>
      <c r="B176">
        <v>3734.8</v>
      </c>
      <c r="C176" s="1">
        <f t="shared" si="4"/>
        <v>41075</v>
      </c>
      <c r="D176" s="1">
        <f t="shared" si="5"/>
        <v>41061</v>
      </c>
    </row>
    <row r="177" spans="1:4" x14ac:dyDescent="0.25">
      <c r="A177" s="1">
        <v>41040</v>
      </c>
      <c r="B177">
        <v>4219.1000000000004</v>
      </c>
      <c r="C177" s="1">
        <f t="shared" si="4"/>
        <v>41082</v>
      </c>
      <c r="D177" s="1">
        <f t="shared" si="5"/>
        <v>41061</v>
      </c>
    </row>
    <row r="178" spans="1:4" x14ac:dyDescent="0.25">
      <c r="A178" s="1">
        <v>41047</v>
      </c>
      <c r="B178">
        <v>4456.3999999999996</v>
      </c>
      <c r="C178" s="1">
        <f t="shared" si="4"/>
        <v>41089</v>
      </c>
      <c r="D178" s="1">
        <f t="shared" si="5"/>
        <v>41061</v>
      </c>
    </row>
    <row r="179" spans="1:4" x14ac:dyDescent="0.25">
      <c r="A179" s="1">
        <v>41054</v>
      </c>
      <c r="B179">
        <v>4388.8</v>
      </c>
      <c r="C179" s="1">
        <f t="shared" si="4"/>
        <v>41096</v>
      </c>
      <c r="D179" s="1">
        <f t="shared" si="5"/>
        <v>41091</v>
      </c>
    </row>
    <row r="180" spans="1:4" x14ac:dyDescent="0.25">
      <c r="A180" s="1">
        <v>41061</v>
      </c>
      <c r="B180">
        <v>4476.2</v>
      </c>
      <c r="C180" s="1">
        <f t="shared" si="4"/>
        <v>41103</v>
      </c>
      <c r="D180" s="1">
        <f t="shared" si="5"/>
        <v>41091</v>
      </c>
    </row>
    <row r="181" spans="1:4" x14ac:dyDescent="0.25">
      <c r="A181" s="1">
        <v>41068</v>
      </c>
      <c r="B181">
        <v>5334.3</v>
      </c>
      <c r="C181" s="1">
        <f t="shared" si="4"/>
        <v>41110</v>
      </c>
      <c r="D181" s="1">
        <f t="shared" si="5"/>
        <v>41091</v>
      </c>
    </row>
    <row r="182" spans="1:4" x14ac:dyDescent="0.25">
      <c r="A182" s="1">
        <v>41075</v>
      </c>
      <c r="B182">
        <v>5385.8</v>
      </c>
      <c r="C182" s="1">
        <f t="shared" si="4"/>
        <v>41117</v>
      </c>
      <c r="D182" s="1">
        <f t="shared" si="5"/>
        <v>41091</v>
      </c>
    </row>
    <row r="183" spans="1:4" x14ac:dyDescent="0.25">
      <c r="A183" s="1">
        <v>41082</v>
      </c>
      <c r="B183">
        <v>4938.3</v>
      </c>
      <c r="C183" s="1">
        <f t="shared" si="4"/>
        <v>41124</v>
      </c>
      <c r="D183" s="1">
        <f t="shared" si="5"/>
        <v>41122</v>
      </c>
    </row>
    <row r="184" spans="1:4" x14ac:dyDescent="0.25">
      <c r="A184" s="1">
        <v>41089</v>
      </c>
      <c r="B184">
        <v>4524.1000000000004</v>
      </c>
      <c r="C184" s="1">
        <f t="shared" si="4"/>
        <v>41131</v>
      </c>
      <c r="D184" s="1">
        <f t="shared" si="5"/>
        <v>41122</v>
      </c>
    </row>
    <row r="185" spans="1:4" x14ac:dyDescent="0.25">
      <c r="A185" s="1">
        <v>41096</v>
      </c>
      <c r="B185">
        <v>4369.3</v>
      </c>
      <c r="C185" s="1">
        <f t="shared" si="4"/>
        <v>41138</v>
      </c>
      <c r="D185" s="1">
        <f t="shared" si="5"/>
        <v>41122</v>
      </c>
    </row>
    <row r="186" spans="1:4" x14ac:dyDescent="0.25">
      <c r="A186" s="1">
        <v>41103</v>
      </c>
      <c r="B186">
        <v>5314.4</v>
      </c>
      <c r="C186" s="1">
        <f t="shared" si="4"/>
        <v>41145</v>
      </c>
      <c r="D186" s="1">
        <f t="shared" si="5"/>
        <v>41122</v>
      </c>
    </row>
    <row r="187" spans="1:4" x14ac:dyDescent="0.25">
      <c r="A187" s="1">
        <v>41110</v>
      </c>
      <c r="B187">
        <v>5411.6</v>
      </c>
      <c r="C187" s="1">
        <f t="shared" si="4"/>
        <v>41152</v>
      </c>
      <c r="D187" s="1">
        <f t="shared" si="5"/>
        <v>41122</v>
      </c>
    </row>
    <row r="188" spans="1:4" x14ac:dyDescent="0.25">
      <c r="A188" s="1">
        <v>41117</v>
      </c>
      <c r="B188">
        <v>5452.8</v>
      </c>
      <c r="C188" s="1">
        <f t="shared" si="4"/>
        <v>41159</v>
      </c>
      <c r="D188" s="1">
        <f t="shared" si="5"/>
        <v>41153</v>
      </c>
    </row>
    <row r="189" spans="1:4" x14ac:dyDescent="0.25">
      <c r="A189" s="1">
        <v>41124</v>
      </c>
      <c r="B189">
        <v>5349.6</v>
      </c>
      <c r="C189" s="1">
        <f t="shared" si="4"/>
        <v>41166</v>
      </c>
      <c r="D189" s="1">
        <f t="shared" si="5"/>
        <v>41153</v>
      </c>
    </row>
    <row r="190" spans="1:4" x14ac:dyDescent="0.25">
      <c r="A190" s="1">
        <v>41131</v>
      </c>
      <c r="B190">
        <v>5077.3</v>
      </c>
      <c r="C190" s="1">
        <f t="shared" si="4"/>
        <v>41173</v>
      </c>
      <c r="D190" s="1">
        <f t="shared" si="5"/>
        <v>41153</v>
      </c>
    </row>
    <row r="191" spans="1:4" x14ac:dyDescent="0.25">
      <c r="A191" s="1">
        <v>41138</v>
      </c>
      <c r="B191">
        <v>4609.8999999999996</v>
      </c>
      <c r="C191" s="1">
        <f t="shared" si="4"/>
        <v>41180</v>
      </c>
      <c r="D191" s="1">
        <f t="shared" si="5"/>
        <v>41153</v>
      </c>
    </row>
    <row r="192" spans="1:4" x14ac:dyDescent="0.25">
      <c r="A192" s="1">
        <v>41145</v>
      </c>
      <c r="B192">
        <v>4346.2</v>
      </c>
      <c r="C192" s="1">
        <f t="shared" si="4"/>
        <v>41187</v>
      </c>
      <c r="D192" s="1">
        <f t="shared" si="5"/>
        <v>41183</v>
      </c>
    </row>
    <row r="193" spans="1:4" x14ac:dyDescent="0.25">
      <c r="A193" s="1">
        <v>41152</v>
      </c>
      <c r="B193">
        <v>4216</v>
      </c>
      <c r="C193" s="1">
        <f t="shared" si="4"/>
        <v>41194</v>
      </c>
      <c r="D193" s="1">
        <f t="shared" si="5"/>
        <v>41183</v>
      </c>
    </row>
    <row r="194" spans="1:4" x14ac:dyDescent="0.25">
      <c r="A194" s="1">
        <v>41159</v>
      </c>
      <c r="B194">
        <v>4729.5</v>
      </c>
      <c r="C194" s="1">
        <f t="shared" si="4"/>
        <v>41201</v>
      </c>
      <c r="D194" s="1">
        <f t="shared" si="5"/>
        <v>41183</v>
      </c>
    </row>
    <row r="195" spans="1:4" x14ac:dyDescent="0.25">
      <c r="A195" s="1">
        <v>41166</v>
      </c>
      <c r="B195">
        <v>4765.3</v>
      </c>
      <c r="C195" s="1">
        <f t="shared" ref="C195:C258" si="6">A195+6*7</f>
        <v>41208</v>
      </c>
      <c r="D195" s="1">
        <f t="shared" ref="D195:D258" si="7">C195-DAY(C195)+1</f>
        <v>41183</v>
      </c>
    </row>
    <row r="196" spans="1:4" x14ac:dyDescent="0.25">
      <c r="A196" s="1">
        <v>41173</v>
      </c>
      <c r="B196">
        <v>4921.3999999999996</v>
      </c>
      <c r="C196" s="1">
        <f t="shared" si="6"/>
        <v>41215</v>
      </c>
      <c r="D196" s="1">
        <f t="shared" si="7"/>
        <v>41214</v>
      </c>
    </row>
    <row r="197" spans="1:4" x14ac:dyDescent="0.25">
      <c r="A197" s="1">
        <v>41180</v>
      </c>
      <c r="B197">
        <v>5888</v>
      </c>
      <c r="C197" s="1">
        <f t="shared" si="6"/>
        <v>41222</v>
      </c>
      <c r="D197" s="1">
        <f t="shared" si="7"/>
        <v>41214</v>
      </c>
    </row>
    <row r="198" spans="1:4" x14ac:dyDescent="0.25">
      <c r="A198" s="1">
        <v>41187</v>
      </c>
      <c r="B198">
        <v>5757.3</v>
      </c>
      <c r="C198" s="1">
        <f t="shared" si="6"/>
        <v>41229</v>
      </c>
      <c r="D198" s="1">
        <f t="shared" si="7"/>
        <v>41214</v>
      </c>
    </row>
    <row r="199" spans="1:4" x14ac:dyDescent="0.25">
      <c r="A199" s="1">
        <v>41194</v>
      </c>
      <c r="B199">
        <v>5452.9</v>
      </c>
      <c r="C199" s="1">
        <f t="shared" si="6"/>
        <v>41236</v>
      </c>
      <c r="D199" s="1">
        <f t="shared" si="7"/>
        <v>41214</v>
      </c>
    </row>
    <row r="200" spans="1:4" x14ac:dyDescent="0.25">
      <c r="A200" s="1">
        <v>41201</v>
      </c>
      <c r="B200">
        <v>4752.1000000000004</v>
      </c>
      <c r="C200" s="1">
        <f t="shared" si="6"/>
        <v>41243</v>
      </c>
      <c r="D200" s="1">
        <f t="shared" si="7"/>
        <v>41214</v>
      </c>
    </row>
    <row r="201" spans="1:4" x14ac:dyDescent="0.25">
      <c r="A201" s="1">
        <v>41208</v>
      </c>
      <c r="B201">
        <v>4465.8</v>
      </c>
      <c r="C201" s="1">
        <f t="shared" si="6"/>
        <v>41250</v>
      </c>
      <c r="D201" s="1">
        <f t="shared" si="7"/>
        <v>41244</v>
      </c>
    </row>
    <row r="202" spans="1:4" x14ac:dyDescent="0.25">
      <c r="A202" s="1">
        <v>41215</v>
      </c>
      <c r="B202">
        <v>4244.3</v>
      </c>
      <c r="C202" s="1">
        <f t="shared" si="6"/>
        <v>41257</v>
      </c>
      <c r="D202" s="1">
        <f t="shared" si="7"/>
        <v>41244</v>
      </c>
    </row>
    <row r="203" spans="1:4" x14ac:dyDescent="0.25">
      <c r="A203" s="1">
        <v>41222</v>
      </c>
      <c r="B203">
        <v>4801.3</v>
      </c>
      <c r="C203" s="1">
        <f t="shared" si="6"/>
        <v>41264</v>
      </c>
      <c r="D203" s="1">
        <f t="shared" si="7"/>
        <v>41244</v>
      </c>
    </row>
    <row r="204" spans="1:4" x14ac:dyDescent="0.25">
      <c r="A204" s="1">
        <v>41229</v>
      </c>
      <c r="B204">
        <v>4645.8</v>
      </c>
      <c r="C204" s="1">
        <f t="shared" si="6"/>
        <v>41271</v>
      </c>
      <c r="D204" s="1">
        <f t="shared" si="7"/>
        <v>41244</v>
      </c>
    </row>
    <row r="205" spans="1:4" x14ac:dyDescent="0.25">
      <c r="A205" s="1">
        <v>41236</v>
      </c>
      <c r="B205">
        <v>4575.5</v>
      </c>
      <c r="C205" s="1">
        <f t="shared" si="6"/>
        <v>41278</v>
      </c>
      <c r="D205" s="1">
        <f t="shared" si="7"/>
        <v>41275</v>
      </c>
    </row>
    <row r="206" spans="1:4" x14ac:dyDescent="0.25">
      <c r="A206" s="1">
        <v>41243</v>
      </c>
      <c r="B206">
        <v>4856.7</v>
      </c>
      <c r="C206" s="1">
        <f t="shared" si="6"/>
        <v>41285</v>
      </c>
      <c r="D206" s="1">
        <f t="shared" si="7"/>
        <v>41275</v>
      </c>
    </row>
    <row r="207" spans="1:4" x14ac:dyDescent="0.25">
      <c r="A207" s="1">
        <v>41250</v>
      </c>
      <c r="B207">
        <v>5242.9</v>
      </c>
      <c r="C207" s="1">
        <f t="shared" si="6"/>
        <v>41292</v>
      </c>
      <c r="D207" s="1">
        <f t="shared" si="7"/>
        <v>41275</v>
      </c>
    </row>
    <row r="208" spans="1:4" x14ac:dyDescent="0.25">
      <c r="A208" s="1">
        <v>41257</v>
      </c>
      <c r="B208">
        <v>4519.1000000000004</v>
      </c>
      <c r="C208" s="1">
        <f t="shared" si="6"/>
        <v>41299</v>
      </c>
      <c r="D208" s="1">
        <f t="shared" si="7"/>
        <v>41275</v>
      </c>
    </row>
    <row r="209" spans="1:4" x14ac:dyDescent="0.25">
      <c r="A209" s="1">
        <v>41264</v>
      </c>
      <c r="B209">
        <v>3937.4</v>
      </c>
      <c r="C209" s="1">
        <f t="shared" si="6"/>
        <v>41306</v>
      </c>
      <c r="D209" s="1">
        <f t="shared" si="7"/>
        <v>41306</v>
      </c>
    </row>
    <row r="210" spans="1:4" x14ac:dyDescent="0.25">
      <c r="A210" s="1">
        <v>41271</v>
      </c>
      <c r="B210">
        <v>3528.3</v>
      </c>
      <c r="C210" s="1">
        <f t="shared" si="6"/>
        <v>41313</v>
      </c>
      <c r="D210" s="1">
        <f t="shared" si="7"/>
        <v>41306</v>
      </c>
    </row>
    <row r="211" spans="1:4" x14ac:dyDescent="0.25">
      <c r="A211" s="1">
        <v>41278</v>
      </c>
      <c r="B211">
        <v>3956.6</v>
      </c>
      <c r="C211" s="1">
        <f t="shared" si="6"/>
        <v>41320</v>
      </c>
      <c r="D211" s="1">
        <f t="shared" si="7"/>
        <v>41306</v>
      </c>
    </row>
    <row r="212" spans="1:4" x14ac:dyDescent="0.25">
      <c r="A212" s="1">
        <v>41285</v>
      </c>
      <c r="B212">
        <v>4563.7</v>
      </c>
      <c r="C212" s="1">
        <f t="shared" si="6"/>
        <v>41327</v>
      </c>
      <c r="D212" s="1">
        <f t="shared" si="7"/>
        <v>41306</v>
      </c>
    </row>
    <row r="213" spans="1:4" x14ac:dyDescent="0.25">
      <c r="A213" s="1">
        <v>41292</v>
      </c>
      <c r="B213">
        <v>4916.7</v>
      </c>
      <c r="C213" s="1">
        <f t="shared" si="6"/>
        <v>41334</v>
      </c>
      <c r="D213" s="1">
        <f t="shared" si="7"/>
        <v>41334</v>
      </c>
    </row>
    <row r="214" spans="1:4" x14ac:dyDescent="0.25">
      <c r="A214" s="1">
        <v>41299</v>
      </c>
      <c r="B214">
        <v>4415.2</v>
      </c>
      <c r="C214" s="1">
        <f t="shared" si="6"/>
        <v>41341</v>
      </c>
      <c r="D214" s="1">
        <f t="shared" si="7"/>
        <v>41334</v>
      </c>
    </row>
    <row r="215" spans="1:4" x14ac:dyDescent="0.25">
      <c r="A215" s="1">
        <v>41306</v>
      </c>
      <c r="B215">
        <v>4567.6000000000004</v>
      </c>
      <c r="C215" s="1">
        <f t="shared" si="6"/>
        <v>41348</v>
      </c>
      <c r="D215" s="1">
        <f t="shared" si="7"/>
        <v>41334</v>
      </c>
    </row>
    <row r="216" spans="1:4" x14ac:dyDescent="0.25">
      <c r="A216" s="1">
        <v>41313</v>
      </c>
      <c r="B216">
        <v>4315.8</v>
      </c>
      <c r="C216" s="1">
        <f t="shared" si="6"/>
        <v>41355</v>
      </c>
      <c r="D216" s="1">
        <f t="shared" si="7"/>
        <v>41334</v>
      </c>
    </row>
    <row r="217" spans="1:4" x14ac:dyDescent="0.25">
      <c r="A217" s="1">
        <v>41320</v>
      </c>
      <c r="B217">
        <v>4244.6000000000004</v>
      </c>
      <c r="C217" s="1">
        <f t="shared" si="6"/>
        <v>41362</v>
      </c>
      <c r="D217" s="1">
        <f t="shared" si="7"/>
        <v>41334</v>
      </c>
    </row>
    <row r="218" spans="1:4" x14ac:dyDescent="0.25">
      <c r="A218" s="1">
        <v>41327</v>
      </c>
      <c r="B218">
        <v>4105.8</v>
      </c>
      <c r="C218" s="1">
        <f t="shared" si="6"/>
        <v>41369</v>
      </c>
      <c r="D218" s="1">
        <f t="shared" si="7"/>
        <v>41365</v>
      </c>
    </row>
    <row r="219" spans="1:4" x14ac:dyDescent="0.25">
      <c r="A219" s="1">
        <v>41334</v>
      </c>
      <c r="B219">
        <v>4712.3999999999996</v>
      </c>
      <c r="C219" s="1">
        <f t="shared" si="6"/>
        <v>41376</v>
      </c>
      <c r="D219" s="1">
        <f t="shared" si="7"/>
        <v>41365</v>
      </c>
    </row>
    <row r="220" spans="1:4" x14ac:dyDescent="0.25">
      <c r="A220" s="1">
        <v>41341</v>
      </c>
      <c r="B220">
        <v>4466.8</v>
      </c>
      <c r="C220" s="1">
        <f t="shared" si="6"/>
        <v>41383</v>
      </c>
      <c r="D220" s="1">
        <f t="shared" si="7"/>
        <v>41365</v>
      </c>
    </row>
    <row r="221" spans="1:4" x14ac:dyDescent="0.25">
      <c r="A221" s="1">
        <v>41348</v>
      </c>
      <c r="B221">
        <v>4108.8</v>
      </c>
      <c r="C221" s="1">
        <f t="shared" si="6"/>
        <v>41390</v>
      </c>
      <c r="D221" s="1">
        <f t="shared" si="7"/>
        <v>41365</v>
      </c>
    </row>
    <row r="222" spans="1:4" x14ac:dyDescent="0.25">
      <c r="A222" s="1">
        <v>41355</v>
      </c>
      <c r="B222">
        <v>4436.6000000000004</v>
      </c>
      <c r="C222" s="1">
        <f t="shared" si="6"/>
        <v>41397</v>
      </c>
      <c r="D222" s="1">
        <f t="shared" si="7"/>
        <v>41395</v>
      </c>
    </row>
    <row r="223" spans="1:4" x14ac:dyDescent="0.25">
      <c r="A223" s="1">
        <v>41362</v>
      </c>
      <c r="B223">
        <v>4189</v>
      </c>
      <c r="C223" s="1">
        <f t="shared" si="6"/>
        <v>41404</v>
      </c>
      <c r="D223" s="1">
        <f t="shared" si="7"/>
        <v>41395</v>
      </c>
    </row>
    <row r="224" spans="1:4" x14ac:dyDescent="0.25">
      <c r="A224" s="1">
        <v>41369</v>
      </c>
      <c r="B224">
        <v>4453.8999999999996</v>
      </c>
      <c r="C224" s="1">
        <f t="shared" si="6"/>
        <v>41411</v>
      </c>
      <c r="D224" s="1">
        <f t="shared" si="7"/>
        <v>41395</v>
      </c>
    </row>
    <row r="225" spans="1:4" x14ac:dyDescent="0.25">
      <c r="A225" s="1">
        <v>41376</v>
      </c>
      <c r="B225">
        <v>4685.1000000000004</v>
      </c>
      <c r="C225" s="1">
        <f t="shared" si="6"/>
        <v>41418</v>
      </c>
      <c r="D225" s="1">
        <f t="shared" si="7"/>
        <v>41395</v>
      </c>
    </row>
    <row r="226" spans="1:4" x14ac:dyDescent="0.25">
      <c r="A226" s="1">
        <v>41383</v>
      </c>
      <c r="B226">
        <v>4698</v>
      </c>
      <c r="C226" s="1">
        <f t="shared" si="6"/>
        <v>41425</v>
      </c>
      <c r="D226" s="1">
        <f t="shared" si="7"/>
        <v>41395</v>
      </c>
    </row>
    <row r="227" spans="1:4" x14ac:dyDescent="0.25">
      <c r="A227" s="1">
        <v>41390</v>
      </c>
      <c r="B227">
        <v>4829.3999999999996</v>
      </c>
      <c r="C227" s="1">
        <f t="shared" si="6"/>
        <v>41432</v>
      </c>
      <c r="D227" s="1">
        <f t="shared" si="7"/>
        <v>41426</v>
      </c>
    </row>
    <row r="228" spans="1:4" x14ac:dyDescent="0.25">
      <c r="A228" s="1">
        <v>41397</v>
      </c>
      <c r="B228">
        <v>5229.7</v>
      </c>
      <c r="C228" s="1">
        <f t="shared" si="6"/>
        <v>41439</v>
      </c>
      <c r="D228" s="1">
        <f t="shared" si="7"/>
        <v>41426</v>
      </c>
    </row>
    <row r="229" spans="1:4" x14ac:dyDescent="0.25">
      <c r="A229" s="1">
        <v>41404</v>
      </c>
      <c r="B229">
        <v>4805.8</v>
      </c>
      <c r="C229" s="1">
        <f t="shared" si="6"/>
        <v>41446</v>
      </c>
      <c r="D229" s="1">
        <f t="shared" si="7"/>
        <v>41426</v>
      </c>
    </row>
    <row r="230" spans="1:4" x14ac:dyDescent="0.25">
      <c r="A230" s="1">
        <v>41411</v>
      </c>
      <c r="B230">
        <v>4245.5</v>
      </c>
      <c r="C230" s="1">
        <f t="shared" si="6"/>
        <v>41453</v>
      </c>
      <c r="D230" s="1">
        <f t="shared" si="7"/>
        <v>41426</v>
      </c>
    </row>
    <row r="231" spans="1:4" x14ac:dyDescent="0.25">
      <c r="A231" s="1">
        <v>41418</v>
      </c>
      <c r="B231">
        <v>3723.3</v>
      </c>
      <c r="C231" s="1">
        <f t="shared" si="6"/>
        <v>41460</v>
      </c>
      <c r="D231" s="1">
        <f t="shared" si="7"/>
        <v>41456</v>
      </c>
    </row>
    <row r="232" spans="1:4" x14ac:dyDescent="0.25">
      <c r="A232" s="1">
        <v>41425</v>
      </c>
      <c r="B232">
        <v>3163.5</v>
      </c>
      <c r="C232" s="1">
        <f t="shared" si="6"/>
        <v>41467</v>
      </c>
      <c r="D232" s="1">
        <f t="shared" si="7"/>
        <v>41456</v>
      </c>
    </row>
    <row r="233" spans="1:4" x14ac:dyDescent="0.25">
      <c r="A233" s="1">
        <v>41432</v>
      </c>
      <c r="B233">
        <v>3322.3</v>
      </c>
      <c r="C233" s="1">
        <f t="shared" si="6"/>
        <v>41474</v>
      </c>
      <c r="D233" s="1">
        <f t="shared" si="7"/>
        <v>41456</v>
      </c>
    </row>
    <row r="234" spans="1:4" x14ac:dyDescent="0.25">
      <c r="A234" s="1">
        <v>41439</v>
      </c>
      <c r="B234">
        <v>3208.5</v>
      </c>
      <c r="C234" s="1">
        <f t="shared" si="6"/>
        <v>41481</v>
      </c>
      <c r="D234" s="1">
        <f t="shared" si="7"/>
        <v>41456</v>
      </c>
    </row>
    <row r="235" spans="1:4" x14ac:dyDescent="0.25">
      <c r="A235" s="1">
        <v>41446</v>
      </c>
      <c r="B235">
        <v>3041.4</v>
      </c>
      <c r="C235" s="1">
        <f t="shared" si="6"/>
        <v>41488</v>
      </c>
      <c r="D235" s="1">
        <f t="shared" si="7"/>
        <v>41487</v>
      </c>
    </row>
    <row r="236" spans="1:4" x14ac:dyDescent="0.25">
      <c r="A236" s="1">
        <v>41453</v>
      </c>
      <c r="B236">
        <v>2568.3000000000002</v>
      </c>
      <c r="C236" s="1">
        <f t="shared" si="6"/>
        <v>41495</v>
      </c>
      <c r="D236" s="1">
        <f t="shared" si="7"/>
        <v>41487</v>
      </c>
    </row>
    <row r="237" spans="1:4" x14ac:dyDescent="0.25">
      <c r="A237" s="1">
        <v>41460</v>
      </c>
      <c r="B237">
        <v>2454.6</v>
      </c>
      <c r="C237" s="1">
        <f t="shared" si="6"/>
        <v>41502</v>
      </c>
      <c r="D237" s="1">
        <f t="shared" si="7"/>
        <v>41487</v>
      </c>
    </row>
    <row r="238" spans="1:4" x14ac:dyDescent="0.25">
      <c r="A238" s="1">
        <v>41467</v>
      </c>
      <c r="B238">
        <v>2351.6999999999998</v>
      </c>
      <c r="C238" s="1">
        <f t="shared" si="6"/>
        <v>41509</v>
      </c>
      <c r="D238" s="1">
        <f t="shared" si="7"/>
        <v>41487</v>
      </c>
    </row>
    <row r="239" spans="1:4" x14ac:dyDescent="0.25">
      <c r="A239" s="1">
        <v>41474</v>
      </c>
      <c r="B239">
        <v>2336.1999999999998</v>
      </c>
      <c r="C239" s="1">
        <f t="shared" si="6"/>
        <v>41516</v>
      </c>
      <c r="D239" s="1">
        <f t="shared" si="7"/>
        <v>41487</v>
      </c>
    </row>
    <row r="240" spans="1:4" x14ac:dyDescent="0.25">
      <c r="A240" s="1">
        <v>41481</v>
      </c>
      <c r="B240">
        <v>2247.6</v>
      </c>
      <c r="C240" s="1">
        <f t="shared" si="6"/>
        <v>41523</v>
      </c>
      <c r="D240" s="1">
        <f t="shared" si="7"/>
        <v>41518</v>
      </c>
    </row>
    <row r="241" spans="1:4" x14ac:dyDescent="0.25">
      <c r="A241" s="1">
        <v>41488</v>
      </c>
      <c r="B241">
        <v>2244.6999999999998</v>
      </c>
      <c r="C241" s="1">
        <f t="shared" si="6"/>
        <v>41530</v>
      </c>
      <c r="D241" s="1">
        <f t="shared" si="7"/>
        <v>41518</v>
      </c>
    </row>
    <row r="242" spans="1:4" x14ac:dyDescent="0.25">
      <c r="A242" s="1">
        <v>41495</v>
      </c>
      <c r="B242">
        <v>2145.3000000000002</v>
      </c>
      <c r="C242" s="1">
        <f t="shared" si="6"/>
        <v>41537</v>
      </c>
      <c r="D242" s="1">
        <f t="shared" si="7"/>
        <v>41518</v>
      </c>
    </row>
    <row r="243" spans="1:4" x14ac:dyDescent="0.25">
      <c r="A243" s="1">
        <v>41502</v>
      </c>
      <c r="B243">
        <v>1979.6</v>
      </c>
      <c r="C243" s="1">
        <f t="shared" si="6"/>
        <v>41544</v>
      </c>
      <c r="D243" s="1">
        <f t="shared" si="7"/>
        <v>41518</v>
      </c>
    </row>
    <row r="244" spans="1:4" x14ac:dyDescent="0.25">
      <c r="A244" s="1">
        <v>41509</v>
      </c>
      <c r="B244">
        <v>1871.8</v>
      </c>
      <c r="C244" s="1">
        <f t="shared" si="6"/>
        <v>41551</v>
      </c>
      <c r="D244" s="1">
        <f t="shared" si="7"/>
        <v>41548</v>
      </c>
    </row>
    <row r="245" spans="1:4" x14ac:dyDescent="0.25">
      <c r="A245" s="1">
        <v>41516</v>
      </c>
      <c r="B245">
        <v>1916.3</v>
      </c>
      <c r="C245" s="1">
        <f t="shared" si="6"/>
        <v>41558</v>
      </c>
      <c r="D245" s="1">
        <f t="shared" si="7"/>
        <v>41548</v>
      </c>
    </row>
    <row r="246" spans="1:4" x14ac:dyDescent="0.25">
      <c r="A246" s="1">
        <v>41523</v>
      </c>
      <c r="B246">
        <v>1528.5</v>
      </c>
      <c r="C246" s="1">
        <f t="shared" si="6"/>
        <v>41565</v>
      </c>
      <c r="D246" s="1">
        <f t="shared" si="7"/>
        <v>41548</v>
      </c>
    </row>
    <row r="247" spans="1:4" x14ac:dyDescent="0.25">
      <c r="A247" s="1">
        <v>41530</v>
      </c>
      <c r="B247">
        <v>1801.7</v>
      </c>
      <c r="C247" s="1">
        <f t="shared" si="6"/>
        <v>41572</v>
      </c>
      <c r="D247" s="1">
        <f t="shared" si="7"/>
        <v>41548</v>
      </c>
    </row>
    <row r="248" spans="1:4" x14ac:dyDescent="0.25">
      <c r="A248" s="1">
        <v>41537</v>
      </c>
      <c r="B248">
        <v>1889.2</v>
      </c>
      <c r="C248" s="1">
        <f t="shared" si="6"/>
        <v>41579</v>
      </c>
      <c r="D248" s="1">
        <f t="shared" si="7"/>
        <v>41579</v>
      </c>
    </row>
    <row r="249" spans="1:4" x14ac:dyDescent="0.25">
      <c r="A249" s="1">
        <v>41544</v>
      </c>
      <c r="B249">
        <v>1947.4</v>
      </c>
      <c r="C249" s="1">
        <f t="shared" si="6"/>
        <v>41586</v>
      </c>
      <c r="D249" s="1">
        <f t="shared" si="7"/>
        <v>41579</v>
      </c>
    </row>
    <row r="250" spans="1:4" x14ac:dyDescent="0.25">
      <c r="A250" s="1">
        <v>41551</v>
      </c>
      <c r="B250">
        <v>1995.4</v>
      </c>
      <c r="C250" s="1">
        <f t="shared" si="6"/>
        <v>41593</v>
      </c>
      <c r="D250" s="1">
        <f t="shared" si="7"/>
        <v>41579</v>
      </c>
    </row>
    <row r="251" spans="1:4" x14ac:dyDescent="0.25">
      <c r="A251" s="1">
        <v>41558</v>
      </c>
      <c r="B251">
        <v>2060.8000000000002</v>
      </c>
      <c r="C251" s="1">
        <f t="shared" si="6"/>
        <v>41600</v>
      </c>
      <c r="D251" s="1">
        <f t="shared" si="7"/>
        <v>41579</v>
      </c>
    </row>
    <row r="252" spans="1:4" x14ac:dyDescent="0.25">
      <c r="A252" s="1">
        <v>41565</v>
      </c>
      <c r="B252">
        <v>2034.4</v>
      </c>
      <c r="C252" s="1">
        <f t="shared" si="6"/>
        <v>41607</v>
      </c>
      <c r="D252" s="1">
        <f t="shared" si="7"/>
        <v>41579</v>
      </c>
    </row>
    <row r="253" spans="1:4" x14ac:dyDescent="0.25">
      <c r="A253" s="1">
        <v>41572</v>
      </c>
      <c r="B253">
        <v>2211.3000000000002</v>
      </c>
      <c r="C253" s="1">
        <f t="shared" si="6"/>
        <v>41614</v>
      </c>
      <c r="D253" s="1">
        <f t="shared" si="7"/>
        <v>41609</v>
      </c>
    </row>
    <row r="254" spans="1:4" x14ac:dyDescent="0.25">
      <c r="A254" s="1">
        <v>41579</v>
      </c>
      <c r="B254">
        <v>2125.1</v>
      </c>
      <c r="C254" s="1">
        <f t="shared" si="6"/>
        <v>41621</v>
      </c>
      <c r="D254" s="1">
        <f t="shared" si="7"/>
        <v>41609</v>
      </c>
    </row>
    <row r="255" spans="1:4" x14ac:dyDescent="0.25">
      <c r="A255" s="1">
        <v>41586</v>
      </c>
      <c r="B255">
        <v>2076</v>
      </c>
      <c r="C255" s="1">
        <f t="shared" si="6"/>
        <v>41628</v>
      </c>
      <c r="D255" s="1">
        <f t="shared" si="7"/>
        <v>41609</v>
      </c>
    </row>
    <row r="256" spans="1:4" x14ac:dyDescent="0.25">
      <c r="A256" s="1">
        <v>41593</v>
      </c>
      <c r="B256">
        <v>1941.3</v>
      </c>
      <c r="C256" s="1">
        <f t="shared" si="6"/>
        <v>41635</v>
      </c>
      <c r="D256" s="1">
        <f t="shared" si="7"/>
        <v>41609</v>
      </c>
    </row>
    <row r="257" spans="1:4" x14ac:dyDescent="0.25">
      <c r="A257" s="1">
        <v>41600</v>
      </c>
      <c r="B257">
        <v>1942.6</v>
      </c>
      <c r="C257" s="1">
        <f t="shared" si="6"/>
        <v>41642</v>
      </c>
      <c r="D257" s="1">
        <f t="shared" si="7"/>
        <v>41640</v>
      </c>
    </row>
    <row r="258" spans="1:4" x14ac:dyDescent="0.25">
      <c r="A258" s="1">
        <v>41607</v>
      </c>
      <c r="B258">
        <v>1602.1</v>
      </c>
      <c r="C258" s="1">
        <f t="shared" si="6"/>
        <v>41649</v>
      </c>
      <c r="D258" s="1">
        <f t="shared" si="7"/>
        <v>41640</v>
      </c>
    </row>
    <row r="259" spans="1:4" x14ac:dyDescent="0.25">
      <c r="A259" s="1">
        <v>41614</v>
      </c>
      <c r="B259">
        <v>1635.4</v>
      </c>
      <c r="C259" s="1">
        <f t="shared" ref="C259:C322" si="8">A259+6*7</f>
        <v>41656</v>
      </c>
      <c r="D259" s="1">
        <f t="shared" ref="D259:D322" si="9">C259-DAY(C259)+1</f>
        <v>41640</v>
      </c>
    </row>
    <row r="260" spans="1:4" x14ac:dyDescent="0.25">
      <c r="A260" s="1">
        <v>41621</v>
      </c>
      <c r="B260">
        <v>1565.4</v>
      </c>
      <c r="C260" s="1">
        <f t="shared" si="8"/>
        <v>41663</v>
      </c>
      <c r="D260" s="1">
        <f t="shared" si="9"/>
        <v>41640</v>
      </c>
    </row>
    <row r="261" spans="1:4" x14ac:dyDescent="0.25">
      <c r="A261" s="1">
        <v>41628</v>
      </c>
      <c r="B261">
        <v>1444.3</v>
      </c>
      <c r="C261" s="1">
        <f t="shared" si="8"/>
        <v>41670</v>
      </c>
      <c r="D261" s="1">
        <f t="shared" si="9"/>
        <v>41640</v>
      </c>
    </row>
    <row r="262" spans="1:4" x14ac:dyDescent="0.25">
      <c r="A262" s="1">
        <v>41635</v>
      </c>
      <c r="B262">
        <v>1315.1</v>
      </c>
      <c r="C262" s="1">
        <f t="shared" si="8"/>
        <v>41677</v>
      </c>
      <c r="D262" s="1">
        <f t="shared" si="9"/>
        <v>41671</v>
      </c>
    </row>
    <row r="263" spans="1:4" x14ac:dyDescent="0.25">
      <c r="A263" s="1">
        <v>41642</v>
      </c>
      <c r="B263">
        <v>1375.6</v>
      </c>
      <c r="C263" s="1">
        <f t="shared" si="8"/>
        <v>41684</v>
      </c>
      <c r="D263" s="1">
        <f t="shared" si="9"/>
        <v>41671</v>
      </c>
    </row>
    <row r="264" spans="1:4" x14ac:dyDescent="0.25">
      <c r="A264" s="1">
        <v>41649</v>
      </c>
      <c r="B264">
        <v>1530.3</v>
      </c>
      <c r="C264" s="1">
        <f t="shared" si="8"/>
        <v>41691</v>
      </c>
      <c r="D264" s="1">
        <f t="shared" si="9"/>
        <v>41671</v>
      </c>
    </row>
    <row r="265" spans="1:4" x14ac:dyDescent="0.25">
      <c r="A265" s="1">
        <v>41656</v>
      </c>
      <c r="B265">
        <v>1682.1</v>
      </c>
      <c r="C265" s="1">
        <f t="shared" si="8"/>
        <v>41698</v>
      </c>
      <c r="D265" s="1">
        <f t="shared" si="9"/>
        <v>41671</v>
      </c>
    </row>
    <row r="266" spans="1:4" x14ac:dyDescent="0.25">
      <c r="A266" s="1">
        <v>41663</v>
      </c>
      <c r="B266">
        <v>1645.2</v>
      </c>
      <c r="C266" s="1">
        <f t="shared" si="8"/>
        <v>41705</v>
      </c>
      <c r="D266" s="1">
        <f t="shared" si="9"/>
        <v>41699</v>
      </c>
    </row>
    <row r="267" spans="1:4" x14ac:dyDescent="0.25">
      <c r="A267" s="1">
        <v>41670</v>
      </c>
      <c r="B267">
        <v>1693.2</v>
      </c>
      <c r="C267" s="1">
        <f t="shared" si="8"/>
        <v>41712</v>
      </c>
      <c r="D267" s="1">
        <f t="shared" si="9"/>
        <v>41699</v>
      </c>
    </row>
    <row r="268" spans="1:4" x14ac:dyDescent="0.25">
      <c r="A268" s="1">
        <v>41677</v>
      </c>
      <c r="B268">
        <v>1690</v>
      </c>
      <c r="C268" s="1">
        <f t="shared" si="8"/>
        <v>41719</v>
      </c>
      <c r="D268" s="1">
        <f t="shared" si="9"/>
        <v>41699</v>
      </c>
    </row>
    <row r="269" spans="1:4" x14ac:dyDescent="0.25">
      <c r="A269" s="1">
        <v>41684</v>
      </c>
      <c r="B269">
        <v>1644.5</v>
      </c>
      <c r="C269" s="1">
        <f t="shared" si="8"/>
        <v>41726</v>
      </c>
      <c r="D269" s="1">
        <f t="shared" si="9"/>
        <v>41699</v>
      </c>
    </row>
    <row r="270" spans="1:4" x14ac:dyDescent="0.25">
      <c r="A270" s="1">
        <v>41691</v>
      </c>
      <c r="B270">
        <v>1457.2</v>
      </c>
      <c r="C270" s="1">
        <f t="shared" si="8"/>
        <v>41733</v>
      </c>
      <c r="D270" s="1">
        <f t="shared" si="9"/>
        <v>41730</v>
      </c>
    </row>
    <row r="271" spans="1:4" x14ac:dyDescent="0.25">
      <c r="A271" s="1">
        <v>41698</v>
      </c>
      <c r="B271">
        <v>1597.6</v>
      </c>
      <c r="C271" s="1">
        <f t="shared" si="8"/>
        <v>41740</v>
      </c>
      <c r="D271" s="1">
        <f t="shared" si="9"/>
        <v>41730</v>
      </c>
    </row>
    <row r="272" spans="1:4" x14ac:dyDescent="0.25">
      <c r="A272" s="1">
        <v>41705</v>
      </c>
      <c r="B272">
        <v>1547.9</v>
      </c>
      <c r="C272" s="1">
        <f t="shared" si="8"/>
        <v>41747</v>
      </c>
      <c r="D272" s="1">
        <f t="shared" si="9"/>
        <v>41730</v>
      </c>
    </row>
    <row r="273" spans="1:4" x14ac:dyDescent="0.25">
      <c r="A273" s="1">
        <v>41712</v>
      </c>
      <c r="B273">
        <v>1552.2</v>
      </c>
      <c r="C273" s="1">
        <f t="shared" si="8"/>
        <v>41754</v>
      </c>
      <c r="D273" s="1">
        <f t="shared" si="9"/>
        <v>41730</v>
      </c>
    </row>
    <row r="274" spans="1:4" x14ac:dyDescent="0.25">
      <c r="A274" s="1">
        <v>41719</v>
      </c>
      <c r="B274">
        <v>1432.2</v>
      </c>
      <c r="C274" s="1">
        <f t="shared" si="8"/>
        <v>41761</v>
      </c>
      <c r="D274" s="1">
        <f t="shared" si="9"/>
        <v>41760</v>
      </c>
    </row>
    <row r="275" spans="1:4" x14ac:dyDescent="0.25">
      <c r="A275" s="1">
        <v>41726</v>
      </c>
      <c r="B275">
        <v>1391.3</v>
      </c>
      <c r="C275" s="1">
        <f t="shared" si="8"/>
        <v>41768</v>
      </c>
      <c r="D275" s="1">
        <f t="shared" si="9"/>
        <v>41760</v>
      </c>
    </row>
    <row r="276" spans="1:4" x14ac:dyDescent="0.25">
      <c r="A276" s="1">
        <v>41733</v>
      </c>
      <c r="B276">
        <v>1322.9</v>
      </c>
      <c r="C276" s="1">
        <f t="shared" si="8"/>
        <v>41775</v>
      </c>
      <c r="D276" s="1">
        <f t="shared" si="9"/>
        <v>41760</v>
      </c>
    </row>
    <row r="277" spans="1:4" x14ac:dyDescent="0.25">
      <c r="A277" s="1">
        <v>41740</v>
      </c>
      <c r="B277">
        <v>1414.4</v>
      </c>
      <c r="C277" s="1">
        <f t="shared" si="8"/>
        <v>41782</v>
      </c>
      <c r="D277" s="1">
        <f t="shared" si="9"/>
        <v>41760</v>
      </c>
    </row>
    <row r="278" spans="1:4" x14ac:dyDescent="0.25">
      <c r="A278" s="1">
        <v>41747</v>
      </c>
      <c r="B278">
        <v>1361.4</v>
      </c>
      <c r="C278" s="1">
        <f t="shared" si="8"/>
        <v>41789</v>
      </c>
      <c r="D278" s="1">
        <f t="shared" si="9"/>
        <v>41760</v>
      </c>
    </row>
    <row r="279" spans="1:4" x14ac:dyDescent="0.25">
      <c r="A279" s="1">
        <v>41754</v>
      </c>
      <c r="B279">
        <v>1267</v>
      </c>
      <c r="C279" s="1">
        <f t="shared" si="8"/>
        <v>41796</v>
      </c>
      <c r="D279" s="1">
        <f t="shared" si="9"/>
        <v>41791</v>
      </c>
    </row>
    <row r="280" spans="1:4" x14ac:dyDescent="0.25">
      <c r="A280" s="1">
        <v>41761</v>
      </c>
      <c r="B280">
        <v>1297.5999999999999</v>
      </c>
      <c r="C280" s="1">
        <f t="shared" si="8"/>
        <v>41803</v>
      </c>
      <c r="D280" s="1">
        <f t="shared" si="9"/>
        <v>41791</v>
      </c>
    </row>
    <row r="281" spans="1:4" x14ac:dyDescent="0.25">
      <c r="A281" s="1">
        <v>41768</v>
      </c>
      <c r="B281">
        <v>1386.4</v>
      </c>
      <c r="C281" s="1">
        <f t="shared" si="8"/>
        <v>41810</v>
      </c>
      <c r="D281" s="1">
        <f t="shared" si="9"/>
        <v>41791</v>
      </c>
    </row>
    <row r="282" spans="1:4" x14ac:dyDescent="0.25">
      <c r="A282" s="1">
        <v>41775</v>
      </c>
      <c r="B282">
        <v>1438.9</v>
      </c>
      <c r="C282" s="1">
        <f t="shared" si="8"/>
        <v>41817</v>
      </c>
      <c r="D282" s="1">
        <f t="shared" si="9"/>
        <v>41791</v>
      </c>
    </row>
    <row r="283" spans="1:4" x14ac:dyDescent="0.25">
      <c r="A283" s="1">
        <v>41782</v>
      </c>
      <c r="B283">
        <v>1418.6</v>
      </c>
      <c r="C283" s="1">
        <f t="shared" si="8"/>
        <v>41824</v>
      </c>
      <c r="D283" s="1">
        <f t="shared" si="9"/>
        <v>41821</v>
      </c>
    </row>
    <row r="284" spans="1:4" x14ac:dyDescent="0.25">
      <c r="A284" s="1">
        <v>41789</v>
      </c>
      <c r="B284">
        <v>1377.4</v>
      </c>
      <c r="C284" s="1">
        <f t="shared" si="8"/>
        <v>41831</v>
      </c>
      <c r="D284" s="1">
        <f t="shared" si="9"/>
        <v>41821</v>
      </c>
    </row>
    <row r="285" spans="1:4" x14ac:dyDescent="0.25">
      <c r="A285" s="1">
        <v>41796</v>
      </c>
      <c r="B285">
        <v>1528.9</v>
      </c>
      <c r="C285" s="1">
        <f t="shared" si="8"/>
        <v>41838</v>
      </c>
      <c r="D285" s="1">
        <f t="shared" si="9"/>
        <v>41821</v>
      </c>
    </row>
    <row r="286" spans="1:4" x14ac:dyDescent="0.25">
      <c r="A286" s="1">
        <v>41803</v>
      </c>
      <c r="B286">
        <v>1334</v>
      </c>
      <c r="C286" s="1">
        <f t="shared" si="8"/>
        <v>41845</v>
      </c>
      <c r="D286" s="1">
        <f t="shared" si="9"/>
        <v>41821</v>
      </c>
    </row>
    <row r="287" spans="1:4" x14ac:dyDescent="0.25">
      <c r="A287" s="1">
        <v>41810</v>
      </c>
      <c r="B287">
        <v>1322.6</v>
      </c>
      <c r="C287" s="1">
        <f t="shared" si="8"/>
        <v>41852</v>
      </c>
      <c r="D287" s="1">
        <f t="shared" si="9"/>
        <v>41852</v>
      </c>
    </row>
    <row r="288" spans="1:4" x14ac:dyDescent="0.25">
      <c r="A288" s="1">
        <v>41817</v>
      </c>
      <c r="B288">
        <v>1323.9</v>
      </c>
      <c r="C288" s="1">
        <f t="shared" si="8"/>
        <v>41859</v>
      </c>
      <c r="D288" s="1">
        <f t="shared" si="9"/>
        <v>41852</v>
      </c>
    </row>
    <row r="289" spans="1:4" x14ac:dyDescent="0.25">
      <c r="A289" s="1">
        <v>41824</v>
      </c>
      <c r="B289">
        <v>1328.9</v>
      </c>
      <c r="C289" s="1">
        <f t="shared" si="8"/>
        <v>41866</v>
      </c>
      <c r="D289" s="1">
        <f t="shared" si="9"/>
        <v>41852</v>
      </c>
    </row>
    <row r="290" spans="1:4" x14ac:dyDescent="0.25">
      <c r="A290" s="1">
        <v>41831</v>
      </c>
      <c r="B290">
        <v>1327.4</v>
      </c>
      <c r="C290" s="1">
        <f t="shared" si="8"/>
        <v>41873</v>
      </c>
      <c r="D290" s="1">
        <f t="shared" si="9"/>
        <v>41852</v>
      </c>
    </row>
    <row r="291" spans="1:4" x14ac:dyDescent="0.25">
      <c r="A291" s="1">
        <v>41838</v>
      </c>
      <c r="B291">
        <v>1382.3</v>
      </c>
      <c r="C291" s="1">
        <f t="shared" si="8"/>
        <v>41880</v>
      </c>
      <c r="D291" s="1">
        <f t="shared" si="9"/>
        <v>41852</v>
      </c>
    </row>
    <row r="292" spans="1:4" x14ac:dyDescent="0.25">
      <c r="A292" s="1">
        <v>41845</v>
      </c>
      <c r="B292">
        <v>1326.4</v>
      </c>
      <c r="C292" s="1">
        <f t="shared" si="8"/>
        <v>41887</v>
      </c>
      <c r="D292" s="1">
        <f t="shared" si="9"/>
        <v>41883</v>
      </c>
    </row>
    <row r="293" spans="1:4" x14ac:dyDescent="0.25">
      <c r="A293" s="1">
        <v>41852</v>
      </c>
      <c r="B293">
        <v>1377</v>
      </c>
      <c r="C293" s="1">
        <f t="shared" si="8"/>
        <v>41894</v>
      </c>
      <c r="D293" s="1">
        <f t="shared" si="9"/>
        <v>41883</v>
      </c>
    </row>
    <row r="294" spans="1:4" x14ac:dyDescent="0.25">
      <c r="A294" s="1">
        <v>41859</v>
      </c>
      <c r="B294">
        <v>1322.2</v>
      </c>
      <c r="C294" s="1">
        <f t="shared" si="8"/>
        <v>41901</v>
      </c>
      <c r="D294" s="1">
        <f t="shared" si="9"/>
        <v>41883</v>
      </c>
    </row>
    <row r="295" spans="1:4" x14ac:dyDescent="0.25">
      <c r="A295" s="1">
        <v>41866</v>
      </c>
      <c r="B295">
        <v>1358</v>
      </c>
      <c r="C295" s="1">
        <f t="shared" si="8"/>
        <v>41908</v>
      </c>
      <c r="D295" s="1">
        <f t="shared" si="9"/>
        <v>41883</v>
      </c>
    </row>
    <row r="296" spans="1:4" x14ac:dyDescent="0.25">
      <c r="A296" s="1">
        <v>41873</v>
      </c>
      <c r="B296">
        <v>1396.2</v>
      </c>
      <c r="C296" s="1">
        <f t="shared" si="8"/>
        <v>41915</v>
      </c>
      <c r="D296" s="1">
        <f t="shared" si="9"/>
        <v>41913</v>
      </c>
    </row>
    <row r="297" spans="1:4" x14ac:dyDescent="0.25">
      <c r="A297" s="1">
        <v>41880</v>
      </c>
      <c r="B297">
        <v>1415.8</v>
      </c>
      <c r="C297" s="1">
        <f t="shared" si="8"/>
        <v>41922</v>
      </c>
      <c r="D297" s="1">
        <f t="shared" si="9"/>
        <v>41913</v>
      </c>
    </row>
    <row r="298" spans="1:4" x14ac:dyDescent="0.25">
      <c r="A298" s="1">
        <v>41887</v>
      </c>
      <c r="B298">
        <v>1265</v>
      </c>
      <c r="C298" s="1">
        <f t="shared" si="8"/>
        <v>41929</v>
      </c>
      <c r="D298" s="1">
        <f t="shared" si="9"/>
        <v>41913</v>
      </c>
    </row>
    <row r="299" spans="1:4" x14ac:dyDescent="0.25">
      <c r="A299" s="1">
        <v>41894</v>
      </c>
      <c r="B299">
        <v>1395.5</v>
      </c>
      <c r="C299" s="1">
        <f t="shared" si="8"/>
        <v>41936</v>
      </c>
      <c r="D299" s="1">
        <f t="shared" si="9"/>
        <v>41913</v>
      </c>
    </row>
    <row r="300" spans="1:4" x14ac:dyDescent="0.25">
      <c r="A300" s="1">
        <v>41901</v>
      </c>
      <c r="B300">
        <v>1297.5</v>
      </c>
      <c r="C300" s="1">
        <f t="shared" si="8"/>
        <v>41943</v>
      </c>
      <c r="D300" s="1">
        <f t="shared" si="9"/>
        <v>41913</v>
      </c>
    </row>
    <row r="301" spans="1:4" x14ac:dyDescent="0.25">
      <c r="A301" s="1">
        <v>41908</v>
      </c>
      <c r="B301">
        <v>1293.7</v>
      </c>
      <c r="C301" s="1">
        <f t="shared" si="8"/>
        <v>41950</v>
      </c>
      <c r="D301" s="1">
        <f t="shared" si="9"/>
        <v>41944</v>
      </c>
    </row>
    <row r="302" spans="1:4" x14ac:dyDescent="0.25">
      <c r="A302" s="1">
        <v>41915</v>
      </c>
      <c r="B302">
        <v>1358</v>
      </c>
      <c r="C302" s="1">
        <f t="shared" si="8"/>
        <v>41957</v>
      </c>
      <c r="D302" s="1">
        <f t="shared" si="9"/>
        <v>41944</v>
      </c>
    </row>
    <row r="303" spans="1:4" x14ac:dyDescent="0.25">
      <c r="A303" s="1">
        <v>41922</v>
      </c>
      <c r="B303">
        <v>1502.4</v>
      </c>
      <c r="C303" s="1">
        <f t="shared" si="8"/>
        <v>41964</v>
      </c>
      <c r="D303" s="1">
        <f t="shared" si="9"/>
        <v>41944</v>
      </c>
    </row>
    <row r="304" spans="1:4" x14ac:dyDescent="0.25">
      <c r="A304" s="1">
        <v>41929</v>
      </c>
      <c r="B304">
        <v>1852.3</v>
      </c>
      <c r="C304" s="1">
        <f t="shared" si="8"/>
        <v>41971</v>
      </c>
      <c r="D304" s="1">
        <f t="shared" si="9"/>
        <v>41944</v>
      </c>
    </row>
    <row r="305" spans="1:4" x14ac:dyDescent="0.25">
      <c r="A305" s="1">
        <v>41936</v>
      </c>
      <c r="B305">
        <v>1715.3</v>
      </c>
      <c r="C305" s="1">
        <f t="shared" si="8"/>
        <v>41978</v>
      </c>
      <c r="D305" s="1">
        <f t="shared" si="9"/>
        <v>41974</v>
      </c>
    </row>
    <row r="306" spans="1:4" x14ac:dyDescent="0.25">
      <c r="A306" s="1">
        <v>41943</v>
      </c>
      <c r="B306">
        <v>1621.2</v>
      </c>
      <c r="C306" s="1">
        <f t="shared" si="8"/>
        <v>41985</v>
      </c>
      <c r="D306" s="1">
        <f t="shared" si="9"/>
        <v>41974</v>
      </c>
    </row>
    <row r="307" spans="1:4" x14ac:dyDescent="0.25">
      <c r="A307" s="1">
        <v>41950</v>
      </c>
      <c r="B307">
        <v>1590.3</v>
      </c>
      <c r="C307" s="1">
        <f t="shared" si="8"/>
        <v>41992</v>
      </c>
      <c r="D307" s="1">
        <f t="shared" si="9"/>
        <v>41974</v>
      </c>
    </row>
    <row r="308" spans="1:4" x14ac:dyDescent="0.25">
      <c r="A308" s="1">
        <v>41957</v>
      </c>
      <c r="B308">
        <v>1604.6</v>
      </c>
      <c r="C308" s="1">
        <f t="shared" si="8"/>
        <v>41999</v>
      </c>
      <c r="D308" s="1">
        <f t="shared" si="9"/>
        <v>41974</v>
      </c>
    </row>
    <row r="309" spans="1:4" x14ac:dyDescent="0.25">
      <c r="A309" s="1">
        <v>41964</v>
      </c>
      <c r="B309">
        <v>1549</v>
      </c>
      <c r="C309" s="1">
        <f t="shared" si="8"/>
        <v>42006</v>
      </c>
      <c r="D309" s="1">
        <f t="shared" si="9"/>
        <v>42005</v>
      </c>
    </row>
    <row r="310" spans="1:4" x14ac:dyDescent="0.25">
      <c r="A310" s="1">
        <v>41971</v>
      </c>
      <c r="B310">
        <v>1341.1</v>
      </c>
      <c r="C310" s="1">
        <f t="shared" si="8"/>
        <v>42013</v>
      </c>
      <c r="D310" s="1">
        <f t="shared" si="9"/>
        <v>42005</v>
      </c>
    </row>
    <row r="311" spans="1:4" x14ac:dyDescent="0.25">
      <c r="A311" s="1">
        <v>41978</v>
      </c>
      <c r="B311">
        <v>1518.7</v>
      </c>
      <c r="C311" s="1">
        <f t="shared" si="8"/>
        <v>42020</v>
      </c>
      <c r="D311" s="1">
        <f t="shared" si="9"/>
        <v>42005</v>
      </c>
    </row>
    <row r="312" spans="1:4" x14ac:dyDescent="0.25">
      <c r="A312" s="1">
        <v>41985</v>
      </c>
      <c r="B312">
        <v>1518.9</v>
      </c>
      <c r="C312" s="1">
        <f t="shared" si="8"/>
        <v>42027</v>
      </c>
      <c r="D312" s="1">
        <f t="shared" si="9"/>
        <v>42005</v>
      </c>
    </row>
    <row r="313" spans="1:4" x14ac:dyDescent="0.25">
      <c r="A313" s="1">
        <v>41992</v>
      </c>
      <c r="B313">
        <v>1535.2</v>
      </c>
      <c r="C313" s="1">
        <f t="shared" si="8"/>
        <v>42034</v>
      </c>
      <c r="D313" s="1">
        <f t="shared" si="9"/>
        <v>42005</v>
      </c>
    </row>
    <row r="314" spans="1:4" x14ac:dyDescent="0.25">
      <c r="A314" s="1">
        <v>41999</v>
      </c>
      <c r="B314">
        <v>1162.9000000000001</v>
      </c>
      <c r="C314" s="1">
        <f t="shared" si="8"/>
        <v>42041</v>
      </c>
      <c r="D314" s="1">
        <f t="shared" si="9"/>
        <v>42036</v>
      </c>
    </row>
    <row r="315" spans="1:4" x14ac:dyDescent="0.25">
      <c r="A315" s="1">
        <v>42006</v>
      </c>
      <c r="B315">
        <v>1349.3</v>
      </c>
      <c r="C315" s="1">
        <f t="shared" si="8"/>
        <v>42048</v>
      </c>
      <c r="D315" s="1">
        <f t="shared" si="9"/>
        <v>42036</v>
      </c>
    </row>
    <row r="316" spans="1:4" x14ac:dyDescent="0.25">
      <c r="A316" s="1">
        <v>42013</v>
      </c>
      <c r="B316">
        <v>2211.4</v>
      </c>
      <c r="C316" s="1">
        <f t="shared" si="8"/>
        <v>42055</v>
      </c>
      <c r="D316" s="1">
        <f t="shared" si="9"/>
        <v>42036</v>
      </c>
    </row>
    <row r="317" spans="1:4" x14ac:dyDescent="0.25">
      <c r="A317" s="1">
        <v>42020</v>
      </c>
      <c r="B317">
        <v>2746.1</v>
      </c>
      <c r="C317" s="1">
        <f t="shared" si="8"/>
        <v>42062</v>
      </c>
      <c r="D317" s="1">
        <f t="shared" si="9"/>
        <v>42036</v>
      </c>
    </row>
    <row r="318" spans="1:4" x14ac:dyDescent="0.25">
      <c r="A318" s="1">
        <v>42027</v>
      </c>
      <c r="B318">
        <v>2605.4</v>
      </c>
      <c r="C318" s="1">
        <f t="shared" si="8"/>
        <v>42069</v>
      </c>
      <c r="D318" s="1">
        <f t="shared" si="9"/>
        <v>42064</v>
      </c>
    </row>
    <row r="319" spans="1:4" x14ac:dyDescent="0.25">
      <c r="A319" s="1">
        <v>42034</v>
      </c>
      <c r="B319">
        <v>2669.9</v>
      </c>
      <c r="C319" s="1">
        <f t="shared" si="8"/>
        <v>42076</v>
      </c>
      <c r="D319" s="1">
        <f t="shared" si="9"/>
        <v>42064</v>
      </c>
    </row>
    <row r="320" spans="1:4" x14ac:dyDescent="0.25">
      <c r="A320" s="1">
        <v>42041</v>
      </c>
      <c r="B320">
        <v>2395.8000000000002</v>
      </c>
      <c r="C320" s="1">
        <f t="shared" si="8"/>
        <v>42083</v>
      </c>
      <c r="D320" s="1">
        <f t="shared" si="9"/>
        <v>42064</v>
      </c>
    </row>
    <row r="321" spans="1:4" x14ac:dyDescent="0.25">
      <c r="A321" s="1">
        <v>42048</v>
      </c>
      <c r="B321">
        <v>2012.8</v>
      </c>
      <c r="C321" s="1">
        <f t="shared" si="8"/>
        <v>42090</v>
      </c>
      <c r="D321" s="1">
        <f t="shared" si="9"/>
        <v>42064</v>
      </c>
    </row>
    <row r="322" spans="1:4" x14ac:dyDescent="0.25">
      <c r="A322" s="1">
        <v>42055</v>
      </c>
      <c r="B322">
        <v>1861.8</v>
      </c>
      <c r="C322" s="1">
        <f t="shared" si="8"/>
        <v>42097</v>
      </c>
      <c r="D322" s="1">
        <f t="shared" si="9"/>
        <v>42095</v>
      </c>
    </row>
    <row r="323" spans="1:4" x14ac:dyDescent="0.25">
      <c r="A323" s="1">
        <v>42062</v>
      </c>
      <c r="B323">
        <v>1870.3</v>
      </c>
      <c r="C323" s="1">
        <f t="shared" ref="C323:C386" si="10">A323+6*7</f>
        <v>42104</v>
      </c>
      <c r="D323" s="1">
        <f t="shared" ref="D323:D386" si="11">C323-DAY(C323)+1</f>
        <v>42095</v>
      </c>
    </row>
    <row r="324" spans="1:4" x14ac:dyDescent="0.25">
      <c r="A324" s="1">
        <v>42069</v>
      </c>
      <c r="B324">
        <v>1815.3</v>
      </c>
      <c r="C324" s="1">
        <f t="shared" si="10"/>
        <v>42111</v>
      </c>
      <c r="D324" s="1">
        <f t="shared" si="11"/>
        <v>42095</v>
      </c>
    </row>
    <row r="325" spans="1:4" x14ac:dyDescent="0.25">
      <c r="A325" s="1">
        <v>42076</v>
      </c>
      <c r="B325">
        <v>1720.3</v>
      </c>
      <c r="C325" s="1">
        <f t="shared" si="10"/>
        <v>42118</v>
      </c>
      <c r="D325" s="1">
        <f t="shared" si="11"/>
        <v>42095</v>
      </c>
    </row>
    <row r="326" spans="1:4" x14ac:dyDescent="0.25">
      <c r="A326" s="1">
        <v>42083</v>
      </c>
      <c r="B326">
        <v>1932.5</v>
      </c>
      <c r="C326" s="1">
        <f t="shared" si="10"/>
        <v>42125</v>
      </c>
      <c r="D326" s="1">
        <f t="shared" si="11"/>
        <v>42125</v>
      </c>
    </row>
    <row r="327" spans="1:4" x14ac:dyDescent="0.25">
      <c r="A327" s="1">
        <v>42090</v>
      </c>
      <c r="B327">
        <v>2008.7</v>
      </c>
      <c r="C327" s="1">
        <f t="shared" si="10"/>
        <v>42132</v>
      </c>
      <c r="D327" s="1">
        <f t="shared" si="11"/>
        <v>42125</v>
      </c>
    </row>
    <row r="328" spans="1:4" x14ac:dyDescent="0.25">
      <c r="A328" s="1">
        <v>42097</v>
      </c>
      <c r="B328">
        <v>1942.2</v>
      </c>
      <c r="C328" s="1">
        <f t="shared" si="10"/>
        <v>42139</v>
      </c>
      <c r="D328" s="1">
        <f t="shared" si="11"/>
        <v>42125</v>
      </c>
    </row>
    <row r="329" spans="1:4" x14ac:dyDescent="0.25">
      <c r="A329" s="1">
        <v>42104</v>
      </c>
      <c r="B329">
        <v>1908.1</v>
      </c>
      <c r="C329" s="1">
        <f t="shared" si="10"/>
        <v>42146</v>
      </c>
      <c r="D329" s="1">
        <f t="shared" si="11"/>
        <v>42125</v>
      </c>
    </row>
    <row r="330" spans="1:4" x14ac:dyDescent="0.25">
      <c r="A330" s="1">
        <v>42111</v>
      </c>
      <c r="B330">
        <v>1920.1</v>
      </c>
      <c r="C330" s="1">
        <f t="shared" si="10"/>
        <v>42153</v>
      </c>
      <c r="D330" s="1">
        <f t="shared" si="11"/>
        <v>42125</v>
      </c>
    </row>
    <row r="331" spans="1:4" x14ac:dyDescent="0.25">
      <c r="A331" s="1">
        <v>42118</v>
      </c>
      <c r="B331">
        <v>1850</v>
      </c>
      <c r="C331" s="1">
        <f t="shared" si="10"/>
        <v>42160</v>
      </c>
      <c r="D331" s="1">
        <f t="shared" si="11"/>
        <v>42156</v>
      </c>
    </row>
    <row r="332" spans="1:4" x14ac:dyDescent="0.25">
      <c r="A332" s="1">
        <v>42125</v>
      </c>
      <c r="B332">
        <v>1697.2</v>
      </c>
      <c r="C332" s="1">
        <f t="shared" si="10"/>
        <v>42167</v>
      </c>
      <c r="D332" s="1">
        <f t="shared" si="11"/>
        <v>42156</v>
      </c>
    </row>
    <row r="333" spans="1:4" x14ac:dyDescent="0.25">
      <c r="A333" s="1">
        <v>42132</v>
      </c>
      <c r="B333">
        <v>1596.5</v>
      </c>
      <c r="C333" s="1">
        <f t="shared" si="10"/>
        <v>42174</v>
      </c>
      <c r="D333" s="1">
        <f t="shared" si="11"/>
        <v>42156</v>
      </c>
    </row>
    <row r="334" spans="1:4" x14ac:dyDescent="0.25">
      <c r="A334" s="1">
        <v>42139</v>
      </c>
      <c r="B334">
        <v>1600.6</v>
      </c>
      <c r="C334" s="1">
        <f t="shared" si="10"/>
        <v>42181</v>
      </c>
      <c r="D334" s="1">
        <f t="shared" si="11"/>
        <v>42156</v>
      </c>
    </row>
    <row r="335" spans="1:4" x14ac:dyDescent="0.25">
      <c r="A335" s="1">
        <v>42146</v>
      </c>
      <c r="B335">
        <v>1537.8</v>
      </c>
      <c r="C335" s="1">
        <f t="shared" si="10"/>
        <v>42188</v>
      </c>
      <c r="D335" s="1">
        <f t="shared" si="11"/>
        <v>42186</v>
      </c>
    </row>
    <row r="336" spans="1:4" x14ac:dyDescent="0.25">
      <c r="A336" s="1">
        <v>42153</v>
      </c>
      <c r="B336">
        <v>1360.3</v>
      </c>
      <c r="C336" s="1">
        <f t="shared" si="10"/>
        <v>42195</v>
      </c>
      <c r="D336" s="1">
        <f t="shared" si="11"/>
        <v>42186</v>
      </c>
    </row>
    <row r="337" spans="1:4" x14ac:dyDescent="0.25">
      <c r="A337" s="1">
        <v>42160</v>
      </c>
      <c r="B337">
        <v>1455.2</v>
      </c>
      <c r="C337" s="1">
        <f t="shared" si="10"/>
        <v>42202</v>
      </c>
      <c r="D337" s="1">
        <f t="shared" si="11"/>
        <v>42186</v>
      </c>
    </row>
    <row r="338" spans="1:4" x14ac:dyDescent="0.25">
      <c r="A338" s="1">
        <v>42167</v>
      </c>
      <c r="B338">
        <v>1354.9</v>
      </c>
      <c r="C338" s="1">
        <f t="shared" si="10"/>
        <v>42209</v>
      </c>
      <c r="D338" s="1">
        <f t="shared" si="11"/>
        <v>42186</v>
      </c>
    </row>
    <row r="339" spans="1:4" x14ac:dyDescent="0.25">
      <c r="A339" s="1">
        <v>42174</v>
      </c>
      <c r="B339">
        <v>1379.9</v>
      </c>
      <c r="C339" s="1">
        <f t="shared" si="10"/>
        <v>42216</v>
      </c>
      <c r="D339" s="1">
        <f t="shared" si="11"/>
        <v>42186</v>
      </c>
    </row>
    <row r="340" spans="1:4" x14ac:dyDescent="0.25">
      <c r="A340" s="1">
        <v>42181</v>
      </c>
      <c r="B340">
        <v>1307.7</v>
      </c>
      <c r="C340" s="1">
        <f t="shared" si="10"/>
        <v>42223</v>
      </c>
      <c r="D340" s="1">
        <f t="shared" si="11"/>
        <v>42217</v>
      </c>
    </row>
    <row r="341" spans="1:4" x14ac:dyDescent="0.25">
      <c r="A341" s="1">
        <v>42188</v>
      </c>
      <c r="B341">
        <v>1342.9</v>
      </c>
      <c r="C341" s="1">
        <f t="shared" si="10"/>
        <v>42230</v>
      </c>
      <c r="D341" s="1">
        <f t="shared" si="11"/>
        <v>42217</v>
      </c>
    </row>
    <row r="342" spans="1:4" x14ac:dyDescent="0.25">
      <c r="A342" s="1">
        <v>42195</v>
      </c>
      <c r="B342">
        <v>1392.4</v>
      </c>
      <c r="C342" s="1">
        <f t="shared" si="10"/>
        <v>42237</v>
      </c>
      <c r="D342" s="1">
        <f t="shared" si="11"/>
        <v>42217</v>
      </c>
    </row>
    <row r="343" spans="1:4" x14ac:dyDescent="0.25">
      <c r="A343" s="1">
        <v>42202</v>
      </c>
      <c r="B343">
        <v>1384.8</v>
      </c>
      <c r="C343" s="1">
        <f t="shared" si="10"/>
        <v>42244</v>
      </c>
      <c r="D343" s="1">
        <f t="shared" si="11"/>
        <v>42217</v>
      </c>
    </row>
    <row r="344" spans="1:4" x14ac:dyDescent="0.25">
      <c r="A344" s="1">
        <v>42209</v>
      </c>
      <c r="B344">
        <v>1406.3</v>
      </c>
      <c r="C344" s="1">
        <f t="shared" si="10"/>
        <v>42251</v>
      </c>
      <c r="D344" s="1">
        <f t="shared" si="11"/>
        <v>42248</v>
      </c>
    </row>
    <row r="345" spans="1:4" x14ac:dyDescent="0.25">
      <c r="A345" s="1">
        <v>42216</v>
      </c>
      <c r="B345">
        <v>1488.8</v>
      </c>
      <c r="C345" s="1">
        <f t="shared" si="10"/>
        <v>42258</v>
      </c>
      <c r="D345" s="1">
        <f t="shared" si="11"/>
        <v>42248</v>
      </c>
    </row>
    <row r="346" spans="1:4" x14ac:dyDescent="0.25">
      <c r="A346" s="1">
        <v>42223</v>
      </c>
      <c r="B346">
        <v>1534.8</v>
      </c>
      <c r="C346" s="1">
        <f t="shared" si="10"/>
        <v>42265</v>
      </c>
      <c r="D346" s="1">
        <f t="shared" si="11"/>
        <v>42248</v>
      </c>
    </row>
    <row r="347" spans="1:4" x14ac:dyDescent="0.25">
      <c r="A347" s="1">
        <v>42230</v>
      </c>
      <c r="B347">
        <v>1646</v>
      </c>
      <c r="C347" s="1">
        <f t="shared" si="10"/>
        <v>42272</v>
      </c>
      <c r="D347" s="1">
        <f t="shared" si="11"/>
        <v>42248</v>
      </c>
    </row>
    <row r="348" spans="1:4" x14ac:dyDescent="0.25">
      <c r="A348" s="1">
        <v>42237</v>
      </c>
      <c r="B348">
        <v>1629.3</v>
      </c>
      <c r="C348" s="1">
        <f t="shared" si="10"/>
        <v>42279</v>
      </c>
      <c r="D348" s="1">
        <f t="shared" si="11"/>
        <v>42278</v>
      </c>
    </row>
    <row r="349" spans="1:4" x14ac:dyDescent="0.25">
      <c r="A349" s="1">
        <v>42244</v>
      </c>
      <c r="B349">
        <v>1902.4</v>
      </c>
      <c r="C349" s="1">
        <f t="shared" si="10"/>
        <v>42286</v>
      </c>
      <c r="D349" s="1">
        <f t="shared" si="11"/>
        <v>42278</v>
      </c>
    </row>
    <row r="350" spans="1:4" x14ac:dyDescent="0.25">
      <c r="A350" s="1">
        <v>42251</v>
      </c>
      <c r="B350">
        <v>1713.4</v>
      </c>
      <c r="C350" s="1">
        <f t="shared" si="10"/>
        <v>42293</v>
      </c>
      <c r="D350" s="1">
        <f t="shared" si="11"/>
        <v>42278</v>
      </c>
    </row>
    <row r="351" spans="1:4" x14ac:dyDescent="0.25">
      <c r="A351" s="1">
        <v>42258</v>
      </c>
      <c r="B351">
        <v>1557.7</v>
      </c>
      <c r="C351" s="1">
        <f t="shared" si="10"/>
        <v>42300</v>
      </c>
      <c r="D351" s="1">
        <f t="shared" si="11"/>
        <v>42278</v>
      </c>
    </row>
    <row r="352" spans="1:4" x14ac:dyDescent="0.25">
      <c r="A352" s="1">
        <v>42265</v>
      </c>
      <c r="B352">
        <v>1833</v>
      </c>
      <c r="C352" s="1">
        <f t="shared" si="10"/>
        <v>42307</v>
      </c>
      <c r="D352" s="1">
        <f t="shared" si="11"/>
        <v>42278</v>
      </c>
    </row>
    <row r="353" spans="1:4" x14ac:dyDescent="0.25">
      <c r="A353" s="1">
        <v>42272</v>
      </c>
      <c r="B353">
        <v>1695.9</v>
      </c>
      <c r="C353" s="1">
        <f t="shared" si="10"/>
        <v>42314</v>
      </c>
      <c r="D353" s="1">
        <f t="shared" si="11"/>
        <v>42309</v>
      </c>
    </row>
    <row r="354" spans="1:4" x14ac:dyDescent="0.25">
      <c r="A354" s="1">
        <v>42279</v>
      </c>
      <c r="B354">
        <v>2106.1999999999998</v>
      </c>
      <c r="C354" s="1">
        <f t="shared" si="10"/>
        <v>42321</v>
      </c>
      <c r="D354" s="1">
        <f t="shared" si="11"/>
        <v>42309</v>
      </c>
    </row>
    <row r="355" spans="1:4" x14ac:dyDescent="0.25">
      <c r="A355" s="1">
        <v>42286</v>
      </c>
      <c r="B355">
        <v>1631.4</v>
      </c>
      <c r="C355" s="1">
        <f t="shared" si="10"/>
        <v>42328</v>
      </c>
      <c r="D355" s="1">
        <f t="shared" si="11"/>
        <v>42309</v>
      </c>
    </row>
    <row r="356" spans="1:4" x14ac:dyDescent="0.25">
      <c r="A356" s="1">
        <v>42293</v>
      </c>
      <c r="B356">
        <v>1774.7</v>
      </c>
      <c r="C356" s="1">
        <f t="shared" si="10"/>
        <v>42335</v>
      </c>
      <c r="D356" s="1">
        <f t="shared" si="11"/>
        <v>42309</v>
      </c>
    </row>
    <row r="357" spans="1:4" x14ac:dyDescent="0.25">
      <c r="A357" s="1">
        <v>42300</v>
      </c>
      <c r="B357">
        <v>1707.9</v>
      </c>
      <c r="C357" s="1">
        <f t="shared" si="10"/>
        <v>42342</v>
      </c>
      <c r="D357" s="1">
        <f t="shared" si="11"/>
        <v>42339</v>
      </c>
    </row>
    <row r="358" spans="1:4" x14ac:dyDescent="0.25">
      <c r="A358" s="1">
        <v>42307</v>
      </c>
      <c r="B358">
        <v>1692.9</v>
      </c>
      <c r="C358" s="1">
        <f t="shared" si="10"/>
        <v>42349</v>
      </c>
      <c r="D358" s="1">
        <f t="shared" si="11"/>
        <v>42339</v>
      </c>
    </row>
    <row r="359" spans="1:4" x14ac:dyDescent="0.25">
      <c r="A359" s="1">
        <v>42314</v>
      </c>
      <c r="B359">
        <v>1656.2</v>
      </c>
      <c r="C359" s="1">
        <f t="shared" si="10"/>
        <v>42356</v>
      </c>
      <c r="D359" s="1">
        <f t="shared" si="11"/>
        <v>42339</v>
      </c>
    </row>
    <row r="360" spans="1:4" x14ac:dyDescent="0.25">
      <c r="A360" s="1">
        <v>42321</v>
      </c>
      <c r="B360">
        <v>1694.8</v>
      </c>
      <c r="C360" s="1">
        <f t="shared" si="10"/>
        <v>42363</v>
      </c>
      <c r="D360" s="1">
        <f t="shared" si="11"/>
        <v>42339</v>
      </c>
    </row>
    <row r="361" spans="1:4" x14ac:dyDescent="0.25">
      <c r="A361" s="1">
        <v>42328</v>
      </c>
      <c r="B361">
        <v>1612.9</v>
      </c>
      <c r="C361" s="1">
        <f t="shared" si="10"/>
        <v>42370</v>
      </c>
      <c r="D361" s="1">
        <f t="shared" si="11"/>
        <v>42370</v>
      </c>
    </row>
    <row r="362" spans="1:4" x14ac:dyDescent="0.25">
      <c r="A362" s="1">
        <v>42335</v>
      </c>
      <c r="B362">
        <v>1516.9</v>
      </c>
      <c r="C362" s="1">
        <f t="shared" si="10"/>
        <v>42377</v>
      </c>
      <c r="D362" s="1">
        <f t="shared" si="11"/>
        <v>42370</v>
      </c>
    </row>
    <row r="363" spans="1:4" x14ac:dyDescent="0.25">
      <c r="A363" s="1">
        <v>42342</v>
      </c>
      <c r="B363">
        <v>1570.1</v>
      </c>
      <c r="C363" s="1">
        <f t="shared" si="10"/>
        <v>42384</v>
      </c>
      <c r="D363" s="1">
        <f t="shared" si="11"/>
        <v>42370</v>
      </c>
    </row>
    <row r="364" spans="1:4" x14ac:dyDescent="0.25">
      <c r="A364" s="1">
        <v>42349</v>
      </c>
      <c r="B364">
        <v>1592.7</v>
      </c>
      <c r="C364" s="1">
        <f t="shared" si="10"/>
        <v>42391</v>
      </c>
      <c r="D364" s="1">
        <f t="shared" si="11"/>
        <v>42370</v>
      </c>
    </row>
    <row r="365" spans="1:4" x14ac:dyDescent="0.25">
      <c r="A365" s="1">
        <v>42356</v>
      </c>
      <c r="B365">
        <v>1764</v>
      </c>
      <c r="C365" s="1">
        <f t="shared" si="10"/>
        <v>42398</v>
      </c>
      <c r="D365" s="1">
        <f t="shared" si="11"/>
        <v>42370</v>
      </c>
    </row>
    <row r="366" spans="1:4" x14ac:dyDescent="0.25">
      <c r="A366" s="1">
        <v>42363</v>
      </c>
      <c r="B366">
        <v>1272.9000000000001</v>
      </c>
      <c r="C366" s="1">
        <f t="shared" si="10"/>
        <v>42405</v>
      </c>
      <c r="D366" s="1">
        <f t="shared" si="11"/>
        <v>42401</v>
      </c>
    </row>
    <row r="367" spans="1:4" x14ac:dyDescent="0.25">
      <c r="A367" s="1">
        <v>42370</v>
      </c>
      <c r="B367">
        <v>1114.8</v>
      </c>
      <c r="C367" s="1">
        <f t="shared" si="10"/>
        <v>42412</v>
      </c>
      <c r="D367" s="1">
        <f t="shared" si="11"/>
        <v>42401</v>
      </c>
    </row>
    <row r="368" spans="1:4" x14ac:dyDescent="0.25">
      <c r="A368" s="1">
        <v>42377</v>
      </c>
      <c r="B368">
        <v>1380.4</v>
      </c>
      <c r="C368" s="1">
        <f t="shared" si="10"/>
        <v>42419</v>
      </c>
      <c r="D368" s="1">
        <f t="shared" si="11"/>
        <v>42401</v>
      </c>
    </row>
    <row r="369" spans="1:4" x14ac:dyDescent="0.25">
      <c r="A369" s="1">
        <v>42384</v>
      </c>
      <c r="B369">
        <v>1638.1</v>
      </c>
      <c r="C369" s="1">
        <f t="shared" si="10"/>
        <v>42426</v>
      </c>
      <c r="D369" s="1">
        <f t="shared" si="11"/>
        <v>42401</v>
      </c>
    </row>
    <row r="370" spans="1:4" x14ac:dyDescent="0.25">
      <c r="A370" s="1">
        <v>42391</v>
      </c>
      <c r="B370">
        <v>1822.5</v>
      </c>
      <c r="C370" s="1">
        <f t="shared" si="10"/>
        <v>42433</v>
      </c>
      <c r="D370" s="1">
        <f t="shared" si="11"/>
        <v>42430</v>
      </c>
    </row>
    <row r="371" spans="1:4" x14ac:dyDescent="0.25">
      <c r="A371" s="1">
        <v>42398</v>
      </c>
      <c r="B371">
        <v>1827.6</v>
      </c>
      <c r="C371" s="1">
        <f t="shared" si="10"/>
        <v>42440</v>
      </c>
      <c r="D371" s="1">
        <f t="shared" si="11"/>
        <v>42430</v>
      </c>
    </row>
    <row r="372" spans="1:4" x14ac:dyDescent="0.25">
      <c r="A372" s="1">
        <v>42405</v>
      </c>
      <c r="B372">
        <v>2117.1999999999998</v>
      </c>
      <c r="C372" s="1">
        <f t="shared" si="10"/>
        <v>42447</v>
      </c>
      <c r="D372" s="1">
        <f t="shared" si="11"/>
        <v>42430</v>
      </c>
    </row>
    <row r="373" spans="1:4" x14ac:dyDescent="0.25">
      <c r="A373" s="1">
        <v>42412</v>
      </c>
      <c r="B373">
        <v>2456.6999999999998</v>
      </c>
      <c r="C373" s="1">
        <f t="shared" si="10"/>
        <v>42454</v>
      </c>
      <c r="D373" s="1">
        <f t="shared" si="11"/>
        <v>42430</v>
      </c>
    </row>
    <row r="374" spans="1:4" x14ac:dyDescent="0.25">
      <c r="A374" s="1">
        <v>42419</v>
      </c>
      <c r="B374">
        <v>2267.4</v>
      </c>
      <c r="C374" s="1">
        <f t="shared" si="10"/>
        <v>42461</v>
      </c>
      <c r="D374" s="1">
        <f t="shared" si="11"/>
        <v>42461</v>
      </c>
    </row>
    <row r="375" spans="1:4" x14ac:dyDescent="0.25">
      <c r="A375" s="1">
        <v>42426</v>
      </c>
      <c r="B375">
        <v>2104.5</v>
      </c>
      <c r="C375" s="1">
        <f t="shared" si="10"/>
        <v>42468</v>
      </c>
      <c r="D375" s="1">
        <f t="shared" si="11"/>
        <v>42461</v>
      </c>
    </row>
    <row r="376" spans="1:4" x14ac:dyDescent="0.25">
      <c r="A376" s="1">
        <v>42433</v>
      </c>
      <c r="B376">
        <v>2055.9</v>
      </c>
      <c r="C376" s="1">
        <f t="shared" si="10"/>
        <v>42475</v>
      </c>
      <c r="D376" s="1">
        <f t="shared" si="11"/>
        <v>42461</v>
      </c>
    </row>
    <row r="377" spans="1:4" x14ac:dyDescent="0.25">
      <c r="A377" s="1">
        <v>42440</v>
      </c>
      <c r="B377">
        <v>1940.3</v>
      </c>
      <c r="C377" s="1">
        <f t="shared" si="10"/>
        <v>42482</v>
      </c>
      <c r="D377" s="1">
        <f t="shared" si="11"/>
        <v>42461</v>
      </c>
    </row>
    <row r="378" spans="1:4" x14ac:dyDescent="0.25">
      <c r="A378" s="1">
        <v>42447</v>
      </c>
      <c r="B378">
        <v>1845.4</v>
      </c>
      <c r="C378" s="1">
        <f t="shared" si="10"/>
        <v>42489</v>
      </c>
      <c r="D378" s="1">
        <f t="shared" si="11"/>
        <v>42461</v>
      </c>
    </row>
    <row r="379" spans="1:4" x14ac:dyDescent="0.25">
      <c r="A379" s="1">
        <v>42454</v>
      </c>
      <c r="B379">
        <v>1784.7</v>
      </c>
      <c r="C379" s="1">
        <f t="shared" si="10"/>
        <v>42496</v>
      </c>
      <c r="D379" s="1">
        <f t="shared" si="11"/>
        <v>42491</v>
      </c>
    </row>
    <row r="380" spans="1:4" x14ac:dyDescent="0.25">
      <c r="A380" s="1">
        <v>42461</v>
      </c>
      <c r="B380">
        <v>1906</v>
      </c>
      <c r="C380" s="1">
        <f t="shared" si="10"/>
        <v>42503</v>
      </c>
      <c r="D380" s="1">
        <f t="shared" si="11"/>
        <v>42491</v>
      </c>
    </row>
    <row r="381" spans="1:4" x14ac:dyDescent="0.25">
      <c r="A381" s="1">
        <v>42468</v>
      </c>
      <c r="B381">
        <v>2122</v>
      </c>
      <c r="C381" s="1">
        <f t="shared" si="10"/>
        <v>42510</v>
      </c>
      <c r="D381" s="1">
        <f t="shared" si="11"/>
        <v>42491</v>
      </c>
    </row>
    <row r="382" spans="1:4" x14ac:dyDescent="0.25">
      <c r="A382" s="1">
        <v>42475</v>
      </c>
      <c r="B382">
        <v>2177.4</v>
      </c>
      <c r="C382" s="1">
        <f t="shared" si="10"/>
        <v>42517</v>
      </c>
      <c r="D382" s="1">
        <f t="shared" si="11"/>
        <v>42491</v>
      </c>
    </row>
    <row r="383" spans="1:4" x14ac:dyDescent="0.25">
      <c r="A383" s="1">
        <v>42482</v>
      </c>
      <c r="B383">
        <v>2067.6999999999998</v>
      </c>
      <c r="C383" s="1">
        <f t="shared" si="10"/>
        <v>42524</v>
      </c>
      <c r="D383" s="1">
        <f t="shared" si="11"/>
        <v>42522</v>
      </c>
    </row>
    <row r="384" spans="1:4" x14ac:dyDescent="0.25">
      <c r="A384" s="1">
        <v>42489</v>
      </c>
      <c r="B384">
        <v>1953.1</v>
      </c>
      <c r="C384" s="1">
        <f t="shared" si="10"/>
        <v>42531</v>
      </c>
      <c r="D384" s="1">
        <f t="shared" si="11"/>
        <v>42522</v>
      </c>
    </row>
    <row r="385" spans="1:4" x14ac:dyDescent="0.25">
      <c r="A385" s="1">
        <v>42496</v>
      </c>
      <c r="B385">
        <v>1963.1</v>
      </c>
      <c r="C385" s="1">
        <f t="shared" si="10"/>
        <v>42538</v>
      </c>
      <c r="D385" s="1">
        <f t="shared" si="11"/>
        <v>42522</v>
      </c>
    </row>
    <row r="386" spans="1:4" x14ac:dyDescent="0.25">
      <c r="A386" s="1">
        <v>42503</v>
      </c>
      <c r="B386">
        <v>1998.4</v>
      </c>
      <c r="C386" s="1">
        <f t="shared" si="10"/>
        <v>42545</v>
      </c>
      <c r="D386" s="1">
        <f t="shared" si="11"/>
        <v>42522</v>
      </c>
    </row>
    <row r="387" spans="1:4" x14ac:dyDescent="0.25">
      <c r="A387" s="1">
        <v>42510</v>
      </c>
      <c r="B387">
        <v>2005.6</v>
      </c>
      <c r="C387" s="1">
        <f t="shared" ref="C387:C450" si="12">A387+6*7</f>
        <v>42552</v>
      </c>
      <c r="D387" s="1">
        <f t="shared" ref="D387:D450" si="13">C387-DAY(C387)+1</f>
        <v>42552</v>
      </c>
    </row>
    <row r="388" spans="1:4" x14ac:dyDescent="0.25">
      <c r="A388" s="1">
        <v>42517</v>
      </c>
      <c r="B388">
        <v>1928.2</v>
      </c>
      <c r="C388" s="1">
        <f t="shared" si="12"/>
        <v>42559</v>
      </c>
      <c r="D388" s="1">
        <f t="shared" si="13"/>
        <v>42552</v>
      </c>
    </row>
    <row r="389" spans="1:4" x14ac:dyDescent="0.25">
      <c r="A389" s="1">
        <v>42524</v>
      </c>
      <c r="B389">
        <v>2070.8000000000002</v>
      </c>
      <c r="C389" s="1">
        <f t="shared" si="12"/>
        <v>42566</v>
      </c>
      <c r="D389" s="1">
        <f t="shared" si="13"/>
        <v>42552</v>
      </c>
    </row>
    <row r="390" spans="1:4" x14ac:dyDescent="0.25">
      <c r="A390" s="1">
        <v>42531</v>
      </c>
      <c r="B390">
        <v>2055.4</v>
      </c>
      <c r="C390" s="1">
        <f t="shared" si="12"/>
        <v>42573</v>
      </c>
      <c r="D390" s="1">
        <f t="shared" si="13"/>
        <v>42552</v>
      </c>
    </row>
    <row r="391" spans="1:4" x14ac:dyDescent="0.25">
      <c r="A391" s="1">
        <v>42538</v>
      </c>
      <c r="B391">
        <v>2189.4</v>
      </c>
      <c r="C391" s="1">
        <f t="shared" si="12"/>
        <v>42580</v>
      </c>
      <c r="D391" s="1">
        <f t="shared" si="13"/>
        <v>42552</v>
      </c>
    </row>
    <row r="392" spans="1:4" x14ac:dyDescent="0.25">
      <c r="A392" s="1">
        <v>42545</v>
      </c>
      <c r="B392">
        <v>2136.4</v>
      </c>
      <c r="C392" s="1">
        <f t="shared" si="12"/>
        <v>42587</v>
      </c>
      <c r="D392" s="1">
        <f t="shared" si="13"/>
        <v>42583</v>
      </c>
    </row>
    <row r="393" spans="1:4" x14ac:dyDescent="0.25">
      <c r="A393" s="1">
        <v>42552</v>
      </c>
      <c r="B393">
        <v>2579.9</v>
      </c>
      <c r="C393" s="1">
        <f t="shared" si="12"/>
        <v>42594</v>
      </c>
      <c r="D393" s="1">
        <f t="shared" si="13"/>
        <v>42583</v>
      </c>
    </row>
    <row r="394" spans="1:4" x14ac:dyDescent="0.25">
      <c r="A394" s="1">
        <v>42559</v>
      </c>
      <c r="B394">
        <v>2869.8</v>
      </c>
      <c r="C394" s="1">
        <f t="shared" si="12"/>
        <v>42601</v>
      </c>
      <c r="D394" s="1">
        <f t="shared" si="13"/>
        <v>42583</v>
      </c>
    </row>
    <row r="395" spans="1:4" x14ac:dyDescent="0.25">
      <c r="A395" s="1">
        <v>42566</v>
      </c>
      <c r="B395">
        <v>2843.7</v>
      </c>
      <c r="C395" s="1">
        <f t="shared" si="12"/>
        <v>42608</v>
      </c>
      <c r="D395" s="1">
        <f t="shared" si="13"/>
        <v>42583</v>
      </c>
    </row>
    <row r="396" spans="1:4" x14ac:dyDescent="0.25">
      <c r="A396" s="1">
        <v>42573</v>
      </c>
      <c r="B396">
        <v>2415.5</v>
      </c>
      <c r="C396" s="1">
        <f t="shared" si="12"/>
        <v>42615</v>
      </c>
      <c r="D396" s="1">
        <f t="shared" si="13"/>
        <v>42614</v>
      </c>
    </row>
    <row r="397" spans="1:4" x14ac:dyDescent="0.25">
      <c r="A397" s="1">
        <v>42580</v>
      </c>
      <c r="B397">
        <v>2315.1999999999998</v>
      </c>
      <c r="C397" s="1">
        <f t="shared" si="12"/>
        <v>42622</v>
      </c>
      <c r="D397" s="1">
        <f t="shared" si="13"/>
        <v>42614</v>
      </c>
    </row>
    <row r="398" spans="1:4" x14ac:dyDescent="0.25">
      <c r="A398" s="1">
        <v>42587</v>
      </c>
      <c r="B398">
        <v>2538.3000000000002</v>
      </c>
      <c r="C398" s="1">
        <f t="shared" si="12"/>
        <v>42629</v>
      </c>
      <c r="D398" s="1">
        <f t="shared" si="13"/>
        <v>42614</v>
      </c>
    </row>
    <row r="399" spans="1:4" x14ac:dyDescent="0.25">
      <c r="A399" s="1">
        <v>42594</v>
      </c>
      <c r="B399">
        <v>2432.8000000000002</v>
      </c>
      <c r="C399" s="1">
        <f t="shared" si="12"/>
        <v>42636</v>
      </c>
      <c r="D399" s="1">
        <f t="shared" si="13"/>
        <v>42614</v>
      </c>
    </row>
    <row r="400" spans="1:4" x14ac:dyDescent="0.25">
      <c r="A400" s="1">
        <v>42601</v>
      </c>
      <c r="B400">
        <v>2355.1999999999998</v>
      </c>
      <c r="C400" s="1">
        <f t="shared" si="12"/>
        <v>42643</v>
      </c>
      <c r="D400" s="1">
        <f t="shared" si="13"/>
        <v>42614</v>
      </c>
    </row>
    <row r="401" spans="1:4" x14ac:dyDescent="0.25">
      <c r="A401" s="1">
        <v>42608</v>
      </c>
      <c r="B401">
        <v>2441.6999999999998</v>
      </c>
      <c r="C401" s="1">
        <f t="shared" si="12"/>
        <v>42650</v>
      </c>
      <c r="D401" s="1">
        <f t="shared" si="13"/>
        <v>42644</v>
      </c>
    </row>
    <row r="402" spans="1:4" x14ac:dyDescent="0.25">
      <c r="A402" s="1">
        <v>42615</v>
      </c>
      <c r="B402">
        <v>2457.8000000000002</v>
      </c>
      <c r="C402" s="1">
        <f t="shared" si="12"/>
        <v>42657</v>
      </c>
      <c r="D402" s="1">
        <f t="shared" si="13"/>
        <v>42644</v>
      </c>
    </row>
    <row r="403" spans="1:4" x14ac:dyDescent="0.25">
      <c r="A403" s="1">
        <v>42622</v>
      </c>
      <c r="B403">
        <v>2500.5</v>
      </c>
      <c r="C403" s="1">
        <f t="shared" si="12"/>
        <v>42664</v>
      </c>
      <c r="D403" s="1">
        <f t="shared" si="13"/>
        <v>42644</v>
      </c>
    </row>
    <row r="404" spans="1:4" x14ac:dyDescent="0.25">
      <c r="A404" s="1">
        <v>42629</v>
      </c>
      <c r="B404">
        <v>2309.6</v>
      </c>
      <c r="C404" s="1">
        <f t="shared" si="12"/>
        <v>42671</v>
      </c>
      <c r="D404" s="1">
        <f t="shared" si="13"/>
        <v>42644</v>
      </c>
    </row>
    <row r="405" spans="1:4" x14ac:dyDescent="0.25">
      <c r="A405" s="1">
        <v>42636</v>
      </c>
      <c r="B405">
        <v>2273.1999999999998</v>
      </c>
      <c r="C405" s="1">
        <f t="shared" si="12"/>
        <v>42678</v>
      </c>
      <c r="D405" s="1">
        <f t="shared" si="13"/>
        <v>42675</v>
      </c>
    </row>
    <row r="406" spans="1:4" x14ac:dyDescent="0.25">
      <c r="A406" s="1">
        <v>42643</v>
      </c>
      <c r="B406">
        <v>2380.1</v>
      </c>
      <c r="C406" s="1">
        <f t="shared" si="12"/>
        <v>42685</v>
      </c>
      <c r="D406" s="1">
        <f t="shared" si="13"/>
        <v>42675</v>
      </c>
    </row>
    <row r="407" spans="1:4" x14ac:dyDescent="0.25">
      <c r="A407" s="1">
        <v>42650</v>
      </c>
      <c r="B407">
        <v>2189.8000000000002</v>
      </c>
      <c r="C407" s="1">
        <f t="shared" si="12"/>
        <v>42692</v>
      </c>
      <c r="D407" s="1">
        <f t="shared" si="13"/>
        <v>42675</v>
      </c>
    </row>
    <row r="408" spans="1:4" x14ac:dyDescent="0.25">
      <c r="A408" s="1">
        <v>42657</v>
      </c>
      <c r="B408">
        <v>2172.5</v>
      </c>
      <c r="C408" s="1">
        <f t="shared" si="12"/>
        <v>42699</v>
      </c>
      <c r="D408" s="1">
        <f t="shared" si="13"/>
        <v>42675</v>
      </c>
    </row>
    <row r="409" spans="1:4" x14ac:dyDescent="0.25">
      <c r="A409" s="1">
        <v>42664</v>
      </c>
      <c r="B409">
        <v>2122.5</v>
      </c>
      <c r="C409" s="1">
        <f t="shared" si="12"/>
        <v>42706</v>
      </c>
      <c r="D409" s="1">
        <f t="shared" si="13"/>
        <v>42705</v>
      </c>
    </row>
    <row r="410" spans="1:4" x14ac:dyDescent="0.25">
      <c r="A410" s="1">
        <v>42671</v>
      </c>
      <c r="B410">
        <v>2088</v>
      </c>
      <c r="C410" s="1">
        <f t="shared" si="12"/>
        <v>42713</v>
      </c>
      <c r="D410" s="1">
        <f t="shared" si="13"/>
        <v>42705</v>
      </c>
    </row>
    <row r="411" spans="1:4" x14ac:dyDescent="0.25">
      <c r="A411" s="1">
        <v>42678</v>
      </c>
      <c r="B411">
        <v>2031.9</v>
      </c>
      <c r="C411" s="1">
        <f t="shared" si="12"/>
        <v>42720</v>
      </c>
      <c r="D411" s="1">
        <f t="shared" si="13"/>
        <v>42705</v>
      </c>
    </row>
    <row r="412" spans="1:4" x14ac:dyDescent="0.25">
      <c r="A412" s="1">
        <v>42685</v>
      </c>
      <c r="B412">
        <v>1810.1</v>
      </c>
      <c r="C412" s="1">
        <f t="shared" si="12"/>
        <v>42727</v>
      </c>
      <c r="D412" s="1">
        <f t="shared" si="13"/>
        <v>42705</v>
      </c>
    </row>
    <row r="413" spans="1:4" x14ac:dyDescent="0.25">
      <c r="A413" s="1">
        <v>42692</v>
      </c>
      <c r="B413">
        <v>1754.2</v>
      </c>
      <c r="C413" s="1">
        <f t="shared" si="12"/>
        <v>42734</v>
      </c>
      <c r="D413" s="1">
        <f t="shared" si="13"/>
        <v>42705</v>
      </c>
    </row>
    <row r="414" spans="1:4" x14ac:dyDescent="0.25">
      <c r="A414" s="1">
        <v>42699</v>
      </c>
      <c r="B414">
        <v>1469.9</v>
      </c>
      <c r="C414" s="1">
        <f t="shared" si="12"/>
        <v>42741</v>
      </c>
      <c r="D414" s="1">
        <f t="shared" si="13"/>
        <v>42736</v>
      </c>
    </row>
    <row r="415" spans="1:4" x14ac:dyDescent="0.25">
      <c r="A415" s="1">
        <v>42706</v>
      </c>
      <c r="B415">
        <v>1459.3</v>
      </c>
      <c r="C415" s="1">
        <f t="shared" si="12"/>
        <v>42748</v>
      </c>
      <c r="D415" s="1">
        <f t="shared" si="13"/>
        <v>42736</v>
      </c>
    </row>
    <row r="416" spans="1:4" x14ac:dyDescent="0.25">
      <c r="A416" s="1">
        <v>42713</v>
      </c>
      <c r="B416">
        <v>1407</v>
      </c>
      <c r="C416" s="1">
        <f t="shared" si="12"/>
        <v>42755</v>
      </c>
      <c r="D416" s="1">
        <f t="shared" si="13"/>
        <v>42736</v>
      </c>
    </row>
    <row r="417" spans="1:4" x14ac:dyDescent="0.25">
      <c r="A417" s="1">
        <v>42720</v>
      </c>
      <c r="B417">
        <v>1449.4</v>
      </c>
      <c r="C417" s="1">
        <f t="shared" si="12"/>
        <v>42762</v>
      </c>
      <c r="D417" s="1">
        <f t="shared" si="13"/>
        <v>42736</v>
      </c>
    </row>
    <row r="418" spans="1:4" x14ac:dyDescent="0.25">
      <c r="A418" s="1">
        <v>42727</v>
      </c>
      <c r="B418">
        <v>1113.2</v>
      </c>
      <c r="C418" s="1">
        <f t="shared" si="12"/>
        <v>42769</v>
      </c>
      <c r="D418" s="1">
        <f t="shared" si="13"/>
        <v>42767</v>
      </c>
    </row>
    <row r="419" spans="1:4" x14ac:dyDescent="0.25">
      <c r="A419" s="1">
        <v>42734</v>
      </c>
      <c r="B419">
        <v>1132</v>
      </c>
      <c r="C419" s="1">
        <f t="shared" si="12"/>
        <v>42776</v>
      </c>
      <c r="D419" s="1">
        <f t="shared" si="13"/>
        <v>42767</v>
      </c>
    </row>
    <row r="420" spans="1:4" x14ac:dyDescent="0.25">
      <c r="A420" s="1">
        <v>42741</v>
      </c>
      <c r="B420">
        <v>1182.3</v>
      </c>
      <c r="C420" s="1">
        <f t="shared" si="12"/>
        <v>42783</v>
      </c>
      <c r="D420" s="1">
        <f t="shared" si="13"/>
        <v>42767</v>
      </c>
    </row>
    <row r="421" spans="1:4" x14ac:dyDescent="0.25">
      <c r="A421" s="1">
        <v>42748</v>
      </c>
      <c r="B421">
        <v>1263.2</v>
      </c>
      <c r="C421" s="1">
        <f t="shared" si="12"/>
        <v>42790</v>
      </c>
      <c r="D421" s="1">
        <f t="shared" si="13"/>
        <v>42767</v>
      </c>
    </row>
    <row r="422" spans="1:4" x14ac:dyDescent="0.25">
      <c r="A422" s="1">
        <v>42755</v>
      </c>
      <c r="B422">
        <v>1265.5999999999999</v>
      </c>
      <c r="C422" s="1">
        <f t="shared" si="12"/>
        <v>42797</v>
      </c>
      <c r="D422" s="1">
        <f t="shared" si="13"/>
        <v>42795</v>
      </c>
    </row>
    <row r="423" spans="1:4" x14ac:dyDescent="0.25">
      <c r="A423" s="1">
        <v>42762</v>
      </c>
      <c r="B423">
        <v>1248.4000000000001</v>
      </c>
      <c r="C423" s="1">
        <f t="shared" si="12"/>
        <v>42804</v>
      </c>
      <c r="D423" s="1">
        <f t="shared" si="13"/>
        <v>42795</v>
      </c>
    </row>
    <row r="424" spans="1:4" x14ac:dyDescent="0.25">
      <c r="A424" s="1">
        <v>42769</v>
      </c>
      <c r="B424">
        <v>1276.4000000000001</v>
      </c>
      <c r="C424" s="1">
        <f t="shared" si="12"/>
        <v>42811</v>
      </c>
      <c r="D424" s="1">
        <f t="shared" si="13"/>
        <v>42795</v>
      </c>
    </row>
    <row r="425" spans="1:4" x14ac:dyDescent="0.25">
      <c r="A425" s="1">
        <v>42776</v>
      </c>
      <c r="B425">
        <v>1239.5999999999999</v>
      </c>
      <c r="C425" s="1">
        <f t="shared" si="12"/>
        <v>42818</v>
      </c>
      <c r="D425" s="1">
        <f t="shared" si="13"/>
        <v>42795</v>
      </c>
    </row>
    <row r="426" spans="1:4" x14ac:dyDescent="0.25">
      <c r="A426" s="1">
        <v>42783</v>
      </c>
      <c r="B426">
        <v>1227.5999999999999</v>
      </c>
      <c r="C426" s="1">
        <f t="shared" si="12"/>
        <v>42825</v>
      </c>
      <c r="D426" s="1">
        <f t="shared" si="13"/>
        <v>42795</v>
      </c>
    </row>
    <row r="427" spans="1:4" x14ac:dyDescent="0.25">
      <c r="A427" s="1">
        <v>42790</v>
      </c>
      <c r="B427">
        <v>1290.8</v>
      </c>
      <c r="C427" s="1">
        <f t="shared" si="12"/>
        <v>42832</v>
      </c>
      <c r="D427" s="1">
        <f t="shared" si="13"/>
        <v>42826</v>
      </c>
    </row>
    <row r="428" spans="1:4" x14ac:dyDescent="0.25">
      <c r="A428" s="1">
        <v>42797</v>
      </c>
      <c r="B428">
        <v>1357.6</v>
      </c>
      <c r="C428" s="1">
        <f t="shared" si="12"/>
        <v>42839</v>
      </c>
      <c r="D428" s="1">
        <f t="shared" si="13"/>
        <v>42826</v>
      </c>
    </row>
    <row r="429" spans="1:4" x14ac:dyDescent="0.25">
      <c r="A429" s="1">
        <v>42804</v>
      </c>
      <c r="B429">
        <v>1413.3</v>
      </c>
      <c r="C429" s="1">
        <f t="shared" si="12"/>
        <v>42846</v>
      </c>
      <c r="D429" s="1">
        <f t="shared" si="13"/>
        <v>42826</v>
      </c>
    </row>
    <row r="430" spans="1:4" x14ac:dyDescent="0.25">
      <c r="A430" s="1">
        <v>42811</v>
      </c>
      <c r="B430">
        <v>1366.1</v>
      </c>
      <c r="C430" s="1">
        <f t="shared" si="12"/>
        <v>42853</v>
      </c>
      <c r="D430" s="1">
        <f t="shared" si="13"/>
        <v>42826</v>
      </c>
    </row>
    <row r="431" spans="1:4" x14ac:dyDescent="0.25">
      <c r="A431" s="1">
        <v>42818</v>
      </c>
      <c r="B431">
        <v>1327.1</v>
      </c>
      <c r="C431" s="1">
        <f t="shared" si="12"/>
        <v>42860</v>
      </c>
      <c r="D431" s="1">
        <f t="shared" si="13"/>
        <v>42856</v>
      </c>
    </row>
    <row r="432" spans="1:4" x14ac:dyDescent="0.25">
      <c r="A432" s="1">
        <v>42825</v>
      </c>
      <c r="B432">
        <v>1271.9000000000001</v>
      </c>
      <c r="C432" s="1">
        <f t="shared" si="12"/>
        <v>42867</v>
      </c>
      <c r="D432" s="1">
        <f t="shared" si="13"/>
        <v>42856</v>
      </c>
    </row>
    <row r="433" spans="1:4" x14ac:dyDescent="0.25">
      <c r="A433" s="1">
        <v>42832</v>
      </c>
      <c r="B433">
        <v>1272.3</v>
      </c>
      <c r="C433" s="1">
        <f t="shared" si="12"/>
        <v>42874</v>
      </c>
      <c r="D433" s="1">
        <f t="shared" si="13"/>
        <v>42856</v>
      </c>
    </row>
    <row r="434" spans="1:4" x14ac:dyDescent="0.25">
      <c r="A434" s="1">
        <v>42839</v>
      </c>
      <c r="B434">
        <v>1274.5</v>
      </c>
      <c r="C434" s="1">
        <f t="shared" si="12"/>
        <v>42881</v>
      </c>
      <c r="D434" s="1">
        <f t="shared" si="13"/>
        <v>42856</v>
      </c>
    </row>
    <row r="435" spans="1:4" x14ac:dyDescent="0.25">
      <c r="A435" s="1">
        <v>42846</v>
      </c>
      <c r="B435">
        <v>1365.8</v>
      </c>
      <c r="C435" s="1">
        <f t="shared" si="12"/>
        <v>42888</v>
      </c>
      <c r="D435" s="1">
        <f t="shared" si="13"/>
        <v>42887</v>
      </c>
    </row>
    <row r="436" spans="1:4" x14ac:dyDescent="0.25">
      <c r="A436" s="1">
        <v>42853</v>
      </c>
      <c r="B436">
        <v>1302</v>
      </c>
      <c r="C436" s="1">
        <f t="shared" si="12"/>
        <v>42895</v>
      </c>
      <c r="D436" s="1">
        <f t="shared" si="13"/>
        <v>42887</v>
      </c>
    </row>
    <row r="437" spans="1:4" x14ac:dyDescent="0.25">
      <c r="A437" s="1">
        <v>42860</v>
      </c>
      <c r="B437">
        <v>1345.5</v>
      </c>
      <c r="C437" s="1">
        <f t="shared" si="12"/>
        <v>42902</v>
      </c>
      <c r="D437" s="1">
        <f t="shared" si="13"/>
        <v>42887</v>
      </c>
    </row>
    <row r="438" spans="1:4" x14ac:dyDescent="0.25">
      <c r="A438" s="1">
        <v>42867</v>
      </c>
      <c r="B438">
        <v>1269.0999999999999</v>
      </c>
      <c r="C438" s="1">
        <f t="shared" si="12"/>
        <v>42909</v>
      </c>
      <c r="D438" s="1">
        <f t="shared" si="13"/>
        <v>42887</v>
      </c>
    </row>
    <row r="439" spans="1:4" x14ac:dyDescent="0.25">
      <c r="A439" s="1">
        <v>42874</v>
      </c>
      <c r="B439">
        <v>1402</v>
      </c>
      <c r="C439" s="1">
        <f t="shared" si="12"/>
        <v>42916</v>
      </c>
      <c r="D439" s="1">
        <f t="shared" si="13"/>
        <v>42887</v>
      </c>
    </row>
    <row r="440" spans="1:4" x14ac:dyDescent="0.25">
      <c r="A440" s="1">
        <v>42881</v>
      </c>
      <c r="B440">
        <v>1323.1</v>
      </c>
      <c r="C440" s="1">
        <f t="shared" si="12"/>
        <v>42923</v>
      </c>
      <c r="D440" s="1">
        <f t="shared" si="13"/>
        <v>42917</v>
      </c>
    </row>
    <row r="441" spans="1:4" x14ac:dyDescent="0.25">
      <c r="A441" s="1">
        <v>42888</v>
      </c>
      <c r="B441">
        <v>1368.7</v>
      </c>
      <c r="C441" s="1">
        <f t="shared" si="12"/>
        <v>42930</v>
      </c>
      <c r="D441" s="1">
        <f t="shared" si="13"/>
        <v>42917</v>
      </c>
    </row>
    <row r="442" spans="1:4" x14ac:dyDescent="0.25">
      <c r="A442" s="1">
        <v>42895</v>
      </c>
      <c r="B442">
        <v>1494.8</v>
      </c>
      <c r="C442" s="1">
        <f t="shared" si="12"/>
        <v>42937</v>
      </c>
      <c r="D442" s="1">
        <f t="shared" si="13"/>
        <v>42917</v>
      </c>
    </row>
    <row r="443" spans="1:4" x14ac:dyDescent="0.25">
      <c r="A443" s="1">
        <v>42902</v>
      </c>
      <c r="B443">
        <v>1526.8</v>
      </c>
      <c r="C443" s="1">
        <f t="shared" si="12"/>
        <v>42944</v>
      </c>
      <c r="D443" s="1">
        <f t="shared" si="13"/>
        <v>42917</v>
      </c>
    </row>
    <row r="444" spans="1:4" x14ac:dyDescent="0.25">
      <c r="A444" s="1">
        <v>42909</v>
      </c>
      <c r="B444">
        <v>1396.2</v>
      </c>
      <c r="C444" s="1">
        <f t="shared" si="12"/>
        <v>42951</v>
      </c>
      <c r="D444" s="1">
        <f t="shared" si="13"/>
        <v>42948</v>
      </c>
    </row>
    <row r="445" spans="1:4" x14ac:dyDescent="0.25">
      <c r="A445" s="1">
        <v>42916</v>
      </c>
      <c r="B445">
        <v>1391</v>
      </c>
      <c r="C445" s="1">
        <f t="shared" si="12"/>
        <v>42958</v>
      </c>
      <c r="D445" s="1">
        <f t="shared" si="13"/>
        <v>42948</v>
      </c>
    </row>
    <row r="446" spans="1:4" x14ac:dyDescent="0.25">
      <c r="A446" s="1">
        <v>42923</v>
      </c>
      <c r="B446">
        <v>1210.5</v>
      </c>
      <c r="C446" s="1">
        <f t="shared" si="12"/>
        <v>42965</v>
      </c>
      <c r="D446" s="1">
        <f t="shared" si="13"/>
        <v>42948</v>
      </c>
    </row>
    <row r="447" spans="1:4" x14ac:dyDescent="0.25">
      <c r="A447" s="1">
        <v>42930</v>
      </c>
      <c r="B447">
        <v>1367.8</v>
      </c>
      <c r="C447" s="1">
        <f t="shared" si="12"/>
        <v>42972</v>
      </c>
      <c r="D447" s="1">
        <f t="shared" si="13"/>
        <v>42948</v>
      </c>
    </row>
    <row r="448" spans="1:4" x14ac:dyDescent="0.25">
      <c r="A448" s="1">
        <v>42937</v>
      </c>
      <c r="B448">
        <v>1414.3</v>
      </c>
      <c r="C448" s="1">
        <f t="shared" si="12"/>
        <v>42979</v>
      </c>
      <c r="D448" s="1">
        <f t="shared" si="13"/>
        <v>42979</v>
      </c>
    </row>
    <row r="449" spans="1:4" x14ac:dyDescent="0.25">
      <c r="A449" s="1">
        <v>42944</v>
      </c>
      <c r="B449">
        <v>1361</v>
      </c>
      <c r="C449" s="1">
        <f t="shared" si="12"/>
        <v>42986</v>
      </c>
      <c r="D449" s="1">
        <f t="shared" si="13"/>
        <v>42979</v>
      </c>
    </row>
    <row r="450" spans="1:4" x14ac:dyDescent="0.25">
      <c r="A450" s="1">
        <v>42951</v>
      </c>
      <c r="B450">
        <v>1433.2</v>
      </c>
      <c r="C450" s="1">
        <f t="shared" si="12"/>
        <v>42993</v>
      </c>
      <c r="D450" s="1">
        <f t="shared" si="13"/>
        <v>42979</v>
      </c>
    </row>
    <row r="451" spans="1:4" x14ac:dyDescent="0.25">
      <c r="A451" s="1">
        <v>42958</v>
      </c>
      <c r="B451">
        <v>1455.9</v>
      </c>
      <c r="C451" s="1">
        <f t="shared" ref="C451:C489" si="14">A451+6*7</f>
        <v>43000</v>
      </c>
      <c r="D451" s="1">
        <f t="shared" ref="D451:D489" si="15">C451-DAY(C451)+1</f>
        <v>42979</v>
      </c>
    </row>
    <row r="452" spans="1:4" x14ac:dyDescent="0.25">
      <c r="A452" s="1">
        <v>42965</v>
      </c>
      <c r="B452">
        <v>1459.9</v>
      </c>
      <c r="C452" s="1">
        <f t="shared" si="14"/>
        <v>43007</v>
      </c>
      <c r="D452" s="1">
        <f t="shared" si="15"/>
        <v>42979</v>
      </c>
    </row>
    <row r="453" spans="1:4" x14ac:dyDescent="0.25">
      <c r="A453" s="1">
        <v>42972</v>
      </c>
      <c r="B453">
        <v>1430.3</v>
      </c>
      <c r="C453" s="1">
        <f t="shared" si="14"/>
        <v>43014</v>
      </c>
      <c r="D453" s="1">
        <f t="shared" si="15"/>
        <v>43009</v>
      </c>
    </row>
    <row r="454" spans="1:4" x14ac:dyDescent="0.25">
      <c r="A454" s="1">
        <v>42979</v>
      </c>
      <c r="B454">
        <v>1502.6</v>
      </c>
      <c r="C454" s="1">
        <f t="shared" si="14"/>
        <v>43021</v>
      </c>
      <c r="D454" s="1">
        <f t="shared" si="15"/>
        <v>43009</v>
      </c>
    </row>
    <row r="455" spans="1:4" x14ac:dyDescent="0.25">
      <c r="A455" s="1">
        <v>42986</v>
      </c>
      <c r="B455">
        <v>1636.8</v>
      </c>
      <c r="C455" s="1">
        <f t="shared" si="14"/>
        <v>43028</v>
      </c>
      <c r="D455" s="1">
        <f t="shared" si="15"/>
        <v>43009</v>
      </c>
    </row>
    <row r="456" spans="1:4" x14ac:dyDescent="0.25">
      <c r="A456" s="1">
        <v>42993</v>
      </c>
      <c r="B456">
        <v>1497.8</v>
      </c>
      <c r="C456" s="1">
        <f t="shared" si="14"/>
        <v>43035</v>
      </c>
      <c r="D456" s="1">
        <f t="shared" si="15"/>
        <v>43009</v>
      </c>
    </row>
    <row r="457" spans="1:4" x14ac:dyDescent="0.25">
      <c r="A457" s="1">
        <v>43000</v>
      </c>
      <c r="B457">
        <v>1445.6</v>
      </c>
      <c r="C457" s="1">
        <f t="shared" si="14"/>
        <v>43042</v>
      </c>
      <c r="D457" s="1">
        <f t="shared" si="15"/>
        <v>43040</v>
      </c>
    </row>
    <row r="458" spans="1:4" x14ac:dyDescent="0.25">
      <c r="A458" s="1">
        <v>43007</v>
      </c>
      <c r="B458">
        <v>1419.2</v>
      </c>
      <c r="C458" s="1">
        <f t="shared" si="14"/>
        <v>43049</v>
      </c>
      <c r="D458" s="1">
        <f t="shared" si="15"/>
        <v>43040</v>
      </c>
    </row>
    <row r="459" spans="1:4" x14ac:dyDescent="0.25">
      <c r="A459" s="1">
        <v>43014</v>
      </c>
      <c r="B459">
        <v>1359.2</v>
      </c>
      <c r="C459" s="1">
        <f t="shared" si="14"/>
        <v>43056</v>
      </c>
      <c r="D459" s="1">
        <f t="shared" si="15"/>
        <v>43040</v>
      </c>
    </row>
    <row r="460" spans="1:4" x14ac:dyDescent="0.25">
      <c r="A460" s="1">
        <v>43021</v>
      </c>
      <c r="B460">
        <v>1399.6</v>
      </c>
      <c r="C460" s="1">
        <f t="shared" si="14"/>
        <v>43063</v>
      </c>
      <c r="D460" s="1">
        <f t="shared" si="15"/>
        <v>43040</v>
      </c>
    </row>
    <row r="461" spans="1:4" x14ac:dyDescent="0.25">
      <c r="A461" s="1">
        <v>43028</v>
      </c>
      <c r="B461">
        <v>1357.6</v>
      </c>
      <c r="C461" s="1">
        <f t="shared" si="14"/>
        <v>43070</v>
      </c>
      <c r="D461" s="1">
        <f t="shared" si="15"/>
        <v>43070</v>
      </c>
    </row>
    <row r="462" spans="1:4" x14ac:dyDescent="0.25">
      <c r="A462" s="1">
        <v>43035</v>
      </c>
      <c r="B462">
        <v>1297</v>
      </c>
      <c r="C462" s="1">
        <f t="shared" si="14"/>
        <v>43077</v>
      </c>
      <c r="D462" s="1">
        <f t="shared" si="15"/>
        <v>43070</v>
      </c>
    </row>
    <row r="463" spans="1:4" x14ac:dyDescent="0.25">
      <c r="A463" s="1">
        <v>43042</v>
      </c>
      <c r="B463">
        <v>1290.8</v>
      </c>
      <c r="C463" s="1">
        <f t="shared" si="14"/>
        <v>43084</v>
      </c>
      <c r="D463" s="1">
        <f t="shared" si="15"/>
        <v>43070</v>
      </c>
    </row>
    <row r="464" spans="1:4" x14ac:dyDescent="0.25">
      <c r="A464" s="1">
        <v>43049</v>
      </c>
      <c r="B464">
        <v>1371.6</v>
      </c>
      <c r="C464" s="1">
        <f t="shared" si="14"/>
        <v>43091</v>
      </c>
      <c r="D464" s="1">
        <f t="shared" si="15"/>
        <v>43070</v>
      </c>
    </row>
    <row r="465" spans="1:4" x14ac:dyDescent="0.25">
      <c r="A465" s="1">
        <v>43056</v>
      </c>
      <c r="B465">
        <v>1306.0999999999999</v>
      </c>
      <c r="C465" s="1">
        <f t="shared" si="14"/>
        <v>43098</v>
      </c>
      <c r="D465" s="1">
        <f t="shared" si="15"/>
        <v>43070</v>
      </c>
    </row>
    <row r="466" spans="1:4" x14ac:dyDescent="0.25">
      <c r="A466" s="1">
        <v>43063</v>
      </c>
      <c r="B466">
        <v>1205.0999999999999</v>
      </c>
      <c r="C466" s="1">
        <f t="shared" si="14"/>
        <v>43105</v>
      </c>
      <c r="D466" s="1">
        <f t="shared" si="15"/>
        <v>43101</v>
      </c>
    </row>
    <row r="467" spans="1:4" x14ac:dyDescent="0.25">
      <c r="A467" s="1">
        <v>43070</v>
      </c>
      <c r="B467">
        <v>1313.9</v>
      </c>
      <c r="C467" s="1">
        <f t="shared" si="14"/>
        <v>43112</v>
      </c>
      <c r="D467" s="1">
        <f t="shared" si="15"/>
        <v>43101</v>
      </c>
    </row>
    <row r="468" spans="1:4" x14ac:dyDescent="0.25">
      <c r="A468" s="1">
        <v>43077</v>
      </c>
      <c r="B468">
        <v>1281</v>
      </c>
      <c r="C468" s="1">
        <f t="shared" si="14"/>
        <v>43119</v>
      </c>
      <c r="D468" s="1">
        <f t="shared" si="15"/>
        <v>43101</v>
      </c>
    </row>
    <row r="469" spans="1:4" x14ac:dyDescent="0.25">
      <c r="A469" s="1">
        <v>43084</v>
      </c>
      <c r="B469">
        <v>1240.5</v>
      </c>
      <c r="C469" s="1">
        <f t="shared" si="14"/>
        <v>43126</v>
      </c>
      <c r="D469" s="1">
        <f t="shared" si="15"/>
        <v>43101</v>
      </c>
    </row>
    <row r="470" spans="1:4" x14ac:dyDescent="0.25">
      <c r="A470" s="1">
        <v>43091</v>
      </c>
      <c r="B470">
        <v>1135.7</v>
      </c>
      <c r="C470" s="1">
        <f t="shared" si="14"/>
        <v>43133</v>
      </c>
      <c r="D470" s="1">
        <f t="shared" si="15"/>
        <v>43132</v>
      </c>
    </row>
    <row r="471" spans="1:4" x14ac:dyDescent="0.25">
      <c r="A471" s="1">
        <v>43098</v>
      </c>
      <c r="B471">
        <v>1130.4000000000001</v>
      </c>
      <c r="C471" s="1">
        <f t="shared" si="14"/>
        <v>43140</v>
      </c>
      <c r="D471" s="1">
        <f t="shared" si="15"/>
        <v>43132</v>
      </c>
    </row>
    <row r="472" spans="1:4" x14ac:dyDescent="0.25">
      <c r="A472" s="1">
        <v>43105</v>
      </c>
      <c r="B472">
        <v>1259.2</v>
      </c>
      <c r="C472" s="1">
        <f t="shared" si="14"/>
        <v>43147</v>
      </c>
      <c r="D472" s="1">
        <f t="shared" si="15"/>
        <v>43132</v>
      </c>
    </row>
    <row r="473" spans="1:4" x14ac:dyDescent="0.25">
      <c r="A473" s="1">
        <v>43112</v>
      </c>
      <c r="B473">
        <v>1314</v>
      </c>
      <c r="C473" s="1">
        <f t="shared" si="14"/>
        <v>43154</v>
      </c>
      <c r="D473" s="1">
        <f t="shared" si="15"/>
        <v>43132</v>
      </c>
    </row>
    <row r="474" spans="1:4" x14ac:dyDescent="0.25">
      <c r="A474" s="1">
        <v>43119</v>
      </c>
      <c r="B474">
        <v>1325.8</v>
      </c>
      <c r="C474" s="1">
        <f t="shared" si="14"/>
        <v>43161</v>
      </c>
      <c r="D474" s="1">
        <f t="shared" si="15"/>
        <v>43160</v>
      </c>
    </row>
    <row r="475" spans="1:4" x14ac:dyDescent="0.25">
      <c r="A475" s="1">
        <v>43126</v>
      </c>
      <c r="B475">
        <v>1288</v>
      </c>
      <c r="C475" s="1">
        <f t="shared" si="14"/>
        <v>43168</v>
      </c>
      <c r="D475" s="1">
        <f t="shared" si="15"/>
        <v>43160</v>
      </c>
    </row>
    <row r="476" spans="1:4" x14ac:dyDescent="0.25">
      <c r="A476" s="1">
        <v>43133</v>
      </c>
      <c r="B476">
        <v>1299.3</v>
      </c>
      <c r="C476" s="1">
        <f t="shared" si="14"/>
        <v>43175</v>
      </c>
      <c r="D476" s="1">
        <f t="shared" si="15"/>
        <v>43160</v>
      </c>
    </row>
    <row r="477" spans="1:4" x14ac:dyDescent="0.25">
      <c r="A477" s="1">
        <v>43140</v>
      </c>
      <c r="B477">
        <v>1274</v>
      </c>
      <c r="C477" s="1">
        <f t="shared" si="14"/>
        <v>43182</v>
      </c>
      <c r="D477" s="1">
        <f t="shared" si="15"/>
        <v>43160</v>
      </c>
    </row>
    <row r="478" spans="1:4" x14ac:dyDescent="0.25">
      <c r="A478" s="1">
        <v>43147</v>
      </c>
      <c r="B478">
        <v>1183.0999999999999</v>
      </c>
      <c r="C478" s="1">
        <f t="shared" si="14"/>
        <v>43189</v>
      </c>
      <c r="D478" s="1">
        <f t="shared" si="15"/>
        <v>43160</v>
      </c>
    </row>
    <row r="479" spans="1:4" x14ac:dyDescent="0.25">
      <c r="A479" s="1">
        <v>43154</v>
      </c>
      <c r="B479">
        <v>1168.5</v>
      </c>
      <c r="C479" s="1">
        <f t="shared" si="14"/>
        <v>43196</v>
      </c>
      <c r="D479" s="1">
        <f t="shared" si="15"/>
        <v>43191</v>
      </c>
    </row>
    <row r="480" spans="1:4" x14ac:dyDescent="0.25">
      <c r="A480" s="1">
        <v>43161</v>
      </c>
      <c r="B480">
        <v>1185.7</v>
      </c>
      <c r="C480" s="1">
        <f t="shared" si="14"/>
        <v>43203</v>
      </c>
      <c r="D480" s="1">
        <f t="shared" si="15"/>
        <v>43191</v>
      </c>
    </row>
    <row r="481" spans="1:4" x14ac:dyDescent="0.25">
      <c r="A481" s="1">
        <v>43168</v>
      </c>
      <c r="B481">
        <v>1159.3</v>
      </c>
      <c r="C481" s="1">
        <f t="shared" si="14"/>
        <v>43210</v>
      </c>
      <c r="D481" s="1">
        <f t="shared" si="15"/>
        <v>43191</v>
      </c>
    </row>
    <row r="482" spans="1:4" x14ac:dyDescent="0.25">
      <c r="A482" s="1">
        <v>43175</v>
      </c>
      <c r="B482">
        <v>1107.7</v>
      </c>
      <c r="C482" s="1">
        <f t="shared" si="14"/>
        <v>43217</v>
      </c>
      <c r="D482" s="1">
        <f t="shared" si="15"/>
        <v>43191</v>
      </c>
    </row>
    <row r="483" spans="1:4" x14ac:dyDescent="0.25">
      <c r="A483" s="1">
        <v>43182</v>
      </c>
      <c r="B483">
        <v>1188.5</v>
      </c>
      <c r="C483" s="1">
        <f t="shared" si="14"/>
        <v>43224</v>
      </c>
      <c r="D483" s="1">
        <f t="shared" si="15"/>
        <v>43221</v>
      </c>
    </row>
    <row r="484" spans="1:4" x14ac:dyDescent="0.25">
      <c r="A484" s="1">
        <v>43189</v>
      </c>
      <c r="B484">
        <v>1130.0999999999999</v>
      </c>
      <c r="C484" s="1">
        <f t="shared" si="14"/>
        <v>43231</v>
      </c>
      <c r="D484" s="1">
        <f t="shared" si="15"/>
        <v>43221</v>
      </c>
    </row>
    <row r="485" spans="1:4" x14ac:dyDescent="0.25">
      <c r="A485" s="1">
        <v>43196</v>
      </c>
      <c r="B485">
        <v>1110.8</v>
      </c>
      <c r="C485" s="1">
        <f t="shared" si="14"/>
        <v>43238</v>
      </c>
      <c r="D485" s="1">
        <f t="shared" si="15"/>
        <v>43221</v>
      </c>
    </row>
    <row r="486" spans="1:4" x14ac:dyDescent="0.25">
      <c r="A486" s="1">
        <v>43203</v>
      </c>
      <c r="B486">
        <v>1149.5</v>
      </c>
      <c r="C486" s="1">
        <f t="shared" si="14"/>
        <v>43245</v>
      </c>
      <c r="D486" s="1">
        <f t="shared" si="15"/>
        <v>43221</v>
      </c>
    </row>
    <row r="487" spans="1:4" x14ac:dyDescent="0.25">
      <c r="A487" s="1">
        <v>43210</v>
      </c>
      <c r="B487">
        <v>1145.5</v>
      </c>
      <c r="C487" s="1">
        <f t="shared" si="14"/>
        <v>43252</v>
      </c>
      <c r="D487" s="1">
        <f t="shared" si="15"/>
        <v>43252</v>
      </c>
    </row>
    <row r="488" spans="1:4" x14ac:dyDescent="0.25">
      <c r="A488" s="1">
        <v>43217</v>
      </c>
      <c r="B488">
        <v>1104.9000000000001</v>
      </c>
      <c r="C488" s="1">
        <f t="shared" si="14"/>
        <v>43259</v>
      </c>
      <c r="D488" s="1">
        <f t="shared" si="15"/>
        <v>43252</v>
      </c>
    </row>
    <row r="489" spans="1:4" x14ac:dyDescent="0.25">
      <c r="A489" s="1">
        <v>43224</v>
      </c>
      <c r="B489">
        <v>1098.4000000000001</v>
      </c>
      <c r="C489" s="1">
        <f t="shared" si="14"/>
        <v>43266</v>
      </c>
      <c r="D489" s="1">
        <f t="shared" si="15"/>
        <v>43252</v>
      </c>
    </row>
  </sheetData>
  <sortState ref="A1:B488">
    <sortCondition ref="A1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3"/>
  <sheetViews>
    <sheetView tabSelected="1" workbookViewId="0">
      <selection activeCell="U22" sqref="U22"/>
    </sheetView>
  </sheetViews>
  <sheetFormatPr defaultRowHeight="15" x14ac:dyDescent="0.25"/>
  <cols>
    <col min="1" max="1" width="13.140625" bestFit="1" customWidth="1"/>
    <col min="2" max="2" width="20.5703125" bestFit="1" customWidth="1"/>
    <col min="5" max="5" width="9.7109375" style="1" bestFit="1" customWidth="1"/>
    <col min="6" max="6" width="20.42578125" bestFit="1" customWidth="1"/>
  </cols>
  <sheetData>
    <row r="1" spans="1:9" x14ac:dyDescent="0.25">
      <c r="A1" s="2" t="s">
        <v>3</v>
      </c>
      <c r="B1" t="s">
        <v>4</v>
      </c>
      <c r="E1" s="1" t="s">
        <v>1</v>
      </c>
      <c r="F1" t="s">
        <v>4</v>
      </c>
      <c r="G1" t="s">
        <v>10</v>
      </c>
      <c r="I1" t="s">
        <v>11</v>
      </c>
    </row>
    <row r="2" spans="1:9" x14ac:dyDescent="0.25">
      <c r="A2" s="3">
        <v>39845</v>
      </c>
      <c r="B2" s="4">
        <v>6603.4666666666672</v>
      </c>
      <c r="E2" s="1">
        <v>39845</v>
      </c>
      <c r="F2">
        <v>6603.4666666666672</v>
      </c>
      <c r="G2">
        <f>IF(F2&lt;$I$2,1,0)</f>
        <v>0</v>
      </c>
      <c r="I2">
        <v>1810</v>
      </c>
    </row>
    <row r="3" spans="1:9" x14ac:dyDescent="0.25">
      <c r="A3" s="3">
        <v>39873</v>
      </c>
      <c r="B3" s="4">
        <v>3618.9500000000003</v>
      </c>
      <c r="E3" s="1">
        <v>39873</v>
      </c>
      <c r="F3">
        <v>3618.9500000000003</v>
      </c>
      <c r="G3">
        <f t="shared" ref="G3:G66" si="0">IF(F3&lt;$I$2,1,0)</f>
        <v>0</v>
      </c>
    </row>
    <row r="4" spans="1:9" x14ac:dyDescent="0.25">
      <c r="A4" s="3">
        <v>39904</v>
      </c>
      <c r="B4" s="4">
        <v>3662.4249999999997</v>
      </c>
      <c r="E4" s="1">
        <v>39904</v>
      </c>
      <c r="F4">
        <v>3662.4249999999997</v>
      </c>
      <c r="G4">
        <f t="shared" si="0"/>
        <v>0</v>
      </c>
    </row>
    <row r="5" spans="1:9" x14ac:dyDescent="0.25">
      <c r="A5" s="3">
        <v>39934</v>
      </c>
      <c r="B5" s="4">
        <v>6477.84</v>
      </c>
      <c r="E5" s="1">
        <v>39934</v>
      </c>
      <c r="F5">
        <v>6477.84</v>
      </c>
      <c r="G5">
        <f t="shared" si="0"/>
        <v>0</v>
      </c>
    </row>
    <row r="6" spans="1:9" x14ac:dyDescent="0.25">
      <c r="A6" s="3">
        <v>39965</v>
      </c>
      <c r="B6" s="4">
        <v>4915.125</v>
      </c>
      <c r="E6" s="1">
        <v>39965</v>
      </c>
      <c r="F6">
        <v>4915.125</v>
      </c>
      <c r="G6">
        <f t="shared" si="0"/>
        <v>0</v>
      </c>
    </row>
    <row r="7" spans="1:9" x14ac:dyDescent="0.25">
      <c r="A7" s="3">
        <v>39995</v>
      </c>
      <c r="B7" s="4">
        <v>2712.8200000000006</v>
      </c>
      <c r="E7" s="1">
        <v>39995</v>
      </c>
      <c r="F7">
        <v>2712.8200000000006</v>
      </c>
      <c r="G7">
        <f t="shared" si="0"/>
        <v>0</v>
      </c>
    </row>
    <row r="8" spans="1:9" x14ac:dyDescent="0.25">
      <c r="A8" s="3">
        <v>40026</v>
      </c>
      <c r="B8" s="4">
        <v>1822.25</v>
      </c>
      <c r="E8" s="1">
        <v>40026</v>
      </c>
      <c r="F8">
        <v>1822.25</v>
      </c>
      <c r="G8">
        <f t="shared" si="0"/>
        <v>0</v>
      </c>
    </row>
    <row r="9" spans="1:9" x14ac:dyDescent="0.25">
      <c r="A9" s="3">
        <v>40057</v>
      </c>
      <c r="B9" s="4">
        <v>1923.7750000000001</v>
      </c>
      <c r="E9" s="1">
        <v>40057</v>
      </c>
      <c r="F9">
        <v>1923.7750000000001</v>
      </c>
      <c r="G9">
        <f t="shared" si="0"/>
        <v>0</v>
      </c>
    </row>
    <row r="10" spans="1:9" x14ac:dyDescent="0.25">
      <c r="A10" s="3">
        <v>40087</v>
      </c>
      <c r="B10" s="4">
        <v>2476.96</v>
      </c>
      <c r="E10" s="1">
        <v>40087</v>
      </c>
      <c r="F10">
        <v>2476.96</v>
      </c>
      <c r="G10">
        <f t="shared" si="0"/>
        <v>0</v>
      </c>
    </row>
    <row r="11" spans="1:9" x14ac:dyDescent="0.25">
      <c r="A11" s="3">
        <v>40118</v>
      </c>
      <c r="B11" s="4">
        <v>3104.25</v>
      </c>
      <c r="E11" s="1">
        <v>40118</v>
      </c>
      <c r="F11">
        <v>3104.25</v>
      </c>
      <c r="G11">
        <f t="shared" si="0"/>
        <v>0</v>
      </c>
    </row>
    <row r="12" spans="1:9" x14ac:dyDescent="0.25">
      <c r="A12" s="3">
        <v>40148</v>
      </c>
      <c r="B12" s="4">
        <v>2789.875</v>
      </c>
      <c r="E12" s="1">
        <v>40148</v>
      </c>
      <c r="F12">
        <v>2789.875</v>
      </c>
      <c r="G12">
        <f t="shared" si="0"/>
        <v>0</v>
      </c>
    </row>
    <row r="13" spans="1:9" x14ac:dyDescent="0.25">
      <c r="A13" s="3">
        <v>40179</v>
      </c>
      <c r="B13" s="4">
        <v>2994.98</v>
      </c>
      <c r="E13" s="1">
        <v>40179</v>
      </c>
      <c r="F13">
        <v>2994.98</v>
      </c>
      <c r="G13">
        <f t="shared" si="0"/>
        <v>0</v>
      </c>
    </row>
    <row r="14" spans="1:9" x14ac:dyDescent="0.25">
      <c r="A14" s="3">
        <v>40210</v>
      </c>
      <c r="B14" s="4">
        <v>2264.1999999999998</v>
      </c>
      <c r="E14" s="1">
        <v>40210</v>
      </c>
      <c r="F14">
        <v>2264.1999999999998</v>
      </c>
      <c r="G14">
        <f t="shared" si="0"/>
        <v>0</v>
      </c>
    </row>
    <row r="15" spans="1:9" x14ac:dyDescent="0.25">
      <c r="A15" s="3">
        <v>40238</v>
      </c>
      <c r="B15" s="4">
        <v>2717.3</v>
      </c>
      <c r="E15" s="1">
        <v>40238</v>
      </c>
      <c r="F15">
        <v>2717.3</v>
      </c>
      <c r="G15">
        <f t="shared" si="0"/>
        <v>0</v>
      </c>
    </row>
    <row r="16" spans="1:9" x14ac:dyDescent="0.25">
      <c r="A16" s="3">
        <v>40269</v>
      </c>
      <c r="B16" s="4">
        <v>2873.4799999999996</v>
      </c>
      <c r="E16" s="1">
        <v>40269</v>
      </c>
      <c r="F16">
        <v>2873.4799999999996</v>
      </c>
      <c r="G16">
        <f t="shared" si="0"/>
        <v>0</v>
      </c>
    </row>
    <row r="17" spans="1:7" x14ac:dyDescent="0.25">
      <c r="A17" s="3">
        <v>40299</v>
      </c>
      <c r="B17" s="4">
        <v>2344.125</v>
      </c>
      <c r="E17" s="1">
        <v>40299</v>
      </c>
      <c r="F17">
        <v>2344.125</v>
      </c>
      <c r="G17">
        <f t="shared" si="0"/>
        <v>0</v>
      </c>
    </row>
    <row r="18" spans="1:7" x14ac:dyDescent="0.25">
      <c r="A18" s="3">
        <v>40330</v>
      </c>
      <c r="B18" s="4">
        <v>2373.2250000000004</v>
      </c>
      <c r="E18" s="1">
        <v>40330</v>
      </c>
      <c r="F18">
        <v>2373.2250000000004</v>
      </c>
      <c r="G18">
        <f t="shared" si="0"/>
        <v>0</v>
      </c>
    </row>
    <row r="19" spans="1:7" x14ac:dyDescent="0.25">
      <c r="A19" s="3">
        <v>40360</v>
      </c>
      <c r="B19" s="4">
        <v>3224.7599999999998</v>
      </c>
      <c r="E19" s="1">
        <v>40360</v>
      </c>
      <c r="F19">
        <v>3224.7599999999998</v>
      </c>
      <c r="G19">
        <f t="shared" si="0"/>
        <v>0</v>
      </c>
    </row>
    <row r="20" spans="1:7" x14ac:dyDescent="0.25">
      <c r="A20" s="3">
        <v>40391</v>
      </c>
      <c r="B20" s="4">
        <v>3887.7</v>
      </c>
      <c r="E20" s="1">
        <v>40391</v>
      </c>
      <c r="F20">
        <v>3887.7</v>
      </c>
      <c r="G20">
        <f t="shared" si="0"/>
        <v>0</v>
      </c>
    </row>
    <row r="21" spans="1:7" x14ac:dyDescent="0.25">
      <c r="A21" s="3">
        <v>40422</v>
      </c>
      <c r="B21" s="4">
        <v>4139.2</v>
      </c>
      <c r="E21" s="1">
        <v>40422</v>
      </c>
      <c r="F21">
        <v>4139.2</v>
      </c>
      <c r="G21">
        <f t="shared" si="0"/>
        <v>0</v>
      </c>
    </row>
    <row r="22" spans="1:7" x14ac:dyDescent="0.25">
      <c r="A22" s="3">
        <v>40452</v>
      </c>
      <c r="B22" s="4">
        <v>4742</v>
      </c>
      <c r="E22" s="1">
        <v>40452</v>
      </c>
      <c r="F22">
        <v>4742</v>
      </c>
      <c r="G22">
        <f t="shared" si="0"/>
        <v>0</v>
      </c>
    </row>
    <row r="23" spans="1:7" x14ac:dyDescent="0.25">
      <c r="A23" s="3">
        <v>40483</v>
      </c>
      <c r="B23" s="4">
        <v>4505.125</v>
      </c>
      <c r="E23" s="1">
        <v>40483</v>
      </c>
      <c r="F23">
        <v>4505.125</v>
      </c>
      <c r="G23">
        <f t="shared" si="0"/>
        <v>0</v>
      </c>
    </row>
    <row r="24" spans="1:7" x14ac:dyDescent="0.25">
      <c r="A24" s="3">
        <v>40513</v>
      </c>
      <c r="B24" s="4">
        <v>4233.4400000000005</v>
      </c>
      <c r="E24" s="1">
        <v>40513</v>
      </c>
      <c r="F24">
        <v>4233.4400000000005</v>
      </c>
      <c r="G24">
        <f t="shared" si="0"/>
        <v>0</v>
      </c>
    </row>
    <row r="25" spans="1:7" x14ac:dyDescent="0.25">
      <c r="A25" s="3">
        <v>40544</v>
      </c>
      <c r="B25" s="4">
        <v>2753.35</v>
      </c>
      <c r="E25" s="1">
        <v>40544</v>
      </c>
      <c r="F25">
        <v>2753.35</v>
      </c>
      <c r="G25">
        <f t="shared" si="0"/>
        <v>0</v>
      </c>
    </row>
    <row r="26" spans="1:7" x14ac:dyDescent="0.25">
      <c r="A26" s="3">
        <v>40575</v>
      </c>
      <c r="B26" s="4">
        <v>2190.5500000000002</v>
      </c>
      <c r="E26" s="1">
        <v>40575</v>
      </c>
      <c r="F26">
        <v>2190.5500000000002</v>
      </c>
      <c r="G26">
        <f t="shared" si="0"/>
        <v>0</v>
      </c>
    </row>
    <row r="27" spans="1:7" x14ac:dyDescent="0.25">
      <c r="A27" s="3">
        <v>40603</v>
      </c>
      <c r="B27" s="4">
        <v>2055.35</v>
      </c>
      <c r="E27" s="1">
        <v>40603</v>
      </c>
      <c r="F27">
        <v>2055.35</v>
      </c>
      <c r="G27">
        <f t="shared" si="0"/>
        <v>0</v>
      </c>
    </row>
    <row r="28" spans="1:7" x14ac:dyDescent="0.25">
      <c r="A28" s="3">
        <v>40634</v>
      </c>
      <c r="B28" s="4">
        <v>2294.62</v>
      </c>
      <c r="E28" s="1">
        <v>40634</v>
      </c>
      <c r="F28">
        <v>2294.62</v>
      </c>
      <c r="G28">
        <f t="shared" si="0"/>
        <v>0</v>
      </c>
    </row>
    <row r="29" spans="1:7" x14ac:dyDescent="0.25">
      <c r="A29" s="3">
        <v>40664</v>
      </c>
      <c r="B29" s="4">
        <v>2051.4250000000002</v>
      </c>
      <c r="E29" s="1">
        <v>40664</v>
      </c>
      <c r="F29">
        <v>2051.4250000000002</v>
      </c>
      <c r="G29">
        <f t="shared" si="0"/>
        <v>0</v>
      </c>
    </row>
    <row r="30" spans="1:7" x14ac:dyDescent="0.25">
      <c r="A30" s="3">
        <v>40695</v>
      </c>
      <c r="B30" s="4">
        <v>2220.7249999999999</v>
      </c>
      <c r="E30" s="1">
        <v>40695</v>
      </c>
      <c r="F30">
        <v>2220.7249999999999</v>
      </c>
      <c r="G30">
        <f t="shared" si="0"/>
        <v>0</v>
      </c>
    </row>
    <row r="31" spans="1:7" x14ac:dyDescent="0.25">
      <c r="A31" s="3">
        <v>40725</v>
      </c>
      <c r="B31" s="4">
        <v>2613.84</v>
      </c>
      <c r="E31" s="1">
        <v>40725</v>
      </c>
      <c r="F31">
        <v>2613.84</v>
      </c>
      <c r="G31">
        <f t="shared" si="0"/>
        <v>0</v>
      </c>
    </row>
    <row r="32" spans="1:7" x14ac:dyDescent="0.25">
      <c r="A32" s="3">
        <v>40756</v>
      </c>
      <c r="B32" s="4">
        <v>2478.4749999999999</v>
      </c>
      <c r="E32" s="1">
        <v>40756</v>
      </c>
      <c r="F32">
        <v>2478.4749999999999</v>
      </c>
      <c r="G32">
        <f t="shared" si="0"/>
        <v>0</v>
      </c>
    </row>
    <row r="33" spans="1:7" x14ac:dyDescent="0.25">
      <c r="A33" s="3">
        <v>40787</v>
      </c>
      <c r="B33" s="4">
        <v>3350.22</v>
      </c>
      <c r="E33" s="1">
        <v>40787</v>
      </c>
      <c r="F33">
        <v>3350.22</v>
      </c>
      <c r="G33">
        <f t="shared" si="0"/>
        <v>0</v>
      </c>
    </row>
    <row r="34" spans="1:7" x14ac:dyDescent="0.25">
      <c r="A34" s="3">
        <v>40817</v>
      </c>
      <c r="B34" s="4">
        <v>3431.33</v>
      </c>
      <c r="E34" s="1">
        <v>40817</v>
      </c>
      <c r="F34">
        <v>3431.33</v>
      </c>
      <c r="G34">
        <f t="shared" si="0"/>
        <v>0</v>
      </c>
    </row>
    <row r="35" spans="1:7" x14ac:dyDescent="0.25">
      <c r="A35" s="3">
        <v>40848</v>
      </c>
      <c r="B35" s="4">
        <v>3931.7775000000001</v>
      </c>
      <c r="E35" s="1">
        <v>40848</v>
      </c>
      <c r="F35">
        <v>3931.7775000000001</v>
      </c>
      <c r="G35">
        <f t="shared" si="0"/>
        <v>0</v>
      </c>
    </row>
    <row r="36" spans="1:7" x14ac:dyDescent="0.25">
      <c r="A36" s="3">
        <v>40878</v>
      </c>
      <c r="B36" s="4">
        <v>3576.4379999999996</v>
      </c>
      <c r="E36" s="1">
        <v>40878</v>
      </c>
      <c r="F36">
        <v>3576.4379999999996</v>
      </c>
      <c r="G36">
        <f t="shared" si="0"/>
        <v>0</v>
      </c>
    </row>
    <row r="37" spans="1:7" x14ac:dyDescent="0.25">
      <c r="A37" s="3">
        <v>40909</v>
      </c>
      <c r="B37" s="4">
        <v>3298.4224999999997</v>
      </c>
      <c r="E37" s="1">
        <v>40909</v>
      </c>
      <c r="F37">
        <v>3298.4224999999997</v>
      </c>
      <c r="G37">
        <f t="shared" si="0"/>
        <v>0</v>
      </c>
    </row>
    <row r="38" spans="1:7" x14ac:dyDescent="0.25">
      <c r="A38" s="3">
        <v>40940</v>
      </c>
      <c r="B38" s="4">
        <v>3761.1224999999995</v>
      </c>
      <c r="E38" s="1">
        <v>40940</v>
      </c>
      <c r="F38">
        <v>3761.1224999999995</v>
      </c>
      <c r="G38">
        <f t="shared" si="0"/>
        <v>0</v>
      </c>
    </row>
    <row r="39" spans="1:7" x14ac:dyDescent="0.25">
      <c r="A39" s="3">
        <v>40969</v>
      </c>
      <c r="B39" s="4">
        <v>4347.96</v>
      </c>
      <c r="E39" s="1">
        <v>40969</v>
      </c>
      <c r="F39">
        <v>4347.96</v>
      </c>
      <c r="G39">
        <f t="shared" si="0"/>
        <v>0</v>
      </c>
    </row>
    <row r="40" spans="1:7" x14ac:dyDescent="0.25">
      <c r="A40" s="3">
        <v>41000</v>
      </c>
      <c r="B40" s="4">
        <v>3985.4249999999997</v>
      </c>
      <c r="E40" s="1">
        <v>41000</v>
      </c>
      <c r="F40">
        <v>3985.4249999999997</v>
      </c>
      <c r="G40">
        <f t="shared" si="0"/>
        <v>0</v>
      </c>
    </row>
    <row r="41" spans="1:7" x14ac:dyDescent="0.25">
      <c r="A41" s="3">
        <v>41030</v>
      </c>
      <c r="B41" s="4">
        <v>3604.75</v>
      </c>
      <c r="E41" s="1">
        <v>41030</v>
      </c>
      <c r="F41">
        <v>3604.75</v>
      </c>
      <c r="G41">
        <f t="shared" si="0"/>
        <v>0</v>
      </c>
    </row>
    <row r="42" spans="1:7" x14ac:dyDescent="0.25">
      <c r="A42" s="3">
        <v>41061</v>
      </c>
      <c r="B42" s="4">
        <v>3962.6400000000003</v>
      </c>
      <c r="E42" s="1">
        <v>41061</v>
      </c>
      <c r="F42">
        <v>3962.6400000000003</v>
      </c>
      <c r="G42">
        <f t="shared" si="0"/>
        <v>0</v>
      </c>
    </row>
    <row r="43" spans="1:7" x14ac:dyDescent="0.25">
      <c r="A43" s="3">
        <v>41091</v>
      </c>
      <c r="B43" s="4">
        <v>4896.2749999999996</v>
      </c>
      <c r="E43" s="1">
        <v>41091</v>
      </c>
      <c r="F43">
        <v>4896.2749999999996</v>
      </c>
      <c r="G43">
        <f t="shared" si="0"/>
        <v>0</v>
      </c>
    </row>
    <row r="44" spans="1:7" x14ac:dyDescent="0.25">
      <c r="A44" s="3">
        <v>41122</v>
      </c>
      <c r="B44" s="4">
        <v>4911.5399999999991</v>
      </c>
      <c r="E44" s="1">
        <v>41122</v>
      </c>
      <c r="F44">
        <v>4911.5399999999991</v>
      </c>
      <c r="G44">
        <f t="shared" si="0"/>
        <v>0</v>
      </c>
    </row>
    <row r="45" spans="1:7" x14ac:dyDescent="0.25">
      <c r="A45" s="3">
        <v>41153</v>
      </c>
      <c r="B45" s="4">
        <v>5122.3999999999996</v>
      </c>
      <c r="E45" s="1">
        <v>41153</v>
      </c>
      <c r="F45">
        <v>5122.3999999999996</v>
      </c>
      <c r="G45">
        <f t="shared" si="0"/>
        <v>0</v>
      </c>
    </row>
    <row r="46" spans="1:7" x14ac:dyDescent="0.25">
      <c r="A46" s="3">
        <v>41183</v>
      </c>
      <c r="B46" s="4">
        <v>4514.25</v>
      </c>
      <c r="E46" s="1">
        <v>41183</v>
      </c>
      <c r="F46">
        <v>4514.25</v>
      </c>
      <c r="G46">
        <f t="shared" si="0"/>
        <v>0</v>
      </c>
    </row>
    <row r="47" spans="1:7" x14ac:dyDescent="0.25">
      <c r="A47" s="3">
        <v>41214</v>
      </c>
      <c r="B47" s="4">
        <v>5354.3399999999992</v>
      </c>
      <c r="E47" s="1">
        <v>41214</v>
      </c>
      <c r="F47">
        <v>5354.3399999999992</v>
      </c>
      <c r="G47">
        <f t="shared" si="0"/>
        <v>0</v>
      </c>
    </row>
    <row r="48" spans="1:7" x14ac:dyDescent="0.25">
      <c r="A48" s="3">
        <v>41244</v>
      </c>
      <c r="B48" s="4">
        <v>4539.3</v>
      </c>
      <c r="E48" s="1">
        <v>41244</v>
      </c>
      <c r="F48">
        <v>4539.3</v>
      </c>
      <c r="G48">
        <f t="shared" si="0"/>
        <v>0</v>
      </c>
    </row>
    <row r="49" spans="1:7" x14ac:dyDescent="0.25">
      <c r="A49" s="3">
        <v>41275</v>
      </c>
      <c r="B49" s="4">
        <v>4798.55</v>
      </c>
      <c r="E49" s="1">
        <v>41275</v>
      </c>
      <c r="F49">
        <v>4798.55</v>
      </c>
      <c r="G49">
        <f t="shared" si="0"/>
        <v>0</v>
      </c>
    </row>
    <row r="50" spans="1:7" x14ac:dyDescent="0.25">
      <c r="A50" s="3">
        <v>41306</v>
      </c>
      <c r="B50" s="4">
        <v>3996.5</v>
      </c>
      <c r="E50" s="1">
        <v>41306</v>
      </c>
      <c r="F50">
        <v>3996.5</v>
      </c>
      <c r="G50">
        <f t="shared" si="0"/>
        <v>0</v>
      </c>
    </row>
    <row r="51" spans="1:7" x14ac:dyDescent="0.25">
      <c r="A51" s="3">
        <v>41334</v>
      </c>
      <c r="B51" s="4">
        <v>4491.9800000000005</v>
      </c>
      <c r="E51" s="1">
        <v>41334</v>
      </c>
      <c r="F51">
        <v>4491.9800000000005</v>
      </c>
      <c r="G51">
        <f t="shared" si="0"/>
        <v>0</v>
      </c>
    </row>
    <row r="52" spans="1:7" x14ac:dyDescent="0.25">
      <c r="A52" s="3">
        <v>41365</v>
      </c>
      <c r="B52" s="4">
        <v>4348.45</v>
      </c>
      <c r="E52" s="1">
        <v>41365</v>
      </c>
      <c r="F52">
        <v>4348.45</v>
      </c>
      <c r="G52">
        <f t="shared" si="0"/>
        <v>0</v>
      </c>
    </row>
    <row r="53" spans="1:7" x14ac:dyDescent="0.25">
      <c r="A53" s="3">
        <v>41395</v>
      </c>
      <c r="B53" s="4">
        <v>4492.5199999999995</v>
      </c>
      <c r="E53" s="1">
        <v>41395</v>
      </c>
      <c r="F53">
        <v>4492.5199999999995</v>
      </c>
      <c r="G53">
        <f t="shared" si="0"/>
        <v>0</v>
      </c>
    </row>
    <row r="54" spans="1:7" x14ac:dyDescent="0.25">
      <c r="A54" s="3">
        <v>41426</v>
      </c>
      <c r="B54" s="4">
        <v>4777.5999999999995</v>
      </c>
      <c r="E54" s="1">
        <v>41426</v>
      </c>
      <c r="F54">
        <v>4777.5999999999995</v>
      </c>
      <c r="G54">
        <f t="shared" si="0"/>
        <v>0</v>
      </c>
    </row>
    <row r="55" spans="1:7" x14ac:dyDescent="0.25">
      <c r="A55" s="3">
        <v>41456</v>
      </c>
      <c r="B55" s="4">
        <v>3354.4</v>
      </c>
      <c r="E55" s="1">
        <v>41456</v>
      </c>
      <c r="F55">
        <v>3354.4</v>
      </c>
      <c r="G55">
        <f t="shared" si="0"/>
        <v>0</v>
      </c>
    </row>
    <row r="56" spans="1:7" x14ac:dyDescent="0.25">
      <c r="A56" s="3">
        <v>41487</v>
      </c>
      <c r="B56" s="4">
        <v>2550.44</v>
      </c>
      <c r="E56" s="1">
        <v>41487</v>
      </c>
      <c r="F56">
        <v>2550.44</v>
      </c>
      <c r="G56">
        <f t="shared" si="0"/>
        <v>0</v>
      </c>
    </row>
    <row r="57" spans="1:7" x14ac:dyDescent="0.25">
      <c r="A57" s="3">
        <v>41518</v>
      </c>
      <c r="B57" s="4">
        <v>2154.2999999999997</v>
      </c>
      <c r="E57" s="1">
        <v>41518</v>
      </c>
      <c r="F57">
        <v>2154.2999999999997</v>
      </c>
      <c r="G57">
        <f t="shared" si="0"/>
        <v>0</v>
      </c>
    </row>
    <row r="58" spans="1:7" x14ac:dyDescent="0.25">
      <c r="A58" s="3">
        <v>41548</v>
      </c>
      <c r="B58" s="4">
        <v>1779.575</v>
      </c>
      <c r="E58" s="1">
        <v>41548</v>
      </c>
      <c r="F58">
        <v>1779.575</v>
      </c>
      <c r="G58">
        <f t="shared" si="0"/>
        <v>1</v>
      </c>
    </row>
    <row r="59" spans="1:7" x14ac:dyDescent="0.25">
      <c r="A59" s="3">
        <v>41579</v>
      </c>
      <c r="B59" s="4">
        <v>1985.44</v>
      </c>
      <c r="E59" s="1">
        <v>41579</v>
      </c>
      <c r="F59">
        <v>1985.44</v>
      </c>
      <c r="G59">
        <f t="shared" si="0"/>
        <v>0</v>
      </c>
    </row>
    <row r="60" spans="1:7" x14ac:dyDescent="0.25">
      <c r="A60" s="3">
        <v>41609</v>
      </c>
      <c r="B60" s="4">
        <v>2088.4249999999997</v>
      </c>
      <c r="E60" s="1">
        <v>41609</v>
      </c>
      <c r="F60">
        <v>2088.4249999999997</v>
      </c>
      <c r="G60">
        <f t="shared" si="0"/>
        <v>0</v>
      </c>
    </row>
    <row r="61" spans="1:7" x14ac:dyDescent="0.25">
      <c r="A61" s="3">
        <v>41640</v>
      </c>
      <c r="B61" s="4">
        <v>1637.96</v>
      </c>
      <c r="E61" s="1">
        <v>41640</v>
      </c>
      <c r="F61">
        <v>1637.96</v>
      </c>
      <c r="G61">
        <f t="shared" si="0"/>
        <v>1</v>
      </c>
    </row>
    <row r="62" spans="1:7" x14ac:dyDescent="0.25">
      <c r="A62" s="3">
        <v>41671</v>
      </c>
      <c r="B62" s="4">
        <v>1475.7750000000001</v>
      </c>
      <c r="E62" s="1">
        <v>41671</v>
      </c>
      <c r="F62">
        <v>1475.7750000000001</v>
      </c>
      <c r="G62">
        <f t="shared" si="0"/>
        <v>1</v>
      </c>
    </row>
    <row r="63" spans="1:7" x14ac:dyDescent="0.25">
      <c r="A63" s="3">
        <v>41699</v>
      </c>
      <c r="B63" s="4">
        <v>1668.2249999999999</v>
      </c>
      <c r="E63" s="1">
        <v>41699</v>
      </c>
      <c r="F63">
        <v>1668.2249999999999</v>
      </c>
      <c r="G63">
        <f t="shared" si="0"/>
        <v>1</v>
      </c>
    </row>
    <row r="64" spans="1:7" x14ac:dyDescent="0.25">
      <c r="A64" s="3">
        <v>41730</v>
      </c>
      <c r="B64" s="4">
        <v>1538.7250000000001</v>
      </c>
      <c r="E64" s="1">
        <v>41730</v>
      </c>
      <c r="F64">
        <v>1538.7250000000001</v>
      </c>
      <c r="G64">
        <f t="shared" si="0"/>
        <v>1</v>
      </c>
    </row>
    <row r="65" spans="1:7" x14ac:dyDescent="0.25">
      <c r="A65" s="3">
        <v>41760</v>
      </c>
      <c r="B65" s="4">
        <v>1384.4399999999998</v>
      </c>
      <c r="E65" s="1">
        <v>41760</v>
      </c>
      <c r="F65">
        <v>1384.4399999999998</v>
      </c>
      <c r="G65">
        <f t="shared" si="0"/>
        <v>1</v>
      </c>
    </row>
    <row r="66" spans="1:7" x14ac:dyDescent="0.25">
      <c r="A66" s="3">
        <v>41791</v>
      </c>
      <c r="B66" s="4">
        <v>1347.4749999999999</v>
      </c>
      <c r="E66" s="1">
        <v>41791</v>
      </c>
      <c r="F66">
        <v>1347.4749999999999</v>
      </c>
      <c r="G66">
        <f t="shared" si="0"/>
        <v>1</v>
      </c>
    </row>
    <row r="67" spans="1:7" x14ac:dyDescent="0.25">
      <c r="A67" s="3">
        <v>41821</v>
      </c>
      <c r="B67" s="4">
        <v>1414.7249999999999</v>
      </c>
      <c r="E67" s="1">
        <v>41821</v>
      </c>
      <c r="F67">
        <v>1414.7249999999999</v>
      </c>
      <c r="G67">
        <f t="shared" ref="G67:G113" si="1">IF(F67&lt;$I$2,1,0)</f>
        <v>1</v>
      </c>
    </row>
    <row r="68" spans="1:7" x14ac:dyDescent="0.25">
      <c r="A68" s="3">
        <v>41852</v>
      </c>
      <c r="B68" s="4">
        <v>1337.02</v>
      </c>
      <c r="E68" s="1">
        <v>41852</v>
      </c>
      <c r="F68">
        <v>1337.02</v>
      </c>
      <c r="G68">
        <f t="shared" si="1"/>
        <v>1</v>
      </c>
    </row>
    <row r="69" spans="1:7" x14ac:dyDescent="0.25">
      <c r="A69" s="3">
        <v>41883</v>
      </c>
      <c r="B69" s="4">
        <v>1345.9</v>
      </c>
      <c r="E69" s="1">
        <v>41883</v>
      </c>
      <c r="F69">
        <v>1345.9</v>
      </c>
      <c r="G69">
        <f t="shared" si="1"/>
        <v>1</v>
      </c>
    </row>
    <row r="70" spans="1:7" x14ac:dyDescent="0.25">
      <c r="A70" s="3">
        <v>41913</v>
      </c>
      <c r="B70" s="4">
        <v>1354</v>
      </c>
      <c r="E70" s="1">
        <v>41913</v>
      </c>
      <c r="F70">
        <v>1354</v>
      </c>
      <c r="G70">
        <f t="shared" si="1"/>
        <v>1</v>
      </c>
    </row>
    <row r="71" spans="1:7" x14ac:dyDescent="0.25">
      <c r="A71" s="3">
        <v>41944</v>
      </c>
      <c r="B71" s="4">
        <v>1501.6000000000001</v>
      </c>
      <c r="E71" s="1">
        <v>41944</v>
      </c>
      <c r="F71">
        <v>1501.6000000000001</v>
      </c>
      <c r="G71">
        <f t="shared" si="1"/>
        <v>1</v>
      </c>
    </row>
    <row r="72" spans="1:7" x14ac:dyDescent="0.25">
      <c r="A72" s="3">
        <v>41974</v>
      </c>
      <c r="B72" s="4">
        <v>1632.85</v>
      </c>
      <c r="E72" s="1">
        <v>41974</v>
      </c>
      <c r="F72">
        <v>1632.85</v>
      </c>
      <c r="G72">
        <f t="shared" si="1"/>
        <v>1</v>
      </c>
    </row>
    <row r="73" spans="1:7" x14ac:dyDescent="0.25">
      <c r="A73" s="3">
        <v>42005</v>
      </c>
      <c r="B73" s="4">
        <v>1492.5800000000002</v>
      </c>
      <c r="E73" s="1">
        <v>42005</v>
      </c>
      <c r="F73">
        <v>1492.5800000000002</v>
      </c>
      <c r="G73">
        <f t="shared" si="1"/>
        <v>1</v>
      </c>
    </row>
    <row r="74" spans="1:7" x14ac:dyDescent="0.25">
      <c r="A74" s="3">
        <v>42036</v>
      </c>
      <c r="B74" s="4">
        <v>1867.4250000000002</v>
      </c>
      <c r="E74" s="1">
        <v>42036</v>
      </c>
      <c r="F74">
        <v>1867.4250000000002</v>
      </c>
      <c r="G74">
        <f t="shared" si="1"/>
        <v>0</v>
      </c>
    </row>
    <row r="75" spans="1:7" x14ac:dyDescent="0.25">
      <c r="A75" s="3">
        <v>42064</v>
      </c>
      <c r="B75" s="4">
        <v>2420.9749999999999</v>
      </c>
      <c r="E75" s="1">
        <v>42064</v>
      </c>
      <c r="F75">
        <v>2420.9749999999999</v>
      </c>
      <c r="G75">
        <f t="shared" si="1"/>
        <v>0</v>
      </c>
    </row>
    <row r="76" spans="1:7" x14ac:dyDescent="0.25">
      <c r="A76" s="3">
        <v>42095</v>
      </c>
      <c r="B76" s="4">
        <v>1816.925</v>
      </c>
      <c r="E76" s="1">
        <v>42095</v>
      </c>
      <c r="F76">
        <v>1816.925</v>
      </c>
      <c r="G76">
        <f t="shared" si="1"/>
        <v>0</v>
      </c>
    </row>
    <row r="77" spans="1:7" x14ac:dyDescent="0.25">
      <c r="A77" s="3">
        <v>42125</v>
      </c>
      <c r="B77" s="4">
        <v>1942.3200000000002</v>
      </c>
      <c r="E77" s="1">
        <v>42125</v>
      </c>
      <c r="F77">
        <v>1942.3200000000002</v>
      </c>
      <c r="G77">
        <f t="shared" si="1"/>
        <v>0</v>
      </c>
    </row>
    <row r="78" spans="1:7" x14ac:dyDescent="0.25">
      <c r="A78" s="3">
        <v>42156</v>
      </c>
      <c r="B78" s="4">
        <v>1686.0749999999998</v>
      </c>
      <c r="E78" s="1">
        <v>42156</v>
      </c>
      <c r="F78">
        <v>1686.0749999999998</v>
      </c>
      <c r="G78">
        <f t="shared" si="1"/>
        <v>1</v>
      </c>
    </row>
    <row r="79" spans="1:7" x14ac:dyDescent="0.25">
      <c r="A79" s="3">
        <v>42186</v>
      </c>
      <c r="B79" s="4">
        <v>1417.6200000000001</v>
      </c>
      <c r="E79" s="1">
        <v>42186</v>
      </c>
      <c r="F79">
        <v>1417.6200000000001</v>
      </c>
      <c r="G79">
        <f t="shared" si="1"/>
        <v>1</v>
      </c>
    </row>
    <row r="80" spans="1:7" x14ac:dyDescent="0.25">
      <c r="A80" s="3">
        <v>42217</v>
      </c>
      <c r="B80" s="4">
        <v>1356.95</v>
      </c>
      <c r="E80" s="1">
        <v>42217</v>
      </c>
      <c r="F80">
        <v>1356.95</v>
      </c>
      <c r="G80">
        <f t="shared" si="1"/>
        <v>1</v>
      </c>
    </row>
    <row r="81" spans="1:7" x14ac:dyDescent="0.25">
      <c r="A81" s="3">
        <v>42248</v>
      </c>
      <c r="B81" s="4">
        <v>1518.9749999999999</v>
      </c>
      <c r="E81" s="1">
        <v>42248</v>
      </c>
      <c r="F81">
        <v>1518.9749999999999</v>
      </c>
      <c r="G81">
        <f t="shared" si="1"/>
        <v>1</v>
      </c>
    </row>
    <row r="82" spans="1:7" x14ac:dyDescent="0.25">
      <c r="A82" s="3">
        <v>42278</v>
      </c>
      <c r="B82" s="4">
        <v>1727.1599999999999</v>
      </c>
      <c r="E82" s="1">
        <v>42278</v>
      </c>
      <c r="F82">
        <v>1727.1599999999999</v>
      </c>
      <c r="G82">
        <f t="shared" si="1"/>
        <v>1</v>
      </c>
    </row>
    <row r="83" spans="1:7" x14ac:dyDescent="0.25">
      <c r="A83" s="3">
        <v>42309</v>
      </c>
      <c r="B83" s="4">
        <v>1802.05</v>
      </c>
      <c r="E83" s="1">
        <v>42309</v>
      </c>
      <c r="F83">
        <v>1802.05</v>
      </c>
      <c r="G83">
        <f t="shared" si="1"/>
        <v>1</v>
      </c>
    </row>
    <row r="84" spans="1:7" x14ac:dyDescent="0.25">
      <c r="A84" s="3">
        <v>42339</v>
      </c>
      <c r="B84" s="4">
        <v>1687.95</v>
      </c>
      <c r="E84" s="1">
        <v>42339</v>
      </c>
      <c r="F84">
        <v>1687.95</v>
      </c>
      <c r="G84">
        <f t="shared" si="1"/>
        <v>1</v>
      </c>
    </row>
    <row r="85" spans="1:7" x14ac:dyDescent="0.25">
      <c r="A85" s="3">
        <v>42370</v>
      </c>
      <c r="B85" s="4">
        <v>1611.32</v>
      </c>
      <c r="E85" s="1">
        <v>42370</v>
      </c>
      <c r="F85">
        <v>1611.32</v>
      </c>
      <c r="G85">
        <f t="shared" si="1"/>
        <v>1</v>
      </c>
    </row>
    <row r="86" spans="1:7" x14ac:dyDescent="0.25">
      <c r="A86" s="3">
        <v>42401</v>
      </c>
      <c r="B86" s="4">
        <v>1351.55</v>
      </c>
      <c r="E86" s="1">
        <v>42401</v>
      </c>
      <c r="F86">
        <v>1351.55</v>
      </c>
      <c r="G86">
        <f t="shared" si="1"/>
        <v>1</v>
      </c>
    </row>
    <row r="87" spans="1:7" x14ac:dyDescent="0.25">
      <c r="A87" s="3">
        <v>42430</v>
      </c>
      <c r="B87" s="4">
        <v>2056</v>
      </c>
      <c r="E87" s="1">
        <v>42430</v>
      </c>
      <c r="F87">
        <v>2056</v>
      </c>
      <c r="G87">
        <f t="shared" si="1"/>
        <v>0</v>
      </c>
    </row>
    <row r="88" spans="1:7" x14ac:dyDescent="0.25">
      <c r="A88" s="3">
        <v>42461</v>
      </c>
      <c r="B88" s="4">
        <v>2042.6999999999996</v>
      </c>
      <c r="E88" s="1">
        <v>42461</v>
      </c>
      <c r="F88">
        <v>2042.6999999999996</v>
      </c>
      <c r="G88">
        <f t="shared" si="1"/>
        <v>0</v>
      </c>
    </row>
    <row r="89" spans="1:7" x14ac:dyDescent="0.25">
      <c r="A89" s="3">
        <v>42491</v>
      </c>
      <c r="B89" s="4">
        <v>1997.5250000000001</v>
      </c>
      <c r="E89" s="1">
        <v>42491</v>
      </c>
      <c r="F89">
        <v>1997.5250000000001</v>
      </c>
      <c r="G89">
        <f t="shared" si="1"/>
        <v>0</v>
      </c>
    </row>
    <row r="90" spans="1:7" x14ac:dyDescent="0.25">
      <c r="A90" s="3">
        <v>42522</v>
      </c>
      <c r="B90" s="4">
        <v>1995.5749999999998</v>
      </c>
      <c r="E90" s="1">
        <v>42522</v>
      </c>
      <c r="F90">
        <v>1995.5749999999998</v>
      </c>
      <c r="G90">
        <f t="shared" si="1"/>
        <v>0</v>
      </c>
    </row>
    <row r="91" spans="1:7" x14ac:dyDescent="0.25">
      <c r="A91" s="3">
        <v>42552</v>
      </c>
      <c r="B91" s="4">
        <v>2049.88</v>
      </c>
      <c r="E91" s="1">
        <v>42552</v>
      </c>
      <c r="F91">
        <v>2049.88</v>
      </c>
      <c r="G91">
        <f t="shared" si="1"/>
        <v>0</v>
      </c>
    </row>
    <row r="92" spans="1:7" x14ac:dyDescent="0.25">
      <c r="A92" s="3">
        <v>42583</v>
      </c>
      <c r="B92" s="4">
        <v>2607.4499999999998</v>
      </c>
      <c r="E92" s="1">
        <v>42583</v>
      </c>
      <c r="F92">
        <v>2607.4499999999998</v>
      </c>
      <c r="G92">
        <f t="shared" si="1"/>
        <v>0</v>
      </c>
    </row>
    <row r="93" spans="1:7" x14ac:dyDescent="0.25">
      <c r="A93" s="3">
        <v>42614</v>
      </c>
      <c r="B93" s="4">
        <v>2411.4</v>
      </c>
      <c r="E93" s="1">
        <v>42614</v>
      </c>
      <c r="F93">
        <v>2411.4</v>
      </c>
      <c r="G93">
        <f t="shared" si="1"/>
        <v>0</v>
      </c>
    </row>
    <row r="94" spans="1:7" x14ac:dyDescent="0.25">
      <c r="A94" s="3">
        <v>42644</v>
      </c>
      <c r="B94" s="4">
        <v>2427.4</v>
      </c>
      <c r="E94" s="1">
        <v>42644</v>
      </c>
      <c r="F94">
        <v>2427.4</v>
      </c>
      <c r="G94">
        <f t="shared" si="1"/>
        <v>0</v>
      </c>
    </row>
    <row r="95" spans="1:7" x14ac:dyDescent="0.25">
      <c r="A95" s="3">
        <v>42675</v>
      </c>
      <c r="B95" s="4">
        <v>2253.8999999999996</v>
      </c>
      <c r="E95" s="1">
        <v>42675</v>
      </c>
      <c r="F95">
        <v>2253.8999999999996</v>
      </c>
      <c r="G95">
        <f t="shared" si="1"/>
        <v>0</v>
      </c>
    </row>
    <row r="96" spans="1:7" x14ac:dyDescent="0.25">
      <c r="A96" s="3">
        <v>42705</v>
      </c>
      <c r="B96" s="4">
        <v>1961.3400000000001</v>
      </c>
      <c r="E96" s="1">
        <v>42705</v>
      </c>
      <c r="F96">
        <v>1961.3400000000001</v>
      </c>
      <c r="G96">
        <f t="shared" si="1"/>
        <v>0</v>
      </c>
    </row>
    <row r="97" spans="1:7" x14ac:dyDescent="0.25">
      <c r="A97" s="3">
        <v>42736</v>
      </c>
      <c r="B97" s="4">
        <v>1446.4</v>
      </c>
      <c r="E97" s="1">
        <v>42736</v>
      </c>
      <c r="F97">
        <v>1446.4</v>
      </c>
      <c r="G97">
        <f t="shared" si="1"/>
        <v>1</v>
      </c>
    </row>
    <row r="98" spans="1:7" x14ac:dyDescent="0.25">
      <c r="A98" s="3">
        <v>42767</v>
      </c>
      <c r="B98" s="4">
        <v>1172.675</v>
      </c>
      <c r="E98" s="1">
        <v>42767</v>
      </c>
      <c r="F98">
        <v>1172.675</v>
      </c>
      <c r="G98">
        <f t="shared" si="1"/>
        <v>1</v>
      </c>
    </row>
    <row r="99" spans="1:7" x14ac:dyDescent="0.25">
      <c r="A99" s="3">
        <v>42795</v>
      </c>
      <c r="B99" s="4">
        <v>1251.52</v>
      </c>
      <c r="E99" s="1">
        <v>42795</v>
      </c>
      <c r="F99">
        <v>1251.52</v>
      </c>
      <c r="G99">
        <f t="shared" si="1"/>
        <v>1</v>
      </c>
    </row>
    <row r="100" spans="1:7" x14ac:dyDescent="0.25">
      <c r="A100" s="3">
        <v>42826</v>
      </c>
      <c r="B100" s="4">
        <v>1356.9499999999998</v>
      </c>
      <c r="E100" s="1">
        <v>42826</v>
      </c>
      <c r="F100">
        <v>1356.9499999999998</v>
      </c>
      <c r="G100">
        <f t="shared" si="1"/>
        <v>1</v>
      </c>
    </row>
    <row r="101" spans="1:7" x14ac:dyDescent="0.25">
      <c r="A101" s="3">
        <v>42856</v>
      </c>
      <c r="B101" s="4">
        <v>1286.45</v>
      </c>
      <c r="E101" s="1">
        <v>42856</v>
      </c>
      <c r="F101">
        <v>1286.45</v>
      </c>
      <c r="G101">
        <f t="shared" si="1"/>
        <v>1</v>
      </c>
    </row>
    <row r="102" spans="1:7" x14ac:dyDescent="0.25">
      <c r="A102" s="3">
        <v>42887</v>
      </c>
      <c r="B102" s="4">
        <v>1336.8799999999999</v>
      </c>
      <c r="E102" s="1">
        <v>42887</v>
      </c>
      <c r="F102">
        <v>1336.8799999999999</v>
      </c>
      <c r="G102">
        <f t="shared" si="1"/>
        <v>1</v>
      </c>
    </row>
    <row r="103" spans="1:7" x14ac:dyDescent="0.25">
      <c r="A103" s="3">
        <v>42917</v>
      </c>
      <c r="B103" s="4">
        <v>1428.3500000000001</v>
      </c>
      <c r="E103" s="1">
        <v>42917</v>
      </c>
      <c r="F103">
        <v>1428.3500000000001</v>
      </c>
      <c r="G103">
        <f t="shared" si="1"/>
        <v>1</v>
      </c>
    </row>
    <row r="104" spans="1:7" x14ac:dyDescent="0.25">
      <c r="A104" s="3">
        <v>42948</v>
      </c>
      <c r="B104" s="4">
        <v>1341.375</v>
      </c>
      <c r="E104" s="1">
        <v>42948</v>
      </c>
      <c r="F104">
        <v>1341.375</v>
      </c>
      <c r="G104">
        <f t="shared" si="1"/>
        <v>1</v>
      </c>
    </row>
    <row r="105" spans="1:7" x14ac:dyDescent="0.25">
      <c r="A105" s="3">
        <v>42979</v>
      </c>
      <c r="B105" s="4">
        <v>1424.86</v>
      </c>
      <c r="E105" s="1">
        <v>42979</v>
      </c>
      <c r="F105">
        <v>1424.86</v>
      </c>
      <c r="G105">
        <f t="shared" si="1"/>
        <v>1</v>
      </c>
    </row>
    <row r="106" spans="1:7" x14ac:dyDescent="0.25">
      <c r="A106" s="3">
        <v>43009</v>
      </c>
      <c r="B106" s="4">
        <v>1516.875</v>
      </c>
      <c r="E106" s="1">
        <v>43009</v>
      </c>
      <c r="F106">
        <v>1516.875</v>
      </c>
      <c r="G106">
        <f t="shared" si="1"/>
        <v>1</v>
      </c>
    </row>
    <row r="107" spans="1:7" x14ac:dyDescent="0.25">
      <c r="A107" s="3">
        <v>43040</v>
      </c>
      <c r="B107" s="4">
        <v>1405.9</v>
      </c>
      <c r="E107" s="1">
        <v>43040</v>
      </c>
      <c r="F107">
        <v>1405.9</v>
      </c>
      <c r="G107">
        <f t="shared" si="1"/>
        <v>1</v>
      </c>
    </row>
    <row r="108" spans="1:7" x14ac:dyDescent="0.25">
      <c r="A108" s="3">
        <v>43070</v>
      </c>
      <c r="B108" s="4">
        <v>1324.6200000000001</v>
      </c>
      <c r="E108" s="1">
        <v>43070</v>
      </c>
      <c r="F108">
        <v>1324.6200000000001</v>
      </c>
      <c r="G108">
        <f t="shared" si="1"/>
        <v>1</v>
      </c>
    </row>
    <row r="109" spans="1:7" x14ac:dyDescent="0.25">
      <c r="A109" s="3">
        <v>43101</v>
      </c>
      <c r="B109" s="4">
        <v>1260.125</v>
      </c>
      <c r="E109" s="1">
        <v>43101</v>
      </c>
      <c r="F109">
        <v>1260.125</v>
      </c>
      <c r="G109">
        <f t="shared" si="1"/>
        <v>1</v>
      </c>
    </row>
    <row r="110" spans="1:7" x14ac:dyDescent="0.25">
      <c r="A110" s="3">
        <v>43132</v>
      </c>
      <c r="B110" s="4">
        <v>1209.825</v>
      </c>
      <c r="E110" s="1">
        <v>43132</v>
      </c>
      <c r="F110">
        <v>1209.825</v>
      </c>
      <c r="G110">
        <f t="shared" si="1"/>
        <v>1</v>
      </c>
    </row>
    <row r="111" spans="1:7" x14ac:dyDescent="0.25">
      <c r="A111" s="3">
        <v>43160</v>
      </c>
      <c r="B111" s="4">
        <v>1274.0400000000002</v>
      </c>
      <c r="E111" s="1">
        <v>43160</v>
      </c>
      <c r="F111">
        <v>1274.0400000000002</v>
      </c>
      <c r="G111">
        <f t="shared" si="1"/>
        <v>1</v>
      </c>
    </row>
    <row r="112" spans="1:7" x14ac:dyDescent="0.25">
      <c r="A112" s="3">
        <v>43191</v>
      </c>
      <c r="B112" s="4">
        <v>1155.3</v>
      </c>
      <c r="E112" s="1">
        <v>43191</v>
      </c>
      <c r="F112">
        <v>1155.3</v>
      </c>
      <c r="G112">
        <f t="shared" si="1"/>
        <v>1</v>
      </c>
    </row>
    <row r="113" spans="1:7" x14ac:dyDescent="0.25">
      <c r="A113" s="3">
        <v>43221</v>
      </c>
      <c r="B113" s="4">
        <v>1144.7249999999999</v>
      </c>
      <c r="E113" s="1">
        <v>43221</v>
      </c>
      <c r="F113">
        <v>1144.7249999999999</v>
      </c>
      <c r="G113">
        <f t="shared" si="1"/>
        <v>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4"/>
  <sheetViews>
    <sheetView workbookViewId="0">
      <selection activeCell="C66" sqref="C66"/>
    </sheetView>
  </sheetViews>
  <sheetFormatPr defaultRowHeight="15" x14ac:dyDescent="0.25"/>
  <cols>
    <col min="1" max="1" width="9.7109375" bestFit="1" customWidth="1"/>
    <col min="2" max="2" width="12.85546875" bestFit="1" customWidth="1"/>
    <col min="3" max="3" width="12.85546875" customWidth="1"/>
  </cols>
  <sheetData>
    <row r="1" spans="1:7" x14ac:dyDescent="0.25">
      <c r="A1" t="s">
        <v>6</v>
      </c>
      <c r="B1" t="s">
        <v>7</v>
      </c>
      <c r="C1" t="s">
        <v>9</v>
      </c>
      <c r="D1" t="s">
        <v>8</v>
      </c>
    </row>
    <row r="2" spans="1:7" x14ac:dyDescent="0.25">
      <c r="A2" s="1">
        <v>41456</v>
      </c>
      <c r="B2">
        <v>63.704999999999998</v>
      </c>
      <c r="C2">
        <f>VLOOKUP(A2,'Refi Index Monthly'!E:F,2,0)</f>
        <v>3354.4</v>
      </c>
      <c r="D2">
        <v>30.908342829761402</v>
      </c>
      <c r="G2" s="1"/>
    </row>
    <row r="3" spans="1:7" x14ac:dyDescent="0.25">
      <c r="A3" s="1">
        <v>41487</v>
      </c>
      <c r="B3">
        <v>47.8</v>
      </c>
      <c r="C3">
        <f>VLOOKUP(A3,'Refi Index Monthly'!E:F,2,0)</f>
        <v>2550.44</v>
      </c>
      <c r="D3">
        <v>23.814669998544559</v>
      </c>
      <c r="G3" s="1"/>
    </row>
    <row r="4" spans="1:7" x14ac:dyDescent="0.25">
      <c r="A4" s="1">
        <v>41518</v>
      </c>
      <c r="B4">
        <v>39.79</v>
      </c>
      <c r="C4">
        <f>VLOOKUP(A4,'Refi Index Monthly'!E:F,2,0)</f>
        <v>2154.2999999999997</v>
      </c>
      <c r="D4">
        <v>16.971263986944873</v>
      </c>
      <c r="G4" s="1"/>
    </row>
    <row r="5" spans="1:7" x14ac:dyDescent="0.25">
      <c r="A5" s="1">
        <v>41548</v>
      </c>
      <c r="B5">
        <v>35.299999999999997</v>
      </c>
      <c r="C5">
        <f>VLOOKUP(A5,'Refi Index Monthly'!E:F,2,0)</f>
        <v>1779.575</v>
      </c>
      <c r="D5">
        <v>15.41282833899289</v>
      </c>
      <c r="G5" s="1"/>
    </row>
    <row r="6" spans="1:7" x14ac:dyDescent="0.25">
      <c r="A6" s="1">
        <v>41579</v>
      </c>
      <c r="B6">
        <v>38.695</v>
      </c>
      <c r="C6">
        <f>VLOOKUP(A6,'Refi Index Monthly'!E:F,2,0)</f>
        <v>1985.44</v>
      </c>
      <c r="D6">
        <v>13.556214249231735</v>
      </c>
      <c r="G6" s="1"/>
    </row>
    <row r="7" spans="1:7" x14ac:dyDescent="0.25">
      <c r="A7" s="1">
        <v>41609</v>
      </c>
      <c r="B7">
        <v>42.7</v>
      </c>
      <c r="C7">
        <f>VLOOKUP(A7,'Refi Index Monthly'!E:F,2,0)</f>
        <v>2088.4249999999997</v>
      </c>
      <c r="D7">
        <v>14.317263264065893</v>
      </c>
      <c r="G7" s="1"/>
    </row>
    <row r="8" spans="1:7" x14ac:dyDescent="0.25">
      <c r="A8" s="1">
        <v>41640</v>
      </c>
      <c r="B8">
        <v>37.04</v>
      </c>
      <c r="C8">
        <f>VLOOKUP(A8,'Refi Index Monthly'!E:F,2,0)</f>
        <v>1637.96</v>
      </c>
      <c r="D8">
        <v>11.145575261238626</v>
      </c>
      <c r="G8" s="1"/>
    </row>
    <row r="9" spans="1:7" x14ac:dyDescent="0.25">
      <c r="A9" s="1">
        <v>41671</v>
      </c>
      <c r="B9">
        <v>32.244999999999997</v>
      </c>
      <c r="C9">
        <f>VLOOKUP(A9,'Refi Index Monthly'!E:F,2,0)</f>
        <v>1475.7750000000001</v>
      </c>
      <c r="D9">
        <v>10.113937055734423</v>
      </c>
      <c r="G9" s="1"/>
    </row>
    <row r="10" spans="1:7" x14ac:dyDescent="0.25">
      <c r="A10" s="1">
        <v>41699</v>
      </c>
      <c r="B10">
        <v>34.58</v>
      </c>
      <c r="C10">
        <f>VLOOKUP(A10,'Refi Index Monthly'!E:F,2,0)</f>
        <v>1668.2249999999999</v>
      </c>
      <c r="D10">
        <v>12.074552777556946</v>
      </c>
      <c r="G10" s="1"/>
    </row>
    <row r="11" spans="1:7" x14ac:dyDescent="0.25">
      <c r="A11" s="1">
        <v>41791</v>
      </c>
      <c r="B11">
        <v>37.655000000000001</v>
      </c>
      <c r="C11">
        <f>VLOOKUP(A11,'Refi Index Monthly'!E:F,2,0)</f>
        <v>1347.4749999999999</v>
      </c>
      <c r="D11">
        <v>15.775417320503415</v>
      </c>
      <c r="G11" s="1"/>
    </row>
    <row r="12" spans="1:7" x14ac:dyDescent="0.25">
      <c r="A12" s="1">
        <v>41730</v>
      </c>
      <c r="B12">
        <v>36.695</v>
      </c>
      <c r="C12">
        <f>VLOOKUP(A12,'Refi Index Monthly'!E:F,2,0)</f>
        <v>1538.7250000000001</v>
      </c>
      <c r="D12">
        <v>12.827751921505692</v>
      </c>
      <c r="G12" s="1"/>
    </row>
    <row r="13" spans="1:7" x14ac:dyDescent="0.25">
      <c r="A13" s="1">
        <v>41760</v>
      </c>
      <c r="B13">
        <v>35.549999999999997</v>
      </c>
      <c r="C13">
        <f>VLOOKUP(A13,'Refi Index Monthly'!E:F,2,0)</f>
        <v>1384.4399999999998</v>
      </c>
      <c r="D13">
        <v>13.766493895764587</v>
      </c>
      <c r="G13" s="1"/>
    </row>
    <row r="14" spans="1:7" x14ac:dyDescent="0.25">
      <c r="A14" s="1">
        <v>41821</v>
      </c>
      <c r="B14">
        <v>41.064999999999998</v>
      </c>
      <c r="C14">
        <f>VLOOKUP(A14,'Refi Index Monthly'!E:F,2,0)</f>
        <v>1414.7249999999999</v>
      </c>
      <c r="D14">
        <v>16.638096453741667</v>
      </c>
      <c r="G14" s="1"/>
    </row>
    <row r="15" spans="1:7" x14ac:dyDescent="0.25">
      <c r="A15" s="1">
        <v>41852</v>
      </c>
      <c r="B15">
        <v>42.225000000000001</v>
      </c>
      <c r="C15">
        <f>VLOOKUP(A15,'Refi Index Monthly'!E:F,2,0)</f>
        <v>1337.02</v>
      </c>
      <c r="D15">
        <v>16.192646315955763</v>
      </c>
      <c r="G15" s="1"/>
    </row>
    <row r="16" spans="1:7" x14ac:dyDescent="0.25">
      <c r="A16" s="1">
        <v>41883</v>
      </c>
      <c r="B16">
        <v>42.945</v>
      </c>
      <c r="C16">
        <f>VLOOKUP(A16,'Refi Index Monthly'!E:F,2,0)</f>
        <v>1345.9</v>
      </c>
      <c r="D16">
        <v>16.031085562871329</v>
      </c>
      <c r="G16" s="1"/>
    </row>
    <row r="17" spans="1:7" x14ac:dyDescent="0.25">
      <c r="A17" s="1">
        <v>41913</v>
      </c>
      <c r="B17">
        <v>42.32</v>
      </c>
      <c r="C17">
        <f>VLOOKUP(A17,'Refi Index Monthly'!E:F,2,0)</f>
        <v>1354</v>
      </c>
      <c r="D17">
        <v>15.576595061262621</v>
      </c>
      <c r="G17" s="1"/>
    </row>
    <row r="18" spans="1:7" x14ac:dyDescent="0.25">
      <c r="A18" s="1">
        <v>41944</v>
      </c>
      <c r="B18">
        <v>44.81</v>
      </c>
      <c r="C18">
        <f>VLOOKUP(A18,'Refi Index Monthly'!E:F,2,0)</f>
        <v>1501.6000000000001</v>
      </c>
      <c r="D18">
        <v>14.2750259893613</v>
      </c>
      <c r="G18" s="1"/>
    </row>
    <row r="19" spans="1:7" x14ac:dyDescent="0.25">
      <c r="A19" s="1">
        <v>41974</v>
      </c>
      <c r="B19">
        <v>48.98</v>
      </c>
      <c r="C19">
        <f>VLOOKUP(A19,'Refi Index Monthly'!E:F,2,0)</f>
        <v>1632.85</v>
      </c>
      <c r="D19">
        <v>16.597240999873208</v>
      </c>
      <c r="G19" s="1"/>
    </row>
    <row r="20" spans="1:7" x14ac:dyDescent="0.25">
      <c r="A20" s="1">
        <v>42005</v>
      </c>
      <c r="B20">
        <v>52.484999999999999</v>
      </c>
      <c r="C20">
        <f>VLOOKUP(A20,'Refi Index Monthly'!E:F,2,0)</f>
        <v>1492.5800000000002</v>
      </c>
      <c r="D20">
        <v>13.958499291122939</v>
      </c>
      <c r="G20" s="1"/>
    </row>
    <row r="21" spans="1:7" x14ac:dyDescent="0.25">
      <c r="A21" s="1">
        <v>42036</v>
      </c>
      <c r="B21">
        <v>58.36</v>
      </c>
      <c r="C21">
        <f>VLOOKUP(A21,'Refi Index Monthly'!E:F,2,0)</f>
        <v>1867.4250000000002</v>
      </c>
      <c r="D21">
        <v>16.896786191384905</v>
      </c>
      <c r="G21" s="1"/>
    </row>
    <row r="22" spans="1:7" x14ac:dyDescent="0.25">
      <c r="A22" s="1">
        <v>42064</v>
      </c>
      <c r="B22">
        <v>61.32</v>
      </c>
      <c r="C22">
        <f>VLOOKUP(A22,'Refi Index Monthly'!E:F,2,0)</f>
        <v>2420.9749999999999</v>
      </c>
      <c r="D22">
        <v>23.788595175864646</v>
      </c>
      <c r="G22" s="1"/>
    </row>
    <row r="23" spans="1:7" x14ac:dyDescent="0.25">
      <c r="A23" s="1">
        <v>42125</v>
      </c>
      <c r="B23">
        <v>59.954999999999998</v>
      </c>
      <c r="C23">
        <f>VLOOKUP(A23,'Refi Index Monthly'!E:F,2,0)</f>
        <v>1942.3200000000002</v>
      </c>
      <c r="D23">
        <v>21.188191037685943</v>
      </c>
      <c r="G23" s="1"/>
    </row>
    <row r="24" spans="1:7" x14ac:dyDescent="0.25">
      <c r="A24" s="1">
        <v>42156</v>
      </c>
      <c r="B24">
        <v>57.695</v>
      </c>
      <c r="C24">
        <f>VLOOKUP(A24,'Refi Index Monthly'!E:F,2,0)</f>
        <v>1686.0749999999998</v>
      </c>
      <c r="D24">
        <v>22.427342784436664</v>
      </c>
      <c r="G24" s="1"/>
    </row>
    <row r="25" spans="1:7" x14ac:dyDescent="0.25">
      <c r="A25" s="1">
        <v>42095</v>
      </c>
      <c r="B25">
        <v>59.82</v>
      </c>
      <c r="C25">
        <f>VLOOKUP(A25,'Refi Index Monthly'!E:F,2,0)</f>
        <v>1816.925</v>
      </c>
      <c r="D25">
        <v>21.592470709757905</v>
      </c>
      <c r="G25" s="1"/>
    </row>
    <row r="26" spans="1:7" x14ac:dyDescent="0.25">
      <c r="A26" s="1">
        <v>42186</v>
      </c>
      <c r="B26">
        <v>49.62</v>
      </c>
      <c r="C26">
        <f>VLOOKUP(A26,'Refi Index Monthly'!E:F,2,0)</f>
        <v>1417.6200000000001</v>
      </c>
      <c r="D26">
        <v>20.458612893264338</v>
      </c>
      <c r="G26" s="1"/>
    </row>
    <row r="27" spans="1:7" x14ac:dyDescent="0.25">
      <c r="A27" s="1">
        <v>42217</v>
      </c>
      <c r="B27">
        <v>43.564999999999998</v>
      </c>
      <c r="C27">
        <f>VLOOKUP(A27,'Refi Index Monthly'!E:F,2,0)</f>
        <v>1356.95</v>
      </c>
      <c r="D27">
        <v>17.623156437134334</v>
      </c>
      <c r="G27" s="1"/>
    </row>
    <row r="28" spans="1:7" x14ac:dyDescent="0.25">
      <c r="A28" s="1">
        <v>42248</v>
      </c>
      <c r="B28">
        <v>45.28</v>
      </c>
      <c r="C28">
        <f>VLOOKUP(A28,'Refi Index Monthly'!E:F,2,0)</f>
        <v>1518.9749999999999</v>
      </c>
      <c r="D28">
        <v>16.789723153388959</v>
      </c>
      <c r="G28" s="1"/>
    </row>
    <row r="29" spans="1:7" x14ac:dyDescent="0.25">
      <c r="A29" s="1">
        <v>42278</v>
      </c>
      <c r="B29">
        <v>48.454999999999998</v>
      </c>
      <c r="C29">
        <f>VLOOKUP(A29,'Refi Index Monthly'!E:F,2,0)</f>
        <v>1727.1599999999999</v>
      </c>
      <c r="D29">
        <v>16.622818681057694</v>
      </c>
      <c r="G29" s="1"/>
    </row>
    <row r="30" spans="1:7" x14ac:dyDescent="0.25">
      <c r="A30" s="1">
        <v>42309</v>
      </c>
      <c r="B30">
        <v>49.895000000000003</v>
      </c>
      <c r="C30">
        <f>VLOOKUP(A30,'Refi Index Monthly'!E:F,2,0)</f>
        <v>1802.05</v>
      </c>
      <c r="D30">
        <v>14.211026691665008</v>
      </c>
      <c r="G30" s="1"/>
    </row>
    <row r="31" spans="1:7" x14ac:dyDescent="0.25">
      <c r="A31" s="1">
        <v>42339</v>
      </c>
      <c r="B31">
        <v>47.854999999999997</v>
      </c>
      <c r="C31">
        <f>VLOOKUP(A31,'Refi Index Monthly'!E:F,2,0)</f>
        <v>1687.95</v>
      </c>
      <c r="D31">
        <v>15.939132300622806</v>
      </c>
      <c r="G31" s="1"/>
    </row>
    <row r="32" spans="1:7" x14ac:dyDescent="0.25">
      <c r="A32" s="1">
        <v>42370</v>
      </c>
      <c r="B32">
        <v>43.31</v>
      </c>
      <c r="C32">
        <f>VLOOKUP(A32,'Refi Index Monthly'!E:F,2,0)</f>
        <v>1611.32</v>
      </c>
      <c r="D32">
        <v>12.689078895098282</v>
      </c>
      <c r="G32" s="1"/>
    </row>
    <row r="33" spans="1:7" x14ac:dyDescent="0.25">
      <c r="A33" s="1">
        <v>42401</v>
      </c>
      <c r="B33">
        <v>44.16</v>
      </c>
      <c r="C33">
        <f>VLOOKUP(A33,'Refi Index Monthly'!E:F,2,0)</f>
        <v>1351.55</v>
      </c>
      <c r="D33">
        <v>12.204590056069286</v>
      </c>
      <c r="G33" s="1"/>
    </row>
    <row r="34" spans="1:7" x14ac:dyDescent="0.25">
      <c r="A34" s="1">
        <v>42430</v>
      </c>
      <c r="B34">
        <v>51.12</v>
      </c>
      <c r="C34">
        <f>VLOOKUP(A34,'Refi Index Monthly'!E:F,2,0)</f>
        <v>2056</v>
      </c>
      <c r="D34">
        <v>15.821481097212475</v>
      </c>
      <c r="G34" s="1"/>
    </row>
    <row r="35" spans="1:7" x14ac:dyDescent="0.25">
      <c r="A35" s="1">
        <v>42461</v>
      </c>
      <c r="B35">
        <v>55.35</v>
      </c>
      <c r="C35">
        <f>VLOOKUP(A35,'Refi Index Monthly'!E:F,2,0)</f>
        <v>2042.6999999999996</v>
      </c>
      <c r="D35">
        <v>17.001469730442331</v>
      </c>
      <c r="G35" s="1"/>
    </row>
    <row r="36" spans="1:7" x14ac:dyDescent="0.25">
      <c r="A36" s="1">
        <v>42491</v>
      </c>
      <c r="B36">
        <v>57.54</v>
      </c>
      <c r="C36">
        <f>VLOOKUP(A36,'Refi Index Monthly'!E:F,2,0)</f>
        <v>1997.5250000000001</v>
      </c>
      <c r="D36">
        <v>18.015580871220372</v>
      </c>
      <c r="G36" s="1"/>
    </row>
    <row r="37" spans="1:7" x14ac:dyDescent="0.25">
      <c r="A37" s="1">
        <v>42522</v>
      </c>
      <c r="B37">
        <v>62.42</v>
      </c>
      <c r="C37">
        <f>VLOOKUP(A37,'Refi Index Monthly'!E:F,2,0)</f>
        <v>1995.5749999999998</v>
      </c>
      <c r="D37">
        <v>19.688737634374466</v>
      </c>
      <c r="G37" s="1"/>
    </row>
    <row r="38" spans="1:7" x14ac:dyDescent="0.25">
      <c r="A38" s="1">
        <v>42552</v>
      </c>
      <c r="B38">
        <v>65.86</v>
      </c>
      <c r="C38">
        <f>VLOOKUP(A38,'Refi Index Monthly'!E:F,2,0)</f>
        <v>2049.88</v>
      </c>
      <c r="D38">
        <v>17.767663080289577</v>
      </c>
      <c r="G38" s="1"/>
    </row>
    <row r="39" spans="1:7" x14ac:dyDescent="0.25">
      <c r="A39" s="1">
        <v>42583</v>
      </c>
      <c r="B39">
        <v>72.28</v>
      </c>
      <c r="C39">
        <f>VLOOKUP(A39,'Refi Index Monthly'!E:F,2,0)</f>
        <v>2607.4499999999998</v>
      </c>
      <c r="D39">
        <v>22.410446780402172</v>
      </c>
      <c r="G39" s="1"/>
    </row>
    <row r="40" spans="1:7" x14ac:dyDescent="0.25">
      <c r="A40" s="1">
        <v>42614</v>
      </c>
      <c r="B40">
        <v>76.3</v>
      </c>
      <c r="C40">
        <f>VLOOKUP(A40,'Refi Index Monthly'!E:F,2,0)</f>
        <v>2411.4</v>
      </c>
      <c r="D40">
        <v>22.03901804916697</v>
      </c>
      <c r="G40" s="1"/>
    </row>
    <row r="41" spans="1:7" x14ac:dyDescent="0.25">
      <c r="A41" s="1">
        <v>42644</v>
      </c>
      <c r="B41">
        <v>74.41</v>
      </c>
      <c r="C41">
        <f>VLOOKUP(A41,'Refi Index Monthly'!E:F,2,0)</f>
        <v>2427.4</v>
      </c>
      <c r="D41">
        <v>21.387401694418639</v>
      </c>
      <c r="G41" s="1"/>
    </row>
    <row r="42" spans="1:7" x14ac:dyDescent="0.25">
      <c r="A42" s="1">
        <v>42675</v>
      </c>
      <c r="B42">
        <v>71.885000000000005</v>
      </c>
      <c r="C42">
        <f>VLOOKUP(A42,'Refi Index Monthly'!E:F,2,0)</f>
        <v>2253.8999999999996</v>
      </c>
      <c r="D42">
        <v>19.770238128489648</v>
      </c>
      <c r="G42" s="1"/>
    </row>
    <row r="43" spans="1:7" x14ac:dyDescent="0.25">
      <c r="A43" s="1">
        <v>42705</v>
      </c>
      <c r="B43">
        <v>54.555</v>
      </c>
      <c r="C43">
        <f>VLOOKUP(A43,'Refi Index Monthly'!E:F,2,0)</f>
        <v>1961.3400000000001</v>
      </c>
      <c r="D43">
        <v>18.4013229618735</v>
      </c>
      <c r="G43" s="1"/>
    </row>
    <row r="44" spans="1:7" x14ac:dyDescent="0.25">
      <c r="A44" s="1">
        <v>42736</v>
      </c>
      <c r="B44">
        <v>29.42</v>
      </c>
      <c r="C44">
        <f>VLOOKUP(A44,'Refi Index Monthly'!E:F,2,0)</f>
        <v>1446.4</v>
      </c>
      <c r="D44">
        <v>14.117648657243475</v>
      </c>
      <c r="G44" s="1"/>
    </row>
    <row r="45" spans="1:7" x14ac:dyDescent="0.25">
      <c r="A45" s="1">
        <v>42767</v>
      </c>
      <c r="B45">
        <v>23.91</v>
      </c>
      <c r="C45">
        <f>VLOOKUP(A45,'Refi Index Monthly'!E:F,2,0)</f>
        <v>1172.675</v>
      </c>
      <c r="D45">
        <v>11.294272901488867</v>
      </c>
      <c r="G45" s="1"/>
    </row>
    <row r="46" spans="1:7" x14ac:dyDescent="0.25">
      <c r="A46" s="1">
        <v>42795</v>
      </c>
      <c r="B46">
        <v>26.434999999999999</v>
      </c>
      <c r="C46">
        <f>VLOOKUP(A46,'Refi Index Monthly'!E:F,2,0)</f>
        <v>1251.52</v>
      </c>
      <c r="D46">
        <v>12.472770437711356</v>
      </c>
      <c r="G46" s="1"/>
    </row>
    <row r="47" spans="1:7" x14ac:dyDescent="0.25">
      <c r="A47" s="1">
        <v>42826</v>
      </c>
      <c r="B47">
        <v>24.09</v>
      </c>
      <c r="C47">
        <f>VLOOKUP(A47,'Refi Index Monthly'!E:F,2,0)</f>
        <v>1356.9499999999998</v>
      </c>
      <c r="D47">
        <v>11.518287900667467</v>
      </c>
      <c r="G47" s="1"/>
    </row>
    <row r="48" spans="1:7" x14ac:dyDescent="0.25">
      <c r="A48" s="1">
        <v>42856</v>
      </c>
      <c r="B48">
        <v>25.62</v>
      </c>
      <c r="C48">
        <f>VLOOKUP(A48,'Refi Index Monthly'!E:F,2,0)</f>
        <v>1286.45</v>
      </c>
      <c r="D48">
        <v>12.930970337485192</v>
      </c>
      <c r="G48" s="1"/>
    </row>
    <row r="49" spans="1:7" x14ac:dyDescent="0.25">
      <c r="A49" s="1">
        <v>42887</v>
      </c>
      <c r="B49">
        <v>29.11</v>
      </c>
      <c r="C49">
        <f>VLOOKUP(A49,'Refi Index Monthly'!E:F,2,0)</f>
        <v>1336.8799999999999</v>
      </c>
      <c r="D49">
        <v>13.855310866108228</v>
      </c>
      <c r="G49" s="1"/>
    </row>
    <row r="50" spans="1:7" x14ac:dyDescent="0.25">
      <c r="A50" s="1">
        <v>42917</v>
      </c>
      <c r="B50">
        <v>31.92</v>
      </c>
      <c r="C50">
        <f>VLOOKUP(A50,'Refi Index Monthly'!E:F,2,0)</f>
        <v>1428.3500000000001</v>
      </c>
      <c r="D50">
        <v>12.410779077884493</v>
      </c>
      <c r="G50" s="1"/>
    </row>
    <row r="51" spans="1:7" x14ac:dyDescent="0.25">
      <c r="A51" s="1">
        <v>42948</v>
      </c>
      <c r="B51">
        <v>32.31</v>
      </c>
      <c r="C51">
        <f>VLOOKUP(A51,'Refi Index Monthly'!E:F,2,0)</f>
        <v>1341.375</v>
      </c>
      <c r="D51">
        <v>13.233142543432342</v>
      </c>
      <c r="G51" s="1"/>
    </row>
    <row r="52" spans="1:7" x14ac:dyDescent="0.25">
      <c r="A52" s="1">
        <v>42979</v>
      </c>
      <c r="B52">
        <v>33.015000000000001</v>
      </c>
      <c r="C52">
        <f>VLOOKUP(A52,'Refi Index Monthly'!E:F,2,0)</f>
        <v>1424.86</v>
      </c>
      <c r="D52">
        <v>11.657839424377038</v>
      </c>
      <c r="G52" s="1"/>
    </row>
    <row r="53" spans="1:7" x14ac:dyDescent="0.25">
      <c r="A53" s="1">
        <v>43009</v>
      </c>
      <c r="B53">
        <v>37.685000000000002</v>
      </c>
      <c r="C53">
        <f>VLOOKUP(A53,'Refi Index Monthly'!E:F,2,0)</f>
        <v>1516.875</v>
      </c>
      <c r="D53">
        <v>11.99008698603048</v>
      </c>
      <c r="G53" s="1"/>
    </row>
    <row r="54" spans="1:7" x14ac:dyDescent="0.25">
      <c r="A54" s="1">
        <v>43040</v>
      </c>
      <c r="B54">
        <v>37.604999999999997</v>
      </c>
      <c r="C54">
        <f>VLOOKUP(A54,'Refi Index Monthly'!E:F,2,0)</f>
        <v>1405.9</v>
      </c>
      <c r="D54">
        <v>11.229005332711894</v>
      </c>
      <c r="G54" s="1"/>
    </row>
    <row r="55" spans="1:7" x14ac:dyDescent="0.25">
      <c r="A55" s="1">
        <v>43070</v>
      </c>
      <c r="B55">
        <v>34.299999999999997</v>
      </c>
      <c r="C55">
        <f>VLOOKUP(A55,'Refi Index Monthly'!E:F,2,0)</f>
        <v>1324.6200000000001</v>
      </c>
      <c r="D55">
        <v>10.992253034069211</v>
      </c>
      <c r="G55" s="1"/>
    </row>
    <row r="56" spans="1:7" x14ac:dyDescent="0.25">
      <c r="A56" s="1">
        <v>43101</v>
      </c>
      <c r="B56">
        <v>31.77</v>
      </c>
      <c r="C56">
        <f>VLOOKUP(A56,'Refi Index Monthly'!E:F,2,0)</f>
        <v>1260.125</v>
      </c>
      <c r="D56">
        <v>9.8090099010026748</v>
      </c>
      <c r="G56" s="1"/>
    </row>
    <row r="57" spans="1:7" x14ac:dyDescent="0.25">
      <c r="A57" s="1">
        <v>43132</v>
      </c>
      <c r="B57">
        <v>28.46</v>
      </c>
      <c r="C57">
        <f>VLOOKUP(A57,'Refi Index Monthly'!E:F,2,0)</f>
        <v>1209.825</v>
      </c>
      <c r="D57">
        <v>9.3468655569715615</v>
      </c>
      <c r="G57" s="1"/>
    </row>
    <row r="58" spans="1:7" x14ac:dyDescent="0.25">
      <c r="A58" s="1">
        <v>43160</v>
      </c>
      <c r="B58">
        <v>20.96</v>
      </c>
      <c r="C58">
        <f>VLOOKUP(A58,'Refi Index Monthly'!E:F,2,0)</f>
        <v>1274.0400000000002</v>
      </c>
      <c r="D58">
        <v>11.137690663282063</v>
      </c>
      <c r="G58" s="1"/>
    </row>
    <row r="59" spans="1:7" x14ac:dyDescent="0.25">
      <c r="A59" s="1">
        <v>43191</v>
      </c>
      <c r="B59">
        <v>14.565</v>
      </c>
      <c r="C59">
        <f>VLOOKUP(A59,'Refi Index Monthly'!E:F,2,0)</f>
        <v>1155.3</v>
      </c>
      <c r="D59">
        <v>11.801883302472739</v>
      </c>
      <c r="G59" s="1"/>
    </row>
    <row r="60" spans="1:7" x14ac:dyDescent="0.25">
      <c r="G60" s="1"/>
    </row>
    <row r="61" spans="1:7" x14ac:dyDescent="0.25">
      <c r="G61" s="1"/>
    </row>
    <row r="62" spans="1:7" x14ac:dyDescent="0.25">
      <c r="G62" s="1"/>
    </row>
    <row r="63" spans="1:7" x14ac:dyDescent="0.25">
      <c r="G63" s="1"/>
    </row>
    <row r="64" spans="1:7" x14ac:dyDescent="0.25">
      <c r="G64" s="1"/>
    </row>
    <row r="65" spans="7:7" x14ac:dyDescent="0.25">
      <c r="G65" s="1"/>
    </row>
    <row r="66" spans="7:7" x14ac:dyDescent="0.25">
      <c r="G66" s="1"/>
    </row>
    <row r="67" spans="7:7" x14ac:dyDescent="0.25">
      <c r="G67" s="1"/>
    </row>
    <row r="68" spans="7:7" x14ac:dyDescent="0.25">
      <c r="G68" s="1"/>
    </row>
    <row r="69" spans="7:7" x14ac:dyDescent="0.25">
      <c r="G69" s="1"/>
    </row>
    <row r="70" spans="7:7" x14ac:dyDescent="0.25">
      <c r="G70" s="1"/>
    </row>
    <row r="71" spans="7:7" x14ac:dyDescent="0.25">
      <c r="G71" s="1"/>
    </row>
    <row r="72" spans="7:7" x14ac:dyDescent="0.25">
      <c r="G72" s="1"/>
    </row>
    <row r="73" spans="7:7" x14ac:dyDescent="0.25">
      <c r="G73" s="1"/>
    </row>
    <row r="74" spans="7:7" x14ac:dyDescent="0.25">
      <c r="G74" s="1"/>
    </row>
    <row r="75" spans="7:7" x14ac:dyDescent="0.25">
      <c r="G75" s="1"/>
    </row>
    <row r="76" spans="7:7" x14ac:dyDescent="0.25">
      <c r="G76" s="1"/>
    </row>
    <row r="77" spans="7:7" x14ac:dyDescent="0.25">
      <c r="G77" s="1"/>
    </row>
    <row r="78" spans="7:7" x14ac:dyDescent="0.25">
      <c r="G78" s="1"/>
    </row>
    <row r="79" spans="7:7" x14ac:dyDescent="0.25">
      <c r="G79" s="1"/>
    </row>
    <row r="80" spans="7:7" x14ac:dyDescent="0.25">
      <c r="G80" s="1"/>
    </row>
    <row r="81" spans="7:7" x14ac:dyDescent="0.25">
      <c r="G81" s="1"/>
    </row>
    <row r="82" spans="7:7" x14ac:dyDescent="0.25">
      <c r="G82" s="1"/>
    </row>
    <row r="83" spans="7:7" x14ac:dyDescent="0.25">
      <c r="G83" s="1"/>
    </row>
    <row r="84" spans="7:7" x14ac:dyDescent="0.25">
      <c r="G84" s="1"/>
    </row>
    <row r="85" spans="7:7" x14ac:dyDescent="0.25">
      <c r="G85" s="1"/>
    </row>
    <row r="86" spans="7:7" x14ac:dyDescent="0.25">
      <c r="G86" s="1"/>
    </row>
    <row r="87" spans="7:7" x14ac:dyDescent="0.25">
      <c r="G87" s="1"/>
    </row>
    <row r="88" spans="7:7" x14ac:dyDescent="0.25">
      <c r="G88" s="1"/>
    </row>
    <row r="89" spans="7:7" x14ac:dyDescent="0.25">
      <c r="G89" s="1"/>
    </row>
    <row r="90" spans="7:7" x14ac:dyDescent="0.25">
      <c r="G90" s="1"/>
    </row>
    <row r="91" spans="7:7" x14ac:dyDescent="0.25">
      <c r="G91" s="1"/>
    </row>
    <row r="92" spans="7:7" x14ac:dyDescent="0.25">
      <c r="G92" s="1"/>
    </row>
    <row r="93" spans="7:7" x14ac:dyDescent="0.25">
      <c r="G93" s="1"/>
    </row>
    <row r="94" spans="7:7" x14ac:dyDescent="0.25">
      <c r="G94" s="1"/>
    </row>
    <row r="95" spans="7:7" x14ac:dyDescent="0.25">
      <c r="G95" s="1"/>
    </row>
    <row r="96" spans="7:7" x14ac:dyDescent="0.25">
      <c r="G96" s="1"/>
    </row>
    <row r="97" spans="7:7" x14ac:dyDescent="0.25">
      <c r="G97" s="1"/>
    </row>
    <row r="98" spans="7:7" x14ac:dyDescent="0.25">
      <c r="G98" s="1"/>
    </row>
    <row r="99" spans="7:7" x14ac:dyDescent="0.25">
      <c r="G99" s="1"/>
    </row>
    <row r="100" spans="7:7" x14ac:dyDescent="0.25">
      <c r="G100" s="1"/>
    </row>
    <row r="101" spans="7:7" x14ac:dyDescent="0.25">
      <c r="G101" s="1"/>
    </row>
    <row r="102" spans="7:7" x14ac:dyDescent="0.25">
      <c r="G102" s="1"/>
    </row>
    <row r="103" spans="7:7" x14ac:dyDescent="0.25">
      <c r="G103" s="1"/>
    </row>
    <row r="104" spans="7:7" x14ac:dyDescent="0.25">
      <c r="G104" s="1"/>
    </row>
    <row r="105" spans="7:7" x14ac:dyDescent="0.25">
      <c r="G105" s="1"/>
    </row>
    <row r="106" spans="7:7" x14ac:dyDescent="0.25">
      <c r="G106" s="1"/>
    </row>
    <row r="107" spans="7:7" x14ac:dyDescent="0.25">
      <c r="G107" s="1"/>
    </row>
    <row r="108" spans="7:7" x14ac:dyDescent="0.25">
      <c r="G108" s="1"/>
    </row>
    <row r="109" spans="7:7" x14ac:dyDescent="0.25">
      <c r="G109" s="1"/>
    </row>
    <row r="110" spans="7:7" x14ac:dyDescent="0.25">
      <c r="G110" s="1"/>
    </row>
    <row r="111" spans="7:7" x14ac:dyDescent="0.25">
      <c r="G111" s="1"/>
    </row>
    <row r="112" spans="7:7" x14ac:dyDescent="0.25">
      <c r="G112" s="1"/>
    </row>
    <row r="113" spans="7:7" x14ac:dyDescent="0.25">
      <c r="G113" s="1"/>
    </row>
    <row r="114" spans="7:7" x14ac:dyDescent="0.25">
      <c r="G114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Refi Index Weekly</vt:lpstr>
      <vt:lpstr>Refi Index Monthly</vt:lpstr>
      <vt:lpstr>Compare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2018-05-15T13:34:43Z</dcterms:created>
  <dcterms:modified xsi:type="dcterms:W3CDTF">2018-05-15T15:42:42Z</dcterms:modified>
</cp:coreProperties>
</file>