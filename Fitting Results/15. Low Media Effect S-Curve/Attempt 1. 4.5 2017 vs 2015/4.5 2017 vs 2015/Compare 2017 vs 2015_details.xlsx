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6435" windowHeight="19980"/>
  </bookViews>
  <sheets>
    <sheet name="2017" sheetId="1" r:id="rId1"/>
    <sheet name="2015" sheetId="2" r:id="rId2"/>
  </sheets>
  <calcPr calcId="145621"/>
</workbook>
</file>

<file path=xl/calcChain.xml><?xml version="1.0" encoding="utf-8"?>
<calcChain xmlns="http://schemas.openxmlformats.org/spreadsheetml/2006/main">
  <c r="AM29" i="1" l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AL30" i="1"/>
  <c r="AL31" i="1"/>
  <c r="AL32" i="1"/>
  <c r="AL33" i="1"/>
  <c r="AL34" i="1"/>
  <c r="AL35" i="1"/>
  <c r="AL36" i="1"/>
  <c r="AL37" i="1"/>
  <c r="AL29" i="1"/>
  <c r="D29" i="1" l="1"/>
  <c r="D40" i="1" s="1"/>
  <c r="E29" i="1"/>
  <c r="E40" i="1" s="1"/>
  <c r="F29" i="1"/>
  <c r="G29" i="1"/>
  <c r="H29" i="1"/>
  <c r="H40" i="1" s="1"/>
  <c r="I29" i="1"/>
  <c r="I40" i="1" s="1"/>
  <c r="J29" i="1"/>
  <c r="J40" i="1" s="1"/>
  <c r="K29" i="1"/>
  <c r="K40" i="1" s="1"/>
  <c r="L29" i="1"/>
  <c r="L40" i="1" s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D30" i="1"/>
  <c r="D41" i="1" s="1"/>
  <c r="E30" i="1"/>
  <c r="E41" i="1" s="1"/>
  <c r="F30" i="1"/>
  <c r="G30" i="1"/>
  <c r="H30" i="1"/>
  <c r="H41" i="1" s="1"/>
  <c r="I30" i="1"/>
  <c r="I41" i="1" s="1"/>
  <c r="J30" i="1"/>
  <c r="J41" i="1" s="1"/>
  <c r="K30" i="1"/>
  <c r="K41" i="1" s="1"/>
  <c r="L30" i="1"/>
  <c r="L41" i="1" s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D31" i="1"/>
  <c r="D42" i="1" s="1"/>
  <c r="E31" i="1"/>
  <c r="E42" i="1" s="1"/>
  <c r="F31" i="1"/>
  <c r="G31" i="1"/>
  <c r="H31" i="1"/>
  <c r="H42" i="1" s="1"/>
  <c r="I31" i="1"/>
  <c r="I42" i="1" s="1"/>
  <c r="J31" i="1"/>
  <c r="J42" i="1" s="1"/>
  <c r="K31" i="1"/>
  <c r="K42" i="1" s="1"/>
  <c r="L31" i="1"/>
  <c r="L42" i="1" s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D32" i="1"/>
  <c r="D43" i="1" s="1"/>
  <c r="E32" i="1"/>
  <c r="E43" i="1" s="1"/>
  <c r="F32" i="1"/>
  <c r="G32" i="1"/>
  <c r="H32" i="1"/>
  <c r="H43" i="1" s="1"/>
  <c r="I32" i="1"/>
  <c r="I43" i="1" s="1"/>
  <c r="J32" i="1"/>
  <c r="J43" i="1" s="1"/>
  <c r="K32" i="1"/>
  <c r="K43" i="1" s="1"/>
  <c r="L32" i="1"/>
  <c r="L43" i="1" s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D33" i="1"/>
  <c r="D44" i="1" s="1"/>
  <c r="E33" i="1"/>
  <c r="E44" i="1" s="1"/>
  <c r="F33" i="1"/>
  <c r="G33" i="1"/>
  <c r="H33" i="1"/>
  <c r="H44" i="1" s="1"/>
  <c r="I33" i="1"/>
  <c r="I44" i="1" s="1"/>
  <c r="J33" i="1"/>
  <c r="J44" i="1" s="1"/>
  <c r="K33" i="1"/>
  <c r="K44" i="1" s="1"/>
  <c r="L33" i="1"/>
  <c r="L44" i="1" s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D34" i="1"/>
  <c r="D45" i="1" s="1"/>
  <c r="E34" i="1"/>
  <c r="E45" i="1" s="1"/>
  <c r="F34" i="1"/>
  <c r="G34" i="1"/>
  <c r="H34" i="1"/>
  <c r="H45" i="1" s="1"/>
  <c r="I34" i="1"/>
  <c r="I45" i="1" s="1"/>
  <c r="J34" i="1"/>
  <c r="J45" i="1" s="1"/>
  <c r="K34" i="1"/>
  <c r="K45" i="1" s="1"/>
  <c r="L34" i="1"/>
  <c r="L45" i="1" s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D35" i="1"/>
  <c r="D46" i="1" s="1"/>
  <c r="E35" i="1"/>
  <c r="E46" i="1" s="1"/>
  <c r="F35" i="1"/>
  <c r="G35" i="1"/>
  <c r="H35" i="1"/>
  <c r="H46" i="1" s="1"/>
  <c r="I35" i="1"/>
  <c r="I46" i="1" s="1"/>
  <c r="J35" i="1"/>
  <c r="J46" i="1" s="1"/>
  <c r="K35" i="1"/>
  <c r="K46" i="1" s="1"/>
  <c r="L35" i="1"/>
  <c r="L46" i="1" s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D36" i="1"/>
  <c r="D47" i="1" s="1"/>
  <c r="E36" i="1"/>
  <c r="E47" i="1" s="1"/>
  <c r="F36" i="1"/>
  <c r="G36" i="1"/>
  <c r="H36" i="1"/>
  <c r="H47" i="1" s="1"/>
  <c r="I36" i="1"/>
  <c r="I47" i="1" s="1"/>
  <c r="J36" i="1"/>
  <c r="J47" i="1" s="1"/>
  <c r="K36" i="1"/>
  <c r="K47" i="1" s="1"/>
  <c r="L36" i="1"/>
  <c r="L47" i="1" s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D37" i="1"/>
  <c r="D48" i="1" s="1"/>
  <c r="E37" i="1"/>
  <c r="E48" i="1" s="1"/>
  <c r="F37" i="1"/>
  <c r="G37" i="1"/>
  <c r="H37" i="1"/>
  <c r="H48" i="1" s="1"/>
  <c r="I37" i="1"/>
  <c r="I48" i="1" s="1"/>
  <c r="J37" i="1"/>
  <c r="J48" i="1" s="1"/>
  <c r="K37" i="1"/>
  <c r="K48" i="1" s="1"/>
  <c r="L37" i="1"/>
  <c r="L48" i="1" s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</calcChain>
</file>

<file path=xl/sharedStrings.xml><?xml version="1.0" encoding="utf-8"?>
<sst xmlns="http://schemas.openxmlformats.org/spreadsheetml/2006/main" count="207" uniqueCount="56">
  <si>
    <t>grp</t>
  </si>
  <si>
    <t>x</t>
  </si>
  <si>
    <t>actual.smm</t>
  </si>
  <si>
    <t>model.smm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</si>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</sst>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43" fontId="0" fillId="0" borderId="0" xfId="1" applyFont="1"/>
    <xf numFmtId="0" fontId="16" fillId="0" borderId="0" xfId="0" applyFont="1"/>
    <xf numFmtId="43" fontId="16" fillId="0" borderId="0" xfId="1" applyFont="1"/>
    <xf numFmtId="165" fontId="0" fillId="0" borderId="0" xfId="1" applyNumberFormat="1" applyFont="1"/>
    <xf numFmtId="165" fontId="16" fillId="0" borderId="0" xfId="1" applyNumberFormat="1" applyFont="1"/>
    <xf numFmtId="9" fontId="0" fillId="0" borderId="0" xfId="43" applyFont="1"/>
    <xf numFmtId="9" fontId="16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8"/>
  <sheetViews>
    <sheetView tabSelected="1" topLeftCell="X1" workbookViewId="0">
      <selection activeCell="AV46" sqref="AV4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42578125" style="5" bestFit="1" customWidth="1"/>
    <col min="4" max="22" width="9.5703125" style="2" bestFit="1" customWidth="1"/>
    <col min="23" max="23" width="9.85546875" style="2" bestFit="1" customWidth="1"/>
    <col min="24" max="37" width="9.5703125" style="2" bestFit="1" customWidth="1"/>
    <col min="38" max="38" width="18.85546875" style="2" bestFit="1" customWidth="1"/>
    <col min="39" max="39" width="9.5703125" style="2" bestFit="1" customWidth="1"/>
    <col min="40" max="40" width="10.42578125" style="2" bestFit="1" customWidth="1"/>
    <col min="41" max="54" width="9.42578125" style="2" bestFit="1" customWidth="1"/>
    <col min="55" max="55" width="18" style="2" bestFit="1" customWidth="1"/>
    <col min="56" max="56" width="9.42578125" style="2" bestFit="1" customWidth="1"/>
    <col min="57" max="57" width="9.5703125" bestFit="1" customWidth="1"/>
  </cols>
  <sheetData>
    <row r="1" spans="1:57" x14ac:dyDescent="0.25">
      <c r="A1">
        <v>2017</v>
      </c>
      <c r="B1" t="s">
        <v>0</v>
      </c>
      <c r="C1" s="5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36</v>
      </c>
      <c r="BD1" s="2" t="s">
        <v>37</v>
      </c>
      <c r="BE1" t="s">
        <v>38</v>
      </c>
    </row>
    <row r="2" spans="1:57" x14ac:dyDescent="0.25">
      <c r="A2">
        <v>1</v>
      </c>
      <c r="B2">
        <v>1</v>
      </c>
      <c r="C2" s="5">
        <v>50</v>
      </c>
      <c r="D2" s="2">
        <v>6.1744560309184897E-5</v>
      </c>
      <c r="E2" s="2">
        <v>1.48067312799177</v>
      </c>
      <c r="F2" s="2">
        <v>4.1700331519441297E-5</v>
      </c>
      <c r="G2" s="2">
        <v>1.48061138343146</v>
      </c>
      <c r="H2" s="2">
        <v>6.1517355801133301E-2</v>
      </c>
      <c r="I2" s="2">
        <v>4.2883083109059202E-2</v>
      </c>
      <c r="J2" s="2">
        <v>0.30373898302673502</v>
      </c>
      <c r="K2" s="2">
        <v>0.51759607721034395</v>
      </c>
      <c r="L2" s="2">
        <v>0.55493762884449604</v>
      </c>
      <c r="M2" s="2">
        <v>0</v>
      </c>
      <c r="N2" s="2">
        <v>0</v>
      </c>
      <c r="O2" s="2">
        <v>100</v>
      </c>
      <c r="P2" s="2">
        <v>100</v>
      </c>
      <c r="Q2" s="2">
        <v>0</v>
      </c>
      <c r="R2" s="2">
        <v>0</v>
      </c>
      <c r="S2" s="2">
        <v>0</v>
      </c>
      <c r="T2" s="2">
        <v>0</v>
      </c>
      <c r="U2" s="2">
        <v>1.11090164952736</v>
      </c>
      <c r="V2" s="2">
        <v>45.546045173163101</v>
      </c>
      <c r="W2" s="2">
        <v>2296.4040778675198</v>
      </c>
      <c r="X2" s="2">
        <v>100</v>
      </c>
      <c r="Y2" s="2">
        <v>65.491191654791393</v>
      </c>
      <c r="Z2" s="2">
        <v>310.00462062403</v>
      </c>
      <c r="AA2" s="2">
        <v>310.00462062403</v>
      </c>
      <c r="AB2" s="2">
        <v>83.214026330525797</v>
      </c>
      <c r="AC2" s="2">
        <v>276.50745448780498</v>
      </c>
      <c r="AD2" s="2">
        <v>4.7499956645060601</v>
      </c>
      <c r="AE2" s="2">
        <v>654.84057056661698</v>
      </c>
      <c r="AF2" s="2">
        <v>0</v>
      </c>
      <c r="AG2" s="2">
        <v>0</v>
      </c>
      <c r="AH2" s="2">
        <v>177.99414293799001</v>
      </c>
      <c r="AI2" s="2">
        <v>113.110666068985</v>
      </c>
      <c r="AJ2" s="2">
        <v>30.4122933455218</v>
      </c>
      <c r="AK2" s="2">
        <v>5.2758165025733801</v>
      </c>
      <c r="AL2" s="2">
        <v>0.57577446308242597</v>
      </c>
      <c r="AM2" s="2">
        <v>1</v>
      </c>
      <c r="AN2" s="2">
        <v>1.08</v>
      </c>
      <c r="AO2" s="2">
        <v>0.64097218383556898</v>
      </c>
      <c r="AP2" s="2">
        <v>1.7317786798705701</v>
      </c>
      <c r="AQ2" s="2">
        <v>1</v>
      </c>
      <c r="AR2" s="2">
        <v>1.3900943329084701</v>
      </c>
      <c r="AS2" s="2">
        <v>1</v>
      </c>
      <c r="AT2" s="2">
        <v>1</v>
      </c>
      <c r="AU2" s="2">
        <v>1</v>
      </c>
      <c r="AV2" s="2">
        <v>0.94</v>
      </c>
      <c r="AW2" s="2">
        <v>6.5899061214464302E-2</v>
      </c>
      <c r="AX2" s="2">
        <v>0.84832780702435595</v>
      </c>
      <c r="AY2" s="2">
        <v>1</v>
      </c>
      <c r="AZ2" s="2">
        <v>1</v>
      </c>
      <c r="BA2" s="2">
        <v>1.04</v>
      </c>
      <c r="BB2" s="2">
        <v>0.96</v>
      </c>
      <c r="BC2" s="2">
        <v>4098725.6</v>
      </c>
      <c r="BD2" s="2">
        <v>2.34419241856083E-6</v>
      </c>
      <c r="BE2">
        <v>15</v>
      </c>
    </row>
    <row r="3" spans="1:57" x14ac:dyDescent="0.25">
      <c r="A3">
        <v>2</v>
      </c>
      <c r="B3">
        <v>1</v>
      </c>
      <c r="C3" s="5">
        <v>75</v>
      </c>
      <c r="D3" s="2">
        <v>1.01174571257452</v>
      </c>
      <c r="E3" s="2">
        <v>1.3869508726848401</v>
      </c>
      <c r="F3" s="2">
        <v>0.72947480152342703</v>
      </c>
      <c r="G3" s="2">
        <v>0.37520516011032401</v>
      </c>
      <c r="H3" s="2">
        <v>6.0787518200514201E-2</v>
      </c>
      <c r="I3" s="2">
        <v>5.7114018281201502E-2</v>
      </c>
      <c r="J3" s="2">
        <v>7.9299552041445107E-2</v>
      </c>
      <c r="K3" s="2">
        <v>0.44323543511190699</v>
      </c>
      <c r="L3" s="2">
        <v>0.74651434904977498</v>
      </c>
      <c r="M3" s="2">
        <v>0</v>
      </c>
      <c r="N3" s="2">
        <v>3.3941017606517101</v>
      </c>
      <c r="O3" s="2">
        <v>96.605898239348306</v>
      </c>
      <c r="P3" s="2">
        <v>100</v>
      </c>
      <c r="Q3" s="2">
        <v>0</v>
      </c>
      <c r="R3" s="2">
        <v>0</v>
      </c>
      <c r="S3" s="2">
        <v>0</v>
      </c>
      <c r="T3" s="2">
        <v>0</v>
      </c>
      <c r="U3" s="2">
        <v>2.03798965035186</v>
      </c>
      <c r="V3" s="2">
        <v>68.404407433463803</v>
      </c>
      <c r="W3" s="2">
        <v>4364.2792223524402</v>
      </c>
      <c r="X3" s="2">
        <v>100</v>
      </c>
      <c r="Y3" s="2">
        <v>51.017191230126301</v>
      </c>
      <c r="Z3" s="2">
        <v>302.24310195052999</v>
      </c>
      <c r="AA3" s="2">
        <v>301.81834575681398</v>
      </c>
      <c r="AB3" s="2">
        <v>81.908734399828006</v>
      </c>
      <c r="AC3" s="2">
        <v>268.82618815638602</v>
      </c>
      <c r="AD3" s="2">
        <v>4.7437905593365599</v>
      </c>
      <c r="AE3" s="2">
        <v>733.97010826193502</v>
      </c>
      <c r="AF3" s="2">
        <v>0</v>
      </c>
      <c r="AG3" s="2">
        <v>0</v>
      </c>
      <c r="AH3" s="2">
        <v>177.90251259813999</v>
      </c>
      <c r="AI3" s="2">
        <v>113.11995034858199</v>
      </c>
      <c r="AJ3" s="2">
        <v>30.7056732841247</v>
      </c>
      <c r="AK3" s="2">
        <v>-4.4060666107506998</v>
      </c>
      <c r="AL3" s="2">
        <v>0.57562650214781697</v>
      </c>
      <c r="AM3" s="2">
        <v>1</v>
      </c>
      <c r="AN3" s="2">
        <v>1.08</v>
      </c>
      <c r="AO3" s="2">
        <v>1.06531404419798</v>
      </c>
      <c r="AP3" s="2">
        <v>2.6876414075098798</v>
      </c>
      <c r="AQ3" s="2">
        <v>1</v>
      </c>
      <c r="AR3" s="2">
        <v>1.3909338574226999</v>
      </c>
      <c r="AS3" s="2">
        <v>1</v>
      </c>
      <c r="AT3" s="2">
        <v>1</v>
      </c>
      <c r="AU3" s="2">
        <v>1</v>
      </c>
      <c r="AV3" s="2">
        <v>0.94</v>
      </c>
      <c r="AW3" s="2">
        <v>6.7042151325425695E-2</v>
      </c>
      <c r="AX3" s="2">
        <v>0.70243922775122702</v>
      </c>
      <c r="AY3" s="2">
        <v>1</v>
      </c>
      <c r="AZ3" s="2">
        <v>1</v>
      </c>
      <c r="BA3" s="2">
        <v>1.04</v>
      </c>
      <c r="BB3" s="2">
        <v>0.96</v>
      </c>
      <c r="BC3" s="2">
        <v>136580913.80000001</v>
      </c>
      <c r="BD3" s="2">
        <v>9.8517663822317997E-2</v>
      </c>
      <c r="BE3">
        <v>409</v>
      </c>
    </row>
    <row r="4" spans="1:57" s="3" customFormat="1" x14ac:dyDescent="0.25">
      <c r="A4" s="3">
        <v>3</v>
      </c>
      <c r="B4" s="3">
        <v>1</v>
      </c>
      <c r="C4" s="6">
        <v>100</v>
      </c>
      <c r="D4" s="4">
        <v>1.22376980768657</v>
      </c>
      <c r="E4" s="4">
        <v>1.3804797142354399</v>
      </c>
      <c r="F4" s="4">
        <v>0.88648155787232297</v>
      </c>
      <c r="G4" s="4">
        <v>0.15670990654886799</v>
      </c>
      <c r="H4" s="4">
        <v>6.3238408115798506E-2</v>
      </c>
      <c r="I4" s="4">
        <v>4.1567759296169703E-2</v>
      </c>
      <c r="J4" s="4">
        <v>2.8292470358475701E-2</v>
      </c>
      <c r="K4" s="4">
        <v>0.41772891792369499</v>
      </c>
      <c r="L4" s="4">
        <v>0.82965215854130303</v>
      </c>
      <c r="M4" s="4">
        <v>0</v>
      </c>
      <c r="N4" s="4">
        <v>11.1046432411416</v>
      </c>
      <c r="O4" s="4">
        <v>88.895356758858398</v>
      </c>
      <c r="P4" s="4">
        <v>100</v>
      </c>
      <c r="Q4" s="4">
        <v>0</v>
      </c>
      <c r="R4" s="4">
        <v>0</v>
      </c>
      <c r="S4" s="4">
        <v>0</v>
      </c>
      <c r="T4" s="4">
        <v>0</v>
      </c>
      <c r="U4" s="4">
        <v>1.4884234272074499</v>
      </c>
      <c r="V4" s="4">
        <v>93.366983266015694</v>
      </c>
      <c r="W4" s="4">
        <v>6567.6650434149096</v>
      </c>
      <c r="X4" s="4">
        <v>99.984478956585605</v>
      </c>
      <c r="Y4" s="4">
        <v>47.3421437418694</v>
      </c>
      <c r="Z4" s="4">
        <v>268.574445422304</v>
      </c>
      <c r="AA4" s="4">
        <v>266.83882240350999</v>
      </c>
      <c r="AB4" s="4">
        <v>87.079775048655904</v>
      </c>
      <c r="AC4" s="4">
        <v>265.031010731023</v>
      </c>
      <c r="AD4" s="4">
        <v>4.7464328281346999</v>
      </c>
      <c r="AE4" s="4">
        <v>759.02709047079202</v>
      </c>
      <c r="AF4" s="4">
        <v>0</v>
      </c>
      <c r="AG4" s="4">
        <v>0</v>
      </c>
      <c r="AH4" s="4">
        <v>177.84077831170001</v>
      </c>
      <c r="AI4" s="4">
        <v>113.132333586133</v>
      </c>
      <c r="AJ4" s="4">
        <v>30.896013632097802</v>
      </c>
      <c r="AK4" s="4">
        <v>-15.693981087442699</v>
      </c>
      <c r="AL4" s="4">
        <v>0.57552328607552405</v>
      </c>
      <c r="AM4" s="4">
        <v>1</v>
      </c>
      <c r="AN4" s="4">
        <v>1.08</v>
      </c>
      <c r="AO4" s="4">
        <v>1.3924868130780901</v>
      </c>
      <c r="AP4" s="4">
        <v>3.5545181994911901</v>
      </c>
      <c r="AQ4" s="4">
        <v>1</v>
      </c>
      <c r="AR4" s="4">
        <v>1.3225434509778</v>
      </c>
      <c r="AS4" s="4">
        <v>1</v>
      </c>
      <c r="AT4" s="4">
        <v>0.99984478956585598</v>
      </c>
      <c r="AU4" s="4">
        <v>1</v>
      </c>
      <c r="AV4" s="4">
        <v>0.94</v>
      </c>
      <c r="AW4" s="4">
        <v>6.7303378610693798E-2</v>
      </c>
      <c r="AX4" s="4">
        <v>0.62583521263472097</v>
      </c>
      <c r="AY4" s="4">
        <v>1</v>
      </c>
      <c r="AZ4" s="4">
        <v>1</v>
      </c>
      <c r="BA4" s="4">
        <v>1.04</v>
      </c>
      <c r="BB4" s="4">
        <v>0.96</v>
      </c>
      <c r="BC4" s="4">
        <v>5301852962</v>
      </c>
      <c r="BD4" s="4">
        <v>9.4133980795140806E-2</v>
      </c>
      <c r="BE4" s="3">
        <v>3949</v>
      </c>
    </row>
    <row r="5" spans="1:57" s="3" customFormat="1" x14ac:dyDescent="0.25">
      <c r="A5" s="3">
        <v>4</v>
      </c>
      <c r="B5" s="3">
        <v>1</v>
      </c>
      <c r="C5" s="6">
        <v>125</v>
      </c>
      <c r="D5" s="4">
        <v>1.2062251483083</v>
      </c>
      <c r="E5" s="4">
        <v>1.46244021126074</v>
      </c>
      <c r="F5" s="4">
        <v>0.82480305110623098</v>
      </c>
      <c r="G5" s="4">
        <v>0.25621506295244201</v>
      </c>
      <c r="H5" s="4">
        <v>6.3598181018961197E-2</v>
      </c>
      <c r="I5" s="4">
        <v>4.2808789906190602E-2</v>
      </c>
      <c r="J5" s="4">
        <v>2.9180512510090899E-2</v>
      </c>
      <c r="K5" s="4">
        <v>0.45771570318136801</v>
      </c>
      <c r="L5" s="4">
        <v>0.869137024644134</v>
      </c>
      <c r="M5" s="4">
        <v>0</v>
      </c>
      <c r="N5" s="4">
        <v>12.4253565107794</v>
      </c>
      <c r="O5" s="4">
        <v>87.574643489220605</v>
      </c>
      <c r="P5" s="4">
        <v>100</v>
      </c>
      <c r="Q5" s="4">
        <v>0</v>
      </c>
      <c r="R5" s="4">
        <v>0</v>
      </c>
      <c r="S5" s="4">
        <v>0</v>
      </c>
      <c r="T5" s="4">
        <v>0</v>
      </c>
      <c r="U5" s="4">
        <v>1.5099797544314699</v>
      </c>
      <c r="V5" s="4">
        <v>111.023743264855</v>
      </c>
      <c r="W5" s="4">
        <v>7394.4358866616803</v>
      </c>
      <c r="X5" s="4">
        <v>99.996619787779593</v>
      </c>
      <c r="Y5" s="4">
        <v>47.959863593813502</v>
      </c>
      <c r="Z5" s="4">
        <v>264.517356104371</v>
      </c>
      <c r="AA5" s="4">
        <v>262.70784888892302</v>
      </c>
      <c r="AB5" s="4">
        <v>87.788167929874106</v>
      </c>
      <c r="AC5" s="4">
        <v>264.78563495583597</v>
      </c>
      <c r="AD5" s="4">
        <v>4.8573573592563601</v>
      </c>
      <c r="AE5" s="4">
        <v>756.83942728881095</v>
      </c>
      <c r="AF5" s="4">
        <v>0</v>
      </c>
      <c r="AG5" s="4">
        <v>0</v>
      </c>
      <c r="AH5" s="4">
        <v>176.92542747927499</v>
      </c>
      <c r="AI5" s="4">
        <v>113.265428712836</v>
      </c>
      <c r="AJ5" s="4">
        <v>33.900030853272298</v>
      </c>
      <c r="AK5" s="4">
        <v>-9.3255568222565195</v>
      </c>
      <c r="AL5" s="4">
        <v>0.57402599054949799</v>
      </c>
      <c r="AM5" s="4">
        <v>1</v>
      </c>
      <c r="AN5" s="4">
        <v>1.08</v>
      </c>
      <c r="AO5" s="4">
        <v>1.48213491131051</v>
      </c>
      <c r="AP5" s="4">
        <v>3.9867803831709701</v>
      </c>
      <c r="AQ5" s="4">
        <v>1</v>
      </c>
      <c r="AR5" s="4">
        <v>1.31325050512182</v>
      </c>
      <c r="AS5" s="4">
        <v>1</v>
      </c>
      <c r="AT5" s="4">
        <v>0.99996619787779595</v>
      </c>
      <c r="AU5" s="4">
        <v>1</v>
      </c>
      <c r="AV5" s="4">
        <v>0.94</v>
      </c>
      <c r="AW5" s="4">
        <v>7.6365384875458894E-2</v>
      </c>
      <c r="AX5" s="4">
        <v>0.60945966065735502</v>
      </c>
      <c r="AY5" s="4">
        <v>1</v>
      </c>
      <c r="AZ5" s="4">
        <v>1</v>
      </c>
      <c r="BA5" s="4">
        <v>1.04</v>
      </c>
      <c r="BB5" s="4">
        <v>0.96</v>
      </c>
      <c r="BC5" s="4">
        <v>8279560032</v>
      </c>
      <c r="BD5" s="4">
        <v>8.4888485242735998E-2</v>
      </c>
      <c r="BE5" s="3">
        <v>5439</v>
      </c>
    </row>
    <row r="6" spans="1:57" s="3" customFormat="1" x14ac:dyDescent="0.25">
      <c r="A6" s="3">
        <v>5</v>
      </c>
      <c r="B6" s="3">
        <v>1</v>
      </c>
      <c r="C6" s="6">
        <v>150</v>
      </c>
      <c r="D6" s="4">
        <v>1.4526544924489999</v>
      </c>
      <c r="E6" s="4">
        <v>1.52765755690098</v>
      </c>
      <c r="F6" s="4">
        <v>0.95090322165909003</v>
      </c>
      <c r="G6" s="4">
        <v>7.5003064451983306E-2</v>
      </c>
      <c r="H6" s="4">
        <v>6.4341180464136602E-2</v>
      </c>
      <c r="I6" s="4">
        <v>4.6701859832232101E-2</v>
      </c>
      <c r="J6" s="4">
        <v>3.7027387844351403E-2</v>
      </c>
      <c r="K6" s="4">
        <v>0.490462753254443</v>
      </c>
      <c r="L6" s="4">
        <v>0.88912437550581802</v>
      </c>
      <c r="M6" s="4">
        <v>0</v>
      </c>
      <c r="N6" s="4">
        <v>13.1848735047397</v>
      </c>
      <c r="O6" s="4">
        <v>86.815126495260301</v>
      </c>
      <c r="P6" s="4">
        <v>100</v>
      </c>
      <c r="Q6" s="4">
        <v>0</v>
      </c>
      <c r="R6" s="4">
        <v>0</v>
      </c>
      <c r="S6" s="4">
        <v>0</v>
      </c>
      <c r="T6" s="4">
        <v>0</v>
      </c>
      <c r="U6" s="4">
        <v>1.65043422799831</v>
      </c>
      <c r="V6" s="4">
        <v>132.73615522655501</v>
      </c>
      <c r="W6" s="4">
        <v>8702.8052358061395</v>
      </c>
      <c r="X6" s="4">
        <v>100</v>
      </c>
      <c r="Y6" s="4">
        <v>49.2947804012082</v>
      </c>
      <c r="Z6" s="4">
        <v>265.43647020153497</v>
      </c>
      <c r="AA6" s="4">
        <v>263.841153014067</v>
      </c>
      <c r="AB6" s="4">
        <v>89.179568693796895</v>
      </c>
      <c r="AC6" s="4">
        <v>263.80644920914801</v>
      </c>
      <c r="AD6" s="4">
        <v>5.0716022057224999</v>
      </c>
      <c r="AE6" s="4">
        <v>750.04212351017804</v>
      </c>
      <c r="AF6" s="4">
        <v>0</v>
      </c>
      <c r="AG6" s="4">
        <v>0</v>
      </c>
      <c r="AH6" s="4">
        <v>176.559729041184</v>
      </c>
      <c r="AI6" s="4">
        <v>113.314604569702</v>
      </c>
      <c r="AJ6" s="4">
        <v>35.099652310815301</v>
      </c>
      <c r="AK6" s="4">
        <v>5.5852733228618296</v>
      </c>
      <c r="AL6" s="4">
        <v>0.57342992248018498</v>
      </c>
      <c r="AM6" s="4">
        <v>1</v>
      </c>
      <c r="AN6" s="4">
        <v>1.08</v>
      </c>
      <c r="AO6" s="4">
        <v>1.54699598342335</v>
      </c>
      <c r="AP6" s="4">
        <v>4.4144182292849496</v>
      </c>
      <c r="AQ6" s="4">
        <v>1</v>
      </c>
      <c r="AR6" s="4">
        <v>1.31391690957093</v>
      </c>
      <c r="AS6" s="4">
        <v>1</v>
      </c>
      <c r="AT6" s="4">
        <v>1</v>
      </c>
      <c r="AU6" s="4">
        <v>1</v>
      </c>
      <c r="AV6" s="4">
        <v>0.94</v>
      </c>
      <c r="AW6" s="4">
        <v>8.0274374347020006E-2</v>
      </c>
      <c r="AX6" s="4">
        <v>0.58549965804380999</v>
      </c>
      <c r="AY6" s="4">
        <v>1</v>
      </c>
      <c r="AZ6" s="4">
        <v>1</v>
      </c>
      <c r="BA6" s="4">
        <v>1.04</v>
      </c>
      <c r="BB6" s="4">
        <v>0.96</v>
      </c>
      <c r="BC6" s="4">
        <v>2202492811.9000001</v>
      </c>
      <c r="BD6" s="4">
        <v>0.11489290305757301</v>
      </c>
      <c r="BE6" s="3">
        <v>2361</v>
      </c>
    </row>
    <row r="7" spans="1:57" x14ac:dyDescent="0.25">
      <c r="A7">
        <v>6</v>
      </c>
      <c r="B7">
        <v>1</v>
      </c>
      <c r="C7" s="5">
        <v>175</v>
      </c>
      <c r="D7" s="2">
        <v>2.6212042386031</v>
      </c>
      <c r="E7" s="2">
        <v>1.6679034231529499</v>
      </c>
      <c r="F7" s="2">
        <v>1.5715563636460801</v>
      </c>
      <c r="G7" s="2">
        <v>-0.95330081545015</v>
      </c>
      <c r="H7" s="2">
        <v>6.1610923460551498E-2</v>
      </c>
      <c r="I7" s="2">
        <v>5.7617682132870503E-2</v>
      </c>
      <c r="J7" s="2">
        <v>7.07840039962159E-2</v>
      </c>
      <c r="K7" s="2">
        <v>0.52474871797120404</v>
      </c>
      <c r="L7" s="2">
        <v>0.95314209559211105</v>
      </c>
      <c r="M7" s="2">
        <v>0</v>
      </c>
      <c r="N7" s="2">
        <v>12.4539852791849</v>
      </c>
      <c r="O7" s="2">
        <v>87.546014720815094</v>
      </c>
      <c r="P7" s="2">
        <v>100</v>
      </c>
      <c r="Q7" s="2">
        <v>0</v>
      </c>
      <c r="R7" s="2">
        <v>0</v>
      </c>
      <c r="S7" s="2">
        <v>0</v>
      </c>
      <c r="T7" s="2">
        <v>0</v>
      </c>
      <c r="U7" s="2">
        <v>2.2076638680173102</v>
      </c>
      <c r="V7" s="2">
        <v>157.26452607908399</v>
      </c>
      <c r="W7" s="2">
        <v>9388.9738386522895</v>
      </c>
      <c r="X7" s="2">
        <v>100</v>
      </c>
      <c r="Y7" s="2">
        <v>51.321677090633401</v>
      </c>
      <c r="Z7" s="2">
        <v>298.128356074007</v>
      </c>
      <c r="AA7" s="2">
        <v>297.618050839028</v>
      </c>
      <c r="AB7" s="2">
        <v>83.0807781632858</v>
      </c>
      <c r="AC7" s="2">
        <v>269.77562192923602</v>
      </c>
      <c r="AD7" s="2">
        <v>5.3188986333613402</v>
      </c>
      <c r="AE7" s="2">
        <v>731.05383837681802</v>
      </c>
      <c r="AF7" s="2">
        <v>0</v>
      </c>
      <c r="AG7" s="2">
        <v>0</v>
      </c>
      <c r="AH7" s="2">
        <v>176.47676578149699</v>
      </c>
      <c r="AI7" s="2">
        <v>113.32253552275699</v>
      </c>
      <c r="AJ7" s="2">
        <v>35.368239097330502</v>
      </c>
      <c r="AK7" s="2">
        <v>44.180783965708201</v>
      </c>
      <c r="AL7" s="2">
        <v>0.57329630955220501</v>
      </c>
      <c r="AM7" s="2">
        <v>1</v>
      </c>
      <c r="AN7" s="2">
        <v>1.08</v>
      </c>
      <c r="AO7" s="2">
        <v>1.58236501497741</v>
      </c>
      <c r="AP7" s="2">
        <v>4.7720196989938399</v>
      </c>
      <c r="AQ7" s="2">
        <v>1</v>
      </c>
      <c r="AR7" s="2">
        <v>1.3788993732774699</v>
      </c>
      <c r="AS7" s="2">
        <v>1</v>
      </c>
      <c r="AT7" s="2">
        <v>1</v>
      </c>
      <c r="AU7" s="2">
        <v>1</v>
      </c>
      <c r="AV7" s="2">
        <v>0.94</v>
      </c>
      <c r="AW7" s="2">
        <v>8.1368351110501003E-2</v>
      </c>
      <c r="AX7" s="2">
        <v>0.57627100591839198</v>
      </c>
      <c r="AY7" s="2">
        <v>1</v>
      </c>
      <c r="AZ7" s="2">
        <v>1</v>
      </c>
      <c r="BA7" s="2">
        <v>1.04</v>
      </c>
      <c r="BB7" s="2">
        <v>0.96</v>
      </c>
      <c r="BC7" s="2">
        <v>108122083.8</v>
      </c>
      <c r="BD7" s="2">
        <v>0.114172294518084</v>
      </c>
      <c r="BE7">
        <v>301</v>
      </c>
    </row>
    <row r="8" spans="1:57" x14ac:dyDescent="0.25">
      <c r="A8">
        <v>7</v>
      </c>
      <c r="B8">
        <v>1</v>
      </c>
      <c r="C8" s="5">
        <v>200</v>
      </c>
      <c r="D8" s="2">
        <v>1.5900104576242802E-2</v>
      </c>
      <c r="E8" s="2">
        <v>1.77506835091284</v>
      </c>
      <c r="F8" s="2">
        <v>8.9574604651511697E-3</v>
      </c>
      <c r="G8" s="2">
        <v>1.7591682463365901</v>
      </c>
      <c r="H8" s="2">
        <v>6.5872123974144395E-2</v>
      </c>
      <c r="I8" s="2">
        <v>5.3897638727567997E-2</v>
      </c>
      <c r="J8" s="2">
        <v>3.78883204499623E-2</v>
      </c>
      <c r="K8" s="2">
        <v>0.52797147213557305</v>
      </c>
      <c r="L8" s="2">
        <v>1.08943879562559</v>
      </c>
      <c r="M8" s="2">
        <v>0</v>
      </c>
      <c r="N8" s="2">
        <v>13.229607524651</v>
      </c>
      <c r="O8" s="2">
        <v>86.770392475348999</v>
      </c>
      <c r="P8" s="2">
        <v>100</v>
      </c>
      <c r="Q8" s="2">
        <v>0</v>
      </c>
      <c r="R8" s="2">
        <v>0</v>
      </c>
      <c r="S8" s="2">
        <v>0</v>
      </c>
      <c r="T8" s="2">
        <v>0</v>
      </c>
      <c r="U8" s="2">
        <v>2.1704741614599201</v>
      </c>
      <c r="V8" s="2">
        <v>179.70250838569399</v>
      </c>
      <c r="W8" s="2">
        <v>6825.7189868027799</v>
      </c>
      <c r="X8" s="2">
        <v>100</v>
      </c>
      <c r="Y8" s="2">
        <v>52.757252536783902</v>
      </c>
      <c r="Z8" s="2">
        <v>263.63842099994599</v>
      </c>
      <c r="AA8" s="2">
        <v>263.63842099994599</v>
      </c>
      <c r="AB8" s="2">
        <v>92.150655855661697</v>
      </c>
      <c r="AC8" s="2">
        <v>246.451164067196</v>
      </c>
      <c r="AD8" s="2">
        <v>5.5492465449879296</v>
      </c>
      <c r="AE8" s="2">
        <v>741.78728312772603</v>
      </c>
      <c r="AF8" s="2">
        <v>0</v>
      </c>
      <c r="AG8" s="2">
        <v>0</v>
      </c>
      <c r="AH8" s="2">
        <v>176.25879109122701</v>
      </c>
      <c r="AI8" s="2">
        <v>113.35084222293101</v>
      </c>
      <c r="AJ8" s="2">
        <v>36.092391039979098</v>
      </c>
      <c r="AK8" s="2">
        <v>51.552609089313997</v>
      </c>
      <c r="AL8" s="2">
        <v>0.57294186358146504</v>
      </c>
      <c r="AM8" s="2">
        <v>1</v>
      </c>
      <c r="AN8" s="2">
        <v>1.08</v>
      </c>
      <c r="AO8" s="2">
        <v>1.5925739760862601</v>
      </c>
      <c r="AP8" s="2">
        <v>4.9619759314545897</v>
      </c>
      <c r="AQ8" s="2">
        <v>1</v>
      </c>
      <c r="AR8" s="2">
        <v>1.3096914816698899</v>
      </c>
      <c r="AS8" s="2">
        <v>1</v>
      </c>
      <c r="AT8" s="2">
        <v>1</v>
      </c>
      <c r="AU8" s="2">
        <v>1</v>
      </c>
      <c r="AV8" s="2">
        <v>0.94</v>
      </c>
      <c r="AW8" s="2">
        <v>8.3846509798659402E-2</v>
      </c>
      <c r="AX8" s="2">
        <v>0.68637894242459097</v>
      </c>
      <c r="AY8" s="2">
        <v>1</v>
      </c>
      <c r="AZ8" s="2">
        <v>1</v>
      </c>
      <c r="BA8" s="2">
        <v>1.04</v>
      </c>
      <c r="BB8" s="2">
        <v>0.96</v>
      </c>
      <c r="BC8" s="2">
        <v>3240697.8</v>
      </c>
      <c r="BD8" s="2">
        <v>3.0882029460347097E-4</v>
      </c>
      <c r="BE8">
        <v>13</v>
      </c>
    </row>
    <row r="9" spans="1:57" x14ac:dyDescent="0.25">
      <c r="A9">
        <v>8</v>
      </c>
      <c r="B9">
        <v>1</v>
      </c>
      <c r="C9" s="5">
        <v>225</v>
      </c>
      <c r="D9" s="2">
        <v>1.0201360033802001E-2</v>
      </c>
      <c r="E9" s="2">
        <v>2.0112153864222799</v>
      </c>
      <c r="F9" s="2">
        <v>5.0722364708779702E-3</v>
      </c>
      <c r="G9" s="2">
        <v>2.0010140263884799</v>
      </c>
      <c r="H9" s="2">
        <v>6.2363519001312498E-2</v>
      </c>
      <c r="I9" s="2">
        <v>3.3383765266997899E-2</v>
      </c>
      <c r="J9" s="2">
        <v>0.41206861890164398</v>
      </c>
      <c r="K9" s="2">
        <v>0.56486566237750002</v>
      </c>
      <c r="L9" s="2">
        <v>0.93853382087482495</v>
      </c>
      <c r="M9" s="2">
        <v>0</v>
      </c>
      <c r="N9" s="2">
        <v>0</v>
      </c>
      <c r="O9" s="2">
        <v>100</v>
      </c>
      <c r="P9" s="2">
        <v>100</v>
      </c>
      <c r="Q9" s="2">
        <v>0</v>
      </c>
      <c r="R9" s="2">
        <v>0</v>
      </c>
      <c r="S9" s="2">
        <v>0</v>
      </c>
      <c r="T9" s="2">
        <v>0</v>
      </c>
      <c r="U9" s="2">
        <v>1.0192913072114</v>
      </c>
      <c r="V9" s="2">
        <v>212.45638768051299</v>
      </c>
      <c r="W9" s="2">
        <v>9928.9746188632507</v>
      </c>
      <c r="X9" s="2">
        <v>100</v>
      </c>
      <c r="Y9" s="2">
        <v>56.5773182372753</v>
      </c>
      <c r="Z9" s="2">
        <v>289.30752489444501</v>
      </c>
      <c r="AA9" s="2">
        <v>289.30752489444501</v>
      </c>
      <c r="AB9" s="2">
        <v>85.430757820654605</v>
      </c>
      <c r="AC9" s="2">
        <v>242.53437252412999</v>
      </c>
      <c r="AD9" s="2">
        <v>6.0514623187042202</v>
      </c>
      <c r="AE9" s="2">
        <v>649.15185515155304</v>
      </c>
      <c r="AF9" s="2">
        <v>0</v>
      </c>
      <c r="AG9" s="2">
        <v>0</v>
      </c>
      <c r="AH9" s="2">
        <v>177.424590058809</v>
      </c>
      <c r="AI9" s="2">
        <v>113.19696870837799</v>
      </c>
      <c r="AJ9" s="2">
        <v>32.2618290762436</v>
      </c>
      <c r="AK9" s="2">
        <v>96.736839131661995</v>
      </c>
      <c r="AL9" s="2">
        <v>0.574840289630275</v>
      </c>
      <c r="AM9" s="2">
        <v>1</v>
      </c>
      <c r="AN9" s="2">
        <v>1.08</v>
      </c>
      <c r="AO9" s="2">
        <v>1.5972843125726199</v>
      </c>
      <c r="AP9" s="2">
        <v>5.0748364247154596</v>
      </c>
      <c r="AQ9" s="2">
        <v>1</v>
      </c>
      <c r="AR9" s="2">
        <v>1.3834462280683999</v>
      </c>
      <c r="AS9" s="2">
        <v>1</v>
      </c>
      <c r="AT9" s="2">
        <v>1</v>
      </c>
      <c r="AU9" s="2">
        <v>1</v>
      </c>
      <c r="AV9" s="2">
        <v>0.94</v>
      </c>
      <c r="AW9" s="2">
        <v>7.1121452657057604E-2</v>
      </c>
      <c r="AX9" s="2">
        <v>0.56629611771597599</v>
      </c>
      <c r="AY9" s="2">
        <v>1</v>
      </c>
      <c r="AZ9" s="2">
        <v>1</v>
      </c>
      <c r="BA9" s="2">
        <v>1.04</v>
      </c>
      <c r="BB9" s="2">
        <v>0.96</v>
      </c>
      <c r="BC9" s="2">
        <v>1999170.9</v>
      </c>
      <c r="BD9" s="2">
        <v>1.06413837267081E-4</v>
      </c>
      <c r="BE9">
        <v>7</v>
      </c>
    </row>
    <row r="10" spans="1:57" x14ac:dyDescent="0.25">
      <c r="A10">
        <v>9</v>
      </c>
      <c r="B10">
        <v>1</v>
      </c>
      <c r="C10" s="5">
        <v>250</v>
      </c>
      <c r="D10" s="2">
        <v>2.9512803283472E-2</v>
      </c>
      <c r="E10" s="2">
        <v>1.6672001656675699</v>
      </c>
      <c r="F10" s="2">
        <v>1.7702015565512302E-2</v>
      </c>
      <c r="G10" s="2">
        <v>1.6376873623841</v>
      </c>
      <c r="H10" s="2">
        <v>5.9056205604718102E-2</v>
      </c>
      <c r="I10" s="2">
        <v>3.2661858645372903E-2</v>
      </c>
      <c r="J10" s="2">
        <v>9.1318579449848294E-2</v>
      </c>
      <c r="K10" s="2">
        <v>0.57496450925777498</v>
      </c>
      <c r="L10" s="2">
        <v>0.90919901270985404</v>
      </c>
      <c r="M10" s="2">
        <v>0</v>
      </c>
      <c r="N10" s="2">
        <v>0</v>
      </c>
      <c r="O10" s="2">
        <v>100</v>
      </c>
      <c r="P10" s="2">
        <v>100</v>
      </c>
      <c r="Q10" s="2">
        <v>0</v>
      </c>
      <c r="R10" s="2">
        <v>0</v>
      </c>
      <c r="S10" s="2">
        <v>0</v>
      </c>
      <c r="T10" s="2">
        <v>0</v>
      </c>
      <c r="U10" s="2">
        <v>1.0859432206630499</v>
      </c>
      <c r="V10" s="2">
        <v>239.35042619430399</v>
      </c>
      <c r="W10" s="2">
        <v>6701.8646661966504</v>
      </c>
      <c r="X10" s="2">
        <v>100</v>
      </c>
      <c r="Y10" s="2">
        <v>52.404049740497499</v>
      </c>
      <c r="Z10" s="2">
        <v>225.87973960100899</v>
      </c>
      <c r="AA10" s="2">
        <v>225.87973960100899</v>
      </c>
      <c r="AB10" s="2">
        <v>78.723719270983295</v>
      </c>
      <c r="AC10" s="2">
        <v>218.21142300093999</v>
      </c>
      <c r="AD10" s="2">
        <v>6.1380903236514701</v>
      </c>
      <c r="AE10" s="2">
        <v>695.570838838177</v>
      </c>
      <c r="AF10" s="2">
        <v>0</v>
      </c>
      <c r="AG10" s="2">
        <v>0</v>
      </c>
      <c r="AH10" s="2">
        <v>176.76436711259299</v>
      </c>
      <c r="AI10" s="2">
        <v>113.27948427653099</v>
      </c>
      <c r="AJ10" s="2">
        <v>34.431200321982203</v>
      </c>
      <c r="AK10" s="2">
        <v>111.56139365975299</v>
      </c>
      <c r="AL10" s="2">
        <v>0.57376764379863299</v>
      </c>
      <c r="AM10" s="2">
        <v>1</v>
      </c>
      <c r="AN10" s="2">
        <v>1.08</v>
      </c>
      <c r="AO10" s="2">
        <v>1.59900578719042</v>
      </c>
      <c r="AP10" s="2">
        <v>5.1057964151239101</v>
      </c>
      <c r="AQ10" s="2">
        <v>1</v>
      </c>
      <c r="AR10" s="2">
        <v>1.19333938690583</v>
      </c>
      <c r="AS10" s="2">
        <v>1</v>
      </c>
      <c r="AT10" s="2">
        <v>1</v>
      </c>
      <c r="AU10" s="2">
        <v>1</v>
      </c>
      <c r="AV10" s="2">
        <v>0.94</v>
      </c>
      <c r="AW10" s="2">
        <v>7.8667212855317498E-2</v>
      </c>
      <c r="AX10" s="2">
        <v>0.61872135779271398</v>
      </c>
      <c r="AY10" s="2">
        <v>1</v>
      </c>
      <c r="AZ10" s="2">
        <v>1</v>
      </c>
      <c r="BA10" s="2">
        <v>1.04</v>
      </c>
      <c r="BB10" s="2">
        <v>0.96</v>
      </c>
      <c r="BC10" s="2">
        <v>1050741.3999999999</v>
      </c>
      <c r="BD10" s="2">
        <v>6.0343185199324702E-5</v>
      </c>
      <c r="BE10">
        <v>5</v>
      </c>
    </row>
    <row r="14" spans="1:57" x14ac:dyDescent="0.25">
      <c r="A14">
        <v>2015</v>
      </c>
      <c r="B14" s="2" t="s">
        <v>0</v>
      </c>
      <c r="C14" s="5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2" t="s">
        <v>12</v>
      </c>
      <c r="O14" s="2" t="s">
        <v>13</v>
      </c>
      <c r="P14" s="2" t="s">
        <v>14</v>
      </c>
      <c r="Q14" s="2" t="s">
        <v>15</v>
      </c>
      <c r="R14" s="2" t="s">
        <v>16</v>
      </c>
      <c r="S14" s="2" t="s">
        <v>17</v>
      </c>
      <c r="T14" s="2" t="s">
        <v>18</v>
      </c>
      <c r="U14" s="2" t="s">
        <v>19</v>
      </c>
      <c r="V14" s="2" t="s">
        <v>20</v>
      </c>
      <c r="W14" s="2" t="s">
        <v>21</v>
      </c>
      <c r="X14" s="2" t="s">
        <v>22</v>
      </c>
      <c r="Y14" s="2" t="s">
        <v>23</v>
      </c>
      <c r="Z14" s="2" t="s">
        <v>24</v>
      </c>
      <c r="AA14" s="2" t="s">
        <v>25</v>
      </c>
      <c r="AB14" s="2" t="s">
        <v>26</v>
      </c>
      <c r="AC14" s="2" t="s">
        <v>27</v>
      </c>
      <c r="AD14" s="2" t="s">
        <v>28</v>
      </c>
      <c r="AE14" s="2" t="s">
        <v>29</v>
      </c>
      <c r="AF14" s="2" t="s">
        <v>30</v>
      </c>
      <c r="AG14" s="2" t="s">
        <v>31</v>
      </c>
      <c r="AH14" s="2" t="s">
        <v>32</v>
      </c>
      <c r="AI14" s="2" t="s">
        <v>33</v>
      </c>
      <c r="AJ14" s="2" t="s">
        <v>34</v>
      </c>
      <c r="AK14" s="2" t="s">
        <v>35</v>
      </c>
      <c r="AL14" s="2" t="s">
        <v>39</v>
      </c>
      <c r="AM14" s="2" t="s">
        <v>40</v>
      </c>
      <c r="AN14" s="2" t="s">
        <v>41</v>
      </c>
      <c r="AO14" s="2" t="s">
        <v>42</v>
      </c>
      <c r="AP14" s="2" t="s">
        <v>43</v>
      </c>
      <c r="AQ14" s="2" t="s">
        <v>44</v>
      </c>
      <c r="AR14" s="2" t="s">
        <v>45</v>
      </c>
      <c r="AS14" s="2" t="s">
        <v>46</v>
      </c>
      <c r="AT14" s="2" t="s">
        <v>47</v>
      </c>
      <c r="AU14" s="2" t="s">
        <v>48</v>
      </c>
      <c r="AV14" s="2" t="s">
        <v>49</v>
      </c>
      <c r="AW14" s="2" t="s">
        <v>50</v>
      </c>
      <c r="AX14" s="2" t="s">
        <v>51</v>
      </c>
      <c r="AY14" s="2" t="s">
        <v>52</v>
      </c>
      <c r="AZ14" s="2" t="s">
        <v>53</v>
      </c>
      <c r="BA14" s="2" t="s">
        <v>54</v>
      </c>
      <c r="BB14" s="2" t="s">
        <v>55</v>
      </c>
      <c r="BC14" s="2" t="s">
        <v>36</v>
      </c>
      <c r="BD14" s="2" t="s">
        <v>37</v>
      </c>
      <c r="BE14" s="2" t="s">
        <v>38</v>
      </c>
    </row>
    <row r="15" spans="1:57" x14ac:dyDescent="0.25">
      <c r="A15">
        <v>1</v>
      </c>
      <c r="B15">
        <v>1</v>
      </c>
      <c r="C15" s="5">
        <v>50</v>
      </c>
      <c r="D15" s="2">
        <v>5.8144398132099198E-3</v>
      </c>
      <c r="E15" s="2">
        <v>1.3062015794989099</v>
      </c>
      <c r="F15" s="2">
        <v>4.45141079636457E-3</v>
      </c>
      <c r="G15" s="2">
        <v>1.3003871396857001</v>
      </c>
      <c r="H15" s="2">
        <v>5.1560982060878502E-2</v>
      </c>
      <c r="I15" s="2">
        <v>8.5286924038806902E-2</v>
      </c>
      <c r="J15" s="2">
        <v>0.13270088045114001</v>
      </c>
      <c r="K15" s="2">
        <v>0.49410539867719799</v>
      </c>
      <c r="L15" s="2">
        <v>0.54254739427089005</v>
      </c>
      <c r="M15" s="2">
        <v>0</v>
      </c>
      <c r="N15" s="2">
        <v>12.1546490211123</v>
      </c>
      <c r="O15" s="2">
        <v>87.845350978887694</v>
      </c>
      <c r="P15" s="2">
        <v>100</v>
      </c>
      <c r="Q15" s="2">
        <v>0</v>
      </c>
      <c r="R15" s="2">
        <v>0</v>
      </c>
      <c r="S15" s="2">
        <v>0</v>
      </c>
      <c r="T15" s="2">
        <v>0</v>
      </c>
      <c r="U15" s="2">
        <v>1.9057000121397201</v>
      </c>
      <c r="V15" s="2">
        <v>42.373525214274402</v>
      </c>
      <c r="W15" s="2">
        <v>1039.8026617504599</v>
      </c>
      <c r="X15" s="2">
        <v>100</v>
      </c>
      <c r="Y15" s="2">
        <v>70.321969773938605</v>
      </c>
      <c r="Z15" s="2">
        <v>269.61701410274799</v>
      </c>
      <c r="AA15" s="2">
        <v>269.37281923673299</v>
      </c>
      <c r="AB15" s="2">
        <v>61.998299041527503</v>
      </c>
      <c r="AC15" s="2">
        <v>288.692387323471</v>
      </c>
      <c r="AD15" s="2">
        <v>4.7012099231579496</v>
      </c>
      <c r="AE15" s="2">
        <v>667.98677448013098</v>
      </c>
      <c r="AF15" s="2">
        <v>0</v>
      </c>
      <c r="AG15" s="2">
        <v>0</v>
      </c>
      <c r="AH15" s="2">
        <v>146.39981961906599</v>
      </c>
      <c r="AI15" s="2">
        <v>111.004750903736</v>
      </c>
      <c r="AJ15" s="2">
        <v>45.353640772086798</v>
      </c>
      <c r="AK15" s="2">
        <v>0.35182933620040302</v>
      </c>
      <c r="AL15" s="2">
        <v>0.53406452223739098</v>
      </c>
      <c r="AM15" s="2">
        <v>1</v>
      </c>
      <c r="AN15" s="2">
        <v>1.08</v>
      </c>
      <c r="AO15" s="2">
        <v>0.57740973150091701</v>
      </c>
      <c r="AP15" s="2">
        <v>1.58321131247258</v>
      </c>
      <c r="AQ15" s="2">
        <v>1</v>
      </c>
      <c r="AR15" s="2">
        <v>1.32191766324335</v>
      </c>
      <c r="AS15" s="2">
        <v>1</v>
      </c>
      <c r="AT15" s="2">
        <v>1</v>
      </c>
      <c r="AU15" s="2">
        <v>1</v>
      </c>
      <c r="AV15" s="2">
        <v>0.94</v>
      </c>
      <c r="AW15" s="2">
        <v>0.14458611065156399</v>
      </c>
      <c r="AX15" s="2">
        <v>0.94635535839587903</v>
      </c>
      <c r="AY15" s="2">
        <v>1</v>
      </c>
      <c r="AZ15" s="2">
        <v>1</v>
      </c>
      <c r="BA15" s="2">
        <v>1.04</v>
      </c>
      <c r="BB15" s="2">
        <v>0.96</v>
      </c>
      <c r="BC15" s="2">
        <v>30911748.199999999</v>
      </c>
      <c r="BD15" s="2">
        <v>2.84534941664855E-4</v>
      </c>
      <c r="BE15" s="2">
        <v>115</v>
      </c>
    </row>
    <row r="16" spans="1:57" x14ac:dyDescent="0.25">
      <c r="A16">
        <v>2</v>
      </c>
      <c r="B16">
        <v>1</v>
      </c>
      <c r="C16" s="5">
        <v>75</v>
      </c>
      <c r="D16" s="2">
        <v>1.3740040412407599</v>
      </c>
      <c r="E16" s="2">
        <v>1.52501707993644</v>
      </c>
      <c r="F16" s="2">
        <v>0.90097616565581395</v>
      </c>
      <c r="G16" s="2">
        <v>0.151013038695681</v>
      </c>
      <c r="H16" s="2">
        <v>5.1390166968853401E-2</v>
      </c>
      <c r="I16" s="2">
        <v>6.0091755733954103E-2</v>
      </c>
      <c r="J16" s="2">
        <v>6.6967213362191302E-2</v>
      </c>
      <c r="K16" s="2">
        <v>0.45487947108800397</v>
      </c>
      <c r="L16" s="2">
        <v>0.89168847278344099</v>
      </c>
      <c r="M16" s="2">
        <v>0</v>
      </c>
      <c r="N16" s="2">
        <v>4.9835541495881897</v>
      </c>
      <c r="O16" s="2">
        <v>95.016445850411799</v>
      </c>
      <c r="P16" s="2">
        <v>100</v>
      </c>
      <c r="Q16" s="2">
        <v>0</v>
      </c>
      <c r="R16" s="2">
        <v>0</v>
      </c>
      <c r="S16" s="2">
        <v>0</v>
      </c>
      <c r="T16" s="2">
        <v>0</v>
      </c>
      <c r="U16" s="2">
        <v>1.4105186322202301</v>
      </c>
      <c r="V16" s="2">
        <v>67.129362241881594</v>
      </c>
      <c r="W16" s="2">
        <v>2172.3436186296999</v>
      </c>
      <c r="X16" s="2">
        <v>99.807949856826795</v>
      </c>
      <c r="Y16" s="2">
        <v>64.667887386642505</v>
      </c>
      <c r="Z16" s="2">
        <v>295.36542775721</v>
      </c>
      <c r="AA16" s="2">
        <v>294.47854536692802</v>
      </c>
      <c r="AB16" s="2">
        <v>61.552174974567599</v>
      </c>
      <c r="AC16" s="2">
        <v>291.39639102986399</v>
      </c>
      <c r="AD16" s="2">
        <v>4.7677303736714096</v>
      </c>
      <c r="AE16" s="2">
        <v>706.48320113691796</v>
      </c>
      <c r="AF16" s="2">
        <v>0</v>
      </c>
      <c r="AG16" s="2">
        <v>0</v>
      </c>
      <c r="AH16" s="2">
        <v>146.55348336883</v>
      </c>
      <c r="AI16" s="2">
        <v>111.015802442981</v>
      </c>
      <c r="AJ16" s="2">
        <v>45.203678653430003</v>
      </c>
      <c r="AK16" s="2">
        <v>-2.4625546556995199</v>
      </c>
      <c r="AL16" s="2">
        <v>0.53422291196331995</v>
      </c>
      <c r="AM16" s="2">
        <v>1</v>
      </c>
      <c r="AN16" s="2">
        <v>1.08</v>
      </c>
      <c r="AO16" s="2">
        <v>1.0396992972039401</v>
      </c>
      <c r="AP16" s="2">
        <v>2.6289827906732399</v>
      </c>
      <c r="AQ16" s="2">
        <v>1</v>
      </c>
      <c r="AR16" s="2">
        <v>1.37800332742843</v>
      </c>
      <c r="AS16" s="2">
        <v>1</v>
      </c>
      <c r="AT16" s="2">
        <v>0.99807949856826805</v>
      </c>
      <c r="AU16" s="2">
        <v>1</v>
      </c>
      <c r="AV16" s="2">
        <v>0.94</v>
      </c>
      <c r="AW16" s="2">
        <v>0.143248707182806</v>
      </c>
      <c r="AX16" s="2">
        <v>0.85670148181762396</v>
      </c>
      <c r="AY16" s="2">
        <v>1</v>
      </c>
      <c r="AZ16" s="2">
        <v>1</v>
      </c>
      <c r="BA16" s="2">
        <v>1.04</v>
      </c>
      <c r="BB16" s="2">
        <v>0.96</v>
      </c>
      <c r="BC16" s="2">
        <v>377905784.39999998</v>
      </c>
      <c r="BD16" s="2">
        <v>7.8334206915558896E-2</v>
      </c>
      <c r="BE16" s="2">
        <v>818</v>
      </c>
    </row>
    <row r="17" spans="1:57" s="3" customFormat="1" x14ac:dyDescent="0.25">
      <c r="A17" s="3">
        <v>3</v>
      </c>
      <c r="B17" s="3">
        <v>1</v>
      </c>
      <c r="C17" s="6">
        <v>100</v>
      </c>
      <c r="D17" s="4">
        <v>1.35591099479568</v>
      </c>
      <c r="E17" s="4">
        <v>1.4751206779410899</v>
      </c>
      <c r="F17" s="4">
        <v>0.91918648763584598</v>
      </c>
      <c r="G17" s="4">
        <v>0.119209683145411</v>
      </c>
      <c r="H17" s="4">
        <v>5.2252280833123499E-2</v>
      </c>
      <c r="I17" s="4">
        <v>3.8785858188543298E-2</v>
      </c>
      <c r="J17" s="4">
        <v>1.5725853986799501E-2</v>
      </c>
      <c r="K17" s="4">
        <v>0.40348455917387499</v>
      </c>
      <c r="L17" s="4">
        <v>0.96487212575874504</v>
      </c>
      <c r="M17" s="4">
        <v>0</v>
      </c>
      <c r="N17" s="4">
        <v>10.5179076901969</v>
      </c>
      <c r="O17" s="4">
        <v>89.482092309803093</v>
      </c>
      <c r="P17" s="4">
        <v>100</v>
      </c>
      <c r="Q17" s="4">
        <v>0</v>
      </c>
      <c r="R17" s="4">
        <v>0</v>
      </c>
      <c r="S17" s="4">
        <v>0</v>
      </c>
      <c r="T17" s="4">
        <v>0</v>
      </c>
      <c r="U17" s="4">
        <v>0.96679115569055096</v>
      </c>
      <c r="V17" s="4">
        <v>92.329342005194107</v>
      </c>
      <c r="W17" s="4">
        <v>3943.3788526824201</v>
      </c>
      <c r="X17" s="4">
        <v>99.989289745881095</v>
      </c>
      <c r="Y17" s="4">
        <v>58.366157514964499</v>
      </c>
      <c r="Z17" s="4">
        <v>274.00838498083402</v>
      </c>
      <c r="AA17" s="4">
        <v>271.98153530010597</v>
      </c>
      <c r="AB17" s="4">
        <v>63.524822135633201</v>
      </c>
      <c r="AC17" s="4">
        <v>289.81055582005001</v>
      </c>
      <c r="AD17" s="4">
        <v>4.7381120299689803</v>
      </c>
      <c r="AE17" s="4">
        <v>759.71461586243595</v>
      </c>
      <c r="AF17" s="4">
        <v>0</v>
      </c>
      <c r="AG17" s="4">
        <v>0</v>
      </c>
      <c r="AH17" s="4">
        <v>146.49845347741601</v>
      </c>
      <c r="AI17" s="4">
        <v>111.012804310776</v>
      </c>
      <c r="AJ17" s="4">
        <v>45.378642164982601</v>
      </c>
      <c r="AK17" s="4">
        <v>-17.058406494716301</v>
      </c>
      <c r="AL17" s="4">
        <v>0.53416545947067195</v>
      </c>
      <c r="AM17" s="4">
        <v>1</v>
      </c>
      <c r="AN17" s="4">
        <v>1.08</v>
      </c>
      <c r="AO17" s="4">
        <v>1.3855423855506199</v>
      </c>
      <c r="AP17" s="4">
        <v>3.52929305396583</v>
      </c>
      <c r="AQ17" s="4">
        <v>1</v>
      </c>
      <c r="AR17" s="4">
        <v>1.3343771257922901</v>
      </c>
      <c r="AS17" s="4">
        <v>1</v>
      </c>
      <c r="AT17" s="4">
        <v>0.99989289745881105</v>
      </c>
      <c r="AU17" s="4">
        <v>1</v>
      </c>
      <c r="AV17" s="4">
        <v>0.94</v>
      </c>
      <c r="AW17" s="4">
        <v>0.144694861730676</v>
      </c>
      <c r="AX17" s="4">
        <v>0.710563191258613</v>
      </c>
      <c r="AY17" s="4">
        <v>1</v>
      </c>
      <c r="AZ17" s="4">
        <v>1</v>
      </c>
      <c r="BA17" s="4">
        <v>1.04</v>
      </c>
      <c r="BB17" s="4">
        <v>0.96</v>
      </c>
      <c r="BC17" s="4">
        <v>9322338096.8999996</v>
      </c>
      <c r="BD17" s="4">
        <v>9.5132027883599493E-2</v>
      </c>
      <c r="BE17" s="4">
        <v>4253</v>
      </c>
    </row>
    <row r="18" spans="1:57" s="3" customFormat="1" x14ac:dyDescent="0.25">
      <c r="A18" s="3">
        <v>4</v>
      </c>
      <c r="B18" s="3">
        <v>1</v>
      </c>
      <c r="C18" s="6">
        <v>125</v>
      </c>
      <c r="D18" s="4">
        <v>1.7163064543350499</v>
      </c>
      <c r="E18" s="4">
        <v>1.54002295536144</v>
      </c>
      <c r="F18" s="4">
        <v>1.1144680982578199</v>
      </c>
      <c r="G18" s="4">
        <v>-0.17628349897360501</v>
      </c>
      <c r="H18" s="4">
        <v>5.3005856342943303E-2</v>
      </c>
      <c r="I18" s="4">
        <v>3.8853074789995501E-2</v>
      </c>
      <c r="J18" s="4">
        <v>1.38818497110495E-2</v>
      </c>
      <c r="K18" s="4">
        <v>0.43201946864094798</v>
      </c>
      <c r="L18" s="4">
        <v>1.0022627058765099</v>
      </c>
      <c r="M18" s="4">
        <v>0</v>
      </c>
      <c r="N18" s="4">
        <v>12.7215519853768</v>
      </c>
      <c r="O18" s="4">
        <v>87.278448014623194</v>
      </c>
      <c r="P18" s="4">
        <v>100</v>
      </c>
      <c r="Q18" s="4">
        <v>0</v>
      </c>
      <c r="R18" s="4">
        <v>0</v>
      </c>
      <c r="S18" s="4">
        <v>0</v>
      </c>
      <c r="T18" s="4">
        <v>0</v>
      </c>
      <c r="U18" s="4">
        <v>0.96720084218065205</v>
      </c>
      <c r="V18" s="4">
        <v>109.94461580247901</v>
      </c>
      <c r="W18" s="4">
        <v>4813.6733712656296</v>
      </c>
      <c r="X18" s="4">
        <v>99.997726195449999</v>
      </c>
      <c r="Y18" s="4">
        <v>55.185542596203199</v>
      </c>
      <c r="Z18" s="4">
        <v>270.41625038285201</v>
      </c>
      <c r="AA18" s="4">
        <v>268.40858312406999</v>
      </c>
      <c r="AB18" s="4">
        <v>65.299815685352101</v>
      </c>
      <c r="AC18" s="4">
        <v>287.45509926495902</v>
      </c>
      <c r="AD18" s="4">
        <v>4.8675785918159296</v>
      </c>
      <c r="AE18" s="4">
        <v>760.85837741520902</v>
      </c>
      <c r="AF18" s="4">
        <v>0</v>
      </c>
      <c r="AG18" s="4">
        <v>0</v>
      </c>
      <c r="AH18" s="4">
        <v>145.58356668987699</v>
      </c>
      <c r="AI18" s="4">
        <v>110.95690828391101</v>
      </c>
      <c r="AJ18" s="4">
        <v>46.651991350927098</v>
      </c>
      <c r="AK18" s="4">
        <v>-11.0945088892891</v>
      </c>
      <c r="AL18" s="4">
        <v>0.53324205938020197</v>
      </c>
      <c r="AM18" s="4">
        <v>1</v>
      </c>
      <c r="AN18" s="4">
        <v>1.08</v>
      </c>
      <c r="AO18" s="4">
        <v>1.4784856317856101</v>
      </c>
      <c r="AP18" s="4">
        <v>3.9662459851601799</v>
      </c>
      <c r="AQ18" s="4">
        <v>1</v>
      </c>
      <c r="AR18" s="4">
        <v>1.32526980668353</v>
      </c>
      <c r="AS18" s="4">
        <v>1</v>
      </c>
      <c r="AT18" s="4">
        <v>0.99997726195449999</v>
      </c>
      <c r="AU18" s="4">
        <v>1</v>
      </c>
      <c r="AV18" s="4">
        <v>0.94</v>
      </c>
      <c r="AW18" s="4">
        <v>0.155945601155316</v>
      </c>
      <c r="AX18" s="4">
        <v>0.66767941587374702</v>
      </c>
      <c r="AY18" s="4">
        <v>1</v>
      </c>
      <c r="AZ18" s="4">
        <v>1</v>
      </c>
      <c r="BA18" s="4">
        <v>1.04</v>
      </c>
      <c r="BB18" s="4">
        <v>0.96</v>
      </c>
      <c r="BC18" s="4">
        <v>14819747809.6</v>
      </c>
      <c r="BD18" s="4">
        <v>8.8036092805611602E-2</v>
      </c>
      <c r="BE18" s="4">
        <v>5906</v>
      </c>
    </row>
    <row r="19" spans="1:57" s="3" customFormat="1" x14ac:dyDescent="0.25">
      <c r="A19" s="3">
        <v>5</v>
      </c>
      <c r="B19" s="3">
        <v>1</v>
      </c>
      <c r="C19" s="6">
        <v>150</v>
      </c>
      <c r="D19" s="4">
        <v>1.85303339556647</v>
      </c>
      <c r="E19" s="4">
        <v>1.6010239901580701</v>
      </c>
      <c r="F19" s="4">
        <v>1.1574051400588501</v>
      </c>
      <c r="G19" s="4">
        <v>-0.252009405408402</v>
      </c>
      <c r="H19" s="4">
        <v>5.4363569282371703E-2</v>
      </c>
      <c r="I19" s="4">
        <v>4.18916290725048E-2</v>
      </c>
      <c r="J19" s="4">
        <v>1.5933739621777701E-2</v>
      </c>
      <c r="K19" s="4">
        <v>0.46117787723945203</v>
      </c>
      <c r="L19" s="4">
        <v>1.0276571749419601</v>
      </c>
      <c r="M19" s="4">
        <v>0</v>
      </c>
      <c r="N19" s="4">
        <v>15.104786470117601</v>
      </c>
      <c r="O19" s="4">
        <v>84.895213529882398</v>
      </c>
      <c r="P19" s="4">
        <v>100</v>
      </c>
      <c r="Q19" s="4">
        <v>0</v>
      </c>
      <c r="R19" s="4">
        <v>0</v>
      </c>
      <c r="S19" s="4">
        <v>0</v>
      </c>
      <c r="T19" s="4">
        <v>0</v>
      </c>
      <c r="U19" s="4">
        <v>1.0185648566185701</v>
      </c>
      <c r="V19" s="4">
        <v>131.624689043573</v>
      </c>
      <c r="W19" s="4">
        <v>5946.7172870131299</v>
      </c>
      <c r="X19" s="4">
        <v>100</v>
      </c>
      <c r="Y19" s="4">
        <v>54.613044578088299</v>
      </c>
      <c r="Z19" s="4">
        <v>268.85217231327499</v>
      </c>
      <c r="AA19" s="4">
        <v>267.108028611755</v>
      </c>
      <c r="AB19" s="4">
        <v>68.454489118110502</v>
      </c>
      <c r="AC19" s="4">
        <v>284.07004709168098</v>
      </c>
      <c r="AD19" s="4">
        <v>5.0792358666800803</v>
      </c>
      <c r="AE19" s="4">
        <v>757.06690569437899</v>
      </c>
      <c r="AF19" s="4">
        <v>0</v>
      </c>
      <c r="AG19" s="4">
        <v>0</v>
      </c>
      <c r="AH19" s="4">
        <v>144.98897543419301</v>
      </c>
      <c r="AI19" s="4">
        <v>110.920005159439</v>
      </c>
      <c r="AJ19" s="4">
        <v>47.426852352921301</v>
      </c>
      <c r="AK19" s="4">
        <v>2.1336432117194901</v>
      </c>
      <c r="AL19" s="4">
        <v>0.53264174737764602</v>
      </c>
      <c r="AM19" s="4">
        <v>1</v>
      </c>
      <c r="AN19" s="4">
        <v>1.08</v>
      </c>
      <c r="AO19" s="4">
        <v>1.54476730275219</v>
      </c>
      <c r="AP19" s="4">
        <v>4.3967598753833403</v>
      </c>
      <c r="AQ19" s="4">
        <v>1</v>
      </c>
      <c r="AR19" s="4">
        <v>1.3203931081999101</v>
      </c>
      <c r="AS19" s="4">
        <v>1</v>
      </c>
      <c r="AT19" s="4">
        <v>1</v>
      </c>
      <c r="AU19" s="4">
        <v>1</v>
      </c>
      <c r="AV19" s="4">
        <v>0.94</v>
      </c>
      <c r="AW19" s="4">
        <v>0.16283136797511299</v>
      </c>
      <c r="AX19" s="4">
        <v>0.63515215546889503</v>
      </c>
      <c r="AY19" s="4">
        <v>1</v>
      </c>
      <c r="AZ19" s="4">
        <v>1</v>
      </c>
      <c r="BA19" s="4">
        <v>1.04</v>
      </c>
      <c r="BB19" s="4">
        <v>0.96</v>
      </c>
      <c r="BC19" s="4">
        <v>3460736721</v>
      </c>
      <c r="BD19" s="4">
        <v>9.4317796406978002E-2</v>
      </c>
      <c r="BE19" s="4">
        <v>3113</v>
      </c>
    </row>
    <row r="20" spans="1:57" x14ac:dyDescent="0.25">
      <c r="A20">
        <v>6</v>
      </c>
      <c r="B20">
        <v>1</v>
      </c>
      <c r="C20" s="5">
        <v>175</v>
      </c>
      <c r="D20" s="2">
        <v>2.1240277331812298</v>
      </c>
      <c r="E20" s="2">
        <v>1.7174232992059799</v>
      </c>
      <c r="F20" s="2">
        <v>1.2367526015067101</v>
      </c>
      <c r="G20" s="2">
        <v>-0.40660443397525797</v>
      </c>
      <c r="H20" s="2">
        <v>5.5210299429632403E-2</v>
      </c>
      <c r="I20" s="2">
        <v>4.8808375040327798E-2</v>
      </c>
      <c r="J20" s="2">
        <v>2.3860195805749902E-2</v>
      </c>
      <c r="K20" s="2">
        <v>0.48374063612632101</v>
      </c>
      <c r="L20" s="2">
        <v>1.1058037928039399</v>
      </c>
      <c r="M20" s="2">
        <v>0</v>
      </c>
      <c r="N20" s="2">
        <v>10.218706309485</v>
      </c>
      <c r="O20" s="2">
        <v>89.781293690515</v>
      </c>
      <c r="P20" s="2">
        <v>100</v>
      </c>
      <c r="Q20" s="2">
        <v>0</v>
      </c>
      <c r="R20" s="2">
        <v>0</v>
      </c>
      <c r="S20" s="2">
        <v>0</v>
      </c>
      <c r="T20" s="2">
        <v>0</v>
      </c>
      <c r="U20" s="2">
        <v>1.1326770105778401</v>
      </c>
      <c r="V20" s="2">
        <v>156.86141942056301</v>
      </c>
      <c r="W20" s="2">
        <v>6858.5386829690096</v>
      </c>
      <c r="X20" s="2">
        <v>100</v>
      </c>
      <c r="Y20" s="2">
        <v>56.840691445837699</v>
      </c>
      <c r="Z20" s="2">
        <v>290.67787057354201</v>
      </c>
      <c r="AA20" s="2">
        <v>290.20524013679602</v>
      </c>
      <c r="AB20" s="2">
        <v>70.237367791010598</v>
      </c>
      <c r="AC20" s="2">
        <v>281.55062019669901</v>
      </c>
      <c r="AD20" s="2">
        <v>5.3365936098941003</v>
      </c>
      <c r="AE20" s="2">
        <v>748.989130868389</v>
      </c>
      <c r="AF20" s="2">
        <v>0</v>
      </c>
      <c r="AG20" s="2">
        <v>0</v>
      </c>
      <c r="AH20" s="2">
        <v>144.779904588671</v>
      </c>
      <c r="AI20" s="2">
        <v>110.906702195649</v>
      </c>
      <c r="AJ20" s="2">
        <v>47.667424797291197</v>
      </c>
      <c r="AK20" s="2">
        <v>33.6236922242473</v>
      </c>
      <c r="AL20" s="2">
        <v>0.53243061940588698</v>
      </c>
      <c r="AM20" s="2">
        <v>1</v>
      </c>
      <c r="AN20" s="2">
        <v>1.08</v>
      </c>
      <c r="AO20" s="2">
        <v>1.58186976706184</v>
      </c>
      <c r="AP20" s="2">
        <v>4.76479858989563</v>
      </c>
      <c r="AQ20" s="2">
        <v>1</v>
      </c>
      <c r="AR20" s="2">
        <v>1.36112856407323</v>
      </c>
      <c r="AS20" s="2">
        <v>1</v>
      </c>
      <c r="AT20" s="2">
        <v>1</v>
      </c>
      <c r="AU20" s="2">
        <v>1</v>
      </c>
      <c r="AV20" s="2">
        <v>0.94</v>
      </c>
      <c r="AW20" s="2">
        <v>0.16499547953391999</v>
      </c>
      <c r="AX20" s="2">
        <v>0.63393631471161704</v>
      </c>
      <c r="AY20" s="2">
        <v>1</v>
      </c>
      <c r="AZ20" s="2">
        <v>1</v>
      </c>
      <c r="BA20" s="2">
        <v>1.04</v>
      </c>
      <c r="BB20" s="2">
        <v>0.96</v>
      </c>
      <c r="BC20" s="2">
        <v>95787094.799999997</v>
      </c>
      <c r="BD20" s="2">
        <v>0.13779708878508101</v>
      </c>
      <c r="BE20" s="2">
        <v>274</v>
      </c>
    </row>
    <row r="21" spans="1:57" x14ac:dyDescent="0.25">
      <c r="A21">
        <v>7</v>
      </c>
      <c r="B21">
        <v>1</v>
      </c>
      <c r="C21" s="5">
        <v>200</v>
      </c>
      <c r="D21" s="2">
        <v>6.7963864518642203E-3</v>
      </c>
      <c r="E21" s="2">
        <v>1.9255165079869201</v>
      </c>
      <c r="F21" s="2">
        <v>3.5296433054057201E-3</v>
      </c>
      <c r="G21" s="2">
        <v>1.91872012153506</v>
      </c>
      <c r="H21" s="2">
        <v>5.3677612720571602E-2</v>
      </c>
      <c r="I21" s="2">
        <v>3.9375348812908897E-2</v>
      </c>
      <c r="J21" s="2">
        <v>1.28777488259016E-2</v>
      </c>
      <c r="K21" s="2">
        <v>0.49503053953153597</v>
      </c>
      <c r="L21" s="2">
        <v>1.3245552580960001</v>
      </c>
      <c r="M21" s="2">
        <v>0</v>
      </c>
      <c r="N21" s="2">
        <v>43.738788856822801</v>
      </c>
      <c r="O21" s="2">
        <v>56.261211143177199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0.95961218742247101</v>
      </c>
      <c r="V21" s="2">
        <v>181.678291131669</v>
      </c>
      <c r="W21" s="2">
        <v>2809.3191004651198</v>
      </c>
      <c r="X21" s="2">
        <v>100</v>
      </c>
      <c r="Y21" s="2">
        <v>51.395682954419399</v>
      </c>
      <c r="Z21" s="2">
        <v>223.45247847459001</v>
      </c>
      <c r="AA21" s="2">
        <v>223.45247847459001</v>
      </c>
      <c r="AB21" s="2">
        <v>66.772838757176004</v>
      </c>
      <c r="AC21" s="2">
        <v>241.64686629676299</v>
      </c>
      <c r="AD21" s="2">
        <v>5.5836736225757102</v>
      </c>
      <c r="AE21" s="2">
        <v>751.95619472005501</v>
      </c>
      <c r="AF21" s="2">
        <v>0</v>
      </c>
      <c r="AG21" s="2">
        <v>0</v>
      </c>
      <c r="AH21" s="2">
        <v>144.64583253847499</v>
      </c>
      <c r="AI21" s="2">
        <v>110.898058151303</v>
      </c>
      <c r="AJ21" s="2">
        <v>47.812685491208697</v>
      </c>
      <c r="AK21" s="2">
        <v>55.2526597627078</v>
      </c>
      <c r="AL21" s="2">
        <v>0.53229514934661204</v>
      </c>
      <c r="AM21" s="2">
        <v>1</v>
      </c>
      <c r="AN21" s="2">
        <v>1.08</v>
      </c>
      <c r="AO21" s="2">
        <v>1.5925423522831901</v>
      </c>
      <c r="AP21" s="2">
        <v>4.9612437345385896</v>
      </c>
      <c r="AQ21" s="2">
        <v>1</v>
      </c>
      <c r="AR21" s="2">
        <v>1.20624370234094</v>
      </c>
      <c r="AS21" s="2">
        <v>1</v>
      </c>
      <c r="AT21" s="2">
        <v>1</v>
      </c>
      <c r="AU21" s="2">
        <v>1</v>
      </c>
      <c r="AV21" s="2">
        <v>0.94</v>
      </c>
      <c r="AW21" s="2">
        <v>0.166309847492079</v>
      </c>
      <c r="AX21" s="2">
        <v>0.84109148897697605</v>
      </c>
      <c r="AY21" s="2">
        <v>1</v>
      </c>
      <c r="AZ21" s="2">
        <v>1</v>
      </c>
      <c r="BA21" s="2">
        <v>1.04</v>
      </c>
      <c r="BB21" s="2">
        <v>0.96</v>
      </c>
      <c r="BC21" s="2">
        <v>3230658.5</v>
      </c>
      <c r="BD21" s="2">
        <v>7.0107943983002495E-5</v>
      </c>
      <c r="BE21" s="2">
        <v>15</v>
      </c>
    </row>
    <row r="22" spans="1:57" x14ac:dyDescent="0.25">
      <c r="A22">
        <v>8</v>
      </c>
      <c r="B22">
        <v>1</v>
      </c>
      <c r="C22" s="5">
        <v>225</v>
      </c>
      <c r="D22" s="2">
        <v>1.9508580343827301E-2</v>
      </c>
      <c r="E22" s="2">
        <v>2.3105045405198101</v>
      </c>
      <c r="F22" s="2">
        <v>8.4434286978022303E-3</v>
      </c>
      <c r="G22" s="2">
        <v>2.2909959601759802</v>
      </c>
      <c r="H22" s="2">
        <v>4.9605288843870401E-2</v>
      </c>
      <c r="I22" s="2">
        <v>2.4309366288246499E-2</v>
      </c>
      <c r="J22" s="2">
        <v>5.5328431255510298E-2</v>
      </c>
      <c r="K22" s="2">
        <v>0.51880992486692601</v>
      </c>
      <c r="L22" s="2">
        <v>1.66245152926526</v>
      </c>
      <c r="M22" s="2">
        <v>0</v>
      </c>
      <c r="N22" s="2">
        <v>13.967060911205801</v>
      </c>
      <c r="O22" s="2">
        <v>86.032939088794194</v>
      </c>
      <c r="P22" s="2">
        <v>100</v>
      </c>
      <c r="Q22" s="2">
        <v>0</v>
      </c>
      <c r="R22" s="2">
        <v>0</v>
      </c>
      <c r="S22" s="2">
        <v>0</v>
      </c>
      <c r="T22" s="2">
        <v>0</v>
      </c>
      <c r="U22" s="2">
        <v>0.48731447523905902</v>
      </c>
      <c r="V22" s="2">
        <v>211.122277773588</v>
      </c>
      <c r="W22" s="2">
        <v>1940.4686967093101</v>
      </c>
      <c r="X22" s="2">
        <v>100</v>
      </c>
      <c r="Y22" s="2">
        <v>58.656551682976797</v>
      </c>
      <c r="Z22" s="2">
        <v>327.60839128549901</v>
      </c>
      <c r="AA22" s="2">
        <v>327.60839128549901</v>
      </c>
      <c r="AB22" s="2">
        <v>57.360706533628097</v>
      </c>
      <c r="AC22" s="2">
        <v>234.26489311146699</v>
      </c>
      <c r="AD22" s="2">
        <v>5.9580988172663796</v>
      </c>
      <c r="AE22" s="2">
        <v>686.542212892051</v>
      </c>
      <c r="AF22" s="2">
        <v>0</v>
      </c>
      <c r="AG22" s="2">
        <v>0</v>
      </c>
      <c r="AH22" s="2">
        <v>145.46864471093701</v>
      </c>
      <c r="AI22" s="2">
        <v>110.950227209616</v>
      </c>
      <c r="AJ22" s="2">
        <v>46.751316091440202</v>
      </c>
      <c r="AK22" s="2">
        <v>92.730540508414094</v>
      </c>
      <c r="AL22" s="2">
        <v>0.53312904063380995</v>
      </c>
      <c r="AM22" s="2">
        <v>1</v>
      </c>
      <c r="AN22" s="2">
        <v>1.08</v>
      </c>
      <c r="AO22" s="2">
        <v>1.59725876886051</v>
      </c>
      <c r="AP22" s="2">
        <v>5.0743800717381999</v>
      </c>
      <c r="AQ22" s="2">
        <v>1</v>
      </c>
      <c r="AR22" s="2">
        <v>1.45455337700071</v>
      </c>
      <c r="AS22" s="2">
        <v>1</v>
      </c>
      <c r="AT22" s="2">
        <v>1</v>
      </c>
      <c r="AU22" s="2">
        <v>1</v>
      </c>
      <c r="AV22" s="2">
        <v>0.94</v>
      </c>
      <c r="AW22" s="2">
        <v>0.15690539008655099</v>
      </c>
      <c r="AX22" s="2">
        <v>0.88184076666274303</v>
      </c>
      <c r="AY22" s="2">
        <v>1</v>
      </c>
      <c r="AZ22" s="2">
        <v>1</v>
      </c>
      <c r="BA22" s="2">
        <v>1.04</v>
      </c>
      <c r="BB22" s="2">
        <v>0.96</v>
      </c>
      <c r="BC22" s="2">
        <v>1601780.8</v>
      </c>
      <c r="BD22" s="2">
        <v>2.1679483388678702E-6</v>
      </c>
      <c r="BE22" s="2">
        <v>5</v>
      </c>
    </row>
    <row r="23" spans="1:57" x14ac:dyDescent="0.25">
      <c r="A23">
        <v>9</v>
      </c>
      <c r="B23">
        <v>1</v>
      </c>
      <c r="C23" s="5">
        <v>250</v>
      </c>
      <c r="D23" s="2">
        <v>2.7469953315080401E-2</v>
      </c>
      <c r="E23" s="2">
        <v>1.9010631966754501</v>
      </c>
      <c r="F23" s="2">
        <v>1.4449784395973501E-2</v>
      </c>
      <c r="G23" s="2">
        <v>1.8735932433603699</v>
      </c>
      <c r="H23" s="2">
        <v>4.8792209164143098E-2</v>
      </c>
      <c r="I23" s="2">
        <v>1.3313935839862101E-2</v>
      </c>
      <c r="J23" s="2">
        <v>5.1188699417168901E-2</v>
      </c>
      <c r="K23" s="2">
        <v>0.51847200749954703</v>
      </c>
      <c r="L23" s="2">
        <v>1.2692963447547301</v>
      </c>
      <c r="M23" s="2">
        <v>0</v>
      </c>
      <c r="N23" s="2">
        <v>0</v>
      </c>
      <c r="O23" s="2">
        <v>100</v>
      </c>
      <c r="P23" s="2">
        <v>100</v>
      </c>
      <c r="Q23" s="2">
        <v>0</v>
      </c>
      <c r="R23" s="2">
        <v>0</v>
      </c>
      <c r="S23" s="2">
        <v>0</v>
      </c>
      <c r="T23" s="2">
        <v>0</v>
      </c>
      <c r="U23" s="2">
        <v>0.22548966540249099</v>
      </c>
      <c r="V23" s="2">
        <v>239.65949323329801</v>
      </c>
      <c r="W23" s="2">
        <v>2004.32406334953</v>
      </c>
      <c r="X23" s="2">
        <v>100</v>
      </c>
      <c r="Y23" s="2">
        <v>61.000230877582403</v>
      </c>
      <c r="Z23" s="2">
        <v>192.82623813806799</v>
      </c>
      <c r="AA23" s="2">
        <v>192.82623813806799</v>
      </c>
      <c r="AB23" s="2">
        <v>55.497120316747697</v>
      </c>
      <c r="AC23" s="2">
        <v>243.50287968325199</v>
      </c>
      <c r="AD23" s="2">
        <v>6.2</v>
      </c>
      <c r="AE23" s="2">
        <v>703</v>
      </c>
      <c r="AF23" s="2">
        <v>0</v>
      </c>
      <c r="AG23" s="2">
        <v>0</v>
      </c>
      <c r="AH23" s="2">
        <v>145.869557523087</v>
      </c>
      <c r="AI23" s="2">
        <v>110.97462551415001</v>
      </c>
      <c r="AJ23" s="2">
        <v>46.256216526671501</v>
      </c>
      <c r="AK23" s="2">
        <v>118</v>
      </c>
      <c r="AL23" s="2">
        <v>0.53353141752329403</v>
      </c>
      <c r="AM23" s="2">
        <v>1</v>
      </c>
      <c r="AN23" s="2">
        <v>1.08</v>
      </c>
      <c r="AO23" s="2">
        <v>1.59899321933226</v>
      </c>
      <c r="AP23" s="2">
        <v>5.1055808077156604</v>
      </c>
      <c r="AQ23" s="2">
        <v>1</v>
      </c>
      <c r="AR23" s="2">
        <v>1.1228467344728399</v>
      </c>
      <c r="AS23" s="2">
        <v>1</v>
      </c>
      <c r="AT23" s="2">
        <v>1</v>
      </c>
      <c r="AU23" s="2">
        <v>1</v>
      </c>
      <c r="AV23" s="2">
        <v>0.94</v>
      </c>
      <c r="AW23" s="2">
        <v>0.152455073837581</v>
      </c>
      <c r="AX23" s="2">
        <v>0.87656208475035302</v>
      </c>
      <c r="AY23" s="2">
        <v>1</v>
      </c>
      <c r="AZ23" s="2">
        <v>1</v>
      </c>
      <c r="BA23" s="2">
        <v>1.04</v>
      </c>
      <c r="BB23" s="2">
        <v>0.96</v>
      </c>
      <c r="BC23" s="2">
        <v>771491.1</v>
      </c>
      <c r="BD23" s="2">
        <v>2.8837186640401198E-5</v>
      </c>
      <c r="BE23" s="2">
        <v>4</v>
      </c>
    </row>
    <row r="28" spans="1:57" x14ac:dyDescent="0.25">
      <c r="A28">
        <v>2015</v>
      </c>
      <c r="B28" s="2" t="s">
        <v>0</v>
      </c>
      <c r="C28" s="5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8</v>
      </c>
      <c r="K28" s="2" t="s">
        <v>9</v>
      </c>
      <c r="L28" s="2" t="s">
        <v>10</v>
      </c>
      <c r="M28" s="2" t="s">
        <v>11</v>
      </c>
      <c r="N28" s="2" t="s">
        <v>12</v>
      </c>
      <c r="O28" s="2" t="s">
        <v>13</v>
      </c>
      <c r="P28" s="2" t="s">
        <v>14</v>
      </c>
      <c r="Q28" s="2" t="s">
        <v>15</v>
      </c>
      <c r="R28" s="2" t="s">
        <v>16</v>
      </c>
      <c r="S28" s="2" t="s">
        <v>17</v>
      </c>
      <c r="T28" s="2" t="s">
        <v>18</v>
      </c>
      <c r="U28" s="2" t="s">
        <v>19</v>
      </c>
      <c r="V28" s="2" t="s">
        <v>20</v>
      </c>
      <c r="W28" s="2" t="s">
        <v>21</v>
      </c>
      <c r="X28" s="2" t="s">
        <v>22</v>
      </c>
      <c r="Y28" s="2" t="s">
        <v>23</v>
      </c>
      <c r="Z28" s="2" t="s">
        <v>24</v>
      </c>
      <c r="AA28" s="2" t="s">
        <v>25</v>
      </c>
      <c r="AB28" s="2" t="s">
        <v>26</v>
      </c>
      <c r="AC28" s="2" t="s">
        <v>27</v>
      </c>
      <c r="AD28" s="2" t="s">
        <v>28</v>
      </c>
      <c r="AE28" s="2" t="s">
        <v>29</v>
      </c>
      <c r="AF28" s="2" t="s">
        <v>30</v>
      </c>
      <c r="AG28" s="2" t="s">
        <v>31</v>
      </c>
      <c r="AH28" s="2" t="s">
        <v>32</v>
      </c>
      <c r="AI28" s="2" t="s">
        <v>33</v>
      </c>
      <c r="AJ28" s="2" t="s">
        <v>34</v>
      </c>
      <c r="AK28" s="2" t="s">
        <v>35</v>
      </c>
      <c r="AL28" s="2" t="s">
        <v>39</v>
      </c>
      <c r="AM28" s="2" t="s">
        <v>40</v>
      </c>
      <c r="AN28" s="2" t="s">
        <v>41</v>
      </c>
      <c r="AO28" s="2" t="s">
        <v>42</v>
      </c>
      <c r="AP28" s="2" t="s">
        <v>43</v>
      </c>
      <c r="AQ28" s="2" t="s">
        <v>44</v>
      </c>
      <c r="AR28" s="2" t="s">
        <v>45</v>
      </c>
      <c r="AS28" s="2" t="s">
        <v>46</v>
      </c>
      <c r="AT28" s="2" t="s">
        <v>47</v>
      </c>
      <c r="AU28" s="2" t="s">
        <v>48</v>
      </c>
      <c r="AV28" s="2" t="s">
        <v>49</v>
      </c>
      <c r="AW28" s="2" t="s">
        <v>50</v>
      </c>
      <c r="AX28" s="2" t="s">
        <v>51</v>
      </c>
      <c r="AY28" s="2" t="s">
        <v>52</v>
      </c>
      <c r="AZ28" s="2" t="s">
        <v>53</v>
      </c>
      <c r="BA28" s="2" t="s">
        <v>54</v>
      </c>
      <c r="BB28" s="2" t="s">
        <v>55</v>
      </c>
      <c r="BC28" s="2" t="s">
        <v>36</v>
      </c>
      <c r="BD28" s="2" t="s">
        <v>37</v>
      </c>
      <c r="BE28" s="2" t="s">
        <v>38</v>
      </c>
    </row>
    <row r="29" spans="1:57" x14ac:dyDescent="0.25">
      <c r="A29">
        <v>1</v>
      </c>
      <c r="B29">
        <v>1</v>
      </c>
      <c r="C29" s="5">
        <v>50</v>
      </c>
      <c r="D29" s="2">
        <f t="shared" ref="D29:AN35" si="0">D2-D15</f>
        <v>-5.7526952529007346E-3</v>
      </c>
      <c r="E29" s="2">
        <f t="shared" si="0"/>
        <v>0.17447154849286006</v>
      </c>
      <c r="F29" s="2">
        <f t="shared" si="0"/>
        <v>-4.4097104648451284E-3</v>
      </c>
      <c r="G29" s="2">
        <f t="shared" si="0"/>
        <v>0.18022424374575996</v>
      </c>
      <c r="H29" s="2">
        <f t="shared" si="0"/>
        <v>9.9563737402547994E-3</v>
      </c>
      <c r="I29" s="2">
        <f t="shared" si="0"/>
        <v>-4.2403840929747701E-2</v>
      </c>
      <c r="J29" s="2">
        <f t="shared" si="0"/>
        <v>0.17103810257559501</v>
      </c>
      <c r="K29" s="2">
        <f t="shared" si="0"/>
        <v>2.3490678533145959E-2</v>
      </c>
      <c r="L29" s="2">
        <f t="shared" si="0"/>
        <v>1.2390234573605996E-2</v>
      </c>
      <c r="M29" s="2">
        <f t="shared" si="0"/>
        <v>0</v>
      </c>
      <c r="N29" s="2">
        <f t="shared" si="0"/>
        <v>-12.1546490211123</v>
      </c>
      <c r="O29" s="2">
        <f t="shared" si="0"/>
        <v>12.154649021112306</v>
      </c>
      <c r="P29" s="2">
        <f t="shared" si="0"/>
        <v>0</v>
      </c>
      <c r="Q29" s="2">
        <f t="shared" si="0"/>
        <v>0</v>
      </c>
      <c r="R29" s="2">
        <f t="shared" si="0"/>
        <v>0</v>
      </c>
      <c r="S29" s="2">
        <f t="shared" si="0"/>
        <v>0</v>
      </c>
      <c r="T29" s="2">
        <f t="shared" si="0"/>
        <v>0</v>
      </c>
      <c r="U29" s="2">
        <f t="shared" si="0"/>
        <v>-0.79479836261236003</v>
      </c>
      <c r="V29" s="2">
        <f t="shared" si="0"/>
        <v>3.1725199588886994</v>
      </c>
      <c r="W29" s="2">
        <f t="shared" si="0"/>
        <v>1256.6014161170599</v>
      </c>
      <c r="X29" s="2">
        <f t="shared" si="0"/>
        <v>0</v>
      </c>
      <c r="Y29" s="2">
        <f t="shared" si="0"/>
        <v>-4.8307781191472117</v>
      </c>
      <c r="Z29" s="2">
        <f t="shared" si="0"/>
        <v>40.387606521282009</v>
      </c>
      <c r="AA29" s="2">
        <f t="shared" si="0"/>
        <v>40.631801387297003</v>
      </c>
      <c r="AB29" s="2">
        <f t="shared" si="0"/>
        <v>21.215727288998295</v>
      </c>
      <c r="AC29" s="2">
        <f t="shared" si="0"/>
        <v>-12.184932835666018</v>
      </c>
      <c r="AD29" s="2">
        <f t="shared" si="0"/>
        <v>4.8785741348110534E-2</v>
      </c>
      <c r="AE29" s="2">
        <f t="shared" si="0"/>
        <v>-13.146203913514</v>
      </c>
      <c r="AF29" s="2">
        <f t="shared" si="0"/>
        <v>0</v>
      </c>
      <c r="AG29" s="2">
        <f t="shared" si="0"/>
        <v>0</v>
      </c>
      <c r="AH29" s="2">
        <f t="shared" si="0"/>
        <v>31.594323318924012</v>
      </c>
      <c r="AI29" s="2">
        <f t="shared" si="0"/>
        <v>2.1059151652490016</v>
      </c>
      <c r="AJ29" s="2">
        <f t="shared" si="0"/>
        <v>-14.941347426564999</v>
      </c>
      <c r="AK29" s="2">
        <f t="shared" si="0"/>
        <v>4.9239871663729771</v>
      </c>
      <c r="AL29" s="7">
        <f>AL2/AL15 - 1</f>
        <v>7.8099066888579038E-2</v>
      </c>
      <c r="AM29" s="7">
        <f t="shared" ref="AM29:BB37" si="1">AM2/AM15 - 1</f>
        <v>0</v>
      </c>
      <c r="AN29" s="7">
        <f t="shared" si="1"/>
        <v>0</v>
      </c>
      <c r="AO29" s="7">
        <f t="shared" si="1"/>
        <v>0.11008205935398419</v>
      </c>
      <c r="AP29" s="7">
        <f t="shared" si="1"/>
        <v>9.3839253312285376E-2</v>
      </c>
      <c r="AQ29" s="7">
        <f t="shared" si="1"/>
        <v>0</v>
      </c>
      <c r="AR29" s="7">
        <f t="shared" si="1"/>
        <v>5.1574066646365324E-2</v>
      </c>
      <c r="AS29" s="7">
        <f t="shared" si="1"/>
        <v>0</v>
      </c>
      <c r="AT29" s="7">
        <f t="shared" si="1"/>
        <v>0</v>
      </c>
      <c r="AU29" s="7">
        <f t="shared" si="1"/>
        <v>0</v>
      </c>
      <c r="AV29" s="7">
        <f t="shared" si="1"/>
        <v>0</v>
      </c>
      <c r="AW29" s="7">
        <f t="shared" si="1"/>
        <v>-0.54422274091545686</v>
      </c>
      <c r="AX29" s="7">
        <f t="shared" si="1"/>
        <v>-0.10358429368190492</v>
      </c>
      <c r="AY29" s="7">
        <f t="shared" si="1"/>
        <v>0</v>
      </c>
      <c r="AZ29" s="7">
        <f t="shared" si="1"/>
        <v>0</v>
      </c>
      <c r="BA29" s="7">
        <f t="shared" si="1"/>
        <v>0</v>
      </c>
      <c r="BB29" s="7">
        <f t="shared" si="1"/>
        <v>0</v>
      </c>
    </row>
    <row r="30" spans="1:57" x14ac:dyDescent="0.25">
      <c r="A30">
        <v>2</v>
      </c>
      <c r="B30">
        <v>1</v>
      </c>
      <c r="C30" s="5">
        <v>75</v>
      </c>
      <c r="D30" s="2">
        <f t="shared" ref="D30:P30" si="2">D3-D16</f>
        <v>-0.36225832866623997</v>
      </c>
      <c r="E30" s="2">
        <f t="shared" si="2"/>
        <v>-0.1380662072515999</v>
      </c>
      <c r="F30" s="2">
        <f t="shared" si="2"/>
        <v>-0.17150136413238692</v>
      </c>
      <c r="G30" s="2">
        <f t="shared" si="2"/>
        <v>0.22419212141464301</v>
      </c>
      <c r="H30" s="2">
        <f t="shared" si="2"/>
        <v>9.3973512316607999E-3</v>
      </c>
      <c r="I30" s="2">
        <f t="shared" si="2"/>
        <v>-2.9777374527526004E-3</v>
      </c>
      <c r="J30" s="2">
        <f t="shared" si="2"/>
        <v>1.2332338679253804E-2</v>
      </c>
      <c r="K30" s="2">
        <f t="shared" si="2"/>
        <v>-1.1644035976096978E-2</v>
      </c>
      <c r="L30" s="2">
        <f t="shared" si="2"/>
        <v>-0.14517412373366601</v>
      </c>
      <c r="M30" s="2">
        <f t="shared" si="2"/>
        <v>0</v>
      </c>
      <c r="N30" s="2">
        <f t="shared" si="2"/>
        <v>-1.5894523889364796</v>
      </c>
      <c r="O30" s="2">
        <f t="shared" si="2"/>
        <v>1.5894523889365075</v>
      </c>
      <c r="P30" s="2">
        <f t="shared" si="2"/>
        <v>0</v>
      </c>
      <c r="Q30" s="2">
        <f t="shared" si="0"/>
        <v>0</v>
      </c>
      <c r="R30" s="2">
        <f t="shared" si="0"/>
        <v>0</v>
      </c>
      <c r="S30" s="2">
        <f t="shared" si="0"/>
        <v>0</v>
      </c>
      <c r="T30" s="2">
        <f t="shared" si="0"/>
        <v>0</v>
      </c>
      <c r="U30" s="2">
        <f t="shared" si="0"/>
        <v>0.62747101813162987</v>
      </c>
      <c r="V30" s="2">
        <f t="shared" si="0"/>
        <v>1.2750451915822083</v>
      </c>
      <c r="W30" s="2">
        <f t="shared" si="0"/>
        <v>2191.9356037227403</v>
      </c>
      <c r="X30" s="2">
        <f t="shared" si="0"/>
        <v>0.1920501431732049</v>
      </c>
      <c r="Y30" s="2">
        <f t="shared" si="0"/>
        <v>-13.650696156516204</v>
      </c>
      <c r="Z30" s="2">
        <f t="shared" si="0"/>
        <v>6.8776741933199901</v>
      </c>
      <c r="AA30" s="2">
        <f t="shared" si="0"/>
        <v>7.3398003898859656</v>
      </c>
      <c r="AB30" s="2">
        <f t="shared" si="0"/>
        <v>20.356559425260407</v>
      </c>
      <c r="AC30" s="2">
        <f t="shared" si="0"/>
        <v>-22.570202873477967</v>
      </c>
      <c r="AD30" s="2">
        <f t="shared" si="0"/>
        <v>-2.3939814334849707E-2</v>
      </c>
      <c r="AE30" s="2">
        <f t="shared" si="0"/>
        <v>27.486907125017069</v>
      </c>
      <c r="AF30" s="2">
        <f t="shared" si="0"/>
        <v>0</v>
      </c>
      <c r="AG30" s="2">
        <f t="shared" si="0"/>
        <v>0</v>
      </c>
      <c r="AH30" s="2">
        <f t="shared" si="0"/>
        <v>31.349029229309991</v>
      </c>
      <c r="AI30" s="2">
        <f t="shared" si="0"/>
        <v>2.1041479056009962</v>
      </c>
      <c r="AJ30" s="2">
        <f t="shared" si="0"/>
        <v>-14.498005369305304</v>
      </c>
      <c r="AK30" s="2">
        <f t="shared" si="0"/>
        <v>-1.9435119550511799</v>
      </c>
      <c r="AL30" s="7">
        <f t="shared" ref="AL30:BA37" si="3">AL3/AL16 - 1</f>
        <v>7.7502460597084655E-2</v>
      </c>
      <c r="AM30" s="7">
        <f t="shared" si="3"/>
        <v>0</v>
      </c>
      <c r="AN30" s="7">
        <f t="shared" si="3"/>
        <v>0</v>
      </c>
      <c r="AO30" s="7">
        <f t="shared" si="3"/>
        <v>2.4636687802834567E-2</v>
      </c>
      <c r="AP30" s="7">
        <f t="shared" si="3"/>
        <v>2.2312286350729016E-2</v>
      </c>
      <c r="AQ30" s="7">
        <f t="shared" si="3"/>
        <v>0</v>
      </c>
      <c r="AR30" s="7">
        <f t="shared" si="3"/>
        <v>9.3835259588235242E-3</v>
      </c>
      <c r="AS30" s="7">
        <f t="shared" si="3"/>
        <v>0</v>
      </c>
      <c r="AT30" s="7">
        <f t="shared" si="3"/>
        <v>1.9241968545460342E-3</v>
      </c>
      <c r="AU30" s="7">
        <f t="shared" si="3"/>
        <v>0</v>
      </c>
      <c r="AV30" s="7">
        <f t="shared" si="3"/>
        <v>0</v>
      </c>
      <c r="AW30" s="7">
        <f t="shared" si="3"/>
        <v>-0.53198773905952079</v>
      </c>
      <c r="AX30" s="7">
        <f t="shared" si="3"/>
        <v>-0.18006535221475961</v>
      </c>
      <c r="AY30" s="7">
        <f t="shared" si="3"/>
        <v>0</v>
      </c>
      <c r="AZ30" s="7">
        <f t="shared" si="3"/>
        <v>0</v>
      </c>
      <c r="BA30" s="7">
        <f t="shared" si="3"/>
        <v>0</v>
      </c>
      <c r="BB30" s="7">
        <f t="shared" si="1"/>
        <v>0</v>
      </c>
    </row>
    <row r="31" spans="1:57" s="3" customFormat="1" x14ac:dyDescent="0.25">
      <c r="A31" s="3">
        <v>3</v>
      </c>
      <c r="B31" s="3">
        <v>1</v>
      </c>
      <c r="C31" s="6">
        <v>100</v>
      </c>
      <c r="D31" s="4">
        <f t="shared" si="0"/>
        <v>-0.13214118710911005</v>
      </c>
      <c r="E31" s="4">
        <f t="shared" si="0"/>
        <v>-9.4640963705650005E-2</v>
      </c>
      <c r="F31" s="4">
        <f t="shared" si="0"/>
        <v>-3.2704929763523016E-2</v>
      </c>
      <c r="G31" s="4">
        <f t="shared" si="0"/>
        <v>3.7500223403456989E-2</v>
      </c>
      <c r="H31" s="4">
        <f t="shared" si="0"/>
        <v>1.0986127282675007E-2</v>
      </c>
      <c r="I31" s="4">
        <f t="shared" si="0"/>
        <v>2.7819011076264041E-3</v>
      </c>
      <c r="J31" s="4">
        <f t="shared" si="0"/>
        <v>1.2566616371676199E-2</v>
      </c>
      <c r="K31" s="4">
        <f t="shared" si="0"/>
        <v>1.4244358749819996E-2</v>
      </c>
      <c r="L31" s="4">
        <f t="shared" si="0"/>
        <v>-0.13521996721744201</v>
      </c>
      <c r="M31" s="4">
        <f t="shared" si="0"/>
        <v>0</v>
      </c>
      <c r="N31" s="4">
        <f t="shared" si="0"/>
        <v>0.58673555094470053</v>
      </c>
      <c r="O31" s="4">
        <f t="shared" si="0"/>
        <v>-0.58673555094469521</v>
      </c>
      <c r="P31" s="4">
        <f t="shared" si="0"/>
        <v>0</v>
      </c>
      <c r="Q31" s="4">
        <f t="shared" si="0"/>
        <v>0</v>
      </c>
      <c r="R31" s="4">
        <f t="shared" si="0"/>
        <v>0</v>
      </c>
      <c r="S31" s="4">
        <f t="shared" si="0"/>
        <v>0</v>
      </c>
      <c r="T31" s="4">
        <f t="shared" si="0"/>
        <v>0</v>
      </c>
      <c r="U31" s="4">
        <f t="shared" si="0"/>
        <v>0.52163227151689895</v>
      </c>
      <c r="V31" s="4">
        <f t="shared" si="0"/>
        <v>1.0376412608215873</v>
      </c>
      <c r="W31" s="4">
        <f t="shared" si="0"/>
        <v>2624.2861907324896</v>
      </c>
      <c r="X31" s="4">
        <f t="shared" si="0"/>
        <v>-4.8107892954902809E-3</v>
      </c>
      <c r="Y31" s="4">
        <f t="shared" si="0"/>
        <v>-11.024013773095099</v>
      </c>
      <c r="Z31" s="4">
        <f t="shared" si="0"/>
        <v>-5.4339395585300281</v>
      </c>
      <c r="AA31" s="4">
        <f t="shared" si="0"/>
        <v>-5.142712896595981</v>
      </c>
      <c r="AB31" s="4">
        <f t="shared" si="0"/>
        <v>23.554952913022703</v>
      </c>
      <c r="AC31" s="4">
        <f t="shared" si="0"/>
        <v>-24.77954508902701</v>
      </c>
      <c r="AD31" s="4">
        <f t="shared" si="0"/>
        <v>8.3207981657196228E-3</v>
      </c>
      <c r="AE31" s="4">
        <f t="shared" si="0"/>
        <v>-0.68752539164393056</v>
      </c>
      <c r="AF31" s="4">
        <f t="shared" si="0"/>
        <v>0</v>
      </c>
      <c r="AG31" s="4">
        <f t="shared" si="0"/>
        <v>0</v>
      </c>
      <c r="AH31" s="4">
        <f t="shared" si="0"/>
        <v>31.342324834284</v>
      </c>
      <c r="AI31" s="4">
        <f t="shared" si="0"/>
        <v>2.1195292753569959</v>
      </c>
      <c r="AJ31" s="4">
        <f t="shared" si="0"/>
        <v>-14.482628532884799</v>
      </c>
      <c r="AK31" s="4">
        <f t="shared" si="0"/>
        <v>1.3644254072736022</v>
      </c>
      <c r="AL31" s="8">
        <f t="shared" si="3"/>
        <v>7.7425123380001848E-2</v>
      </c>
      <c r="AM31" s="8">
        <f t="shared" si="1"/>
        <v>0</v>
      </c>
      <c r="AN31" s="8">
        <f t="shared" si="1"/>
        <v>0</v>
      </c>
      <c r="AO31" s="8">
        <f t="shared" si="1"/>
        <v>5.0120643005160392E-3</v>
      </c>
      <c r="AP31" s="8">
        <f t="shared" si="1"/>
        <v>7.1473649650641846E-3</v>
      </c>
      <c r="AQ31" s="8">
        <f t="shared" si="1"/>
        <v>0</v>
      </c>
      <c r="AR31" s="8">
        <f t="shared" si="1"/>
        <v>-8.868313601721689E-3</v>
      </c>
      <c r="AS31" s="8">
        <f t="shared" si="1"/>
        <v>0</v>
      </c>
      <c r="AT31" s="8">
        <f t="shared" si="1"/>
        <v>-4.8113045984510272E-5</v>
      </c>
      <c r="AU31" s="8">
        <f t="shared" si="1"/>
        <v>0</v>
      </c>
      <c r="AV31" s="8">
        <f t="shared" si="1"/>
        <v>0</v>
      </c>
      <c r="AW31" s="8">
        <f t="shared" si="1"/>
        <v>-0.53485992656762626</v>
      </c>
      <c r="AX31" s="8">
        <f t="shared" si="1"/>
        <v>-0.11924059628505979</v>
      </c>
      <c r="AY31" s="8">
        <f t="shared" si="1"/>
        <v>0</v>
      </c>
      <c r="AZ31" s="8">
        <f t="shared" si="1"/>
        <v>0</v>
      </c>
      <c r="BA31" s="8">
        <f t="shared" si="1"/>
        <v>0</v>
      </c>
      <c r="BB31" s="8">
        <f t="shared" si="1"/>
        <v>0</v>
      </c>
      <c r="BC31" s="4"/>
      <c r="BD31" s="4"/>
    </row>
    <row r="32" spans="1:57" s="3" customFormat="1" x14ac:dyDescent="0.25">
      <c r="A32" s="3">
        <v>4</v>
      </c>
      <c r="B32" s="3">
        <v>1</v>
      </c>
      <c r="C32" s="6">
        <v>125</v>
      </c>
      <c r="D32" s="4">
        <f t="shared" si="0"/>
        <v>-0.51008130602674995</v>
      </c>
      <c r="E32" s="4">
        <f t="shared" si="0"/>
        <v>-7.7582744100699985E-2</v>
      </c>
      <c r="F32" s="4">
        <f t="shared" si="0"/>
        <v>-0.28966504715158892</v>
      </c>
      <c r="G32" s="4">
        <f t="shared" si="0"/>
        <v>0.43249856192604702</v>
      </c>
      <c r="H32" s="4">
        <f t="shared" si="0"/>
        <v>1.0592324676017895E-2</v>
      </c>
      <c r="I32" s="4">
        <f t="shared" si="0"/>
        <v>3.9557151161951007E-3</v>
      </c>
      <c r="J32" s="4">
        <f t="shared" si="0"/>
        <v>1.5298662799041398E-2</v>
      </c>
      <c r="K32" s="4">
        <f t="shared" si="0"/>
        <v>2.5696234540420027E-2</v>
      </c>
      <c r="L32" s="4">
        <f t="shared" si="0"/>
        <v>-0.13312568123237589</v>
      </c>
      <c r="M32" s="4">
        <f t="shared" si="0"/>
        <v>0</v>
      </c>
      <c r="N32" s="4">
        <f t="shared" si="0"/>
        <v>-0.29619547459740048</v>
      </c>
      <c r="O32" s="4">
        <f t="shared" si="0"/>
        <v>0.29619547459741113</v>
      </c>
      <c r="P32" s="4">
        <f t="shared" si="0"/>
        <v>0</v>
      </c>
      <c r="Q32" s="4">
        <f t="shared" si="0"/>
        <v>0</v>
      </c>
      <c r="R32" s="4">
        <f t="shared" si="0"/>
        <v>0</v>
      </c>
      <c r="S32" s="4">
        <f t="shared" si="0"/>
        <v>0</v>
      </c>
      <c r="T32" s="4">
        <f t="shared" si="0"/>
        <v>0</v>
      </c>
      <c r="U32" s="4">
        <f t="shared" si="0"/>
        <v>0.54277891225081787</v>
      </c>
      <c r="V32" s="4">
        <f t="shared" si="0"/>
        <v>1.0791274623759932</v>
      </c>
      <c r="W32" s="4">
        <f t="shared" si="0"/>
        <v>2580.7625153960507</v>
      </c>
      <c r="X32" s="4">
        <f t="shared" si="0"/>
        <v>-1.1064076704059289E-3</v>
      </c>
      <c r="Y32" s="4">
        <f t="shared" si="0"/>
        <v>-7.2256790023896968</v>
      </c>
      <c r="Z32" s="4">
        <f t="shared" si="0"/>
        <v>-5.8988942784810092</v>
      </c>
      <c r="AA32" s="4">
        <f t="shared" si="0"/>
        <v>-5.7007342351469674</v>
      </c>
      <c r="AB32" s="4">
        <f t="shared" si="0"/>
        <v>22.488352244522005</v>
      </c>
      <c r="AC32" s="4">
        <f t="shared" si="0"/>
        <v>-22.669464309123043</v>
      </c>
      <c r="AD32" s="4">
        <f t="shared" si="0"/>
        <v>-1.0221232559569415E-2</v>
      </c>
      <c r="AE32" s="4">
        <f t="shared" si="0"/>
        <v>-4.0189501263980674</v>
      </c>
      <c r="AF32" s="4">
        <f t="shared" si="0"/>
        <v>0</v>
      </c>
      <c r="AG32" s="4">
        <f t="shared" si="0"/>
        <v>0</v>
      </c>
      <c r="AH32" s="4">
        <f t="shared" si="0"/>
        <v>31.341860789397998</v>
      </c>
      <c r="AI32" s="4">
        <f t="shared" si="0"/>
        <v>2.308520428924993</v>
      </c>
      <c r="AJ32" s="4">
        <f t="shared" si="0"/>
        <v>-12.7519604976548</v>
      </c>
      <c r="AK32" s="4">
        <f t="shared" si="0"/>
        <v>1.7689520670325809</v>
      </c>
      <c r="AL32" s="8">
        <f t="shared" si="3"/>
        <v>7.6482960133902322E-2</v>
      </c>
      <c r="AM32" s="8">
        <f t="shared" si="1"/>
        <v>0</v>
      </c>
      <c r="AN32" s="8">
        <f t="shared" si="1"/>
        <v>0</v>
      </c>
      <c r="AO32" s="8">
        <f t="shared" si="1"/>
        <v>2.468254980937834E-3</v>
      </c>
      <c r="AP32" s="8">
        <f t="shared" si="1"/>
        <v>5.1772880672606991E-3</v>
      </c>
      <c r="AQ32" s="8">
        <f t="shared" si="1"/>
        <v>0</v>
      </c>
      <c r="AR32" s="8">
        <f t="shared" si="1"/>
        <v>-9.0693242244672678E-3</v>
      </c>
      <c r="AS32" s="8">
        <f t="shared" si="1"/>
        <v>0</v>
      </c>
      <c r="AT32" s="8">
        <f t="shared" si="1"/>
        <v>-1.1064328285237401E-5</v>
      </c>
      <c r="AU32" s="8">
        <f t="shared" si="1"/>
        <v>0</v>
      </c>
      <c r="AV32" s="8">
        <f t="shared" si="1"/>
        <v>0</v>
      </c>
      <c r="AW32" s="8">
        <f t="shared" si="1"/>
        <v>-0.51030754115724097</v>
      </c>
      <c r="AX32" s="8">
        <f t="shared" si="1"/>
        <v>-8.7197169528139051E-2</v>
      </c>
      <c r="AY32" s="8">
        <f t="shared" si="1"/>
        <v>0</v>
      </c>
      <c r="AZ32" s="8">
        <f t="shared" si="1"/>
        <v>0</v>
      </c>
      <c r="BA32" s="8">
        <f t="shared" si="1"/>
        <v>0</v>
      </c>
      <c r="BB32" s="8">
        <f t="shared" si="1"/>
        <v>0</v>
      </c>
      <c r="BC32" s="4"/>
      <c r="BD32" s="4"/>
    </row>
    <row r="33" spans="1:56" s="3" customFormat="1" x14ac:dyDescent="0.25">
      <c r="A33" s="3">
        <v>5</v>
      </c>
      <c r="B33" s="3">
        <v>1</v>
      </c>
      <c r="C33" s="6">
        <v>150</v>
      </c>
      <c r="D33" s="4">
        <f t="shared" si="0"/>
        <v>-0.40037890311747004</v>
      </c>
      <c r="E33" s="4">
        <f t="shared" si="0"/>
        <v>-7.3366433257090025E-2</v>
      </c>
      <c r="F33" s="4">
        <f t="shared" si="0"/>
        <v>-0.20650191839976006</v>
      </c>
      <c r="G33" s="4">
        <f t="shared" si="0"/>
        <v>0.32701246986038529</v>
      </c>
      <c r="H33" s="4">
        <f t="shared" si="0"/>
        <v>9.9776111817648991E-3</v>
      </c>
      <c r="I33" s="4">
        <f t="shared" si="0"/>
        <v>4.8102307597273006E-3</v>
      </c>
      <c r="J33" s="4">
        <f t="shared" si="0"/>
        <v>2.1093648222573702E-2</v>
      </c>
      <c r="K33" s="4">
        <f t="shared" si="0"/>
        <v>2.9284876014990968E-2</v>
      </c>
      <c r="L33" s="4">
        <f t="shared" si="0"/>
        <v>-0.13853279943614205</v>
      </c>
      <c r="M33" s="4">
        <f t="shared" si="0"/>
        <v>0</v>
      </c>
      <c r="N33" s="4">
        <f t="shared" si="0"/>
        <v>-1.9199129653779003</v>
      </c>
      <c r="O33" s="4">
        <f t="shared" si="0"/>
        <v>1.9199129653779039</v>
      </c>
      <c r="P33" s="4">
        <f t="shared" si="0"/>
        <v>0</v>
      </c>
      <c r="Q33" s="4">
        <f t="shared" si="0"/>
        <v>0</v>
      </c>
      <c r="R33" s="4">
        <f t="shared" si="0"/>
        <v>0</v>
      </c>
      <c r="S33" s="4">
        <f t="shared" si="0"/>
        <v>0</v>
      </c>
      <c r="T33" s="4">
        <f t="shared" si="0"/>
        <v>0</v>
      </c>
      <c r="U33" s="4">
        <f t="shared" si="0"/>
        <v>0.63186937137973986</v>
      </c>
      <c r="V33" s="4">
        <f t="shared" si="0"/>
        <v>1.1114661829820136</v>
      </c>
      <c r="W33" s="4">
        <f t="shared" si="0"/>
        <v>2756.0879487930097</v>
      </c>
      <c r="X33" s="4">
        <f t="shared" si="0"/>
        <v>0</v>
      </c>
      <c r="Y33" s="4">
        <f t="shared" si="0"/>
        <v>-5.3182641768800991</v>
      </c>
      <c r="Z33" s="4">
        <f t="shared" si="0"/>
        <v>-3.4157021117400177</v>
      </c>
      <c r="AA33" s="4">
        <f t="shared" si="0"/>
        <v>-3.2668755976879993</v>
      </c>
      <c r="AB33" s="4">
        <f t="shared" si="0"/>
        <v>20.725079575686394</v>
      </c>
      <c r="AC33" s="4">
        <f t="shared" si="0"/>
        <v>-20.263597882532963</v>
      </c>
      <c r="AD33" s="4">
        <f t="shared" si="0"/>
        <v>-7.6336609575804459E-3</v>
      </c>
      <c r="AE33" s="4">
        <f t="shared" si="0"/>
        <v>-7.0247821842009444</v>
      </c>
      <c r="AF33" s="4">
        <f t="shared" si="0"/>
        <v>0</v>
      </c>
      <c r="AG33" s="4">
        <f t="shared" si="0"/>
        <v>0</v>
      </c>
      <c r="AH33" s="4">
        <f t="shared" si="0"/>
        <v>31.570753606990991</v>
      </c>
      <c r="AI33" s="4">
        <f t="shared" si="0"/>
        <v>2.3945994102629982</v>
      </c>
      <c r="AJ33" s="4">
        <f t="shared" si="0"/>
        <v>-12.327200042106</v>
      </c>
      <c r="AK33" s="4">
        <f t="shared" si="0"/>
        <v>3.4516301111423395</v>
      </c>
      <c r="AL33" s="8">
        <f t="shared" si="3"/>
        <v>7.6577127691081825E-2</v>
      </c>
      <c r="AM33" s="8">
        <f t="shared" si="1"/>
        <v>0</v>
      </c>
      <c r="AN33" s="8">
        <f t="shared" si="1"/>
        <v>0</v>
      </c>
      <c r="AO33" s="8">
        <f t="shared" si="1"/>
        <v>1.442729055171732E-3</v>
      </c>
      <c r="AP33" s="8">
        <f t="shared" si="1"/>
        <v>4.0162197623017093E-3</v>
      </c>
      <c r="AQ33" s="8">
        <f t="shared" si="1"/>
        <v>0</v>
      </c>
      <c r="AR33" s="8">
        <f t="shared" si="1"/>
        <v>-4.9047504025593325E-3</v>
      </c>
      <c r="AS33" s="8">
        <f t="shared" si="1"/>
        <v>0</v>
      </c>
      <c r="AT33" s="8">
        <f t="shared" si="1"/>
        <v>0</v>
      </c>
      <c r="AU33" s="8">
        <f t="shared" si="1"/>
        <v>0</v>
      </c>
      <c r="AV33" s="8">
        <f t="shared" si="1"/>
        <v>0</v>
      </c>
      <c r="AW33" s="8">
        <f t="shared" si="1"/>
        <v>-0.50700915096844812</v>
      </c>
      <c r="AX33" s="8">
        <f t="shared" si="1"/>
        <v>-7.8174177632176267E-2</v>
      </c>
      <c r="AY33" s="8">
        <f t="shared" si="1"/>
        <v>0</v>
      </c>
      <c r="AZ33" s="8">
        <f t="shared" si="1"/>
        <v>0</v>
      </c>
      <c r="BA33" s="8">
        <f t="shared" si="1"/>
        <v>0</v>
      </c>
      <c r="BB33" s="8">
        <f t="shared" si="1"/>
        <v>0</v>
      </c>
      <c r="BC33" s="4"/>
      <c r="BD33" s="4"/>
    </row>
    <row r="34" spans="1:56" x14ac:dyDescent="0.25">
      <c r="A34">
        <v>6</v>
      </c>
      <c r="B34">
        <v>1</v>
      </c>
      <c r="C34" s="5">
        <v>175</v>
      </c>
      <c r="D34" s="2">
        <f t="shared" si="0"/>
        <v>0.4971765054218702</v>
      </c>
      <c r="E34" s="2">
        <f t="shared" si="0"/>
        <v>-4.9519876053029988E-2</v>
      </c>
      <c r="F34" s="2">
        <f t="shared" si="0"/>
        <v>0.33480376213937002</v>
      </c>
      <c r="G34" s="2">
        <f t="shared" si="0"/>
        <v>-0.54669638147489197</v>
      </c>
      <c r="H34" s="2">
        <f t="shared" si="0"/>
        <v>6.4006240309190943E-3</v>
      </c>
      <c r="I34" s="2">
        <f t="shared" si="0"/>
        <v>8.809307092542705E-3</v>
      </c>
      <c r="J34" s="2">
        <f t="shared" si="0"/>
        <v>4.6923808190466001E-2</v>
      </c>
      <c r="K34" s="2">
        <f t="shared" si="0"/>
        <v>4.1008081844883026E-2</v>
      </c>
      <c r="L34" s="2">
        <f t="shared" si="0"/>
        <v>-0.15266169721182887</v>
      </c>
      <c r="M34" s="2">
        <f t="shared" si="0"/>
        <v>0</v>
      </c>
      <c r="N34" s="2">
        <f t="shared" si="0"/>
        <v>2.2352789696999</v>
      </c>
      <c r="O34" s="2">
        <f t="shared" si="0"/>
        <v>-2.2352789696999054</v>
      </c>
      <c r="P34" s="2">
        <f t="shared" si="0"/>
        <v>0</v>
      </c>
      <c r="Q34" s="2">
        <f t="shared" si="0"/>
        <v>0</v>
      </c>
      <c r="R34" s="2">
        <f t="shared" si="0"/>
        <v>0</v>
      </c>
      <c r="S34" s="2">
        <f t="shared" si="0"/>
        <v>0</v>
      </c>
      <c r="T34" s="2">
        <f t="shared" si="0"/>
        <v>0</v>
      </c>
      <c r="U34" s="2">
        <f t="shared" si="0"/>
        <v>1.0749868574394701</v>
      </c>
      <c r="V34" s="2">
        <f t="shared" si="0"/>
        <v>0.40310665852098282</v>
      </c>
      <c r="W34" s="2">
        <f t="shared" si="0"/>
        <v>2530.4351556832798</v>
      </c>
      <c r="X34" s="2">
        <f t="shared" si="0"/>
        <v>0</v>
      </c>
      <c r="Y34" s="2">
        <f t="shared" si="0"/>
        <v>-5.5190143552042983</v>
      </c>
      <c r="Z34" s="2">
        <f t="shared" si="0"/>
        <v>7.4504855004649926</v>
      </c>
      <c r="AA34" s="2">
        <f t="shared" si="0"/>
        <v>7.4128107022319796</v>
      </c>
      <c r="AB34" s="2">
        <f t="shared" si="0"/>
        <v>12.843410372275201</v>
      </c>
      <c r="AC34" s="2">
        <f t="shared" si="0"/>
        <v>-11.77499826746299</v>
      </c>
      <c r="AD34" s="2">
        <f t="shared" si="0"/>
        <v>-1.7694976532760087E-2</v>
      </c>
      <c r="AE34" s="2">
        <f t="shared" si="0"/>
        <v>-17.935292491570976</v>
      </c>
      <c r="AF34" s="2">
        <f t="shared" si="0"/>
        <v>0</v>
      </c>
      <c r="AG34" s="2">
        <f t="shared" si="0"/>
        <v>0</v>
      </c>
      <c r="AH34" s="2">
        <f t="shared" si="0"/>
        <v>31.696861192825992</v>
      </c>
      <c r="AI34" s="2">
        <f t="shared" si="0"/>
        <v>2.4158333271079897</v>
      </c>
      <c r="AJ34" s="2">
        <f t="shared" si="0"/>
        <v>-12.299185699960695</v>
      </c>
      <c r="AK34" s="2">
        <f t="shared" si="0"/>
        <v>10.557091741460901</v>
      </c>
      <c r="AL34" s="7">
        <f t="shared" si="3"/>
        <v>7.6753080414342145E-2</v>
      </c>
      <c r="AM34" s="7">
        <f t="shared" si="1"/>
        <v>0</v>
      </c>
      <c r="AN34" s="7">
        <f t="shared" si="1"/>
        <v>0</v>
      </c>
      <c r="AO34" s="7">
        <f t="shared" si="1"/>
        <v>3.1307755283149774E-4</v>
      </c>
      <c r="AP34" s="7">
        <f t="shared" si="1"/>
        <v>1.5155119281480278E-3</v>
      </c>
      <c r="AQ34" s="7">
        <f t="shared" si="1"/>
        <v>0</v>
      </c>
      <c r="AR34" s="7">
        <f t="shared" si="1"/>
        <v>1.3055937310624044E-2</v>
      </c>
      <c r="AS34" s="7">
        <f t="shared" si="1"/>
        <v>0</v>
      </c>
      <c r="AT34" s="7">
        <f t="shared" si="1"/>
        <v>0</v>
      </c>
      <c r="AU34" s="7">
        <f t="shared" si="1"/>
        <v>0</v>
      </c>
      <c r="AV34" s="7">
        <f t="shared" si="1"/>
        <v>0</v>
      </c>
      <c r="AW34" s="7">
        <f t="shared" si="1"/>
        <v>-0.50684496726606865</v>
      </c>
      <c r="AX34" s="7">
        <f t="shared" si="1"/>
        <v>-9.0963883051024652E-2</v>
      </c>
      <c r="AY34" s="7">
        <f t="shared" si="1"/>
        <v>0</v>
      </c>
      <c r="AZ34" s="7">
        <f t="shared" si="1"/>
        <v>0</v>
      </c>
      <c r="BA34" s="7">
        <f t="shared" si="1"/>
        <v>0</v>
      </c>
      <c r="BB34" s="7">
        <f t="shared" si="1"/>
        <v>0</v>
      </c>
    </row>
    <row r="35" spans="1:56" x14ac:dyDescent="0.25">
      <c r="A35">
        <v>7</v>
      </c>
      <c r="B35">
        <v>1</v>
      </c>
      <c r="C35" s="5">
        <v>200</v>
      </c>
      <c r="D35" s="2">
        <f t="shared" si="0"/>
        <v>9.1037181243785806E-3</v>
      </c>
      <c r="E35" s="2">
        <f t="shared" si="0"/>
        <v>-0.1504481570740801</v>
      </c>
      <c r="F35" s="2">
        <f t="shared" si="0"/>
        <v>5.4278171597454492E-3</v>
      </c>
      <c r="G35" s="2">
        <f t="shared" si="0"/>
        <v>-0.15955187519846992</v>
      </c>
      <c r="H35" s="2">
        <f t="shared" si="0"/>
        <v>1.2194511253572793E-2</v>
      </c>
      <c r="I35" s="2">
        <f t="shared" si="0"/>
        <v>1.4522289914659099E-2</v>
      </c>
      <c r="J35" s="2">
        <f t="shared" si="0"/>
        <v>2.5010571624060701E-2</v>
      </c>
      <c r="K35" s="2">
        <f t="shared" si="0"/>
        <v>3.2940932604037076E-2</v>
      </c>
      <c r="L35" s="2">
        <f t="shared" si="0"/>
        <v>-0.23511646247041007</v>
      </c>
      <c r="M35" s="2">
        <f t="shared" si="0"/>
        <v>0</v>
      </c>
      <c r="N35" s="2">
        <f t="shared" si="0"/>
        <v>-30.509181332171799</v>
      </c>
      <c r="O35" s="2">
        <f t="shared" si="0"/>
        <v>30.509181332171799</v>
      </c>
      <c r="P35" s="2">
        <f t="shared" si="0"/>
        <v>0</v>
      </c>
      <c r="Q35" s="2">
        <f t="shared" si="0"/>
        <v>0</v>
      </c>
      <c r="R35" s="2">
        <f t="shared" si="0"/>
        <v>0</v>
      </c>
      <c r="S35" s="2">
        <f t="shared" si="0"/>
        <v>0</v>
      </c>
      <c r="T35" s="2">
        <f t="shared" si="0"/>
        <v>0</v>
      </c>
      <c r="U35" s="2">
        <f t="shared" si="0"/>
        <v>1.2108619740374491</v>
      </c>
      <c r="V35" s="2">
        <f t="shared" si="0"/>
        <v>-1.9757827459750104</v>
      </c>
      <c r="W35" s="2">
        <f t="shared" si="0"/>
        <v>4016.3998863376601</v>
      </c>
      <c r="X35" s="2">
        <f t="shared" si="0"/>
        <v>0</v>
      </c>
      <c r="Y35" s="2">
        <f t="shared" si="0"/>
        <v>1.3615695823645027</v>
      </c>
      <c r="Z35" s="2">
        <f t="shared" si="0"/>
        <v>40.185942525355983</v>
      </c>
      <c r="AA35" s="2">
        <f t="shared" si="0"/>
        <v>40.185942525355983</v>
      </c>
      <c r="AB35" s="2">
        <f t="shared" si="0"/>
        <v>25.377817098485693</v>
      </c>
      <c r="AC35" s="2">
        <f t="shared" si="0"/>
        <v>4.8042977704330099</v>
      </c>
      <c r="AD35" s="2">
        <f t="shared" si="0"/>
        <v>-3.442707758778063E-2</v>
      </c>
      <c r="AE35" s="2">
        <f t="shared" si="0"/>
        <v>-10.168911592328982</v>
      </c>
      <c r="AF35" s="2">
        <f t="shared" si="0"/>
        <v>0</v>
      </c>
      <c r="AG35" s="2">
        <f t="shared" si="0"/>
        <v>0</v>
      </c>
      <c r="AH35" s="2">
        <f t="shared" si="0"/>
        <v>31.612958552752019</v>
      </c>
      <c r="AI35" s="2">
        <f t="shared" si="0"/>
        <v>2.4527840716280025</v>
      </c>
      <c r="AJ35" s="2">
        <f t="shared" si="0"/>
        <v>-11.720294451229599</v>
      </c>
      <c r="AK35" s="2">
        <f t="shared" si="0"/>
        <v>-3.7000506733938039</v>
      </c>
      <c r="AL35" s="7">
        <f t="shared" si="3"/>
        <v>7.6361233583936539E-2</v>
      </c>
      <c r="AM35" s="7">
        <f t="shared" si="1"/>
        <v>0</v>
      </c>
      <c r="AN35" s="7">
        <f t="shared" si="1"/>
        <v>0</v>
      </c>
      <c r="AO35" s="7">
        <f t="shared" si="1"/>
        <v>1.9857433006142955E-5</v>
      </c>
      <c r="AP35" s="7">
        <f t="shared" si="1"/>
        <v>1.4758333901299103E-4</v>
      </c>
      <c r="AQ35" s="7">
        <f t="shared" si="1"/>
        <v>0</v>
      </c>
      <c r="AR35" s="7">
        <f t="shared" si="1"/>
        <v>8.5760264802369646E-2</v>
      </c>
      <c r="AS35" s="7">
        <f t="shared" si="1"/>
        <v>0</v>
      </c>
      <c r="AT35" s="7">
        <f t="shared" si="1"/>
        <v>0</v>
      </c>
      <c r="AU35" s="7">
        <f t="shared" si="1"/>
        <v>0</v>
      </c>
      <c r="AV35" s="7">
        <f t="shared" si="1"/>
        <v>0</v>
      </c>
      <c r="AW35" s="7">
        <f t="shared" si="1"/>
        <v>-0.49584158086217445</v>
      </c>
      <c r="AX35" s="7">
        <f t="shared" si="1"/>
        <v>-0.18394258957555587</v>
      </c>
      <c r="AY35" s="7">
        <f t="shared" si="1"/>
        <v>0</v>
      </c>
      <c r="AZ35" s="7">
        <f t="shared" si="1"/>
        <v>0</v>
      </c>
      <c r="BA35" s="7">
        <f t="shared" si="1"/>
        <v>0</v>
      </c>
      <c r="BB35" s="7">
        <f t="shared" si="1"/>
        <v>0</v>
      </c>
    </row>
    <row r="36" spans="1:56" x14ac:dyDescent="0.25">
      <c r="A36">
        <v>8</v>
      </c>
      <c r="B36">
        <v>1</v>
      </c>
      <c r="C36" s="5">
        <v>225</v>
      </c>
      <c r="D36" s="2">
        <f t="shared" ref="D35:AN37" si="4">D9-D22</f>
        <v>-9.3072203100253003E-3</v>
      </c>
      <c r="E36" s="2">
        <f t="shared" si="4"/>
        <v>-0.29928915409753021</v>
      </c>
      <c r="F36" s="2">
        <f t="shared" si="4"/>
        <v>-3.3711922269242601E-3</v>
      </c>
      <c r="G36" s="2">
        <f t="shared" si="4"/>
        <v>-0.28998193378750026</v>
      </c>
      <c r="H36" s="2">
        <f t="shared" si="4"/>
        <v>1.2758230157442096E-2</v>
      </c>
      <c r="I36" s="2">
        <f t="shared" si="4"/>
        <v>9.0743989787514003E-3</v>
      </c>
      <c r="J36" s="2">
        <f t="shared" si="4"/>
        <v>0.35674018764613369</v>
      </c>
      <c r="K36" s="2">
        <f t="shared" si="4"/>
        <v>4.6055737510574013E-2</v>
      </c>
      <c r="L36" s="2">
        <f t="shared" si="4"/>
        <v>-0.72391770839043501</v>
      </c>
      <c r="M36" s="2">
        <f t="shared" si="4"/>
        <v>0</v>
      </c>
      <c r="N36" s="2">
        <f t="shared" si="4"/>
        <v>-13.967060911205801</v>
      </c>
      <c r="O36" s="2">
        <f t="shared" si="4"/>
        <v>13.967060911205806</v>
      </c>
      <c r="P36" s="2">
        <f t="shared" si="4"/>
        <v>0</v>
      </c>
      <c r="Q36" s="2">
        <f t="shared" si="4"/>
        <v>0</v>
      </c>
      <c r="R36" s="2">
        <f t="shared" si="4"/>
        <v>0</v>
      </c>
      <c r="S36" s="2">
        <f t="shared" si="4"/>
        <v>0</v>
      </c>
      <c r="T36" s="2">
        <f t="shared" si="4"/>
        <v>0</v>
      </c>
      <c r="U36" s="2">
        <f t="shared" si="4"/>
        <v>0.53197683197234102</v>
      </c>
      <c r="V36" s="2">
        <f t="shared" si="4"/>
        <v>1.3341099069249935</v>
      </c>
      <c r="W36" s="2">
        <f t="shared" si="4"/>
        <v>7988.5059221539404</v>
      </c>
      <c r="X36" s="2">
        <f t="shared" si="4"/>
        <v>0</v>
      </c>
      <c r="Y36" s="2">
        <f t="shared" si="4"/>
        <v>-2.0792334457014974</v>
      </c>
      <c r="Z36" s="2">
        <f t="shared" si="4"/>
        <v>-38.300866391054001</v>
      </c>
      <c r="AA36" s="2">
        <f t="shared" si="4"/>
        <v>-38.300866391054001</v>
      </c>
      <c r="AB36" s="2">
        <f t="shared" si="4"/>
        <v>28.070051287026509</v>
      </c>
      <c r="AC36" s="2">
        <f t="shared" si="4"/>
        <v>8.2694794126630029</v>
      </c>
      <c r="AD36" s="2">
        <f t="shared" si="4"/>
        <v>9.3363501437840668E-2</v>
      </c>
      <c r="AE36" s="2">
        <f t="shared" si="4"/>
        <v>-37.390357740497961</v>
      </c>
      <c r="AF36" s="2">
        <f t="shared" si="4"/>
        <v>0</v>
      </c>
      <c r="AG36" s="2">
        <f t="shared" si="4"/>
        <v>0</v>
      </c>
      <c r="AH36" s="2">
        <f t="shared" si="4"/>
        <v>31.955945347871989</v>
      </c>
      <c r="AI36" s="2">
        <f t="shared" si="4"/>
        <v>2.2467414987619918</v>
      </c>
      <c r="AJ36" s="2">
        <f t="shared" si="4"/>
        <v>-14.489487015196602</v>
      </c>
      <c r="AK36" s="2">
        <f t="shared" si="4"/>
        <v>4.0062986232479005</v>
      </c>
      <c r="AL36" s="7">
        <f t="shared" si="3"/>
        <v>7.8238561056206413E-2</v>
      </c>
      <c r="AM36" s="7">
        <f t="shared" si="1"/>
        <v>0</v>
      </c>
      <c r="AN36" s="7">
        <f t="shared" si="1"/>
        <v>0</v>
      </c>
      <c r="AO36" s="7">
        <f t="shared" si="1"/>
        <v>1.5992219049243417E-5</v>
      </c>
      <c r="AP36" s="7">
        <f t="shared" si="1"/>
        <v>8.9932754505639423E-5</v>
      </c>
      <c r="AQ36" s="7">
        <f t="shared" si="1"/>
        <v>0</v>
      </c>
      <c r="AR36" s="7">
        <f t="shared" si="1"/>
        <v>-4.8885898624726365E-2</v>
      </c>
      <c r="AS36" s="7">
        <f t="shared" si="1"/>
        <v>0</v>
      </c>
      <c r="AT36" s="7">
        <f t="shared" si="1"/>
        <v>0</v>
      </c>
      <c r="AU36" s="7">
        <f t="shared" si="1"/>
        <v>0</v>
      </c>
      <c r="AV36" s="7">
        <f t="shared" si="1"/>
        <v>0</v>
      </c>
      <c r="AW36" s="7">
        <f t="shared" si="1"/>
        <v>-0.54672396775008103</v>
      </c>
      <c r="AX36" s="7">
        <f t="shared" si="1"/>
        <v>-0.35782497348236797</v>
      </c>
      <c r="AY36" s="7">
        <f t="shared" si="1"/>
        <v>0</v>
      </c>
      <c r="AZ36" s="7">
        <f t="shared" si="1"/>
        <v>0</v>
      </c>
      <c r="BA36" s="7">
        <f t="shared" si="1"/>
        <v>0</v>
      </c>
      <c r="BB36" s="7">
        <f t="shared" si="1"/>
        <v>0</v>
      </c>
    </row>
    <row r="37" spans="1:56" x14ac:dyDescent="0.25">
      <c r="A37">
        <v>9</v>
      </c>
      <c r="B37">
        <v>1</v>
      </c>
      <c r="C37" s="5">
        <v>250</v>
      </c>
      <c r="D37" s="2">
        <f t="shared" si="4"/>
        <v>2.0428499683915989E-3</v>
      </c>
      <c r="E37" s="2">
        <f t="shared" si="4"/>
        <v>-0.2338630310078802</v>
      </c>
      <c r="F37" s="2">
        <f t="shared" si="4"/>
        <v>3.2522311695388009E-3</v>
      </c>
      <c r="G37" s="2">
        <f t="shared" si="4"/>
        <v>-0.23590588097626997</v>
      </c>
      <c r="H37" s="2">
        <f t="shared" si="4"/>
        <v>1.0263996440575004E-2</v>
      </c>
      <c r="I37" s="2">
        <f t="shared" si="4"/>
        <v>1.93479228055108E-2</v>
      </c>
      <c r="J37" s="2">
        <f t="shared" si="4"/>
        <v>4.0129880032679394E-2</v>
      </c>
      <c r="K37" s="2">
        <f t="shared" si="4"/>
        <v>5.6492501758227953E-2</v>
      </c>
      <c r="L37" s="2">
        <f t="shared" si="4"/>
        <v>-0.36009733204487604</v>
      </c>
      <c r="M37" s="2">
        <f t="shared" si="4"/>
        <v>0</v>
      </c>
      <c r="N37" s="2">
        <f t="shared" si="4"/>
        <v>0</v>
      </c>
      <c r="O37" s="2">
        <f t="shared" si="4"/>
        <v>0</v>
      </c>
      <c r="P37" s="2">
        <f t="shared" si="4"/>
        <v>0</v>
      </c>
      <c r="Q37" s="2">
        <f t="shared" si="4"/>
        <v>0</v>
      </c>
      <c r="R37" s="2">
        <f t="shared" si="4"/>
        <v>0</v>
      </c>
      <c r="S37" s="2">
        <f t="shared" si="4"/>
        <v>0</v>
      </c>
      <c r="T37" s="2">
        <f t="shared" si="4"/>
        <v>0</v>
      </c>
      <c r="U37" s="2">
        <f t="shared" si="4"/>
        <v>0.860453555260559</v>
      </c>
      <c r="V37" s="2">
        <f t="shared" si="4"/>
        <v>-0.30906703899401577</v>
      </c>
      <c r="W37" s="2">
        <f t="shared" si="4"/>
        <v>4697.5406028471207</v>
      </c>
      <c r="X37" s="2">
        <f t="shared" si="4"/>
        <v>0</v>
      </c>
      <c r="Y37" s="2">
        <f t="shared" si="4"/>
        <v>-8.5961811370849048</v>
      </c>
      <c r="Z37" s="2">
        <f t="shared" si="4"/>
        <v>33.053501462941</v>
      </c>
      <c r="AA37" s="2">
        <f t="shared" si="4"/>
        <v>33.053501462941</v>
      </c>
      <c r="AB37" s="2">
        <f t="shared" si="4"/>
        <v>23.226598954235598</v>
      </c>
      <c r="AC37" s="2">
        <f t="shared" si="4"/>
        <v>-25.291456682312003</v>
      </c>
      <c r="AD37" s="2">
        <f t="shared" si="4"/>
        <v>-6.1909676348530063E-2</v>
      </c>
      <c r="AE37" s="2">
        <f t="shared" si="4"/>
        <v>-7.4291611618230036</v>
      </c>
      <c r="AF37" s="2">
        <f t="shared" si="4"/>
        <v>0</v>
      </c>
      <c r="AG37" s="2">
        <f t="shared" si="4"/>
        <v>0</v>
      </c>
      <c r="AH37" s="2">
        <f t="shared" si="4"/>
        <v>30.894809589505996</v>
      </c>
      <c r="AI37" s="2">
        <f t="shared" si="4"/>
        <v>2.304858762380988</v>
      </c>
      <c r="AJ37" s="2">
        <f t="shared" si="4"/>
        <v>-11.825016204689298</v>
      </c>
      <c r="AK37" s="2">
        <f t="shared" si="4"/>
        <v>-6.4386063402470057</v>
      </c>
      <c r="AL37" s="7">
        <f t="shared" si="3"/>
        <v>7.5414914574514658E-2</v>
      </c>
      <c r="AM37" s="7">
        <f t="shared" si="1"/>
        <v>0</v>
      </c>
      <c r="AN37" s="7">
        <f t="shared" si="1"/>
        <v>0</v>
      </c>
      <c r="AO37" s="7">
        <f t="shared" si="1"/>
        <v>7.8598570700805226E-6</v>
      </c>
      <c r="AP37" s="7">
        <f t="shared" si="1"/>
        <v>4.2229751397560022E-5</v>
      </c>
      <c r="AQ37" s="7">
        <f t="shared" si="1"/>
        <v>0</v>
      </c>
      <c r="AR37" s="7">
        <f t="shared" si="1"/>
        <v>6.2780297852569555E-2</v>
      </c>
      <c r="AS37" s="7">
        <f t="shared" si="1"/>
        <v>0</v>
      </c>
      <c r="AT37" s="7">
        <f t="shared" si="1"/>
        <v>0</v>
      </c>
      <c r="AU37" s="7">
        <f t="shared" si="1"/>
        <v>0</v>
      </c>
      <c r="AV37" s="7">
        <f t="shared" si="1"/>
        <v>0</v>
      </c>
      <c r="AW37" s="7">
        <f t="shared" si="1"/>
        <v>-0.48399741067899049</v>
      </c>
      <c r="AX37" s="7">
        <f t="shared" si="1"/>
        <v>-0.2941499882818599</v>
      </c>
      <c r="AY37" s="7">
        <f t="shared" si="1"/>
        <v>0</v>
      </c>
      <c r="AZ37" s="7">
        <f t="shared" si="1"/>
        <v>0</v>
      </c>
      <c r="BA37" s="7">
        <f t="shared" si="1"/>
        <v>0</v>
      </c>
      <c r="BB37" s="7">
        <f t="shared" si="1"/>
        <v>0</v>
      </c>
    </row>
    <row r="40" spans="1:56" x14ac:dyDescent="0.25">
      <c r="C40" s="5">
        <v>50</v>
      </c>
      <c r="D40" s="2">
        <f>100*(1-(1-D29/100)^12)</f>
        <v>-6.9054188935346872E-2</v>
      </c>
      <c r="E40" s="2">
        <f t="shared" ref="E40:L40" si="5">100*(1-(1-E29/100)^12)</f>
        <v>2.0736843538441074</v>
      </c>
      <c r="H40" s="2">
        <f t="shared" si="5"/>
        <v>0.11941108120192556</v>
      </c>
      <c r="I40" s="2">
        <f t="shared" si="5"/>
        <v>-0.51003450674360629</v>
      </c>
      <c r="J40" s="2">
        <f t="shared" si="5"/>
        <v>2.0332592251650627</v>
      </c>
      <c r="K40" s="2">
        <f t="shared" si="5"/>
        <v>0.28152423151522887</v>
      </c>
      <c r="L40" s="2">
        <f t="shared" si="5"/>
        <v>0.14858153489579751</v>
      </c>
    </row>
    <row r="41" spans="1:56" x14ac:dyDescent="0.25">
      <c r="C41" s="5">
        <v>75</v>
      </c>
      <c r="D41" s="2">
        <f t="shared" ref="D41:L48" si="6">100*(1-(1-D30/100)^12)</f>
        <v>-4.4347669123915523</v>
      </c>
      <c r="E41" s="2">
        <f t="shared" si="6"/>
        <v>-1.6694336713317215</v>
      </c>
      <c r="H41" s="2">
        <f t="shared" si="6"/>
        <v>0.11270994829480907</v>
      </c>
      <c r="I41" s="2">
        <f t="shared" si="6"/>
        <v>-3.5738702181298265E-2</v>
      </c>
      <c r="J41" s="2">
        <f t="shared" si="6"/>
        <v>0.14788772826140884</v>
      </c>
      <c r="K41" s="2">
        <f t="shared" si="6"/>
        <v>-0.13981795161313038</v>
      </c>
      <c r="L41" s="2">
        <f t="shared" si="6"/>
        <v>-1.7560668641399602</v>
      </c>
    </row>
    <row r="42" spans="1:56" s="3" customFormat="1" x14ac:dyDescent="0.25">
      <c r="C42" s="6">
        <v>100</v>
      </c>
      <c r="D42" s="4">
        <f t="shared" si="6"/>
        <v>-1.5972696119837204</v>
      </c>
      <c r="E42" s="4">
        <f t="shared" si="6"/>
        <v>-1.1416218153648128</v>
      </c>
      <c r="F42" s="4"/>
      <c r="G42" s="4"/>
      <c r="H42" s="4">
        <f t="shared" si="6"/>
        <v>0.1317538978610755</v>
      </c>
      <c r="I42" s="4">
        <f t="shared" si="6"/>
        <v>3.3377706042458932E-2</v>
      </c>
      <c r="J42" s="4">
        <f t="shared" si="6"/>
        <v>0.15069521300814515</v>
      </c>
      <c r="K42" s="4">
        <f t="shared" si="6"/>
        <v>0.17079845340282063</v>
      </c>
      <c r="L42" s="4">
        <f t="shared" si="6"/>
        <v>-1.6347618958181265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 s="3" customFormat="1" x14ac:dyDescent="0.25">
      <c r="C43" s="6">
        <v>125</v>
      </c>
      <c r="D43" s="4">
        <f t="shared" si="6"/>
        <v>-6.2956499140892186</v>
      </c>
      <c r="E43" s="4">
        <f t="shared" si="6"/>
        <v>-0.93497581489652148</v>
      </c>
      <c r="F43" s="4"/>
      <c r="G43" s="4"/>
      <c r="H43" s="4">
        <f t="shared" si="6"/>
        <v>0.12703387200566629</v>
      </c>
      <c r="I43" s="4">
        <f t="shared" si="6"/>
        <v>4.7458255285859341E-2</v>
      </c>
      <c r="J43" s="4">
        <f t="shared" si="6"/>
        <v>0.18342955994040677</v>
      </c>
      <c r="K43" s="4">
        <f t="shared" si="6"/>
        <v>0.30791939187629902</v>
      </c>
      <c r="L43" s="4">
        <f t="shared" si="6"/>
        <v>-1.6092570504969927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s="3" customFormat="1" x14ac:dyDescent="0.25">
      <c r="C44" s="6">
        <v>150</v>
      </c>
      <c r="D44" s="4">
        <f t="shared" si="6"/>
        <v>-4.9117717999688448</v>
      </c>
      <c r="E44" s="4">
        <f t="shared" si="6"/>
        <v>-0.88395843947404185</v>
      </c>
      <c r="F44" s="4"/>
      <c r="G44" s="4"/>
      <c r="H44" s="4">
        <f t="shared" si="6"/>
        <v>0.11966565123042727</v>
      </c>
      <c r="I44" s="4">
        <f t="shared" si="6"/>
        <v>5.7707500273840306E-2</v>
      </c>
      <c r="J44" s="4">
        <f t="shared" si="6"/>
        <v>0.25283032333583977</v>
      </c>
      <c r="K44" s="4">
        <f t="shared" si="6"/>
        <v>0.35085304572640696</v>
      </c>
      <c r="L44" s="4">
        <f t="shared" si="6"/>
        <v>-1.6751185479041864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 x14ac:dyDescent="0.25">
      <c r="C45" s="5">
        <v>175</v>
      </c>
      <c r="D45" s="2">
        <f t="shared" si="6"/>
        <v>5.8056499794266188</v>
      </c>
      <c r="E45" s="2">
        <f t="shared" si="6"/>
        <v>-0.5958596511152825</v>
      </c>
      <c r="H45" s="2">
        <f t="shared" si="6"/>
        <v>7.6780455267022596E-2</v>
      </c>
      <c r="I45" s="2">
        <f t="shared" si="6"/>
        <v>0.10566048157916175</v>
      </c>
      <c r="J45" s="2">
        <f t="shared" si="6"/>
        <v>0.56163475201174151</v>
      </c>
      <c r="K45" s="2">
        <f t="shared" si="6"/>
        <v>0.49098860046592474</v>
      </c>
      <c r="L45" s="2">
        <f t="shared" si="6"/>
        <v>-1.8474006011374389</v>
      </c>
    </row>
    <row r="46" spans="1:56" x14ac:dyDescent="0.25">
      <c r="C46" s="5">
        <v>200</v>
      </c>
      <c r="D46" s="2">
        <f t="shared" si="6"/>
        <v>0.10918993481684458</v>
      </c>
      <c r="E46" s="2">
        <f t="shared" si="6"/>
        <v>-1.8203919242642863</v>
      </c>
      <c r="H46" s="2">
        <f t="shared" si="6"/>
        <v>0.1462360288975173</v>
      </c>
      <c r="I46" s="2">
        <f t="shared" si="6"/>
        <v>0.17412835437662366</v>
      </c>
      <c r="J46" s="2">
        <f t="shared" si="6"/>
        <v>0.29971435454402284</v>
      </c>
      <c r="K46" s="2">
        <f t="shared" si="6"/>
        <v>0.39457580771519174</v>
      </c>
      <c r="L46" s="2">
        <f t="shared" si="6"/>
        <v>-2.8581696415560298</v>
      </c>
    </row>
    <row r="47" spans="1:56" x14ac:dyDescent="0.25">
      <c r="C47" s="5">
        <v>225</v>
      </c>
      <c r="D47" s="2">
        <f>100*(1-(1-D36/100)^12)</f>
        <v>-0.11174383353207418</v>
      </c>
      <c r="E47" s="2">
        <f t="shared" ref="E47:L47" si="7">100*(1-(1-E36/100)^12)</f>
        <v>-3.6511824659830827</v>
      </c>
      <c r="H47" s="2">
        <f t="shared" si="7"/>
        <v>0.15299137775505178</v>
      </c>
      <c r="I47" s="2">
        <f t="shared" si="7"/>
        <v>0.10883845666754821</v>
      </c>
      <c r="J47" s="2">
        <f t="shared" si="7"/>
        <v>4.1978791303083902</v>
      </c>
      <c r="K47" s="2">
        <f t="shared" si="7"/>
        <v>0.55127105065492232</v>
      </c>
      <c r="L47" s="2">
        <f t="shared" si="7"/>
        <v>-9.0413737820292273</v>
      </c>
    </row>
    <row r="48" spans="1:56" x14ac:dyDescent="0.25">
      <c r="C48" s="5">
        <v>250</v>
      </c>
      <c r="D48" s="2">
        <f t="shared" si="6"/>
        <v>2.4511445472430449E-2</v>
      </c>
      <c r="E48" s="2">
        <f t="shared" si="6"/>
        <v>-2.8427359128825103</v>
      </c>
      <c r="H48" s="2">
        <f t="shared" si="6"/>
        <v>0.12309845031900357</v>
      </c>
      <c r="I48" s="2">
        <f t="shared" si="6"/>
        <v>0.23192816713996089</v>
      </c>
      <c r="J48" s="2">
        <f t="shared" si="6"/>
        <v>0.48049711206999968</v>
      </c>
      <c r="K48" s="2">
        <f t="shared" si="6"/>
        <v>0.67580765663063369</v>
      </c>
      <c r="L48" s="2">
        <f t="shared" si="6"/>
        <v>-4.4077858789935753</v>
      </c>
    </row>
  </sheetData>
  <conditionalFormatting sqref="AL29:BB37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topLeftCell="D1" workbookViewId="0">
      <selection activeCell="F61" sqref="F61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</v>
      </c>
      <c r="B2">
        <v>1</v>
      </c>
      <c r="C2">
        <v>50</v>
      </c>
      <c r="D2">
        <v>5.8144398132099198E-3</v>
      </c>
      <c r="E2">
        <v>1.3062015794989099</v>
      </c>
      <c r="F2">
        <v>4.45141079636457E-3</v>
      </c>
      <c r="G2">
        <v>1.3003871396857001</v>
      </c>
      <c r="H2">
        <v>5.1560982060878502E-2</v>
      </c>
      <c r="I2">
        <v>8.5286924038806902E-2</v>
      </c>
      <c r="J2">
        <v>0.13270088045114001</v>
      </c>
      <c r="K2">
        <v>0.49410539867719799</v>
      </c>
      <c r="L2">
        <v>0.54254739427089005</v>
      </c>
      <c r="M2">
        <v>0</v>
      </c>
      <c r="N2">
        <v>12.1546490211123</v>
      </c>
      <c r="O2">
        <v>87.845350978887694</v>
      </c>
      <c r="P2">
        <v>100</v>
      </c>
      <c r="Q2">
        <v>0</v>
      </c>
      <c r="R2">
        <v>0</v>
      </c>
      <c r="S2">
        <v>0</v>
      </c>
      <c r="T2">
        <v>0</v>
      </c>
      <c r="U2">
        <v>1.9057000121397201</v>
      </c>
      <c r="V2">
        <v>42.373525214274402</v>
      </c>
      <c r="W2">
        <v>1039.8026617504599</v>
      </c>
      <c r="X2">
        <v>100</v>
      </c>
      <c r="Y2">
        <v>70.321969773938605</v>
      </c>
      <c r="Z2">
        <v>269.61701410274799</v>
      </c>
      <c r="AA2">
        <v>269.37281923673299</v>
      </c>
      <c r="AB2">
        <v>61.998299041527503</v>
      </c>
      <c r="AC2">
        <v>288.692387323471</v>
      </c>
      <c r="AD2">
        <v>4.7012099231579496</v>
      </c>
      <c r="AE2">
        <v>667.98677448013098</v>
      </c>
      <c r="AF2">
        <v>0</v>
      </c>
      <c r="AG2">
        <v>0</v>
      </c>
      <c r="AH2">
        <v>146.39981961906599</v>
      </c>
      <c r="AI2">
        <v>111.004750903736</v>
      </c>
      <c r="AJ2">
        <v>45.353640772086798</v>
      </c>
      <c r="AK2">
        <v>0.35182933620040302</v>
      </c>
      <c r="AL2">
        <v>30911748.199999999</v>
      </c>
      <c r="AM2">
        <v>2.84534941664855E-4</v>
      </c>
      <c r="AN2">
        <v>115</v>
      </c>
    </row>
    <row r="3" spans="1:40" x14ac:dyDescent="0.25">
      <c r="A3">
        <v>2</v>
      </c>
      <c r="B3">
        <v>1</v>
      </c>
      <c r="C3">
        <v>75</v>
      </c>
      <c r="D3">
        <v>1.3740040412407599</v>
      </c>
      <c r="E3">
        <v>1.52501707993644</v>
      </c>
      <c r="F3">
        <v>0.90097616565581395</v>
      </c>
      <c r="G3">
        <v>0.151013038695681</v>
      </c>
      <c r="H3">
        <v>5.1390166968853401E-2</v>
      </c>
      <c r="I3">
        <v>6.0091755733954103E-2</v>
      </c>
      <c r="J3">
        <v>6.6967213362191302E-2</v>
      </c>
      <c r="K3">
        <v>0.45487947108800397</v>
      </c>
      <c r="L3">
        <v>0.89168847278344099</v>
      </c>
      <c r="M3">
        <v>0</v>
      </c>
      <c r="N3">
        <v>4.9835541495881897</v>
      </c>
      <c r="O3">
        <v>95.016445850411799</v>
      </c>
      <c r="P3">
        <v>100</v>
      </c>
      <c r="Q3">
        <v>0</v>
      </c>
      <c r="R3">
        <v>0</v>
      </c>
      <c r="S3">
        <v>0</v>
      </c>
      <c r="T3">
        <v>0</v>
      </c>
      <c r="U3">
        <v>1.4105186322202301</v>
      </c>
      <c r="V3">
        <v>67.129362241881594</v>
      </c>
      <c r="W3">
        <v>2172.3436186296999</v>
      </c>
      <c r="X3">
        <v>99.807949856826795</v>
      </c>
      <c r="Y3">
        <v>64.667887386642505</v>
      </c>
      <c r="Z3">
        <v>295.36542775721</v>
      </c>
      <c r="AA3">
        <v>294.47854536692802</v>
      </c>
      <c r="AB3">
        <v>61.552174974567599</v>
      </c>
      <c r="AC3">
        <v>291.39639102986399</v>
      </c>
      <c r="AD3">
        <v>4.7677303736714096</v>
      </c>
      <c r="AE3">
        <v>706.48320113691796</v>
      </c>
      <c r="AF3">
        <v>0</v>
      </c>
      <c r="AG3">
        <v>0</v>
      </c>
      <c r="AH3">
        <v>146.55348336883</v>
      </c>
      <c r="AI3">
        <v>111.015802442981</v>
      </c>
      <c r="AJ3">
        <v>45.203678653430003</v>
      </c>
      <c r="AK3">
        <v>-2.4625546556995199</v>
      </c>
      <c r="AL3">
        <v>377905784.39999998</v>
      </c>
      <c r="AM3">
        <v>7.8334206915558896E-2</v>
      </c>
      <c r="AN3">
        <v>818</v>
      </c>
    </row>
    <row r="4" spans="1:40" x14ac:dyDescent="0.25">
      <c r="A4">
        <v>3</v>
      </c>
      <c r="B4">
        <v>1</v>
      </c>
      <c r="C4">
        <v>100</v>
      </c>
      <c r="D4">
        <v>1.35591099479568</v>
      </c>
      <c r="E4">
        <v>1.4751206779410899</v>
      </c>
      <c r="F4">
        <v>0.91918648763584598</v>
      </c>
      <c r="G4">
        <v>0.119209683145411</v>
      </c>
      <c r="H4">
        <v>5.2252280833123499E-2</v>
      </c>
      <c r="I4">
        <v>3.8785858188543298E-2</v>
      </c>
      <c r="J4">
        <v>1.5725853986799501E-2</v>
      </c>
      <c r="K4">
        <v>0.40348455917387499</v>
      </c>
      <c r="L4">
        <v>0.96487212575874504</v>
      </c>
      <c r="M4">
        <v>0</v>
      </c>
      <c r="N4">
        <v>10.5179076901969</v>
      </c>
      <c r="O4">
        <v>89.482092309803093</v>
      </c>
      <c r="P4">
        <v>100</v>
      </c>
      <c r="Q4">
        <v>0</v>
      </c>
      <c r="R4">
        <v>0</v>
      </c>
      <c r="S4">
        <v>0</v>
      </c>
      <c r="T4">
        <v>0</v>
      </c>
      <c r="U4">
        <v>0.96679115569055096</v>
      </c>
      <c r="V4">
        <v>92.329342005194107</v>
      </c>
      <c r="W4">
        <v>3943.3788526824201</v>
      </c>
      <c r="X4">
        <v>99.989289745881095</v>
      </c>
      <c r="Y4">
        <v>58.366157514964499</v>
      </c>
      <c r="Z4">
        <v>274.00838498083402</v>
      </c>
      <c r="AA4">
        <v>271.98153530010597</v>
      </c>
      <c r="AB4">
        <v>63.524822135633201</v>
      </c>
      <c r="AC4">
        <v>289.81055582005001</v>
      </c>
      <c r="AD4">
        <v>4.7381120299689803</v>
      </c>
      <c r="AE4">
        <v>759.71461586243595</v>
      </c>
      <c r="AF4">
        <v>0</v>
      </c>
      <c r="AG4">
        <v>0</v>
      </c>
      <c r="AH4">
        <v>146.49845347741601</v>
      </c>
      <c r="AI4">
        <v>111.012804310776</v>
      </c>
      <c r="AJ4">
        <v>45.378642164982601</v>
      </c>
      <c r="AK4">
        <v>-17.058406494716301</v>
      </c>
      <c r="AL4">
        <v>9322338096.8999996</v>
      </c>
      <c r="AM4">
        <v>9.5132027883599493E-2</v>
      </c>
      <c r="AN4">
        <v>4253</v>
      </c>
    </row>
    <row r="5" spans="1:40" x14ac:dyDescent="0.25">
      <c r="A5">
        <v>4</v>
      </c>
      <c r="B5">
        <v>1</v>
      </c>
      <c r="C5">
        <v>125</v>
      </c>
      <c r="D5">
        <v>1.7163064543350499</v>
      </c>
      <c r="E5">
        <v>1.54002295536144</v>
      </c>
      <c r="F5">
        <v>1.1144680982578199</v>
      </c>
      <c r="G5">
        <v>-0.17628349897360501</v>
      </c>
      <c r="H5">
        <v>5.3005856342943303E-2</v>
      </c>
      <c r="I5">
        <v>3.8853074789995501E-2</v>
      </c>
      <c r="J5">
        <v>1.38818497110495E-2</v>
      </c>
      <c r="K5">
        <v>0.43201946864094798</v>
      </c>
      <c r="L5">
        <v>1.0022627058765099</v>
      </c>
      <c r="M5">
        <v>0</v>
      </c>
      <c r="N5">
        <v>12.7215519853768</v>
      </c>
      <c r="O5">
        <v>87.278448014623194</v>
      </c>
      <c r="P5">
        <v>100</v>
      </c>
      <c r="Q5">
        <v>0</v>
      </c>
      <c r="R5">
        <v>0</v>
      </c>
      <c r="S5">
        <v>0</v>
      </c>
      <c r="T5">
        <v>0</v>
      </c>
      <c r="U5">
        <v>0.96720084218065205</v>
      </c>
      <c r="V5">
        <v>109.94461580247901</v>
      </c>
      <c r="W5">
        <v>4813.6733712656296</v>
      </c>
      <c r="X5">
        <v>99.997726195449999</v>
      </c>
      <c r="Y5">
        <v>55.185542596203199</v>
      </c>
      <c r="Z5">
        <v>270.41625038285201</v>
      </c>
      <c r="AA5">
        <v>268.40858312406999</v>
      </c>
      <c r="AB5">
        <v>65.299815685352101</v>
      </c>
      <c r="AC5">
        <v>287.45509926495902</v>
      </c>
      <c r="AD5">
        <v>4.8675785918159296</v>
      </c>
      <c r="AE5">
        <v>760.85837741520902</v>
      </c>
      <c r="AF5">
        <v>0</v>
      </c>
      <c r="AG5">
        <v>0</v>
      </c>
      <c r="AH5">
        <v>145.58356668987699</v>
      </c>
      <c r="AI5">
        <v>110.95690828391101</v>
      </c>
      <c r="AJ5">
        <v>46.651991350927098</v>
      </c>
      <c r="AK5">
        <v>-11.0945088892891</v>
      </c>
      <c r="AL5">
        <v>14819747809.6</v>
      </c>
      <c r="AM5">
        <v>8.8036092805611602E-2</v>
      </c>
      <c r="AN5">
        <v>5906</v>
      </c>
    </row>
    <row r="6" spans="1:40" x14ac:dyDescent="0.25">
      <c r="A6">
        <v>5</v>
      </c>
      <c r="B6">
        <v>1</v>
      </c>
      <c r="C6">
        <v>150</v>
      </c>
      <c r="D6">
        <v>1.85303339556647</v>
      </c>
      <c r="E6">
        <v>1.6010239901580701</v>
      </c>
      <c r="F6">
        <v>1.1574051400588501</v>
      </c>
      <c r="G6">
        <v>-0.252009405408402</v>
      </c>
      <c r="H6">
        <v>5.4363569282371703E-2</v>
      </c>
      <c r="I6">
        <v>4.18916290725048E-2</v>
      </c>
      <c r="J6">
        <v>1.5933739621777701E-2</v>
      </c>
      <c r="K6">
        <v>0.46117787723945203</v>
      </c>
      <c r="L6">
        <v>1.0276571749419601</v>
      </c>
      <c r="M6">
        <v>0</v>
      </c>
      <c r="N6">
        <v>15.104786470117601</v>
      </c>
      <c r="O6">
        <v>84.895213529882398</v>
      </c>
      <c r="P6">
        <v>100</v>
      </c>
      <c r="Q6">
        <v>0</v>
      </c>
      <c r="R6">
        <v>0</v>
      </c>
      <c r="S6">
        <v>0</v>
      </c>
      <c r="T6">
        <v>0</v>
      </c>
      <c r="U6">
        <v>1.0185648566185701</v>
      </c>
      <c r="V6">
        <v>131.624689043573</v>
      </c>
      <c r="W6">
        <v>5946.7172870131299</v>
      </c>
      <c r="X6">
        <v>100</v>
      </c>
      <c r="Y6">
        <v>54.613044578088299</v>
      </c>
      <c r="Z6">
        <v>268.85217231327499</v>
      </c>
      <c r="AA6">
        <v>267.108028611755</v>
      </c>
      <c r="AB6">
        <v>68.454489118110502</v>
      </c>
      <c r="AC6">
        <v>284.07004709168098</v>
      </c>
      <c r="AD6">
        <v>5.0792358666800803</v>
      </c>
      <c r="AE6">
        <v>757.06690569437899</v>
      </c>
      <c r="AF6">
        <v>0</v>
      </c>
      <c r="AG6">
        <v>0</v>
      </c>
      <c r="AH6">
        <v>144.98897543419301</v>
      </c>
      <c r="AI6">
        <v>110.920005159439</v>
      </c>
      <c r="AJ6">
        <v>47.426852352921301</v>
      </c>
      <c r="AK6">
        <v>2.1336432117194901</v>
      </c>
      <c r="AL6">
        <v>3460736721</v>
      </c>
      <c r="AM6">
        <v>9.4317796406978002E-2</v>
      </c>
      <c r="AN6">
        <v>3113</v>
      </c>
    </row>
    <row r="7" spans="1:40" x14ac:dyDescent="0.25">
      <c r="A7">
        <v>6</v>
      </c>
      <c r="B7">
        <v>1</v>
      </c>
      <c r="C7">
        <v>175</v>
      </c>
      <c r="D7">
        <v>2.1240277331812298</v>
      </c>
      <c r="E7">
        <v>1.7174232992059799</v>
      </c>
      <c r="F7">
        <v>1.2367526015067101</v>
      </c>
      <c r="G7">
        <v>-0.40660443397525797</v>
      </c>
      <c r="H7">
        <v>5.5210299429632403E-2</v>
      </c>
      <c r="I7">
        <v>4.8808375040327798E-2</v>
      </c>
      <c r="J7">
        <v>2.3860195805749902E-2</v>
      </c>
      <c r="K7">
        <v>0.48374063612632101</v>
      </c>
      <c r="L7">
        <v>1.1058037928039399</v>
      </c>
      <c r="M7">
        <v>0</v>
      </c>
      <c r="N7">
        <v>10.218706309485</v>
      </c>
      <c r="O7">
        <v>89.781293690515</v>
      </c>
      <c r="P7">
        <v>100</v>
      </c>
      <c r="Q7">
        <v>0</v>
      </c>
      <c r="R7">
        <v>0</v>
      </c>
      <c r="S7">
        <v>0</v>
      </c>
      <c r="T7">
        <v>0</v>
      </c>
      <c r="U7">
        <v>1.1326770105778401</v>
      </c>
      <c r="V7">
        <v>156.86141942056301</v>
      </c>
      <c r="W7">
        <v>6858.5386829690096</v>
      </c>
      <c r="X7">
        <v>100</v>
      </c>
      <c r="Y7">
        <v>56.840691445837699</v>
      </c>
      <c r="Z7">
        <v>290.67787057354201</v>
      </c>
      <c r="AA7">
        <v>290.20524013679602</v>
      </c>
      <c r="AB7">
        <v>70.237367791010598</v>
      </c>
      <c r="AC7">
        <v>281.55062019669901</v>
      </c>
      <c r="AD7">
        <v>5.3365936098941003</v>
      </c>
      <c r="AE7">
        <v>748.989130868389</v>
      </c>
      <c r="AF7">
        <v>0</v>
      </c>
      <c r="AG7">
        <v>0</v>
      </c>
      <c r="AH7">
        <v>144.779904588671</v>
      </c>
      <c r="AI7">
        <v>110.906702195649</v>
      </c>
      <c r="AJ7">
        <v>47.667424797291197</v>
      </c>
      <c r="AK7">
        <v>33.6236922242473</v>
      </c>
      <c r="AL7">
        <v>95787094.799999997</v>
      </c>
      <c r="AM7">
        <v>0.13779708878508101</v>
      </c>
      <c r="AN7">
        <v>274</v>
      </c>
    </row>
    <row r="8" spans="1:40" x14ac:dyDescent="0.25">
      <c r="A8">
        <v>7</v>
      </c>
      <c r="B8">
        <v>1</v>
      </c>
      <c r="C8">
        <v>200</v>
      </c>
      <c r="D8">
        <v>6.7963864518642203E-3</v>
      </c>
      <c r="E8">
        <v>1.9255165079869201</v>
      </c>
      <c r="F8">
        <v>3.5296433054057201E-3</v>
      </c>
      <c r="G8">
        <v>1.91872012153506</v>
      </c>
      <c r="H8">
        <v>5.3677612720571602E-2</v>
      </c>
      <c r="I8">
        <v>3.9375348812908897E-2</v>
      </c>
      <c r="J8">
        <v>1.28777488259016E-2</v>
      </c>
      <c r="K8">
        <v>0.49503053953153597</v>
      </c>
      <c r="L8">
        <v>1.3245552580960001</v>
      </c>
      <c r="M8">
        <v>0</v>
      </c>
      <c r="N8">
        <v>43.738788856822801</v>
      </c>
      <c r="O8">
        <v>56.261211143177199</v>
      </c>
      <c r="P8">
        <v>100</v>
      </c>
      <c r="Q8">
        <v>0</v>
      </c>
      <c r="R8">
        <v>0</v>
      </c>
      <c r="S8">
        <v>0</v>
      </c>
      <c r="T8">
        <v>0</v>
      </c>
      <c r="U8">
        <v>0.95961218742247101</v>
      </c>
      <c r="V8">
        <v>181.678291131669</v>
      </c>
      <c r="W8">
        <v>2809.3191004651198</v>
      </c>
      <c r="X8">
        <v>100</v>
      </c>
      <c r="Y8">
        <v>51.395682954419399</v>
      </c>
      <c r="Z8">
        <v>223.45247847459001</v>
      </c>
      <c r="AA8">
        <v>223.45247847459001</v>
      </c>
      <c r="AB8">
        <v>66.772838757176004</v>
      </c>
      <c r="AC8">
        <v>241.64686629676299</v>
      </c>
      <c r="AD8">
        <v>5.5836736225757102</v>
      </c>
      <c r="AE8">
        <v>751.95619472005501</v>
      </c>
      <c r="AF8">
        <v>0</v>
      </c>
      <c r="AG8">
        <v>0</v>
      </c>
      <c r="AH8">
        <v>144.64583253847499</v>
      </c>
      <c r="AI8">
        <v>110.898058151303</v>
      </c>
      <c r="AJ8">
        <v>47.812685491208697</v>
      </c>
      <c r="AK8">
        <v>55.2526597627078</v>
      </c>
      <c r="AL8">
        <v>3230658.5</v>
      </c>
      <c r="AM8" s="1">
        <v>7.0107943983002495E-5</v>
      </c>
      <c r="AN8">
        <v>15</v>
      </c>
    </row>
    <row r="9" spans="1:40" x14ac:dyDescent="0.25">
      <c r="A9">
        <v>8</v>
      </c>
      <c r="B9">
        <v>1</v>
      </c>
      <c r="C9">
        <v>225</v>
      </c>
      <c r="D9">
        <v>1.9508580343827301E-2</v>
      </c>
      <c r="E9">
        <v>2.3105045405198101</v>
      </c>
      <c r="F9">
        <v>8.4434286978022303E-3</v>
      </c>
      <c r="G9">
        <v>2.2909959601759802</v>
      </c>
      <c r="H9">
        <v>4.9605288843870401E-2</v>
      </c>
      <c r="I9">
        <v>2.4309366288246499E-2</v>
      </c>
      <c r="J9">
        <v>5.5328431255510298E-2</v>
      </c>
      <c r="K9">
        <v>0.51880992486692601</v>
      </c>
      <c r="L9">
        <v>1.66245152926526</v>
      </c>
      <c r="M9">
        <v>0</v>
      </c>
      <c r="N9">
        <v>13.967060911205801</v>
      </c>
      <c r="O9">
        <v>86.032939088794194</v>
      </c>
      <c r="P9">
        <v>100</v>
      </c>
      <c r="Q9">
        <v>0</v>
      </c>
      <c r="R9">
        <v>0</v>
      </c>
      <c r="S9">
        <v>0</v>
      </c>
      <c r="T9">
        <v>0</v>
      </c>
      <c r="U9">
        <v>0.48731447523905902</v>
      </c>
      <c r="V9">
        <v>211.122277773588</v>
      </c>
      <c r="W9">
        <v>1940.4686967093101</v>
      </c>
      <c r="X9">
        <v>100</v>
      </c>
      <c r="Y9">
        <v>58.656551682976797</v>
      </c>
      <c r="Z9">
        <v>327.60839128549901</v>
      </c>
      <c r="AA9">
        <v>327.60839128549901</v>
      </c>
      <c r="AB9">
        <v>57.360706533628097</v>
      </c>
      <c r="AC9">
        <v>234.26489311146699</v>
      </c>
      <c r="AD9">
        <v>5.9580988172663796</v>
      </c>
      <c r="AE9">
        <v>686.542212892051</v>
      </c>
      <c r="AF9">
        <v>0</v>
      </c>
      <c r="AG9">
        <v>0</v>
      </c>
      <c r="AH9">
        <v>145.46864471093701</v>
      </c>
      <c r="AI9">
        <v>110.950227209616</v>
      </c>
      <c r="AJ9">
        <v>46.751316091440202</v>
      </c>
      <c r="AK9">
        <v>92.730540508414094</v>
      </c>
      <c r="AL9">
        <v>1601780.8</v>
      </c>
      <c r="AM9" s="1">
        <v>2.1679483388678702E-6</v>
      </c>
      <c r="AN9">
        <v>5</v>
      </c>
    </row>
    <row r="10" spans="1:40" x14ac:dyDescent="0.25">
      <c r="A10">
        <v>9</v>
      </c>
      <c r="B10">
        <v>1</v>
      </c>
      <c r="C10">
        <v>250</v>
      </c>
      <c r="D10">
        <v>2.7469953315080401E-2</v>
      </c>
      <c r="E10">
        <v>1.9010631966754501</v>
      </c>
      <c r="F10">
        <v>1.4449784395973501E-2</v>
      </c>
      <c r="G10">
        <v>1.8735932433603699</v>
      </c>
      <c r="H10">
        <v>4.8792209164143098E-2</v>
      </c>
      <c r="I10">
        <v>1.3313935839862101E-2</v>
      </c>
      <c r="J10">
        <v>5.1188699417168901E-2</v>
      </c>
      <c r="K10">
        <v>0.51847200749954703</v>
      </c>
      <c r="L10">
        <v>1.2692963447547301</v>
      </c>
      <c r="M10">
        <v>0</v>
      </c>
      <c r="N10">
        <v>0</v>
      </c>
      <c r="O10">
        <v>100</v>
      </c>
      <c r="P10">
        <v>100</v>
      </c>
      <c r="Q10">
        <v>0</v>
      </c>
      <c r="R10">
        <v>0</v>
      </c>
      <c r="S10">
        <v>0</v>
      </c>
      <c r="T10">
        <v>0</v>
      </c>
      <c r="U10">
        <v>0.22548966540249099</v>
      </c>
      <c r="V10">
        <v>239.65949323329801</v>
      </c>
      <c r="W10">
        <v>2004.32406334953</v>
      </c>
      <c r="X10">
        <v>100</v>
      </c>
      <c r="Y10">
        <v>61.000230877582403</v>
      </c>
      <c r="Z10">
        <v>192.82623813806799</v>
      </c>
      <c r="AA10">
        <v>192.82623813806799</v>
      </c>
      <c r="AB10">
        <v>55.497120316747697</v>
      </c>
      <c r="AC10">
        <v>243.50287968325199</v>
      </c>
      <c r="AD10">
        <v>6.2</v>
      </c>
      <c r="AE10">
        <v>703</v>
      </c>
      <c r="AF10">
        <v>0</v>
      </c>
      <c r="AG10">
        <v>0</v>
      </c>
      <c r="AH10">
        <v>145.869557523087</v>
      </c>
      <c r="AI10">
        <v>110.97462551415001</v>
      </c>
      <c r="AJ10">
        <v>46.256216526671501</v>
      </c>
      <c r="AK10">
        <v>118</v>
      </c>
      <c r="AL10">
        <v>771491.1</v>
      </c>
      <c r="AM10" s="1">
        <v>2.8837186640401198E-5</v>
      </c>
      <c r="AN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2018-05-15T20:43:11Z</dcterms:created>
  <dcterms:modified xsi:type="dcterms:W3CDTF">2018-05-15T21:22:19Z</dcterms:modified>
</cp:coreProperties>
</file>