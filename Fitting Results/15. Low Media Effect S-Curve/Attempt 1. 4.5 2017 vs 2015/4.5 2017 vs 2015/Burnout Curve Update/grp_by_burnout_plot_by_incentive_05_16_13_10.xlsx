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33555" windowHeight="19980"/>
  </bookViews>
  <sheets>
    <sheet name="grp_by_burnout_plot_by_incentiv" sheetId="1" r:id="rId1"/>
  </sheets>
  <calcPr calcId="0"/>
</workbook>
</file>

<file path=xl/calcChain.xml><?xml version="1.0" encoding="utf-8"?>
<calcChain xmlns="http://schemas.openxmlformats.org/spreadsheetml/2006/main">
  <c r="E71" i="1" l="1"/>
  <c r="J71" i="1" s="1"/>
  <c r="E69" i="1"/>
  <c r="J69" i="1" s="1"/>
  <c r="E66" i="1"/>
  <c r="J66" i="1" s="1"/>
  <c r="E67" i="1"/>
  <c r="J67" i="1" s="1"/>
  <c r="E65" i="1"/>
  <c r="J65" i="1" s="1"/>
  <c r="E68" i="1"/>
  <c r="J68" i="1" s="1"/>
  <c r="E70" i="1"/>
  <c r="F70" i="1" s="1"/>
  <c r="AM79" i="1"/>
  <c r="AM78" i="1"/>
  <c r="AL78" i="1"/>
  <c r="AL77" i="1"/>
  <c r="AK77" i="1"/>
  <c r="AK76" i="1"/>
  <c r="AK75" i="1"/>
  <c r="I66" i="1"/>
  <c r="I67" i="1"/>
  <c r="I68" i="1"/>
  <c r="I69" i="1"/>
  <c r="I70" i="1"/>
  <c r="I71" i="1"/>
  <c r="B66" i="1"/>
  <c r="C66" i="1"/>
  <c r="D66" i="1"/>
  <c r="B67" i="1"/>
  <c r="C67" i="1"/>
  <c r="D67" i="1"/>
  <c r="B68" i="1"/>
  <c r="C68" i="1"/>
  <c r="D68" i="1"/>
  <c r="B69" i="1"/>
  <c r="C69" i="1"/>
  <c r="D69" i="1"/>
  <c r="B70" i="1"/>
  <c r="C70" i="1"/>
  <c r="D70" i="1"/>
  <c r="B71" i="1"/>
  <c r="C71" i="1"/>
  <c r="D71" i="1"/>
  <c r="D65" i="1"/>
  <c r="C65" i="1"/>
  <c r="B65" i="1"/>
  <c r="J70" i="1" l="1"/>
  <c r="F68" i="1"/>
  <c r="F69" i="1"/>
  <c r="F67" i="1"/>
  <c r="F66" i="1"/>
  <c r="F71" i="1"/>
  <c r="F65" i="1"/>
  <c r="I65" i="1"/>
</calcChain>
</file>

<file path=xl/sharedStrings.xml><?xml version="1.0" encoding="utf-8"?>
<sst xmlns="http://schemas.openxmlformats.org/spreadsheetml/2006/main" count="70" uniqueCount="66">
  <si>
    <t>grp</t>
  </si>
  <si>
    <t>x</t>
  </si>
  <si>
    <t>actual.smm</t>
  </si>
  <si>
    <t>model.smm</t>
  </si>
  <si>
    <t>ratio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</si>
  <si>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</si>
  <si>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</si>
  <si>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</si>
  <si>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</si>
  <si>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</si>
  <si>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</si>
  <si>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</si>
  <si>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</si>
  <si>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</si>
  <si>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</si>
  <si>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</si>
  <si>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</si>
  <si>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</si>
  <si>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</si>
  <si>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</si>
  <si>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</si>
  <si>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</si>
  <si>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</si>
  <si>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</si>
  <si>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</si>
  <si>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acls</t>
  </si>
  <si>
    <t>wala</t>
  </si>
  <si>
    <t>wam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</si>
  <si>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</si>
  <si>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</si>
  <si>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</si>
  <si>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</si>
  <si>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</si>
  <si>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</si>
  <si>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</si>
  <si>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</si>
  <si>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refi_cai_mult</t>
  </si>
  <si>
    <t>refi_hpa2yr_mult</t>
  </si>
  <si>
    <t>refi_wala_mult</t>
  </si>
  <si>
    <t>refi_lomedia_incentive_mult</t>
  </si>
  <si>
    <t>refi_himedia_incentive_mult</t>
  </si>
  <si>
    <t>refi_cltv_mult</t>
  </si>
  <si>
    <t>refi_wacls_mult</t>
  </si>
  <si>
    <t>refi_fico_mult</t>
  </si>
  <si>
    <t>refi_refi_elig_pct_mult</t>
  </si>
  <si>
    <t>refi_pct_2nd_mult</t>
  </si>
  <si>
    <t>refi_pct_tpo_mult</t>
  </si>
  <si>
    <t>refi_media_effect_mult</t>
  </si>
  <si>
    <t>refi_burnout_mult</t>
  </si>
  <si>
    <t>refi_pct_inv_mult</t>
  </si>
  <si>
    <t>refi_pct_dq_mult</t>
  </si>
  <si>
    <t>refi_pct_HARPed_mult</t>
  </si>
  <si>
    <t>refi_HARP_eligible_mult</t>
  </si>
  <si>
    <t>bal</t>
  </si>
  <si>
    <t>std</t>
  </si>
  <si>
    <t>n</t>
  </si>
  <si>
    <t>Row Labels</t>
  </si>
  <si>
    <t>Bunrout</t>
  </si>
  <si>
    <t>Incentive</t>
  </si>
  <si>
    <t>act.smm</t>
  </si>
  <si>
    <t>mdl.smm</t>
  </si>
  <si>
    <t>adj</t>
  </si>
  <si>
    <t>act.crp</t>
  </si>
  <si>
    <t>mdl.cpr</t>
  </si>
  <si>
    <t>act</t>
  </si>
  <si>
    <t>mdl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</si>
</sst>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14" fillId="0" borderId="0" xfId="0" applyFont="1"/>
    <xf numFmtId="43" fontId="0" fillId="0" borderId="0" xfId="1" applyFont="1"/>
    <xf numFmtId="43" fontId="0" fillId="33" borderId="0" xfId="1" applyFont="1" applyFill="1"/>
    <xf numFmtId="0" fontId="16" fillId="34" borderId="10" xfId="0" applyFont="1" applyFill="1" applyBorder="1"/>
    <xf numFmtId="0" fontId="0" fillId="0" borderId="0" xfId="0" applyAlignment="1">
      <alignment horizontal="left"/>
    </xf>
    <xf numFmtId="43" fontId="0" fillId="0" borderId="0" xfId="0" applyNumberFormat="1"/>
    <xf numFmtId="43" fontId="0" fillId="33" borderId="0" xfId="0" applyNumberFormat="1" applyFill="1"/>
    <xf numFmtId="0" fontId="0" fillId="0" borderId="11" xfId="0" applyBorder="1"/>
    <xf numFmtId="43" fontId="0" fillId="0" borderId="11" xfId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1"/>
  <sheetViews>
    <sheetView tabSelected="1" topLeftCell="A22" workbookViewId="0">
      <selection activeCell="N71" sqref="N71"/>
    </sheetView>
  </sheetViews>
  <sheetFormatPr defaultRowHeight="15" x14ac:dyDescent="0.25"/>
  <sheetData>
    <row r="1" spans="1:5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x14ac:dyDescent="0.25">
      <c r="A2">
        <v>1</v>
      </c>
      <c r="B2">
        <v>2000</v>
      </c>
      <c r="C2">
        <v>-25</v>
      </c>
      <c r="D2">
        <v>0.35168405726825702</v>
      </c>
      <c r="E2">
        <v>0.55069506385243605</v>
      </c>
      <c r="F2">
        <v>0.63861850296608802</v>
      </c>
      <c r="G2">
        <v>0.199011006584179</v>
      </c>
      <c r="H2">
        <v>3.5802024182086903E-2</v>
      </c>
      <c r="I2">
        <v>7.7070568125126903E-3</v>
      </c>
      <c r="J2">
        <v>1.96277546262703E-2</v>
      </c>
      <c r="K2">
        <v>0.34561048269527</v>
      </c>
      <c r="L2">
        <v>0.14194774553629699</v>
      </c>
      <c r="M2">
        <v>0</v>
      </c>
      <c r="N2">
        <v>4.0421960277120403</v>
      </c>
      <c r="O2">
        <v>95.957803972288005</v>
      </c>
      <c r="P2">
        <v>51.450910314312203</v>
      </c>
      <c r="Q2">
        <v>31.6593545229398</v>
      </c>
      <c r="R2">
        <v>16.889735162748099</v>
      </c>
      <c r="S2">
        <v>0</v>
      </c>
      <c r="T2">
        <v>31.6593545229398</v>
      </c>
      <c r="U2">
        <v>0.52662443475146803</v>
      </c>
      <c r="V2">
        <v>-25</v>
      </c>
      <c r="W2">
        <v>108.931650708763</v>
      </c>
      <c r="X2">
        <v>100</v>
      </c>
      <c r="Y2">
        <v>66.972813698649603</v>
      </c>
      <c r="Z2">
        <v>305.89995529977898</v>
      </c>
      <c r="AA2">
        <v>305.08675550297397</v>
      </c>
      <c r="AB2">
        <v>19.438440194882801</v>
      </c>
      <c r="AC2">
        <v>337.86918676299501</v>
      </c>
      <c r="AD2">
        <v>3.7499566460830098</v>
      </c>
      <c r="AE2">
        <v>755.09510492919696</v>
      </c>
      <c r="AF2">
        <v>5.72814023942622</v>
      </c>
      <c r="AG2">
        <v>0</v>
      </c>
      <c r="AH2">
        <v>175.891039273068</v>
      </c>
      <c r="AI2">
        <v>113.075857977263</v>
      </c>
      <c r="AJ2">
        <v>28.246215305341099</v>
      </c>
      <c r="AK2">
        <v>-17.908181301144001</v>
      </c>
      <c r="AL2">
        <v>0.57253841493563695</v>
      </c>
      <c r="AM2">
        <v>1</v>
      </c>
      <c r="AN2">
        <v>1.0343494211147699</v>
      </c>
      <c r="AO2">
        <v>0.158466503263791</v>
      </c>
      <c r="AP2">
        <v>0.19692902780837299</v>
      </c>
      <c r="AQ2">
        <v>1</v>
      </c>
      <c r="AR2">
        <v>1.40232590754396</v>
      </c>
      <c r="AS2">
        <v>1</v>
      </c>
      <c r="AT2">
        <v>1</v>
      </c>
      <c r="AU2">
        <v>1</v>
      </c>
      <c r="AV2">
        <v>0.94</v>
      </c>
      <c r="AW2">
        <v>6.3177365033462399E-2</v>
      </c>
      <c r="AX2">
        <v>0.99489016060225299</v>
      </c>
      <c r="AY2">
        <v>1</v>
      </c>
      <c r="AZ2">
        <v>1</v>
      </c>
      <c r="BA2">
        <v>1.02396120732961</v>
      </c>
      <c r="BB2">
        <v>0.96</v>
      </c>
      <c r="BC2">
        <v>353385946.69999999</v>
      </c>
      <c r="BD2">
        <v>6.5118736967528706E-2</v>
      </c>
      <c r="BE2">
        <v>803</v>
      </c>
    </row>
    <row r="3" spans="1:57" x14ac:dyDescent="0.25">
      <c r="A3">
        <v>2</v>
      </c>
      <c r="B3">
        <v>2000</v>
      </c>
      <c r="C3">
        <v>0</v>
      </c>
      <c r="D3">
        <v>0.65927659158960294</v>
      </c>
      <c r="E3">
        <v>0.65925305119548905</v>
      </c>
      <c r="F3">
        <v>1.0000357076756401</v>
      </c>
      <c r="G3" s="1">
        <v>-2.35403941144848E-5</v>
      </c>
      <c r="H3">
        <v>3.8491546223464498E-2</v>
      </c>
      <c r="I3">
        <v>7.34505949094487E-3</v>
      </c>
      <c r="J3">
        <v>1.7436642942333502E-2</v>
      </c>
      <c r="K3">
        <v>0.41349516613934501</v>
      </c>
      <c r="L3">
        <v>0.18248463639940099</v>
      </c>
      <c r="M3">
        <v>0</v>
      </c>
      <c r="N3">
        <v>4.9995924045184603</v>
      </c>
      <c r="O3">
        <v>95.000407595481505</v>
      </c>
      <c r="P3">
        <v>38.618175735048702</v>
      </c>
      <c r="Q3">
        <v>37.236370626402298</v>
      </c>
      <c r="R3">
        <v>24.145453638549</v>
      </c>
      <c r="S3">
        <v>0</v>
      </c>
      <c r="T3">
        <v>37.236370626402298</v>
      </c>
      <c r="U3">
        <v>0.43009589879980697</v>
      </c>
      <c r="V3">
        <v>-12.575085100549099</v>
      </c>
      <c r="W3">
        <v>314.037414797856</v>
      </c>
      <c r="X3">
        <v>99.995346369485304</v>
      </c>
      <c r="Y3">
        <v>57.357003793935299</v>
      </c>
      <c r="Z3">
        <v>299.87641277153602</v>
      </c>
      <c r="AA3">
        <v>297.69675377558298</v>
      </c>
      <c r="AB3">
        <v>28.4961434391107</v>
      </c>
      <c r="AC3">
        <v>326.75811798645901</v>
      </c>
      <c r="AD3">
        <v>3.7909398753077799</v>
      </c>
      <c r="AE3">
        <v>757.65478517791701</v>
      </c>
      <c r="AF3">
        <v>6.4210385336546896</v>
      </c>
      <c r="AG3">
        <v>0</v>
      </c>
      <c r="AH3">
        <v>174.44710833157501</v>
      </c>
      <c r="AI3">
        <v>113.144845857554</v>
      </c>
      <c r="AJ3">
        <v>29.4500487570572</v>
      </c>
      <c r="AK3">
        <v>-14.1391890916055</v>
      </c>
      <c r="AL3">
        <v>0.57025156385556797</v>
      </c>
      <c r="AM3">
        <v>1</v>
      </c>
      <c r="AN3">
        <v>1.0256897575653601</v>
      </c>
      <c r="AO3">
        <v>0.20662688171687099</v>
      </c>
      <c r="AP3">
        <v>0.325045820329395</v>
      </c>
      <c r="AQ3">
        <v>1</v>
      </c>
      <c r="AR3">
        <v>1.39122744929839</v>
      </c>
      <c r="AS3">
        <v>1</v>
      </c>
      <c r="AT3">
        <v>0.99995346369485305</v>
      </c>
      <c r="AU3">
        <v>1</v>
      </c>
      <c r="AV3">
        <v>0.94</v>
      </c>
      <c r="AW3">
        <v>6.6443441770798403E-2</v>
      </c>
      <c r="AX3">
        <v>0.98480249815911303</v>
      </c>
      <c r="AY3">
        <v>1</v>
      </c>
      <c r="AZ3">
        <v>1</v>
      </c>
      <c r="BA3">
        <v>1.02202109210577</v>
      </c>
      <c r="BB3">
        <v>0.96</v>
      </c>
      <c r="BC3">
        <v>1595054482820</v>
      </c>
      <c r="BD3">
        <v>5.8354219022369799E-2</v>
      </c>
      <c r="BE3">
        <v>286646</v>
      </c>
    </row>
    <row r="4" spans="1:57" x14ac:dyDescent="0.25">
      <c r="A4">
        <v>3</v>
      </c>
      <c r="B4">
        <v>2000</v>
      </c>
      <c r="C4">
        <v>25</v>
      </c>
      <c r="D4">
        <v>0.80682362966674703</v>
      </c>
      <c r="E4">
        <v>0.72903127529643696</v>
      </c>
      <c r="F4">
        <v>1.10670647063623</v>
      </c>
      <c r="G4">
        <v>-7.7792354370310998E-2</v>
      </c>
      <c r="H4">
        <v>3.6631123425024698E-2</v>
      </c>
      <c r="I4">
        <v>9.2029051303075E-3</v>
      </c>
      <c r="J4">
        <v>2.3662503087605501E-2</v>
      </c>
      <c r="K4">
        <v>0.40044018031663597</v>
      </c>
      <c r="L4">
        <v>0.25909456333686298</v>
      </c>
      <c r="M4">
        <v>0</v>
      </c>
      <c r="N4">
        <v>5.2106794921005504</v>
      </c>
      <c r="O4">
        <v>94.789320507899404</v>
      </c>
      <c r="P4">
        <v>42.886135198460302</v>
      </c>
      <c r="Q4">
        <v>30.582557742350001</v>
      </c>
      <c r="R4">
        <v>26.5313070591897</v>
      </c>
      <c r="S4">
        <v>0</v>
      </c>
      <c r="T4">
        <v>30.582557742350001</v>
      </c>
      <c r="U4">
        <v>0.55011402415064203</v>
      </c>
      <c r="V4">
        <v>11.7425114218807</v>
      </c>
      <c r="W4">
        <v>577.47701543210303</v>
      </c>
      <c r="X4">
        <v>99.990198931311298</v>
      </c>
      <c r="Y4">
        <v>58.7419923691698</v>
      </c>
      <c r="Z4">
        <v>296.03514529341697</v>
      </c>
      <c r="AA4">
        <v>293.85907294156698</v>
      </c>
      <c r="AB4">
        <v>27.211726025783101</v>
      </c>
      <c r="AC4">
        <v>328.34411601111998</v>
      </c>
      <c r="AD4">
        <v>4.0098897050368398</v>
      </c>
      <c r="AE4">
        <v>752.34203502510002</v>
      </c>
      <c r="AF4">
        <v>6.4958721509746002</v>
      </c>
      <c r="AG4">
        <v>0</v>
      </c>
      <c r="AH4">
        <v>174.429114063176</v>
      </c>
      <c r="AI4">
        <v>113.185649602231</v>
      </c>
      <c r="AJ4">
        <v>30.871865451266</v>
      </c>
      <c r="AK4">
        <v>-7.3379038894215798</v>
      </c>
      <c r="AL4">
        <v>0.57019270259397403</v>
      </c>
      <c r="AM4">
        <v>1</v>
      </c>
      <c r="AN4">
        <v>0.97535310227903005</v>
      </c>
      <c r="AO4">
        <v>0.29983651049086901</v>
      </c>
      <c r="AP4">
        <v>0.72865890561457403</v>
      </c>
      <c r="AQ4">
        <v>1</v>
      </c>
      <c r="AR4">
        <v>1.38251424909108</v>
      </c>
      <c r="AS4">
        <v>1</v>
      </c>
      <c r="AT4">
        <v>0.99990198931311303</v>
      </c>
      <c r="AU4">
        <v>1</v>
      </c>
      <c r="AV4">
        <v>0.94</v>
      </c>
      <c r="AW4">
        <v>6.9207821338824096E-2</v>
      </c>
      <c r="AX4">
        <v>0.97122146914048701</v>
      </c>
      <c r="AY4">
        <v>1</v>
      </c>
      <c r="AZ4">
        <v>1</v>
      </c>
      <c r="BA4">
        <v>1.02181155797727</v>
      </c>
      <c r="BB4">
        <v>0.96</v>
      </c>
      <c r="BC4">
        <v>1310049016487.8999</v>
      </c>
      <c r="BD4">
        <v>6.4529433740401501E-2</v>
      </c>
      <c r="BE4">
        <v>300840</v>
      </c>
    </row>
    <row r="5" spans="1:57" x14ac:dyDescent="0.25">
      <c r="A5">
        <v>4</v>
      </c>
      <c r="B5">
        <v>2000</v>
      </c>
      <c r="C5">
        <v>50</v>
      </c>
      <c r="D5">
        <v>1.04204180275915</v>
      </c>
      <c r="E5">
        <v>0.88570298766172695</v>
      </c>
      <c r="F5">
        <v>1.17651381701913</v>
      </c>
      <c r="G5">
        <v>-0.15633881509742301</v>
      </c>
      <c r="H5">
        <v>3.48175729339541E-2</v>
      </c>
      <c r="I5">
        <v>1.1271104931026499E-2</v>
      </c>
      <c r="J5">
        <v>3.2274607989411903E-2</v>
      </c>
      <c r="K5">
        <v>0.38819296348419702</v>
      </c>
      <c r="L5">
        <v>0.41914673832313798</v>
      </c>
      <c r="M5">
        <v>0</v>
      </c>
      <c r="N5">
        <v>5.0609170776090204</v>
      </c>
      <c r="O5">
        <v>94.939082922390995</v>
      </c>
      <c r="P5">
        <v>44.261544377105999</v>
      </c>
      <c r="Q5">
        <v>23.5839596444644</v>
      </c>
      <c r="R5">
        <v>32.154495978429601</v>
      </c>
      <c r="S5">
        <v>0</v>
      </c>
      <c r="T5">
        <v>23.5839596444644</v>
      </c>
      <c r="U5">
        <v>0.70811911443069298</v>
      </c>
      <c r="V5">
        <v>35.667540893234097</v>
      </c>
      <c r="W5">
        <v>810.38218077312501</v>
      </c>
      <c r="X5">
        <v>99.977611791101694</v>
      </c>
      <c r="Y5">
        <v>60.7194479970562</v>
      </c>
      <c r="Z5">
        <v>293.87232277481598</v>
      </c>
      <c r="AA5">
        <v>291.70536650804598</v>
      </c>
      <c r="AB5">
        <v>23.101139987939899</v>
      </c>
      <c r="AC5">
        <v>333.000551463276</v>
      </c>
      <c r="AD5">
        <v>4.2273566908564897</v>
      </c>
      <c r="AE5">
        <v>743.82905049469798</v>
      </c>
      <c r="AF5">
        <v>6.4078022228598996</v>
      </c>
      <c r="AG5">
        <v>0</v>
      </c>
      <c r="AH5">
        <v>174.592508590563</v>
      </c>
      <c r="AI5">
        <v>113.234792573063</v>
      </c>
      <c r="AJ5">
        <v>32.357616705532202</v>
      </c>
      <c r="AK5">
        <v>2.1571660635591599</v>
      </c>
      <c r="AL5">
        <v>0.57040547010646203</v>
      </c>
      <c r="AM5">
        <v>1</v>
      </c>
      <c r="AN5">
        <v>0.95827643278961205</v>
      </c>
      <c r="AO5">
        <v>0.49082053925141</v>
      </c>
      <c r="AP5">
        <v>1.37194983145395</v>
      </c>
      <c r="AQ5">
        <v>1</v>
      </c>
      <c r="AR5">
        <v>1.3772837827517601</v>
      </c>
      <c r="AS5">
        <v>1</v>
      </c>
      <c r="AT5">
        <v>0.99977611791101695</v>
      </c>
      <c r="AU5">
        <v>1</v>
      </c>
      <c r="AV5">
        <v>0.94</v>
      </c>
      <c r="AW5">
        <v>7.25042659971121E-2</v>
      </c>
      <c r="AX5">
        <v>0.957504948111077</v>
      </c>
      <c r="AY5">
        <v>1</v>
      </c>
      <c r="AZ5">
        <v>1</v>
      </c>
      <c r="BA5">
        <v>1.0220581537759901</v>
      </c>
      <c r="BB5">
        <v>0.96</v>
      </c>
      <c r="BC5">
        <v>759065133340.40002</v>
      </c>
      <c r="BD5">
        <v>7.3819399607716996E-2</v>
      </c>
      <c r="BE5">
        <v>219135</v>
      </c>
    </row>
    <row r="6" spans="1:57" x14ac:dyDescent="0.25">
      <c r="A6">
        <v>5</v>
      </c>
      <c r="B6">
        <v>2000</v>
      </c>
      <c r="C6">
        <v>75</v>
      </c>
      <c r="D6">
        <v>1.39191880423355</v>
      </c>
      <c r="E6">
        <v>1.20255444720594</v>
      </c>
      <c r="F6">
        <v>1.15746842687047</v>
      </c>
      <c r="G6">
        <v>-0.18936435702761001</v>
      </c>
      <c r="H6">
        <v>3.3585765749606498E-2</v>
      </c>
      <c r="I6">
        <v>1.4727821479196899E-2</v>
      </c>
      <c r="J6">
        <v>5.4345188285404099E-2</v>
      </c>
      <c r="K6">
        <v>0.37406341581078401</v>
      </c>
      <c r="L6">
        <v>0.72583225588095002</v>
      </c>
      <c r="M6">
        <v>0</v>
      </c>
      <c r="N6">
        <v>4.0200440264830597</v>
      </c>
      <c r="O6">
        <v>95.979955973516894</v>
      </c>
      <c r="P6">
        <v>35.0602732060918</v>
      </c>
      <c r="Q6">
        <v>20.1578666441632</v>
      </c>
      <c r="R6">
        <v>44.781860149745</v>
      </c>
      <c r="S6">
        <v>0</v>
      </c>
      <c r="T6">
        <v>20.1578666441632</v>
      </c>
      <c r="U6">
        <v>1.0169283075208</v>
      </c>
      <c r="V6">
        <v>59.040867844687803</v>
      </c>
      <c r="W6">
        <v>882.74746023593002</v>
      </c>
      <c r="X6">
        <v>99.9281419879472</v>
      </c>
      <c r="Y6">
        <v>62.763461571160398</v>
      </c>
      <c r="Z6">
        <v>291.943085806017</v>
      </c>
      <c r="AA6">
        <v>289.91381500120502</v>
      </c>
      <c r="AB6">
        <v>18.472780126640298</v>
      </c>
      <c r="AC6">
        <v>338.41596675814998</v>
      </c>
      <c r="AD6">
        <v>4.4686097191118996</v>
      </c>
      <c r="AE6">
        <v>724.84504000777599</v>
      </c>
      <c r="AF6">
        <v>8.3032773365865609</v>
      </c>
      <c r="AG6">
        <v>0</v>
      </c>
      <c r="AH6">
        <v>174.78316893928999</v>
      </c>
      <c r="AI6">
        <v>113.27330635403</v>
      </c>
      <c r="AJ6">
        <v>33.512288073827797</v>
      </c>
      <c r="AK6">
        <v>21.649029840684602</v>
      </c>
      <c r="AL6">
        <v>0.57067275248812299</v>
      </c>
      <c r="AM6">
        <v>1</v>
      </c>
      <c r="AN6">
        <v>0.94302647069575496</v>
      </c>
      <c r="AO6">
        <v>0.88707982836620103</v>
      </c>
      <c r="AP6">
        <v>2.2859452756550298</v>
      </c>
      <c r="AQ6">
        <v>1</v>
      </c>
      <c r="AR6">
        <v>1.37224512265072</v>
      </c>
      <c r="AS6">
        <v>1</v>
      </c>
      <c r="AT6">
        <v>0.99928141987947094</v>
      </c>
      <c r="AU6">
        <v>1</v>
      </c>
      <c r="AV6">
        <v>0.94</v>
      </c>
      <c r="AW6">
        <v>7.5705131492781505E-2</v>
      </c>
      <c r="AX6">
        <v>0.95189102485228105</v>
      </c>
      <c r="AY6">
        <v>1</v>
      </c>
      <c r="AZ6">
        <v>1</v>
      </c>
      <c r="BA6">
        <v>1.01675082345756</v>
      </c>
      <c r="BB6">
        <v>0.96</v>
      </c>
      <c r="BC6">
        <v>216814827663.10001</v>
      </c>
      <c r="BD6">
        <v>8.4954162772425498E-2</v>
      </c>
      <c r="BE6">
        <v>99897</v>
      </c>
    </row>
    <row r="7" spans="1:57" x14ac:dyDescent="0.25">
      <c r="A7">
        <v>6</v>
      </c>
      <c r="B7">
        <v>2000</v>
      </c>
      <c r="C7">
        <v>100</v>
      </c>
      <c r="D7">
        <v>1.9104171306247499</v>
      </c>
      <c r="E7">
        <v>1.51782994079022</v>
      </c>
      <c r="F7">
        <v>1.25865031337446</v>
      </c>
      <c r="G7">
        <v>-0.392587189834531</v>
      </c>
      <c r="H7">
        <v>3.2307282379156102E-2</v>
      </c>
      <c r="I7">
        <v>1.7638144823520399E-2</v>
      </c>
      <c r="J7">
        <v>9.4273699224838595E-2</v>
      </c>
      <c r="K7">
        <v>0.35764945036853402</v>
      </c>
      <c r="L7">
        <v>1.01596136399417</v>
      </c>
      <c r="M7">
        <v>0</v>
      </c>
      <c r="N7">
        <v>2.7923168933585498</v>
      </c>
      <c r="O7">
        <v>97.207683106641497</v>
      </c>
      <c r="P7">
        <v>19.321571161614699</v>
      </c>
      <c r="Q7">
        <v>19.864457075296301</v>
      </c>
      <c r="R7">
        <v>60.8139717630891</v>
      </c>
      <c r="S7">
        <v>0</v>
      </c>
      <c r="T7">
        <v>19.864457075296301</v>
      </c>
      <c r="U7">
        <v>1.3818328162962099</v>
      </c>
      <c r="V7">
        <v>83.572882750851505</v>
      </c>
      <c r="W7">
        <v>833.15378866939</v>
      </c>
      <c r="X7">
        <v>99.647358481400602</v>
      </c>
      <c r="Y7">
        <v>64.330704505716</v>
      </c>
      <c r="Z7">
        <v>288.562934132892</v>
      </c>
      <c r="AA7">
        <v>286.89305670486101</v>
      </c>
      <c r="AB7">
        <v>13.7028019170971</v>
      </c>
      <c r="AC7">
        <v>343.67497736976298</v>
      </c>
      <c r="AD7">
        <v>4.7582126104261704</v>
      </c>
      <c r="AE7">
        <v>700.31015222997598</v>
      </c>
      <c r="AF7">
        <v>13.6736046003324</v>
      </c>
      <c r="AG7">
        <v>0</v>
      </c>
      <c r="AH7">
        <v>174.946573191103</v>
      </c>
      <c r="AI7">
        <v>113.287160183852</v>
      </c>
      <c r="AJ7">
        <v>33.916078192858897</v>
      </c>
      <c r="AK7">
        <v>51.121979297320898</v>
      </c>
      <c r="AL7">
        <v>0.57091617599972</v>
      </c>
      <c r="AM7">
        <v>1</v>
      </c>
      <c r="AN7">
        <v>0.92546181881296197</v>
      </c>
      <c r="AO7">
        <v>1.29764852641906</v>
      </c>
      <c r="AP7">
        <v>3.2592410468389201</v>
      </c>
      <c r="AQ7">
        <v>1</v>
      </c>
      <c r="AR7">
        <v>1.3633319802527499</v>
      </c>
      <c r="AS7">
        <v>1</v>
      </c>
      <c r="AT7">
        <v>0.99647358481400605</v>
      </c>
      <c r="AU7">
        <v>1</v>
      </c>
      <c r="AV7">
        <v>0.94</v>
      </c>
      <c r="AW7">
        <v>7.6804799019451198E-2</v>
      </c>
      <c r="AX7">
        <v>0.95514246103623501</v>
      </c>
      <c r="AY7">
        <v>1</v>
      </c>
      <c r="AZ7">
        <v>1</v>
      </c>
      <c r="BA7">
        <v>1.0017139071190699</v>
      </c>
      <c r="BB7">
        <v>0.96</v>
      </c>
      <c r="BC7">
        <v>35510632978.599998</v>
      </c>
      <c r="BD7">
        <v>0.109014626107879</v>
      </c>
      <c r="BE7">
        <v>35344</v>
      </c>
    </row>
    <row r="8" spans="1:57" x14ac:dyDescent="0.25">
      <c r="A8">
        <v>7</v>
      </c>
      <c r="B8">
        <v>2000</v>
      </c>
      <c r="C8">
        <v>125</v>
      </c>
      <c r="D8">
        <v>2.2762691320587698</v>
      </c>
      <c r="E8">
        <v>1.46787785405128</v>
      </c>
      <c r="F8">
        <v>1.55072108062423</v>
      </c>
      <c r="G8">
        <v>-0.808391278007493</v>
      </c>
      <c r="H8">
        <v>3.0215750684026401E-2</v>
      </c>
      <c r="I8">
        <v>1.51003799793653E-2</v>
      </c>
      <c r="J8">
        <v>6.8148804345827901E-2</v>
      </c>
      <c r="K8">
        <v>0.303398844878077</v>
      </c>
      <c r="L8">
        <v>1.05101407416399</v>
      </c>
      <c r="M8">
        <v>0</v>
      </c>
      <c r="N8">
        <v>3.4067091307528301</v>
      </c>
      <c r="O8">
        <v>96.593290869247198</v>
      </c>
      <c r="P8">
        <v>14.648251898476</v>
      </c>
      <c r="Q8">
        <v>20.009934882895401</v>
      </c>
      <c r="R8">
        <v>65.341813218628602</v>
      </c>
      <c r="S8">
        <v>0</v>
      </c>
      <c r="T8">
        <v>20.009934882895401</v>
      </c>
      <c r="U8">
        <v>1.3827170199487699</v>
      </c>
      <c r="V8">
        <v>108.303672575734</v>
      </c>
      <c r="W8">
        <v>672.83215324289699</v>
      </c>
      <c r="X8">
        <v>98.168782717936196</v>
      </c>
      <c r="Y8">
        <v>65.881857735675695</v>
      </c>
      <c r="Z8">
        <v>285.38390264973202</v>
      </c>
      <c r="AA8">
        <v>284.293909188312</v>
      </c>
      <c r="AB8">
        <v>10.3714435554226</v>
      </c>
      <c r="AC8">
        <v>346.88164569503198</v>
      </c>
      <c r="AD8">
        <v>5.0657906287509302</v>
      </c>
      <c r="AE8">
        <v>689.56164671862996</v>
      </c>
      <c r="AF8">
        <v>16.404798349109502</v>
      </c>
      <c r="AG8">
        <v>0</v>
      </c>
      <c r="AH8">
        <v>175.06457594212901</v>
      </c>
      <c r="AI8">
        <v>113.288673918591</v>
      </c>
      <c r="AJ8">
        <v>33.976678742532798</v>
      </c>
      <c r="AK8">
        <v>78.586363463076395</v>
      </c>
      <c r="AL8">
        <v>0.57110042622151103</v>
      </c>
      <c r="AM8">
        <v>1</v>
      </c>
      <c r="AN8">
        <v>0.85154578030308103</v>
      </c>
      <c r="AO8">
        <v>1.4727401833748801</v>
      </c>
      <c r="AP8">
        <v>3.9355483091949899</v>
      </c>
      <c r="AQ8">
        <v>1</v>
      </c>
      <c r="AR8">
        <v>1.3537546378190499</v>
      </c>
      <c r="AS8">
        <v>1</v>
      </c>
      <c r="AT8">
        <v>0.98168782717936198</v>
      </c>
      <c r="AU8">
        <v>1</v>
      </c>
      <c r="AV8">
        <v>0.94</v>
      </c>
      <c r="AW8">
        <v>7.7130418470664097E-2</v>
      </c>
      <c r="AX8">
        <v>0.96529988784818599</v>
      </c>
      <c r="AY8">
        <v>1</v>
      </c>
      <c r="AZ8">
        <v>1</v>
      </c>
      <c r="BA8">
        <v>0.99406656462249299</v>
      </c>
      <c r="BB8">
        <v>0.96</v>
      </c>
      <c r="BC8">
        <v>4354119163.3000002</v>
      </c>
      <c r="BD8">
        <v>0.13427241710761101</v>
      </c>
      <c r="BE8">
        <v>8858</v>
      </c>
    </row>
    <row r="9" spans="1:57" x14ac:dyDescent="0.25">
      <c r="A9">
        <v>8</v>
      </c>
      <c r="B9">
        <v>2000</v>
      </c>
      <c r="C9">
        <v>150</v>
      </c>
      <c r="D9">
        <v>4.5112662898248503</v>
      </c>
      <c r="E9">
        <v>1.3078515980402601</v>
      </c>
      <c r="F9">
        <v>3.4493716998050301</v>
      </c>
      <c r="G9">
        <v>-3.20341469178459</v>
      </c>
      <c r="H9">
        <v>3.00656225108871E-2</v>
      </c>
      <c r="I9">
        <v>2.0993508062123301E-2</v>
      </c>
      <c r="J9">
        <v>2.2214341923510399E-2</v>
      </c>
      <c r="K9">
        <v>0.30196092833264099</v>
      </c>
      <c r="L9">
        <v>0.93261719721109704</v>
      </c>
      <c r="M9">
        <v>0</v>
      </c>
      <c r="N9">
        <v>6.1221385461444697</v>
      </c>
      <c r="O9">
        <v>93.877861453855502</v>
      </c>
      <c r="P9">
        <v>15.0951240973447</v>
      </c>
      <c r="Q9">
        <v>24.741037889345201</v>
      </c>
      <c r="R9">
        <v>60.163838013310198</v>
      </c>
      <c r="S9">
        <v>0</v>
      </c>
      <c r="T9">
        <v>24.741037889345201</v>
      </c>
      <c r="U9">
        <v>1.56110020222924</v>
      </c>
      <c r="V9">
        <v>134.238279485416</v>
      </c>
      <c r="W9">
        <v>521.62241036706803</v>
      </c>
      <c r="X9">
        <v>91.247963568802703</v>
      </c>
      <c r="Y9">
        <v>65.293466295954502</v>
      </c>
      <c r="Z9">
        <v>281.60964066725899</v>
      </c>
      <c r="AA9">
        <v>281.09647299763799</v>
      </c>
      <c r="AB9">
        <v>14.053673349521601</v>
      </c>
      <c r="AC9">
        <v>341.53801994938198</v>
      </c>
      <c r="AD9">
        <v>5.3392087452593104</v>
      </c>
      <c r="AE9">
        <v>683.72869360476898</v>
      </c>
      <c r="AF9">
        <v>21.964144633817298</v>
      </c>
      <c r="AG9">
        <v>0</v>
      </c>
      <c r="AH9">
        <v>175.02731386310899</v>
      </c>
      <c r="AI9">
        <v>113.284141127564</v>
      </c>
      <c r="AJ9">
        <v>33.788034374501898</v>
      </c>
      <c r="AK9">
        <v>100.097949054165</v>
      </c>
      <c r="AL9">
        <v>0.57104401197087096</v>
      </c>
      <c r="AM9">
        <v>1</v>
      </c>
      <c r="AN9">
        <v>0.78363396012411202</v>
      </c>
      <c r="AO9">
        <v>1.55018565334837</v>
      </c>
      <c r="AP9">
        <v>4.4433068106872096</v>
      </c>
      <c r="AQ9">
        <v>1</v>
      </c>
      <c r="AR9">
        <v>1.34353133845001</v>
      </c>
      <c r="AS9">
        <v>1</v>
      </c>
      <c r="AT9">
        <v>0.91247963568802704</v>
      </c>
      <c r="AU9">
        <v>1</v>
      </c>
      <c r="AV9">
        <v>0.94</v>
      </c>
      <c r="AW9">
        <v>7.6329229097366905E-2</v>
      </c>
      <c r="AX9">
        <v>0.97445048785927502</v>
      </c>
      <c r="AY9">
        <v>1</v>
      </c>
      <c r="AZ9">
        <v>1</v>
      </c>
      <c r="BA9">
        <v>0.97850039502531205</v>
      </c>
      <c r="BB9">
        <v>0.96</v>
      </c>
      <c r="BC9">
        <v>636971127.10000002</v>
      </c>
      <c r="BD9">
        <v>0.193351976732167</v>
      </c>
      <c r="BE9">
        <v>1966</v>
      </c>
    </row>
    <row r="10" spans="1:57" x14ac:dyDescent="0.25">
      <c r="A10">
        <v>9</v>
      </c>
      <c r="B10">
        <v>2000</v>
      </c>
      <c r="C10">
        <v>175</v>
      </c>
      <c r="D10">
        <v>5.6875557306711499</v>
      </c>
      <c r="E10">
        <v>1.4090635203856099</v>
      </c>
      <c r="F10">
        <v>4.0364083296363296</v>
      </c>
      <c r="G10">
        <v>-4.2784922102855401</v>
      </c>
      <c r="H10">
        <v>3.8973605829368402E-2</v>
      </c>
      <c r="I10">
        <v>2.1577022029931298E-2</v>
      </c>
      <c r="J10">
        <v>1.58332010960332E-2</v>
      </c>
      <c r="K10">
        <v>0.41162690343541702</v>
      </c>
      <c r="L10">
        <v>0.92105278799485601</v>
      </c>
      <c r="M10">
        <v>0</v>
      </c>
      <c r="N10">
        <v>10.2969134738787</v>
      </c>
      <c r="O10">
        <v>89.703086526121297</v>
      </c>
      <c r="P10">
        <v>28.7730394908424</v>
      </c>
      <c r="Q10">
        <v>30.317452329549401</v>
      </c>
      <c r="R10">
        <v>40.909508179608203</v>
      </c>
      <c r="S10">
        <v>0</v>
      </c>
      <c r="T10">
        <v>30.317452329549401</v>
      </c>
      <c r="U10">
        <v>1.22417436514457</v>
      </c>
      <c r="V10">
        <v>157.88923710889</v>
      </c>
      <c r="W10">
        <v>568.73044570162801</v>
      </c>
      <c r="X10">
        <v>79.843426246662702</v>
      </c>
      <c r="Y10">
        <v>54.981819114823203</v>
      </c>
      <c r="Z10">
        <v>280.395506080426</v>
      </c>
      <c r="AA10">
        <v>280.36627495838599</v>
      </c>
      <c r="AB10">
        <v>32.0494516505468</v>
      </c>
      <c r="AC10">
        <v>316.11217946134298</v>
      </c>
      <c r="AD10">
        <v>5.4450069436190596</v>
      </c>
      <c r="AE10">
        <v>694.79810049443404</v>
      </c>
      <c r="AF10">
        <v>28.466028636763699</v>
      </c>
      <c r="AG10">
        <v>0</v>
      </c>
      <c r="AH10">
        <v>174.75277955123201</v>
      </c>
      <c r="AI10">
        <v>113.286472830066</v>
      </c>
      <c r="AJ10">
        <v>33.979438032634803</v>
      </c>
      <c r="AK10">
        <v>92.797161646835207</v>
      </c>
      <c r="AL10">
        <v>0.57062859132143595</v>
      </c>
      <c r="AM10">
        <v>1</v>
      </c>
      <c r="AN10">
        <v>0.87965356675075101</v>
      </c>
      <c r="AO10">
        <v>1.5820523280714001</v>
      </c>
      <c r="AP10">
        <v>4.7697495935277301</v>
      </c>
      <c r="AQ10">
        <v>1</v>
      </c>
      <c r="AR10">
        <v>1.3356050797257</v>
      </c>
      <c r="AS10">
        <v>1</v>
      </c>
      <c r="AT10">
        <v>0.79843426246662696</v>
      </c>
      <c r="AU10">
        <v>1</v>
      </c>
      <c r="AV10">
        <v>0.94</v>
      </c>
      <c r="AW10">
        <v>7.7773617464988606E-2</v>
      </c>
      <c r="AX10">
        <v>0.97158671424501897</v>
      </c>
      <c r="AY10">
        <v>1</v>
      </c>
      <c r="AZ10">
        <v>1</v>
      </c>
      <c r="BA10">
        <v>0.96029511981706195</v>
      </c>
      <c r="BB10">
        <v>0.96</v>
      </c>
      <c r="BC10">
        <v>66217126.299999997</v>
      </c>
      <c r="BD10">
        <v>0.20096041296773501</v>
      </c>
      <c r="BE10">
        <v>252</v>
      </c>
    </row>
    <row r="11" spans="1:57" x14ac:dyDescent="0.25">
      <c r="A11">
        <v>10</v>
      </c>
      <c r="B11">
        <v>2000</v>
      </c>
      <c r="C11">
        <v>200</v>
      </c>
      <c r="D11">
        <v>7.3709609739318598</v>
      </c>
      <c r="E11">
        <v>1.6413324091171999</v>
      </c>
      <c r="F11">
        <v>4.4908398402346501</v>
      </c>
      <c r="G11">
        <v>-5.7296285648146599</v>
      </c>
      <c r="H11">
        <v>4.9646321810928297E-2</v>
      </c>
      <c r="I11">
        <v>4.3844290199281703E-2</v>
      </c>
      <c r="J11">
        <v>2.74630052375796E-2</v>
      </c>
      <c r="K11">
        <v>0.55962595789592096</v>
      </c>
      <c r="L11">
        <v>0.96075283397349298</v>
      </c>
      <c r="M11">
        <v>0</v>
      </c>
      <c r="N11">
        <v>12.8114141367216</v>
      </c>
      <c r="O11">
        <v>87.188585863278405</v>
      </c>
      <c r="P11">
        <v>48.4914805741344</v>
      </c>
      <c r="Q11">
        <v>30.5617067904812</v>
      </c>
      <c r="R11">
        <v>20.9468126353845</v>
      </c>
      <c r="S11">
        <v>0</v>
      </c>
      <c r="T11">
        <v>30.5617067904812</v>
      </c>
      <c r="U11">
        <v>2.0716604072198099</v>
      </c>
      <c r="V11">
        <v>185.480748474639</v>
      </c>
      <c r="W11">
        <v>569.02247295914901</v>
      </c>
      <c r="X11">
        <v>70.924190950458396</v>
      </c>
      <c r="Y11">
        <v>50.7961918015164</v>
      </c>
      <c r="Z11">
        <v>284.65139524211401</v>
      </c>
      <c r="AA11">
        <v>284.65139524211401</v>
      </c>
      <c r="AB11">
        <v>55.643322547976901</v>
      </c>
      <c r="AC11">
        <v>280.06620695006399</v>
      </c>
      <c r="AD11">
        <v>5.6947901268903003</v>
      </c>
      <c r="AE11">
        <v>683.63475263178998</v>
      </c>
      <c r="AF11">
        <v>29.8479843039446</v>
      </c>
      <c r="AG11">
        <v>0</v>
      </c>
      <c r="AH11">
        <v>174.24950104525001</v>
      </c>
      <c r="AI11">
        <v>113.27417641079801</v>
      </c>
      <c r="AJ11">
        <v>33.4352414390655</v>
      </c>
      <c r="AK11">
        <v>109.699895198318</v>
      </c>
      <c r="AL11">
        <v>0.5698474061212</v>
      </c>
      <c r="AM11">
        <v>1</v>
      </c>
      <c r="AN11">
        <v>0.99239674428492797</v>
      </c>
      <c r="AO11">
        <v>1.59376524066196</v>
      </c>
      <c r="AP11">
        <v>4.9962804960326599</v>
      </c>
      <c r="AQ11">
        <v>1</v>
      </c>
      <c r="AR11">
        <v>1.34979957361929</v>
      </c>
      <c r="AS11">
        <v>1</v>
      </c>
      <c r="AT11">
        <v>0.70924190950458399</v>
      </c>
      <c r="AU11">
        <v>1</v>
      </c>
      <c r="AV11">
        <v>0.94</v>
      </c>
      <c r="AW11">
        <v>7.52902740272786E-2</v>
      </c>
      <c r="AX11">
        <v>0.97084287691114601</v>
      </c>
      <c r="AY11">
        <v>1</v>
      </c>
      <c r="AZ11">
        <v>1</v>
      </c>
      <c r="BA11">
        <v>0.95642564394895502</v>
      </c>
      <c r="BB11">
        <v>0.96</v>
      </c>
      <c r="BC11">
        <v>17911353.699999999</v>
      </c>
      <c r="BD11">
        <v>0.23698115706918299</v>
      </c>
      <c r="BE11">
        <v>68</v>
      </c>
    </row>
    <row r="12" spans="1:57" x14ac:dyDescent="0.25">
      <c r="A12">
        <v>11</v>
      </c>
      <c r="B12">
        <v>2000</v>
      </c>
      <c r="C12">
        <v>225</v>
      </c>
      <c r="D12">
        <v>3.3354819053649697E-2</v>
      </c>
      <c r="E12">
        <v>1.9471013907683701</v>
      </c>
      <c r="F12">
        <v>1.7130499321602901E-2</v>
      </c>
      <c r="G12">
        <v>1.91374657171472</v>
      </c>
      <c r="H12">
        <v>5.9050066298868498E-2</v>
      </c>
      <c r="I12">
        <v>9.9328638269023897E-2</v>
      </c>
      <c r="J12">
        <v>8.83297103050536E-4</v>
      </c>
      <c r="K12">
        <v>0.72107023912030399</v>
      </c>
      <c r="L12">
        <v>1.0667691499771199</v>
      </c>
      <c r="M12">
        <v>0</v>
      </c>
      <c r="N12">
        <v>0</v>
      </c>
      <c r="O12">
        <v>100</v>
      </c>
      <c r="P12">
        <v>28.956526927123999</v>
      </c>
      <c r="Q12">
        <v>26.383275086420401</v>
      </c>
      <c r="R12">
        <v>44.6601979864556</v>
      </c>
      <c r="S12">
        <v>0</v>
      </c>
      <c r="T12">
        <v>26.383275086420401</v>
      </c>
      <c r="U12">
        <v>3.26880505013319</v>
      </c>
      <c r="V12">
        <v>204.455397304613</v>
      </c>
      <c r="W12">
        <v>1294.9189618221901</v>
      </c>
      <c r="X12">
        <v>73.616724913579603</v>
      </c>
      <c r="Y12">
        <v>42.345812893047501</v>
      </c>
      <c r="Z12">
        <v>251.64310639390101</v>
      </c>
      <c r="AA12">
        <v>251.64310639390101</v>
      </c>
      <c r="AB12">
        <v>78.460661652868097</v>
      </c>
      <c r="AC12">
        <v>227.80167485259599</v>
      </c>
      <c r="AD12">
        <v>5.8</v>
      </c>
      <c r="AE12">
        <v>706.20308379948699</v>
      </c>
      <c r="AF12">
        <v>26.383275086420401</v>
      </c>
      <c r="AG12">
        <v>0</v>
      </c>
      <c r="AH12">
        <v>173.34851862801699</v>
      </c>
      <c r="AI12">
        <v>113.289517497665</v>
      </c>
      <c r="AJ12">
        <v>33.550850469895501</v>
      </c>
      <c r="AK12">
        <v>90.533098396678596</v>
      </c>
      <c r="AL12">
        <v>0.56840935040965701</v>
      </c>
      <c r="AM12">
        <v>1</v>
      </c>
      <c r="AN12">
        <v>1.08</v>
      </c>
      <c r="AO12">
        <v>1.59627164663414</v>
      </c>
      <c r="AP12">
        <v>5.0563982293650103</v>
      </c>
      <c r="AQ12">
        <v>1</v>
      </c>
      <c r="AR12">
        <v>1.27592039752687</v>
      </c>
      <c r="AS12">
        <v>1</v>
      </c>
      <c r="AT12">
        <v>0.73616724913579601</v>
      </c>
      <c r="AU12">
        <v>1</v>
      </c>
      <c r="AV12">
        <v>0.94</v>
      </c>
      <c r="AW12">
        <v>7.45026244284204E-2</v>
      </c>
      <c r="AX12">
        <v>0.92414758604522895</v>
      </c>
      <c r="AY12">
        <v>1</v>
      </c>
      <c r="AZ12">
        <v>1</v>
      </c>
      <c r="BA12">
        <v>0.966126829758023</v>
      </c>
      <c r="BB12">
        <v>0.96</v>
      </c>
      <c r="BC12">
        <v>1426370.3</v>
      </c>
      <c r="BD12">
        <v>3.85857357063462E-4</v>
      </c>
      <c r="BE12">
        <v>6</v>
      </c>
    </row>
    <row r="13" spans="1:57" x14ac:dyDescent="0.25">
      <c r="A13">
        <v>12</v>
      </c>
      <c r="B13">
        <v>4000</v>
      </c>
      <c r="C13">
        <v>0</v>
      </c>
      <c r="D13">
        <v>0.92298942070842105</v>
      </c>
      <c r="E13">
        <v>0.81607263181325096</v>
      </c>
      <c r="F13">
        <v>1.1310138151032101</v>
      </c>
      <c r="G13">
        <v>-0.10691678889517001</v>
      </c>
      <c r="H13">
        <v>5.6283284036119298E-2</v>
      </c>
      <c r="I13">
        <v>1.7936375176619199E-2</v>
      </c>
      <c r="J13">
        <v>1.6110407271248101E-2</v>
      </c>
      <c r="K13">
        <v>0.56492429200957905</v>
      </c>
      <c r="L13">
        <v>0.16081827331968501</v>
      </c>
      <c r="M13">
        <v>0</v>
      </c>
      <c r="N13">
        <v>6.0343180427908596</v>
      </c>
      <c r="O13">
        <v>93.9656819572091</v>
      </c>
      <c r="P13">
        <v>27.017085905136899</v>
      </c>
      <c r="Q13">
        <v>49.685829918582698</v>
      </c>
      <c r="R13">
        <v>23.2970841762803</v>
      </c>
      <c r="S13">
        <v>0</v>
      </c>
      <c r="T13">
        <v>49.685829918582698</v>
      </c>
      <c r="U13">
        <v>0.71618220138575694</v>
      </c>
      <c r="V13">
        <v>-8.1517593046035497</v>
      </c>
      <c r="W13">
        <v>2680.0450548711101</v>
      </c>
      <c r="X13">
        <v>100</v>
      </c>
      <c r="Y13">
        <v>41.375313424187098</v>
      </c>
      <c r="Z13">
        <v>275.126035439774</v>
      </c>
      <c r="AA13">
        <v>273.15166995894299</v>
      </c>
      <c r="AB13">
        <v>72.215089584366098</v>
      </c>
      <c r="AC13">
        <v>278.71086710352301</v>
      </c>
      <c r="AD13">
        <v>4.1759522748501796</v>
      </c>
      <c r="AE13">
        <v>764.07389014505304</v>
      </c>
      <c r="AF13">
        <v>15.93743072461</v>
      </c>
      <c r="AG13">
        <v>0</v>
      </c>
      <c r="AH13">
        <v>179.49428667413301</v>
      </c>
      <c r="AI13">
        <v>112.801295150019</v>
      </c>
      <c r="AJ13">
        <v>14.5825419842849</v>
      </c>
      <c r="AK13">
        <v>-14.0030336311938</v>
      </c>
      <c r="AL13">
        <v>0.57829183593084599</v>
      </c>
      <c r="AM13">
        <v>1</v>
      </c>
      <c r="AN13">
        <v>1.08</v>
      </c>
      <c r="AO13">
        <v>0.22159072452048201</v>
      </c>
      <c r="AP13">
        <v>0.36817159741183098</v>
      </c>
      <c r="AQ13">
        <v>1</v>
      </c>
      <c r="AR13">
        <v>1.33762177482959</v>
      </c>
      <c r="AS13">
        <v>1</v>
      </c>
      <c r="AT13">
        <v>1</v>
      </c>
      <c r="AU13">
        <v>1</v>
      </c>
      <c r="AV13">
        <v>0.94</v>
      </c>
      <c r="AW13">
        <v>4.3644477592357803E-2</v>
      </c>
      <c r="AX13">
        <v>0.81313472138756304</v>
      </c>
      <c r="AY13">
        <v>1</v>
      </c>
      <c r="AZ13">
        <v>1</v>
      </c>
      <c r="BA13">
        <v>0.99537519397109198</v>
      </c>
      <c r="BB13">
        <v>0.96</v>
      </c>
      <c r="BC13">
        <v>12134630763.700001</v>
      </c>
      <c r="BD13">
        <v>7.2692774330442494E-2</v>
      </c>
      <c r="BE13">
        <v>4407</v>
      </c>
    </row>
    <row r="14" spans="1:57" x14ac:dyDescent="0.25">
      <c r="A14">
        <v>13</v>
      </c>
      <c r="B14">
        <v>4000</v>
      </c>
      <c r="C14">
        <v>25</v>
      </c>
      <c r="D14">
        <v>0.93826115291235401</v>
      </c>
      <c r="E14">
        <v>0.87346474422690501</v>
      </c>
      <c r="F14">
        <v>1.0741831987080399</v>
      </c>
      <c r="G14">
        <v>-6.4796408685449003E-2</v>
      </c>
      <c r="H14">
        <v>5.2676768756029502E-2</v>
      </c>
      <c r="I14">
        <v>1.93729774684533E-2</v>
      </c>
      <c r="J14">
        <v>2.06528990728201E-2</v>
      </c>
      <c r="K14">
        <v>0.53502131937684905</v>
      </c>
      <c r="L14">
        <v>0.245740779552753</v>
      </c>
      <c r="M14">
        <v>0</v>
      </c>
      <c r="N14">
        <v>6.0355794440245099</v>
      </c>
      <c r="O14">
        <v>93.964420555975494</v>
      </c>
      <c r="P14">
        <v>31.4625167222956</v>
      </c>
      <c r="Q14">
        <v>46.095902361973003</v>
      </c>
      <c r="R14">
        <v>22.4415809157314</v>
      </c>
      <c r="S14">
        <v>0</v>
      </c>
      <c r="T14">
        <v>46.095902361973003</v>
      </c>
      <c r="U14">
        <v>0.78916056411865299</v>
      </c>
      <c r="V14">
        <v>15.050242962116601</v>
      </c>
      <c r="W14">
        <v>2615.3725418320601</v>
      </c>
      <c r="X14">
        <v>100</v>
      </c>
      <c r="Y14">
        <v>45.907089514539599</v>
      </c>
      <c r="Z14">
        <v>276.84713597134697</v>
      </c>
      <c r="AA14">
        <v>274.80700932300101</v>
      </c>
      <c r="AB14">
        <v>64.306341705192096</v>
      </c>
      <c r="AC14">
        <v>287.59758574219501</v>
      </c>
      <c r="AD14">
        <v>4.23679373678823</v>
      </c>
      <c r="AE14">
        <v>761.92969101312804</v>
      </c>
      <c r="AF14">
        <v>14.9753645328238</v>
      </c>
      <c r="AG14">
        <v>0</v>
      </c>
      <c r="AH14">
        <v>175.07524198232099</v>
      </c>
      <c r="AI14">
        <v>112.91344571510299</v>
      </c>
      <c r="AJ14">
        <v>21.4616586907343</v>
      </c>
      <c r="AK14">
        <v>-11.4673147582907</v>
      </c>
      <c r="AL14">
        <v>0.57141565818028695</v>
      </c>
      <c r="AM14">
        <v>1</v>
      </c>
      <c r="AN14">
        <v>1.08</v>
      </c>
      <c r="AO14">
        <v>0.31121690721682199</v>
      </c>
      <c r="AP14">
        <v>0.78651059211023</v>
      </c>
      <c r="AQ14">
        <v>1</v>
      </c>
      <c r="AR14">
        <v>1.3411799037953001</v>
      </c>
      <c r="AS14">
        <v>1</v>
      </c>
      <c r="AT14">
        <v>1</v>
      </c>
      <c r="AU14">
        <v>1</v>
      </c>
      <c r="AV14">
        <v>0.94</v>
      </c>
      <c r="AW14">
        <v>5.21647713544224E-2</v>
      </c>
      <c r="AX14">
        <v>0.81996005088513302</v>
      </c>
      <c r="AY14">
        <v>1</v>
      </c>
      <c r="AZ14">
        <v>1</v>
      </c>
      <c r="BA14">
        <v>0.99806897930809402</v>
      </c>
      <c r="BB14">
        <v>0.96</v>
      </c>
      <c r="BC14">
        <v>58919516543.199997</v>
      </c>
      <c r="BD14">
        <v>7.8405615240092E-2</v>
      </c>
      <c r="BE14">
        <v>20698</v>
      </c>
    </row>
    <row r="15" spans="1:57" x14ac:dyDescent="0.25">
      <c r="A15">
        <v>14</v>
      </c>
      <c r="B15">
        <v>4000</v>
      </c>
      <c r="C15">
        <v>50</v>
      </c>
      <c r="D15">
        <v>1.1036478864241901</v>
      </c>
      <c r="E15">
        <v>1.0471895962525499</v>
      </c>
      <c r="F15">
        <v>1.05391410530975</v>
      </c>
      <c r="G15">
        <v>-5.6458290171636401E-2</v>
      </c>
      <c r="H15">
        <v>5.2035338334737398E-2</v>
      </c>
      <c r="I15">
        <v>2.0289273201238502E-2</v>
      </c>
      <c r="J15">
        <v>2.60494525764298E-2</v>
      </c>
      <c r="K15">
        <v>0.53983809015815598</v>
      </c>
      <c r="L15">
        <v>0.40897744198199198</v>
      </c>
      <c r="M15">
        <v>0</v>
      </c>
      <c r="N15">
        <v>6.1272160610808903</v>
      </c>
      <c r="O15">
        <v>93.872783938919099</v>
      </c>
      <c r="P15">
        <v>31.595129632064101</v>
      </c>
      <c r="Q15">
        <v>44.811171094878198</v>
      </c>
      <c r="R15">
        <v>23.593699273057702</v>
      </c>
      <c r="S15">
        <v>0</v>
      </c>
      <c r="T15">
        <v>44.811171094878198</v>
      </c>
      <c r="U15">
        <v>0.82448409748638696</v>
      </c>
      <c r="V15">
        <v>38.841282411746803</v>
      </c>
      <c r="W15">
        <v>2795.6891856457</v>
      </c>
      <c r="X15">
        <v>99.999781409816606</v>
      </c>
      <c r="Y15">
        <v>46.677750089292402</v>
      </c>
      <c r="Z15">
        <v>276.06848187304399</v>
      </c>
      <c r="AA15">
        <v>274.00522808226702</v>
      </c>
      <c r="AB15">
        <v>62.764755873081</v>
      </c>
      <c r="AC15">
        <v>289.28763903641902</v>
      </c>
      <c r="AD15">
        <v>4.3031637101057898</v>
      </c>
      <c r="AE15">
        <v>758.75681730774704</v>
      </c>
      <c r="AF15">
        <v>15.023737806056999</v>
      </c>
      <c r="AG15">
        <v>0</v>
      </c>
      <c r="AH15">
        <v>173.845154331565</v>
      </c>
      <c r="AI15">
        <v>113.08460566251</v>
      </c>
      <c r="AJ15">
        <v>27.752556377449501</v>
      </c>
      <c r="AK15">
        <v>-9.3825717293209294</v>
      </c>
      <c r="AL15">
        <v>0.56937003840582101</v>
      </c>
      <c r="AM15">
        <v>1</v>
      </c>
      <c r="AN15">
        <v>1.08</v>
      </c>
      <c r="AO15">
        <v>0.52724114775570197</v>
      </c>
      <c r="AP15">
        <v>1.4636067158961901</v>
      </c>
      <c r="AQ15">
        <v>1</v>
      </c>
      <c r="AR15">
        <v>1.3393529449654999</v>
      </c>
      <c r="AS15">
        <v>1</v>
      </c>
      <c r="AT15">
        <v>0.99999781409816602</v>
      </c>
      <c r="AU15">
        <v>1</v>
      </c>
      <c r="AV15">
        <v>0.94</v>
      </c>
      <c r="AW15">
        <v>6.2179878984437303E-2</v>
      </c>
      <c r="AX15">
        <v>0.80237076378093697</v>
      </c>
      <c r="AY15">
        <v>1</v>
      </c>
      <c r="AZ15">
        <v>1</v>
      </c>
      <c r="BA15">
        <v>0.99793353414303998</v>
      </c>
      <c r="BB15">
        <v>0.96</v>
      </c>
      <c r="BC15">
        <v>164180977602.5</v>
      </c>
      <c r="BD15">
        <v>7.6624924734665506E-2</v>
      </c>
      <c r="BE15">
        <v>55945</v>
      </c>
    </row>
    <row r="16" spans="1:57" x14ac:dyDescent="0.25">
      <c r="A16">
        <v>15</v>
      </c>
      <c r="B16">
        <v>4000</v>
      </c>
      <c r="C16">
        <v>75</v>
      </c>
      <c r="D16">
        <v>1.3333703753535799</v>
      </c>
      <c r="E16">
        <v>1.36632818063317</v>
      </c>
      <c r="F16">
        <v>0.97587855849952998</v>
      </c>
      <c r="G16">
        <v>3.2957805279586701E-2</v>
      </c>
      <c r="H16">
        <v>4.6956914449598902E-2</v>
      </c>
      <c r="I16">
        <v>2.4802307663087698E-2</v>
      </c>
      <c r="J16">
        <v>3.83248198098156E-2</v>
      </c>
      <c r="K16">
        <v>0.54107245768725898</v>
      </c>
      <c r="L16">
        <v>0.715171681023407</v>
      </c>
      <c r="M16">
        <v>0</v>
      </c>
      <c r="N16">
        <v>6.2029488960985404</v>
      </c>
      <c r="O16">
        <v>93.797051103901495</v>
      </c>
      <c r="P16">
        <v>41.612428132576298</v>
      </c>
      <c r="Q16">
        <v>33.527835288950698</v>
      </c>
      <c r="R16">
        <v>24.859736578472901</v>
      </c>
      <c r="S16">
        <v>0</v>
      </c>
      <c r="T16">
        <v>33.527835288950698</v>
      </c>
      <c r="U16">
        <v>1.0973172610672799</v>
      </c>
      <c r="V16">
        <v>61.549020645794897</v>
      </c>
      <c r="W16">
        <v>2811.0820562233298</v>
      </c>
      <c r="X16">
        <v>100</v>
      </c>
      <c r="Y16">
        <v>51.6491753525112</v>
      </c>
      <c r="Z16">
        <v>277.838869758589</v>
      </c>
      <c r="AA16">
        <v>275.655181117447</v>
      </c>
      <c r="AB16">
        <v>51.136411125391596</v>
      </c>
      <c r="AC16">
        <v>302.21726661204201</v>
      </c>
      <c r="AD16">
        <v>4.4426720782660301</v>
      </c>
      <c r="AE16">
        <v>749.470038640241</v>
      </c>
      <c r="AF16">
        <v>11.0713153795294</v>
      </c>
      <c r="AG16">
        <v>0</v>
      </c>
      <c r="AH16">
        <v>174.14651646059701</v>
      </c>
      <c r="AI16">
        <v>113.202028947572</v>
      </c>
      <c r="AJ16">
        <v>31.399798378319399</v>
      </c>
      <c r="AK16">
        <v>-1.4878203601667701</v>
      </c>
      <c r="AL16">
        <v>0.56974019443993995</v>
      </c>
      <c r="AM16">
        <v>1</v>
      </c>
      <c r="AN16">
        <v>1.08</v>
      </c>
      <c r="AO16">
        <v>0.92734160486163197</v>
      </c>
      <c r="AP16">
        <v>2.3755888976527801</v>
      </c>
      <c r="AQ16">
        <v>1</v>
      </c>
      <c r="AR16">
        <v>1.3427282321115901</v>
      </c>
      <c r="AS16">
        <v>1</v>
      </c>
      <c r="AT16">
        <v>1</v>
      </c>
      <c r="AU16">
        <v>1</v>
      </c>
      <c r="AV16">
        <v>0.94</v>
      </c>
      <c r="AW16">
        <v>7.0007032410153699E-2</v>
      </c>
      <c r="AX16">
        <v>0.80121975530432299</v>
      </c>
      <c r="AY16">
        <v>1</v>
      </c>
      <c r="AZ16">
        <v>1</v>
      </c>
      <c r="BA16">
        <v>1.0090003169373201</v>
      </c>
      <c r="BB16">
        <v>0.96</v>
      </c>
      <c r="BC16">
        <v>188072564894.70001</v>
      </c>
      <c r="BD16">
        <v>8.2857456162809304E-2</v>
      </c>
      <c r="BE16">
        <v>62162</v>
      </c>
    </row>
    <row r="17" spans="1:57" x14ac:dyDescent="0.25">
      <c r="A17">
        <v>16</v>
      </c>
      <c r="B17">
        <v>4000</v>
      </c>
      <c r="C17">
        <v>100</v>
      </c>
      <c r="D17">
        <v>1.6005155789946299</v>
      </c>
      <c r="E17">
        <v>1.6839230006756301</v>
      </c>
      <c r="F17">
        <v>0.95046838742179196</v>
      </c>
      <c r="G17">
        <v>8.3407421680998295E-2</v>
      </c>
      <c r="H17">
        <v>4.36639415294309E-2</v>
      </c>
      <c r="I17">
        <v>3.2141352074865598E-2</v>
      </c>
      <c r="J17">
        <v>7.2874260466264898E-2</v>
      </c>
      <c r="K17">
        <v>0.56959781417273403</v>
      </c>
      <c r="L17">
        <v>0.96564563243233603</v>
      </c>
      <c r="M17">
        <v>0</v>
      </c>
      <c r="N17">
        <v>5.6392568676665702</v>
      </c>
      <c r="O17">
        <v>94.360743132333397</v>
      </c>
      <c r="P17">
        <v>39.608232644272398</v>
      </c>
      <c r="Q17">
        <v>29.712668650598701</v>
      </c>
      <c r="R17">
        <v>30.679098705128901</v>
      </c>
      <c r="S17">
        <v>0</v>
      </c>
      <c r="T17">
        <v>29.712668650598701</v>
      </c>
      <c r="U17">
        <v>1.50042867294231</v>
      </c>
      <c r="V17">
        <v>84.188068599053594</v>
      </c>
      <c r="W17">
        <v>3033.9089840646402</v>
      </c>
      <c r="X17">
        <v>100</v>
      </c>
      <c r="Y17">
        <v>54.011072079938202</v>
      </c>
      <c r="Z17">
        <v>277.01279397056999</v>
      </c>
      <c r="AA17">
        <v>274.86297148817698</v>
      </c>
      <c r="AB17">
        <v>43.6050842288209</v>
      </c>
      <c r="AC17">
        <v>310.57069427201202</v>
      </c>
      <c r="AD17">
        <v>4.63693986763358</v>
      </c>
      <c r="AE17">
        <v>728.53115767269503</v>
      </c>
      <c r="AF17">
        <v>12.5011619791036</v>
      </c>
      <c r="AG17">
        <v>0</v>
      </c>
      <c r="AH17">
        <v>174.48353197297899</v>
      </c>
      <c r="AI17">
        <v>113.271171181133</v>
      </c>
      <c r="AJ17">
        <v>33.381022024093198</v>
      </c>
      <c r="AK17">
        <v>15.0110273952096</v>
      </c>
      <c r="AL17">
        <v>0.57021014479876198</v>
      </c>
      <c r="AM17">
        <v>1</v>
      </c>
      <c r="AN17">
        <v>1.08</v>
      </c>
      <c r="AO17">
        <v>1.30323265020137</v>
      </c>
      <c r="AP17">
        <v>3.2723901714068901</v>
      </c>
      <c r="AQ17">
        <v>1</v>
      </c>
      <c r="AR17">
        <v>1.3399626526777799</v>
      </c>
      <c r="AS17">
        <v>1</v>
      </c>
      <c r="AT17">
        <v>1</v>
      </c>
      <c r="AU17">
        <v>1</v>
      </c>
      <c r="AV17">
        <v>0.94</v>
      </c>
      <c r="AW17">
        <v>7.5169590784883306E-2</v>
      </c>
      <c r="AX17">
        <v>0.77919691505377398</v>
      </c>
      <c r="AY17">
        <v>1</v>
      </c>
      <c r="AZ17">
        <v>1</v>
      </c>
      <c r="BA17">
        <v>1.0049967464585099</v>
      </c>
      <c r="BB17">
        <v>0.96</v>
      </c>
      <c r="BC17">
        <v>79342297666.100006</v>
      </c>
      <c r="BD17">
        <v>9.3066164033288407E-2</v>
      </c>
      <c r="BE17">
        <v>35787</v>
      </c>
    </row>
    <row r="18" spans="1:57" x14ac:dyDescent="0.25">
      <c r="A18">
        <v>17</v>
      </c>
      <c r="B18">
        <v>4000</v>
      </c>
      <c r="C18">
        <v>125</v>
      </c>
      <c r="D18">
        <v>1.8371717664037399</v>
      </c>
      <c r="E18">
        <v>1.95132472129972</v>
      </c>
      <c r="F18">
        <v>0.94149976492895504</v>
      </c>
      <c r="G18">
        <v>0.114152954895975</v>
      </c>
      <c r="H18">
        <v>4.46181163014936E-2</v>
      </c>
      <c r="I18">
        <v>4.85598090180374E-2</v>
      </c>
      <c r="J18">
        <v>0.19645880198072799</v>
      </c>
      <c r="K18">
        <v>0.63206234060431998</v>
      </c>
      <c r="L18">
        <v>1.02962565339514</v>
      </c>
      <c r="M18">
        <v>0</v>
      </c>
      <c r="N18">
        <v>3.8979988174378701</v>
      </c>
      <c r="O18">
        <v>96.102001182562105</v>
      </c>
      <c r="P18">
        <v>28.888525841584901</v>
      </c>
      <c r="Q18">
        <v>33.626815163974896</v>
      </c>
      <c r="R18">
        <v>37.484658994440203</v>
      </c>
      <c r="S18">
        <v>0</v>
      </c>
      <c r="T18">
        <v>33.626815163974896</v>
      </c>
      <c r="U18">
        <v>2.2941149208004399</v>
      </c>
      <c r="V18">
        <v>107.739369917419</v>
      </c>
      <c r="W18">
        <v>3315.96077014091</v>
      </c>
      <c r="X18">
        <v>100</v>
      </c>
      <c r="Y18">
        <v>55.061928483773499</v>
      </c>
      <c r="Z18">
        <v>269.94897866438401</v>
      </c>
      <c r="AA18">
        <v>268.14115618469498</v>
      </c>
      <c r="AB18">
        <v>45.494066708053602</v>
      </c>
      <c r="AC18">
        <v>308.657988118464</v>
      </c>
      <c r="AD18">
        <v>4.8855569838664499</v>
      </c>
      <c r="AE18">
        <v>688.79732317754303</v>
      </c>
      <c r="AF18">
        <v>21.0432642195547</v>
      </c>
      <c r="AG18">
        <v>0</v>
      </c>
      <c r="AH18">
        <v>174.41493320777599</v>
      </c>
      <c r="AI18">
        <v>113.29549471105599</v>
      </c>
      <c r="AJ18">
        <v>34.148107665697999</v>
      </c>
      <c r="AK18">
        <v>38.7037315862122</v>
      </c>
      <c r="AL18">
        <v>0.57008905618911798</v>
      </c>
      <c r="AM18">
        <v>1</v>
      </c>
      <c r="AN18">
        <v>1.08</v>
      </c>
      <c r="AO18">
        <v>1.4695142635685901</v>
      </c>
      <c r="AP18">
        <v>3.9159353446560901</v>
      </c>
      <c r="AQ18">
        <v>1</v>
      </c>
      <c r="AR18">
        <v>1.3238343538811801</v>
      </c>
      <c r="AS18">
        <v>1</v>
      </c>
      <c r="AT18">
        <v>1</v>
      </c>
      <c r="AU18">
        <v>1</v>
      </c>
      <c r="AV18">
        <v>0.94</v>
      </c>
      <c r="AW18">
        <v>7.7733975443300504E-2</v>
      </c>
      <c r="AX18">
        <v>0.75308387516604303</v>
      </c>
      <c r="AY18">
        <v>1</v>
      </c>
      <c r="AZ18">
        <v>1</v>
      </c>
      <c r="BA18">
        <v>0.98107886018524704</v>
      </c>
      <c r="BB18">
        <v>0.96</v>
      </c>
      <c r="BC18">
        <v>11376977168.799999</v>
      </c>
      <c r="BD18">
        <v>0.10781219518931399</v>
      </c>
      <c r="BE18">
        <v>11617</v>
      </c>
    </row>
    <row r="19" spans="1:57" x14ac:dyDescent="0.25">
      <c r="A19">
        <v>18</v>
      </c>
      <c r="B19">
        <v>4000</v>
      </c>
      <c r="C19">
        <v>150</v>
      </c>
      <c r="D19">
        <v>2.3286479316853099</v>
      </c>
      <c r="E19">
        <v>2.2866985554175101</v>
      </c>
      <c r="F19">
        <v>1.0183449524505199</v>
      </c>
      <c r="G19">
        <v>-4.19493762677971E-2</v>
      </c>
      <c r="H19">
        <v>4.4449080218728898E-2</v>
      </c>
      <c r="I19">
        <v>7.4844125985576798E-2</v>
      </c>
      <c r="J19">
        <v>0.43579426927274301</v>
      </c>
      <c r="K19">
        <v>0.70775563387998996</v>
      </c>
      <c r="L19">
        <v>1.0238554460604701</v>
      </c>
      <c r="M19">
        <v>0</v>
      </c>
      <c r="N19">
        <v>1.61709095230349</v>
      </c>
      <c r="O19">
        <v>98.382909047696501</v>
      </c>
      <c r="P19">
        <v>18.362335255941499</v>
      </c>
      <c r="Q19">
        <v>42.307486475889803</v>
      </c>
      <c r="R19">
        <v>39.330178268168702</v>
      </c>
      <c r="S19">
        <v>0</v>
      </c>
      <c r="T19">
        <v>42.307486475889803</v>
      </c>
      <c r="U19">
        <v>3.65671775667521</v>
      </c>
      <c r="V19">
        <v>131.184870264745</v>
      </c>
      <c r="W19">
        <v>3431.24174382089</v>
      </c>
      <c r="X19">
        <v>100</v>
      </c>
      <c r="Y19">
        <v>54.986280821092699</v>
      </c>
      <c r="Z19">
        <v>262.945542880201</v>
      </c>
      <c r="AA19">
        <v>261.62398309730497</v>
      </c>
      <c r="AB19">
        <v>44.757345139834499</v>
      </c>
      <c r="AC19">
        <v>309.18347764038799</v>
      </c>
      <c r="AD19">
        <v>5.1499019282900997</v>
      </c>
      <c r="AE19">
        <v>642.30382734282102</v>
      </c>
      <c r="AF19">
        <v>35.807269140045101</v>
      </c>
      <c r="AG19">
        <v>0</v>
      </c>
      <c r="AH19">
        <v>174.40590203257901</v>
      </c>
      <c r="AI19">
        <v>113.310455793377</v>
      </c>
      <c r="AJ19">
        <v>34.584064927637399</v>
      </c>
      <c r="AK19">
        <v>65.950264766043603</v>
      </c>
      <c r="AL19">
        <v>0.57005847778239804</v>
      </c>
      <c r="AM19">
        <v>1</v>
      </c>
      <c r="AN19">
        <v>1.08</v>
      </c>
      <c r="AO19">
        <v>1.54347138129899</v>
      </c>
      <c r="AP19">
        <v>4.3864463255487802</v>
      </c>
      <c r="AQ19">
        <v>1</v>
      </c>
      <c r="AR19">
        <v>1.3083978894547901</v>
      </c>
      <c r="AS19">
        <v>1</v>
      </c>
      <c r="AT19">
        <v>1</v>
      </c>
      <c r="AU19">
        <v>1</v>
      </c>
      <c r="AV19">
        <v>0.94</v>
      </c>
      <c r="AW19">
        <v>7.8770585495747905E-2</v>
      </c>
      <c r="AX19">
        <v>0.74342786316278398</v>
      </c>
      <c r="AY19">
        <v>1</v>
      </c>
      <c r="AZ19">
        <v>1</v>
      </c>
      <c r="BA19">
        <v>0.939739646407874</v>
      </c>
      <c r="BB19">
        <v>0.96</v>
      </c>
      <c r="BC19">
        <v>890123717.5</v>
      </c>
      <c r="BD19">
        <v>0.12697234299178101</v>
      </c>
      <c r="BE19">
        <v>1706</v>
      </c>
    </row>
    <row r="20" spans="1:57" x14ac:dyDescent="0.25">
      <c r="A20">
        <v>19</v>
      </c>
      <c r="B20">
        <v>4000</v>
      </c>
      <c r="C20">
        <v>175</v>
      </c>
      <c r="D20">
        <v>2.8679065441582399</v>
      </c>
      <c r="E20">
        <v>2.3560792031582301</v>
      </c>
      <c r="F20">
        <v>1.21723689947007</v>
      </c>
      <c r="G20">
        <v>-0.51182734100001603</v>
      </c>
      <c r="H20">
        <v>4.5397774044538201E-2</v>
      </c>
      <c r="I20">
        <v>5.9970586307558998E-2</v>
      </c>
      <c r="J20">
        <v>0.59178356202377902</v>
      </c>
      <c r="K20">
        <v>0.71785681798996404</v>
      </c>
      <c r="L20">
        <v>0.94107046279238804</v>
      </c>
      <c r="M20">
        <v>0</v>
      </c>
      <c r="N20">
        <v>0.84893223311488697</v>
      </c>
      <c r="O20">
        <v>99.151067766885106</v>
      </c>
      <c r="P20">
        <v>8.1368707435848808</v>
      </c>
      <c r="Q20">
        <v>65.148167396079501</v>
      </c>
      <c r="R20">
        <v>26.714961860335599</v>
      </c>
      <c r="S20">
        <v>0</v>
      </c>
      <c r="T20">
        <v>65.148167396079501</v>
      </c>
      <c r="U20">
        <v>2.9820546924499101</v>
      </c>
      <c r="V20">
        <v>155.352595831408</v>
      </c>
      <c r="W20">
        <v>3531.3058704145101</v>
      </c>
      <c r="X20">
        <v>100</v>
      </c>
      <c r="Y20">
        <v>48.330444925648898</v>
      </c>
      <c r="Z20">
        <v>248.30366248117301</v>
      </c>
      <c r="AA20">
        <v>247.851509948244</v>
      </c>
      <c r="AB20">
        <v>46.642300258895403</v>
      </c>
      <c r="AC20">
        <v>296.43203877994699</v>
      </c>
      <c r="AD20">
        <v>5.2014080683936301</v>
      </c>
      <c r="AE20">
        <v>635.82395137020796</v>
      </c>
      <c r="AF20">
        <v>64.312065270077298</v>
      </c>
      <c r="AG20">
        <v>0</v>
      </c>
      <c r="AH20">
        <v>174.44907785244001</v>
      </c>
      <c r="AI20">
        <v>113.289067386756</v>
      </c>
      <c r="AJ20">
        <v>34.107400463778802</v>
      </c>
      <c r="AK20">
        <v>77.154989829830299</v>
      </c>
      <c r="AL20">
        <v>0.57016277777682101</v>
      </c>
      <c r="AM20">
        <v>1</v>
      </c>
      <c r="AN20">
        <v>1.08</v>
      </c>
      <c r="AO20">
        <v>1.57999437686272</v>
      </c>
      <c r="AP20">
        <v>4.7371397166985201</v>
      </c>
      <c r="AQ20">
        <v>1</v>
      </c>
      <c r="AR20">
        <v>1.28001107173323</v>
      </c>
      <c r="AS20">
        <v>1</v>
      </c>
      <c r="AT20">
        <v>1</v>
      </c>
      <c r="AU20">
        <v>1</v>
      </c>
      <c r="AV20">
        <v>0.94</v>
      </c>
      <c r="AW20">
        <v>7.8734279310495203E-2</v>
      </c>
      <c r="AX20">
        <v>0.734296444083814</v>
      </c>
      <c r="AY20">
        <v>1</v>
      </c>
      <c r="AZ20">
        <v>1</v>
      </c>
      <c r="BA20">
        <v>0.85992621724378304</v>
      </c>
      <c r="BB20">
        <v>0.96</v>
      </c>
      <c r="BC20">
        <v>25932753.100000001</v>
      </c>
      <c r="BD20">
        <v>0.18533544531510401</v>
      </c>
      <c r="BE20">
        <v>90</v>
      </c>
    </row>
    <row r="21" spans="1:57" x14ac:dyDescent="0.25">
      <c r="A21">
        <v>20</v>
      </c>
      <c r="B21">
        <v>4000</v>
      </c>
      <c r="C21">
        <v>200</v>
      </c>
      <c r="D21">
        <v>1.7086944038579899E-2</v>
      </c>
      <c r="E21">
        <v>1.6730049558695099</v>
      </c>
      <c r="F21">
        <v>1.02133254170184E-2</v>
      </c>
      <c r="G21">
        <v>1.65591801183093</v>
      </c>
      <c r="H21">
        <v>5.3265598252338002E-2</v>
      </c>
      <c r="I21">
        <v>6.0001652265875199E-2</v>
      </c>
      <c r="J21">
        <v>3.5682741913524899E-2</v>
      </c>
      <c r="K21">
        <v>0.52714819389077305</v>
      </c>
      <c r="L21">
        <v>0.99690676954700397</v>
      </c>
      <c r="M21">
        <v>0</v>
      </c>
      <c r="N21">
        <v>0</v>
      </c>
      <c r="O21">
        <v>100</v>
      </c>
      <c r="P21">
        <v>14.001058738606099</v>
      </c>
      <c r="Q21">
        <v>64.226784345158507</v>
      </c>
      <c r="R21">
        <v>21.772156916235399</v>
      </c>
      <c r="S21">
        <v>0</v>
      </c>
      <c r="T21">
        <v>64.226784345158507</v>
      </c>
      <c r="U21">
        <v>2.24197649527845</v>
      </c>
      <c r="V21">
        <v>187.21692469733901</v>
      </c>
      <c r="W21">
        <v>3163.3936451510599</v>
      </c>
      <c r="X21">
        <v>100</v>
      </c>
      <c r="Y21">
        <v>41.723474470383401</v>
      </c>
      <c r="Z21">
        <v>248.30144406567899</v>
      </c>
      <c r="AA21">
        <v>248.30144406567899</v>
      </c>
      <c r="AB21">
        <v>62.598058505513599</v>
      </c>
      <c r="AC21">
        <v>246.195148102888</v>
      </c>
      <c r="AD21">
        <v>5.4839533110068004</v>
      </c>
      <c r="AE21">
        <v>747.23387719022298</v>
      </c>
      <c r="AF21">
        <v>64.226784345158507</v>
      </c>
      <c r="AG21">
        <v>0</v>
      </c>
      <c r="AH21">
        <v>174.83459385552601</v>
      </c>
      <c r="AI21">
        <v>113.086516394705</v>
      </c>
      <c r="AJ21">
        <v>28.327035135520401</v>
      </c>
      <c r="AK21">
        <v>76.533886866416594</v>
      </c>
      <c r="AL21">
        <v>0.57091456485534597</v>
      </c>
      <c r="AM21">
        <v>1</v>
      </c>
      <c r="AN21">
        <v>1.08</v>
      </c>
      <c r="AO21">
        <v>1.5938078108371301</v>
      </c>
      <c r="AP21">
        <v>4.9967485722289</v>
      </c>
      <c r="AQ21">
        <v>1</v>
      </c>
      <c r="AR21">
        <v>1.2770329913201499</v>
      </c>
      <c r="AS21">
        <v>1</v>
      </c>
      <c r="AT21">
        <v>1</v>
      </c>
      <c r="AU21">
        <v>1</v>
      </c>
      <c r="AV21">
        <v>0.94</v>
      </c>
      <c r="AW21">
        <v>6.4115894126905701E-2</v>
      </c>
      <c r="AX21">
        <v>0.76833033592146904</v>
      </c>
      <c r="AY21">
        <v>1</v>
      </c>
      <c r="AZ21">
        <v>1</v>
      </c>
      <c r="BA21">
        <v>0.86016500383355599</v>
      </c>
      <c r="BB21">
        <v>0.96</v>
      </c>
      <c r="BC21">
        <v>2870963.6</v>
      </c>
      <c r="BD21">
        <v>3.58254723583231E-4</v>
      </c>
      <c r="BE21">
        <v>12</v>
      </c>
    </row>
    <row r="22" spans="1:57" x14ac:dyDescent="0.25">
      <c r="A22">
        <v>21</v>
      </c>
      <c r="B22">
        <v>4000</v>
      </c>
      <c r="C22">
        <v>225</v>
      </c>
      <c r="D22">
        <v>3.9911970241119102E-2</v>
      </c>
      <c r="E22">
        <v>1.9521540912745501</v>
      </c>
      <c r="F22">
        <v>2.0445092126442101E-2</v>
      </c>
      <c r="G22">
        <v>1.9122421210334299</v>
      </c>
      <c r="H22">
        <v>5.7866071555943199E-2</v>
      </c>
      <c r="I22">
        <v>5.7823145339995698E-2</v>
      </c>
      <c r="J22">
        <v>1.1910610571627201E-3</v>
      </c>
      <c r="K22">
        <v>0.480734294574308</v>
      </c>
      <c r="L22">
        <v>1.3545395187471401</v>
      </c>
      <c r="M22">
        <v>0</v>
      </c>
      <c r="N22">
        <v>0</v>
      </c>
      <c r="O22">
        <v>100</v>
      </c>
      <c r="P22">
        <v>39.231021044625301</v>
      </c>
      <c r="Q22">
        <v>0</v>
      </c>
      <c r="R22">
        <v>60.768978955374699</v>
      </c>
      <c r="S22">
        <v>0</v>
      </c>
      <c r="T22">
        <v>0</v>
      </c>
      <c r="U22">
        <v>2.23667454716534</v>
      </c>
      <c r="V22">
        <v>210.18469459353901</v>
      </c>
      <c r="W22">
        <v>2457.5259868261001</v>
      </c>
      <c r="X22">
        <v>100</v>
      </c>
      <c r="Y22">
        <v>36.216773837673898</v>
      </c>
      <c r="Z22">
        <v>271.61717209051699</v>
      </c>
      <c r="AA22">
        <v>271.61717209051699</v>
      </c>
      <c r="AB22">
        <v>76.209001856184301</v>
      </c>
      <c r="AC22">
        <v>210.62938161998201</v>
      </c>
      <c r="AD22">
        <v>5.8</v>
      </c>
      <c r="AE22">
        <v>788.36917537018201</v>
      </c>
      <c r="AF22">
        <v>0</v>
      </c>
      <c r="AG22">
        <v>0</v>
      </c>
      <c r="AH22">
        <v>175.794069608585</v>
      </c>
      <c r="AI22">
        <v>113.32019015498599</v>
      </c>
      <c r="AJ22">
        <v>34.843731610185003</v>
      </c>
      <c r="AK22">
        <v>94.390062198022406</v>
      </c>
      <c r="AL22">
        <v>0.572217318473626</v>
      </c>
      <c r="AM22">
        <v>1</v>
      </c>
      <c r="AN22">
        <v>1.08</v>
      </c>
      <c r="AO22">
        <v>1.5970114419319199</v>
      </c>
      <c r="AP22">
        <v>5.0699082632205004</v>
      </c>
      <c r="AQ22">
        <v>1</v>
      </c>
      <c r="AR22">
        <v>1.3307010105472801</v>
      </c>
      <c r="AS22">
        <v>1</v>
      </c>
      <c r="AT22">
        <v>1</v>
      </c>
      <c r="AU22">
        <v>1</v>
      </c>
      <c r="AV22">
        <v>0.94</v>
      </c>
      <c r="AW22">
        <v>7.8942533424387507E-2</v>
      </c>
      <c r="AX22">
        <v>0.83518403380787098</v>
      </c>
      <c r="AY22">
        <v>1</v>
      </c>
      <c r="AZ22">
        <v>1</v>
      </c>
      <c r="BA22">
        <v>1.04</v>
      </c>
      <c r="BB22">
        <v>0.96</v>
      </c>
      <c r="BC22">
        <v>2596240.1</v>
      </c>
      <c r="BD22">
        <v>3.3542777000255798E-4</v>
      </c>
      <c r="BE22">
        <v>10</v>
      </c>
    </row>
    <row r="23" spans="1:57" x14ac:dyDescent="0.25">
      <c r="A23">
        <v>22</v>
      </c>
      <c r="B23">
        <v>6000</v>
      </c>
      <c r="C23">
        <v>25</v>
      </c>
      <c r="D23">
        <v>1.0222601950058201</v>
      </c>
      <c r="E23">
        <v>0.85810322686593499</v>
      </c>
      <c r="F23">
        <v>1.19130212193636</v>
      </c>
      <c r="G23">
        <v>-0.16415696813988701</v>
      </c>
      <c r="H23">
        <v>6.2540745377237694E-2</v>
      </c>
      <c r="I23">
        <v>2.3375896994683999E-2</v>
      </c>
      <c r="J23">
        <v>1.6209973988573802E-2</v>
      </c>
      <c r="K23">
        <v>0.57824760610177695</v>
      </c>
      <c r="L23">
        <v>0.17772900440366299</v>
      </c>
      <c r="M23">
        <v>0</v>
      </c>
      <c r="N23">
        <v>5.9006471866353403</v>
      </c>
      <c r="O23">
        <v>94.099352813364703</v>
      </c>
      <c r="P23">
        <v>17.803470182456099</v>
      </c>
      <c r="Q23">
        <v>58.688880667578402</v>
      </c>
      <c r="R23">
        <v>23.507649149965498</v>
      </c>
      <c r="S23">
        <v>0</v>
      </c>
      <c r="T23">
        <v>58.688880667578402</v>
      </c>
      <c r="U23">
        <v>0.87088243619698502</v>
      </c>
      <c r="V23">
        <v>14.058524086839499</v>
      </c>
      <c r="W23">
        <v>4677.9032259128799</v>
      </c>
      <c r="X23">
        <v>100</v>
      </c>
      <c r="Y23">
        <v>39.210446928028702</v>
      </c>
      <c r="Z23">
        <v>267.045052895558</v>
      </c>
      <c r="AA23">
        <v>265.18660100884898</v>
      </c>
      <c r="AB23">
        <v>85.740880706678098</v>
      </c>
      <c r="AC23">
        <v>264.58590315552402</v>
      </c>
      <c r="AD23">
        <v>4.4115064325044004</v>
      </c>
      <c r="AE23">
        <v>765.35881348196597</v>
      </c>
      <c r="AF23">
        <v>27.504161901645201</v>
      </c>
      <c r="AG23">
        <v>0</v>
      </c>
      <c r="AH23">
        <v>179.497383282323</v>
      </c>
      <c r="AI23">
        <v>112.800567804011</v>
      </c>
      <c r="AJ23">
        <v>14.535754813513201</v>
      </c>
      <c r="AK23">
        <v>-12.327956397333001</v>
      </c>
      <c r="AL23">
        <v>0.57829695948771698</v>
      </c>
      <c r="AM23">
        <v>1</v>
      </c>
      <c r="AN23">
        <v>1.08</v>
      </c>
      <c r="AO23">
        <v>0.30410591232387302</v>
      </c>
      <c r="AP23">
        <v>0.75494367009657604</v>
      </c>
      <c r="AQ23">
        <v>1</v>
      </c>
      <c r="AR23">
        <v>1.3197824565831899</v>
      </c>
      <c r="AS23">
        <v>1</v>
      </c>
      <c r="AT23">
        <v>1</v>
      </c>
      <c r="AU23">
        <v>1</v>
      </c>
      <c r="AV23">
        <v>0.94</v>
      </c>
      <c r="AW23">
        <v>4.3589217435633598E-2</v>
      </c>
      <c r="AX23">
        <v>0.66579468395454899</v>
      </c>
      <c r="AY23">
        <v>1</v>
      </c>
      <c r="AZ23">
        <v>1</v>
      </c>
      <c r="BA23">
        <v>0.96298834667539301</v>
      </c>
      <c r="BB23">
        <v>0.96</v>
      </c>
      <c r="BC23">
        <v>6688597096.5</v>
      </c>
      <c r="BD23">
        <v>7.1872988755096207E-2</v>
      </c>
      <c r="BE23">
        <v>2908</v>
      </c>
    </row>
    <row r="24" spans="1:57" x14ac:dyDescent="0.25">
      <c r="A24">
        <v>23</v>
      </c>
      <c r="B24">
        <v>6000</v>
      </c>
      <c r="C24" s="2">
        <v>50</v>
      </c>
      <c r="D24">
        <v>1.09666509841323</v>
      </c>
      <c r="E24">
        <v>0.975495699398231</v>
      </c>
      <c r="F24">
        <v>1.1242131555164701</v>
      </c>
      <c r="G24">
        <v>-0.121169399015001</v>
      </c>
      <c r="H24">
        <v>5.91496846947836E-2</v>
      </c>
      <c r="I24">
        <v>2.36239221131327E-2</v>
      </c>
      <c r="J24">
        <v>2.1456555744541E-2</v>
      </c>
      <c r="K24">
        <v>0.52245869919157595</v>
      </c>
      <c r="L24">
        <v>0.34880683765419801</v>
      </c>
      <c r="M24">
        <v>0</v>
      </c>
      <c r="N24">
        <v>5.7906556154758704</v>
      </c>
      <c r="O24">
        <v>94.209344384524101</v>
      </c>
      <c r="P24">
        <v>19.615751967828</v>
      </c>
      <c r="Q24">
        <v>56.527499073989802</v>
      </c>
      <c r="R24">
        <v>23.8550849771615</v>
      </c>
      <c r="S24">
        <v>1.6639810206679701E-3</v>
      </c>
      <c r="T24">
        <v>56.5291630550105</v>
      </c>
      <c r="U24">
        <v>0.87100158922713</v>
      </c>
      <c r="V24">
        <v>40.624294486618403</v>
      </c>
      <c r="W24">
        <v>4568.0145034082498</v>
      </c>
      <c r="X24">
        <v>100</v>
      </c>
      <c r="Y24">
        <v>41.939775634353502</v>
      </c>
      <c r="Z24">
        <v>268.24798093346402</v>
      </c>
      <c r="AA24">
        <v>266.42264542419002</v>
      </c>
      <c r="AB24">
        <v>78.510358020912193</v>
      </c>
      <c r="AC24">
        <v>272.37749365108402</v>
      </c>
      <c r="AD24">
        <v>4.4673352292984001</v>
      </c>
      <c r="AE24">
        <v>762.60880840638197</v>
      </c>
      <c r="AF24">
        <v>27.739714912043102</v>
      </c>
      <c r="AG24">
        <v>0</v>
      </c>
      <c r="AH24">
        <v>175.52158738302501</v>
      </c>
      <c r="AI24">
        <v>112.91767123007099</v>
      </c>
      <c r="AJ24">
        <v>22.406717109502601</v>
      </c>
      <c r="AK24">
        <v>-9.2763713293124503</v>
      </c>
      <c r="AL24">
        <v>0.57211159348366303</v>
      </c>
      <c r="AM24">
        <v>1</v>
      </c>
      <c r="AN24">
        <v>1.08</v>
      </c>
      <c r="AO24">
        <v>0.55465559619178495</v>
      </c>
      <c r="AP24">
        <v>1.5253278381714499</v>
      </c>
      <c r="AQ24">
        <v>1</v>
      </c>
      <c r="AR24">
        <v>1.3217783866906401</v>
      </c>
      <c r="AS24">
        <v>1</v>
      </c>
      <c r="AT24">
        <v>1</v>
      </c>
      <c r="AU24">
        <v>1</v>
      </c>
      <c r="AV24">
        <v>0.94</v>
      </c>
      <c r="AW24">
        <v>5.3303155369154198E-2</v>
      </c>
      <c r="AX24">
        <v>0.671142828752191</v>
      </c>
      <c r="AY24">
        <v>1</v>
      </c>
      <c r="AZ24">
        <v>1</v>
      </c>
      <c r="BA24">
        <v>0.96232879824627904</v>
      </c>
      <c r="BB24">
        <v>0.96</v>
      </c>
      <c r="BC24">
        <v>19945281579.400002</v>
      </c>
      <c r="BD24">
        <v>7.9541582339949499E-2</v>
      </c>
      <c r="BE24">
        <v>11986</v>
      </c>
    </row>
    <row r="25" spans="1:57" x14ac:dyDescent="0.25">
      <c r="A25">
        <v>24</v>
      </c>
      <c r="B25">
        <v>6000</v>
      </c>
      <c r="C25" s="2">
        <v>75</v>
      </c>
      <c r="D25">
        <v>1.2026924452045999</v>
      </c>
      <c r="E25">
        <v>1.24260754661381</v>
      </c>
      <c r="F25">
        <v>0.96787795026838597</v>
      </c>
      <c r="G25">
        <v>3.9915101409207399E-2</v>
      </c>
      <c r="H25">
        <v>5.91061449251628E-2</v>
      </c>
      <c r="I25">
        <v>2.37624507922755E-2</v>
      </c>
      <c r="J25">
        <v>2.5371336505644701E-2</v>
      </c>
      <c r="K25">
        <v>0.56057499003461697</v>
      </c>
      <c r="L25">
        <v>0.573792624356111</v>
      </c>
      <c r="M25">
        <v>0</v>
      </c>
      <c r="N25">
        <v>5.7994165907309698</v>
      </c>
      <c r="O25">
        <v>94.200583409269001</v>
      </c>
      <c r="P25">
        <v>21.475180023549299</v>
      </c>
      <c r="Q25">
        <v>55.1725511233848</v>
      </c>
      <c r="R25">
        <v>23.3491199303669</v>
      </c>
      <c r="S25">
        <v>3.1489226989078502E-3</v>
      </c>
      <c r="T25">
        <v>55.175700046083797</v>
      </c>
      <c r="U25">
        <v>0.83157426271018298</v>
      </c>
      <c r="V25">
        <v>63.908991284448199</v>
      </c>
      <c r="W25">
        <v>4807.95592763678</v>
      </c>
      <c r="X25">
        <v>99.9993898361368</v>
      </c>
      <c r="Y25">
        <v>43.272480195045901</v>
      </c>
      <c r="Z25">
        <v>267.154899853041</v>
      </c>
      <c r="AA25">
        <v>265.29726847679501</v>
      </c>
      <c r="AB25">
        <v>78.531672372671295</v>
      </c>
      <c r="AC25">
        <v>272.58036289276401</v>
      </c>
      <c r="AD25">
        <v>4.5224705619338197</v>
      </c>
      <c r="AE25">
        <v>760.09551991213402</v>
      </c>
      <c r="AF25">
        <v>27.5325149047124</v>
      </c>
      <c r="AG25">
        <v>0</v>
      </c>
      <c r="AH25">
        <v>173.56400007538099</v>
      </c>
      <c r="AI25">
        <v>113.125713772786</v>
      </c>
      <c r="AJ25">
        <v>29.071620199274602</v>
      </c>
      <c r="AK25">
        <v>-8.8510996885282403</v>
      </c>
      <c r="AL25">
        <v>0.56890413532728201</v>
      </c>
      <c r="AM25">
        <v>1</v>
      </c>
      <c r="AN25">
        <v>1.08</v>
      </c>
      <c r="AO25">
        <v>0.96579643881293997</v>
      </c>
      <c r="AP25">
        <v>2.4614737382171299</v>
      </c>
      <c r="AQ25">
        <v>1</v>
      </c>
      <c r="AR25">
        <v>1.3195197059271699</v>
      </c>
      <c r="AS25">
        <v>1</v>
      </c>
      <c r="AT25">
        <v>0.99999389836136798</v>
      </c>
      <c r="AU25">
        <v>1</v>
      </c>
      <c r="AV25">
        <v>0.94</v>
      </c>
      <c r="AW25">
        <v>6.4567687811543206E-2</v>
      </c>
      <c r="AX25">
        <v>0.66215091863091102</v>
      </c>
      <c r="AY25">
        <v>1</v>
      </c>
      <c r="AZ25">
        <v>1</v>
      </c>
      <c r="BA25">
        <v>0.962908958266805</v>
      </c>
      <c r="BB25">
        <v>0.96</v>
      </c>
      <c r="BC25">
        <v>64221027105.599998</v>
      </c>
      <c r="BD25">
        <v>8.2635446200507806E-2</v>
      </c>
      <c r="BE25">
        <v>35276</v>
      </c>
    </row>
    <row r="26" spans="1:57" x14ac:dyDescent="0.25">
      <c r="A26">
        <v>25</v>
      </c>
      <c r="B26">
        <v>6000</v>
      </c>
      <c r="C26" s="2">
        <v>100</v>
      </c>
      <c r="D26">
        <v>1.36030541066796</v>
      </c>
      <c r="E26">
        <v>1.49517578665638</v>
      </c>
      <c r="F26">
        <v>0.90979630810499801</v>
      </c>
      <c r="G26">
        <v>0.134870375988419</v>
      </c>
      <c r="H26">
        <v>5.8621807314120401E-2</v>
      </c>
      <c r="I26">
        <v>3.15296108607463E-2</v>
      </c>
      <c r="J26">
        <v>4.5874209575527902E-2</v>
      </c>
      <c r="K26">
        <v>0.59188921929983995</v>
      </c>
      <c r="L26">
        <v>0.76726093960614095</v>
      </c>
      <c r="M26">
        <v>0</v>
      </c>
      <c r="N26">
        <v>6.0175457382089901</v>
      </c>
      <c r="O26">
        <v>93.982454261791005</v>
      </c>
      <c r="P26">
        <v>27.697791803006901</v>
      </c>
      <c r="Q26">
        <v>48.724915391129699</v>
      </c>
      <c r="R26">
        <v>23.572254628807599</v>
      </c>
      <c r="S26">
        <v>5.03817705581475E-3</v>
      </c>
      <c r="T26">
        <v>48.729953568185501</v>
      </c>
      <c r="U26">
        <v>1.1143070530517301</v>
      </c>
      <c r="V26">
        <v>85.085355545344598</v>
      </c>
      <c r="W26">
        <v>5178.5937798124696</v>
      </c>
      <c r="X26">
        <v>99.998042698066001</v>
      </c>
      <c r="Y26">
        <v>48.520712664150402</v>
      </c>
      <c r="Z26">
        <v>264.93905154129101</v>
      </c>
      <c r="AA26">
        <v>263.10585826078</v>
      </c>
      <c r="AB26">
        <v>77.301066542741907</v>
      </c>
      <c r="AC26">
        <v>274.98557876062</v>
      </c>
      <c r="AD26">
        <v>4.6619394516849404</v>
      </c>
      <c r="AE26">
        <v>744.59465624207996</v>
      </c>
      <c r="AF26">
        <v>24.16407044068</v>
      </c>
      <c r="AG26">
        <v>0</v>
      </c>
      <c r="AH26">
        <v>174.14164546101401</v>
      </c>
      <c r="AI26">
        <v>113.227823348179</v>
      </c>
      <c r="AJ26">
        <v>32.078367954305499</v>
      </c>
      <c r="AK26">
        <v>-0.32057291280167599</v>
      </c>
      <c r="AL26">
        <v>0.56971081742504603</v>
      </c>
      <c r="AM26">
        <v>1</v>
      </c>
      <c r="AN26">
        <v>1.08</v>
      </c>
      <c r="AO26">
        <v>1.30701280392168</v>
      </c>
      <c r="AP26">
        <v>3.2875253137240001</v>
      </c>
      <c r="AQ26">
        <v>1</v>
      </c>
      <c r="AR26">
        <v>1.3147525822366899</v>
      </c>
      <c r="AS26">
        <v>1</v>
      </c>
      <c r="AT26">
        <v>0.99998042698066003</v>
      </c>
      <c r="AU26">
        <v>1</v>
      </c>
      <c r="AV26">
        <v>0.94</v>
      </c>
      <c r="AW26">
        <v>7.2015310936767093E-2</v>
      </c>
      <c r="AX26">
        <v>0.65029255195652003</v>
      </c>
      <c r="AY26">
        <v>1</v>
      </c>
      <c r="AZ26">
        <v>1</v>
      </c>
      <c r="BA26">
        <v>0.97234060276609602</v>
      </c>
      <c r="BB26">
        <v>0.96</v>
      </c>
      <c r="BC26">
        <v>46642916157.300003</v>
      </c>
      <c r="BD26">
        <v>8.8560436196932504E-2</v>
      </c>
      <c r="BE26">
        <v>32787</v>
      </c>
    </row>
    <row r="27" spans="1:57" x14ac:dyDescent="0.25">
      <c r="A27">
        <v>26</v>
      </c>
      <c r="B27">
        <v>6000</v>
      </c>
      <c r="C27">
        <v>125</v>
      </c>
      <c r="D27">
        <v>1.5894090053579599</v>
      </c>
      <c r="E27">
        <v>1.70618092515797</v>
      </c>
      <c r="F27">
        <v>0.93155947409903395</v>
      </c>
      <c r="G27">
        <v>0.11677191980000901</v>
      </c>
      <c r="H27">
        <v>5.2789917949208301E-2</v>
      </c>
      <c r="I27">
        <v>4.9058903913612902E-2</v>
      </c>
      <c r="J27">
        <v>0.103388421886928</v>
      </c>
      <c r="K27">
        <v>0.62015160870867003</v>
      </c>
      <c r="L27">
        <v>0.88079207269954995</v>
      </c>
      <c r="M27">
        <v>0</v>
      </c>
      <c r="N27">
        <v>5.2317002483118999</v>
      </c>
      <c r="O27">
        <v>94.768299751688104</v>
      </c>
      <c r="P27">
        <v>27.394885593482901</v>
      </c>
      <c r="Q27">
        <v>43.925066434344799</v>
      </c>
      <c r="R27">
        <v>28.6800479721723</v>
      </c>
      <c r="S27">
        <v>0</v>
      </c>
      <c r="T27">
        <v>43.925066434344799</v>
      </c>
      <c r="U27">
        <v>1.92678127497473</v>
      </c>
      <c r="V27">
        <v>108.975444454521</v>
      </c>
      <c r="W27">
        <v>4929.1649527995396</v>
      </c>
      <c r="X27">
        <v>100</v>
      </c>
      <c r="Y27">
        <v>52.611899918143003</v>
      </c>
      <c r="Z27">
        <v>265.565867907871</v>
      </c>
      <c r="AA27">
        <v>263.93065923609902</v>
      </c>
      <c r="AB27">
        <v>64.1233808573879</v>
      </c>
      <c r="AC27">
        <v>289.84272223612197</v>
      </c>
      <c r="AD27">
        <v>4.8863223776543903</v>
      </c>
      <c r="AE27">
        <v>712.75641281722403</v>
      </c>
      <c r="AF27">
        <v>26.222534608356298</v>
      </c>
      <c r="AG27">
        <v>0</v>
      </c>
      <c r="AH27">
        <v>174.64318906994799</v>
      </c>
      <c r="AI27">
        <v>113.26318985328101</v>
      </c>
      <c r="AJ27">
        <v>33.212651615812</v>
      </c>
      <c r="AK27">
        <v>22.9080361699782</v>
      </c>
      <c r="AL27">
        <v>0.57046754694720703</v>
      </c>
      <c r="AM27">
        <v>1</v>
      </c>
      <c r="AN27">
        <v>1.08</v>
      </c>
      <c r="AO27">
        <v>1.47372636507291</v>
      </c>
      <c r="AP27">
        <v>3.9402575291695401</v>
      </c>
      <c r="AQ27">
        <v>1</v>
      </c>
      <c r="AR27">
        <v>1.31467076618649</v>
      </c>
      <c r="AS27">
        <v>1</v>
      </c>
      <c r="AT27">
        <v>1</v>
      </c>
      <c r="AU27">
        <v>1</v>
      </c>
      <c r="AV27">
        <v>0.94</v>
      </c>
      <c r="AW27">
        <v>7.5082511494767801E-2</v>
      </c>
      <c r="AX27">
        <v>0.659210877549542</v>
      </c>
      <c r="AY27">
        <v>1</v>
      </c>
      <c r="AZ27">
        <v>1</v>
      </c>
      <c r="BA27">
        <v>0.96657690309660205</v>
      </c>
      <c r="BB27">
        <v>0.96</v>
      </c>
      <c r="BC27">
        <v>12986959949</v>
      </c>
      <c r="BD27">
        <v>0.10152659541771</v>
      </c>
      <c r="BE27">
        <v>16161</v>
      </c>
    </row>
    <row r="28" spans="1:57" x14ac:dyDescent="0.25">
      <c r="A28">
        <v>27</v>
      </c>
      <c r="B28">
        <v>6000</v>
      </c>
      <c r="C28">
        <v>150</v>
      </c>
      <c r="D28">
        <v>1.89686432040799</v>
      </c>
      <c r="E28">
        <v>1.9528536405283401</v>
      </c>
      <c r="F28">
        <v>0.97132948473025604</v>
      </c>
      <c r="G28">
        <v>5.5989320120342502E-2</v>
      </c>
      <c r="H28">
        <v>4.86753845801043E-2</v>
      </c>
      <c r="I28">
        <v>6.9449100092959307E-2</v>
      </c>
      <c r="J28">
        <v>0.24798923270702</v>
      </c>
      <c r="K28">
        <v>0.678197663384565</v>
      </c>
      <c r="L28">
        <v>0.90854225976368697</v>
      </c>
      <c r="M28">
        <v>0</v>
      </c>
      <c r="N28">
        <v>3.3769652119344502</v>
      </c>
      <c r="O28">
        <v>96.623034788065596</v>
      </c>
      <c r="P28">
        <v>20.3702278859279</v>
      </c>
      <c r="Q28">
        <v>44.579953983326199</v>
      </c>
      <c r="R28">
        <v>35.049818130745898</v>
      </c>
      <c r="S28">
        <v>0</v>
      </c>
      <c r="T28">
        <v>44.579953983326199</v>
      </c>
      <c r="U28">
        <v>2.98294395538346</v>
      </c>
      <c r="V28">
        <v>134.98857730802001</v>
      </c>
      <c r="W28">
        <v>4905.3090965274396</v>
      </c>
      <c r="X28">
        <v>100</v>
      </c>
      <c r="Y28">
        <v>53.2251293260938</v>
      </c>
      <c r="Z28">
        <v>264.41236834183798</v>
      </c>
      <c r="AA28">
        <v>262.95475581507401</v>
      </c>
      <c r="AB28">
        <v>54.967049316607799</v>
      </c>
      <c r="AC28">
        <v>297.86652557794901</v>
      </c>
      <c r="AD28">
        <v>5.1835143136819504</v>
      </c>
      <c r="AE28">
        <v>675.42970185446995</v>
      </c>
      <c r="AF28">
        <v>35.8551932338776</v>
      </c>
      <c r="AG28">
        <v>0</v>
      </c>
      <c r="AH28">
        <v>174.424377995556</v>
      </c>
      <c r="AI28">
        <v>113.26301648863</v>
      </c>
      <c r="AJ28">
        <v>33.172674214534702</v>
      </c>
      <c r="AK28">
        <v>54.096414055515098</v>
      </c>
      <c r="AL28">
        <v>0.57012449238090102</v>
      </c>
      <c r="AM28">
        <v>1</v>
      </c>
      <c r="AN28">
        <v>1.08</v>
      </c>
      <c r="AO28">
        <v>1.55127527524318</v>
      </c>
      <c r="AP28">
        <v>4.4505734378566402</v>
      </c>
      <c r="AQ28">
        <v>1</v>
      </c>
      <c r="AR28">
        <v>1.31084506215762</v>
      </c>
      <c r="AS28">
        <v>1</v>
      </c>
      <c r="AT28">
        <v>1</v>
      </c>
      <c r="AU28">
        <v>1</v>
      </c>
      <c r="AV28">
        <v>0.94</v>
      </c>
      <c r="AW28">
        <v>7.4532581571745304E-2</v>
      </c>
      <c r="AX28">
        <v>0.65901990414459799</v>
      </c>
      <c r="AY28">
        <v>1</v>
      </c>
      <c r="AZ28">
        <v>1</v>
      </c>
      <c r="BA28">
        <v>0.93960545894514302</v>
      </c>
      <c r="BB28">
        <v>0.96</v>
      </c>
      <c r="BC28">
        <v>3495969718.0999999</v>
      </c>
      <c r="BD28">
        <v>0.123327920099014</v>
      </c>
      <c r="BE28">
        <v>6018</v>
      </c>
    </row>
    <row r="29" spans="1:57" x14ac:dyDescent="0.25">
      <c r="A29">
        <v>28</v>
      </c>
      <c r="B29">
        <v>6000</v>
      </c>
      <c r="C29">
        <v>175</v>
      </c>
      <c r="D29">
        <v>1.6998183280660599</v>
      </c>
      <c r="E29">
        <v>2.0289716068793</v>
      </c>
      <c r="F29">
        <v>0.83777334404422599</v>
      </c>
      <c r="G29">
        <v>0.32915327881324102</v>
      </c>
      <c r="H29">
        <v>5.3125261522114303E-2</v>
      </c>
      <c r="I29">
        <v>5.8939579432294303E-2</v>
      </c>
      <c r="J29">
        <v>0.28289036720658101</v>
      </c>
      <c r="K29">
        <v>0.70135603162742899</v>
      </c>
      <c r="L29">
        <v>0.93266036709087696</v>
      </c>
      <c r="M29">
        <v>0</v>
      </c>
      <c r="N29">
        <v>3.9747765423505701</v>
      </c>
      <c r="O29">
        <v>96.025223457649403</v>
      </c>
      <c r="P29">
        <v>17.2672680781377</v>
      </c>
      <c r="Q29">
        <v>41.0518057992984</v>
      </c>
      <c r="R29">
        <v>41.680926122563797</v>
      </c>
      <c r="S29">
        <v>0</v>
      </c>
      <c r="T29">
        <v>41.0518057992984</v>
      </c>
      <c r="U29">
        <v>2.4217578962448099</v>
      </c>
      <c r="V29">
        <v>157.62519038725699</v>
      </c>
      <c r="W29">
        <v>5255.1099891655103</v>
      </c>
      <c r="X29">
        <v>100</v>
      </c>
      <c r="Y29">
        <v>50.950119259668</v>
      </c>
      <c r="Z29">
        <v>262.54188142379599</v>
      </c>
      <c r="AA29">
        <v>261.70835233208101</v>
      </c>
      <c r="AB29">
        <v>64.753101621152297</v>
      </c>
      <c r="AC29">
        <v>282.48096392366398</v>
      </c>
      <c r="AD29">
        <v>5.3704499060431399</v>
      </c>
      <c r="AE29">
        <v>674.88797996007304</v>
      </c>
      <c r="AF29">
        <v>31.908949997958299</v>
      </c>
      <c r="AG29">
        <v>0</v>
      </c>
      <c r="AH29">
        <v>174.14930183330401</v>
      </c>
      <c r="AI29">
        <v>113.29530903921599</v>
      </c>
      <c r="AJ29">
        <v>34.055540823124801</v>
      </c>
      <c r="AK29">
        <v>65.322507060963503</v>
      </c>
      <c r="AL29">
        <v>0.56967650565794503</v>
      </c>
      <c r="AM29">
        <v>1</v>
      </c>
      <c r="AN29">
        <v>1.08</v>
      </c>
      <c r="AO29">
        <v>1.5819189486284599</v>
      </c>
      <c r="AP29">
        <v>4.7649901384454498</v>
      </c>
      <c r="AQ29">
        <v>1</v>
      </c>
      <c r="AR29">
        <v>1.3026299778011501</v>
      </c>
      <c r="AS29">
        <v>1</v>
      </c>
      <c r="AT29">
        <v>1</v>
      </c>
      <c r="AU29">
        <v>1</v>
      </c>
      <c r="AV29">
        <v>0.94</v>
      </c>
      <c r="AW29">
        <v>7.7521248416899696E-2</v>
      </c>
      <c r="AX29">
        <v>0.64738320965928597</v>
      </c>
      <c r="AY29">
        <v>1</v>
      </c>
      <c r="AZ29">
        <v>1</v>
      </c>
      <c r="BA29">
        <v>0.95065494000571704</v>
      </c>
      <c r="BB29">
        <v>0.96</v>
      </c>
      <c r="BC29">
        <v>642267552.10000002</v>
      </c>
      <c r="BD29">
        <v>0.12678321469807499</v>
      </c>
      <c r="BE29">
        <v>1689</v>
      </c>
    </row>
    <row r="30" spans="1:57" x14ac:dyDescent="0.25">
      <c r="A30">
        <v>29</v>
      </c>
      <c r="B30">
        <v>6000</v>
      </c>
      <c r="C30">
        <v>200</v>
      </c>
      <c r="D30">
        <v>1.12086220220702</v>
      </c>
      <c r="E30">
        <v>1.8468133935328499</v>
      </c>
      <c r="F30">
        <v>0.60691686887914398</v>
      </c>
      <c r="G30">
        <v>0.72595119132582497</v>
      </c>
      <c r="H30">
        <v>5.87496542534977E-2</v>
      </c>
      <c r="I30">
        <v>4.10683127285809E-2</v>
      </c>
      <c r="J30">
        <v>0.13386274309247301</v>
      </c>
      <c r="K30">
        <v>0.66914161965908803</v>
      </c>
      <c r="L30">
        <v>0.94399106379920805</v>
      </c>
      <c r="M30">
        <v>0</v>
      </c>
      <c r="N30">
        <v>9.8701345895009602</v>
      </c>
      <c r="O30">
        <v>90.129865410498994</v>
      </c>
      <c r="P30">
        <v>23.704524126143699</v>
      </c>
      <c r="Q30">
        <v>23.822150324228801</v>
      </c>
      <c r="R30">
        <v>52.473325549627603</v>
      </c>
      <c r="S30">
        <v>0</v>
      </c>
      <c r="T30">
        <v>23.822150324228801</v>
      </c>
      <c r="U30">
        <v>1.4385295898325099</v>
      </c>
      <c r="V30">
        <v>184.748072116288</v>
      </c>
      <c r="W30">
        <v>5412.5556553142496</v>
      </c>
      <c r="X30">
        <v>100</v>
      </c>
      <c r="Y30">
        <v>48.985330566900302</v>
      </c>
      <c r="Z30">
        <v>249.98273629710999</v>
      </c>
      <c r="AA30">
        <v>249.68314404234599</v>
      </c>
      <c r="AB30">
        <v>76.892603863758694</v>
      </c>
      <c r="AC30">
        <v>257.87928823181102</v>
      </c>
      <c r="AD30">
        <v>5.6094935411923998</v>
      </c>
      <c r="AE30">
        <v>706.95788474016797</v>
      </c>
      <c r="AF30">
        <v>19.5576766210419</v>
      </c>
      <c r="AG30">
        <v>0</v>
      </c>
      <c r="AH30">
        <v>172.926536673627</v>
      </c>
      <c r="AI30">
        <v>113.223797739503</v>
      </c>
      <c r="AJ30">
        <v>31.8414487206187</v>
      </c>
      <c r="AK30">
        <v>86.378415994057505</v>
      </c>
      <c r="AL30">
        <v>0.56783119811543203</v>
      </c>
      <c r="AM30">
        <v>1</v>
      </c>
      <c r="AN30">
        <v>1.08</v>
      </c>
      <c r="AO30">
        <v>1.5934116660483</v>
      </c>
      <c r="AP30">
        <v>4.9858219089353497</v>
      </c>
      <c r="AQ30">
        <v>1</v>
      </c>
      <c r="AR30">
        <v>1.27664254793867</v>
      </c>
      <c r="AS30">
        <v>1</v>
      </c>
      <c r="AT30">
        <v>1</v>
      </c>
      <c r="AU30">
        <v>1</v>
      </c>
      <c r="AV30">
        <v>0.94</v>
      </c>
      <c r="AW30">
        <v>7.1369331655090795E-2</v>
      </c>
      <c r="AX30">
        <v>0.64307722040356696</v>
      </c>
      <c r="AY30">
        <v>1</v>
      </c>
      <c r="AZ30">
        <v>1</v>
      </c>
      <c r="BA30">
        <v>0.98523850546108305</v>
      </c>
      <c r="BB30">
        <v>0.96</v>
      </c>
      <c r="BC30">
        <v>102066208</v>
      </c>
      <c r="BD30">
        <v>0.102668641468631</v>
      </c>
      <c r="BE30">
        <v>401</v>
      </c>
    </row>
    <row r="31" spans="1:57" x14ac:dyDescent="0.25">
      <c r="A31">
        <v>30</v>
      </c>
      <c r="B31">
        <v>6000</v>
      </c>
      <c r="C31">
        <v>225</v>
      </c>
      <c r="D31">
        <v>3.28411405946418</v>
      </c>
      <c r="E31">
        <v>1.89298205553867</v>
      </c>
      <c r="F31">
        <v>1.73488916593541</v>
      </c>
      <c r="G31">
        <v>-1.39113200392551</v>
      </c>
      <c r="H31">
        <v>5.59759428706939E-2</v>
      </c>
      <c r="I31">
        <v>5.6281983117431697E-2</v>
      </c>
      <c r="J31">
        <v>0.109375199678754</v>
      </c>
      <c r="K31">
        <v>0.70960798255506496</v>
      </c>
      <c r="L31">
        <v>0.96174094731672899</v>
      </c>
      <c r="M31">
        <v>0</v>
      </c>
      <c r="N31">
        <v>0.88840835857557998</v>
      </c>
      <c r="O31">
        <v>99.111591641424397</v>
      </c>
      <c r="P31">
        <v>37.943027187950698</v>
      </c>
      <c r="Q31">
        <v>12.816089766244</v>
      </c>
      <c r="R31">
        <v>49.240883045805298</v>
      </c>
      <c r="S31">
        <v>0</v>
      </c>
      <c r="T31">
        <v>12.816089766244</v>
      </c>
      <c r="U31">
        <v>1.9498210816971</v>
      </c>
      <c r="V31">
        <v>208.72115684851499</v>
      </c>
      <c r="W31">
        <v>5531.5868865529701</v>
      </c>
      <c r="X31">
        <v>100</v>
      </c>
      <c r="Y31">
        <v>49.488053358798403</v>
      </c>
      <c r="Z31">
        <v>251.25510574094099</v>
      </c>
      <c r="AA31">
        <v>250.31984906306201</v>
      </c>
      <c r="AB31">
        <v>70.779678485214205</v>
      </c>
      <c r="AC31">
        <v>246.17679755653299</v>
      </c>
      <c r="AD31">
        <v>5.8677407293706203</v>
      </c>
      <c r="AE31">
        <v>701.72966472428902</v>
      </c>
      <c r="AF31">
        <v>9.8664256339150498</v>
      </c>
      <c r="AG31">
        <v>0</v>
      </c>
      <c r="AH31">
        <v>172.144503024138</v>
      </c>
      <c r="AI31">
        <v>113.19454977230799</v>
      </c>
      <c r="AJ31">
        <v>30.787263865562899</v>
      </c>
      <c r="AK31">
        <v>126.082148099028</v>
      </c>
      <c r="AL31">
        <v>0.566611681347582</v>
      </c>
      <c r="AM31">
        <v>1</v>
      </c>
      <c r="AN31">
        <v>1.08</v>
      </c>
      <c r="AO31">
        <v>1.5967425800783399</v>
      </c>
      <c r="AP31">
        <v>5.0649828470513301</v>
      </c>
      <c r="AQ31">
        <v>1</v>
      </c>
      <c r="AR31">
        <v>1.2825526892282999</v>
      </c>
      <c r="AS31">
        <v>1</v>
      </c>
      <c r="AT31">
        <v>1</v>
      </c>
      <c r="AU31">
        <v>1</v>
      </c>
      <c r="AV31">
        <v>0.94</v>
      </c>
      <c r="AW31">
        <v>6.7401913524566301E-2</v>
      </c>
      <c r="AX31">
        <v>0.64004070669553603</v>
      </c>
      <c r="AY31">
        <v>1</v>
      </c>
      <c r="AZ31">
        <v>1</v>
      </c>
      <c r="BA31">
        <v>1.0123740082250401</v>
      </c>
      <c r="BB31">
        <v>0.96</v>
      </c>
      <c r="BC31">
        <v>20166885.899999999</v>
      </c>
      <c r="BD31">
        <v>0.19591783996345799</v>
      </c>
      <c r="BE31">
        <v>76</v>
      </c>
    </row>
    <row r="32" spans="1:57" x14ac:dyDescent="0.25">
      <c r="A32">
        <v>31</v>
      </c>
      <c r="B32">
        <v>6000</v>
      </c>
      <c r="C32">
        <v>250</v>
      </c>
      <c r="D32">
        <v>6.5237439633563099E-2</v>
      </c>
      <c r="E32">
        <v>1.75973010552451</v>
      </c>
      <c r="F32">
        <v>3.7072412086805798E-2</v>
      </c>
      <c r="G32">
        <v>1.69449266589095</v>
      </c>
      <c r="H32">
        <v>4.9018200172648602E-2</v>
      </c>
      <c r="I32">
        <v>2.7408295579352801E-2</v>
      </c>
      <c r="J32">
        <v>6.4131591516448205E-2</v>
      </c>
      <c r="K32">
        <v>0.67678764995428897</v>
      </c>
      <c r="L32">
        <v>0.94238436830177497</v>
      </c>
      <c r="M32">
        <v>0</v>
      </c>
      <c r="N32">
        <v>28.1023412891502</v>
      </c>
      <c r="O32">
        <v>71.897658710849797</v>
      </c>
      <c r="P32">
        <v>77.868675211699099</v>
      </c>
      <c r="Q32">
        <v>0</v>
      </c>
      <c r="R32">
        <v>22.131324788300901</v>
      </c>
      <c r="S32">
        <v>0</v>
      </c>
      <c r="T32">
        <v>0</v>
      </c>
      <c r="U32">
        <v>1.0803937196579001</v>
      </c>
      <c r="V32">
        <v>237.99533432133299</v>
      </c>
      <c r="W32">
        <v>5509.4721819275301</v>
      </c>
      <c r="X32">
        <v>100</v>
      </c>
      <c r="Y32">
        <v>50.006109280340702</v>
      </c>
      <c r="Z32">
        <v>225.059876389338</v>
      </c>
      <c r="AA32">
        <v>225.059876389338</v>
      </c>
      <c r="AB32">
        <v>55.802403895562101</v>
      </c>
      <c r="AC32">
        <v>230.77073618935799</v>
      </c>
      <c r="AD32">
        <v>6.2122023091037502</v>
      </c>
      <c r="AE32">
        <v>714.38025137724503</v>
      </c>
      <c r="AF32">
        <v>0</v>
      </c>
      <c r="AG32">
        <v>0</v>
      </c>
      <c r="AH32">
        <v>171.72790661994901</v>
      </c>
      <c r="AI32">
        <v>113.172464664003</v>
      </c>
      <c r="AJ32">
        <v>30.1789997716334</v>
      </c>
      <c r="AK32">
        <v>201.76921315062401</v>
      </c>
      <c r="AL32">
        <v>0.56600471743205605</v>
      </c>
      <c r="AM32">
        <v>1</v>
      </c>
      <c r="AN32">
        <v>1.08</v>
      </c>
      <c r="AO32">
        <v>1.5989255334005901</v>
      </c>
      <c r="AP32">
        <v>5.1043646074623696</v>
      </c>
      <c r="AQ32">
        <v>1</v>
      </c>
      <c r="AR32">
        <v>1.2131749469191599</v>
      </c>
      <c r="AS32">
        <v>1</v>
      </c>
      <c r="AT32">
        <v>1</v>
      </c>
      <c r="AU32">
        <v>1</v>
      </c>
      <c r="AV32">
        <v>0.94</v>
      </c>
      <c r="AW32">
        <v>6.6490718707751598E-2</v>
      </c>
      <c r="AX32">
        <v>0.64031319440859202</v>
      </c>
      <c r="AY32">
        <v>1</v>
      </c>
      <c r="AZ32">
        <v>1</v>
      </c>
      <c r="BA32">
        <v>1.04</v>
      </c>
      <c r="BB32">
        <v>0.96</v>
      </c>
      <c r="BC32">
        <v>4783535.5999999996</v>
      </c>
      <c r="BD32">
        <v>3.0314736104875202E-4</v>
      </c>
      <c r="BE32">
        <v>22</v>
      </c>
    </row>
    <row r="33" spans="1:57" x14ac:dyDescent="0.25">
      <c r="A33">
        <v>32</v>
      </c>
      <c r="B33">
        <v>8000</v>
      </c>
      <c r="C33">
        <v>50</v>
      </c>
      <c r="D33">
        <v>1.13993954787206</v>
      </c>
      <c r="E33">
        <v>1.0118746122370399</v>
      </c>
      <c r="F33">
        <v>1.1265620602456801</v>
      </c>
      <c r="G33">
        <v>-0.128064935635021</v>
      </c>
      <c r="H33">
        <v>6.5428929220488499E-2</v>
      </c>
      <c r="I33">
        <v>3.3159530575411697E-2</v>
      </c>
      <c r="J33">
        <v>2.0529677000897799E-2</v>
      </c>
      <c r="K33">
        <v>0.57685831479072003</v>
      </c>
      <c r="L33">
        <v>0.31589816064952397</v>
      </c>
      <c r="M33">
        <v>0</v>
      </c>
      <c r="N33">
        <v>6.3590867613100803</v>
      </c>
      <c r="O33">
        <v>93.640913238689905</v>
      </c>
      <c r="P33">
        <v>22.585154962616699</v>
      </c>
      <c r="Q33">
        <v>50.3268912843061</v>
      </c>
      <c r="R33">
        <v>27.087953753077201</v>
      </c>
      <c r="S33">
        <v>0</v>
      </c>
      <c r="T33">
        <v>50.3268912843061</v>
      </c>
      <c r="U33">
        <v>1.21070951222728</v>
      </c>
      <c r="V33">
        <v>42.077138224417503</v>
      </c>
      <c r="W33">
        <v>6939.3661877715404</v>
      </c>
      <c r="X33">
        <v>100</v>
      </c>
      <c r="Y33">
        <v>39.921671934473899</v>
      </c>
      <c r="Z33">
        <v>264.446865233067</v>
      </c>
      <c r="AA33">
        <v>262.56808241441797</v>
      </c>
      <c r="AB33">
        <v>91.499924900317495</v>
      </c>
      <c r="AC33">
        <v>258.87459140739998</v>
      </c>
      <c r="AD33">
        <v>4.6875281154836399</v>
      </c>
      <c r="AE33">
        <v>761.77182347083203</v>
      </c>
      <c r="AF33">
        <v>20.4541628644171</v>
      </c>
      <c r="AG33">
        <v>0</v>
      </c>
      <c r="AH33">
        <v>179.499052476808</v>
      </c>
      <c r="AI33">
        <v>112.80031584106401</v>
      </c>
      <c r="AJ33">
        <v>14.5202138280954</v>
      </c>
      <c r="AK33">
        <v>-12.439154048487699</v>
      </c>
      <c r="AL33">
        <v>0.57829966304157399</v>
      </c>
      <c r="AM33">
        <v>1</v>
      </c>
      <c r="AN33">
        <v>1.08</v>
      </c>
      <c r="AO33">
        <v>0.56703803731473901</v>
      </c>
      <c r="AP33">
        <v>1.56330827550651</v>
      </c>
      <c r="AQ33">
        <v>1</v>
      </c>
      <c r="AR33">
        <v>1.3139773254341101</v>
      </c>
      <c r="AS33">
        <v>1</v>
      </c>
      <c r="AT33">
        <v>1</v>
      </c>
      <c r="AU33">
        <v>1</v>
      </c>
      <c r="AV33">
        <v>0.94</v>
      </c>
      <c r="AW33">
        <v>4.3570820783070702E-2</v>
      </c>
      <c r="AX33">
        <v>0.61538859533965096</v>
      </c>
      <c r="AY33">
        <v>1</v>
      </c>
      <c r="AZ33">
        <v>1</v>
      </c>
      <c r="BA33">
        <v>0.98272834397963205</v>
      </c>
      <c r="BB33">
        <v>0.96</v>
      </c>
      <c r="BC33">
        <v>6195428058.8999996</v>
      </c>
      <c r="BD33">
        <v>8.0306214831157893E-2</v>
      </c>
      <c r="BE33">
        <v>2790</v>
      </c>
    </row>
    <row r="34" spans="1:57" x14ac:dyDescent="0.25">
      <c r="A34">
        <v>33</v>
      </c>
      <c r="B34">
        <v>8000</v>
      </c>
      <c r="C34">
        <v>75</v>
      </c>
      <c r="D34">
        <v>1.1471735534504699</v>
      </c>
      <c r="E34">
        <v>1.2325761192476199</v>
      </c>
      <c r="F34">
        <v>0.93071213658651497</v>
      </c>
      <c r="G34">
        <v>8.5402565797152497E-2</v>
      </c>
      <c r="H34">
        <v>6.3128523553451804E-2</v>
      </c>
      <c r="I34">
        <v>3.1989551315229202E-2</v>
      </c>
      <c r="J34">
        <v>2.4842688862190401E-2</v>
      </c>
      <c r="K34">
        <v>0.52649672657241198</v>
      </c>
      <c r="L34">
        <v>0.58611862894433597</v>
      </c>
      <c r="M34">
        <v>0</v>
      </c>
      <c r="N34">
        <v>6.2641555608898001</v>
      </c>
      <c r="O34">
        <v>93.735844439110195</v>
      </c>
      <c r="P34">
        <v>21.655350066757801</v>
      </c>
      <c r="Q34">
        <v>49.838521651494403</v>
      </c>
      <c r="R34">
        <v>28.506128281747898</v>
      </c>
      <c r="S34">
        <v>0</v>
      </c>
      <c r="T34">
        <v>49.838521651494403</v>
      </c>
      <c r="U34">
        <v>1.10837934560889</v>
      </c>
      <c r="V34">
        <v>65.628985834568695</v>
      </c>
      <c r="W34">
        <v>6725.62174358006</v>
      </c>
      <c r="X34">
        <v>100</v>
      </c>
      <c r="Y34">
        <v>41.776505684650999</v>
      </c>
      <c r="Z34">
        <v>266.72433277097599</v>
      </c>
      <c r="AA34">
        <v>264.91067503992298</v>
      </c>
      <c r="AB34">
        <v>86.850048026654207</v>
      </c>
      <c r="AC34">
        <v>263.96607948078503</v>
      </c>
      <c r="AD34">
        <v>4.7143574437545297</v>
      </c>
      <c r="AE34">
        <v>759.86505710027404</v>
      </c>
      <c r="AF34">
        <v>19.370846608341601</v>
      </c>
      <c r="AG34">
        <v>0</v>
      </c>
      <c r="AH34">
        <v>175.006543246717</v>
      </c>
      <c r="AI34">
        <v>112.913358648637</v>
      </c>
      <c r="AJ34">
        <v>22.117761502780301</v>
      </c>
      <c r="AK34">
        <v>-12.0174347807678</v>
      </c>
      <c r="AL34">
        <v>0.57132403649353103</v>
      </c>
      <c r="AM34">
        <v>1</v>
      </c>
      <c r="AN34">
        <v>1.08</v>
      </c>
      <c r="AO34">
        <v>0.99682349430999895</v>
      </c>
      <c r="AP34">
        <v>2.5324407567363898</v>
      </c>
      <c r="AQ34">
        <v>1</v>
      </c>
      <c r="AR34">
        <v>1.3185606593258301</v>
      </c>
      <c r="AS34">
        <v>1</v>
      </c>
      <c r="AT34">
        <v>1</v>
      </c>
      <c r="AU34">
        <v>1</v>
      </c>
      <c r="AV34">
        <v>0.94</v>
      </c>
      <c r="AW34">
        <v>5.2891481286337E-2</v>
      </c>
      <c r="AX34">
        <v>0.61841255780170901</v>
      </c>
      <c r="AY34">
        <v>1</v>
      </c>
      <c r="AZ34">
        <v>1</v>
      </c>
      <c r="BA34">
        <v>0.98576162949664303</v>
      </c>
      <c r="BB34">
        <v>0.96</v>
      </c>
      <c r="BC34">
        <v>17901838152</v>
      </c>
      <c r="BD34">
        <v>8.1784617721386094E-2</v>
      </c>
      <c r="BE34">
        <v>10205</v>
      </c>
    </row>
    <row r="35" spans="1:57" x14ac:dyDescent="0.25">
      <c r="A35">
        <v>34</v>
      </c>
      <c r="B35">
        <v>8000</v>
      </c>
      <c r="C35" s="2">
        <v>100</v>
      </c>
      <c r="D35">
        <v>1.32101127568536</v>
      </c>
      <c r="E35">
        <v>1.44204664624792</v>
      </c>
      <c r="F35">
        <v>0.91606695187185305</v>
      </c>
      <c r="G35">
        <v>0.12103537056256</v>
      </c>
      <c r="H35">
        <v>6.1963315513905097E-2</v>
      </c>
      <c r="I35">
        <v>3.3210153245039703E-2</v>
      </c>
      <c r="J35">
        <v>2.4308488139123199E-2</v>
      </c>
      <c r="K35">
        <v>0.56381242394547604</v>
      </c>
      <c r="L35">
        <v>0.75875226540437901</v>
      </c>
      <c r="M35">
        <v>0</v>
      </c>
      <c r="N35">
        <v>6.6069117044388799</v>
      </c>
      <c r="O35">
        <v>93.3930882955611</v>
      </c>
      <c r="P35">
        <v>23.4923221543715</v>
      </c>
      <c r="Q35">
        <v>48.119834274528699</v>
      </c>
      <c r="R35">
        <v>28.3878435710998</v>
      </c>
      <c r="S35">
        <v>0</v>
      </c>
      <c r="T35">
        <v>48.119834274528699</v>
      </c>
      <c r="U35">
        <v>1.1229249849968099</v>
      </c>
      <c r="V35">
        <v>89.075185315853105</v>
      </c>
      <c r="W35">
        <v>6879.54417186095</v>
      </c>
      <c r="X35">
        <v>100</v>
      </c>
      <c r="Y35">
        <v>43.107463559748098</v>
      </c>
      <c r="Z35">
        <v>265.84633846103998</v>
      </c>
      <c r="AA35">
        <v>263.94366884519798</v>
      </c>
      <c r="AB35">
        <v>84.514501088827004</v>
      </c>
      <c r="AC35">
        <v>266.53851293848101</v>
      </c>
      <c r="AD35">
        <v>4.7716808539123301</v>
      </c>
      <c r="AE35">
        <v>759.55192962190699</v>
      </c>
      <c r="AF35">
        <v>18.690123724002198</v>
      </c>
      <c r="AG35">
        <v>0</v>
      </c>
      <c r="AH35">
        <v>172.96707019645299</v>
      </c>
      <c r="AI35">
        <v>113.10587861129</v>
      </c>
      <c r="AJ35">
        <v>28.6429317174636</v>
      </c>
      <c r="AK35">
        <v>-10.041537281483601</v>
      </c>
      <c r="AL35">
        <v>0.56799384575143397</v>
      </c>
      <c r="AM35">
        <v>1</v>
      </c>
      <c r="AN35">
        <v>1.08</v>
      </c>
      <c r="AO35">
        <v>1.35110906066084</v>
      </c>
      <c r="AP35">
        <v>3.41933713426093</v>
      </c>
      <c r="AQ35">
        <v>1</v>
      </c>
      <c r="AR35">
        <v>1.3165539508542099</v>
      </c>
      <c r="AS35">
        <v>1</v>
      </c>
      <c r="AT35">
        <v>1</v>
      </c>
      <c r="AU35">
        <v>1</v>
      </c>
      <c r="AV35">
        <v>0.94</v>
      </c>
      <c r="AW35">
        <v>6.3137003976357894E-2</v>
      </c>
      <c r="AX35">
        <v>0.61622590474966499</v>
      </c>
      <c r="AY35">
        <v>1</v>
      </c>
      <c r="AZ35">
        <v>1</v>
      </c>
      <c r="BA35">
        <v>0.98766765357279396</v>
      </c>
      <c r="BB35">
        <v>0.96</v>
      </c>
      <c r="BC35">
        <v>74902550914.600006</v>
      </c>
      <c r="BD35">
        <v>8.1780730045613106E-2</v>
      </c>
      <c r="BE35">
        <v>30736</v>
      </c>
    </row>
    <row r="36" spans="1:57" x14ac:dyDescent="0.25">
      <c r="A36">
        <v>35</v>
      </c>
      <c r="B36">
        <v>8000</v>
      </c>
      <c r="C36" s="2">
        <v>125</v>
      </c>
      <c r="D36">
        <v>1.4611427718719501</v>
      </c>
      <c r="E36">
        <v>1.55623961029784</v>
      </c>
      <c r="F36">
        <v>0.93889318984260295</v>
      </c>
      <c r="G36">
        <v>9.5096838425891395E-2</v>
      </c>
      <c r="H36">
        <v>6.2509056319875494E-2</v>
      </c>
      <c r="I36">
        <v>3.6908614537064302E-2</v>
      </c>
      <c r="J36">
        <v>3.65081939817503E-2</v>
      </c>
      <c r="K36">
        <v>0.58948202515616399</v>
      </c>
      <c r="L36">
        <v>0.83083172030298502</v>
      </c>
      <c r="M36">
        <v>0</v>
      </c>
      <c r="N36">
        <v>6.7181168924214596</v>
      </c>
      <c r="O36">
        <v>93.281883107578494</v>
      </c>
      <c r="P36">
        <v>28.2009402622623</v>
      </c>
      <c r="Q36">
        <v>44.903842560887497</v>
      </c>
      <c r="R36">
        <v>26.895217176850299</v>
      </c>
      <c r="S36">
        <v>0</v>
      </c>
      <c r="T36">
        <v>44.903842560887497</v>
      </c>
      <c r="U36">
        <v>1.2375367643789801</v>
      </c>
      <c r="V36">
        <v>108.537064681028</v>
      </c>
      <c r="W36">
        <v>7201.4190301300396</v>
      </c>
      <c r="X36">
        <v>100</v>
      </c>
      <c r="Y36">
        <v>46.8899691983789</v>
      </c>
      <c r="Z36">
        <v>262.37214536295801</v>
      </c>
      <c r="AA36">
        <v>260.46269471494702</v>
      </c>
      <c r="AB36">
        <v>85.645183589753202</v>
      </c>
      <c r="AC36">
        <v>266.32959102068497</v>
      </c>
      <c r="AD36">
        <v>4.8463668054299998</v>
      </c>
      <c r="AE36">
        <v>750.06586129837501</v>
      </c>
      <c r="AF36">
        <v>18.471372514310701</v>
      </c>
      <c r="AG36">
        <v>0</v>
      </c>
      <c r="AH36">
        <v>174.223630402677</v>
      </c>
      <c r="AI36">
        <v>113.279968241711</v>
      </c>
      <c r="AJ36">
        <v>33.542976519305597</v>
      </c>
      <c r="AK36">
        <v>-4.0911821934009902</v>
      </c>
      <c r="AL36">
        <v>0.569797904241506</v>
      </c>
      <c r="AM36">
        <v>1</v>
      </c>
      <c r="AN36">
        <v>1.08</v>
      </c>
      <c r="AO36">
        <v>1.47241526732441</v>
      </c>
      <c r="AP36">
        <v>3.9307563267984</v>
      </c>
      <c r="AQ36">
        <v>1</v>
      </c>
      <c r="AR36">
        <v>1.3091659323673499</v>
      </c>
      <c r="AS36">
        <v>1</v>
      </c>
      <c r="AT36">
        <v>1</v>
      </c>
      <c r="AU36">
        <v>1</v>
      </c>
      <c r="AV36">
        <v>0.94</v>
      </c>
      <c r="AW36">
        <v>7.5575825826646501E-2</v>
      </c>
      <c r="AX36">
        <v>0.61158831055981899</v>
      </c>
      <c r="AY36">
        <v>1</v>
      </c>
      <c r="AZ36">
        <v>1</v>
      </c>
      <c r="BA36">
        <v>0.98828015695992999</v>
      </c>
      <c r="BB36">
        <v>0.96</v>
      </c>
      <c r="BC36">
        <v>55511926464.199997</v>
      </c>
      <c r="BD36">
        <v>8.6857391608716E-2</v>
      </c>
      <c r="BE36">
        <v>26027</v>
      </c>
    </row>
    <row r="37" spans="1:57" x14ac:dyDescent="0.25">
      <c r="A37">
        <v>36</v>
      </c>
      <c r="B37">
        <v>8000</v>
      </c>
      <c r="C37">
        <v>150</v>
      </c>
      <c r="D37">
        <v>1.755612828896</v>
      </c>
      <c r="E37">
        <v>1.80293876931643</v>
      </c>
      <c r="F37">
        <v>0.97375066684135503</v>
      </c>
      <c r="G37">
        <v>4.7325940420423603E-2</v>
      </c>
      <c r="H37">
        <v>6.2436305054758501E-2</v>
      </c>
      <c r="I37">
        <v>6.5291493304112005E-2</v>
      </c>
      <c r="J37">
        <v>0.12943392425274999</v>
      </c>
      <c r="K37">
        <v>0.67655975597845297</v>
      </c>
      <c r="L37">
        <v>0.86921729072635401</v>
      </c>
      <c r="M37">
        <v>0</v>
      </c>
      <c r="N37">
        <v>6.5829508285116303</v>
      </c>
      <c r="O37">
        <v>93.417049171488401</v>
      </c>
      <c r="P37">
        <v>32.602446693713297</v>
      </c>
      <c r="Q37">
        <v>42.597538903542002</v>
      </c>
      <c r="R37">
        <v>24.8000144027448</v>
      </c>
      <c r="S37">
        <v>0</v>
      </c>
      <c r="T37">
        <v>42.597538903542002</v>
      </c>
      <c r="U37">
        <v>2.1324061991168</v>
      </c>
      <c r="V37">
        <v>133.513112380845</v>
      </c>
      <c r="W37">
        <v>7315.0680970121202</v>
      </c>
      <c r="X37">
        <v>100</v>
      </c>
      <c r="Y37">
        <v>54.920861561230303</v>
      </c>
      <c r="Z37">
        <v>258.51918699021502</v>
      </c>
      <c r="AA37">
        <v>257.04964496852301</v>
      </c>
      <c r="AB37">
        <v>85.365062640976205</v>
      </c>
      <c r="AC37">
        <v>269.13147530512498</v>
      </c>
      <c r="AD37">
        <v>5.1557269279672502</v>
      </c>
      <c r="AE37">
        <v>697.02211569304495</v>
      </c>
      <c r="AF37">
        <v>21.217482699700199</v>
      </c>
      <c r="AG37">
        <v>0</v>
      </c>
      <c r="AH37">
        <v>174.19168706428701</v>
      </c>
      <c r="AI37">
        <v>113.267246709209</v>
      </c>
      <c r="AJ37">
        <v>33.272488740742297</v>
      </c>
      <c r="AK37">
        <v>22.631784545637402</v>
      </c>
      <c r="AL37">
        <v>0.56975833743470505</v>
      </c>
      <c r="AM37">
        <v>1</v>
      </c>
      <c r="AN37">
        <v>1.08</v>
      </c>
      <c r="AO37">
        <v>1.54792429668772</v>
      </c>
      <c r="AP37">
        <v>4.4234156196671197</v>
      </c>
      <c r="AQ37">
        <v>1</v>
      </c>
      <c r="AR37">
        <v>1.30017254056995</v>
      </c>
      <c r="AS37">
        <v>1</v>
      </c>
      <c r="AT37">
        <v>1</v>
      </c>
      <c r="AU37">
        <v>1</v>
      </c>
      <c r="AV37">
        <v>0.94</v>
      </c>
      <c r="AW37">
        <v>7.5261714862125795E-2</v>
      </c>
      <c r="AX37">
        <v>0.60983153926821998</v>
      </c>
      <c r="AY37">
        <v>1</v>
      </c>
      <c r="AZ37">
        <v>1</v>
      </c>
      <c r="BA37">
        <v>0.980591048440839</v>
      </c>
      <c r="BB37">
        <v>0.96</v>
      </c>
      <c r="BC37">
        <v>5196631703.8000002</v>
      </c>
      <c r="BD37">
        <v>0.106457610926369</v>
      </c>
      <c r="BE37">
        <v>7956</v>
      </c>
    </row>
    <row r="38" spans="1:57" x14ac:dyDescent="0.25">
      <c r="A38">
        <v>37</v>
      </c>
      <c r="B38">
        <v>8000</v>
      </c>
      <c r="C38">
        <v>175</v>
      </c>
      <c r="D38">
        <v>1.58669640986807</v>
      </c>
      <c r="E38">
        <v>1.9925511530427</v>
      </c>
      <c r="F38">
        <v>0.79631401554992498</v>
      </c>
      <c r="G38">
        <v>0.40585474317463599</v>
      </c>
      <c r="H38">
        <v>5.9280433877007002E-2</v>
      </c>
      <c r="I38">
        <v>7.5279524688147401E-2</v>
      </c>
      <c r="J38">
        <v>0.30086484259059099</v>
      </c>
      <c r="K38">
        <v>0.70715687696187002</v>
      </c>
      <c r="L38">
        <v>0.84996947492508601</v>
      </c>
      <c r="M38">
        <v>0</v>
      </c>
      <c r="N38">
        <v>8.1419915151645395</v>
      </c>
      <c r="O38">
        <v>91.858008484835494</v>
      </c>
      <c r="P38">
        <v>23.343725733390102</v>
      </c>
      <c r="Q38">
        <v>54.062661977081</v>
      </c>
      <c r="R38">
        <v>22.593612289528899</v>
      </c>
      <c r="S38">
        <v>0</v>
      </c>
      <c r="T38">
        <v>54.062661977081</v>
      </c>
      <c r="U38">
        <v>2.62405550725732</v>
      </c>
      <c r="V38">
        <v>158.36632750528801</v>
      </c>
      <c r="W38">
        <v>7079.8836301253596</v>
      </c>
      <c r="X38">
        <v>100</v>
      </c>
      <c r="Y38">
        <v>53.314591200422697</v>
      </c>
      <c r="Z38">
        <v>259.45490971415001</v>
      </c>
      <c r="AA38">
        <v>258.61421639971201</v>
      </c>
      <c r="AB38">
        <v>78.213544552329694</v>
      </c>
      <c r="AC38">
        <v>274.88150417827097</v>
      </c>
      <c r="AD38">
        <v>5.3913284974827196</v>
      </c>
      <c r="AE38">
        <v>665.30402801433297</v>
      </c>
      <c r="AF38">
        <v>42.100588772226402</v>
      </c>
      <c r="AG38">
        <v>0</v>
      </c>
      <c r="AH38">
        <v>174.93643419588</v>
      </c>
      <c r="AI38">
        <v>113.28036147452001</v>
      </c>
      <c r="AJ38">
        <v>33.772843175280201</v>
      </c>
      <c r="AK38">
        <v>52.011185330655501</v>
      </c>
      <c r="AL38">
        <v>0.57091004485467001</v>
      </c>
      <c r="AM38">
        <v>1</v>
      </c>
      <c r="AN38">
        <v>1.08</v>
      </c>
      <c r="AO38">
        <v>1.58237271729659</v>
      </c>
      <c r="AP38">
        <v>4.77258290831527</v>
      </c>
      <c r="AQ38">
        <v>1</v>
      </c>
      <c r="AR38">
        <v>1.2999935139496599</v>
      </c>
      <c r="AS38">
        <v>1</v>
      </c>
      <c r="AT38">
        <v>1</v>
      </c>
      <c r="AU38">
        <v>1</v>
      </c>
      <c r="AV38">
        <v>0.94</v>
      </c>
      <c r="AW38">
        <v>7.6873764269472997E-2</v>
      </c>
      <c r="AX38">
        <v>0.61316176017245305</v>
      </c>
      <c r="AY38">
        <v>1</v>
      </c>
      <c r="AZ38">
        <v>1</v>
      </c>
      <c r="BA38">
        <v>0.92211835143776599</v>
      </c>
      <c r="BB38">
        <v>0.96</v>
      </c>
      <c r="BC38">
        <v>704247010</v>
      </c>
      <c r="BD38">
        <v>0.124154078708655</v>
      </c>
      <c r="BE38">
        <v>1975</v>
      </c>
    </row>
    <row r="39" spans="1:57" x14ac:dyDescent="0.25">
      <c r="A39">
        <v>38</v>
      </c>
      <c r="B39">
        <v>8000</v>
      </c>
      <c r="C39">
        <v>200</v>
      </c>
      <c r="D39">
        <v>1.96156991105474</v>
      </c>
      <c r="E39">
        <v>1.8914959927133701</v>
      </c>
      <c r="F39">
        <v>1.03704682357843</v>
      </c>
      <c r="G39">
        <v>-7.0073918341367905E-2</v>
      </c>
      <c r="H39">
        <v>5.64237111836942E-2</v>
      </c>
      <c r="I39">
        <v>5.8400625508367901E-2</v>
      </c>
      <c r="J39">
        <v>0.27672121181955101</v>
      </c>
      <c r="K39">
        <v>0.66735564238780698</v>
      </c>
      <c r="L39">
        <v>0.83259480181395196</v>
      </c>
      <c r="M39">
        <v>0</v>
      </c>
      <c r="N39">
        <v>8.1714628429572294</v>
      </c>
      <c r="O39">
        <v>91.828537157042803</v>
      </c>
      <c r="P39">
        <v>13.5526495400361</v>
      </c>
      <c r="Q39">
        <v>52.352869542174098</v>
      </c>
      <c r="R39">
        <v>34.094480917789802</v>
      </c>
      <c r="S39">
        <v>0</v>
      </c>
      <c r="T39">
        <v>52.352869542174098</v>
      </c>
      <c r="U39">
        <v>2.2284109126990499</v>
      </c>
      <c r="V39">
        <v>184.33010105598501</v>
      </c>
      <c r="W39">
        <v>6937.5962457375199</v>
      </c>
      <c r="X39">
        <v>100</v>
      </c>
      <c r="Y39">
        <v>50.202355925442198</v>
      </c>
      <c r="Z39">
        <v>252.60210021986401</v>
      </c>
      <c r="AA39">
        <v>252.309880462081</v>
      </c>
      <c r="AB39">
        <v>71.727096475803407</v>
      </c>
      <c r="AC39">
        <v>276.08807416401697</v>
      </c>
      <c r="AD39">
        <v>5.5002670382188796</v>
      </c>
      <c r="AE39">
        <v>682.23602110563502</v>
      </c>
      <c r="AF39">
        <v>51.280849862682501</v>
      </c>
      <c r="AG39">
        <v>0</v>
      </c>
      <c r="AH39">
        <v>175.415052790006</v>
      </c>
      <c r="AI39">
        <v>113.26363259441101</v>
      </c>
      <c r="AJ39">
        <v>33.361085344582797</v>
      </c>
      <c r="AK39">
        <v>70.298614605953105</v>
      </c>
      <c r="AL39">
        <v>0.57166704375644095</v>
      </c>
      <c r="AM39">
        <v>1</v>
      </c>
      <c r="AN39">
        <v>1.08</v>
      </c>
      <c r="AO39">
        <v>1.5933580201331901</v>
      </c>
      <c r="AP39">
        <v>4.9840712308615496</v>
      </c>
      <c r="AQ39">
        <v>1</v>
      </c>
      <c r="AR39">
        <v>1.2829686280364101</v>
      </c>
      <c r="AS39">
        <v>1</v>
      </c>
      <c r="AT39">
        <v>1</v>
      </c>
      <c r="AU39">
        <v>1</v>
      </c>
      <c r="AV39">
        <v>0.94</v>
      </c>
      <c r="AW39">
        <v>7.5845051228199206E-2</v>
      </c>
      <c r="AX39">
        <v>0.61533304742806505</v>
      </c>
      <c r="AY39">
        <v>1</v>
      </c>
      <c r="AZ39">
        <v>1</v>
      </c>
      <c r="BA39">
        <v>0.89641362038448902</v>
      </c>
      <c r="BB39">
        <v>0.96</v>
      </c>
      <c r="BC39">
        <v>112956902.3</v>
      </c>
      <c r="BD39">
        <v>0.139527799770678</v>
      </c>
      <c r="BE39">
        <v>430</v>
      </c>
    </row>
    <row r="40" spans="1:57" x14ac:dyDescent="0.25">
      <c r="A40">
        <v>39</v>
      </c>
      <c r="B40">
        <v>8000</v>
      </c>
      <c r="C40">
        <v>225</v>
      </c>
      <c r="D40">
        <v>1.2612687530710001</v>
      </c>
      <c r="E40">
        <v>1.87670195374203</v>
      </c>
      <c r="F40">
        <v>0.67206662760493197</v>
      </c>
      <c r="G40">
        <v>0.61543320067103802</v>
      </c>
      <c r="H40">
        <v>5.9876552531448198E-2</v>
      </c>
      <c r="I40">
        <v>0.11883724723229699</v>
      </c>
      <c r="J40">
        <v>0.15841705454705199</v>
      </c>
      <c r="K40">
        <v>0.62470104647591695</v>
      </c>
      <c r="L40">
        <v>0.91487005295531998</v>
      </c>
      <c r="M40">
        <v>0</v>
      </c>
      <c r="N40">
        <v>3.4495208685611098</v>
      </c>
      <c r="O40">
        <v>96.550479131438905</v>
      </c>
      <c r="P40">
        <v>28.092724208556699</v>
      </c>
      <c r="Q40">
        <v>21.942097962730699</v>
      </c>
      <c r="R40">
        <v>49.965177828712598</v>
      </c>
      <c r="S40">
        <v>0</v>
      </c>
      <c r="T40">
        <v>21.942097962730699</v>
      </c>
      <c r="U40">
        <v>4.3715945720045397</v>
      </c>
      <c r="V40">
        <v>210.378550654615</v>
      </c>
      <c r="W40">
        <v>6695.5199763827304</v>
      </c>
      <c r="X40">
        <v>100</v>
      </c>
      <c r="Y40">
        <v>50.085383591560202</v>
      </c>
      <c r="Z40">
        <v>250.90423862888699</v>
      </c>
      <c r="AA40">
        <v>249.76395201668899</v>
      </c>
      <c r="AB40">
        <v>79.287988019745498</v>
      </c>
      <c r="AC40">
        <v>256.10598038452002</v>
      </c>
      <c r="AD40">
        <v>5.7753829650247699</v>
      </c>
      <c r="AE40">
        <v>697.176671266075</v>
      </c>
      <c r="AF40">
        <v>21.058621643010898</v>
      </c>
      <c r="AG40">
        <v>0</v>
      </c>
      <c r="AH40">
        <v>175.24103614392001</v>
      </c>
      <c r="AI40">
        <v>113.27148393092401</v>
      </c>
      <c r="AJ40">
        <v>33.456902355342997</v>
      </c>
      <c r="AK40">
        <v>99.449983628875998</v>
      </c>
      <c r="AL40">
        <v>0.57139170707773701</v>
      </c>
      <c r="AM40">
        <v>1</v>
      </c>
      <c r="AN40">
        <v>1.08</v>
      </c>
      <c r="AO40">
        <v>1.5969160703810901</v>
      </c>
      <c r="AP40">
        <v>5.0681425937241702</v>
      </c>
      <c r="AQ40">
        <v>1</v>
      </c>
      <c r="AR40">
        <v>1.2827269634445699</v>
      </c>
      <c r="AS40">
        <v>1</v>
      </c>
      <c r="AT40">
        <v>1</v>
      </c>
      <c r="AU40">
        <v>1</v>
      </c>
      <c r="AV40">
        <v>0.94</v>
      </c>
      <c r="AW40">
        <v>7.5788738591631793E-2</v>
      </c>
      <c r="AX40">
        <v>0.61887361742020597</v>
      </c>
      <c r="AY40">
        <v>1</v>
      </c>
      <c r="AZ40">
        <v>1</v>
      </c>
      <c r="BA40">
        <v>0.98103585939956905</v>
      </c>
      <c r="BB40">
        <v>0.96</v>
      </c>
      <c r="BC40">
        <v>46316612.100000001</v>
      </c>
      <c r="BD40">
        <v>0.13396403683743799</v>
      </c>
      <c r="BE40">
        <v>165</v>
      </c>
    </row>
    <row r="41" spans="1:57" x14ac:dyDescent="0.25">
      <c r="A41">
        <v>40</v>
      </c>
      <c r="B41">
        <v>8000</v>
      </c>
      <c r="C41">
        <v>250</v>
      </c>
      <c r="D41">
        <v>4.2285770286802103E-2</v>
      </c>
      <c r="E41">
        <v>1.77814427491694</v>
      </c>
      <c r="F41">
        <v>2.3780843255127498E-2</v>
      </c>
      <c r="G41">
        <v>1.73585850463014</v>
      </c>
      <c r="H41">
        <v>5.4897534242833397E-2</v>
      </c>
      <c r="I41">
        <v>3.7641335263503502E-2</v>
      </c>
      <c r="J41">
        <v>0.135793646916888</v>
      </c>
      <c r="K41">
        <v>0.61682734973065301</v>
      </c>
      <c r="L41">
        <v>0.93298440876306399</v>
      </c>
      <c r="M41">
        <v>0</v>
      </c>
      <c r="N41">
        <v>21.473733873368001</v>
      </c>
      <c r="O41">
        <v>78.526266126631995</v>
      </c>
      <c r="P41">
        <v>39.600424007901303</v>
      </c>
      <c r="Q41">
        <v>5.4575985536017297</v>
      </c>
      <c r="R41">
        <v>54.941977438496998</v>
      </c>
      <c r="S41">
        <v>0</v>
      </c>
      <c r="T41">
        <v>5.4575985536017297</v>
      </c>
      <c r="U41">
        <v>1.30601380461698</v>
      </c>
      <c r="V41">
        <v>238.962380412415</v>
      </c>
      <c r="W41">
        <v>6757.8990469127202</v>
      </c>
      <c r="X41">
        <v>100</v>
      </c>
      <c r="Y41">
        <v>52.206610457342798</v>
      </c>
      <c r="Z41">
        <v>236.63852255912801</v>
      </c>
      <c r="AA41">
        <v>235.981091273609</v>
      </c>
      <c r="AB41">
        <v>68.765824425015197</v>
      </c>
      <c r="AC41">
        <v>237.61071232783601</v>
      </c>
      <c r="AD41">
        <v>6.1724098073023201</v>
      </c>
      <c r="AE41">
        <v>704.80875844387594</v>
      </c>
      <c r="AF41">
        <v>5.4575985536017297</v>
      </c>
      <c r="AG41">
        <v>0</v>
      </c>
      <c r="AH41">
        <v>175.26209292938299</v>
      </c>
      <c r="AI41">
        <v>113.29684464000201</v>
      </c>
      <c r="AJ41">
        <v>34.242295598334302</v>
      </c>
      <c r="AK41">
        <v>165.772001199134</v>
      </c>
      <c r="AL41">
        <v>0.57140338528838996</v>
      </c>
      <c r="AM41">
        <v>1</v>
      </c>
      <c r="AN41">
        <v>1.08</v>
      </c>
      <c r="AO41">
        <v>1.5989703933802799</v>
      </c>
      <c r="AP41">
        <v>5.1051646224117002</v>
      </c>
      <c r="AQ41">
        <v>1</v>
      </c>
      <c r="AR41">
        <v>1.2386900121856499</v>
      </c>
      <c r="AS41">
        <v>1</v>
      </c>
      <c r="AT41">
        <v>1</v>
      </c>
      <c r="AU41">
        <v>1</v>
      </c>
      <c r="AV41">
        <v>0.94</v>
      </c>
      <c r="AW41">
        <v>7.8401345924568794E-2</v>
      </c>
      <c r="AX41">
        <v>0.61789305195655597</v>
      </c>
      <c r="AY41">
        <v>1</v>
      </c>
      <c r="AZ41">
        <v>1</v>
      </c>
      <c r="BA41">
        <v>1.02471872404992</v>
      </c>
      <c r="BB41">
        <v>0.96</v>
      </c>
      <c r="BC41">
        <v>12799572.800000001</v>
      </c>
      <c r="BD41">
        <v>3.6668566066506303E-4</v>
      </c>
      <c r="BE41">
        <v>55</v>
      </c>
    </row>
    <row r="42" spans="1:57" x14ac:dyDescent="0.25">
      <c r="A42">
        <v>41</v>
      </c>
      <c r="B42">
        <v>10000</v>
      </c>
      <c r="C42">
        <v>50</v>
      </c>
      <c r="D42">
        <v>1.82665831527678E-3</v>
      </c>
      <c r="E42">
        <v>1.0611555720309001</v>
      </c>
      <c r="F42">
        <v>1.72138597150352E-3</v>
      </c>
      <c r="G42">
        <v>1.0593289137156301</v>
      </c>
      <c r="H42">
        <v>6.9167190580596893E-2</v>
      </c>
      <c r="I42">
        <v>3.9040474793237398E-2</v>
      </c>
      <c r="J42">
        <v>1.2786502372359201E-2</v>
      </c>
      <c r="K42">
        <v>0.55317181087509004</v>
      </c>
      <c r="L42">
        <v>0.38698959340961903</v>
      </c>
      <c r="M42">
        <v>0</v>
      </c>
      <c r="N42">
        <v>22.4240103274029</v>
      </c>
      <c r="O42">
        <v>77.575989672597103</v>
      </c>
      <c r="P42">
        <v>29.150706863159201</v>
      </c>
      <c r="Q42">
        <v>36.107603502593598</v>
      </c>
      <c r="R42">
        <v>34.741689634247201</v>
      </c>
      <c r="S42">
        <v>0</v>
      </c>
      <c r="T42">
        <v>36.107603502593598</v>
      </c>
      <c r="U42">
        <v>1.4327438633588601</v>
      </c>
      <c r="V42">
        <v>48.776431597116002</v>
      </c>
      <c r="W42">
        <v>8046.9873192782698</v>
      </c>
      <c r="X42">
        <v>100</v>
      </c>
      <c r="Y42">
        <v>30.763421397665901</v>
      </c>
      <c r="Z42">
        <v>265.36612676838899</v>
      </c>
      <c r="AA42">
        <v>265.36612676838899</v>
      </c>
      <c r="AB42">
        <v>98.877422129862495</v>
      </c>
      <c r="AC42">
        <v>257.01447559945399</v>
      </c>
      <c r="AD42">
        <v>4.7</v>
      </c>
      <c r="AE42">
        <v>763.02206659437695</v>
      </c>
      <c r="AF42">
        <v>0</v>
      </c>
      <c r="AG42">
        <v>0</v>
      </c>
      <c r="AH42">
        <v>179.5</v>
      </c>
      <c r="AI42">
        <v>112.8</v>
      </c>
      <c r="AJ42">
        <v>14.5</v>
      </c>
      <c r="AK42">
        <v>-24.6835426807278</v>
      </c>
      <c r="AL42">
        <v>0.57830127750000004</v>
      </c>
      <c r="AM42">
        <v>1</v>
      </c>
      <c r="AN42">
        <v>1.08</v>
      </c>
      <c r="AO42">
        <v>0.67989855574520597</v>
      </c>
      <c r="AP42">
        <v>1.82438240504351</v>
      </c>
      <c r="AQ42">
        <v>1</v>
      </c>
      <c r="AR42">
        <v>1.31560727646277</v>
      </c>
      <c r="AS42">
        <v>1</v>
      </c>
      <c r="AT42">
        <v>1</v>
      </c>
      <c r="AU42">
        <v>1</v>
      </c>
      <c r="AV42">
        <v>0.94</v>
      </c>
      <c r="AW42">
        <v>4.354696953125E-2</v>
      </c>
      <c r="AX42">
        <v>0.59744821964194395</v>
      </c>
      <c r="AY42">
        <v>1</v>
      </c>
      <c r="AZ42">
        <v>1</v>
      </c>
      <c r="BA42">
        <v>1.04</v>
      </c>
      <c r="BB42">
        <v>0.96</v>
      </c>
      <c r="BC42">
        <v>2781493.1</v>
      </c>
      <c r="BD42" s="1">
        <v>5.8720524520818103E-5</v>
      </c>
      <c r="BE42">
        <v>10</v>
      </c>
    </row>
    <row r="43" spans="1:57" x14ac:dyDescent="0.25">
      <c r="A43">
        <v>42</v>
      </c>
      <c r="B43">
        <v>10000</v>
      </c>
      <c r="C43">
        <v>75</v>
      </c>
      <c r="D43">
        <v>1.20662062143747</v>
      </c>
      <c r="E43">
        <v>1.1988641500570001</v>
      </c>
      <c r="F43">
        <v>1.00646985013281</v>
      </c>
      <c r="G43">
        <v>-7.7564713804721902E-3</v>
      </c>
      <c r="H43">
        <v>6.67515354990212E-2</v>
      </c>
      <c r="I43">
        <v>3.8226230137351901E-2</v>
      </c>
      <c r="J43">
        <v>2.12936278377872E-2</v>
      </c>
      <c r="K43">
        <v>0.58818000133095905</v>
      </c>
      <c r="L43">
        <v>0.48441275525188299</v>
      </c>
      <c r="M43">
        <v>0</v>
      </c>
      <c r="N43">
        <v>7.0725312475863804</v>
      </c>
      <c r="O43">
        <v>92.927468752413603</v>
      </c>
      <c r="P43">
        <v>18.393354932699001</v>
      </c>
      <c r="Q43">
        <v>51.942288554113397</v>
      </c>
      <c r="R43">
        <v>29.664356513187599</v>
      </c>
      <c r="S43">
        <v>0</v>
      </c>
      <c r="T43">
        <v>51.942288554113397</v>
      </c>
      <c r="U43">
        <v>1.38815518089963</v>
      </c>
      <c r="V43">
        <v>62.4782226751759</v>
      </c>
      <c r="W43">
        <v>8792.29326566895</v>
      </c>
      <c r="X43">
        <v>100</v>
      </c>
      <c r="Y43">
        <v>39.219557261668797</v>
      </c>
      <c r="Z43">
        <v>264.07855070080802</v>
      </c>
      <c r="AA43">
        <v>262.27059671928799</v>
      </c>
      <c r="AB43">
        <v>94.127877621112702</v>
      </c>
      <c r="AC43">
        <v>256.55673676178401</v>
      </c>
      <c r="AD43">
        <v>4.8834477860655499</v>
      </c>
      <c r="AE43">
        <v>759.90193973188605</v>
      </c>
      <c r="AF43">
        <v>23.418355851109499</v>
      </c>
      <c r="AG43">
        <v>0</v>
      </c>
      <c r="AH43">
        <v>179.49694357925699</v>
      </c>
      <c r="AI43">
        <v>112.800910231055</v>
      </c>
      <c r="AJ43">
        <v>14.558142818650399</v>
      </c>
      <c r="AK43">
        <v>-6.2026242571762804</v>
      </c>
      <c r="AL43">
        <v>0.57829612128041796</v>
      </c>
      <c r="AM43">
        <v>1</v>
      </c>
      <c r="AN43">
        <v>1.08</v>
      </c>
      <c r="AO43">
        <v>0.93684511949744698</v>
      </c>
      <c r="AP43">
        <v>2.3964098959268099</v>
      </c>
      <c r="AQ43">
        <v>1</v>
      </c>
      <c r="AR43">
        <v>1.3123302196206601</v>
      </c>
      <c r="AS43">
        <v>1</v>
      </c>
      <c r="AT43">
        <v>1</v>
      </c>
      <c r="AU43">
        <v>1</v>
      </c>
      <c r="AV43">
        <v>0.94</v>
      </c>
      <c r="AW43">
        <v>4.3615591914875199E-2</v>
      </c>
      <c r="AX43">
        <v>0.58308029432217001</v>
      </c>
      <c r="AY43">
        <v>1</v>
      </c>
      <c r="AZ43">
        <v>1</v>
      </c>
      <c r="BA43">
        <v>0.97442860361689299</v>
      </c>
      <c r="BB43">
        <v>0.96</v>
      </c>
      <c r="BC43">
        <v>5719146795.3999996</v>
      </c>
      <c r="BD43">
        <v>7.3345587074055696E-2</v>
      </c>
      <c r="BE43">
        <v>2626</v>
      </c>
    </row>
    <row r="44" spans="1:57" x14ac:dyDescent="0.25">
      <c r="A44">
        <v>43</v>
      </c>
      <c r="B44">
        <v>10000</v>
      </c>
      <c r="C44">
        <v>100</v>
      </c>
      <c r="D44">
        <v>1.3087211905164799</v>
      </c>
      <c r="E44">
        <v>1.3902709987833699</v>
      </c>
      <c r="F44">
        <v>0.94134250923866603</v>
      </c>
      <c r="G44">
        <v>8.1549808266886306E-2</v>
      </c>
      <c r="H44">
        <v>6.5705728919984302E-2</v>
      </c>
      <c r="I44">
        <v>4.2515629784223102E-2</v>
      </c>
      <c r="J44">
        <v>2.7558828569850799E-2</v>
      </c>
      <c r="K44">
        <v>0.53318692808759904</v>
      </c>
      <c r="L44">
        <v>0.72130388342171203</v>
      </c>
      <c r="M44">
        <v>0</v>
      </c>
      <c r="N44">
        <v>6.9683118673420603</v>
      </c>
      <c r="O44">
        <v>93.031688132657905</v>
      </c>
      <c r="P44">
        <v>17.971240368080501</v>
      </c>
      <c r="Q44">
        <v>51.6608663699011</v>
      </c>
      <c r="R44">
        <v>30.367893262018399</v>
      </c>
      <c r="S44">
        <v>0</v>
      </c>
      <c r="T44">
        <v>51.6608663699011</v>
      </c>
      <c r="U44">
        <v>1.5013948066571901</v>
      </c>
      <c r="V44">
        <v>89.506371357641996</v>
      </c>
      <c r="W44">
        <v>9083.3336110196196</v>
      </c>
      <c r="X44">
        <v>100</v>
      </c>
      <c r="Y44">
        <v>40.575689068872599</v>
      </c>
      <c r="Z44">
        <v>264.74109840659099</v>
      </c>
      <c r="AA44">
        <v>262.98963264891</v>
      </c>
      <c r="AB44">
        <v>92.058477338042806</v>
      </c>
      <c r="AC44">
        <v>258.98755355719999</v>
      </c>
      <c r="AD44">
        <v>4.9560059371090501</v>
      </c>
      <c r="AE44">
        <v>756.716105925595</v>
      </c>
      <c r="AF44">
        <v>24.152752584218799</v>
      </c>
      <c r="AG44">
        <v>0</v>
      </c>
      <c r="AH44">
        <v>177.12097809178201</v>
      </c>
      <c r="AI44">
        <v>112.906848220678</v>
      </c>
      <c r="AJ44">
        <v>21.599537341251601</v>
      </c>
      <c r="AK44">
        <v>-1.40769563443729</v>
      </c>
      <c r="AL44">
        <v>0.57457677526258399</v>
      </c>
      <c r="AM44">
        <v>1</v>
      </c>
      <c r="AN44">
        <v>1.08</v>
      </c>
      <c r="AO44">
        <v>1.3469692606041599</v>
      </c>
      <c r="AP44">
        <v>3.4212839874953702</v>
      </c>
      <c r="AQ44">
        <v>1</v>
      </c>
      <c r="AR44">
        <v>1.31342226337209</v>
      </c>
      <c r="AS44">
        <v>1</v>
      </c>
      <c r="AT44">
        <v>1</v>
      </c>
      <c r="AU44">
        <v>1</v>
      </c>
      <c r="AV44">
        <v>0.94</v>
      </c>
      <c r="AW44">
        <v>5.2320620588730098E-2</v>
      </c>
      <c r="AX44">
        <v>0.57847704573983005</v>
      </c>
      <c r="AY44">
        <v>1</v>
      </c>
      <c r="AZ44">
        <v>1</v>
      </c>
      <c r="BA44">
        <v>0.97237229276418702</v>
      </c>
      <c r="BB44">
        <v>0.96</v>
      </c>
      <c r="BC44">
        <v>15530767127</v>
      </c>
      <c r="BD44">
        <v>8.9187633194412794E-2</v>
      </c>
      <c r="BE44">
        <v>9565</v>
      </c>
    </row>
    <row r="45" spans="1:57" x14ac:dyDescent="0.25">
      <c r="A45">
        <v>44</v>
      </c>
      <c r="B45">
        <v>10000</v>
      </c>
      <c r="C45" s="2">
        <v>125</v>
      </c>
      <c r="D45">
        <v>1.46517443406523</v>
      </c>
      <c r="E45">
        <v>1.48421744863998</v>
      </c>
      <c r="F45">
        <v>0.98716965994962702</v>
      </c>
      <c r="G45">
        <v>1.9043014574747701E-2</v>
      </c>
      <c r="H45">
        <v>6.4401026905769307E-2</v>
      </c>
      <c r="I45">
        <v>4.4221937140754702E-2</v>
      </c>
      <c r="J45">
        <v>3.07690811243841E-2</v>
      </c>
      <c r="K45">
        <v>0.56379362860502202</v>
      </c>
      <c r="L45">
        <v>0.78103177486404696</v>
      </c>
      <c r="M45">
        <v>0</v>
      </c>
      <c r="N45">
        <v>7.08435415207384</v>
      </c>
      <c r="O45">
        <v>92.9156458479262</v>
      </c>
      <c r="P45">
        <v>18.5921656128085</v>
      </c>
      <c r="Q45">
        <v>50.940471082772</v>
      </c>
      <c r="R45">
        <v>30.4673633044195</v>
      </c>
      <c r="S45">
        <v>0</v>
      </c>
      <c r="T45">
        <v>50.940471082772</v>
      </c>
      <c r="U45">
        <v>1.4985518655276</v>
      </c>
      <c r="V45">
        <v>113.807251669233</v>
      </c>
      <c r="W45">
        <v>9144.2943949454402</v>
      </c>
      <c r="X45">
        <v>100</v>
      </c>
      <c r="Y45">
        <v>41.989970607761101</v>
      </c>
      <c r="Z45">
        <v>264.996384260593</v>
      </c>
      <c r="AA45">
        <v>263.23797172834202</v>
      </c>
      <c r="AB45">
        <v>89.483977210613304</v>
      </c>
      <c r="AC45">
        <v>261.78123715799802</v>
      </c>
      <c r="AD45">
        <v>5.0267748977030298</v>
      </c>
      <c r="AE45">
        <v>754.55704101101605</v>
      </c>
      <c r="AF45">
        <v>24.8426533005522</v>
      </c>
      <c r="AG45">
        <v>0</v>
      </c>
      <c r="AH45">
        <v>174.24712372134499</v>
      </c>
      <c r="AI45">
        <v>113.114390761991</v>
      </c>
      <c r="AJ45">
        <v>28.689560122235701</v>
      </c>
      <c r="AK45">
        <v>2.7320666332897998</v>
      </c>
      <c r="AL45">
        <v>0.56997417441680198</v>
      </c>
      <c r="AM45">
        <v>1</v>
      </c>
      <c r="AN45">
        <v>1.08</v>
      </c>
      <c r="AO45">
        <v>1.4926511076481701</v>
      </c>
      <c r="AP45">
        <v>4.0478607226670302</v>
      </c>
      <c r="AQ45">
        <v>1</v>
      </c>
      <c r="AR45">
        <v>1.31381744687817</v>
      </c>
      <c r="AS45">
        <v>1</v>
      </c>
      <c r="AT45">
        <v>1</v>
      </c>
      <c r="AU45">
        <v>1</v>
      </c>
      <c r="AV45">
        <v>0.94</v>
      </c>
      <c r="AW45">
        <v>6.4269236889516301E-2</v>
      </c>
      <c r="AX45">
        <v>0.57728551391064498</v>
      </c>
      <c r="AY45">
        <v>1</v>
      </c>
      <c r="AZ45">
        <v>1</v>
      </c>
      <c r="BA45">
        <v>0.97044057075845402</v>
      </c>
      <c r="BB45">
        <v>0.96</v>
      </c>
      <c r="BC45">
        <v>44612251528.599998</v>
      </c>
      <c r="BD45">
        <v>8.6267525491605906E-2</v>
      </c>
      <c r="BE45">
        <v>27509</v>
      </c>
    </row>
    <row r="46" spans="1:57" x14ac:dyDescent="0.25">
      <c r="A46">
        <v>45</v>
      </c>
      <c r="B46">
        <v>10000</v>
      </c>
      <c r="C46" s="2">
        <v>150</v>
      </c>
      <c r="D46">
        <v>1.6694557605784901</v>
      </c>
      <c r="E46">
        <v>1.5713268331046699</v>
      </c>
      <c r="F46">
        <v>1.0624497242753299</v>
      </c>
      <c r="G46">
        <v>-9.8128927473815103E-2</v>
      </c>
      <c r="H46">
        <v>6.4509586132219202E-2</v>
      </c>
      <c r="I46">
        <v>5.8743022835077499E-2</v>
      </c>
      <c r="J46">
        <v>4.6486289828394499E-2</v>
      </c>
      <c r="K46">
        <v>0.60525171887618101</v>
      </c>
      <c r="L46">
        <v>0.79633621543280098</v>
      </c>
      <c r="M46">
        <v>0</v>
      </c>
      <c r="N46">
        <v>7.0497498781261099</v>
      </c>
      <c r="O46">
        <v>92.950250121873907</v>
      </c>
      <c r="P46">
        <v>22.818529207803799</v>
      </c>
      <c r="Q46">
        <v>45.448811968669503</v>
      </c>
      <c r="R46">
        <v>31.732658823526801</v>
      </c>
      <c r="S46">
        <v>0</v>
      </c>
      <c r="T46">
        <v>45.448811968669503</v>
      </c>
      <c r="U46">
        <v>1.96447792250114</v>
      </c>
      <c r="V46">
        <v>136.722655494354</v>
      </c>
      <c r="W46">
        <v>10085.725242438701</v>
      </c>
      <c r="X46">
        <v>100</v>
      </c>
      <c r="Y46">
        <v>46.192054492719201</v>
      </c>
      <c r="Z46">
        <v>262.223885457194</v>
      </c>
      <c r="AA46">
        <v>260.43510751740001</v>
      </c>
      <c r="AB46">
        <v>89.714150082821504</v>
      </c>
      <c r="AC46">
        <v>262.44604766223102</v>
      </c>
      <c r="AD46">
        <v>5.2004341830639502</v>
      </c>
      <c r="AE46">
        <v>742.08938262764798</v>
      </c>
      <c r="AF46">
        <v>24.1435922087291</v>
      </c>
      <c r="AG46">
        <v>0</v>
      </c>
      <c r="AH46">
        <v>174.10764006988899</v>
      </c>
      <c r="AI46">
        <v>113.193513427421</v>
      </c>
      <c r="AJ46">
        <v>31.094291664240099</v>
      </c>
      <c r="AK46">
        <v>17.386626423211499</v>
      </c>
      <c r="AL46">
        <v>0.56968553657595999</v>
      </c>
      <c r="AM46">
        <v>1</v>
      </c>
      <c r="AN46">
        <v>1.08</v>
      </c>
      <c r="AO46">
        <v>1.55467839379295</v>
      </c>
      <c r="AP46">
        <v>4.4788567422898398</v>
      </c>
      <c r="AQ46">
        <v>1</v>
      </c>
      <c r="AR46">
        <v>1.3074893239651499</v>
      </c>
      <c r="AS46">
        <v>1</v>
      </c>
      <c r="AT46">
        <v>1</v>
      </c>
      <c r="AU46">
        <v>1</v>
      </c>
      <c r="AV46">
        <v>0.94</v>
      </c>
      <c r="AW46">
        <v>6.9390886100894805E-2</v>
      </c>
      <c r="AX46">
        <v>0.56103936479776595</v>
      </c>
      <c r="AY46">
        <v>1</v>
      </c>
      <c r="AZ46">
        <v>1</v>
      </c>
      <c r="BA46">
        <v>0.97239794181555905</v>
      </c>
      <c r="BB46">
        <v>0.96</v>
      </c>
      <c r="BC46">
        <v>45637914339.099998</v>
      </c>
      <c r="BD46">
        <v>9.1288946099083196E-2</v>
      </c>
      <c r="BE46">
        <v>28128</v>
      </c>
    </row>
    <row r="47" spans="1:57" x14ac:dyDescent="0.25">
      <c r="A47">
        <v>46</v>
      </c>
      <c r="B47">
        <v>10000</v>
      </c>
      <c r="C47">
        <v>175</v>
      </c>
      <c r="D47">
        <v>1.71193305958801</v>
      </c>
      <c r="E47">
        <v>1.6265226802592301</v>
      </c>
      <c r="F47">
        <v>1.0525110288134201</v>
      </c>
      <c r="G47">
        <v>-8.5410379328779498E-2</v>
      </c>
      <c r="H47">
        <v>6.5494467862975997E-2</v>
      </c>
      <c r="I47">
        <v>7.3728589687700699E-2</v>
      </c>
      <c r="J47">
        <v>6.7356619854877897E-2</v>
      </c>
      <c r="K47">
        <v>0.62593469096649501</v>
      </c>
      <c r="L47">
        <v>0.79400831188718002</v>
      </c>
      <c r="M47">
        <v>0</v>
      </c>
      <c r="N47">
        <v>7.0258768029595098</v>
      </c>
      <c r="O47">
        <v>92.974123197040498</v>
      </c>
      <c r="P47">
        <v>22.443971348721799</v>
      </c>
      <c r="Q47">
        <v>41.943267127489399</v>
      </c>
      <c r="R47">
        <v>35.612761523788798</v>
      </c>
      <c r="S47">
        <v>0</v>
      </c>
      <c r="T47">
        <v>41.943267127489399</v>
      </c>
      <c r="U47">
        <v>2.4542819527572699</v>
      </c>
      <c r="V47">
        <v>159.227974095598</v>
      </c>
      <c r="W47">
        <v>11235.028387680701</v>
      </c>
      <c r="X47">
        <v>100</v>
      </c>
      <c r="Y47">
        <v>47.833921613046698</v>
      </c>
      <c r="Z47">
        <v>260.15583541079599</v>
      </c>
      <c r="AA47">
        <v>258.48246060598899</v>
      </c>
      <c r="AB47">
        <v>91.677235192821698</v>
      </c>
      <c r="AC47">
        <v>260.91618065492003</v>
      </c>
      <c r="AD47">
        <v>5.37680602108522</v>
      </c>
      <c r="AE47">
        <v>727.74315532184801</v>
      </c>
      <c r="AF47">
        <v>23.917856199467</v>
      </c>
      <c r="AG47">
        <v>0</v>
      </c>
      <c r="AH47">
        <v>174.56991299268401</v>
      </c>
      <c r="AI47">
        <v>113.263923435027</v>
      </c>
      <c r="AJ47">
        <v>33.167850008752303</v>
      </c>
      <c r="AK47">
        <v>33.871023201859998</v>
      </c>
      <c r="AL47">
        <v>0.57035141474353801</v>
      </c>
      <c r="AM47">
        <v>1</v>
      </c>
      <c r="AN47">
        <v>1.08</v>
      </c>
      <c r="AO47">
        <v>1.5834414091556499</v>
      </c>
      <c r="AP47">
        <v>4.7849602507147901</v>
      </c>
      <c r="AQ47">
        <v>1</v>
      </c>
      <c r="AR47">
        <v>1.3024279145439399</v>
      </c>
      <c r="AS47">
        <v>1</v>
      </c>
      <c r="AT47">
        <v>1</v>
      </c>
      <c r="AU47">
        <v>1</v>
      </c>
      <c r="AV47">
        <v>0.94</v>
      </c>
      <c r="AW47">
        <v>7.4937394050725706E-2</v>
      </c>
      <c r="AX47">
        <v>0.54282865491532795</v>
      </c>
      <c r="AY47">
        <v>1</v>
      </c>
      <c r="AZ47">
        <v>1</v>
      </c>
      <c r="BA47">
        <v>0.97303000264149198</v>
      </c>
      <c r="BB47">
        <v>0.96</v>
      </c>
      <c r="BC47">
        <v>20381762280.5</v>
      </c>
      <c r="BD47">
        <v>0.101939573231304</v>
      </c>
      <c r="BE47">
        <v>17015</v>
      </c>
    </row>
    <row r="48" spans="1:57" x14ac:dyDescent="0.25">
      <c r="A48">
        <v>47</v>
      </c>
      <c r="B48">
        <v>10000</v>
      </c>
      <c r="C48">
        <v>200</v>
      </c>
      <c r="D48">
        <v>1.6369006463473399</v>
      </c>
      <c r="E48">
        <v>1.6900075694858101</v>
      </c>
      <c r="F48">
        <v>0.96857592587314401</v>
      </c>
      <c r="G48">
        <v>5.3106923138469903E-2</v>
      </c>
      <c r="H48">
        <v>6.6323181236636899E-2</v>
      </c>
      <c r="I48">
        <v>9.4601875409711295E-2</v>
      </c>
      <c r="J48">
        <v>0.107548197943599</v>
      </c>
      <c r="K48">
        <v>0.649019980013952</v>
      </c>
      <c r="L48">
        <v>0.77251433488191301</v>
      </c>
      <c r="M48">
        <v>0</v>
      </c>
      <c r="N48">
        <v>6.5392229500347696</v>
      </c>
      <c r="O48">
        <v>93.460777049965202</v>
      </c>
      <c r="P48">
        <v>22.188936501567401</v>
      </c>
      <c r="Q48">
        <v>36.477038677677001</v>
      </c>
      <c r="R48">
        <v>41.334024820755602</v>
      </c>
      <c r="S48">
        <v>0</v>
      </c>
      <c r="T48">
        <v>36.477038677677001</v>
      </c>
      <c r="U48">
        <v>3.1099647340849699</v>
      </c>
      <c r="V48">
        <v>184.40933188872299</v>
      </c>
      <c r="W48">
        <v>12728.1364518433</v>
      </c>
      <c r="X48">
        <v>100</v>
      </c>
      <c r="Y48">
        <v>49.7476744387669</v>
      </c>
      <c r="Z48">
        <v>257.97531273098599</v>
      </c>
      <c r="AA48">
        <v>256.68324351136101</v>
      </c>
      <c r="AB48">
        <v>93.315681962403005</v>
      </c>
      <c r="AC48">
        <v>259.29486150019699</v>
      </c>
      <c r="AD48">
        <v>5.6513549791405904</v>
      </c>
      <c r="AE48">
        <v>709.63301099155899</v>
      </c>
      <c r="AF48">
        <v>22.077739803754302</v>
      </c>
      <c r="AG48">
        <v>0</v>
      </c>
      <c r="AH48">
        <v>174.50032729217301</v>
      </c>
      <c r="AI48">
        <v>113.255865004238</v>
      </c>
      <c r="AJ48">
        <v>32.9900990316196</v>
      </c>
      <c r="AK48">
        <v>59.518396976775897</v>
      </c>
      <c r="AL48">
        <v>0.57025047957675001</v>
      </c>
      <c r="AM48">
        <v>1</v>
      </c>
      <c r="AN48">
        <v>1.08</v>
      </c>
      <c r="AO48">
        <v>1.59345706656374</v>
      </c>
      <c r="AP48">
        <v>4.9873405193727001</v>
      </c>
      <c r="AQ48">
        <v>1</v>
      </c>
      <c r="AR48">
        <v>1.2963812365037499</v>
      </c>
      <c r="AS48">
        <v>1</v>
      </c>
      <c r="AT48">
        <v>1</v>
      </c>
      <c r="AU48">
        <v>1</v>
      </c>
      <c r="AV48">
        <v>0.94</v>
      </c>
      <c r="AW48">
        <v>7.4611667651415303E-2</v>
      </c>
      <c r="AX48">
        <v>0.52046965192499195</v>
      </c>
      <c r="AY48">
        <v>1</v>
      </c>
      <c r="AZ48">
        <v>1</v>
      </c>
      <c r="BA48">
        <v>0.97818232854948794</v>
      </c>
      <c r="BB48">
        <v>0.96</v>
      </c>
      <c r="BC48">
        <v>4407141140.5</v>
      </c>
      <c r="BD48">
        <v>0.105034994836003</v>
      </c>
      <c r="BE48">
        <v>7357</v>
      </c>
    </row>
    <row r="49" spans="1:57" x14ac:dyDescent="0.25">
      <c r="A49">
        <v>48</v>
      </c>
      <c r="B49">
        <v>10000</v>
      </c>
      <c r="C49">
        <v>225</v>
      </c>
      <c r="D49">
        <v>1.82617925123243</v>
      </c>
      <c r="E49">
        <v>1.7619416040376501</v>
      </c>
      <c r="F49">
        <v>1.03645844280399</v>
      </c>
      <c r="G49">
        <v>-6.4237647194781103E-2</v>
      </c>
      <c r="H49">
        <v>6.71550271678404E-2</v>
      </c>
      <c r="I49">
        <v>0.12601210362996099</v>
      </c>
      <c r="J49">
        <v>0.14745619261609499</v>
      </c>
      <c r="K49">
        <v>0.66067573471292795</v>
      </c>
      <c r="L49">
        <v>0.76064254591082503</v>
      </c>
      <c r="M49">
        <v>0</v>
      </c>
      <c r="N49">
        <v>6.2249093892857204</v>
      </c>
      <c r="O49">
        <v>93.775090610714301</v>
      </c>
      <c r="P49">
        <v>23.584254714951999</v>
      </c>
      <c r="Q49">
        <v>28.475213244683601</v>
      </c>
      <c r="R49">
        <v>47.940532040364502</v>
      </c>
      <c r="S49">
        <v>0</v>
      </c>
      <c r="T49">
        <v>28.475213244683601</v>
      </c>
      <c r="U49">
        <v>4.1330774564774204</v>
      </c>
      <c r="V49">
        <v>208.60733946724599</v>
      </c>
      <c r="W49">
        <v>13925.909562790201</v>
      </c>
      <c r="X49">
        <v>100</v>
      </c>
      <c r="Y49">
        <v>50.479592869638701</v>
      </c>
      <c r="Z49">
        <v>254.65419270594001</v>
      </c>
      <c r="AA49">
        <v>253.50813773104099</v>
      </c>
      <c r="AB49">
        <v>94.949403955549201</v>
      </c>
      <c r="AC49">
        <v>257.99950200828101</v>
      </c>
      <c r="AD49">
        <v>5.8791229021238998</v>
      </c>
      <c r="AE49">
        <v>694.66304028630202</v>
      </c>
      <c r="AF49">
        <v>15.3831666271823</v>
      </c>
      <c r="AG49">
        <v>0</v>
      </c>
      <c r="AH49">
        <v>174.71085876615399</v>
      </c>
      <c r="AI49">
        <v>113.27741122963999</v>
      </c>
      <c r="AJ49">
        <v>33.573577663753802</v>
      </c>
      <c r="AK49">
        <v>82.3966600350021</v>
      </c>
      <c r="AL49">
        <v>0.57056091467409498</v>
      </c>
      <c r="AM49">
        <v>1</v>
      </c>
      <c r="AN49">
        <v>1.08</v>
      </c>
      <c r="AO49">
        <v>1.5967566306415799</v>
      </c>
      <c r="AP49">
        <v>5.0652547212337797</v>
      </c>
      <c r="AQ49">
        <v>1</v>
      </c>
      <c r="AR49">
        <v>1.2884191221938399</v>
      </c>
      <c r="AS49">
        <v>1</v>
      </c>
      <c r="AT49">
        <v>1</v>
      </c>
      <c r="AU49">
        <v>1</v>
      </c>
      <c r="AV49">
        <v>0.94</v>
      </c>
      <c r="AW49">
        <v>7.6075450142124898E-2</v>
      </c>
      <c r="AX49">
        <v>0.50265912338326901</v>
      </c>
      <c r="AY49">
        <v>1</v>
      </c>
      <c r="AZ49">
        <v>1</v>
      </c>
      <c r="BA49">
        <v>0.99692713344388995</v>
      </c>
      <c r="BB49">
        <v>0.96</v>
      </c>
      <c r="BC49">
        <v>1089017185</v>
      </c>
      <c r="BD49">
        <v>0.11584577935257701</v>
      </c>
      <c r="BE49">
        <v>2313</v>
      </c>
    </row>
    <row r="50" spans="1:57" x14ac:dyDescent="0.25">
      <c r="A50">
        <v>49</v>
      </c>
      <c r="B50">
        <v>10000</v>
      </c>
      <c r="C50">
        <v>250</v>
      </c>
      <c r="D50">
        <v>1.32952991667704</v>
      </c>
      <c r="E50">
        <v>1.86848717359412</v>
      </c>
      <c r="F50">
        <v>0.71155421105708205</v>
      </c>
      <c r="G50">
        <v>0.53895725691707796</v>
      </c>
      <c r="H50">
        <v>6.7296310827844402E-2</v>
      </c>
      <c r="I50">
        <v>0.154135527941128</v>
      </c>
      <c r="J50">
        <v>0.21288075716101801</v>
      </c>
      <c r="K50">
        <v>0.68257172540226696</v>
      </c>
      <c r="L50">
        <v>0.75160285226185897</v>
      </c>
      <c r="M50">
        <v>0</v>
      </c>
      <c r="N50">
        <v>5.6397401072230302</v>
      </c>
      <c r="O50">
        <v>94.360259892776995</v>
      </c>
      <c r="P50">
        <v>22.476306378792501</v>
      </c>
      <c r="Q50">
        <v>20.1720661537402</v>
      </c>
      <c r="R50">
        <v>57.351627467467203</v>
      </c>
      <c r="S50">
        <v>0</v>
      </c>
      <c r="T50">
        <v>20.1720661537402</v>
      </c>
      <c r="U50">
        <v>5.0126418268367701</v>
      </c>
      <c r="V50">
        <v>241.763414180117</v>
      </c>
      <c r="W50">
        <v>15180.7902713777</v>
      </c>
      <c r="X50">
        <v>100</v>
      </c>
      <c r="Y50">
        <v>50.747760564075001</v>
      </c>
      <c r="Z50">
        <v>255.270963302724</v>
      </c>
      <c r="AA50">
        <v>254.43043099036601</v>
      </c>
      <c r="AB50">
        <v>95.186448512174394</v>
      </c>
      <c r="AC50">
        <v>259.365877336285</v>
      </c>
      <c r="AD50">
        <v>6.2506413580314302</v>
      </c>
      <c r="AE50">
        <v>672.73423914032696</v>
      </c>
      <c r="AF50">
        <v>5.7432706662956203</v>
      </c>
      <c r="AG50">
        <v>0</v>
      </c>
      <c r="AH50">
        <v>174.554957133025</v>
      </c>
      <c r="AI50">
        <v>113.248117482561</v>
      </c>
      <c r="AJ50">
        <v>32.769618957385497</v>
      </c>
      <c r="AK50">
        <v>119.72880469300399</v>
      </c>
      <c r="AL50">
        <v>0.57033951686940598</v>
      </c>
      <c r="AM50">
        <v>1</v>
      </c>
      <c r="AN50">
        <v>1.08</v>
      </c>
      <c r="AO50">
        <v>1.59910484164662</v>
      </c>
      <c r="AP50">
        <v>5.1075752499874101</v>
      </c>
      <c r="AQ50">
        <v>1</v>
      </c>
      <c r="AR50">
        <v>1.2908973564633599</v>
      </c>
      <c r="AS50">
        <v>1</v>
      </c>
      <c r="AT50">
        <v>1</v>
      </c>
      <c r="AU50">
        <v>1</v>
      </c>
      <c r="AV50">
        <v>0.94</v>
      </c>
      <c r="AW50">
        <v>7.38997899270393E-2</v>
      </c>
      <c r="AX50">
        <v>0.48359474795025598</v>
      </c>
      <c r="AY50">
        <v>1</v>
      </c>
      <c r="AZ50">
        <v>1</v>
      </c>
      <c r="BA50">
        <v>1.0239188421343699</v>
      </c>
      <c r="BB50">
        <v>0.96</v>
      </c>
      <c r="BC50">
        <v>284260843.5</v>
      </c>
      <c r="BD50">
        <v>0.100966272163523</v>
      </c>
      <c r="BE50">
        <v>902</v>
      </c>
    </row>
    <row r="54" spans="1:57" x14ac:dyDescent="0.25">
      <c r="A54">
        <v>23</v>
      </c>
      <c r="B54">
        <v>6000</v>
      </c>
      <c r="C54" s="2">
        <v>50</v>
      </c>
      <c r="D54">
        <v>1.09666509841323</v>
      </c>
      <c r="E54">
        <v>0.975495699398231</v>
      </c>
      <c r="F54">
        <v>1.1242131555164701</v>
      </c>
      <c r="G54">
        <v>-0.121169399015001</v>
      </c>
      <c r="H54">
        <v>5.91496846947836E-2</v>
      </c>
      <c r="I54">
        <v>2.36239221131327E-2</v>
      </c>
      <c r="J54">
        <v>2.1456555744541E-2</v>
      </c>
      <c r="K54">
        <v>0.52245869919157595</v>
      </c>
      <c r="L54">
        <v>0.34880683765419801</v>
      </c>
      <c r="M54">
        <v>0</v>
      </c>
      <c r="N54">
        <v>5.7906556154758704</v>
      </c>
      <c r="O54">
        <v>94.209344384524101</v>
      </c>
      <c r="P54">
        <v>19.615751967828</v>
      </c>
      <c r="Q54">
        <v>56.527499073989802</v>
      </c>
      <c r="R54">
        <v>23.8550849771615</v>
      </c>
      <c r="S54">
        <v>1.6639810206679701E-3</v>
      </c>
      <c r="T54">
        <v>56.5291630550105</v>
      </c>
      <c r="U54">
        <v>0.87100158922713</v>
      </c>
      <c r="V54">
        <v>40.624294486618403</v>
      </c>
      <c r="W54">
        <v>4568.0145034082498</v>
      </c>
      <c r="X54">
        <v>100</v>
      </c>
      <c r="Y54">
        <v>41.939775634353502</v>
      </c>
      <c r="Z54">
        <v>268.24798093346402</v>
      </c>
      <c r="AA54">
        <v>266.42264542419002</v>
      </c>
      <c r="AB54">
        <v>78.510358020912193</v>
      </c>
      <c r="AC54">
        <v>272.37749365108402</v>
      </c>
      <c r="AD54">
        <v>4.4673352292984001</v>
      </c>
      <c r="AE54">
        <v>762.60880840638197</v>
      </c>
      <c r="AF54">
        <v>27.739714912043102</v>
      </c>
      <c r="AG54">
        <v>0</v>
      </c>
      <c r="AH54">
        <v>175.52158738302501</v>
      </c>
      <c r="AI54">
        <v>112.91767123007099</v>
      </c>
      <c r="AJ54">
        <v>22.406717109502601</v>
      </c>
      <c r="AK54">
        <v>-9.2763713293124503</v>
      </c>
      <c r="AL54">
        <v>0.57211159348366303</v>
      </c>
      <c r="AM54">
        <v>1</v>
      </c>
      <c r="AN54">
        <v>1.08</v>
      </c>
      <c r="AO54">
        <v>0.55465559619178495</v>
      </c>
      <c r="AP54">
        <v>1.5253278381714499</v>
      </c>
      <c r="AQ54">
        <v>1</v>
      </c>
      <c r="AR54">
        <v>1.3217783866906401</v>
      </c>
      <c r="AS54">
        <v>1</v>
      </c>
      <c r="AT54">
        <v>1</v>
      </c>
      <c r="AU54">
        <v>1</v>
      </c>
      <c r="AV54">
        <v>0.94</v>
      </c>
      <c r="AW54">
        <v>5.3303155369154198E-2</v>
      </c>
      <c r="AX54">
        <v>0.671142828752191</v>
      </c>
      <c r="AY54">
        <v>1</v>
      </c>
      <c r="AZ54">
        <v>1</v>
      </c>
      <c r="BA54">
        <v>0.96232879824627904</v>
      </c>
      <c r="BB54">
        <v>0.96</v>
      </c>
      <c r="BC54">
        <v>19945281579.400002</v>
      </c>
      <c r="BD54">
        <v>7.9541582339949499E-2</v>
      </c>
      <c r="BE54">
        <v>11986</v>
      </c>
    </row>
    <row r="55" spans="1:57" x14ac:dyDescent="0.25">
      <c r="A55">
        <v>24</v>
      </c>
      <c r="B55">
        <v>6000</v>
      </c>
      <c r="C55" s="2">
        <v>75</v>
      </c>
      <c r="D55">
        <v>1.2026924452045999</v>
      </c>
      <c r="E55">
        <v>1.24260754661381</v>
      </c>
      <c r="F55">
        <v>0.96787795026838597</v>
      </c>
      <c r="G55">
        <v>3.9915101409207399E-2</v>
      </c>
      <c r="H55">
        <v>5.91061449251628E-2</v>
      </c>
      <c r="I55">
        <v>2.37624507922755E-2</v>
      </c>
      <c r="J55">
        <v>2.5371336505644701E-2</v>
      </c>
      <c r="K55">
        <v>0.56057499003461697</v>
      </c>
      <c r="L55">
        <v>0.573792624356111</v>
      </c>
      <c r="M55">
        <v>0</v>
      </c>
      <c r="N55">
        <v>5.7994165907309698</v>
      </c>
      <c r="O55">
        <v>94.200583409269001</v>
      </c>
      <c r="P55">
        <v>21.475180023549299</v>
      </c>
      <c r="Q55">
        <v>55.1725511233848</v>
      </c>
      <c r="R55">
        <v>23.3491199303669</v>
      </c>
      <c r="S55">
        <v>3.1489226989078502E-3</v>
      </c>
      <c r="T55">
        <v>55.175700046083797</v>
      </c>
      <c r="U55">
        <v>0.83157426271018298</v>
      </c>
      <c r="V55">
        <v>63.908991284448199</v>
      </c>
      <c r="W55">
        <v>4807.95592763678</v>
      </c>
      <c r="X55">
        <v>99.9993898361368</v>
      </c>
      <c r="Y55">
        <v>43.272480195045901</v>
      </c>
      <c r="Z55">
        <v>267.154899853041</v>
      </c>
      <c r="AA55">
        <v>265.29726847679501</v>
      </c>
      <c r="AB55">
        <v>78.531672372671295</v>
      </c>
      <c r="AC55">
        <v>272.58036289276401</v>
      </c>
      <c r="AD55">
        <v>4.5224705619338197</v>
      </c>
      <c r="AE55">
        <v>760.09551991213402</v>
      </c>
      <c r="AF55">
        <v>27.5325149047124</v>
      </c>
      <c r="AG55">
        <v>0</v>
      </c>
      <c r="AH55">
        <v>173.56400007538099</v>
      </c>
      <c r="AI55">
        <v>113.125713772786</v>
      </c>
      <c r="AJ55">
        <v>29.071620199274602</v>
      </c>
      <c r="AK55">
        <v>-8.8510996885282403</v>
      </c>
      <c r="AL55">
        <v>0.56890413532728201</v>
      </c>
      <c r="AM55">
        <v>1</v>
      </c>
      <c r="AN55">
        <v>1.08</v>
      </c>
      <c r="AO55">
        <v>0.96579643881293997</v>
      </c>
      <c r="AP55">
        <v>2.4614737382171299</v>
      </c>
      <c r="AQ55">
        <v>1</v>
      </c>
      <c r="AR55">
        <v>1.3195197059271699</v>
      </c>
      <c r="AS55">
        <v>1</v>
      </c>
      <c r="AT55">
        <v>0.99999389836136798</v>
      </c>
      <c r="AU55">
        <v>1</v>
      </c>
      <c r="AV55">
        <v>0.94</v>
      </c>
      <c r="AW55">
        <v>6.4567687811543206E-2</v>
      </c>
      <c r="AX55">
        <v>0.66215091863091102</v>
      </c>
      <c r="AY55">
        <v>1</v>
      </c>
      <c r="AZ55">
        <v>1</v>
      </c>
      <c r="BA55">
        <v>0.962908958266805</v>
      </c>
      <c r="BB55">
        <v>0.96</v>
      </c>
      <c r="BC55">
        <v>64221027105.599998</v>
      </c>
      <c r="BD55">
        <v>8.2635446200507806E-2</v>
      </c>
      <c r="BE55">
        <v>35276</v>
      </c>
    </row>
    <row r="56" spans="1:57" x14ac:dyDescent="0.25">
      <c r="A56">
        <v>25</v>
      </c>
      <c r="B56">
        <v>6000</v>
      </c>
      <c r="C56" s="2">
        <v>100</v>
      </c>
      <c r="D56">
        <v>1.36030541066796</v>
      </c>
      <c r="E56">
        <v>1.49517578665638</v>
      </c>
      <c r="F56">
        <v>0.90979630810499801</v>
      </c>
      <c r="G56">
        <v>0.134870375988419</v>
      </c>
      <c r="H56">
        <v>5.8621807314120401E-2</v>
      </c>
      <c r="I56">
        <v>3.15296108607463E-2</v>
      </c>
      <c r="J56">
        <v>4.5874209575527902E-2</v>
      </c>
      <c r="K56">
        <v>0.59188921929983995</v>
      </c>
      <c r="L56">
        <v>0.76726093960614095</v>
      </c>
      <c r="M56">
        <v>0</v>
      </c>
      <c r="N56">
        <v>6.0175457382089901</v>
      </c>
      <c r="O56">
        <v>93.982454261791005</v>
      </c>
      <c r="P56">
        <v>27.697791803006901</v>
      </c>
      <c r="Q56">
        <v>48.724915391129699</v>
      </c>
      <c r="R56">
        <v>23.572254628807599</v>
      </c>
      <c r="S56">
        <v>5.03817705581475E-3</v>
      </c>
      <c r="T56">
        <v>48.729953568185501</v>
      </c>
      <c r="U56">
        <v>1.1143070530517301</v>
      </c>
      <c r="V56">
        <v>85.085355545344598</v>
      </c>
      <c r="W56">
        <v>5178.5937798124696</v>
      </c>
      <c r="X56">
        <v>99.998042698066001</v>
      </c>
      <c r="Y56">
        <v>48.520712664150402</v>
      </c>
      <c r="Z56">
        <v>264.93905154129101</v>
      </c>
      <c r="AA56">
        <v>263.10585826078</v>
      </c>
      <c r="AB56">
        <v>77.301066542741907</v>
      </c>
      <c r="AC56">
        <v>274.98557876062</v>
      </c>
      <c r="AD56">
        <v>4.6619394516849404</v>
      </c>
      <c r="AE56">
        <v>744.59465624207996</v>
      </c>
      <c r="AF56">
        <v>24.16407044068</v>
      </c>
      <c r="AG56">
        <v>0</v>
      </c>
      <c r="AH56">
        <v>174.14164546101401</v>
      </c>
      <c r="AI56">
        <v>113.227823348179</v>
      </c>
      <c r="AJ56">
        <v>32.078367954305499</v>
      </c>
      <c r="AK56">
        <v>-0.32057291280167599</v>
      </c>
      <c r="AL56">
        <v>0.56971081742504603</v>
      </c>
      <c r="AM56">
        <v>1</v>
      </c>
      <c r="AN56">
        <v>1.08</v>
      </c>
      <c r="AO56">
        <v>1.30701280392168</v>
      </c>
      <c r="AP56">
        <v>3.2875253137240001</v>
      </c>
      <c r="AQ56">
        <v>1</v>
      </c>
      <c r="AR56">
        <v>1.3147525822366899</v>
      </c>
      <c r="AS56">
        <v>1</v>
      </c>
      <c r="AT56">
        <v>0.99998042698066003</v>
      </c>
      <c r="AU56">
        <v>1</v>
      </c>
      <c r="AV56">
        <v>0.94</v>
      </c>
      <c r="AW56">
        <v>7.2015310936767093E-2</v>
      </c>
      <c r="AX56">
        <v>0.65029255195652003</v>
      </c>
      <c r="AY56">
        <v>1</v>
      </c>
      <c r="AZ56">
        <v>1</v>
      </c>
      <c r="BA56">
        <v>0.97234060276609602</v>
      </c>
      <c r="BB56">
        <v>0.96</v>
      </c>
      <c r="BC56">
        <v>46642916157.300003</v>
      </c>
      <c r="BD56">
        <v>8.8560436196932504E-2</v>
      </c>
      <c r="BE56">
        <v>32787</v>
      </c>
    </row>
    <row r="57" spans="1:57" x14ac:dyDescent="0.25">
      <c r="A57">
        <v>34</v>
      </c>
      <c r="B57">
        <v>8000</v>
      </c>
      <c r="C57" s="2">
        <v>100</v>
      </c>
      <c r="D57">
        <v>1.32101127568536</v>
      </c>
      <c r="E57">
        <v>1.44204664624792</v>
      </c>
      <c r="F57">
        <v>0.91606695187185305</v>
      </c>
      <c r="G57">
        <v>0.12103537056256</v>
      </c>
      <c r="H57">
        <v>6.1963315513905097E-2</v>
      </c>
      <c r="I57">
        <v>3.3210153245039703E-2</v>
      </c>
      <c r="J57">
        <v>2.4308488139123199E-2</v>
      </c>
      <c r="K57">
        <v>0.56381242394547604</v>
      </c>
      <c r="L57">
        <v>0.75875226540437901</v>
      </c>
      <c r="M57">
        <v>0</v>
      </c>
      <c r="N57">
        <v>6.6069117044388799</v>
      </c>
      <c r="O57">
        <v>93.3930882955611</v>
      </c>
      <c r="P57">
        <v>23.4923221543715</v>
      </c>
      <c r="Q57">
        <v>48.119834274528699</v>
      </c>
      <c r="R57">
        <v>28.3878435710998</v>
      </c>
      <c r="S57">
        <v>0</v>
      </c>
      <c r="T57">
        <v>48.119834274528699</v>
      </c>
      <c r="U57">
        <v>1.1229249849968099</v>
      </c>
      <c r="V57">
        <v>89.075185315853105</v>
      </c>
      <c r="W57">
        <v>6879.54417186095</v>
      </c>
      <c r="X57">
        <v>100</v>
      </c>
      <c r="Y57">
        <v>43.107463559748098</v>
      </c>
      <c r="Z57">
        <v>265.84633846103998</v>
      </c>
      <c r="AA57">
        <v>263.94366884519798</v>
      </c>
      <c r="AB57">
        <v>84.514501088827004</v>
      </c>
      <c r="AC57">
        <v>266.53851293848101</v>
      </c>
      <c r="AD57">
        <v>4.7716808539123301</v>
      </c>
      <c r="AE57">
        <v>759.55192962190699</v>
      </c>
      <c r="AF57">
        <v>18.690123724002198</v>
      </c>
      <c r="AG57">
        <v>0</v>
      </c>
      <c r="AH57">
        <v>172.96707019645299</v>
      </c>
      <c r="AI57">
        <v>113.10587861129</v>
      </c>
      <c r="AJ57">
        <v>28.6429317174636</v>
      </c>
      <c r="AK57">
        <v>-10.041537281483601</v>
      </c>
      <c r="AL57">
        <v>0.56799384575143397</v>
      </c>
      <c r="AM57">
        <v>1</v>
      </c>
      <c r="AN57">
        <v>1.08</v>
      </c>
      <c r="AO57">
        <v>1.35110906066084</v>
      </c>
      <c r="AP57">
        <v>3.41933713426093</v>
      </c>
      <c r="AQ57">
        <v>1</v>
      </c>
      <c r="AR57">
        <v>1.3165539508542099</v>
      </c>
      <c r="AS57">
        <v>1</v>
      </c>
      <c r="AT57">
        <v>1</v>
      </c>
      <c r="AU57">
        <v>1</v>
      </c>
      <c r="AV57">
        <v>0.94</v>
      </c>
      <c r="AW57">
        <v>6.3137003976357894E-2</v>
      </c>
      <c r="AX57">
        <v>0.61622590474966499</v>
      </c>
      <c r="AY57">
        <v>1</v>
      </c>
      <c r="AZ57">
        <v>1</v>
      </c>
      <c r="BA57">
        <v>0.98766765357279396</v>
      </c>
      <c r="BB57">
        <v>0.96</v>
      </c>
      <c r="BC57">
        <v>74902550914.600006</v>
      </c>
      <c r="BD57">
        <v>8.1780730045613106E-2</v>
      </c>
      <c r="BE57">
        <v>30736</v>
      </c>
    </row>
    <row r="58" spans="1:57" x14ac:dyDescent="0.25">
      <c r="A58">
        <v>35</v>
      </c>
      <c r="B58">
        <v>8000</v>
      </c>
      <c r="C58" s="2">
        <v>125</v>
      </c>
      <c r="D58">
        <v>1.4611427718719501</v>
      </c>
      <c r="E58">
        <v>1.55623961029784</v>
      </c>
      <c r="F58">
        <v>0.93889318984260295</v>
      </c>
      <c r="G58">
        <v>9.5096838425891395E-2</v>
      </c>
      <c r="H58">
        <v>6.2509056319875494E-2</v>
      </c>
      <c r="I58">
        <v>3.6908614537064302E-2</v>
      </c>
      <c r="J58">
        <v>3.65081939817503E-2</v>
      </c>
      <c r="K58">
        <v>0.58948202515616399</v>
      </c>
      <c r="L58">
        <v>0.83083172030298502</v>
      </c>
      <c r="M58">
        <v>0</v>
      </c>
      <c r="N58">
        <v>6.7181168924214596</v>
      </c>
      <c r="O58">
        <v>93.281883107578494</v>
      </c>
      <c r="P58">
        <v>28.2009402622623</v>
      </c>
      <c r="Q58">
        <v>44.903842560887497</v>
      </c>
      <c r="R58">
        <v>26.895217176850299</v>
      </c>
      <c r="S58">
        <v>0</v>
      </c>
      <c r="T58">
        <v>44.903842560887497</v>
      </c>
      <c r="U58">
        <v>1.2375367643789801</v>
      </c>
      <c r="V58">
        <v>108.537064681028</v>
      </c>
      <c r="W58">
        <v>7201.4190301300396</v>
      </c>
      <c r="X58">
        <v>100</v>
      </c>
      <c r="Y58">
        <v>46.8899691983789</v>
      </c>
      <c r="Z58">
        <v>262.37214536295801</v>
      </c>
      <c r="AA58">
        <v>260.46269471494702</v>
      </c>
      <c r="AB58">
        <v>85.645183589753202</v>
      </c>
      <c r="AC58">
        <v>266.32959102068497</v>
      </c>
      <c r="AD58">
        <v>4.8463668054299998</v>
      </c>
      <c r="AE58">
        <v>750.06586129837501</v>
      </c>
      <c r="AF58">
        <v>18.471372514310701</v>
      </c>
      <c r="AG58">
        <v>0</v>
      </c>
      <c r="AH58">
        <v>174.223630402677</v>
      </c>
      <c r="AI58">
        <v>113.279968241711</v>
      </c>
      <c r="AJ58">
        <v>33.542976519305597</v>
      </c>
      <c r="AK58">
        <v>-4.0911821934009902</v>
      </c>
      <c r="AL58">
        <v>0.569797904241506</v>
      </c>
      <c r="AM58">
        <v>1</v>
      </c>
      <c r="AN58">
        <v>1.08</v>
      </c>
      <c r="AO58">
        <v>1.47241526732441</v>
      </c>
      <c r="AP58">
        <v>3.9307563267984</v>
      </c>
      <c r="AQ58">
        <v>1</v>
      </c>
      <c r="AR58">
        <v>1.3091659323673499</v>
      </c>
      <c r="AS58">
        <v>1</v>
      </c>
      <c r="AT58">
        <v>1</v>
      </c>
      <c r="AU58">
        <v>1</v>
      </c>
      <c r="AV58">
        <v>0.94</v>
      </c>
      <c r="AW58">
        <v>7.5575825826646501E-2</v>
      </c>
      <c r="AX58">
        <v>0.61158831055981899</v>
      </c>
      <c r="AY58">
        <v>1</v>
      </c>
      <c r="AZ58">
        <v>1</v>
      </c>
      <c r="BA58">
        <v>0.98828015695992999</v>
      </c>
      <c r="BB58">
        <v>0.96</v>
      </c>
      <c r="BC58">
        <v>55511926464.199997</v>
      </c>
      <c r="BD58">
        <v>8.6857391608716E-2</v>
      </c>
      <c r="BE58">
        <v>26027</v>
      </c>
    </row>
    <row r="59" spans="1:57" x14ac:dyDescent="0.25">
      <c r="A59">
        <v>44</v>
      </c>
      <c r="B59">
        <v>10000</v>
      </c>
      <c r="C59" s="2">
        <v>125</v>
      </c>
      <c r="D59">
        <v>1.46517443406523</v>
      </c>
      <c r="E59">
        <v>1.48421744863998</v>
      </c>
      <c r="F59">
        <v>0.98716965994962702</v>
      </c>
      <c r="G59">
        <v>1.9043014574747701E-2</v>
      </c>
      <c r="H59">
        <v>6.4401026905769307E-2</v>
      </c>
      <c r="I59">
        <v>4.4221937140754702E-2</v>
      </c>
      <c r="J59">
        <v>3.07690811243841E-2</v>
      </c>
      <c r="K59">
        <v>0.56379362860502202</v>
      </c>
      <c r="L59">
        <v>0.78103177486404696</v>
      </c>
      <c r="M59">
        <v>0</v>
      </c>
      <c r="N59">
        <v>7.08435415207384</v>
      </c>
      <c r="O59">
        <v>92.9156458479262</v>
      </c>
      <c r="P59">
        <v>18.5921656128085</v>
      </c>
      <c r="Q59">
        <v>50.940471082772</v>
      </c>
      <c r="R59">
        <v>30.4673633044195</v>
      </c>
      <c r="S59">
        <v>0</v>
      </c>
      <c r="T59">
        <v>50.940471082772</v>
      </c>
      <c r="U59">
        <v>1.4985518655276</v>
      </c>
      <c r="V59">
        <v>113.807251669233</v>
      </c>
      <c r="W59">
        <v>9144.2943949454402</v>
      </c>
      <c r="X59">
        <v>100</v>
      </c>
      <c r="Y59">
        <v>41.989970607761101</v>
      </c>
      <c r="Z59">
        <v>264.996384260593</v>
      </c>
      <c r="AA59">
        <v>263.23797172834202</v>
      </c>
      <c r="AB59">
        <v>89.483977210613304</v>
      </c>
      <c r="AC59">
        <v>261.78123715799802</v>
      </c>
      <c r="AD59">
        <v>5.0267748977030298</v>
      </c>
      <c r="AE59">
        <v>754.55704101101605</v>
      </c>
      <c r="AF59">
        <v>24.8426533005522</v>
      </c>
      <c r="AG59">
        <v>0</v>
      </c>
      <c r="AH59">
        <v>174.24712372134499</v>
      </c>
      <c r="AI59">
        <v>113.114390761991</v>
      </c>
      <c r="AJ59">
        <v>28.689560122235701</v>
      </c>
      <c r="AK59">
        <v>2.7320666332897998</v>
      </c>
      <c r="AL59">
        <v>0.56997417441680198</v>
      </c>
      <c r="AM59">
        <v>1</v>
      </c>
      <c r="AN59">
        <v>1.08</v>
      </c>
      <c r="AO59">
        <v>1.4926511076481701</v>
      </c>
      <c r="AP59">
        <v>4.0478607226670302</v>
      </c>
      <c r="AQ59">
        <v>1</v>
      </c>
      <c r="AR59">
        <v>1.31381744687817</v>
      </c>
      <c r="AS59">
        <v>1</v>
      </c>
      <c r="AT59">
        <v>1</v>
      </c>
      <c r="AU59">
        <v>1</v>
      </c>
      <c r="AV59">
        <v>0.94</v>
      </c>
      <c r="AW59">
        <v>6.4269236889516301E-2</v>
      </c>
      <c r="AX59">
        <v>0.57728551391064498</v>
      </c>
      <c r="AY59">
        <v>1</v>
      </c>
      <c r="AZ59">
        <v>1</v>
      </c>
      <c r="BA59">
        <v>0.97044057075845402</v>
      </c>
      <c r="BB59">
        <v>0.96</v>
      </c>
      <c r="BC59">
        <v>44612251528.599998</v>
      </c>
      <c r="BD59">
        <v>8.6267525491605906E-2</v>
      </c>
      <c r="BE59">
        <v>27509</v>
      </c>
    </row>
    <row r="60" spans="1:57" x14ac:dyDescent="0.25">
      <c r="A60">
        <v>45</v>
      </c>
      <c r="B60">
        <v>10000</v>
      </c>
      <c r="C60" s="2">
        <v>150</v>
      </c>
      <c r="D60">
        <v>1.6694557605784901</v>
      </c>
      <c r="E60">
        <v>1.5713268331046699</v>
      </c>
      <c r="F60">
        <v>1.0624497242753299</v>
      </c>
      <c r="G60">
        <v>-9.8128927473815103E-2</v>
      </c>
      <c r="H60">
        <v>6.4509586132219202E-2</v>
      </c>
      <c r="I60">
        <v>5.8743022835077499E-2</v>
      </c>
      <c r="J60">
        <v>4.6486289828394499E-2</v>
      </c>
      <c r="K60">
        <v>0.60525171887618101</v>
      </c>
      <c r="L60">
        <v>0.79633621543280098</v>
      </c>
      <c r="M60">
        <v>0</v>
      </c>
      <c r="N60">
        <v>7.0497498781261099</v>
      </c>
      <c r="O60">
        <v>92.950250121873907</v>
      </c>
      <c r="P60">
        <v>22.818529207803799</v>
      </c>
      <c r="Q60">
        <v>45.448811968669503</v>
      </c>
      <c r="R60">
        <v>31.732658823526801</v>
      </c>
      <c r="S60">
        <v>0</v>
      </c>
      <c r="T60">
        <v>45.448811968669503</v>
      </c>
      <c r="U60">
        <v>1.96447792250114</v>
      </c>
      <c r="V60">
        <v>136.722655494354</v>
      </c>
      <c r="W60">
        <v>10085.725242438701</v>
      </c>
      <c r="X60">
        <v>100</v>
      </c>
      <c r="Y60">
        <v>46.192054492719201</v>
      </c>
      <c r="Z60">
        <v>262.223885457194</v>
      </c>
      <c r="AA60">
        <v>260.43510751740001</v>
      </c>
      <c r="AB60">
        <v>89.714150082821504</v>
      </c>
      <c r="AC60">
        <v>262.44604766223102</v>
      </c>
      <c r="AD60">
        <v>5.2004341830639502</v>
      </c>
      <c r="AE60">
        <v>742.08938262764798</v>
      </c>
      <c r="AF60">
        <v>24.1435922087291</v>
      </c>
      <c r="AG60">
        <v>0</v>
      </c>
      <c r="AH60">
        <v>174.10764006988899</v>
      </c>
      <c r="AI60">
        <v>113.193513427421</v>
      </c>
      <c r="AJ60">
        <v>31.094291664240099</v>
      </c>
      <c r="AK60">
        <v>17.386626423211499</v>
      </c>
      <c r="AL60">
        <v>0.56968553657595999</v>
      </c>
      <c r="AM60">
        <v>1</v>
      </c>
      <c r="AN60">
        <v>1.08</v>
      </c>
      <c r="AO60">
        <v>1.55467839379295</v>
      </c>
      <c r="AP60">
        <v>4.4788567422898398</v>
      </c>
      <c r="AQ60">
        <v>1</v>
      </c>
      <c r="AR60">
        <v>1.3074893239651499</v>
      </c>
      <c r="AS60">
        <v>1</v>
      </c>
      <c r="AT60">
        <v>1</v>
      </c>
      <c r="AU60">
        <v>1</v>
      </c>
      <c r="AV60">
        <v>0.94</v>
      </c>
      <c r="AW60">
        <v>6.9390886100894805E-2</v>
      </c>
      <c r="AX60">
        <v>0.56103936479776595</v>
      </c>
      <c r="AY60">
        <v>1</v>
      </c>
      <c r="AZ60">
        <v>1</v>
      </c>
      <c r="BA60">
        <v>0.97239794181555905</v>
      </c>
      <c r="BB60">
        <v>0.96</v>
      </c>
      <c r="BC60">
        <v>45637914339.099998</v>
      </c>
      <c r="BD60">
        <v>9.1288946099083196E-2</v>
      </c>
      <c r="BE60">
        <v>28128</v>
      </c>
    </row>
    <row r="64" spans="1:57" x14ac:dyDescent="0.25">
      <c r="B64" t="s">
        <v>57</v>
      </c>
      <c r="C64" t="s">
        <v>58</v>
      </c>
      <c r="D64" t="s">
        <v>59</v>
      </c>
      <c r="E64" t="s">
        <v>60</v>
      </c>
      <c r="F64" t="s">
        <v>4</v>
      </c>
      <c r="G64" t="s">
        <v>61</v>
      </c>
      <c r="I64" t="s">
        <v>62</v>
      </c>
      <c r="J64" t="s">
        <v>63</v>
      </c>
      <c r="R64" t="s">
        <v>64</v>
      </c>
      <c r="Z64" t="s">
        <v>65</v>
      </c>
      <c r="AH64" t="s">
        <v>4</v>
      </c>
    </row>
    <row r="65" spans="2:39" x14ac:dyDescent="0.25">
      <c r="B65">
        <f>B54</f>
        <v>6000</v>
      </c>
      <c r="C65">
        <f>C54</f>
        <v>50</v>
      </c>
      <c r="D65" s="3">
        <f>D54</f>
        <v>1.09666509841323</v>
      </c>
      <c r="E65" s="3">
        <f>H54+I54+J54+K54+L54*$G$65</f>
        <v>0.93015081050318549</v>
      </c>
      <c r="F65" s="3">
        <f>D65/E65</f>
        <v>1.179018591426013</v>
      </c>
      <c r="G65" s="4">
        <v>0.87</v>
      </c>
      <c r="I65" s="3">
        <f>100*(1-(1-D65/100)^12)</f>
        <v>12.39452902236221</v>
      </c>
      <c r="J65" s="3">
        <f>100*(1-(1-E65/100)^12)</f>
        <v>10.608129969192737</v>
      </c>
      <c r="R65" s="5" t="s">
        <v>56</v>
      </c>
      <c r="S65" s="5">
        <v>2000</v>
      </c>
      <c r="T65" s="5">
        <v>4000</v>
      </c>
      <c r="U65" s="5">
        <v>6000</v>
      </c>
      <c r="V65" s="5">
        <v>8000</v>
      </c>
      <c r="W65" s="5">
        <v>10000</v>
      </c>
      <c r="Z65" s="5" t="s">
        <v>56</v>
      </c>
      <c r="AA65" s="5">
        <v>2000</v>
      </c>
      <c r="AB65" s="5">
        <v>4000</v>
      </c>
      <c r="AC65" s="5">
        <v>6000</v>
      </c>
      <c r="AD65" s="5">
        <v>8000</v>
      </c>
      <c r="AE65" s="5">
        <v>10000</v>
      </c>
      <c r="AH65" s="5" t="s">
        <v>56</v>
      </c>
      <c r="AI65" s="5">
        <v>2000</v>
      </c>
      <c r="AJ65" s="5">
        <v>4000</v>
      </c>
      <c r="AK65" s="5">
        <v>6000</v>
      </c>
      <c r="AL65" s="5">
        <v>8000</v>
      </c>
      <c r="AM65" s="5">
        <v>10000</v>
      </c>
    </row>
    <row r="66" spans="2:39" x14ac:dyDescent="0.25">
      <c r="B66">
        <f t="shared" ref="B66:D66" si="0">B55</f>
        <v>6000</v>
      </c>
      <c r="C66">
        <f t="shared" si="0"/>
        <v>75</v>
      </c>
      <c r="D66" s="3">
        <f t="shared" si="0"/>
        <v>1.2026924452045999</v>
      </c>
      <c r="E66" s="3">
        <f t="shared" ref="E66:E67" si="1">H55+I55+J55+K55+L55*$G$65</f>
        <v>1.1680145054475166</v>
      </c>
      <c r="F66" s="3">
        <f t="shared" ref="F66:F71" si="2">D66/E66</f>
        <v>1.029689648198159</v>
      </c>
      <c r="G66" s="3"/>
      <c r="I66" s="3">
        <f>100*(1-(1-D66/100)^12)</f>
        <v>13.514896167010914</v>
      </c>
      <c r="J66" s="3">
        <f>100*(1-(1-E66/100)^12)</f>
        <v>13.14991595856112</v>
      </c>
      <c r="R66">
        <v>-200</v>
      </c>
      <c r="S66" s="3">
        <v>0</v>
      </c>
      <c r="T66" s="3"/>
      <c r="U66" s="3"/>
      <c r="V66" s="3"/>
      <c r="W66" s="3"/>
      <c r="Z66" s="6">
        <v>-200</v>
      </c>
      <c r="AA66" s="7">
        <v>6.98283555604442</v>
      </c>
      <c r="AB66" s="7"/>
      <c r="AC66" s="7"/>
      <c r="AD66" s="7"/>
      <c r="AE66" s="7"/>
      <c r="AH66" s="6">
        <v>-200</v>
      </c>
      <c r="AI66" s="7"/>
      <c r="AJ66" s="7"/>
      <c r="AK66" s="7"/>
      <c r="AL66" s="7"/>
      <c r="AM66" s="7"/>
    </row>
    <row r="67" spans="2:39" x14ac:dyDescent="0.25">
      <c r="B67" s="9">
        <f t="shared" ref="B67:D67" si="3">B56</f>
        <v>6000</v>
      </c>
      <c r="C67" s="9">
        <f t="shared" si="3"/>
        <v>100</v>
      </c>
      <c r="D67" s="10">
        <f t="shared" si="3"/>
        <v>1.36030541066796</v>
      </c>
      <c r="E67" s="10">
        <f t="shared" si="1"/>
        <v>1.3954318645075772</v>
      </c>
      <c r="F67" s="10">
        <f t="shared" si="2"/>
        <v>0.97482753924928267</v>
      </c>
      <c r="G67" s="10"/>
      <c r="H67" s="9"/>
      <c r="I67" s="10">
        <f>100*(1-(1-D67/100)^12)</f>
        <v>15.156099300757509</v>
      </c>
      <c r="J67" s="10">
        <f>100*(1-(1-E67/100)^12)</f>
        <v>15.517953844907373</v>
      </c>
      <c r="R67">
        <v>-150</v>
      </c>
      <c r="S67" s="3">
        <v>0.148035649086908</v>
      </c>
      <c r="T67" s="3"/>
      <c r="U67" s="3"/>
      <c r="V67" s="3"/>
      <c r="W67" s="3"/>
      <c r="Z67" s="6">
        <v>-150</v>
      </c>
      <c r="AA67" s="7">
        <v>5.3105647649837104</v>
      </c>
      <c r="AB67" s="7"/>
      <c r="AC67" s="7"/>
      <c r="AD67" s="7"/>
      <c r="AE67" s="7"/>
      <c r="AH67" s="6">
        <v>-150</v>
      </c>
      <c r="AI67" s="7"/>
      <c r="AJ67" s="7"/>
      <c r="AK67" s="7"/>
      <c r="AL67" s="7"/>
      <c r="AM67" s="7"/>
    </row>
    <row r="68" spans="2:39" x14ac:dyDescent="0.25">
      <c r="B68">
        <f t="shared" ref="B68:D68" si="4">B57</f>
        <v>8000</v>
      </c>
      <c r="C68">
        <f t="shared" si="4"/>
        <v>100</v>
      </c>
      <c r="D68" s="3">
        <f t="shared" si="4"/>
        <v>1.32101127568536</v>
      </c>
      <c r="E68" s="3">
        <f t="shared" ref="E66:E71" si="5">H57+I57+J57+K57+L57*G68</f>
        <v>1.3509963743993976</v>
      </c>
      <c r="F68" s="3">
        <f t="shared" si="2"/>
        <v>0.9778051967553445</v>
      </c>
      <c r="G68" s="4">
        <v>0.88</v>
      </c>
      <c r="I68" s="3">
        <f>100*(1-(1-D68/100)^12)</f>
        <v>14.749628232398603</v>
      </c>
      <c r="J68" s="3">
        <f>100*(1-(1-E68/100)^12)</f>
        <v>15.059964570335914</v>
      </c>
      <c r="R68">
        <v>-125</v>
      </c>
      <c r="S68" s="3">
        <v>8.9267611333350203</v>
      </c>
      <c r="T68" s="3"/>
      <c r="U68" s="3"/>
      <c r="V68" s="3"/>
      <c r="W68" s="3"/>
      <c r="Z68" s="6">
        <v>-125</v>
      </c>
      <c r="AA68" s="7">
        <v>5.1233802471356196</v>
      </c>
      <c r="AB68" s="7"/>
      <c r="AC68" s="7"/>
      <c r="AD68" s="7"/>
      <c r="AE68" s="7"/>
      <c r="AH68" s="6">
        <v>-125</v>
      </c>
      <c r="AI68" s="7"/>
      <c r="AJ68" s="7"/>
      <c r="AK68" s="7"/>
      <c r="AL68" s="7"/>
      <c r="AM68" s="7"/>
    </row>
    <row r="69" spans="2:39" x14ac:dyDescent="0.25">
      <c r="B69" s="9">
        <f t="shared" ref="B69:D69" si="6">B58</f>
        <v>8000</v>
      </c>
      <c r="C69" s="9">
        <f t="shared" si="6"/>
        <v>125</v>
      </c>
      <c r="D69" s="10">
        <f t="shared" si="6"/>
        <v>1.4611427718719501</v>
      </c>
      <c r="E69" s="10">
        <f>H58+I58+J58+K58+L58*G68</f>
        <v>1.4565398038614807</v>
      </c>
      <c r="F69" s="10">
        <f t="shared" si="2"/>
        <v>1.0031602074988037</v>
      </c>
      <c r="G69" s="10"/>
      <c r="H69" s="9"/>
      <c r="I69" s="10">
        <f>100*(1-(1-D69/100)^12)</f>
        <v>16.191077607151684</v>
      </c>
      <c r="J69" s="10">
        <f>100*(1-(1-E69/100)^12)</f>
        <v>16.144086733589457</v>
      </c>
      <c r="R69">
        <v>-100</v>
      </c>
      <c r="S69" s="3">
        <v>3.8381918488139601</v>
      </c>
      <c r="T69" s="3"/>
      <c r="U69" s="3"/>
      <c r="V69" s="3"/>
      <c r="W69" s="3"/>
      <c r="Z69" s="6">
        <v>-100</v>
      </c>
      <c r="AA69" s="7">
        <v>5.0507277360105602</v>
      </c>
      <c r="AB69" s="7"/>
      <c r="AC69" s="7"/>
      <c r="AD69" s="7"/>
      <c r="AE69" s="7"/>
      <c r="AH69" s="6">
        <v>-100</v>
      </c>
      <c r="AI69" s="7"/>
      <c r="AJ69" s="7"/>
      <c r="AK69" s="7"/>
      <c r="AL69" s="7"/>
      <c r="AM69" s="7"/>
    </row>
    <row r="70" spans="2:39" x14ac:dyDescent="0.25">
      <c r="B70">
        <f t="shared" ref="B70:D70" si="7">B59</f>
        <v>10000</v>
      </c>
      <c r="C70">
        <f t="shared" si="7"/>
        <v>125</v>
      </c>
      <c r="D70" s="3">
        <f t="shared" si="7"/>
        <v>1.46517443406523</v>
      </c>
      <c r="E70" s="3">
        <f t="shared" si="5"/>
        <v>1.4842174486399771</v>
      </c>
      <c r="F70" s="3">
        <f t="shared" si="2"/>
        <v>0.98716965994962758</v>
      </c>
      <c r="G70" s="4">
        <v>1</v>
      </c>
      <c r="I70" s="3">
        <f>100*(1-(1-D70/100)^12)</f>
        <v>16.232216290759371</v>
      </c>
      <c r="J70" s="3">
        <f>100*(1-(1-E70/100)^12)</f>
        <v>16.42627924668254</v>
      </c>
      <c r="R70">
        <v>-75</v>
      </c>
      <c r="S70" s="3">
        <v>3.7050725365195398</v>
      </c>
      <c r="T70" s="3"/>
      <c r="U70" s="3"/>
      <c r="V70" s="3"/>
      <c r="W70" s="3"/>
      <c r="Z70" s="6">
        <v>-75</v>
      </c>
      <c r="AA70" s="7">
        <v>4.6426302115949403</v>
      </c>
      <c r="AB70" s="7"/>
      <c r="AC70" s="7"/>
      <c r="AD70" s="7"/>
      <c r="AE70" s="7"/>
      <c r="AH70" s="6">
        <v>-75</v>
      </c>
      <c r="AI70" s="7"/>
      <c r="AJ70" s="7"/>
      <c r="AK70" s="7"/>
      <c r="AL70" s="7"/>
      <c r="AM70" s="7"/>
    </row>
    <row r="71" spans="2:39" x14ac:dyDescent="0.25">
      <c r="B71">
        <f t="shared" ref="B71:D71" si="8">B60</f>
        <v>10000</v>
      </c>
      <c r="C71">
        <f t="shared" si="8"/>
        <v>150</v>
      </c>
      <c r="D71" s="3">
        <f t="shared" si="8"/>
        <v>1.6694557605784901</v>
      </c>
      <c r="E71" s="3">
        <f>H60+I60+J60+K60+L60*G70</f>
        <v>1.5713268331046732</v>
      </c>
      <c r="F71" s="3">
        <f t="shared" si="2"/>
        <v>1.0624497242753317</v>
      </c>
      <c r="G71" s="3"/>
      <c r="I71" s="3">
        <f>100*(1-(1-D71/100)^12)</f>
        <v>18.292614354193105</v>
      </c>
      <c r="J71" s="3">
        <f>100*(1-(1-E71/100)^12)</f>
        <v>17.308747617237984</v>
      </c>
      <c r="R71">
        <v>-50</v>
      </c>
      <c r="S71" s="3">
        <v>4.1745512199787598</v>
      </c>
      <c r="T71" s="3">
        <v>0</v>
      </c>
      <c r="U71" s="3"/>
      <c r="V71" s="3"/>
      <c r="W71" s="3"/>
      <c r="Z71" s="6">
        <v>-50</v>
      </c>
      <c r="AA71" s="7">
        <v>4.9212223359414802</v>
      </c>
      <c r="AB71" s="7">
        <v>20.065397113392802</v>
      </c>
      <c r="AC71" s="7"/>
      <c r="AD71" s="7"/>
      <c r="AE71" s="7"/>
      <c r="AH71" s="6">
        <v>-50</v>
      </c>
      <c r="AI71" s="7"/>
      <c r="AJ71" s="7"/>
      <c r="AK71" s="7"/>
      <c r="AL71" s="7"/>
      <c r="AM71" s="7"/>
    </row>
    <row r="72" spans="2:39" x14ac:dyDescent="0.25">
      <c r="R72">
        <v>-25</v>
      </c>
      <c r="S72" s="3">
        <v>5.5056201904765096</v>
      </c>
      <c r="T72" s="3">
        <v>0</v>
      </c>
      <c r="U72" s="3"/>
      <c r="V72" s="3"/>
      <c r="W72" s="3"/>
      <c r="Z72" s="6">
        <v>-25</v>
      </c>
      <c r="AA72" s="7">
        <v>5.7392791584546501</v>
      </c>
      <c r="AB72" s="7">
        <v>16.6912390880521</v>
      </c>
      <c r="AC72" s="7"/>
      <c r="AD72" s="7"/>
      <c r="AE72" s="7"/>
      <c r="AH72" s="6">
        <v>-25</v>
      </c>
      <c r="AI72" s="7"/>
      <c r="AJ72" s="7"/>
      <c r="AK72" s="7"/>
      <c r="AL72" s="7"/>
      <c r="AM72" s="7"/>
    </row>
    <row r="73" spans="2:39" x14ac:dyDescent="0.25">
      <c r="R73">
        <v>0</v>
      </c>
      <c r="S73" s="3">
        <v>6.5575639565676802</v>
      </c>
      <c r="T73" s="3">
        <v>0</v>
      </c>
      <c r="U73" s="3"/>
      <c r="V73" s="3"/>
      <c r="W73" s="3"/>
      <c r="Z73" s="6">
        <v>0</v>
      </c>
      <c r="AA73" s="7">
        <v>6.9852795537216998</v>
      </c>
      <c r="AB73" s="7">
        <v>16.742437393639701</v>
      </c>
      <c r="AC73" s="7"/>
      <c r="AD73" s="7"/>
      <c r="AE73" s="7"/>
      <c r="AH73" s="6">
        <v>0</v>
      </c>
      <c r="AI73" s="7"/>
      <c r="AJ73" s="7"/>
      <c r="AK73" s="7"/>
      <c r="AL73" s="7"/>
      <c r="AM73" s="7"/>
    </row>
    <row r="74" spans="2:39" x14ac:dyDescent="0.25">
      <c r="R74">
        <v>25</v>
      </c>
      <c r="S74" s="3">
        <v>8.56333857840694</v>
      </c>
      <c r="T74" s="3">
        <v>10.129544373794801</v>
      </c>
      <c r="U74" s="3">
        <v>8.4794015595295207</v>
      </c>
      <c r="V74" s="3"/>
      <c r="W74" s="3"/>
      <c r="Z74" s="6">
        <v>25</v>
      </c>
      <c r="AA74" s="7">
        <v>8.6855910128964204</v>
      </c>
      <c r="AB74" s="7">
        <v>10.1101525269435</v>
      </c>
      <c r="AC74" s="7">
        <v>11.1746742991541</v>
      </c>
      <c r="AD74" s="7"/>
      <c r="AE74" s="7"/>
      <c r="AH74" s="6">
        <v>25</v>
      </c>
      <c r="AI74" s="7"/>
      <c r="AJ74" s="7"/>
      <c r="AK74" s="7"/>
      <c r="AL74" s="7"/>
      <c r="AM74" s="7"/>
    </row>
    <row r="75" spans="2:39" x14ac:dyDescent="0.25">
      <c r="R75">
        <v>50</v>
      </c>
      <c r="S75" s="3">
        <v>11.787777985540099</v>
      </c>
      <c r="T75" s="3">
        <v>12.1714435618736</v>
      </c>
      <c r="U75" s="4">
        <v>11.5195355064049</v>
      </c>
      <c r="V75" s="3">
        <v>5.8180147767477104</v>
      </c>
      <c r="W75" s="3"/>
      <c r="Z75" s="6">
        <v>50</v>
      </c>
      <c r="AA75" s="7">
        <v>10.9848112754652</v>
      </c>
      <c r="AB75" s="7">
        <v>12.060289503701201</v>
      </c>
      <c r="AC75" s="8">
        <v>10.8879376993882</v>
      </c>
      <c r="AD75" s="7">
        <v>14.108128669409799</v>
      </c>
      <c r="AE75" s="7"/>
      <c r="AH75" s="6">
        <v>50</v>
      </c>
      <c r="AI75" s="7"/>
      <c r="AJ75" s="7"/>
      <c r="AK75" s="7">
        <f t="shared" ref="AI67:AM81" si="9">U75/AC75</f>
        <v>1.0580089475578272</v>
      </c>
      <c r="AL75" s="7"/>
      <c r="AM75" s="7"/>
    </row>
    <row r="76" spans="2:39" x14ac:dyDescent="0.25">
      <c r="R76">
        <v>75</v>
      </c>
      <c r="S76" s="3">
        <v>14.811676300351399</v>
      </c>
      <c r="T76" s="3">
        <v>14.406614967733899</v>
      </c>
      <c r="U76" s="4">
        <v>12.8790121568562</v>
      </c>
      <c r="V76" s="3">
        <v>12.5084291638675</v>
      </c>
      <c r="W76" s="3">
        <v>15.138490181224499</v>
      </c>
      <c r="Z76" s="6">
        <v>75</v>
      </c>
      <c r="AA76" s="7">
        <v>13.984939800028901</v>
      </c>
      <c r="AB76" s="7">
        <v>15.2488176853743</v>
      </c>
      <c r="AC76" s="8">
        <v>13.738773710056201</v>
      </c>
      <c r="AD76" s="7">
        <v>13.367617213541299</v>
      </c>
      <c r="AE76" s="7">
        <v>17.414898119744699</v>
      </c>
      <c r="AH76" s="6">
        <v>75</v>
      </c>
      <c r="AI76" s="7"/>
      <c r="AJ76" s="7"/>
      <c r="AK76" s="7">
        <f t="shared" si="9"/>
        <v>0.93742079378083865</v>
      </c>
      <c r="AL76" s="7"/>
      <c r="AM76" s="7"/>
    </row>
    <row r="77" spans="2:39" x14ac:dyDescent="0.25">
      <c r="R77">
        <v>100</v>
      </c>
      <c r="S77" s="3">
        <v>18.870775387907099</v>
      </c>
      <c r="T77" s="3">
        <v>16.609397315757299</v>
      </c>
      <c r="U77" s="4">
        <v>14.3711185781499</v>
      </c>
      <c r="V77" s="4">
        <v>14.4014007631721</v>
      </c>
      <c r="W77" s="3">
        <v>13.5470809622134</v>
      </c>
      <c r="Z77" s="6">
        <v>100</v>
      </c>
      <c r="AA77" s="7">
        <v>16.3270143498411</v>
      </c>
      <c r="AB77" s="7">
        <v>18.1399459934768</v>
      </c>
      <c r="AC77" s="8">
        <v>16.4400644492334</v>
      </c>
      <c r="AD77" s="8">
        <v>15.6058724705958</v>
      </c>
      <c r="AE77" s="7">
        <v>14.6734563470343</v>
      </c>
      <c r="AH77" s="6">
        <v>100</v>
      </c>
      <c r="AI77" s="7"/>
      <c r="AJ77" s="7"/>
      <c r="AK77" s="7">
        <f t="shared" si="9"/>
        <v>0.87415220436194974</v>
      </c>
      <c r="AL77" s="7">
        <f t="shared" si="9"/>
        <v>0.92281932908953757</v>
      </c>
      <c r="AM77" s="7"/>
    </row>
    <row r="78" spans="2:39" x14ac:dyDescent="0.25">
      <c r="R78">
        <v>125</v>
      </c>
      <c r="S78" s="3">
        <v>22.042381690762198</v>
      </c>
      <c r="T78" s="3">
        <v>18.881205815624899</v>
      </c>
      <c r="U78" s="3">
        <v>16.529664718773802</v>
      </c>
      <c r="V78" s="4">
        <v>15.509165186481001</v>
      </c>
      <c r="W78" s="4">
        <v>15.252770286017199</v>
      </c>
      <c r="Z78" s="6">
        <v>125</v>
      </c>
      <c r="AA78" s="7">
        <v>15.900649277879999</v>
      </c>
      <c r="AB78" s="7">
        <v>19.866194001571099</v>
      </c>
      <c r="AC78" s="7">
        <v>18.308875256145999</v>
      </c>
      <c r="AD78" s="8">
        <v>17.1913023701226</v>
      </c>
      <c r="AE78" s="8">
        <v>16.067570658016301</v>
      </c>
      <c r="AH78" s="6">
        <v>125</v>
      </c>
      <c r="AI78" s="7"/>
      <c r="AJ78" s="7"/>
      <c r="AK78" s="7"/>
      <c r="AL78" s="7">
        <f t="shared" si="9"/>
        <v>0.90215184705464502</v>
      </c>
      <c r="AM78" s="7">
        <f t="shared" si="9"/>
        <v>0.94928913714827279</v>
      </c>
    </row>
    <row r="79" spans="2:39" x14ac:dyDescent="0.25">
      <c r="R79">
        <v>150</v>
      </c>
      <c r="S79" s="3">
        <v>33.322795142916704</v>
      </c>
      <c r="T79" s="3">
        <v>22.812950605636001</v>
      </c>
      <c r="U79" s="3">
        <v>19.645171026849798</v>
      </c>
      <c r="V79" s="3">
        <v>17.055864095959599</v>
      </c>
      <c r="W79" s="4">
        <v>16.499963372505</v>
      </c>
      <c r="Z79" s="6">
        <v>150</v>
      </c>
      <c r="AA79" s="7">
        <v>15.5988339959434</v>
      </c>
      <c r="AB79" s="7">
        <v>20.4609041790182</v>
      </c>
      <c r="AC79" s="7">
        <v>19.2623908832858</v>
      </c>
      <c r="AD79" s="7">
        <v>19.4244953460129</v>
      </c>
      <c r="AE79" s="8">
        <v>17.021524491193301</v>
      </c>
      <c r="AH79" s="6">
        <v>150</v>
      </c>
      <c r="AI79" s="7"/>
      <c r="AJ79" s="7"/>
      <c r="AK79" s="7"/>
      <c r="AL79" s="7"/>
      <c r="AM79" s="7">
        <f t="shared" si="9"/>
        <v>0.96935873053214772</v>
      </c>
    </row>
    <row r="80" spans="2:39" x14ac:dyDescent="0.25">
      <c r="R80">
        <v>175</v>
      </c>
      <c r="S80" s="3">
        <v>39.685410250180198</v>
      </c>
      <c r="T80" s="3">
        <v>28.1181939056017</v>
      </c>
      <c r="U80" s="3">
        <v>18.372278462934599</v>
      </c>
      <c r="V80" s="3">
        <v>14.802152708263399</v>
      </c>
      <c r="W80" s="3">
        <v>16.6284907822454</v>
      </c>
      <c r="Z80" s="6">
        <v>175</v>
      </c>
      <c r="AA80" s="7">
        <v>16.2339565295676</v>
      </c>
      <c r="AB80" s="7">
        <v>18.8540360381235</v>
      </c>
      <c r="AC80" s="7">
        <v>19.219800088167101</v>
      </c>
      <c r="AD80" s="7">
        <v>18.643039877819302</v>
      </c>
      <c r="AE80" s="7">
        <v>17.544303540275301</v>
      </c>
      <c r="AH80" s="6">
        <v>175</v>
      </c>
      <c r="AI80" s="7"/>
      <c r="AJ80" s="7"/>
      <c r="AK80" s="7"/>
      <c r="AL80" s="7"/>
      <c r="AM80" s="7"/>
    </row>
    <row r="81" spans="18:39" x14ac:dyDescent="0.25">
      <c r="R81">
        <v>200</v>
      </c>
      <c r="S81" s="3">
        <v>43.885928419580999</v>
      </c>
      <c r="T81" s="3">
        <v>13.5081673350006</v>
      </c>
      <c r="U81" s="3">
        <v>13.8526184693303</v>
      </c>
      <c r="V81" s="3">
        <v>14.37455533676</v>
      </c>
      <c r="W81" s="3">
        <v>16.116439923231699</v>
      </c>
      <c r="Z81" s="6">
        <v>200</v>
      </c>
      <c r="AA81" s="7">
        <v>18.487844852010198</v>
      </c>
      <c r="AB81" s="7">
        <v>18.553229293110299</v>
      </c>
      <c r="AC81" s="7">
        <v>18.6107417775588</v>
      </c>
      <c r="AD81" s="7">
        <v>17.780339541695401</v>
      </c>
      <c r="AE81" s="7">
        <v>17.867389340265198</v>
      </c>
      <c r="AH81" s="6">
        <v>200</v>
      </c>
      <c r="AI81" s="7"/>
      <c r="AJ81" s="7"/>
      <c r="AK81" s="7"/>
      <c r="AL81" s="7"/>
      <c r="AM81" s="7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grp_by_burnout_plot_by_incentiv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2018-05-16T17:33:07Z</dcterms:created>
  <dcterms:modified xsi:type="dcterms:W3CDTF">2018-05-16T17:33:07Z</dcterms:modified>
</cp:coreProperties>
</file>