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57" r:id="rId4"/>
  </pivotCaches>
</workbook>
</file>

<file path=xl/calcChain.xml><?xml version="1.0" encoding="utf-8"?>
<calcChain xmlns="http://schemas.openxmlformats.org/spreadsheetml/2006/main">
  <c r="AG14" i="4" l="1"/>
  <c r="AH15" i="4"/>
  <c r="AI15" i="4"/>
  <c r="AG15" i="4"/>
  <c r="AH20" i="4"/>
  <c r="AG20" i="4"/>
  <c r="AH19" i="4"/>
  <c r="AG19" i="4"/>
  <c r="AH18" i="4"/>
  <c r="AG18" i="4"/>
  <c r="AH17" i="4"/>
  <c r="AG17" i="4"/>
  <c r="AB15" i="4"/>
  <c r="AC15" i="4"/>
  <c r="AA15" i="4"/>
  <c r="AA14" i="4"/>
  <c r="V15" i="4"/>
  <c r="W15" i="4"/>
  <c r="U15" i="4"/>
  <c r="U14" i="4"/>
  <c r="P15" i="4"/>
  <c r="Q15" i="4"/>
  <c r="O15" i="4"/>
  <c r="J15" i="4"/>
  <c r="K15" i="4"/>
  <c r="I15" i="4"/>
  <c r="E15" i="4"/>
  <c r="D15" i="4"/>
  <c r="C15" i="4"/>
  <c r="AM46" i="1"/>
  <c r="AN46" i="1"/>
  <c r="AO46" i="1"/>
  <c r="AM47" i="1"/>
  <c r="AN47" i="1"/>
  <c r="AO47" i="1"/>
  <c r="AI20" i="4" l="1"/>
  <c r="AI19" i="4"/>
  <c r="AI18" i="4"/>
  <c r="AI17" i="4"/>
  <c r="AB20" i="4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A20" i="4"/>
  <c r="A17" i="4"/>
  <c r="A18" i="4"/>
  <c r="A19" i="4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3" i="1"/>
  <c r="AN3" i="1"/>
  <c r="AO3" i="1"/>
  <c r="AM4" i="1"/>
  <c r="AN4" i="1"/>
  <c r="AO4" i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O2" i="1"/>
  <c r="AN2" i="1"/>
  <c r="AM2" i="1"/>
  <c r="E20" i="4" l="1"/>
  <c r="Q17" i="4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Q22" i="4" s="1"/>
  <c r="W19" i="4"/>
  <c r="W22" i="4" s="1"/>
  <c r="AC19" i="4"/>
  <c r="K19" i="4"/>
  <c r="K17" i="4"/>
  <c r="E22" i="4" l="1"/>
  <c r="K22" i="4"/>
  <c r="AC22" i="4"/>
</calcChain>
</file>

<file path=xl/sharedStrings.xml><?xml version="1.0" encoding="utf-8"?>
<sst xmlns="http://schemas.openxmlformats.org/spreadsheetml/2006/main" count="244" uniqueCount="56">
  <si>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</si>
  <si>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</si>
  <si>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</si>
  <si>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</si>
  <si>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</si>
  <si>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</si>
  <si>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</si>
  <si>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</si>
  <si>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</si>
  <si>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</si>
  <si>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</si>
  <si>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</si>
  <si>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</si>
  <si>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</si>
  <si>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</si>
  <si>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</si>
  <si>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</si>
  <si>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</si>
  <si>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</si>
  <si>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</si>
  <si>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</si>
  <si>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</si>
  <si>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</si>
  <si>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</si>
  <si>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</si>
  <si>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</si>
  <si>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</si>
  <si>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</si>
  <si>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</si>
  <si>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</si>
  <si>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</si>
  <si>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</si>
  <si>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</si>
  <si>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</si>
  <si>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</si>
  <si>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</si>
  <si>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</si>
  <si>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</si>
  <si>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</si>
  <si>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</si>
  <si>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</si>
  <si>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</si>
  <si>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</si>
  <si>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</si>
  <si>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</si>
  <si>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</si>
  <si>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</si>
  <si>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</si>
  <si>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</si>
  <si>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INV</t>
  </si>
  <si>
    <t>PURCH</t>
  </si>
  <si>
    <t>RE-FI-CO</t>
  </si>
  <si>
    <t>RE-FI-NCO</t>
  </si>
  <si>
    <t>NONINV</t>
  </si>
  <si>
    <t>occType</t>
  </si>
  <si>
    <t>loanPurposeType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</si>
</sst>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07008"/>
        <c:axId val="87308928"/>
      </c:lineChart>
      <c:catAx>
        <c:axId val="873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308928"/>
        <c:crosses val="autoZero"/>
        <c:auto val="1"/>
        <c:lblAlgn val="ctr"/>
        <c:lblOffset val="100"/>
        <c:noMultiLvlLbl val="0"/>
      </c:catAx>
      <c:valAx>
        <c:axId val="873089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730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6.6838340003410597</c:v>
                </c:pt>
                <c:pt idx="1">
                  <c:v>7.4523744091651523</c:v>
                </c:pt>
                <c:pt idx="2">
                  <c:v>8.7722789406958324</c:v>
                </c:pt>
                <c:pt idx="3">
                  <c:v>10.551817552632992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71040"/>
        <c:axId val="116142464"/>
      </c:lineChart>
      <c:catAx>
        <c:axId val="11607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42464"/>
        <c:crosses val="autoZero"/>
        <c:auto val="1"/>
        <c:lblAlgn val="ctr"/>
        <c:lblOffset val="100"/>
        <c:noMultiLvlLbl val="0"/>
      </c:catAx>
      <c:valAx>
        <c:axId val="1161424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1607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5.815788255903187</c:v>
                </c:pt>
                <c:pt idx="1">
                  <c:v>6.4292879351466219</c:v>
                </c:pt>
                <c:pt idx="2">
                  <c:v>7.6036443727597653</c:v>
                </c:pt>
                <c:pt idx="3">
                  <c:v>9.2820645538983388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79776"/>
        <c:axId val="130381312"/>
      </c:lineChart>
      <c:catAx>
        <c:axId val="13037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381312"/>
        <c:crosses val="autoZero"/>
        <c:auto val="1"/>
        <c:lblAlgn val="ctr"/>
        <c:lblOffset val="100"/>
        <c:noMultiLvlLbl val="0"/>
      </c:catAx>
      <c:valAx>
        <c:axId val="13038131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0379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5.7995952147957937</c:v>
                </c:pt>
                <c:pt idx="1">
                  <c:v>6.3888407760737671</c:v>
                </c:pt>
                <c:pt idx="2">
                  <c:v>7.5496927780669632</c:v>
                </c:pt>
                <c:pt idx="3">
                  <c:v>9.2249415684654501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35680"/>
        <c:axId val="133739264"/>
      </c:lineChart>
      <c:catAx>
        <c:axId val="13333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739264"/>
        <c:crosses val="autoZero"/>
        <c:auto val="1"/>
        <c:lblAlgn val="ctr"/>
        <c:lblOffset val="100"/>
        <c:noMultiLvlLbl val="0"/>
      </c:catAx>
      <c:valAx>
        <c:axId val="1337392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3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5.4026254984252065</c:v>
                </c:pt>
                <c:pt idx="1">
                  <c:v>5.6577498447363155</c:v>
                </c:pt>
                <c:pt idx="2">
                  <c:v>6.8659525027632951</c:v>
                </c:pt>
                <c:pt idx="3">
                  <c:v>8.5163029086163142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76480"/>
        <c:axId val="256931328"/>
      </c:lineChart>
      <c:catAx>
        <c:axId val="25547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931328"/>
        <c:crosses val="autoZero"/>
        <c:auto val="1"/>
        <c:lblAlgn val="ctr"/>
        <c:lblOffset val="100"/>
        <c:noMultiLvlLbl val="0"/>
      </c:catAx>
      <c:valAx>
        <c:axId val="2569313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547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6.434841524968804</c:v>
                </c:pt>
                <c:pt idx="3">
                  <c:v>7.6078234138686867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4.8278048805986078</c:v>
                </c:pt>
                <c:pt idx="1">
                  <c:v>5.1104950804311766</c:v>
                </c:pt>
                <c:pt idx="2">
                  <c:v>6.1411729445490675</c:v>
                </c:pt>
                <c:pt idx="3">
                  <c:v>7.7354359388565825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20512"/>
        <c:axId val="265041408"/>
      </c:lineChart>
      <c:catAx>
        <c:axId val="2591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5041408"/>
        <c:crosses val="autoZero"/>
        <c:auto val="1"/>
        <c:lblAlgn val="ctr"/>
        <c:lblOffset val="100"/>
        <c:noMultiLvlLbl val="0"/>
      </c:catAx>
      <c:valAx>
        <c:axId val="26504140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9120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6.6838340003410597</c:v>
                </c:pt>
                <c:pt idx="1">
                  <c:v>7.4523744091651523</c:v>
                </c:pt>
                <c:pt idx="2">
                  <c:v>8.7722789406958324</c:v>
                </c:pt>
                <c:pt idx="3">
                  <c:v>10.551817552632992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5.815788255903187</c:v>
                </c:pt>
                <c:pt idx="1">
                  <c:v>6.4292879351466219</c:v>
                </c:pt>
                <c:pt idx="2">
                  <c:v>7.6036443727597653</c:v>
                </c:pt>
                <c:pt idx="3">
                  <c:v>9.2820645538983388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5.7995952147957937</c:v>
                </c:pt>
                <c:pt idx="1">
                  <c:v>6.3888407760737671</c:v>
                </c:pt>
                <c:pt idx="2">
                  <c:v>7.5496927780669632</c:v>
                </c:pt>
                <c:pt idx="3">
                  <c:v>9.2249415684654501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77536"/>
        <c:axId val="86579072"/>
      </c:lineChart>
      <c:catAx>
        <c:axId val="8657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79072"/>
        <c:crosses val="autoZero"/>
        <c:auto val="1"/>
        <c:lblAlgn val="ctr"/>
        <c:lblOffset val="100"/>
        <c:noMultiLvlLbl val="0"/>
      </c:catAx>
      <c:valAx>
        <c:axId val="8657907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7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6.4645612929937535</c:v>
                </c:pt>
                <c:pt idx="3">
                  <c:v>7.4745031023006447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4.5876283543966441</c:v>
                </c:pt>
                <c:pt idx="1">
                  <c:v>4.8885061681666064</c:v>
                </c:pt>
                <c:pt idx="2">
                  <c:v>5.9551267277568876</c:v>
                </c:pt>
                <c:pt idx="3">
                  <c:v>7.5646052736603853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6224"/>
        <c:axId val="86598016"/>
      </c:lineChart>
      <c:catAx>
        <c:axId val="8659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98016"/>
        <c:crosses val="autoZero"/>
        <c:auto val="1"/>
        <c:lblAlgn val="ctr"/>
        <c:lblOffset val="100"/>
        <c:noMultiLvlLbl val="0"/>
      </c:catAx>
      <c:valAx>
        <c:axId val="865980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96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6.434841524968804</c:v>
                </c:pt>
                <c:pt idx="3">
                  <c:v>7.6078234138686867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6.4645612929937535</c:v>
                </c:pt>
                <c:pt idx="3">
                  <c:v>7.4745031023006447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7360"/>
        <c:axId val="86608896"/>
      </c:lineChart>
      <c:catAx>
        <c:axId val="8660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08896"/>
        <c:crosses val="autoZero"/>
        <c:auto val="1"/>
        <c:lblAlgn val="ctr"/>
        <c:lblOffset val="100"/>
        <c:noMultiLvlLbl val="0"/>
      </c:catAx>
      <c:valAx>
        <c:axId val="866088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0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5.4026254984252065</c:v>
                </c:pt>
                <c:pt idx="1">
                  <c:v>5.6577498447363155</c:v>
                </c:pt>
                <c:pt idx="2">
                  <c:v>6.8659525027632951</c:v>
                </c:pt>
                <c:pt idx="3">
                  <c:v>8.5163029086163142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4.8278048805986078</c:v>
                </c:pt>
                <c:pt idx="1">
                  <c:v>5.1104950804311766</c:v>
                </c:pt>
                <c:pt idx="2">
                  <c:v>6.1411729445490675</c:v>
                </c:pt>
                <c:pt idx="3">
                  <c:v>7.7354359388565825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4.5876283543966441</c:v>
                </c:pt>
                <c:pt idx="1">
                  <c:v>4.8885061681666064</c:v>
                </c:pt>
                <c:pt idx="2">
                  <c:v>5.9551267277568876</c:v>
                </c:pt>
                <c:pt idx="3">
                  <c:v>7.5646052736603853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8976"/>
        <c:axId val="86640512"/>
      </c:lineChart>
      <c:catAx>
        <c:axId val="8663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40512"/>
        <c:crosses val="autoZero"/>
        <c:auto val="1"/>
        <c:lblAlgn val="ctr"/>
        <c:lblOffset val="100"/>
        <c:noMultiLvlLbl val="0"/>
      </c:catAx>
      <c:valAx>
        <c:axId val="8664051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242887</xdr:colOff>
      <xdr:row>57</xdr:row>
      <xdr:rowOff>161925</xdr:rowOff>
    </xdr:from>
    <xdr:to>
      <xdr:col>7</xdr:col>
      <xdr:colOff>138112</xdr:colOff>
      <xdr:row>72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328612</xdr:colOff>
      <xdr:row>58</xdr:row>
      <xdr:rowOff>38100</xdr:rowOff>
    </xdr:from>
    <xdr:to>
      <xdr:col>13</xdr:col>
      <xdr:colOff>714375</xdr:colOff>
      <xdr:row>72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13</xdr:col>
      <xdr:colOff>947737</xdr:colOff>
      <xdr:row>58</xdr:row>
      <xdr:rowOff>47625</xdr:rowOff>
    </xdr:from>
    <xdr:to>
      <xdr:col>20</xdr:col>
      <xdr:colOff>433387</xdr:colOff>
      <xdr:row>72</xdr:row>
      <xdr:rowOff>123825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128587</xdr:colOff>
      <xdr:row>26</xdr:row>
      <xdr:rowOff>0</xdr:rowOff>
    </xdr:from>
    <xdr:to>
      <xdr:col>21</xdr:col>
      <xdr:colOff>23812</xdr:colOff>
      <xdr:row>40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147637</xdr:colOff>
      <xdr:row>26</xdr:row>
      <xdr:rowOff>0</xdr:rowOff>
    </xdr:from>
    <xdr:to>
      <xdr:col>27</xdr:col>
      <xdr:colOff>585787</xdr:colOff>
      <xdr:row>40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5201787037" createdVersion="4" refreshedVersion="4" minRefreshableVersion="3" recordCount="46">
  <cacheSource type="worksheet">
    <worksheetSource ref="B1:AO47" sheet="Tracking_aggData_by_incentive_2"/>
  </cacheSource>
  <cacheFields count="40">
    <cacheField name="occType" numFmtId="0">
      <sharedItems count="2">
        <s v="INV"/>
        <s v="NONINV"/>
      </sharedItems>
    </cacheField>
    <cacheField name="loanPurposeType" numFmtId="0">
      <sharedItems count="3">
        <s v="PURCH"/>
        <s v="RE-FI-CO"/>
        <s v="RE-FI-NCO"/>
      </sharedItems>
    </cacheField>
    <cacheField name="x" numFmtId="0">
      <sharedItems containsSemiMixedTypes="0" containsString="0" containsNumber="1" containsInteger="1" minValue="-200" maxValue="0" count="9">
        <n v="-150"/>
        <n v="-125"/>
        <n v="-100"/>
        <n v="-75"/>
        <n v="-50"/>
        <n v="-25"/>
        <n v="0"/>
        <n v="-200"/>
        <n v="-175"/>
      </sharedItems>
    </cacheField>
    <cacheField name="actual.smm" numFmtId="0">
      <sharedItems containsSemiMixedTypes="0" containsString="0" containsNumber="1" minValue="0" maxValue="3.2679535150724601"/>
    </cacheField>
    <cacheField name="model.smm" numFmtId="0">
      <sharedItems containsSemiMixedTypes="0" containsString="0" containsNumber="1" minValue="0.35189571937564701" maxValue="1.0196889585347699"/>
    </cacheField>
    <cacheField name="track.err" numFmtId="0">
      <sharedItems containsSemiMixedTypes="0" containsString="0" containsNumber="1" minValue="-2.73939088424369" maxValue="0.54662159786949704"/>
    </cacheField>
    <cacheField name="curt.smm" numFmtId="0">
      <sharedItems containsSemiMixedTypes="0" containsString="0" containsNumber="1" minValue="4.63679339383231E-2" maxValue="5.2318326552940303E-2"/>
    </cacheField>
    <cacheField name="dflt.smm" numFmtId="0">
      <sharedItems containsSemiMixedTypes="0" containsString="0" containsNumber="1" minValue="1.0471429978492299E-3" maxValue="1.9148592851258198E-2"/>
    </cacheField>
    <cacheField name="cout.smm" numFmtId="0">
      <sharedItems containsSemiMixedTypes="0" containsString="0" containsNumber="1" minValue="4.1871427772525701E-4" maxValue="2.3951491853951401E-2"/>
    </cacheField>
    <cacheField name="turn.smm" numFmtId="0">
      <sharedItems containsSemiMixedTypes="0" containsString="0" containsNumber="1" minValue="0.29850858026316301" maxValue="0.82211803577910303"/>
    </cacheField>
    <cacheField name="refi.smm" numFmtId="0">
      <sharedItems containsSemiMixedTypes="0" containsString="0" containsNumber="1" minValue="4.8573835333944901E-6" maxValue="0.15218624644312001"/>
    </cacheField>
    <cacheField name="pct_inv" numFmtId="0">
      <sharedItems containsSemiMixedTypes="0" containsString="0" containsNumber="1" containsInteger="1" minValue="0" maxValue="100"/>
    </cacheField>
    <cacheField name="pct_2nd" numFmtId="0">
      <sharedItems containsSemiMixedTypes="0" containsString="0" containsNumber="1" minValue="0" maxValue="10.457942051311701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73621201615158904"/>
    </cacheField>
    <cacheField name="incentive" numFmtId="0">
      <sharedItems containsSemiMixedTypes="0" containsString="0" containsNumber="1" minValue="-207.20459285984401" maxValue="-13.409082430123799"/>
    </cacheField>
    <cacheField name="burnout" numFmtId="0">
      <sharedItems containsSemiMixedTypes="0" containsString="0" containsNumber="1" minValue="0" maxValue="577.33986693506199"/>
    </cacheField>
    <cacheField name="refi_elig_pct" numFmtId="0">
      <sharedItems containsSemiMixedTypes="0" containsString="0" containsNumber="1" minValue="91.778612328910498" maxValue="100"/>
    </cacheField>
    <cacheField name="cltv" numFmtId="0">
      <sharedItems containsSemiMixedTypes="0" containsString="0" containsNumber="1" minValue="34.693955254344701" maxValue="69.034099070848399"/>
    </cacheField>
    <cacheField name="wacls" numFmtId="0">
      <sharedItems containsSemiMixedTypes="0" containsString="0" containsNumber="1" minValue="93.667049464276602" maxValue="279.55540789425498"/>
    </cacheField>
    <cacheField name="wala" numFmtId="0">
      <sharedItems containsSemiMixedTypes="0" containsString="0" containsNumber="1" minValue="49.998468904423603" maxValue="63.867631974658899"/>
    </cacheField>
    <cacheField name="wac" numFmtId="0">
      <sharedItems containsSemiMixedTypes="0" containsString="0" containsNumber="1" minValue="2.5" maxValue="4.2110413201089001"/>
    </cacheField>
    <cacheField name="fico" numFmtId="0">
      <sharedItems containsSemiMixedTypes="0" containsString="0" containsNumber="1" minValue="647" maxValue="776.56269788607301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2640590416501"/>
    </cacheField>
    <cacheField name="media_effect" numFmtId="0">
      <sharedItems containsSemiMixedTypes="0" containsString="0" containsNumber="1" minValue="20.9" maxValue="34.903882893162603"/>
    </cacheField>
    <cacheField name="sato" numFmtId="0">
      <sharedItems containsSemiMixedTypes="0" containsString="0" containsNumber="1" minValue="-124.37514275964099" maxValue="30.460925573980798"/>
    </cacheField>
    <cacheField name="bal" numFmtId="0">
      <sharedItems containsSemiMixedTypes="0" containsString="0" containsNumber="1" minValue="281105.90000000002" maxValue="360316407047.29999"/>
    </cacheField>
    <cacheField name="std" numFmtId="0">
      <sharedItems containsSemiMixedTypes="0" containsString="0" containsNumber="1" minValue="0" maxValue="0.11739685194793199"/>
    </cacheField>
    <cacheField name="n" numFmtId="0">
      <sharedItems containsSemiMixedTypes="0" containsString="0" containsNumber="1" containsInteger="1" minValue="3" maxValue="90107"/>
    </cacheField>
    <cacheField name="Ratio" numFmtId="0">
      <sharedItems containsSemiMixedTypes="0" containsString="0" containsNumber="1" minValue="0" maxValue="6.1827176657351073"/>
    </cacheField>
    <cacheField name="model w/o refi" numFmtId="11">
      <sharedItems containsSemiMixedTypes="0" containsString="0" containsNumber="1" minValue="0.35188756533455728" maxValue="0.89900404803869394"/>
    </cacheField>
    <cacheField name="Ratio w/o refi" numFmtId="11">
      <sharedItems containsSemiMixedTypes="0" containsString="0" containsNumber="1" minValue="0" maxValue="6.1827942495572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0.46452557187246502"/>
    <n v="0.50829246243557302"/>
    <n v="4.3766890563107799E-2"/>
    <n v="4.83627034196649E-2"/>
    <n v="6.8235021140316899E-3"/>
    <n v="3.0610536342851199E-3"/>
    <n v="0.45003774947431302"/>
    <n v="7.4537932782277901E-6"/>
    <n v="100"/>
    <n v="0"/>
    <n v="0"/>
    <n v="100"/>
    <n v="0"/>
    <n v="0"/>
    <n v="0"/>
    <n v="0"/>
    <n v="0.23979618495086499"/>
    <n v="-155.87985680418399"/>
    <n v="0"/>
    <n v="100"/>
    <n v="47.229347527253303"/>
    <n v="227.30869056680601"/>
    <n v="54.6245999077058"/>
    <n v="3.06131402986288"/>
    <n v="759.67988659530101"/>
    <n v="0"/>
    <n v="0"/>
    <n v="171.82012905166599"/>
    <n v="111.835330501268"/>
    <n v="23.657019432674101"/>
    <n v="-55.137394149116801"/>
    <n v="5542927.2999999998"/>
    <n v="2.9617140304265599E-2"/>
    <n v="42"/>
    <n v="0.91389427583995397"/>
    <n v="0.50828500864229476"/>
    <n v="0.9139076777284505"/>
  </r>
  <r>
    <x v="0"/>
    <x v="0"/>
    <x v="1"/>
    <n v="8.7053054866181506E-2"/>
    <n v="0.52836456235350604"/>
    <n v="0.44131150748732501"/>
    <n v="4.85297757891986E-2"/>
    <n v="8.0673995375134394E-3"/>
    <n v="1.39841149302446E-3"/>
    <n v="0.47036095653930299"/>
    <n v="8.0189944668654405E-6"/>
    <n v="100"/>
    <n v="0"/>
    <n v="0"/>
    <n v="100"/>
    <n v="0"/>
    <n v="0"/>
    <n v="0"/>
    <n v="0"/>
    <n v="0.29763554775887502"/>
    <n v="-133.30258265178"/>
    <n v="6.6556632759993397E-3"/>
    <n v="100"/>
    <n v="49.006255367582497"/>
    <n v="250.43294509057"/>
    <n v="55.000178270323701"/>
    <n v="3.2492844152883502"/>
    <n v="773.86533363516503"/>
    <n v="0"/>
    <n v="0"/>
    <n v="172.574451447727"/>
    <n v="111.936282449806"/>
    <n v="24.1699458004286"/>
    <n v="-36.536799017457099"/>
    <n v="117493419.90000001"/>
    <n v="1.78267930001876E-2"/>
    <n v="450"/>
    <n v="0.16475945032804462"/>
    <n v="0.52835654335903914"/>
    <n v="0.16476195092189011"/>
  </r>
  <r>
    <x v="0"/>
    <x v="0"/>
    <x v="2"/>
    <n v="0.59963030647723403"/>
    <n v="0.57481511399557395"/>
    <n v="-2.4815192481660801E-2"/>
    <n v="4.8541743107169702E-2"/>
    <n v="8.1111536175779292E-3"/>
    <n v="1.63083981117903E-3"/>
    <n v="0.51652337650013402"/>
    <n v="8.0009595126497503E-6"/>
    <n v="100"/>
    <n v="0"/>
    <n v="0"/>
    <n v="100"/>
    <n v="0"/>
    <n v="0"/>
    <n v="0"/>
    <n v="0"/>
    <n v="0.306662290681328"/>
    <n v="-108.434468846824"/>
    <n v="2.24258757596528E-2"/>
    <n v="100"/>
    <n v="47.812656129337"/>
    <n v="240.49721955657401"/>
    <n v="55.016610352746"/>
    <n v="3.4499920489601701"/>
    <n v="776.56269788607301"/>
    <n v="0"/>
    <n v="0"/>
    <n v="172.733804091374"/>
    <n v="111.976574106991"/>
    <n v="24.825769585012601"/>
    <n v="-16.840915958696801"/>
    <n v="1269179907.4000001"/>
    <n v="7.6587366372619994E-2"/>
    <n v="1919"/>
    <n v="1.0431707376466985"/>
    <n v="0.57480711303606125"/>
    <n v="1.0431852579381973"/>
  </r>
  <r>
    <x v="0"/>
    <x v="0"/>
    <x v="3"/>
    <n v="0.71654966106069296"/>
    <n v="0.64331185441165695"/>
    <n v="-7.3237806649035897E-2"/>
    <n v="4.8367877881744702E-2"/>
    <n v="9.6444862916132707E-3"/>
    <n v="2.7649053034337198E-3"/>
    <n v="0.58230895556614504"/>
    <n v="2.25629368720878E-4"/>
    <n v="100"/>
    <n v="0"/>
    <n v="0"/>
    <n v="100"/>
    <n v="0"/>
    <n v="0"/>
    <n v="0"/>
    <n v="0"/>
    <n v="0.37071226408373897"/>
    <n v="-85.497451726517895"/>
    <n v="0.75249702962478404"/>
    <n v="99.992394915039398"/>
    <n v="47.378686724504703"/>
    <n v="233.774974725172"/>
    <n v="54.595763875205897"/>
    <n v="3.6248308783062599"/>
    <n v="774.96597170454095"/>
    <n v="0"/>
    <n v="0"/>
    <n v="172.41332696862301"/>
    <n v="112.048131030409"/>
    <n v="26.850175047116402"/>
    <n v="-2.19162709812321"/>
    <n v="5754777261.1000004"/>
    <n v="8.2460665997628593E-2"/>
    <n v="5045"/>
    <n v="1.1138449511644952"/>
    <n v="0.64308622504293611"/>
    <n v="1.1142357481111527"/>
  </r>
  <r>
    <x v="0"/>
    <x v="0"/>
    <x v="4"/>
    <n v="0.77845399824064998"/>
    <n v="0.76217540078534496"/>
    <n v="-1.6278597455304501E-2"/>
    <n v="4.8819024745305403E-2"/>
    <n v="1.2444414003604401E-2"/>
    <n v="4.3975496860304301E-3"/>
    <n v="0.67624414696303603"/>
    <n v="2.0270265387369198E-2"/>
    <n v="100"/>
    <n v="0"/>
    <n v="0"/>
    <n v="100"/>
    <n v="0"/>
    <n v="0"/>
    <n v="0"/>
    <n v="0"/>
    <n v="0.485407955882588"/>
    <n v="-61.788598605951201"/>
    <n v="23.460402947022899"/>
    <n v="99.992228279808103"/>
    <n v="47.354333943197403"/>
    <n v="223.03071220009099"/>
    <n v="55.615737086060101"/>
    <n v="3.7858681664260398"/>
    <n v="773.83094157422101"/>
    <n v="0"/>
    <n v="0"/>
    <n v="172.98933236210399"/>
    <n v="112.190983640485"/>
    <n v="29.708511504868898"/>
    <n v="7.38423865326601"/>
    <n v="12238452704.299999"/>
    <n v="7.55072184331195E-2"/>
    <n v="10806"/>
    <n v="1.0213580724837505"/>
    <n v="0.74190513539797576"/>
    <n v="1.0492635258860534"/>
  </r>
  <r>
    <x v="0"/>
    <x v="0"/>
    <x v="5"/>
    <n v="0.94663255770666799"/>
    <n v="0.924951556464779"/>
    <n v="-2.1681001241889101E-2"/>
    <n v="4.92414579742061E-2"/>
    <n v="1.5753320952884099E-2"/>
    <n v="6.5105471480514003E-3"/>
    <n v="0.78279487561929195"/>
    <n v="7.0651354770344801E-2"/>
    <n v="100"/>
    <n v="0"/>
    <n v="0"/>
    <n v="100"/>
    <n v="0"/>
    <n v="0"/>
    <n v="0"/>
    <n v="0"/>
    <n v="0.611618700890599"/>
    <n v="-37.846503990175997"/>
    <n v="135.47530466031799"/>
    <n v="99.981711409865099"/>
    <n v="48.0918304970793"/>
    <n v="205.92892995255499"/>
    <n v="56.597753685208403"/>
    <n v="3.99278917622114"/>
    <n v="771.93743241490904"/>
    <n v="0"/>
    <n v="0"/>
    <n v="172.35039958733901"/>
    <n v="112.17406777436101"/>
    <n v="31.398327313175201"/>
    <n v="20.007802050115501"/>
    <n v="14834246119.5"/>
    <n v="9.0085044241772605E-2"/>
    <n v="20836"/>
    <n v="1.0234401478546131"/>
    <n v="0.85430020169443421"/>
    <n v="1.1080795203244715"/>
  </r>
  <r>
    <x v="0"/>
    <x v="0"/>
    <x v="6"/>
    <n v="0.92710979919403502"/>
    <n v="1.0196889585347699"/>
    <n v="9.2579159340739195E-2"/>
    <n v="4.9604243003869702E-2"/>
    <n v="1.84301544869542E-2"/>
    <n v="8.8516147687709903E-3"/>
    <n v="0.82211803577910303"/>
    <n v="0.12068491049607601"/>
    <n v="100"/>
    <n v="0"/>
    <n v="0"/>
    <n v="100"/>
    <n v="0"/>
    <n v="0"/>
    <n v="0"/>
    <n v="0"/>
    <n v="0.69348474931805903"/>
    <n v="-13.409082430123799"/>
    <n v="418.44696017173902"/>
    <n v="99.960377449463707"/>
    <n v="49.0885301311299"/>
    <n v="183.66061612805399"/>
    <n v="57.4212641367846"/>
    <n v="4.1989872446018799"/>
    <n v="770.02155467628995"/>
    <n v="0"/>
    <n v="0"/>
    <n v="169.94354914752199"/>
    <n v="112.046478621587"/>
    <n v="34.903882893162603"/>
    <n v="25.8983793771867"/>
    <n v="14903289834.9"/>
    <n v="8.6641656713221105E-2"/>
    <n v="30229"/>
    <n v="0.90920843207543856"/>
    <n v="0.89900404803869394"/>
    <n v="1.0312632086770441"/>
  </r>
  <r>
    <x v="0"/>
    <x v="1"/>
    <x v="0"/>
    <n v="2.8146846758526599E-3"/>
    <n v="0.45592051698120001"/>
    <n v="0.45310583230534701"/>
    <n v="4.7974621242347401E-2"/>
    <n v="5.75080542758579E-3"/>
    <n v="1.04689388546144E-3"/>
    <n v="0.40114104182202598"/>
    <n v="7.1546037790232599E-6"/>
    <n v="100"/>
    <n v="0"/>
    <n v="0"/>
    <n v="0"/>
    <n v="0"/>
    <n v="100"/>
    <n v="0"/>
    <n v="0"/>
    <n v="0.18513874377079101"/>
    <n v="-156.73085263898"/>
    <n v="0"/>
    <n v="100"/>
    <n v="50.897410898264503"/>
    <n v="203.165466794949"/>
    <n v="53.728346537847699"/>
    <n v="3.0364023269237101"/>
    <n v="758.21449799146001"/>
    <n v="0"/>
    <n v="0"/>
    <n v="171.60998630600699"/>
    <n v="111.86055263285201"/>
    <n v="23.660879669436099"/>
    <n v="-58.671257875245601"/>
    <n v="4293342.3"/>
    <n v="8.5033962478381402E-5"/>
    <n v="37"/>
    <n v="6.1736302074967249E-3"/>
    <n v="0.45591336237742097"/>
    <n v="6.1737270896714052E-3"/>
  </r>
  <r>
    <x v="0"/>
    <x v="1"/>
    <x v="1"/>
    <n v="0.67772526817883605"/>
    <n v="0.46320627631617201"/>
    <n v="-0.21451899186266499"/>
    <n v="4.8644140821182E-2"/>
    <n v="8.5210876925802797E-3"/>
    <n v="2.3168913684615301E-3"/>
    <n v="0.40371561592717697"/>
    <n v="8.5405067704478606E-6"/>
    <n v="100"/>
    <n v="0"/>
    <n v="0"/>
    <n v="0"/>
    <n v="0"/>
    <n v="100"/>
    <n v="0"/>
    <n v="0"/>
    <n v="0.32152192223199499"/>
    <n v="-133.44294839339599"/>
    <n v="7.5412637161952198E-4"/>
    <n v="100"/>
    <n v="43.375063414616697"/>
    <n v="276.01600444886498"/>
    <n v="55.256990139096601"/>
    <n v="3.2412141488355699"/>
    <n v="765.74160659187601"/>
    <n v="0"/>
    <n v="0"/>
    <n v="172.71571826822199"/>
    <n v="111.941691485083"/>
    <n v="24.215736238971601"/>
    <n v="-40.6455701671048"/>
    <n v="83797281.700000003"/>
    <n v="5.68962690243381E-2"/>
    <n v="385"/>
    <n v="1.4631176277849898"/>
    <n v="0.46319773580940155"/>
    <n v="1.4631446049591856"/>
  </r>
  <r>
    <x v="0"/>
    <x v="1"/>
    <x v="2"/>
    <n v="0.556359068290329"/>
    <n v="0.498069019058622"/>
    <n v="-5.8290049231706602E-2"/>
    <n v="4.8501827429914199E-2"/>
    <n v="7.8121346612331603E-3"/>
    <n v="3.22283083618691E-3"/>
    <n v="0.43852364131455601"/>
    <n v="8.5848167323847305E-6"/>
    <n v="100"/>
    <n v="0"/>
    <n v="0"/>
    <n v="0"/>
    <n v="0"/>
    <n v="100"/>
    <n v="0"/>
    <n v="0"/>
    <n v="0.30079625519733599"/>
    <n v="-108.757417439242"/>
    <n v="1.20648128847364E-2"/>
    <n v="100"/>
    <n v="40.580559578898097"/>
    <n v="272.95781663883997"/>
    <n v="54.923583456550404"/>
    <n v="3.44380224933587"/>
    <n v="768.78400655372798"/>
    <n v="0"/>
    <n v="0"/>
    <n v="172.71184839683099"/>
    <n v="111.99827335511"/>
    <n v="25.2051101837977"/>
    <n v="-19.662488744176901"/>
    <n v="724575728.89999998"/>
    <n v="6.7560294026892301E-2"/>
    <n v="1708"/>
    <n v="1.1170320718640128"/>
    <n v="0.49806043424188962"/>
    <n v="1.1170513255829631"/>
  </r>
  <r>
    <x v="0"/>
    <x v="1"/>
    <x v="3"/>
    <n v="0.59178327908432504"/>
    <n v="0.552242476930075"/>
    <n v="-3.9540802154250002E-2"/>
    <n v="4.8436981483013397E-2"/>
    <n v="8.63269400238258E-3"/>
    <n v="4.34719578419314E-3"/>
    <n v="0.49056519358409201"/>
    <n v="2.6041207639411002E-4"/>
    <n v="100"/>
    <n v="0"/>
    <n v="0"/>
    <n v="0"/>
    <n v="0"/>
    <n v="100"/>
    <n v="0"/>
    <n v="0"/>
    <n v="0.33729139822650001"/>
    <n v="-85.387425946737196"/>
    <n v="1.69467876543656"/>
    <n v="100"/>
    <n v="40.173574004076798"/>
    <n v="261.51852657960001"/>
    <n v="54.754890533546003"/>
    <n v="3.6167735472820501"/>
    <n v="768.74697942367595"/>
    <n v="0"/>
    <n v="0"/>
    <n v="172.572373599103"/>
    <n v="112.064602239604"/>
    <n v="27.1153026989609"/>
    <n v="-4.0374914523693697"/>
    <n v="2892419380.5999999"/>
    <n v="5.9568209518063298E-2"/>
    <n v="4189"/>
    <n v="1.0716004360513121"/>
    <n v="0.55198206485368084"/>
    <n v="1.0721059917792704"/>
  </r>
  <r>
    <x v="0"/>
    <x v="1"/>
    <x v="4"/>
    <n v="0.64098793164600498"/>
    <n v="0.656855290168326"/>
    <n v="1.5867358522321399E-2"/>
    <n v="4.8788368781519903E-2"/>
    <n v="1.1581571573529801E-2"/>
    <n v="6.2406509193032597E-3"/>
    <n v="0.56542075709957995"/>
    <n v="2.4823941794393602E-2"/>
    <n v="100"/>
    <n v="0"/>
    <n v="0"/>
    <n v="0"/>
    <n v="0"/>
    <n v="100"/>
    <n v="0"/>
    <n v="0"/>
    <n v="0.45913791728999198"/>
    <n v="-61.758421862100199"/>
    <n v="35.1724604870289"/>
    <n v="99.981849562534805"/>
    <n v="40.139437084904202"/>
    <n v="251.821391140961"/>
    <n v="55.545754514162297"/>
    <n v="3.79333911301867"/>
    <n v="767.81041949389203"/>
    <n v="0"/>
    <n v="0"/>
    <n v="172.80503810545301"/>
    <n v="112.161276823414"/>
    <n v="29.4814041708118"/>
    <n v="7.6516391572654996"/>
    <n v="6210124699"/>
    <n v="7.1842808726931898E-2"/>
    <n v="9095"/>
    <n v="0.97584344868676498"/>
    <n v="0.63203134837393238"/>
    <n v="1.0141711060616152"/>
  </r>
  <r>
    <x v="0"/>
    <x v="1"/>
    <x v="5"/>
    <n v="0.67223900051767804"/>
    <n v="0.80850639345226805"/>
    <n v="0.136267392934591"/>
    <n v="4.9121115406735298E-2"/>
    <n v="1.51960578882164E-2"/>
    <n v="9.3117374495487199E-3"/>
    <n v="0.65118215395981904"/>
    <n v="8.36953287479488E-2"/>
    <n v="100"/>
    <n v="0"/>
    <n v="0"/>
    <n v="0"/>
    <n v="0"/>
    <n v="100"/>
    <n v="0"/>
    <n v="0"/>
    <n v="0.60103222468901596"/>
    <n v="-37.808388420501402"/>
    <n v="171.05340516646501"/>
    <n v="99.979880941583303"/>
    <n v="40.822889354047298"/>
    <n v="238.90654095829899"/>
    <n v="56.314651850000601"/>
    <n v="4.0023065952290402"/>
    <n v="765.29887776122098"/>
    <n v="0"/>
    <n v="0"/>
    <n v="172.02598193795399"/>
    <n v="112.13998592963399"/>
    <n v="31.244770331172301"/>
    <n v="20.082829048050201"/>
    <n v="8398744936.3000002"/>
    <n v="8.1660136750711002E-2"/>
    <n v="17129"/>
    <n v="0.83145786596351157"/>
    <n v="0.72481106470431922"/>
    <n v="0.92746790612518104"/>
  </r>
  <r>
    <x v="0"/>
    <x v="1"/>
    <x v="6"/>
    <n v="0.95810327798926997"/>
    <n v="0.90558871590204504"/>
    <n v="-5.25145620872252E-2"/>
    <n v="4.95729853023704E-2"/>
    <n v="1.7776793956920601E-2"/>
    <n v="1.2509010169826199E-2"/>
    <n v="0.68763006590718601"/>
    <n v="0.138099860565741"/>
    <n v="100"/>
    <n v="0"/>
    <n v="0"/>
    <n v="0"/>
    <n v="0"/>
    <n v="100"/>
    <n v="0"/>
    <n v="0"/>
    <n v="0.66836462204015301"/>
    <n v="-13.654083630933901"/>
    <n v="487.0818186162"/>
    <n v="99.982098890375397"/>
    <n v="41.757416393611798"/>
    <n v="214.060388045341"/>
    <n v="57.3332570050108"/>
    <n v="4.2110413201089001"/>
    <n v="762.95076008071806"/>
    <n v="0"/>
    <n v="0"/>
    <n v="169.301830860747"/>
    <n v="111.993085553661"/>
    <n v="34.271343414208097"/>
    <n v="25.686913791940199"/>
    <n v="8558932494.3000002"/>
    <n v="8.3254071609281999E-2"/>
    <n v="23541"/>
    <n v="1.0579894174530609"/>
    <n v="0.76748885533630407"/>
    <n v="1.2483611603316911"/>
  </r>
  <r>
    <x v="0"/>
    <x v="2"/>
    <x v="7"/>
    <n v="1.0589442027286301E-4"/>
    <n v="0.40953782718864401"/>
    <n v="0.40943193276837098"/>
    <n v="5.2318326552940303E-2"/>
    <n v="1.0471429978492299E-3"/>
    <n v="6.6475638626953802E-4"/>
    <n v="0.35550176298067698"/>
    <n v="5.8382709083927298E-6"/>
    <n v="100"/>
    <n v="0"/>
    <n v="0"/>
    <n v="0"/>
    <n v="100"/>
    <n v="0"/>
    <n v="0"/>
    <n v="100"/>
    <n v="0"/>
    <n v="-202.1"/>
    <n v="0"/>
    <n v="100"/>
    <n v="34.693955254344701"/>
    <n v="193.35106800783299"/>
    <n v="63.867631974658899"/>
    <n v="2.6"/>
    <n v="741.34658192035704"/>
    <n v="100"/>
    <n v="0"/>
    <n v="179.2"/>
    <n v="112.2"/>
    <n v="20.9"/>
    <n v="-106.073423822612"/>
    <n v="444369.4"/>
    <n v="4.6188021535170097E-6"/>
    <n v="3"/>
    <n v="2.5857054768248602E-4"/>
    <n v="0.40953198891773562"/>
    <n v="2.5857423385340102E-4"/>
  </r>
  <r>
    <x v="0"/>
    <x v="2"/>
    <x v="8"/>
    <n v="9.8434499978890293E-5"/>
    <n v="0.42503270527223902"/>
    <n v="0.42493427077225998"/>
    <n v="4.85014725723526E-2"/>
    <n v="1.47462371388832E-3"/>
    <n v="8.5021792670950396E-4"/>
    <n v="0.37420102730446397"/>
    <n v="5.3637548238508703E-6"/>
    <n v="100"/>
    <n v="0"/>
    <n v="0"/>
    <n v="0"/>
    <n v="100"/>
    <n v="0"/>
    <n v="0"/>
    <n v="100"/>
    <n v="1.8266989569262499E-2"/>
    <n v="-186.90262958698199"/>
    <n v="0"/>
    <n v="100"/>
    <n v="38.330273179196503"/>
    <n v="186.63420659229601"/>
    <n v="54.9037769766827"/>
    <n v="2.6293882670651101"/>
    <n v="746.87139429542299"/>
    <n v="85.305866467442996"/>
    <n v="0"/>
    <n v="171.357626770933"/>
    <n v="111.94186518575501"/>
    <n v="25.830301548633699"/>
    <n v="-102.86700748299501"/>
    <n v="3732890.4"/>
    <n v="4.3353644155231803E-6"/>
    <n v="26"/>
    <n v="2.3159276629275318E-4"/>
    <n v="0.42502734151741517"/>
    <n v="2.3159568894430058E-4"/>
  </r>
  <r>
    <x v="0"/>
    <x v="2"/>
    <x v="0"/>
    <n v="3.81227038269868E-4"/>
    <n v="0.44862586079926597"/>
    <n v="0.44824463376099599"/>
    <n v="4.86707095339068E-2"/>
    <n v="4.6860893230274304E-3"/>
    <n v="7.3319049559711998E-4"/>
    <n v="0.394529966509434"/>
    <n v="5.9049373004456496E-6"/>
    <n v="100"/>
    <n v="0"/>
    <n v="0"/>
    <n v="0"/>
    <n v="100"/>
    <n v="0"/>
    <n v="0"/>
    <n v="100"/>
    <n v="0.159170072807993"/>
    <n v="-162.05782908072501"/>
    <n v="0"/>
    <n v="91.778612328910498"/>
    <n v="40.723045838474498"/>
    <n v="205.00536429131799"/>
    <n v="55.308729132818897"/>
    <n v="2.87406416784538"/>
    <n v="755.73611916485902"/>
    <n v="37.9979901755623"/>
    <n v="0"/>
    <n v="172.73034974116399"/>
    <n v="112.060086463359"/>
    <n v="27.072885654108401"/>
    <n v="-77.397138307210994"/>
    <n v="11796095"/>
    <n v="3.2545557019326301E-5"/>
    <n v="84"/>
    <n v="8.4976607810944931E-4"/>
    <n v="0.44861995586196551"/>
    <n v="8.4977726311213529E-4"/>
  </r>
  <r>
    <x v="0"/>
    <x v="2"/>
    <x v="1"/>
    <n v="0.38801472388171099"/>
    <n v="0.463140471455874"/>
    <n v="7.5125747574163695E-2"/>
    <n v="4.8598305217604297E-2"/>
    <n v="8.4475760207256001E-3"/>
    <n v="1.83772763778531E-3"/>
    <n v="0.404248954685483"/>
    <n v="7.9078942762130797E-6"/>
    <n v="100"/>
    <n v="0"/>
    <n v="0"/>
    <n v="0"/>
    <n v="100"/>
    <n v="0"/>
    <n v="0"/>
    <n v="100"/>
    <n v="0.331083043683775"/>
    <n v="-132.49445322054299"/>
    <n v="4.0258811238978696E-3"/>
    <n v="98.997809157536494"/>
    <n v="40.244018612024398"/>
    <n v="263.37175544675699"/>
    <n v="55.167409706860703"/>
    <n v="3.24781936229755"/>
    <n v="771.57247124527305"/>
    <n v="22.070078099748901"/>
    <n v="0"/>
    <n v="173.01868600387999"/>
    <n v="111.949610964581"/>
    <n v="24.220546215980001"/>
    <n v="-35.716020438602698"/>
    <n v="192650273.59999999"/>
    <n v="5.75008985184014E-2"/>
    <n v="678"/>
    <n v="0.83779057930738265"/>
    <n v="0.46313256356159777"/>
    <n v="0.83780488441103551"/>
  </r>
  <r>
    <x v="0"/>
    <x v="2"/>
    <x v="2"/>
    <n v="0.56656992357725999"/>
    <n v="0.49664352190831201"/>
    <n v="-6.9926401668948299E-2"/>
    <n v="4.8440909718507903E-2"/>
    <n v="7.78815156417627E-3"/>
    <n v="2.4196814422015999E-3"/>
    <n v="0.43798676365112299"/>
    <n v="8.0155323033480608E-6"/>
    <n v="100"/>
    <n v="0"/>
    <n v="0"/>
    <n v="0"/>
    <n v="100"/>
    <n v="0"/>
    <n v="0"/>
    <n v="100"/>
    <n v="0.30370798630597901"/>
    <n v="-108.557000767449"/>
    <n v="7.4790707160919496E-3"/>
    <n v="99.824312158304593"/>
    <n v="40.015855518016899"/>
    <n v="253.37253083172999"/>
    <n v="54.784085774027297"/>
    <n v="3.4365965336739102"/>
    <n v="772.88088605140899"/>
    <n v="16.8241491444705"/>
    <n v="0"/>
    <n v="172.496170119081"/>
    <n v="111.96670401284101"/>
    <n v="24.8911219285072"/>
    <n v="-17.7222952715825"/>
    <n v="2065315143.5999999"/>
    <n v="8.0007010584610197E-2"/>
    <n v="2762"/>
    <n v="1.1407979739678502"/>
    <n v="0.49663550637600867"/>
    <n v="1.1408163860686658"/>
  </r>
  <r>
    <x v="0"/>
    <x v="2"/>
    <x v="3"/>
    <n v="0.61785282363335703"/>
    <n v="0.54866088741768404"/>
    <n v="-6.9191936215673197E-2"/>
    <n v="4.8373884894745797E-2"/>
    <n v="8.6418016986185304E-3"/>
    <n v="3.7038158609990898E-3"/>
    <n v="0.48774097070181599"/>
    <n v="2.0041426150453699E-4"/>
    <n v="100"/>
    <n v="0"/>
    <n v="0"/>
    <n v="0"/>
    <n v="100"/>
    <n v="0"/>
    <n v="0"/>
    <n v="100"/>
    <n v="0.33982189369813498"/>
    <n v="-85.479001742250205"/>
    <n v="1.43951714502382"/>
    <n v="99.8262645917941"/>
    <n v="40.4600784387668"/>
    <n v="258.29819002231397"/>
    <n v="54.611271246538003"/>
    <n v="3.61801988399331"/>
    <n v="772.12497365345098"/>
    <n v="14.595638651855699"/>
    <n v="0"/>
    <n v="172.57101130758201"/>
    <n v="112.061179506933"/>
    <n v="26.895247434791699"/>
    <n v="-2.3564406765136798"/>
    <n v="8789142515.5"/>
    <n v="6.6991439740390499E-2"/>
    <n v="6366"/>
    <n v="1.1261105681167294"/>
    <n v="0.54846047315617952"/>
    <n v="1.1265220628896941"/>
  </r>
  <r>
    <x v="0"/>
    <x v="2"/>
    <x v="4"/>
    <n v="0.65149483555855803"/>
    <n v="0.65202258945540004"/>
    <n v="5.2775389684282196E-4"/>
    <n v="4.8711330243338097E-2"/>
    <n v="1.19046848154856E-2"/>
    <n v="5.7451232086677198E-3"/>
    <n v="0.56137898201385905"/>
    <n v="2.4282469174050102E-2"/>
    <n v="100"/>
    <n v="0"/>
    <n v="0"/>
    <n v="0"/>
    <n v="100"/>
    <n v="0"/>
    <n v="0"/>
    <n v="100"/>
    <n v="0.47452024551362898"/>
    <n v="-61.719774334451699"/>
    <n v="32.117157624760097"/>
    <n v="99.710604615985503"/>
    <n v="40.5438945805424"/>
    <n v="252.97914927181799"/>
    <n v="55.368207003424899"/>
    <n v="3.7900019164548802"/>
    <n v="770.58374241362503"/>
    <n v="17.6167852064121"/>
    <n v="0"/>
    <n v="172.97620229277999"/>
    <n v="112.177681268437"/>
    <n v="29.596536483654798"/>
    <n v="8.3316805553197693"/>
    <n v="18413273613.799999"/>
    <n v="7.2249313757392297E-2"/>
    <n v="14326"/>
    <n v="0.99919058955107243"/>
    <n v="0.62774012028134996"/>
    <n v="1.0378416394137135"/>
  </r>
  <r>
    <x v="0"/>
    <x v="2"/>
    <x v="5"/>
    <n v="0.81044904927331096"/>
    <n v="0.80330301257107195"/>
    <n v="-7.1460367022388102E-3"/>
    <n v="4.8972371696865503E-2"/>
    <n v="1.5798497754377899E-2"/>
    <n v="9.3499575197881594E-3"/>
    <n v="0.65079324969150898"/>
    <n v="7.8388935908532298E-2"/>
    <n v="100"/>
    <n v="0"/>
    <n v="0"/>
    <n v="0"/>
    <n v="100"/>
    <n v="0"/>
    <n v="0"/>
    <n v="100"/>
    <n v="0.62804266693139599"/>
    <n v="-37.852222191402703"/>
    <n v="161.830184078201"/>
    <n v="99.371256745956501"/>
    <n v="41.0526251174199"/>
    <n v="238.83565260197099"/>
    <n v="55.975464450739601"/>
    <n v="3.9993903044777799"/>
    <n v="766.547784417397"/>
    <n v="27.2876051115922"/>
    <n v="0"/>
    <n v="172.26678014830301"/>
    <n v="112.157132411587"/>
    <n v="31.307067139897899"/>
    <n v="21.867047011405401"/>
    <n v="23218044063.099998"/>
    <n v="7.8780953286923097E-2"/>
    <n v="28662"/>
    <n v="1.0088958171330233"/>
    <n v="0.72491407666253971"/>
    <n v="1.1179932565312694"/>
  </r>
  <r>
    <x v="0"/>
    <x v="2"/>
    <x v="6"/>
    <n v="0.94758235864240004"/>
    <n v="0.90551961102242595"/>
    <n v="-4.2062747619974E-2"/>
    <n v="4.9244359777364202E-2"/>
    <n v="1.9148592851258198E-2"/>
    <n v="1.4018999768431999E-2"/>
    <n v="0.70008104978826602"/>
    <n v="0.12302660883710601"/>
    <n v="100"/>
    <n v="0"/>
    <n v="0"/>
    <n v="0"/>
    <n v="100"/>
    <n v="0"/>
    <n v="0"/>
    <n v="100"/>
    <n v="0.73621201615158904"/>
    <n v="-13.6133853591964"/>
    <n v="456.35566438235799"/>
    <n v="98.944300374393407"/>
    <n v="42.2525025302497"/>
    <n v="209.814071438995"/>
    <n v="56.587618507504096"/>
    <n v="4.2054976643803803"/>
    <n v="761.61993287083806"/>
    <n v="38.522857081992498"/>
    <n v="0"/>
    <n v="170.11280634285399"/>
    <n v="112.04687750086001"/>
    <n v="34.163903071460098"/>
    <n v="30.460925573980798"/>
    <n v="23127059566.200001"/>
    <n v="8.2058502755706794E-2"/>
    <n v="40474"/>
    <n v="1.0464515037642099"/>
    <n v="0.78249300218531992"/>
    <n v="1.2109787001238659"/>
  </r>
  <r>
    <x v="1"/>
    <x v="0"/>
    <x v="7"/>
    <n v="0"/>
    <n v="0.54662159786949704"/>
    <n v="0.54662159786949704"/>
    <n v="4.63679339383231E-2"/>
    <n v="7.0095480037455603E-3"/>
    <n v="2.1767076002008798E-3"/>
    <n v="0.491062550943694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4661674048596365"/>
    <n v="0"/>
  </r>
  <r>
    <x v="1"/>
    <x v="0"/>
    <x v="8"/>
    <n v="2.3397505093422301E-3"/>
    <n v="0.531566790326648"/>
    <n v="0.52922703981730601"/>
    <n v="4.7248240584075202E-2"/>
    <n v="6.2325637358933298E-3"/>
    <n v="4.8815659202433E-3"/>
    <n v="0.47319774224640199"/>
    <n v="6.6778400339896399E-6"/>
    <n v="0"/>
    <n v="0"/>
    <n v="100"/>
    <n v="100"/>
    <n v="0"/>
    <n v="0"/>
    <n v="0"/>
    <n v="0"/>
    <n v="0"/>
    <n v="-183.96153218038799"/>
    <n v="0"/>
    <n v="100"/>
    <n v="68.390011310727502"/>
    <n v="159.20792804803099"/>
    <n v="52.013446988044201"/>
    <n v="2.6026705653169002"/>
    <n v="662.48785739729396"/>
    <n v="0"/>
    <n v="0"/>
    <n v="172.31630140471501"/>
    <n v="111.973304065706"/>
    <n v="24.184242486508399"/>
    <n v="-117.060988131494"/>
    <n v="1585574.4"/>
    <n v="7.9373570137443306E-5"/>
    <n v="11"/>
    <n v="4.4016115226168523E-3"/>
    <n v="0.53156011248661406"/>
    <n v="4.4016668188231493E-3"/>
  </r>
  <r>
    <x v="1"/>
    <x v="0"/>
    <x v="0"/>
    <n v="3.2679535150724601"/>
    <n v="0.52856263082876997"/>
    <n v="-2.73939088424369"/>
    <n v="4.8192235810824498E-2"/>
    <n v="1.5912494117295901E-2"/>
    <n v="6.6438958297988003E-3"/>
    <n v="0.45780745797501499"/>
    <n v="6.5470958357671397E-6"/>
    <n v="0"/>
    <n v="0"/>
    <n v="100"/>
    <n v="100"/>
    <n v="0"/>
    <n v="0"/>
    <n v="0"/>
    <n v="0"/>
    <n v="0.45359588286376701"/>
    <n v="-160.76990174395999"/>
    <n v="0"/>
    <n v="100"/>
    <n v="66.703186504690194"/>
    <n v="155.786480463966"/>
    <n v="54.135674255822501"/>
    <n v="2.6334722008026898"/>
    <n v="703.16573518616303"/>
    <n v="0"/>
    <n v="0"/>
    <n v="173.756518738186"/>
    <n v="112.099227955579"/>
    <n v="25.543395927285399"/>
    <n v="-124.37514275964099"/>
    <n v="13640199.6"/>
    <n v="0.11739685194793199"/>
    <n v="92"/>
    <n v="6.1827176657351073"/>
    <n v="0.52855608373293417"/>
    <n v="6.1827942495572019"/>
  </r>
  <r>
    <x v="1"/>
    <x v="0"/>
    <x v="1"/>
    <n v="0.78358727348095203"/>
    <n v="0.48788693022031399"/>
    <n v="-0.29570034326063799"/>
    <n v="4.8014455901746599E-2"/>
    <n v="9.8832018922116408E-3"/>
    <n v="6.3010111247391101E-3"/>
    <n v="0.423681058065564"/>
    <n v="7.2032360530625298E-6"/>
    <n v="0"/>
    <n v="0.685459894922538"/>
    <n v="99.314540105077498"/>
    <n v="100"/>
    <n v="0"/>
    <n v="0"/>
    <n v="0"/>
    <n v="0"/>
    <n v="0.28712549315241498"/>
    <n v="-135.9119600258"/>
    <n v="0"/>
    <n v="100"/>
    <n v="63.672751653398102"/>
    <n v="191.244019867031"/>
    <n v="53.749019932182001"/>
    <n v="2.7130878975751198"/>
    <n v="738.85286676701901"/>
    <n v="0"/>
    <n v="0"/>
    <n v="173.779311326585"/>
    <n v="112.13421686281799"/>
    <n v="27.591096646432199"/>
    <n v="-114.279145461493"/>
    <n v="68210555.200000003"/>
    <n v="5.9757637498980602E-2"/>
    <n v="343"/>
    <n v="1.6060837561832397"/>
    <n v="0.48787972698426091"/>
    <n v="1.6061074689955925"/>
  </r>
  <r>
    <x v="1"/>
    <x v="0"/>
    <x v="2"/>
    <n v="0.29166655183052198"/>
    <n v="0.46176775917885199"/>
    <n v="0.17010120734833001"/>
    <n v="4.8127159730494702E-2"/>
    <n v="9.8635925209867407E-3"/>
    <n v="5.1864139584768196E-3"/>
    <n v="0.39858228695716802"/>
    <n v="8.30601172566874E-6"/>
    <n v="0"/>
    <n v="7.1930998253674296"/>
    <n v="92.806900174632602"/>
    <n v="100"/>
    <n v="0"/>
    <n v="0"/>
    <n v="0"/>
    <n v="0"/>
    <n v="0.33307155677686401"/>
    <n v="-108.58295806345799"/>
    <n v="0.65368513874489698"/>
    <n v="100"/>
    <n v="54.5289859861061"/>
    <n v="254.17439349135299"/>
    <n v="54.0529788997449"/>
    <n v="2.9631351523435199"/>
    <n v="763.54472374839804"/>
    <n v="0"/>
    <n v="0"/>
    <n v="171.711212909967"/>
    <n v="111.937184475278"/>
    <n v="26.0828665783833"/>
    <n v="-72.122455651225707"/>
    <n v="538796299.79999995"/>
    <n v="4.8895334234530199E-2"/>
    <n v="1512"/>
    <n v="0.63163039435491131"/>
    <n v="0.4617594531671263"/>
    <n v="0.63164175596196848"/>
  </r>
  <r>
    <x v="1"/>
    <x v="0"/>
    <x v="3"/>
    <n v="0.55787054836595196"/>
    <n v="0.48416625870248498"/>
    <n v="-7.3704289663467398E-2"/>
    <n v="4.8030289132783802E-2"/>
    <n v="7.95429569761868E-3"/>
    <n v="4.8558678991510399E-3"/>
    <n v="0.42304617935053301"/>
    <n v="2.79626622398425E-4"/>
    <n v="0"/>
    <n v="8.4615800826958196"/>
    <n v="91.538419917304196"/>
    <n v="100"/>
    <n v="0"/>
    <n v="0"/>
    <n v="0"/>
    <n v="0"/>
    <n v="0.27926767702720401"/>
    <n v="-83.014117248765601"/>
    <n v="0.291332452204632"/>
    <n v="99.977273442555202"/>
    <n v="51.464170398057902"/>
    <n v="275.90173591613802"/>
    <n v="53.836713420252103"/>
    <n v="3.2035141475089799"/>
    <n v="770.16049131848899"/>
    <n v="0"/>
    <n v="0"/>
    <n v="171.72981757984601"/>
    <n v="111.888071991308"/>
    <n v="24.638906115869499"/>
    <n v="-42.540082859418497"/>
    <n v="9715911023.2999992"/>
    <n v="7.2911465167421904E-2"/>
    <n v="6395"/>
    <n v="1.1522292979708804"/>
    <n v="0.48388663208008653"/>
    <n v="1.152895143988232"/>
  </r>
  <r>
    <x v="1"/>
    <x v="0"/>
    <x v="4"/>
    <n v="0.63902120538831797"/>
    <n v="0.59099968269650704"/>
    <n v="-4.8021522691810703E-2"/>
    <n v="4.8392608244336902E-2"/>
    <n v="8.5761261927850899E-3"/>
    <n v="6.3827180717979303E-3"/>
    <n v="0.49526991692660699"/>
    <n v="3.23783132609805E-2"/>
    <n v="0"/>
    <n v="9.5096665853298799"/>
    <n v="90.490333414670104"/>
    <n v="100"/>
    <n v="0"/>
    <n v="0"/>
    <n v="0"/>
    <n v="0"/>
    <n v="0.31024816364797603"/>
    <n v="-59.881807963258098"/>
    <n v="34.025186173025602"/>
    <n v="100"/>
    <n v="50.507837274970399"/>
    <n v="264.67174444474199"/>
    <n v="54.647704361736999"/>
    <n v="3.3617387359609698"/>
    <n v="769.95802139904299"/>
    <n v="0"/>
    <n v="0"/>
    <n v="172.393764069399"/>
    <n v="112.027116416938"/>
    <n v="26.2922470193419"/>
    <n v="-30.246596819784902"/>
    <n v="71189165399.800003"/>
    <n v="7.0545022906680202E-2"/>
    <n v="21591"/>
    <n v="1.0812547351509683"/>
    <n v="0.55862136943552654"/>
    <n v="1.1439254571196114"/>
  </r>
  <r>
    <x v="1"/>
    <x v="0"/>
    <x v="5"/>
    <n v="0.76348018041474297"/>
    <n v="0.73900088931055197"/>
    <n v="-2.4479291104190701E-2"/>
    <n v="4.8774897287841797E-2"/>
    <n v="9.1189447846461002E-3"/>
    <n v="9.3178875273489704E-3"/>
    <n v="0.57482641210748397"/>
    <n v="9.6962747603231605E-2"/>
    <n v="0"/>
    <n v="9.8884196822901202"/>
    <n v="90.111580317709894"/>
    <n v="100"/>
    <n v="0"/>
    <n v="0"/>
    <n v="0"/>
    <n v="0"/>
    <n v="0.33194815844256498"/>
    <n v="-36.4988907088076"/>
    <n v="136.69871877069301"/>
    <n v="99.999602066027293"/>
    <n v="50.251698661197103"/>
    <n v="262.56436958219399"/>
    <n v="55.513129877611"/>
    <n v="3.5051303402356502"/>
    <n v="767.83727212597103"/>
    <n v="0"/>
    <n v="0"/>
    <n v="173.21832638790301"/>
    <n v="112.22640590416501"/>
    <n v="29.753644380988899"/>
    <n v="-22.435569307128901"/>
    <n v="171205312138.20001"/>
    <n v="7.4747185534922003E-2"/>
    <n v="48205"/>
    <n v="1.0331248466115228"/>
    <n v="0.64203814170732032"/>
    <n v="1.1891508164678217"/>
  </r>
  <r>
    <x v="1"/>
    <x v="0"/>
    <x v="6"/>
    <n v="0.84270109648556601"/>
    <n v="0.83335146550504102"/>
    <n v="-9.3496309805253704E-3"/>
    <n v="4.96734963047223E-2"/>
    <n v="1.1164348163493E-2"/>
    <n v="1.31025003368584E-2"/>
    <n v="0.60722487425684701"/>
    <n v="0.15218624644312001"/>
    <n v="0"/>
    <n v="10.457942051311701"/>
    <n v="89.542057948688296"/>
    <n v="100"/>
    <n v="0"/>
    <n v="0"/>
    <n v="0"/>
    <n v="0"/>
    <n v="0.39483584929579302"/>
    <n v="-14.1268520268735"/>
    <n v="491.74814685217399"/>
    <n v="99.998692265206898"/>
    <n v="50.147698042366002"/>
    <n v="240.55171954752899"/>
    <n v="57.593243424198299"/>
    <n v="3.7045516216035299"/>
    <n v="764.63207740434302"/>
    <n v="0"/>
    <n v="0"/>
    <n v="171.86309615312399"/>
    <n v="112.13283721395599"/>
    <n v="31.4931631384799"/>
    <n v="-16.639604330979498"/>
    <n v="174526082208.60001"/>
    <n v="8.1354767421740998E-2"/>
    <n v="78821"/>
    <n v="1.0112193130600169"/>
    <n v="0.68116521906192107"/>
    <n v="1.2371463969433245"/>
  </r>
  <r>
    <x v="1"/>
    <x v="1"/>
    <x v="0"/>
    <n v="1.9117344271657999E-5"/>
    <n v="0.35189571937564701"/>
    <n v="0.351876602031375"/>
    <n v="4.7419620808613297E-2"/>
    <n v="5.54064998505489E-3"/>
    <n v="4.1871427772525701E-4"/>
    <n v="0.29850858026316301"/>
    <n v="8.1540410897425299E-6"/>
    <n v="0"/>
    <n v="0"/>
    <n v="100"/>
    <n v="0"/>
    <n v="0"/>
    <n v="100"/>
    <n v="0"/>
    <n v="0"/>
    <n v="0.12897455748938599"/>
    <n v="-155.419772733999"/>
    <n v="0"/>
    <n v="100"/>
    <n v="51.700533477123301"/>
    <n v="225.96024165818699"/>
    <n v="52.430106465867297"/>
    <n v="2.7716270805046301"/>
    <n v="761.46616476721499"/>
    <n v="0"/>
    <n v="0"/>
    <n v="170.40319685078401"/>
    <n v="111.766014446008"/>
    <n v="24.127455000934798"/>
    <n v="-84.6363063433473"/>
    <n v="1415768.3"/>
    <n v="3.53553390593274E-7"/>
    <n v="8"/>
    <n v="5.4326731525967569E-5"/>
    <n v="0.35188756533455728"/>
    <n v="5.4327990400803663E-5"/>
  </r>
  <r>
    <x v="1"/>
    <x v="1"/>
    <x v="1"/>
    <n v="1.50773464210052E-2"/>
    <n v="0.42124972708923902"/>
    <n v="0.40617238066823402"/>
    <n v="4.7609216997577301E-2"/>
    <n v="9.5527037366600898E-3"/>
    <n v="1.00400283682023E-2"/>
    <n v="0.35403983505461201"/>
    <n v="7.9429321877645995E-6"/>
    <n v="0"/>
    <n v="0"/>
    <n v="100"/>
    <n v="0"/>
    <n v="0"/>
    <n v="100"/>
    <n v="0"/>
    <n v="0"/>
    <n v="0.214063191341888"/>
    <n v="-132.69878892252899"/>
    <n v="0"/>
    <n v="100"/>
    <n v="54.0615871735939"/>
    <n v="224.698757448397"/>
    <n v="52.855612329110798"/>
    <n v="2.90988505992348"/>
    <n v="730.54140795139199"/>
    <n v="0"/>
    <n v="0"/>
    <n v="170.83859878116399"/>
    <n v="111.851605899105"/>
    <n v="25.0313304132493"/>
    <n v="-70.071460034300003"/>
    <n v="21186605"/>
    <n v="3.0201085542962001E-4"/>
    <n v="110"/>
    <n v="3.5791943475398769E-2"/>
    <n v="0.42124178415705127"/>
    <n v="3.5792618368039014E-2"/>
  </r>
  <r>
    <x v="1"/>
    <x v="1"/>
    <x v="2"/>
    <n v="0.421962711436698"/>
    <n v="0.41150395026528802"/>
    <n v="-1.04587611714103E-2"/>
    <n v="4.80254183590062E-2"/>
    <n v="6.8333974018594101E-3"/>
    <n v="4.7273548614694596E-3"/>
    <n v="0.35190983477553101"/>
    <n v="7.9448674216285393E-6"/>
    <n v="0"/>
    <n v="1.5285198870343799"/>
    <n v="98.471480112965594"/>
    <n v="0"/>
    <n v="0"/>
    <n v="100"/>
    <n v="0"/>
    <n v="0"/>
    <n v="0.21423299043835201"/>
    <n v="-108.660837677232"/>
    <n v="1.12398051730359E-2"/>
    <n v="100"/>
    <n v="45.829546639933199"/>
    <n v="229.817484933971"/>
    <n v="53.824119517446697"/>
    <n v="2.9524664927893198"/>
    <n v="765.82397382952399"/>
    <n v="0"/>
    <n v="0"/>
    <n v="171.339892794609"/>
    <n v="111.881654288341"/>
    <n v="24.907681434121901"/>
    <n v="-66.027070570941007"/>
    <n v="470242753.19999999"/>
    <n v="6.7349213030437394E-2"/>
    <n v="1317"/>
    <n v="1.0254159435521031"/>
    <n v="0.4114960053978664"/>
    <n v="1.0254357415419175"/>
  </r>
  <r>
    <x v="1"/>
    <x v="1"/>
    <x v="3"/>
    <n v="0.39346014554108499"/>
    <n v="0.436188235644068"/>
    <n v="4.2728090102982799E-2"/>
    <n v="4.7964016394124898E-2"/>
    <n v="7.40844985350291E-3"/>
    <n v="5.7804591422789403E-3"/>
    <n v="0.37477223865866999"/>
    <n v="2.6307159549142302E-4"/>
    <n v="0"/>
    <n v="2.3743731363993099"/>
    <n v="97.625626863600701"/>
    <n v="0"/>
    <n v="0"/>
    <n v="100"/>
    <n v="0"/>
    <n v="0"/>
    <n v="0.26926149626916301"/>
    <n v="-83.307532588826504"/>
    <n v="0.24710447483193601"/>
    <n v="100"/>
    <n v="43.4144518309731"/>
    <n v="256.012484187133"/>
    <n v="53.684773110782302"/>
    <n v="3.1744324275984801"/>
    <n v="768.00929796040896"/>
    <n v="0"/>
    <n v="0"/>
    <n v="171.64721010095499"/>
    <n v="111.900686308803"/>
    <n v="25.152529653657002"/>
    <n v="-43.9417272569396"/>
    <n v="6175875933.3999996"/>
    <n v="4.7573939080058802E-2"/>
    <n v="5130"/>
    <n v="0.90204208501888761"/>
    <n v="0.43592516404857656"/>
    <n v="0.90258644829514922"/>
  </r>
  <r>
    <x v="1"/>
    <x v="1"/>
    <x v="4"/>
    <n v="0.55273435722961195"/>
    <n v="0.52676082740362395"/>
    <n v="-2.5973529825987201E-2"/>
    <n v="4.8256624693188498E-2"/>
    <n v="8.2129202220502396E-3"/>
    <n v="7.2680145973093397E-3"/>
    <n v="0.43107934199964798"/>
    <n v="3.1943925891428603E-2"/>
    <n v="0"/>
    <n v="2.5161408453744798"/>
    <n v="97.483859154625506"/>
    <n v="0"/>
    <n v="0"/>
    <n v="100"/>
    <n v="0"/>
    <n v="0"/>
    <n v="0.308685467576858"/>
    <n v="-59.836503708153799"/>
    <n v="45.109290924162202"/>
    <n v="99.993981656369598"/>
    <n v="42.5239215194932"/>
    <n v="258.11334621514402"/>
    <n v="54.340936572745001"/>
    <n v="3.3609383493437099"/>
    <n v="768.21756563843201"/>
    <n v="0"/>
    <n v="0"/>
    <n v="172.118061762992"/>
    <n v="112.00153309641399"/>
    <n v="26.2032442262926"/>
    <n v="-28.625642897078301"/>
    <n v="47864400520.900002"/>
    <n v="6.0873326062906602E-2"/>
    <n v="16268"/>
    <n v="1.0493080131907495"/>
    <n v="0.49481690151219537"/>
    <n v="1.1170482567196407"/>
  </r>
  <r>
    <x v="1"/>
    <x v="1"/>
    <x v="5"/>
    <n v="0.65722973467372003"/>
    <n v="0.66867137287614598"/>
    <n v="1.1441638202426E-2"/>
    <n v="4.8714475333502601E-2"/>
    <n v="8.8709319876238805E-3"/>
    <n v="1.0615123833449199E-2"/>
    <n v="0.50458112518768194"/>
    <n v="9.5889716533887906E-2"/>
    <n v="0"/>
    <n v="2.5392466807704901"/>
    <n v="97.460753319229497"/>
    <n v="0"/>
    <n v="0"/>
    <n v="100"/>
    <n v="0"/>
    <n v="0"/>
    <n v="0.33396643494406197"/>
    <n v="-36.398357953265503"/>
    <n v="178.77087555353"/>
    <n v="99.996036480363898"/>
    <n v="42.7257627164174"/>
    <n v="254.14605479744199"/>
    <n v="55.378201052803099"/>
    <n v="3.5174934310874302"/>
    <n v="765.18335259741605"/>
    <n v="0"/>
    <n v="0"/>
    <n v="173.035106078626"/>
    <n v="112.19196661217499"/>
    <n v="29.203329248353299"/>
    <n v="-18.311357129860401"/>
    <n v="118410719110.89999"/>
    <n v="6.4814130040078605E-2"/>
    <n v="37023"/>
    <n v="0.982888996498815"/>
    <n v="0.57278165634225808"/>
    <n v="1.14743502588882"/>
  </r>
  <r>
    <x v="1"/>
    <x v="1"/>
    <x v="6"/>
    <n v="0.76780464791514402"/>
    <n v="0.76266383092171597"/>
    <n v="-5.1408169934278204E-3"/>
    <n v="4.9417597465721601E-2"/>
    <n v="1.10655846553511E-2"/>
    <n v="1.4218186211522999E-2"/>
    <n v="0.53635417526607898"/>
    <n v="0.15160828732304199"/>
    <n v="0"/>
    <n v="2.4859945864894302"/>
    <n v="97.514005413510603"/>
    <n v="0"/>
    <n v="0"/>
    <n v="100"/>
    <n v="0"/>
    <n v="0"/>
    <n v="0.40373656944754799"/>
    <n v="-13.6052308895996"/>
    <n v="575.38489443847095"/>
    <n v="99.997397413804904"/>
    <n v="43.6058129244824"/>
    <n v="233.90543133654799"/>
    <n v="56.999920220502602"/>
    <n v="3.71789087403151"/>
    <n v="761.81059600149695"/>
    <n v="0"/>
    <n v="0"/>
    <n v="171.70463415430899"/>
    <n v="112.103134256411"/>
    <n v="30.7744851619907"/>
    <n v="-10.952449715666299"/>
    <n v="139893814347"/>
    <n v="7.3618836129619905E-2"/>
    <n v="62080"/>
    <n v="1.0067406067850564"/>
    <n v="0.61105554359867398"/>
    <n v="1.2565218595241465"/>
  </r>
  <r>
    <x v="1"/>
    <x v="2"/>
    <x v="0"/>
    <n v="0.10630191470603401"/>
    <n v="0.48606572794634401"/>
    <n v="0.37976381324031"/>
    <n v="4.8518703731215897E-2"/>
    <n v="3.6400378404043E-3"/>
    <n v="2.3951491853951401E-2"/>
    <n v="0.40994890483053198"/>
    <n v="6.5896902407043798E-6"/>
    <n v="0"/>
    <n v="0"/>
    <n v="100"/>
    <n v="0"/>
    <n v="100"/>
    <n v="0"/>
    <n v="0"/>
    <n v="100"/>
    <n v="3.0711547464098599E-2"/>
    <n v="-157.29107918362499"/>
    <n v="0"/>
    <n v="100"/>
    <n v="46.169495840292697"/>
    <n v="187.432384506196"/>
    <n v="54.933473211585301"/>
    <n v="2.63597014105361"/>
    <n v="697.16441928018799"/>
    <n v="42.367090515378301"/>
    <n v="0"/>
    <n v="173.80607377066499"/>
    <n v="111.974054475711"/>
    <n v="22.848964577769902"/>
    <n v="-106.414511523497"/>
    <n v="1275919.1000000001"/>
    <n v="1.1998820543888699E-3"/>
    <n v="9"/>
    <n v="0.21869864216752286"/>
    <n v="0.48605913825610331"/>
    <n v="0.2187016071489305"/>
  </r>
  <r>
    <x v="1"/>
    <x v="2"/>
    <x v="1"/>
    <n v="2.2942569105467402E-2"/>
    <n v="0.380567761258439"/>
    <n v="0.35762519215297101"/>
    <n v="4.8059787261013703E-2"/>
    <n v="5.2303506562394403E-3"/>
    <n v="6.12185084359812E-3"/>
    <n v="0.32114715925899801"/>
    <n v="8.6132385897022404E-6"/>
    <n v="0"/>
    <n v="4.5775564971171097"/>
    <n v="95.422443502882899"/>
    <n v="0"/>
    <n v="100"/>
    <n v="0"/>
    <n v="0"/>
    <n v="100"/>
    <n v="0.147519876877023"/>
    <n v="-132.079817347496"/>
    <n v="0"/>
    <n v="100"/>
    <n v="49.513322592451402"/>
    <n v="277.30905118956002"/>
    <n v="53.902828033357999"/>
    <n v="2.7671999199967798"/>
    <n v="755.94440408155401"/>
    <n v="7.6128540582050404"/>
    <n v="0"/>
    <n v="171.801190633266"/>
    <n v="111.89195700513901"/>
    <n v="24.663311155591099"/>
    <n v="-87.837316035661601"/>
    <n v="40965351.299999997"/>
    <n v="1.2113497591977301E-3"/>
    <n v="189"/>
    <n v="6.028510935766674E-2"/>
    <n v="0.3805591480198493"/>
    <n v="6.0286473797420727E-2"/>
  </r>
  <r>
    <x v="1"/>
    <x v="2"/>
    <x v="2"/>
    <n v="0.39363207799358502"/>
    <n v="0.39058467702473199"/>
    <n v="-3.0474009688529198E-3"/>
    <n v="4.80504377686728E-2"/>
    <n v="4.73014321078898E-3"/>
    <n v="4.3449733727841701E-3"/>
    <n v="0.33345084308444101"/>
    <n v="8.2795880450385206E-6"/>
    <n v="0"/>
    <n v="3.9409163775512401"/>
    <n v="96.059083622448796"/>
    <n v="0"/>
    <n v="100"/>
    <n v="0"/>
    <n v="0"/>
    <n v="100"/>
    <n v="0.15562023722110599"/>
    <n v="-108.40430881153399"/>
    <n v="7.11898491280674E-3"/>
    <n v="100"/>
    <n v="46.842320357606603"/>
    <n v="253.80306238024301"/>
    <n v="53.884156935158202"/>
    <n v="2.9301153856902098"/>
    <n v="772.54794980827296"/>
    <n v="4.7980129360844499"/>
    <n v="0"/>
    <n v="171.35651012621801"/>
    <n v="111.877379552167"/>
    <n v="24.888581361622101"/>
    <n v="-67.1240096976166"/>
    <n v="1154541457.9000001"/>
    <n v="6.2818698224567301E-2"/>
    <n v="1861"/>
    <n v="1.0078021518715647"/>
    <n v="0.39057639743668693"/>
    <n v="1.0078235156475204"/>
  </r>
  <r>
    <x v="1"/>
    <x v="2"/>
    <x v="3"/>
    <n v="0.42443301748515799"/>
    <n v="0.41679866704322299"/>
    <n v="-7.6343504419345903E-3"/>
    <n v="4.7927818313305497E-2"/>
    <n v="6.58241345467671E-3"/>
    <n v="4.7756793099649102E-3"/>
    <n v="0.35721943553287999"/>
    <n v="2.9332043239561803E-4"/>
    <n v="0"/>
    <n v="3.31342271469182"/>
    <n v="96.686577285308203"/>
    <n v="0"/>
    <n v="100"/>
    <n v="0"/>
    <n v="0"/>
    <n v="100"/>
    <n v="0.240166240616421"/>
    <n v="-83.217185750109394"/>
    <n v="0.38547101571544001"/>
    <n v="99.993754086189796"/>
    <n v="44.501658569330303"/>
    <n v="276.39139723390599"/>
    <n v="53.604535309250501"/>
    <n v="3.1789897610325202"/>
    <n v="773.61067629978504"/>
    <n v="3.6490169435100301"/>
    <n v="0"/>
    <n v="171.549941839052"/>
    <n v="111.88542784480801"/>
    <n v="24.9618925319845"/>
    <n v="-43.3484163731124"/>
    <n v="18588774395.400002"/>
    <n v="6.0676938878026797E-2"/>
    <n v="7021"/>
    <n v="1.0183166383330666"/>
    <n v="0.41650534661082739"/>
    <n v="1.0190337793712358"/>
  </r>
  <r>
    <x v="1"/>
    <x v="2"/>
    <x v="4"/>
    <n v="0.55536708583726901"/>
    <n v="0.510344481430139"/>
    <n v="-4.5022604407129602E-2"/>
    <n v="4.8294438450384398E-2"/>
    <n v="7.6229579779669796E-3"/>
    <n v="6.1779829294208704E-3"/>
    <n v="0.413492019689429"/>
    <n v="3.4757082382938197E-2"/>
    <n v="0"/>
    <n v="3.2420422207497701"/>
    <n v="96.757957779250205"/>
    <n v="0"/>
    <n v="100"/>
    <n v="0"/>
    <n v="0"/>
    <n v="100"/>
    <n v="0.28728081751238999"/>
    <n v="-59.932086378650297"/>
    <n v="44.194573047270197"/>
    <n v="99.997445116415093"/>
    <n v="43.211485931246798"/>
    <n v="279.55540789425498"/>
    <n v="54.4277622033866"/>
    <n v="3.3597909977791098"/>
    <n v="773.33498117808494"/>
    <n v="4.9405453867817899"/>
    <n v="0"/>
    <n v="172.064418334294"/>
    <n v="112.001675065019"/>
    <n v="26.268666028200599"/>
    <n v="-28.8403101330263"/>
    <n v="142463091385.39999"/>
    <n v="6.5491742461149402E-2"/>
    <n v="22475"/>
    <n v="1.0882200279328251"/>
    <n v="0.47558739904720082"/>
    <n v="1.1677497909950938"/>
  </r>
  <r>
    <x v="1"/>
    <x v="2"/>
    <x v="5"/>
    <n v="0.64529180314483003"/>
    <n v="0.65335811396678301"/>
    <n v="8.0663108219539408E-3"/>
    <n v="4.8815191417708202E-2"/>
    <n v="8.3127373731398495E-3"/>
    <n v="9.7184069651519694E-3"/>
    <n v="0.486684735825412"/>
    <n v="9.9827042385371198E-2"/>
    <n v="0"/>
    <n v="3.4737982475637499"/>
    <n v="96.526201752436194"/>
    <n v="0"/>
    <n v="100"/>
    <n v="0"/>
    <n v="0"/>
    <n v="100"/>
    <n v="0.31390017177488699"/>
    <n v="-36.507374013018598"/>
    <n v="178.31626423265999"/>
    <n v="99.992317069153302"/>
    <n v="42.972899940672903"/>
    <n v="275.835233523483"/>
    <n v="55.611508400290099"/>
    <n v="3.5155779425065599"/>
    <n v="770.55891180725996"/>
    <n v="9.6090961734418592"/>
    <n v="0"/>
    <n v="173.05187905628699"/>
    <n v="112.198378187396"/>
    <n v="29.3599494640562"/>
    <n v="-18.761282644802002"/>
    <n v="331274624617.90002"/>
    <n v="6.9038655934120299E-2"/>
    <n v="52814"/>
    <n v="0.98765407416006612"/>
    <n v="0.55353107158141179"/>
    <n v="1.1657734069042633"/>
  </r>
  <r>
    <x v="1"/>
    <x v="2"/>
    <x v="6"/>
    <n v="0.74060038185805299"/>
    <n v="0.74865785006079399"/>
    <n v="8.0574682027402204E-3"/>
    <n v="4.9539129738815899E-2"/>
    <n v="1.0777114240780501E-2"/>
    <n v="1.51388365377249E-2"/>
    <n v="0.52286399729219402"/>
    <n v="0.15033877225127801"/>
    <n v="0"/>
    <n v="3.7582561209382699"/>
    <n v="96.241743879061701"/>
    <n v="0"/>
    <n v="100"/>
    <n v="0"/>
    <n v="0"/>
    <n v="100"/>
    <n v="0.39779973015237702"/>
    <n v="-13.8545875482104"/>
    <n v="577.33986693506199"/>
    <n v="99.981929480306206"/>
    <n v="43.373365194991699"/>
    <n v="247.87721379319299"/>
    <n v="57.285547550353499"/>
    <n v="3.7147137510089698"/>
    <n v="766.90936392140202"/>
    <n v="18.001980744755599"/>
    <n v="0"/>
    <n v="171.92148814834701"/>
    <n v="112.120875637555"/>
    <n v="30.8175413115368"/>
    <n v="-11.1994163446254"/>
    <n v="360316407047.29999"/>
    <n v="7.1423399678760005E-2"/>
    <n v="90107"/>
    <n v="0.98923744912033351"/>
    <n v="0.59831907780951599"/>
    <n v="1.23780171705277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7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3" firstHeaderRow="1" firstDataRow="4" firstDataCol="1"/>
  <pivotFields count="40">
    <pivotField axis="axisCol" showAll="0" defaultSubtotal="0">
      <items count="2">
        <item x="0"/>
        <item x="1"/>
      </items>
    </pivotField>
    <pivotField axis="axisCol" showAll="0" defaultSubtotal="0">
      <items count="3">
        <item x="0"/>
        <item x="1"/>
        <item x="2"/>
      </items>
    </pivotField>
    <pivotField axis="axisRow" showAll="0" defaultSubtotal="0">
      <items count="9">
        <item x="8"/>
        <item x="0"/>
        <item x="1"/>
        <item x="2"/>
        <item x="3"/>
        <item x="4"/>
        <item x="5"/>
        <item x="6"/>
        <item h="1" x="7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3">
    <field x="0"/>
    <field x="1"/>
    <field x="-2"/>
  </colFields>
  <colItems count="36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</colItems>
  <dataFields count="6">
    <dataField name="'bal" fld="34" baseField="0" baseItem="0" numFmtId="164"/>
    <dataField name="'actual.smm" fld="3" subtotal="average" baseField="0" baseItem="0" numFmtId="2"/>
    <dataField name="'model.smm" fld="4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6">
    <format dxfId="11">
      <pivotArea outline="0" collapsedLevelsAreSubtotals="1" fieldPosition="0"/>
    </format>
    <format dxfId="10">
      <pivotArea dataOnly="0" fieldPosition="0">
        <references count="1">
          <reference field="2" count="1">
            <x v="4"/>
          </reference>
        </references>
      </pivotArea>
    </format>
    <format dxfId="9">
      <pivotArea type="topRight" dataOnly="0" labelOnly="1" outline="0" offset="B1" fieldPosition="0"/>
    </format>
    <format dxfId="8">
      <pivotArea type="topRight" dataOnly="0" labelOnly="1" outline="0" offset="G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workbookViewId="0">
      <selection activeCell="A2" sqref="A2:AL47"/>
    </sheetView>
  </sheetViews>
  <sheetFormatPr defaultRowHeight="15" x14ac:dyDescent="0.25"/>
  <cols>
    <col min="2" max="2" width="9.140625" style="3"/>
  </cols>
  <sheetData>
    <row r="1" spans="1:41" x14ac:dyDescent="0.25">
      <c r="B1" s="3" t="s">
        <v>54</v>
      </c>
      <c r="C1" s="3" t="s">
        <v>55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43</v>
      </c>
      <c r="AN1" s="3" t="s">
        <v>44</v>
      </c>
      <c r="AO1" s="3" t="s">
        <v>45</v>
      </c>
    </row>
    <row r="2" spans="1:41" x14ac:dyDescent="0.25">
      <c r="A2" s="3">
        <v>1</v>
      </c>
      <c r="B2" s="3" t="s">
        <v>49</v>
      </c>
      <c r="C2" s="3" t="s">
        <v>50</v>
      </c>
      <c r="D2" s="3">
        <v>-150</v>
      </c>
      <c r="E2" s="3">
        <v>0.46452557187246502</v>
      </c>
      <c r="F2" s="3">
        <v>0.50829246243557302</v>
      </c>
      <c r="G2" s="3">
        <v>4.3766890563107799E-2</v>
      </c>
      <c r="H2" s="3">
        <v>4.83627034196649E-2</v>
      </c>
      <c r="I2" s="3">
        <v>6.8235021140316899E-3</v>
      </c>
      <c r="J2" s="3">
        <v>3.0610536342851199E-3</v>
      </c>
      <c r="K2" s="3">
        <v>0.45003774947431302</v>
      </c>
      <c r="L2" s="4">
        <v>7.4537932782277901E-6</v>
      </c>
      <c r="M2" s="3">
        <v>100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0.23979618495086499</v>
      </c>
      <c r="V2" s="3">
        <v>-155.87985680418399</v>
      </c>
      <c r="W2" s="3">
        <v>0</v>
      </c>
      <c r="X2" s="3">
        <v>100</v>
      </c>
      <c r="Y2" s="3">
        <v>47.229347527253303</v>
      </c>
      <c r="Z2" s="3">
        <v>227.30869056680601</v>
      </c>
      <c r="AA2" s="3">
        <v>54.6245999077058</v>
      </c>
      <c r="AB2" s="3">
        <v>3.06131402986288</v>
      </c>
      <c r="AC2" s="3">
        <v>759.67988659530101</v>
      </c>
      <c r="AD2" s="3">
        <v>0</v>
      </c>
      <c r="AE2" s="3">
        <v>0</v>
      </c>
      <c r="AF2" s="3">
        <v>171.82012905166599</v>
      </c>
      <c r="AG2" s="3">
        <v>111.835330501268</v>
      </c>
      <c r="AH2" s="3">
        <v>23.657019432674101</v>
      </c>
      <c r="AI2" s="3">
        <v>-55.137394149116801</v>
      </c>
      <c r="AJ2" s="3">
        <v>5542927.2999999998</v>
      </c>
      <c r="AK2" s="3">
        <v>2.9617140304265599E-2</v>
      </c>
      <c r="AL2" s="3">
        <v>42</v>
      </c>
      <c r="AM2" s="3">
        <f>E2/F2</f>
        <v>0.91389427583995397</v>
      </c>
      <c r="AN2" s="4">
        <f>F2-L2</f>
        <v>0.50828500864229476</v>
      </c>
      <c r="AO2" s="4">
        <f>E2/(F2-L2)</f>
        <v>0.9139076777284505</v>
      </c>
    </row>
    <row r="3" spans="1:41" x14ac:dyDescent="0.25">
      <c r="A3" s="3">
        <v>2</v>
      </c>
      <c r="B3" s="3" t="s">
        <v>49</v>
      </c>
      <c r="C3" s="3" t="s">
        <v>50</v>
      </c>
      <c r="D3" s="3">
        <v>-125</v>
      </c>
      <c r="E3" s="3">
        <v>8.7053054866181506E-2</v>
      </c>
      <c r="F3" s="3">
        <v>0.52836456235350604</v>
      </c>
      <c r="G3" s="3">
        <v>0.44131150748732501</v>
      </c>
      <c r="H3" s="3">
        <v>4.85297757891986E-2</v>
      </c>
      <c r="I3" s="3">
        <v>8.0673995375134394E-3</v>
      </c>
      <c r="J3" s="3">
        <v>1.39841149302446E-3</v>
      </c>
      <c r="K3" s="3">
        <v>0.47036095653930299</v>
      </c>
      <c r="L3" s="4">
        <v>8.0189944668654405E-6</v>
      </c>
      <c r="M3" s="3">
        <v>100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0.29763554775887502</v>
      </c>
      <c r="V3" s="3">
        <v>-133.30258265178</v>
      </c>
      <c r="W3" s="3">
        <v>6.6556632759993397E-3</v>
      </c>
      <c r="X3" s="3">
        <v>100</v>
      </c>
      <c r="Y3" s="3">
        <v>49.006255367582497</v>
      </c>
      <c r="Z3" s="3">
        <v>250.43294509057</v>
      </c>
      <c r="AA3" s="3">
        <v>55.000178270323701</v>
      </c>
      <c r="AB3" s="3">
        <v>3.2492844152883502</v>
      </c>
      <c r="AC3" s="3">
        <v>773.86533363516503</v>
      </c>
      <c r="AD3" s="3">
        <v>0</v>
      </c>
      <c r="AE3" s="3">
        <v>0</v>
      </c>
      <c r="AF3" s="3">
        <v>172.574451447727</v>
      </c>
      <c r="AG3" s="3">
        <v>111.936282449806</v>
      </c>
      <c r="AH3" s="3">
        <v>24.1699458004286</v>
      </c>
      <c r="AI3" s="3">
        <v>-36.536799017457099</v>
      </c>
      <c r="AJ3" s="3">
        <v>117493419.90000001</v>
      </c>
      <c r="AK3" s="3">
        <v>1.78267930001876E-2</v>
      </c>
      <c r="AL3" s="3">
        <v>450</v>
      </c>
      <c r="AM3" s="3">
        <f t="shared" ref="AM3:AM23" si="0">E3/F3</f>
        <v>0.16475945032804462</v>
      </c>
      <c r="AN3" s="4">
        <f t="shared" ref="AN3:AN23" si="1">F3-L3</f>
        <v>0.52835654335903914</v>
      </c>
      <c r="AO3" s="4">
        <f t="shared" ref="AO3:AO23" si="2">E3/(F3-L3)</f>
        <v>0.16476195092189011</v>
      </c>
    </row>
    <row r="4" spans="1:41" x14ac:dyDescent="0.25">
      <c r="A4" s="3">
        <v>3</v>
      </c>
      <c r="B4" s="3" t="s">
        <v>49</v>
      </c>
      <c r="C4" s="3" t="s">
        <v>50</v>
      </c>
      <c r="D4" s="3">
        <v>-100</v>
      </c>
      <c r="E4" s="3">
        <v>0.59963030647723403</v>
      </c>
      <c r="F4" s="3">
        <v>0.57481511399557395</v>
      </c>
      <c r="G4" s="3">
        <v>-2.4815192481660801E-2</v>
      </c>
      <c r="H4" s="3">
        <v>4.8541743107169702E-2</v>
      </c>
      <c r="I4" s="3">
        <v>8.1111536175779292E-3</v>
      </c>
      <c r="J4" s="3">
        <v>1.63083981117903E-3</v>
      </c>
      <c r="K4" s="3">
        <v>0.51652337650013402</v>
      </c>
      <c r="L4" s="4">
        <v>8.0009595126497503E-6</v>
      </c>
      <c r="M4" s="3">
        <v>100</v>
      </c>
      <c r="N4" s="3">
        <v>0</v>
      </c>
      <c r="O4" s="3">
        <v>0</v>
      </c>
      <c r="P4" s="3">
        <v>100</v>
      </c>
      <c r="Q4" s="3">
        <v>0</v>
      </c>
      <c r="R4" s="3">
        <v>0</v>
      </c>
      <c r="S4" s="3">
        <v>0</v>
      </c>
      <c r="T4" s="3">
        <v>0</v>
      </c>
      <c r="U4" s="3">
        <v>0.306662290681328</v>
      </c>
      <c r="V4" s="3">
        <v>-108.434468846824</v>
      </c>
      <c r="W4" s="3">
        <v>2.24258757596528E-2</v>
      </c>
      <c r="X4" s="3">
        <v>100</v>
      </c>
      <c r="Y4" s="3">
        <v>47.812656129337</v>
      </c>
      <c r="Z4" s="3">
        <v>240.49721955657401</v>
      </c>
      <c r="AA4" s="3">
        <v>55.016610352746</v>
      </c>
      <c r="AB4" s="3">
        <v>3.4499920489601701</v>
      </c>
      <c r="AC4" s="3">
        <v>776.56269788607301</v>
      </c>
      <c r="AD4" s="3">
        <v>0</v>
      </c>
      <c r="AE4" s="3">
        <v>0</v>
      </c>
      <c r="AF4" s="3">
        <v>172.733804091374</v>
      </c>
      <c r="AG4" s="3">
        <v>111.976574106991</v>
      </c>
      <c r="AH4" s="3">
        <v>24.825769585012601</v>
      </c>
      <c r="AI4" s="3">
        <v>-16.840915958696801</v>
      </c>
      <c r="AJ4" s="3">
        <v>1269179907.4000001</v>
      </c>
      <c r="AK4" s="3">
        <v>7.6587366372619994E-2</v>
      </c>
      <c r="AL4" s="3">
        <v>1919</v>
      </c>
      <c r="AM4" s="3">
        <f t="shared" si="0"/>
        <v>1.0431707376466985</v>
      </c>
      <c r="AN4" s="4">
        <f t="shared" si="1"/>
        <v>0.57480711303606125</v>
      </c>
      <c r="AO4" s="4">
        <f t="shared" si="2"/>
        <v>1.0431852579381973</v>
      </c>
    </row>
    <row r="5" spans="1:41" x14ac:dyDescent="0.25">
      <c r="A5" s="3">
        <v>4</v>
      </c>
      <c r="B5" s="3" t="s">
        <v>49</v>
      </c>
      <c r="C5" s="3" t="s">
        <v>50</v>
      </c>
      <c r="D5" s="3">
        <v>-75</v>
      </c>
      <c r="E5" s="3">
        <v>0.71654966106069296</v>
      </c>
      <c r="F5" s="3">
        <v>0.64331185441165695</v>
      </c>
      <c r="G5" s="3">
        <v>-7.3237806649035897E-2</v>
      </c>
      <c r="H5" s="3">
        <v>4.8367877881744702E-2</v>
      </c>
      <c r="I5" s="3">
        <v>9.6444862916132707E-3</v>
      </c>
      <c r="J5" s="3">
        <v>2.7649053034337198E-3</v>
      </c>
      <c r="K5" s="3">
        <v>0.58230895556614504</v>
      </c>
      <c r="L5" s="3">
        <v>2.25629368720878E-4</v>
      </c>
      <c r="M5" s="3">
        <v>100</v>
      </c>
      <c r="N5" s="3">
        <v>0</v>
      </c>
      <c r="O5" s="3">
        <v>0</v>
      </c>
      <c r="P5" s="3">
        <v>100</v>
      </c>
      <c r="Q5" s="3">
        <v>0</v>
      </c>
      <c r="R5" s="3">
        <v>0</v>
      </c>
      <c r="S5" s="3">
        <v>0</v>
      </c>
      <c r="T5" s="3">
        <v>0</v>
      </c>
      <c r="U5" s="3">
        <v>0.37071226408373897</v>
      </c>
      <c r="V5" s="3">
        <v>-85.497451726517895</v>
      </c>
      <c r="W5" s="3">
        <v>0.75249702962478404</v>
      </c>
      <c r="X5" s="3">
        <v>99.992394915039398</v>
      </c>
      <c r="Y5" s="3">
        <v>47.378686724504703</v>
      </c>
      <c r="Z5" s="3">
        <v>233.774974725172</v>
      </c>
      <c r="AA5" s="3">
        <v>54.595763875205897</v>
      </c>
      <c r="AB5" s="3">
        <v>3.6248308783062599</v>
      </c>
      <c r="AC5" s="3">
        <v>774.96597170454095</v>
      </c>
      <c r="AD5" s="3">
        <v>0</v>
      </c>
      <c r="AE5" s="3">
        <v>0</v>
      </c>
      <c r="AF5" s="3">
        <v>172.41332696862301</v>
      </c>
      <c r="AG5" s="3">
        <v>112.048131030409</v>
      </c>
      <c r="AH5" s="3">
        <v>26.850175047116402</v>
      </c>
      <c r="AI5" s="3">
        <v>-2.19162709812321</v>
      </c>
      <c r="AJ5" s="3">
        <v>5754777261.1000004</v>
      </c>
      <c r="AK5" s="3">
        <v>8.2460665997628593E-2</v>
      </c>
      <c r="AL5" s="3">
        <v>5045</v>
      </c>
      <c r="AM5" s="3">
        <f t="shared" si="0"/>
        <v>1.1138449511644952</v>
      </c>
      <c r="AN5" s="4">
        <f t="shared" si="1"/>
        <v>0.64308622504293611</v>
      </c>
      <c r="AO5" s="4">
        <f t="shared" si="2"/>
        <v>1.1142357481111527</v>
      </c>
    </row>
    <row r="6" spans="1:41" x14ac:dyDescent="0.25">
      <c r="A6" s="3">
        <v>5</v>
      </c>
      <c r="B6" s="3" t="s">
        <v>49</v>
      </c>
      <c r="C6" s="3" t="s">
        <v>50</v>
      </c>
      <c r="D6" s="3">
        <v>-50</v>
      </c>
      <c r="E6" s="3">
        <v>0.77845399824064998</v>
      </c>
      <c r="F6" s="3">
        <v>0.76217540078534496</v>
      </c>
      <c r="G6" s="3">
        <v>-1.6278597455304501E-2</v>
      </c>
      <c r="H6" s="3">
        <v>4.8819024745305403E-2</v>
      </c>
      <c r="I6" s="3">
        <v>1.2444414003604401E-2</v>
      </c>
      <c r="J6" s="3">
        <v>4.3975496860304301E-3</v>
      </c>
      <c r="K6" s="3">
        <v>0.67624414696303603</v>
      </c>
      <c r="L6" s="3">
        <v>2.0270265387369198E-2</v>
      </c>
      <c r="M6" s="3">
        <v>100</v>
      </c>
      <c r="N6" s="3">
        <v>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0.485407955882588</v>
      </c>
      <c r="V6" s="3">
        <v>-61.788598605951201</v>
      </c>
      <c r="W6" s="3">
        <v>23.460402947022899</v>
      </c>
      <c r="X6" s="3">
        <v>99.992228279808103</v>
      </c>
      <c r="Y6" s="3">
        <v>47.354333943197403</v>
      </c>
      <c r="Z6" s="3">
        <v>223.03071220009099</v>
      </c>
      <c r="AA6" s="3">
        <v>55.615737086060101</v>
      </c>
      <c r="AB6" s="3">
        <v>3.7858681664260398</v>
      </c>
      <c r="AC6" s="3">
        <v>773.83094157422101</v>
      </c>
      <c r="AD6" s="3">
        <v>0</v>
      </c>
      <c r="AE6" s="3">
        <v>0</v>
      </c>
      <c r="AF6" s="3">
        <v>172.98933236210399</v>
      </c>
      <c r="AG6" s="3">
        <v>112.190983640485</v>
      </c>
      <c r="AH6" s="3">
        <v>29.708511504868898</v>
      </c>
      <c r="AI6" s="3">
        <v>7.38423865326601</v>
      </c>
      <c r="AJ6" s="3">
        <v>12238452704.299999</v>
      </c>
      <c r="AK6" s="3">
        <v>7.55072184331195E-2</v>
      </c>
      <c r="AL6" s="3">
        <v>10806</v>
      </c>
      <c r="AM6" s="3">
        <f t="shared" si="0"/>
        <v>1.0213580724837505</v>
      </c>
      <c r="AN6" s="4">
        <f t="shared" si="1"/>
        <v>0.74190513539797576</v>
      </c>
      <c r="AO6" s="4">
        <f t="shared" si="2"/>
        <v>1.0492635258860534</v>
      </c>
    </row>
    <row r="7" spans="1:41" x14ac:dyDescent="0.25">
      <c r="A7" s="3">
        <v>6</v>
      </c>
      <c r="B7" s="3" t="s">
        <v>49</v>
      </c>
      <c r="C7" s="3" t="s">
        <v>50</v>
      </c>
      <c r="D7" s="3">
        <v>-25</v>
      </c>
      <c r="E7" s="3">
        <v>0.94663255770666799</v>
      </c>
      <c r="F7" s="3">
        <v>0.924951556464779</v>
      </c>
      <c r="G7" s="3">
        <v>-2.1681001241889101E-2</v>
      </c>
      <c r="H7" s="3">
        <v>4.92414579742061E-2</v>
      </c>
      <c r="I7" s="3">
        <v>1.5753320952884099E-2</v>
      </c>
      <c r="J7" s="3">
        <v>6.5105471480514003E-3</v>
      </c>
      <c r="K7" s="3">
        <v>0.78279487561929195</v>
      </c>
      <c r="L7" s="3">
        <v>7.0651354770344801E-2</v>
      </c>
      <c r="M7" s="3">
        <v>100</v>
      </c>
      <c r="N7" s="3">
        <v>0</v>
      </c>
      <c r="O7" s="3">
        <v>0</v>
      </c>
      <c r="P7" s="3">
        <v>100</v>
      </c>
      <c r="Q7" s="3">
        <v>0</v>
      </c>
      <c r="R7" s="3">
        <v>0</v>
      </c>
      <c r="S7" s="3">
        <v>0</v>
      </c>
      <c r="T7" s="3">
        <v>0</v>
      </c>
      <c r="U7" s="3">
        <v>0.611618700890599</v>
      </c>
      <c r="V7" s="3">
        <v>-37.846503990175997</v>
      </c>
      <c r="W7" s="3">
        <v>135.47530466031799</v>
      </c>
      <c r="X7" s="3">
        <v>99.981711409865099</v>
      </c>
      <c r="Y7" s="3">
        <v>48.0918304970793</v>
      </c>
      <c r="Z7" s="3">
        <v>205.92892995255499</v>
      </c>
      <c r="AA7" s="3">
        <v>56.597753685208403</v>
      </c>
      <c r="AB7" s="3">
        <v>3.99278917622114</v>
      </c>
      <c r="AC7" s="3">
        <v>771.93743241490904</v>
      </c>
      <c r="AD7" s="3">
        <v>0</v>
      </c>
      <c r="AE7" s="3">
        <v>0</v>
      </c>
      <c r="AF7" s="3">
        <v>172.35039958733901</v>
      </c>
      <c r="AG7" s="3">
        <v>112.17406777436101</v>
      </c>
      <c r="AH7" s="3">
        <v>31.398327313175201</v>
      </c>
      <c r="AI7" s="3">
        <v>20.007802050115501</v>
      </c>
      <c r="AJ7" s="3">
        <v>14834246119.5</v>
      </c>
      <c r="AK7" s="3">
        <v>9.0085044241772605E-2</v>
      </c>
      <c r="AL7" s="3">
        <v>20836</v>
      </c>
      <c r="AM7" s="3">
        <f t="shared" si="0"/>
        <v>1.0234401478546131</v>
      </c>
      <c r="AN7" s="4">
        <f t="shared" si="1"/>
        <v>0.85430020169443421</v>
      </c>
      <c r="AO7" s="4">
        <f t="shared" si="2"/>
        <v>1.1080795203244715</v>
      </c>
    </row>
    <row r="8" spans="1:41" x14ac:dyDescent="0.25">
      <c r="A8" s="3">
        <v>7</v>
      </c>
      <c r="B8" s="3" t="s">
        <v>49</v>
      </c>
      <c r="C8" s="3" t="s">
        <v>50</v>
      </c>
      <c r="D8" s="3">
        <v>0</v>
      </c>
      <c r="E8" s="3">
        <v>0.92710979919403502</v>
      </c>
      <c r="F8" s="3">
        <v>1.0196889585347699</v>
      </c>
      <c r="G8" s="3">
        <v>9.2579159340739195E-2</v>
      </c>
      <c r="H8" s="3">
        <v>4.9604243003869702E-2</v>
      </c>
      <c r="I8" s="3">
        <v>1.84301544869542E-2</v>
      </c>
      <c r="J8" s="3">
        <v>8.8516147687709903E-3</v>
      </c>
      <c r="K8" s="3">
        <v>0.82211803577910303</v>
      </c>
      <c r="L8" s="3">
        <v>0.12068491049607601</v>
      </c>
      <c r="M8" s="3">
        <v>100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0.69348474931805903</v>
      </c>
      <c r="V8" s="3">
        <v>-13.409082430123799</v>
      </c>
      <c r="W8" s="3">
        <v>418.44696017173902</v>
      </c>
      <c r="X8" s="3">
        <v>99.960377449463707</v>
      </c>
      <c r="Y8" s="3">
        <v>49.0885301311299</v>
      </c>
      <c r="Z8" s="3">
        <v>183.66061612805399</v>
      </c>
      <c r="AA8" s="3">
        <v>57.4212641367846</v>
      </c>
      <c r="AB8" s="3">
        <v>4.1989872446018799</v>
      </c>
      <c r="AC8" s="3">
        <v>770.02155467628995</v>
      </c>
      <c r="AD8" s="3">
        <v>0</v>
      </c>
      <c r="AE8" s="3">
        <v>0</v>
      </c>
      <c r="AF8" s="3">
        <v>169.94354914752199</v>
      </c>
      <c r="AG8" s="3">
        <v>112.046478621587</v>
      </c>
      <c r="AH8" s="3">
        <v>34.903882893162603</v>
      </c>
      <c r="AI8" s="3">
        <v>25.8983793771867</v>
      </c>
      <c r="AJ8" s="3">
        <v>14903289834.9</v>
      </c>
      <c r="AK8" s="3">
        <v>8.6641656713221105E-2</v>
      </c>
      <c r="AL8" s="3">
        <v>30229</v>
      </c>
      <c r="AM8" s="3">
        <f t="shared" si="0"/>
        <v>0.90920843207543856</v>
      </c>
      <c r="AN8" s="4">
        <f t="shared" si="1"/>
        <v>0.89900404803869394</v>
      </c>
      <c r="AO8" s="4">
        <f t="shared" si="2"/>
        <v>1.0312632086770441</v>
      </c>
    </row>
    <row r="9" spans="1:41" x14ac:dyDescent="0.25">
      <c r="A9" s="3">
        <v>8</v>
      </c>
      <c r="B9" s="3" t="s">
        <v>49</v>
      </c>
      <c r="C9" s="3" t="s">
        <v>51</v>
      </c>
      <c r="D9" s="3">
        <v>-150</v>
      </c>
      <c r="E9" s="3">
        <v>2.8146846758526599E-3</v>
      </c>
      <c r="F9" s="3">
        <v>0.45592051698120001</v>
      </c>
      <c r="G9" s="3">
        <v>0.45310583230534701</v>
      </c>
      <c r="H9" s="3">
        <v>4.7974621242347401E-2</v>
      </c>
      <c r="I9" s="3">
        <v>5.75080542758579E-3</v>
      </c>
      <c r="J9" s="3">
        <v>1.04689388546144E-3</v>
      </c>
      <c r="K9" s="3">
        <v>0.40114104182202598</v>
      </c>
      <c r="L9" s="4">
        <v>7.1546037790232599E-6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0</v>
      </c>
      <c r="T9" s="3">
        <v>0</v>
      </c>
      <c r="U9" s="3">
        <v>0.18513874377079101</v>
      </c>
      <c r="V9" s="3">
        <v>-156.73085263898</v>
      </c>
      <c r="W9" s="3">
        <v>0</v>
      </c>
      <c r="X9" s="3">
        <v>100</v>
      </c>
      <c r="Y9" s="3">
        <v>50.897410898264503</v>
      </c>
      <c r="Z9" s="3">
        <v>203.165466794949</v>
      </c>
      <c r="AA9" s="3">
        <v>53.728346537847699</v>
      </c>
      <c r="AB9" s="3">
        <v>3.0364023269237101</v>
      </c>
      <c r="AC9" s="3">
        <v>758.21449799146001</v>
      </c>
      <c r="AD9" s="3">
        <v>0</v>
      </c>
      <c r="AE9" s="3">
        <v>0</v>
      </c>
      <c r="AF9" s="3">
        <v>171.60998630600699</v>
      </c>
      <c r="AG9" s="3">
        <v>111.86055263285201</v>
      </c>
      <c r="AH9" s="3">
        <v>23.660879669436099</v>
      </c>
      <c r="AI9" s="3">
        <v>-58.671257875245601</v>
      </c>
      <c r="AJ9" s="3">
        <v>4293342.3</v>
      </c>
      <c r="AK9" s="4">
        <v>8.5033962478381402E-5</v>
      </c>
      <c r="AL9" s="3">
        <v>37</v>
      </c>
      <c r="AM9" s="3">
        <f t="shared" si="0"/>
        <v>6.1736302074967249E-3</v>
      </c>
      <c r="AN9" s="4">
        <f t="shared" si="1"/>
        <v>0.45591336237742097</v>
      </c>
      <c r="AO9" s="4">
        <f t="shared" si="2"/>
        <v>6.1737270896714052E-3</v>
      </c>
    </row>
    <row r="10" spans="1:41" x14ac:dyDescent="0.25">
      <c r="A10" s="3">
        <v>9</v>
      </c>
      <c r="B10" s="3" t="s">
        <v>49</v>
      </c>
      <c r="C10" s="3" t="s">
        <v>51</v>
      </c>
      <c r="D10" s="3">
        <v>-125</v>
      </c>
      <c r="E10" s="3">
        <v>0.67772526817883605</v>
      </c>
      <c r="F10" s="3">
        <v>0.46320627631617201</v>
      </c>
      <c r="G10" s="3">
        <v>-0.21451899186266499</v>
      </c>
      <c r="H10" s="3">
        <v>4.8644140821182E-2</v>
      </c>
      <c r="I10" s="3">
        <v>8.5210876925802797E-3</v>
      </c>
      <c r="J10" s="3">
        <v>2.3168913684615301E-3</v>
      </c>
      <c r="K10" s="3">
        <v>0.40371561592717697</v>
      </c>
      <c r="L10" s="4">
        <v>8.5405067704478606E-6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0.32152192223199499</v>
      </c>
      <c r="V10" s="3">
        <v>-133.44294839339599</v>
      </c>
      <c r="W10" s="3">
        <v>7.5412637161952198E-4</v>
      </c>
      <c r="X10" s="3">
        <v>100</v>
      </c>
      <c r="Y10" s="3">
        <v>43.375063414616697</v>
      </c>
      <c r="Z10" s="3">
        <v>276.01600444886498</v>
      </c>
      <c r="AA10" s="3">
        <v>55.256990139096601</v>
      </c>
      <c r="AB10" s="3">
        <v>3.2412141488355699</v>
      </c>
      <c r="AC10" s="3">
        <v>765.74160659187601</v>
      </c>
      <c r="AD10" s="3">
        <v>0</v>
      </c>
      <c r="AE10" s="3">
        <v>0</v>
      </c>
      <c r="AF10" s="3">
        <v>172.71571826822199</v>
      </c>
      <c r="AG10" s="3">
        <v>111.941691485083</v>
      </c>
      <c r="AH10" s="3">
        <v>24.215736238971601</v>
      </c>
      <c r="AI10" s="3">
        <v>-40.6455701671048</v>
      </c>
      <c r="AJ10" s="3">
        <v>83797281.700000003</v>
      </c>
      <c r="AK10" s="3">
        <v>5.68962690243381E-2</v>
      </c>
      <c r="AL10" s="3">
        <v>385</v>
      </c>
      <c r="AM10" s="3">
        <f t="shared" si="0"/>
        <v>1.4631176277849898</v>
      </c>
      <c r="AN10" s="4">
        <f t="shared" si="1"/>
        <v>0.46319773580940155</v>
      </c>
      <c r="AO10" s="4">
        <f t="shared" si="2"/>
        <v>1.4631446049591856</v>
      </c>
    </row>
    <row r="11" spans="1:41" x14ac:dyDescent="0.25">
      <c r="A11" s="3">
        <v>10</v>
      </c>
      <c r="B11" s="3" t="s">
        <v>49</v>
      </c>
      <c r="C11" s="3" t="s">
        <v>51</v>
      </c>
      <c r="D11" s="3">
        <v>-100</v>
      </c>
      <c r="E11" s="3">
        <v>0.556359068290329</v>
      </c>
      <c r="F11" s="3">
        <v>0.498069019058622</v>
      </c>
      <c r="G11" s="3">
        <v>-5.8290049231706602E-2</v>
      </c>
      <c r="H11" s="3">
        <v>4.8501827429914199E-2</v>
      </c>
      <c r="I11" s="3">
        <v>7.8121346612331603E-3</v>
      </c>
      <c r="J11" s="3">
        <v>3.22283083618691E-3</v>
      </c>
      <c r="K11" s="3">
        <v>0.43852364131455601</v>
      </c>
      <c r="L11" s="4">
        <v>8.5848167323847305E-6</v>
      </c>
      <c r="M11" s="3">
        <v>100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0</v>
      </c>
      <c r="T11" s="3">
        <v>0</v>
      </c>
      <c r="U11" s="3">
        <v>0.30079625519733599</v>
      </c>
      <c r="V11" s="3">
        <v>-108.757417439242</v>
      </c>
      <c r="W11" s="3">
        <v>1.20648128847364E-2</v>
      </c>
      <c r="X11" s="3">
        <v>100</v>
      </c>
      <c r="Y11" s="3">
        <v>40.580559578898097</v>
      </c>
      <c r="Z11" s="3">
        <v>272.95781663883997</v>
      </c>
      <c r="AA11" s="3">
        <v>54.923583456550404</v>
      </c>
      <c r="AB11" s="3">
        <v>3.44380224933587</v>
      </c>
      <c r="AC11" s="3">
        <v>768.78400655372798</v>
      </c>
      <c r="AD11" s="3">
        <v>0</v>
      </c>
      <c r="AE11" s="3">
        <v>0</v>
      </c>
      <c r="AF11" s="3">
        <v>172.71184839683099</v>
      </c>
      <c r="AG11" s="3">
        <v>111.99827335511</v>
      </c>
      <c r="AH11" s="3">
        <v>25.2051101837977</v>
      </c>
      <c r="AI11" s="3">
        <v>-19.662488744176901</v>
      </c>
      <c r="AJ11" s="3">
        <v>724575728.89999998</v>
      </c>
      <c r="AK11" s="3">
        <v>6.7560294026892301E-2</v>
      </c>
      <c r="AL11" s="3">
        <v>1708</v>
      </c>
      <c r="AM11" s="3">
        <f t="shared" si="0"/>
        <v>1.1170320718640128</v>
      </c>
      <c r="AN11" s="4">
        <f t="shared" si="1"/>
        <v>0.49806043424188962</v>
      </c>
      <c r="AO11" s="4">
        <f t="shared" si="2"/>
        <v>1.1170513255829631</v>
      </c>
    </row>
    <row r="12" spans="1:41" x14ac:dyDescent="0.25">
      <c r="A12" s="3">
        <v>11</v>
      </c>
      <c r="B12" s="3" t="s">
        <v>49</v>
      </c>
      <c r="C12" s="3" t="s">
        <v>51</v>
      </c>
      <c r="D12" s="3">
        <v>-75</v>
      </c>
      <c r="E12" s="3">
        <v>0.59178327908432504</v>
      </c>
      <c r="F12" s="3">
        <v>0.552242476930075</v>
      </c>
      <c r="G12" s="3">
        <v>-3.9540802154250002E-2</v>
      </c>
      <c r="H12" s="3">
        <v>4.8436981483013397E-2</v>
      </c>
      <c r="I12" s="3">
        <v>8.63269400238258E-3</v>
      </c>
      <c r="J12" s="3">
        <v>4.34719578419314E-3</v>
      </c>
      <c r="K12" s="3">
        <v>0.49056519358409201</v>
      </c>
      <c r="L12" s="3">
        <v>2.6041207639411002E-4</v>
      </c>
      <c r="M12" s="3">
        <v>100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0</v>
      </c>
      <c r="T12" s="3">
        <v>0</v>
      </c>
      <c r="U12" s="3">
        <v>0.33729139822650001</v>
      </c>
      <c r="V12" s="3">
        <v>-85.387425946737196</v>
      </c>
      <c r="W12" s="3">
        <v>1.69467876543656</v>
      </c>
      <c r="X12" s="3">
        <v>100</v>
      </c>
      <c r="Y12" s="3">
        <v>40.173574004076798</v>
      </c>
      <c r="Z12" s="3">
        <v>261.51852657960001</v>
      </c>
      <c r="AA12" s="3">
        <v>54.754890533546003</v>
      </c>
      <c r="AB12" s="3">
        <v>3.6167735472820501</v>
      </c>
      <c r="AC12" s="3">
        <v>768.74697942367595</v>
      </c>
      <c r="AD12" s="3">
        <v>0</v>
      </c>
      <c r="AE12" s="3">
        <v>0</v>
      </c>
      <c r="AF12" s="3">
        <v>172.572373599103</v>
      </c>
      <c r="AG12" s="3">
        <v>112.064602239604</v>
      </c>
      <c r="AH12" s="3">
        <v>27.1153026989609</v>
      </c>
      <c r="AI12" s="3">
        <v>-4.0374914523693697</v>
      </c>
      <c r="AJ12" s="3">
        <v>2892419380.5999999</v>
      </c>
      <c r="AK12" s="3">
        <v>5.9568209518063298E-2</v>
      </c>
      <c r="AL12" s="3">
        <v>4189</v>
      </c>
      <c r="AM12" s="3">
        <f t="shared" si="0"/>
        <v>1.0716004360513121</v>
      </c>
      <c r="AN12" s="4">
        <f t="shared" si="1"/>
        <v>0.55198206485368084</v>
      </c>
      <c r="AO12" s="4">
        <f t="shared" si="2"/>
        <v>1.0721059917792704</v>
      </c>
    </row>
    <row r="13" spans="1:41" x14ac:dyDescent="0.25">
      <c r="A13" s="3">
        <v>12</v>
      </c>
      <c r="B13" s="3" t="s">
        <v>49</v>
      </c>
      <c r="C13" s="3" t="s">
        <v>51</v>
      </c>
      <c r="D13" s="3">
        <v>-50</v>
      </c>
      <c r="E13" s="3">
        <v>0.64098793164600498</v>
      </c>
      <c r="F13" s="3">
        <v>0.656855290168326</v>
      </c>
      <c r="G13" s="3">
        <v>1.5867358522321399E-2</v>
      </c>
      <c r="H13" s="3">
        <v>4.8788368781519903E-2</v>
      </c>
      <c r="I13" s="3">
        <v>1.1581571573529801E-2</v>
      </c>
      <c r="J13" s="3">
        <v>6.2406509193032597E-3</v>
      </c>
      <c r="K13" s="3">
        <v>0.56542075709957995</v>
      </c>
      <c r="L13" s="3">
        <v>2.4823941794393602E-2</v>
      </c>
      <c r="M13" s="3">
        <v>100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0</v>
      </c>
      <c r="T13" s="3">
        <v>0</v>
      </c>
      <c r="U13" s="3">
        <v>0.45913791728999198</v>
      </c>
      <c r="V13" s="3">
        <v>-61.758421862100199</v>
      </c>
      <c r="W13" s="3">
        <v>35.1724604870289</v>
      </c>
      <c r="X13" s="3">
        <v>99.981849562534805</v>
      </c>
      <c r="Y13" s="3">
        <v>40.139437084904202</v>
      </c>
      <c r="Z13" s="3">
        <v>251.821391140961</v>
      </c>
      <c r="AA13" s="3">
        <v>55.545754514162297</v>
      </c>
      <c r="AB13" s="3">
        <v>3.79333911301867</v>
      </c>
      <c r="AC13" s="3">
        <v>767.81041949389203</v>
      </c>
      <c r="AD13" s="3">
        <v>0</v>
      </c>
      <c r="AE13" s="3">
        <v>0</v>
      </c>
      <c r="AF13" s="3">
        <v>172.80503810545301</v>
      </c>
      <c r="AG13" s="3">
        <v>112.161276823414</v>
      </c>
      <c r="AH13" s="3">
        <v>29.4814041708118</v>
      </c>
      <c r="AI13" s="3">
        <v>7.6516391572654996</v>
      </c>
      <c r="AJ13" s="3">
        <v>6210124699</v>
      </c>
      <c r="AK13" s="3">
        <v>7.1842808726931898E-2</v>
      </c>
      <c r="AL13" s="3">
        <v>9095</v>
      </c>
      <c r="AM13" s="3">
        <f t="shared" si="0"/>
        <v>0.97584344868676498</v>
      </c>
      <c r="AN13" s="4">
        <f t="shared" si="1"/>
        <v>0.63203134837393238</v>
      </c>
      <c r="AO13" s="4">
        <f t="shared" si="2"/>
        <v>1.0141711060616152</v>
      </c>
    </row>
    <row r="14" spans="1:41" x14ac:dyDescent="0.25">
      <c r="A14" s="3">
        <v>13</v>
      </c>
      <c r="B14" s="3" t="s">
        <v>49</v>
      </c>
      <c r="C14" s="3" t="s">
        <v>51</v>
      </c>
      <c r="D14" s="3">
        <v>-25</v>
      </c>
      <c r="E14" s="3">
        <v>0.67223900051767804</v>
      </c>
      <c r="F14" s="3">
        <v>0.80850639345226805</v>
      </c>
      <c r="G14" s="3">
        <v>0.136267392934591</v>
      </c>
      <c r="H14" s="3">
        <v>4.9121115406735298E-2</v>
      </c>
      <c r="I14" s="3">
        <v>1.51960578882164E-2</v>
      </c>
      <c r="J14" s="3">
        <v>9.3117374495487199E-3</v>
      </c>
      <c r="K14" s="3">
        <v>0.65118215395981904</v>
      </c>
      <c r="L14" s="3">
        <v>8.36953287479488E-2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>
        <v>0.60103222468901596</v>
      </c>
      <c r="V14" s="3">
        <v>-37.808388420501402</v>
      </c>
      <c r="W14" s="3">
        <v>171.05340516646501</v>
      </c>
      <c r="X14" s="3">
        <v>99.979880941583303</v>
      </c>
      <c r="Y14" s="3">
        <v>40.822889354047298</v>
      </c>
      <c r="Z14" s="3">
        <v>238.90654095829899</v>
      </c>
      <c r="AA14" s="3">
        <v>56.314651850000601</v>
      </c>
      <c r="AB14" s="3">
        <v>4.0023065952290402</v>
      </c>
      <c r="AC14" s="3">
        <v>765.29887776122098</v>
      </c>
      <c r="AD14" s="3">
        <v>0</v>
      </c>
      <c r="AE14" s="3">
        <v>0</v>
      </c>
      <c r="AF14" s="3">
        <v>172.02598193795399</v>
      </c>
      <c r="AG14" s="3">
        <v>112.13998592963399</v>
      </c>
      <c r="AH14" s="3">
        <v>31.244770331172301</v>
      </c>
      <c r="AI14" s="3">
        <v>20.082829048050201</v>
      </c>
      <c r="AJ14" s="3">
        <v>8398744936.3000002</v>
      </c>
      <c r="AK14" s="3">
        <v>8.1660136750711002E-2</v>
      </c>
      <c r="AL14" s="3">
        <v>17129</v>
      </c>
      <c r="AM14" s="3">
        <f t="shared" si="0"/>
        <v>0.83145786596351157</v>
      </c>
      <c r="AN14" s="4">
        <f t="shared" si="1"/>
        <v>0.72481106470431922</v>
      </c>
      <c r="AO14" s="4">
        <f t="shared" si="2"/>
        <v>0.92746790612518104</v>
      </c>
    </row>
    <row r="15" spans="1:41" x14ac:dyDescent="0.25">
      <c r="A15" s="3">
        <v>14</v>
      </c>
      <c r="B15" s="3" t="s">
        <v>49</v>
      </c>
      <c r="C15" s="3" t="s">
        <v>51</v>
      </c>
      <c r="D15" s="3">
        <v>0</v>
      </c>
      <c r="E15" s="3">
        <v>0.95810327798926997</v>
      </c>
      <c r="F15" s="3">
        <v>0.90558871590204504</v>
      </c>
      <c r="G15" s="3">
        <v>-5.25145620872252E-2</v>
      </c>
      <c r="H15" s="3">
        <v>4.95729853023704E-2</v>
      </c>
      <c r="I15" s="3">
        <v>1.7776793956920601E-2</v>
      </c>
      <c r="J15" s="3">
        <v>1.2509010169826199E-2</v>
      </c>
      <c r="K15" s="3">
        <v>0.68763006590718601</v>
      </c>
      <c r="L15" s="3">
        <v>0.138099860565741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0.66836462204015301</v>
      </c>
      <c r="V15" s="3">
        <v>-13.654083630933901</v>
      </c>
      <c r="W15" s="3">
        <v>487.0818186162</v>
      </c>
      <c r="X15" s="3">
        <v>99.982098890375397</v>
      </c>
      <c r="Y15" s="3">
        <v>41.757416393611798</v>
      </c>
      <c r="Z15" s="3">
        <v>214.060388045341</v>
      </c>
      <c r="AA15" s="3">
        <v>57.3332570050108</v>
      </c>
      <c r="AB15" s="3">
        <v>4.2110413201089001</v>
      </c>
      <c r="AC15" s="3">
        <v>762.95076008071806</v>
      </c>
      <c r="AD15" s="3">
        <v>0</v>
      </c>
      <c r="AE15" s="3">
        <v>0</v>
      </c>
      <c r="AF15" s="3">
        <v>169.301830860747</v>
      </c>
      <c r="AG15" s="3">
        <v>111.993085553661</v>
      </c>
      <c r="AH15" s="3">
        <v>34.271343414208097</v>
      </c>
      <c r="AI15" s="3">
        <v>25.686913791940199</v>
      </c>
      <c r="AJ15" s="3">
        <v>8558932494.3000002</v>
      </c>
      <c r="AK15" s="3">
        <v>8.3254071609281999E-2</v>
      </c>
      <c r="AL15" s="3">
        <v>23541</v>
      </c>
      <c r="AM15" s="3">
        <f t="shared" si="0"/>
        <v>1.0579894174530609</v>
      </c>
      <c r="AN15" s="4">
        <f t="shared" si="1"/>
        <v>0.76748885533630407</v>
      </c>
      <c r="AO15" s="4">
        <f t="shared" si="2"/>
        <v>1.2483611603316911</v>
      </c>
    </row>
    <row r="16" spans="1:41" x14ac:dyDescent="0.25">
      <c r="A16" s="3">
        <v>15</v>
      </c>
      <c r="B16" s="3" t="s">
        <v>49</v>
      </c>
      <c r="C16" s="3" t="s">
        <v>52</v>
      </c>
      <c r="D16" s="3">
        <v>-200</v>
      </c>
      <c r="E16" s="3">
        <v>1.0589442027286301E-4</v>
      </c>
      <c r="F16" s="3">
        <v>0.40953782718864401</v>
      </c>
      <c r="G16" s="3">
        <v>0.40943193276837098</v>
      </c>
      <c r="H16" s="3">
        <v>5.2318326552940303E-2</v>
      </c>
      <c r="I16" s="3">
        <v>1.0471429978492299E-3</v>
      </c>
      <c r="J16" s="3">
        <v>6.6475638626953802E-4</v>
      </c>
      <c r="K16" s="3">
        <v>0.35550176298067698</v>
      </c>
      <c r="L16" s="4">
        <v>5.8382709083927298E-6</v>
      </c>
      <c r="M16" s="3">
        <v>100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100</v>
      </c>
      <c r="U16" s="3">
        <v>0</v>
      </c>
      <c r="V16" s="3">
        <v>-202.1</v>
      </c>
      <c r="W16" s="3">
        <v>0</v>
      </c>
      <c r="X16" s="3">
        <v>100</v>
      </c>
      <c r="Y16" s="3">
        <v>34.693955254344701</v>
      </c>
      <c r="Z16" s="3">
        <v>193.35106800783299</v>
      </c>
      <c r="AA16" s="3">
        <v>63.867631974658899</v>
      </c>
      <c r="AB16" s="3">
        <v>2.6</v>
      </c>
      <c r="AC16" s="3">
        <v>741.34658192035704</v>
      </c>
      <c r="AD16" s="3">
        <v>100</v>
      </c>
      <c r="AE16" s="3">
        <v>0</v>
      </c>
      <c r="AF16" s="3">
        <v>179.2</v>
      </c>
      <c r="AG16" s="3">
        <v>112.2</v>
      </c>
      <c r="AH16" s="3">
        <v>20.9</v>
      </c>
      <c r="AI16" s="3">
        <v>-106.073423822612</v>
      </c>
      <c r="AJ16" s="3">
        <v>444369.4</v>
      </c>
      <c r="AK16" s="4">
        <v>4.6188021535170097E-6</v>
      </c>
      <c r="AL16" s="3">
        <v>3</v>
      </c>
      <c r="AM16" s="3">
        <f t="shared" si="0"/>
        <v>2.5857054768248602E-4</v>
      </c>
      <c r="AN16" s="4">
        <f t="shared" si="1"/>
        <v>0.40953198891773562</v>
      </c>
      <c r="AO16" s="4">
        <f t="shared" si="2"/>
        <v>2.5857423385340102E-4</v>
      </c>
    </row>
    <row r="17" spans="1:41" x14ac:dyDescent="0.25">
      <c r="A17" s="3">
        <v>16</v>
      </c>
      <c r="B17" s="3" t="s">
        <v>49</v>
      </c>
      <c r="C17" s="3" t="s">
        <v>52</v>
      </c>
      <c r="D17" s="3">
        <v>-175</v>
      </c>
      <c r="E17" s="4">
        <v>9.8434499978890293E-5</v>
      </c>
      <c r="F17" s="3">
        <v>0.42503270527223902</v>
      </c>
      <c r="G17" s="3">
        <v>0.42493427077225998</v>
      </c>
      <c r="H17" s="3">
        <v>4.85014725723526E-2</v>
      </c>
      <c r="I17" s="3">
        <v>1.47462371388832E-3</v>
      </c>
      <c r="J17" s="3">
        <v>8.5021792670950396E-4</v>
      </c>
      <c r="K17" s="3">
        <v>0.37420102730446397</v>
      </c>
      <c r="L17" s="4">
        <v>5.3637548238508703E-6</v>
      </c>
      <c r="M17" s="3">
        <v>100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100</v>
      </c>
      <c r="U17" s="3">
        <v>1.8266989569262499E-2</v>
      </c>
      <c r="V17" s="3">
        <v>-186.90262958698199</v>
      </c>
      <c r="W17" s="3">
        <v>0</v>
      </c>
      <c r="X17" s="3">
        <v>100</v>
      </c>
      <c r="Y17" s="3">
        <v>38.330273179196503</v>
      </c>
      <c r="Z17" s="3">
        <v>186.63420659229601</v>
      </c>
      <c r="AA17" s="3">
        <v>54.9037769766827</v>
      </c>
      <c r="AB17" s="3">
        <v>2.6293882670651101</v>
      </c>
      <c r="AC17" s="3">
        <v>746.87139429542299</v>
      </c>
      <c r="AD17" s="3">
        <v>85.305866467442996</v>
      </c>
      <c r="AE17" s="3">
        <v>0</v>
      </c>
      <c r="AF17" s="3">
        <v>171.357626770933</v>
      </c>
      <c r="AG17" s="3">
        <v>111.94186518575501</v>
      </c>
      <c r="AH17" s="3">
        <v>25.830301548633699</v>
      </c>
      <c r="AI17" s="3">
        <v>-102.86700748299501</v>
      </c>
      <c r="AJ17" s="3">
        <v>3732890.4</v>
      </c>
      <c r="AK17" s="4">
        <v>4.3353644155231803E-6</v>
      </c>
      <c r="AL17" s="3">
        <v>26</v>
      </c>
      <c r="AM17" s="3">
        <f t="shared" si="0"/>
        <v>2.3159276629275318E-4</v>
      </c>
      <c r="AN17" s="4">
        <f t="shared" si="1"/>
        <v>0.42502734151741517</v>
      </c>
      <c r="AO17" s="4">
        <f t="shared" si="2"/>
        <v>2.3159568894430058E-4</v>
      </c>
    </row>
    <row r="18" spans="1:41" x14ac:dyDescent="0.25">
      <c r="A18" s="3">
        <v>17</v>
      </c>
      <c r="B18" s="3" t="s">
        <v>49</v>
      </c>
      <c r="C18" s="3" t="s">
        <v>52</v>
      </c>
      <c r="D18" s="3">
        <v>-150</v>
      </c>
      <c r="E18" s="3">
        <v>3.81227038269868E-4</v>
      </c>
      <c r="F18" s="3">
        <v>0.44862586079926597</v>
      </c>
      <c r="G18" s="3">
        <v>0.44824463376099599</v>
      </c>
      <c r="H18" s="3">
        <v>4.86707095339068E-2</v>
      </c>
      <c r="I18" s="3">
        <v>4.6860893230274304E-3</v>
      </c>
      <c r="J18" s="3">
        <v>7.3319049559711998E-4</v>
      </c>
      <c r="K18" s="3">
        <v>0.394529966509434</v>
      </c>
      <c r="L18" s="4">
        <v>5.9049373004456496E-6</v>
      </c>
      <c r="M18" s="3">
        <v>100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100</v>
      </c>
      <c r="U18" s="3">
        <v>0.159170072807993</v>
      </c>
      <c r="V18" s="3">
        <v>-162.05782908072501</v>
      </c>
      <c r="W18" s="3">
        <v>0</v>
      </c>
      <c r="X18" s="3">
        <v>91.778612328910498</v>
      </c>
      <c r="Y18" s="3">
        <v>40.723045838474498</v>
      </c>
      <c r="Z18" s="3">
        <v>205.00536429131799</v>
      </c>
      <c r="AA18" s="3">
        <v>55.308729132818897</v>
      </c>
      <c r="AB18" s="3">
        <v>2.87406416784538</v>
      </c>
      <c r="AC18" s="3">
        <v>755.73611916485902</v>
      </c>
      <c r="AD18" s="3">
        <v>37.9979901755623</v>
      </c>
      <c r="AE18" s="3">
        <v>0</v>
      </c>
      <c r="AF18" s="3">
        <v>172.73034974116399</v>
      </c>
      <c r="AG18" s="3">
        <v>112.060086463359</v>
      </c>
      <c r="AH18" s="3">
        <v>27.072885654108401</v>
      </c>
      <c r="AI18" s="3">
        <v>-77.397138307210994</v>
      </c>
      <c r="AJ18" s="3">
        <v>11796095</v>
      </c>
      <c r="AK18" s="4">
        <v>3.2545557019326301E-5</v>
      </c>
      <c r="AL18" s="3">
        <v>84</v>
      </c>
      <c r="AM18" s="3">
        <f t="shared" si="0"/>
        <v>8.4976607810944931E-4</v>
      </c>
      <c r="AN18" s="4">
        <f t="shared" si="1"/>
        <v>0.44861995586196551</v>
      </c>
      <c r="AO18" s="4">
        <f t="shared" si="2"/>
        <v>8.4977726311213529E-4</v>
      </c>
    </row>
    <row r="19" spans="1:41" x14ac:dyDescent="0.25">
      <c r="A19" s="3">
        <v>18</v>
      </c>
      <c r="B19" s="3" t="s">
        <v>49</v>
      </c>
      <c r="C19" s="3" t="s">
        <v>52</v>
      </c>
      <c r="D19" s="3">
        <v>-125</v>
      </c>
      <c r="E19" s="3">
        <v>0.38801472388171099</v>
      </c>
      <c r="F19" s="3">
        <v>0.463140471455874</v>
      </c>
      <c r="G19" s="3">
        <v>7.5125747574163695E-2</v>
      </c>
      <c r="H19" s="3">
        <v>4.8598305217604297E-2</v>
      </c>
      <c r="I19" s="3">
        <v>8.4475760207256001E-3</v>
      </c>
      <c r="J19" s="3">
        <v>1.83772763778531E-3</v>
      </c>
      <c r="K19" s="3">
        <v>0.404248954685483</v>
      </c>
      <c r="L19" s="4">
        <v>7.9078942762130797E-6</v>
      </c>
      <c r="M19" s="3">
        <v>100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100</v>
      </c>
      <c r="U19" s="3">
        <v>0.331083043683775</v>
      </c>
      <c r="V19" s="3">
        <v>-132.49445322054299</v>
      </c>
      <c r="W19" s="3">
        <v>4.0258811238978696E-3</v>
      </c>
      <c r="X19" s="3">
        <v>98.997809157536494</v>
      </c>
      <c r="Y19" s="3">
        <v>40.244018612024398</v>
      </c>
      <c r="Z19" s="3">
        <v>263.37175544675699</v>
      </c>
      <c r="AA19" s="3">
        <v>55.167409706860703</v>
      </c>
      <c r="AB19" s="3">
        <v>3.24781936229755</v>
      </c>
      <c r="AC19" s="3">
        <v>771.57247124527305</v>
      </c>
      <c r="AD19" s="3">
        <v>22.070078099748901</v>
      </c>
      <c r="AE19" s="3">
        <v>0</v>
      </c>
      <c r="AF19" s="3">
        <v>173.01868600387999</v>
      </c>
      <c r="AG19" s="3">
        <v>111.949610964581</v>
      </c>
      <c r="AH19" s="3">
        <v>24.220546215980001</v>
      </c>
      <c r="AI19" s="3">
        <v>-35.716020438602698</v>
      </c>
      <c r="AJ19" s="3">
        <v>192650273.59999999</v>
      </c>
      <c r="AK19" s="3">
        <v>5.75008985184014E-2</v>
      </c>
      <c r="AL19" s="3">
        <v>678</v>
      </c>
      <c r="AM19" s="3">
        <f t="shared" si="0"/>
        <v>0.83779057930738265</v>
      </c>
      <c r="AN19" s="4">
        <f t="shared" si="1"/>
        <v>0.46313256356159777</v>
      </c>
      <c r="AO19" s="4">
        <f t="shared" si="2"/>
        <v>0.83780488441103551</v>
      </c>
    </row>
    <row r="20" spans="1:41" x14ac:dyDescent="0.25">
      <c r="A20" s="3">
        <v>19</v>
      </c>
      <c r="B20" s="3" t="s">
        <v>49</v>
      </c>
      <c r="C20" s="3" t="s">
        <v>52</v>
      </c>
      <c r="D20" s="3">
        <v>-100</v>
      </c>
      <c r="E20" s="3">
        <v>0.56656992357725999</v>
      </c>
      <c r="F20" s="3">
        <v>0.49664352190831201</v>
      </c>
      <c r="G20" s="3">
        <v>-6.9926401668948299E-2</v>
      </c>
      <c r="H20" s="3">
        <v>4.8440909718507903E-2</v>
      </c>
      <c r="I20" s="3">
        <v>7.78815156417627E-3</v>
      </c>
      <c r="J20" s="3">
        <v>2.4196814422015999E-3</v>
      </c>
      <c r="K20" s="3">
        <v>0.43798676365112299</v>
      </c>
      <c r="L20" s="4">
        <v>8.0155323033480608E-6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100</v>
      </c>
      <c r="U20" s="3">
        <v>0.30370798630597901</v>
      </c>
      <c r="V20" s="3">
        <v>-108.557000767449</v>
      </c>
      <c r="W20" s="3">
        <v>7.4790707160919496E-3</v>
      </c>
      <c r="X20" s="3">
        <v>99.824312158304593</v>
      </c>
      <c r="Y20" s="3">
        <v>40.015855518016899</v>
      </c>
      <c r="Z20" s="3">
        <v>253.37253083172999</v>
      </c>
      <c r="AA20" s="3">
        <v>54.784085774027297</v>
      </c>
      <c r="AB20" s="3">
        <v>3.4365965336739102</v>
      </c>
      <c r="AC20" s="3">
        <v>772.88088605140899</v>
      </c>
      <c r="AD20" s="3">
        <v>16.8241491444705</v>
      </c>
      <c r="AE20" s="3">
        <v>0</v>
      </c>
      <c r="AF20" s="3">
        <v>172.496170119081</v>
      </c>
      <c r="AG20" s="3">
        <v>111.96670401284101</v>
      </c>
      <c r="AH20" s="3">
        <v>24.8911219285072</v>
      </c>
      <c r="AI20" s="3">
        <v>-17.7222952715825</v>
      </c>
      <c r="AJ20" s="3">
        <v>2065315143.5999999</v>
      </c>
      <c r="AK20" s="3">
        <v>8.0007010584610197E-2</v>
      </c>
      <c r="AL20" s="3">
        <v>2762</v>
      </c>
      <c r="AM20" s="3">
        <f t="shared" si="0"/>
        <v>1.1407979739678502</v>
      </c>
      <c r="AN20" s="4">
        <f t="shared" si="1"/>
        <v>0.49663550637600867</v>
      </c>
      <c r="AO20" s="4">
        <f t="shared" si="2"/>
        <v>1.1408163860686658</v>
      </c>
    </row>
    <row r="21" spans="1:41" x14ac:dyDescent="0.25">
      <c r="A21" s="3">
        <v>20</v>
      </c>
      <c r="B21" s="3" t="s">
        <v>49</v>
      </c>
      <c r="C21" s="3" t="s">
        <v>52</v>
      </c>
      <c r="D21" s="3">
        <v>-75</v>
      </c>
      <c r="E21" s="3">
        <v>0.61785282363335703</v>
      </c>
      <c r="F21" s="3">
        <v>0.54866088741768404</v>
      </c>
      <c r="G21" s="3">
        <v>-6.9191936215673197E-2</v>
      </c>
      <c r="H21" s="3">
        <v>4.8373884894745797E-2</v>
      </c>
      <c r="I21" s="3">
        <v>8.6418016986185304E-3</v>
      </c>
      <c r="J21" s="3">
        <v>3.7038158609990898E-3</v>
      </c>
      <c r="K21" s="3">
        <v>0.48774097070181599</v>
      </c>
      <c r="L21" s="3">
        <v>2.0041426150453699E-4</v>
      </c>
      <c r="M21" s="3">
        <v>100</v>
      </c>
      <c r="N21" s="3">
        <v>0</v>
      </c>
      <c r="O21" s="3">
        <v>0</v>
      </c>
      <c r="P21" s="3">
        <v>0</v>
      </c>
      <c r="Q21" s="3">
        <v>100</v>
      </c>
      <c r="R21" s="3">
        <v>0</v>
      </c>
      <c r="S21" s="3">
        <v>0</v>
      </c>
      <c r="T21" s="3">
        <v>100</v>
      </c>
      <c r="U21" s="3">
        <v>0.33982189369813498</v>
      </c>
      <c r="V21" s="3">
        <v>-85.479001742250205</v>
      </c>
      <c r="W21" s="3">
        <v>1.43951714502382</v>
      </c>
      <c r="X21" s="3">
        <v>99.8262645917941</v>
      </c>
      <c r="Y21" s="3">
        <v>40.4600784387668</v>
      </c>
      <c r="Z21" s="3">
        <v>258.29819002231397</v>
      </c>
      <c r="AA21" s="3">
        <v>54.611271246538003</v>
      </c>
      <c r="AB21" s="3">
        <v>3.61801988399331</v>
      </c>
      <c r="AC21" s="3">
        <v>772.12497365345098</v>
      </c>
      <c r="AD21" s="3">
        <v>14.595638651855699</v>
      </c>
      <c r="AE21" s="3">
        <v>0</v>
      </c>
      <c r="AF21" s="3">
        <v>172.57101130758201</v>
      </c>
      <c r="AG21" s="3">
        <v>112.061179506933</v>
      </c>
      <c r="AH21" s="3">
        <v>26.895247434791699</v>
      </c>
      <c r="AI21" s="3">
        <v>-2.3564406765136798</v>
      </c>
      <c r="AJ21" s="3">
        <v>8789142515.5</v>
      </c>
      <c r="AK21" s="3">
        <v>6.6991439740390499E-2</v>
      </c>
      <c r="AL21" s="3">
        <v>6366</v>
      </c>
      <c r="AM21" s="3">
        <f t="shared" si="0"/>
        <v>1.1261105681167294</v>
      </c>
      <c r="AN21" s="4">
        <f t="shared" si="1"/>
        <v>0.54846047315617952</v>
      </c>
      <c r="AO21" s="4">
        <f t="shared" si="2"/>
        <v>1.1265220628896941</v>
      </c>
    </row>
    <row r="22" spans="1:41" x14ac:dyDescent="0.25">
      <c r="A22" s="3">
        <v>21</v>
      </c>
      <c r="B22" s="3" t="s">
        <v>49</v>
      </c>
      <c r="C22" s="3" t="s">
        <v>52</v>
      </c>
      <c r="D22" s="3">
        <v>-50</v>
      </c>
      <c r="E22" s="3">
        <v>0.65149483555855803</v>
      </c>
      <c r="F22" s="3">
        <v>0.65202258945540004</v>
      </c>
      <c r="G22" s="3">
        <v>5.2775389684282196E-4</v>
      </c>
      <c r="H22" s="3">
        <v>4.8711330243338097E-2</v>
      </c>
      <c r="I22" s="3">
        <v>1.19046848154856E-2</v>
      </c>
      <c r="J22" s="3">
        <v>5.7451232086677198E-3</v>
      </c>
      <c r="K22" s="3">
        <v>0.56137898201385905</v>
      </c>
      <c r="L22" s="3">
        <v>2.4282469174050102E-2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100</v>
      </c>
      <c r="U22" s="3">
        <v>0.47452024551362898</v>
      </c>
      <c r="V22" s="3">
        <v>-61.719774334451699</v>
      </c>
      <c r="W22" s="3">
        <v>32.117157624760097</v>
      </c>
      <c r="X22" s="3">
        <v>99.710604615985503</v>
      </c>
      <c r="Y22" s="3">
        <v>40.5438945805424</v>
      </c>
      <c r="Z22" s="3">
        <v>252.97914927181799</v>
      </c>
      <c r="AA22" s="3">
        <v>55.368207003424899</v>
      </c>
      <c r="AB22" s="3">
        <v>3.7900019164548802</v>
      </c>
      <c r="AC22" s="3">
        <v>770.58374241362503</v>
      </c>
      <c r="AD22" s="3">
        <v>17.6167852064121</v>
      </c>
      <c r="AE22" s="3">
        <v>0</v>
      </c>
      <c r="AF22" s="3">
        <v>172.97620229277999</v>
      </c>
      <c r="AG22" s="3">
        <v>112.177681268437</v>
      </c>
      <c r="AH22" s="3">
        <v>29.596536483654798</v>
      </c>
      <c r="AI22" s="3">
        <v>8.3316805553197693</v>
      </c>
      <c r="AJ22" s="3">
        <v>18413273613.799999</v>
      </c>
      <c r="AK22" s="3">
        <v>7.2249313757392297E-2</v>
      </c>
      <c r="AL22" s="3">
        <v>14326</v>
      </c>
      <c r="AM22" s="3">
        <f t="shared" si="0"/>
        <v>0.99919058955107243</v>
      </c>
      <c r="AN22" s="4">
        <f t="shared" si="1"/>
        <v>0.62774012028134996</v>
      </c>
      <c r="AO22" s="4">
        <f t="shared" si="2"/>
        <v>1.0378416394137135</v>
      </c>
    </row>
    <row r="23" spans="1:41" x14ac:dyDescent="0.25">
      <c r="A23" s="3">
        <v>22</v>
      </c>
      <c r="B23" s="3" t="s">
        <v>49</v>
      </c>
      <c r="C23" s="3" t="s">
        <v>52</v>
      </c>
      <c r="D23" s="3">
        <v>-25</v>
      </c>
      <c r="E23" s="3">
        <v>0.81044904927331096</v>
      </c>
      <c r="F23" s="3">
        <v>0.80330301257107195</v>
      </c>
      <c r="G23" s="3">
        <v>-7.1460367022388102E-3</v>
      </c>
      <c r="H23" s="3">
        <v>4.8972371696865503E-2</v>
      </c>
      <c r="I23" s="3">
        <v>1.5798497754377899E-2</v>
      </c>
      <c r="J23" s="3">
        <v>9.3499575197881594E-3</v>
      </c>
      <c r="K23" s="3">
        <v>0.65079324969150898</v>
      </c>
      <c r="L23" s="3">
        <v>7.8388935908532298E-2</v>
      </c>
      <c r="M23" s="3">
        <v>100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100</v>
      </c>
      <c r="U23" s="3">
        <v>0.62804266693139599</v>
      </c>
      <c r="V23" s="3">
        <v>-37.852222191402703</v>
      </c>
      <c r="W23" s="3">
        <v>161.830184078201</v>
      </c>
      <c r="X23" s="3">
        <v>99.371256745956501</v>
      </c>
      <c r="Y23" s="3">
        <v>41.0526251174199</v>
      </c>
      <c r="Z23" s="3">
        <v>238.83565260197099</v>
      </c>
      <c r="AA23" s="3">
        <v>55.975464450739601</v>
      </c>
      <c r="AB23" s="3">
        <v>3.9993903044777799</v>
      </c>
      <c r="AC23" s="3">
        <v>766.547784417397</v>
      </c>
      <c r="AD23" s="3">
        <v>27.2876051115922</v>
      </c>
      <c r="AE23" s="3">
        <v>0</v>
      </c>
      <c r="AF23" s="3">
        <v>172.26678014830301</v>
      </c>
      <c r="AG23" s="3">
        <v>112.157132411587</v>
      </c>
      <c r="AH23" s="3">
        <v>31.307067139897899</v>
      </c>
      <c r="AI23" s="3">
        <v>21.867047011405401</v>
      </c>
      <c r="AJ23" s="3">
        <v>23218044063.099998</v>
      </c>
      <c r="AK23" s="3">
        <v>7.8780953286923097E-2</v>
      </c>
      <c r="AL23" s="3">
        <v>28662</v>
      </c>
      <c r="AM23" s="3">
        <f t="shared" si="0"/>
        <v>1.0088958171330233</v>
      </c>
      <c r="AN23" s="4">
        <f t="shared" si="1"/>
        <v>0.72491407666253971</v>
      </c>
      <c r="AO23" s="4">
        <f t="shared" si="2"/>
        <v>1.1179932565312694</v>
      </c>
    </row>
    <row r="24" spans="1:41" x14ac:dyDescent="0.25">
      <c r="A24" s="3">
        <v>23</v>
      </c>
      <c r="B24" s="3" t="s">
        <v>49</v>
      </c>
      <c r="C24" s="3" t="s">
        <v>52</v>
      </c>
      <c r="D24" s="3">
        <v>0</v>
      </c>
      <c r="E24" s="3">
        <v>0.94758235864240004</v>
      </c>
      <c r="F24" s="3">
        <v>0.90551961102242595</v>
      </c>
      <c r="G24" s="3">
        <v>-4.2062747619974E-2</v>
      </c>
      <c r="H24" s="3">
        <v>4.9244359777364202E-2</v>
      </c>
      <c r="I24" s="3">
        <v>1.9148592851258198E-2</v>
      </c>
      <c r="J24" s="3">
        <v>1.4018999768431999E-2</v>
      </c>
      <c r="K24" s="3">
        <v>0.70008104978826602</v>
      </c>
      <c r="L24" s="3">
        <v>0.12302660883710601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0.73621201615158904</v>
      </c>
      <c r="V24" s="3">
        <v>-13.6133853591964</v>
      </c>
      <c r="W24" s="3">
        <v>456.35566438235799</v>
      </c>
      <c r="X24" s="3">
        <v>98.944300374393407</v>
      </c>
      <c r="Y24" s="3">
        <v>42.2525025302497</v>
      </c>
      <c r="Z24" s="3">
        <v>209.814071438995</v>
      </c>
      <c r="AA24" s="3">
        <v>56.587618507504096</v>
      </c>
      <c r="AB24" s="3">
        <v>4.2054976643803803</v>
      </c>
      <c r="AC24" s="3">
        <v>761.61993287083806</v>
      </c>
      <c r="AD24" s="3">
        <v>38.522857081992498</v>
      </c>
      <c r="AE24" s="3">
        <v>0</v>
      </c>
      <c r="AF24" s="3">
        <v>170.11280634285399</v>
      </c>
      <c r="AG24" s="3">
        <v>112.04687750086001</v>
      </c>
      <c r="AH24" s="3">
        <v>34.163903071460098</v>
      </c>
      <c r="AI24" s="3">
        <v>30.460925573980798</v>
      </c>
      <c r="AJ24" s="3">
        <v>23127059566.200001</v>
      </c>
      <c r="AK24" s="3">
        <v>8.2058502755706794E-2</v>
      </c>
      <c r="AL24" s="3">
        <v>40474</v>
      </c>
      <c r="AM24" s="3">
        <f>E24/F24</f>
        <v>1.0464515037642099</v>
      </c>
      <c r="AN24" s="4">
        <f>F24-L24</f>
        <v>0.78249300218531992</v>
      </c>
      <c r="AO24" s="4">
        <f>E24/(F24-L24)</f>
        <v>1.2109787001238659</v>
      </c>
    </row>
    <row r="25" spans="1:41" x14ac:dyDescent="0.25">
      <c r="A25" s="3">
        <v>24</v>
      </c>
      <c r="B25" s="3" t="s">
        <v>53</v>
      </c>
      <c r="C25" s="3" t="s">
        <v>50</v>
      </c>
      <c r="D25" s="3">
        <v>-200</v>
      </c>
      <c r="E25" s="3">
        <v>0</v>
      </c>
      <c r="F25" s="3">
        <v>0.54662159786949704</v>
      </c>
      <c r="G25" s="3">
        <v>0.54662159786949704</v>
      </c>
      <c r="H25" s="3">
        <v>4.63679339383231E-2</v>
      </c>
      <c r="I25" s="3">
        <v>7.0095480037455603E-3</v>
      </c>
      <c r="J25" s="3">
        <v>2.1767076002008798E-3</v>
      </c>
      <c r="K25" s="3">
        <v>0.491062550943694</v>
      </c>
      <c r="L25" s="4">
        <v>4.8573835333944901E-6</v>
      </c>
      <c r="M25" s="3">
        <v>0</v>
      </c>
      <c r="N25" s="3">
        <v>0</v>
      </c>
      <c r="O25" s="3">
        <v>100</v>
      </c>
      <c r="P25" s="3">
        <v>100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-207.20459285984401</v>
      </c>
      <c r="W25" s="3">
        <v>0</v>
      </c>
      <c r="X25" s="3">
        <v>100</v>
      </c>
      <c r="Y25" s="3">
        <v>69.034099070848399</v>
      </c>
      <c r="Z25" s="3">
        <v>93.667049464276602</v>
      </c>
      <c r="AA25" s="3">
        <v>49.998468904423603</v>
      </c>
      <c r="AB25" s="3">
        <v>2.5</v>
      </c>
      <c r="AC25" s="3">
        <v>647</v>
      </c>
      <c r="AD25" s="3">
        <v>0</v>
      </c>
      <c r="AE25" s="3">
        <v>0</v>
      </c>
      <c r="AF25" s="3">
        <v>168.031419440147</v>
      </c>
      <c r="AG25" s="3">
        <v>111.599770264516</v>
      </c>
      <c r="AH25" s="3">
        <v>24.7665912739647</v>
      </c>
      <c r="AI25" s="3">
        <v>-110.7</v>
      </c>
      <c r="AJ25" s="3">
        <v>281105.90000000002</v>
      </c>
      <c r="AK25" s="3">
        <v>0</v>
      </c>
      <c r="AL25" s="3">
        <v>3</v>
      </c>
      <c r="AM25" s="3">
        <f t="shared" ref="AM25:AM45" si="3">E25/F25</f>
        <v>0</v>
      </c>
      <c r="AN25" s="4">
        <f t="shared" ref="AN25:AN45" si="4">F25-L25</f>
        <v>0.54661674048596365</v>
      </c>
      <c r="AO25" s="4">
        <f t="shared" ref="AO25:AO45" si="5">E25/(F25-L25)</f>
        <v>0</v>
      </c>
    </row>
    <row r="26" spans="1:41" x14ac:dyDescent="0.25">
      <c r="A26" s="3">
        <v>25</v>
      </c>
      <c r="B26" s="3" t="s">
        <v>53</v>
      </c>
      <c r="C26" s="3" t="s">
        <v>50</v>
      </c>
      <c r="D26" s="3">
        <v>-175</v>
      </c>
      <c r="E26" s="3">
        <v>2.3397505093422301E-3</v>
      </c>
      <c r="F26" s="3">
        <v>0.531566790326648</v>
      </c>
      <c r="G26" s="3">
        <v>0.52922703981730601</v>
      </c>
      <c r="H26" s="3">
        <v>4.7248240584075202E-2</v>
      </c>
      <c r="I26" s="3">
        <v>6.2325637358933298E-3</v>
      </c>
      <c r="J26" s="3">
        <v>4.8815659202433E-3</v>
      </c>
      <c r="K26" s="3">
        <v>0.47319774224640199</v>
      </c>
      <c r="L26" s="4">
        <v>6.6778400339896399E-6</v>
      </c>
      <c r="M26" s="3">
        <v>0</v>
      </c>
      <c r="N26" s="3">
        <v>0</v>
      </c>
      <c r="O26" s="3">
        <v>100</v>
      </c>
      <c r="P26" s="3">
        <v>100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-183.96153218038799</v>
      </c>
      <c r="W26" s="3">
        <v>0</v>
      </c>
      <c r="X26" s="3">
        <v>100</v>
      </c>
      <c r="Y26" s="3">
        <v>68.390011310727502</v>
      </c>
      <c r="Z26" s="3">
        <v>159.20792804803099</v>
      </c>
      <c r="AA26" s="3">
        <v>52.013446988044201</v>
      </c>
      <c r="AB26" s="3">
        <v>2.6026705653169002</v>
      </c>
      <c r="AC26" s="3">
        <v>662.48785739729396</v>
      </c>
      <c r="AD26" s="3">
        <v>0</v>
      </c>
      <c r="AE26" s="3">
        <v>0</v>
      </c>
      <c r="AF26" s="3">
        <v>172.31630140471501</v>
      </c>
      <c r="AG26" s="3">
        <v>111.973304065706</v>
      </c>
      <c r="AH26" s="3">
        <v>24.184242486508399</v>
      </c>
      <c r="AI26" s="3">
        <v>-117.060988131494</v>
      </c>
      <c r="AJ26" s="3">
        <v>1585574.4</v>
      </c>
      <c r="AK26" s="4">
        <v>7.9373570137443306E-5</v>
      </c>
      <c r="AL26" s="3">
        <v>11</v>
      </c>
      <c r="AM26" s="3">
        <f t="shared" si="3"/>
        <v>4.4016115226168523E-3</v>
      </c>
      <c r="AN26" s="4">
        <f t="shared" si="4"/>
        <v>0.53156011248661406</v>
      </c>
      <c r="AO26" s="4">
        <f t="shared" si="5"/>
        <v>4.4016668188231493E-3</v>
      </c>
    </row>
    <row r="27" spans="1:41" x14ac:dyDescent="0.25">
      <c r="A27" s="3">
        <v>26</v>
      </c>
      <c r="B27" s="3" t="s">
        <v>53</v>
      </c>
      <c r="C27" s="3" t="s">
        <v>50</v>
      </c>
      <c r="D27" s="3">
        <v>-150</v>
      </c>
      <c r="E27" s="3">
        <v>3.2679535150724601</v>
      </c>
      <c r="F27" s="3">
        <v>0.52856263082876997</v>
      </c>
      <c r="G27" s="3">
        <v>-2.73939088424369</v>
      </c>
      <c r="H27" s="3">
        <v>4.8192235810824498E-2</v>
      </c>
      <c r="I27" s="3">
        <v>1.5912494117295901E-2</v>
      </c>
      <c r="J27" s="3">
        <v>6.6438958297988003E-3</v>
      </c>
      <c r="K27" s="3">
        <v>0.45780745797501499</v>
      </c>
      <c r="L27" s="4">
        <v>6.5470958357671397E-6</v>
      </c>
      <c r="M27" s="3">
        <v>0</v>
      </c>
      <c r="N27" s="3">
        <v>0</v>
      </c>
      <c r="O27" s="3">
        <v>100</v>
      </c>
      <c r="P27" s="3">
        <v>100</v>
      </c>
      <c r="Q27" s="3">
        <v>0</v>
      </c>
      <c r="R27" s="3">
        <v>0</v>
      </c>
      <c r="S27" s="3">
        <v>0</v>
      </c>
      <c r="T27" s="3">
        <v>0</v>
      </c>
      <c r="U27" s="3">
        <v>0.45359588286376701</v>
      </c>
      <c r="V27" s="3">
        <v>-160.76990174395999</v>
      </c>
      <c r="W27" s="3">
        <v>0</v>
      </c>
      <c r="X27" s="3">
        <v>100</v>
      </c>
      <c r="Y27" s="3">
        <v>66.703186504690194</v>
      </c>
      <c r="Z27" s="3">
        <v>155.786480463966</v>
      </c>
      <c r="AA27" s="3">
        <v>54.135674255822501</v>
      </c>
      <c r="AB27" s="3">
        <v>2.6334722008026898</v>
      </c>
      <c r="AC27" s="3">
        <v>703.16573518616303</v>
      </c>
      <c r="AD27" s="3">
        <v>0</v>
      </c>
      <c r="AE27" s="3">
        <v>0</v>
      </c>
      <c r="AF27" s="3">
        <v>173.756518738186</v>
      </c>
      <c r="AG27" s="3">
        <v>112.099227955579</v>
      </c>
      <c r="AH27" s="3">
        <v>25.543395927285399</v>
      </c>
      <c r="AI27" s="3">
        <v>-124.37514275964099</v>
      </c>
      <c r="AJ27" s="3">
        <v>13640199.6</v>
      </c>
      <c r="AK27" s="3">
        <v>0.11739685194793199</v>
      </c>
      <c r="AL27" s="3">
        <v>92</v>
      </c>
      <c r="AM27" s="3">
        <f t="shared" si="3"/>
        <v>6.1827176657351073</v>
      </c>
      <c r="AN27" s="4">
        <f t="shared" si="4"/>
        <v>0.52855608373293417</v>
      </c>
      <c r="AO27" s="4">
        <f t="shared" si="5"/>
        <v>6.1827942495572019</v>
      </c>
    </row>
    <row r="28" spans="1:41" x14ac:dyDescent="0.25">
      <c r="A28" s="3">
        <v>27</v>
      </c>
      <c r="B28" s="3" t="s">
        <v>53</v>
      </c>
      <c r="C28" s="3" t="s">
        <v>50</v>
      </c>
      <c r="D28" s="3">
        <v>-125</v>
      </c>
      <c r="E28" s="3">
        <v>0.78358727348095203</v>
      </c>
      <c r="F28" s="3">
        <v>0.48788693022031399</v>
      </c>
      <c r="G28" s="3">
        <v>-0.29570034326063799</v>
      </c>
      <c r="H28" s="3">
        <v>4.8014455901746599E-2</v>
      </c>
      <c r="I28" s="3">
        <v>9.8832018922116408E-3</v>
      </c>
      <c r="J28" s="3">
        <v>6.3010111247391101E-3</v>
      </c>
      <c r="K28" s="3">
        <v>0.423681058065564</v>
      </c>
      <c r="L28" s="4">
        <v>7.2032360530625298E-6</v>
      </c>
      <c r="M28" s="3">
        <v>0</v>
      </c>
      <c r="N28" s="3">
        <v>0.685459894922538</v>
      </c>
      <c r="O28" s="3">
        <v>99.314540105077498</v>
      </c>
      <c r="P28" s="3">
        <v>100</v>
      </c>
      <c r="Q28" s="3">
        <v>0</v>
      </c>
      <c r="R28" s="3">
        <v>0</v>
      </c>
      <c r="S28" s="3">
        <v>0</v>
      </c>
      <c r="T28" s="3">
        <v>0</v>
      </c>
      <c r="U28" s="3">
        <v>0.28712549315241498</v>
      </c>
      <c r="V28" s="3">
        <v>-135.9119600258</v>
      </c>
      <c r="W28" s="3">
        <v>0</v>
      </c>
      <c r="X28" s="3">
        <v>100</v>
      </c>
      <c r="Y28" s="3">
        <v>63.672751653398102</v>
      </c>
      <c r="Z28" s="3">
        <v>191.244019867031</v>
      </c>
      <c r="AA28" s="3">
        <v>53.749019932182001</v>
      </c>
      <c r="AB28" s="3">
        <v>2.7130878975751198</v>
      </c>
      <c r="AC28" s="3">
        <v>738.85286676701901</v>
      </c>
      <c r="AD28" s="3">
        <v>0</v>
      </c>
      <c r="AE28" s="3">
        <v>0</v>
      </c>
      <c r="AF28" s="3">
        <v>173.779311326585</v>
      </c>
      <c r="AG28" s="3">
        <v>112.13421686281799</v>
      </c>
      <c r="AH28" s="3">
        <v>27.591096646432199</v>
      </c>
      <c r="AI28" s="3">
        <v>-114.279145461493</v>
      </c>
      <c r="AJ28" s="3">
        <v>68210555.200000003</v>
      </c>
      <c r="AK28" s="3">
        <v>5.9757637498980602E-2</v>
      </c>
      <c r="AL28" s="3">
        <v>343</v>
      </c>
      <c r="AM28" s="3">
        <f t="shared" si="3"/>
        <v>1.6060837561832397</v>
      </c>
      <c r="AN28" s="4">
        <f t="shared" si="4"/>
        <v>0.48787972698426091</v>
      </c>
      <c r="AO28" s="4">
        <f t="shared" si="5"/>
        <v>1.6061074689955925</v>
      </c>
    </row>
    <row r="29" spans="1:41" x14ac:dyDescent="0.25">
      <c r="A29" s="3">
        <v>28</v>
      </c>
      <c r="B29" s="3" t="s">
        <v>53</v>
      </c>
      <c r="C29" s="3" t="s">
        <v>50</v>
      </c>
      <c r="D29" s="3">
        <v>-100</v>
      </c>
      <c r="E29" s="3">
        <v>0.29166655183052198</v>
      </c>
      <c r="F29" s="3">
        <v>0.46176775917885199</v>
      </c>
      <c r="G29" s="3">
        <v>0.17010120734833001</v>
      </c>
      <c r="H29" s="3">
        <v>4.8127159730494702E-2</v>
      </c>
      <c r="I29" s="3">
        <v>9.8635925209867407E-3</v>
      </c>
      <c r="J29" s="3">
        <v>5.1864139584768196E-3</v>
      </c>
      <c r="K29" s="3">
        <v>0.39858228695716802</v>
      </c>
      <c r="L29" s="4">
        <v>8.30601172566874E-6</v>
      </c>
      <c r="M29" s="3">
        <v>0</v>
      </c>
      <c r="N29" s="3">
        <v>7.1930998253674296</v>
      </c>
      <c r="O29" s="3">
        <v>92.806900174632602</v>
      </c>
      <c r="P29" s="3">
        <v>100</v>
      </c>
      <c r="Q29" s="3">
        <v>0</v>
      </c>
      <c r="R29" s="3">
        <v>0</v>
      </c>
      <c r="S29" s="3">
        <v>0</v>
      </c>
      <c r="T29" s="3">
        <v>0</v>
      </c>
      <c r="U29" s="3">
        <v>0.33307155677686401</v>
      </c>
      <c r="V29" s="3">
        <v>-108.58295806345799</v>
      </c>
      <c r="W29" s="3">
        <v>0.65368513874489698</v>
      </c>
      <c r="X29" s="3">
        <v>100</v>
      </c>
      <c r="Y29" s="3">
        <v>54.5289859861061</v>
      </c>
      <c r="Z29" s="3">
        <v>254.17439349135299</v>
      </c>
      <c r="AA29" s="3">
        <v>54.0529788997449</v>
      </c>
      <c r="AB29" s="3">
        <v>2.9631351523435199</v>
      </c>
      <c r="AC29" s="3">
        <v>763.54472374839804</v>
      </c>
      <c r="AD29" s="3">
        <v>0</v>
      </c>
      <c r="AE29" s="3">
        <v>0</v>
      </c>
      <c r="AF29" s="3">
        <v>171.711212909967</v>
      </c>
      <c r="AG29" s="3">
        <v>111.937184475278</v>
      </c>
      <c r="AH29" s="3">
        <v>26.0828665783833</v>
      </c>
      <c r="AI29" s="3">
        <v>-72.122455651225707</v>
      </c>
      <c r="AJ29" s="3">
        <v>538796299.79999995</v>
      </c>
      <c r="AK29" s="3">
        <v>4.8895334234530199E-2</v>
      </c>
      <c r="AL29" s="3">
        <v>1512</v>
      </c>
      <c r="AM29" s="3">
        <f t="shared" si="3"/>
        <v>0.63163039435491131</v>
      </c>
      <c r="AN29" s="4">
        <f t="shared" si="4"/>
        <v>0.4617594531671263</v>
      </c>
      <c r="AO29" s="4">
        <f t="shared" si="5"/>
        <v>0.63164175596196848</v>
      </c>
    </row>
    <row r="30" spans="1:41" x14ac:dyDescent="0.25">
      <c r="A30" s="3">
        <v>29</v>
      </c>
      <c r="B30" s="3" t="s">
        <v>53</v>
      </c>
      <c r="C30" s="3" t="s">
        <v>50</v>
      </c>
      <c r="D30" s="3">
        <v>-75</v>
      </c>
      <c r="E30" s="3">
        <v>0.55787054836595196</v>
      </c>
      <c r="F30" s="3">
        <v>0.48416625870248498</v>
      </c>
      <c r="G30" s="3">
        <v>-7.3704289663467398E-2</v>
      </c>
      <c r="H30" s="3">
        <v>4.8030289132783802E-2</v>
      </c>
      <c r="I30" s="3">
        <v>7.95429569761868E-3</v>
      </c>
      <c r="J30" s="3">
        <v>4.8558678991510399E-3</v>
      </c>
      <c r="K30" s="3">
        <v>0.42304617935053301</v>
      </c>
      <c r="L30" s="3">
        <v>2.79626622398425E-4</v>
      </c>
      <c r="M30" s="3">
        <v>0</v>
      </c>
      <c r="N30" s="3">
        <v>8.4615800826958196</v>
      </c>
      <c r="O30" s="3">
        <v>91.538419917304196</v>
      </c>
      <c r="P30" s="3">
        <v>100</v>
      </c>
      <c r="Q30" s="3">
        <v>0</v>
      </c>
      <c r="R30" s="3">
        <v>0</v>
      </c>
      <c r="S30" s="3">
        <v>0</v>
      </c>
      <c r="T30" s="3">
        <v>0</v>
      </c>
      <c r="U30" s="3">
        <v>0.27926767702720401</v>
      </c>
      <c r="V30" s="3">
        <v>-83.014117248765601</v>
      </c>
      <c r="W30" s="3">
        <v>0.291332452204632</v>
      </c>
      <c r="X30" s="3">
        <v>99.977273442555202</v>
      </c>
      <c r="Y30" s="3">
        <v>51.464170398057902</v>
      </c>
      <c r="Z30" s="3">
        <v>275.90173591613802</v>
      </c>
      <c r="AA30" s="3">
        <v>53.836713420252103</v>
      </c>
      <c r="AB30" s="3">
        <v>3.2035141475089799</v>
      </c>
      <c r="AC30" s="3">
        <v>770.16049131848899</v>
      </c>
      <c r="AD30" s="3">
        <v>0</v>
      </c>
      <c r="AE30" s="3">
        <v>0</v>
      </c>
      <c r="AF30" s="3">
        <v>171.72981757984601</v>
      </c>
      <c r="AG30" s="3">
        <v>111.888071991308</v>
      </c>
      <c r="AH30" s="3">
        <v>24.638906115869499</v>
      </c>
      <c r="AI30" s="3">
        <v>-42.540082859418497</v>
      </c>
      <c r="AJ30" s="3">
        <v>9715911023.2999992</v>
      </c>
      <c r="AK30" s="3">
        <v>7.2911465167421904E-2</v>
      </c>
      <c r="AL30" s="3">
        <v>6395</v>
      </c>
      <c r="AM30" s="3">
        <f t="shared" si="3"/>
        <v>1.1522292979708804</v>
      </c>
      <c r="AN30" s="4">
        <f t="shared" si="4"/>
        <v>0.48388663208008653</v>
      </c>
      <c r="AO30" s="4">
        <f t="shared" si="5"/>
        <v>1.152895143988232</v>
      </c>
    </row>
    <row r="31" spans="1:41" x14ac:dyDescent="0.25">
      <c r="A31" s="3">
        <v>30</v>
      </c>
      <c r="B31" s="3" t="s">
        <v>53</v>
      </c>
      <c r="C31" s="3" t="s">
        <v>50</v>
      </c>
      <c r="D31" s="3">
        <v>-50</v>
      </c>
      <c r="E31" s="3">
        <v>0.63902120538831797</v>
      </c>
      <c r="F31" s="3">
        <v>0.59099968269650704</v>
      </c>
      <c r="G31" s="3">
        <v>-4.8021522691810703E-2</v>
      </c>
      <c r="H31" s="3">
        <v>4.8392608244336902E-2</v>
      </c>
      <c r="I31" s="3">
        <v>8.5761261927850899E-3</v>
      </c>
      <c r="J31" s="3">
        <v>6.3827180717979303E-3</v>
      </c>
      <c r="K31" s="3">
        <v>0.49526991692660699</v>
      </c>
      <c r="L31" s="3">
        <v>3.23783132609805E-2</v>
      </c>
      <c r="M31" s="3">
        <v>0</v>
      </c>
      <c r="N31" s="3">
        <v>9.5096665853298799</v>
      </c>
      <c r="O31" s="3">
        <v>90.490333414670104</v>
      </c>
      <c r="P31" s="3">
        <v>100</v>
      </c>
      <c r="Q31" s="3">
        <v>0</v>
      </c>
      <c r="R31" s="3">
        <v>0</v>
      </c>
      <c r="S31" s="3">
        <v>0</v>
      </c>
      <c r="T31" s="3">
        <v>0</v>
      </c>
      <c r="U31" s="3">
        <v>0.31024816364797603</v>
      </c>
      <c r="V31" s="3">
        <v>-59.881807963258098</v>
      </c>
      <c r="W31" s="3">
        <v>34.025186173025602</v>
      </c>
      <c r="X31" s="3">
        <v>100</v>
      </c>
      <c r="Y31" s="3">
        <v>50.507837274970399</v>
      </c>
      <c r="Z31" s="3">
        <v>264.67174444474199</v>
      </c>
      <c r="AA31" s="3">
        <v>54.647704361736999</v>
      </c>
      <c r="AB31" s="3">
        <v>3.3617387359609698</v>
      </c>
      <c r="AC31" s="3">
        <v>769.95802139904299</v>
      </c>
      <c r="AD31" s="3">
        <v>0</v>
      </c>
      <c r="AE31" s="3">
        <v>0</v>
      </c>
      <c r="AF31" s="3">
        <v>172.393764069399</v>
      </c>
      <c r="AG31" s="3">
        <v>112.027116416938</v>
      </c>
      <c r="AH31" s="3">
        <v>26.2922470193419</v>
      </c>
      <c r="AI31" s="3">
        <v>-30.246596819784902</v>
      </c>
      <c r="AJ31" s="3">
        <v>71189165399.800003</v>
      </c>
      <c r="AK31" s="3">
        <v>7.0545022906680202E-2</v>
      </c>
      <c r="AL31" s="3">
        <v>21591</v>
      </c>
      <c r="AM31" s="3">
        <f t="shared" si="3"/>
        <v>1.0812547351509683</v>
      </c>
      <c r="AN31" s="4">
        <f t="shared" si="4"/>
        <v>0.55862136943552654</v>
      </c>
      <c r="AO31" s="4">
        <f t="shared" si="5"/>
        <v>1.1439254571196114</v>
      </c>
    </row>
    <row r="32" spans="1:41" x14ac:dyDescent="0.25">
      <c r="A32" s="3">
        <v>31</v>
      </c>
      <c r="B32" s="3" t="s">
        <v>53</v>
      </c>
      <c r="C32" s="3" t="s">
        <v>50</v>
      </c>
      <c r="D32" s="3">
        <v>-25</v>
      </c>
      <c r="E32" s="3">
        <v>0.76348018041474297</v>
      </c>
      <c r="F32" s="3">
        <v>0.73900088931055197</v>
      </c>
      <c r="G32" s="3">
        <v>-2.4479291104190701E-2</v>
      </c>
      <c r="H32" s="3">
        <v>4.8774897287841797E-2</v>
      </c>
      <c r="I32" s="3">
        <v>9.1189447846461002E-3</v>
      </c>
      <c r="J32" s="3">
        <v>9.3178875273489704E-3</v>
      </c>
      <c r="K32" s="3">
        <v>0.57482641210748397</v>
      </c>
      <c r="L32" s="3">
        <v>9.6962747603231605E-2</v>
      </c>
      <c r="M32" s="3">
        <v>0</v>
      </c>
      <c r="N32" s="3">
        <v>9.8884196822901202</v>
      </c>
      <c r="O32" s="3">
        <v>90.111580317709894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0.33194815844256498</v>
      </c>
      <c r="V32" s="3">
        <v>-36.4988907088076</v>
      </c>
      <c r="W32" s="3">
        <v>136.69871877069301</v>
      </c>
      <c r="X32" s="3">
        <v>99.999602066027293</v>
      </c>
      <c r="Y32" s="3">
        <v>50.251698661197103</v>
      </c>
      <c r="Z32" s="3">
        <v>262.56436958219399</v>
      </c>
      <c r="AA32" s="3">
        <v>55.513129877611</v>
      </c>
      <c r="AB32" s="3">
        <v>3.5051303402356502</v>
      </c>
      <c r="AC32" s="3">
        <v>767.83727212597103</v>
      </c>
      <c r="AD32" s="3">
        <v>0</v>
      </c>
      <c r="AE32" s="3">
        <v>0</v>
      </c>
      <c r="AF32" s="3">
        <v>173.21832638790301</v>
      </c>
      <c r="AG32" s="3">
        <v>112.22640590416501</v>
      </c>
      <c r="AH32" s="3">
        <v>29.753644380988899</v>
      </c>
      <c r="AI32" s="3">
        <v>-22.435569307128901</v>
      </c>
      <c r="AJ32" s="3">
        <v>171205312138.20001</v>
      </c>
      <c r="AK32" s="3">
        <v>7.4747185534922003E-2</v>
      </c>
      <c r="AL32" s="3">
        <v>48205</v>
      </c>
      <c r="AM32" s="3">
        <f t="shared" si="3"/>
        <v>1.0331248466115228</v>
      </c>
      <c r="AN32" s="4">
        <f t="shared" si="4"/>
        <v>0.64203814170732032</v>
      </c>
      <c r="AO32" s="4">
        <f t="shared" si="5"/>
        <v>1.1891508164678217</v>
      </c>
    </row>
    <row r="33" spans="1:41" x14ac:dyDescent="0.25">
      <c r="A33" s="3">
        <v>32</v>
      </c>
      <c r="B33" s="3" t="s">
        <v>53</v>
      </c>
      <c r="C33" s="3" t="s">
        <v>50</v>
      </c>
      <c r="D33" s="3">
        <v>0</v>
      </c>
      <c r="E33" s="3">
        <v>0.84270109648556601</v>
      </c>
      <c r="F33" s="3">
        <v>0.83335146550504102</v>
      </c>
      <c r="G33" s="3">
        <v>-9.3496309805253704E-3</v>
      </c>
      <c r="H33" s="3">
        <v>4.96734963047223E-2</v>
      </c>
      <c r="I33" s="3">
        <v>1.1164348163493E-2</v>
      </c>
      <c r="J33" s="3">
        <v>1.31025003368584E-2</v>
      </c>
      <c r="K33" s="3">
        <v>0.60722487425684701</v>
      </c>
      <c r="L33" s="3">
        <v>0.15218624644312001</v>
      </c>
      <c r="M33" s="3">
        <v>0</v>
      </c>
      <c r="N33" s="3">
        <v>10.457942051311701</v>
      </c>
      <c r="O33" s="3">
        <v>89.542057948688296</v>
      </c>
      <c r="P33" s="3">
        <v>100</v>
      </c>
      <c r="Q33" s="3">
        <v>0</v>
      </c>
      <c r="R33" s="3">
        <v>0</v>
      </c>
      <c r="S33" s="3">
        <v>0</v>
      </c>
      <c r="T33" s="3">
        <v>0</v>
      </c>
      <c r="U33" s="3">
        <v>0.39483584929579302</v>
      </c>
      <c r="V33" s="3">
        <v>-14.1268520268735</v>
      </c>
      <c r="W33" s="3">
        <v>491.74814685217399</v>
      </c>
      <c r="X33" s="3">
        <v>99.998692265206898</v>
      </c>
      <c r="Y33" s="3">
        <v>50.147698042366002</v>
      </c>
      <c r="Z33" s="3">
        <v>240.55171954752899</v>
      </c>
      <c r="AA33" s="3">
        <v>57.593243424198299</v>
      </c>
      <c r="AB33" s="3">
        <v>3.7045516216035299</v>
      </c>
      <c r="AC33" s="3">
        <v>764.63207740434302</v>
      </c>
      <c r="AD33" s="3">
        <v>0</v>
      </c>
      <c r="AE33" s="3">
        <v>0</v>
      </c>
      <c r="AF33" s="3">
        <v>171.86309615312399</v>
      </c>
      <c r="AG33" s="3">
        <v>112.13283721395599</v>
      </c>
      <c r="AH33" s="3">
        <v>31.4931631384799</v>
      </c>
      <c r="AI33" s="3">
        <v>-16.639604330979498</v>
      </c>
      <c r="AJ33" s="3">
        <v>174526082208.60001</v>
      </c>
      <c r="AK33" s="3">
        <v>8.1354767421740998E-2</v>
      </c>
      <c r="AL33" s="3">
        <v>78821</v>
      </c>
      <c r="AM33" s="3">
        <f t="shared" si="3"/>
        <v>1.0112193130600169</v>
      </c>
      <c r="AN33" s="4">
        <f t="shared" si="4"/>
        <v>0.68116521906192107</v>
      </c>
      <c r="AO33" s="4">
        <f t="shared" si="5"/>
        <v>1.2371463969433245</v>
      </c>
    </row>
    <row r="34" spans="1:41" x14ac:dyDescent="0.25">
      <c r="A34" s="3">
        <v>33</v>
      </c>
      <c r="B34" s="3" t="s">
        <v>53</v>
      </c>
      <c r="C34" s="3" t="s">
        <v>51</v>
      </c>
      <c r="D34" s="3">
        <v>-150</v>
      </c>
      <c r="E34" s="4">
        <v>1.9117344271657999E-5</v>
      </c>
      <c r="F34" s="3">
        <v>0.35189571937564701</v>
      </c>
      <c r="G34" s="3">
        <v>0.351876602031375</v>
      </c>
      <c r="H34" s="3">
        <v>4.7419620808613297E-2</v>
      </c>
      <c r="I34" s="3">
        <v>5.54064998505489E-3</v>
      </c>
      <c r="J34" s="3">
        <v>4.1871427772525701E-4</v>
      </c>
      <c r="K34" s="3">
        <v>0.29850858026316301</v>
      </c>
      <c r="L34" s="4">
        <v>8.1540410897425299E-6</v>
      </c>
      <c r="M34" s="3">
        <v>0</v>
      </c>
      <c r="N34" s="3">
        <v>0</v>
      </c>
      <c r="O34" s="3">
        <v>100</v>
      </c>
      <c r="P34" s="3">
        <v>0</v>
      </c>
      <c r="Q34" s="3">
        <v>0</v>
      </c>
      <c r="R34" s="3">
        <v>100</v>
      </c>
      <c r="S34" s="3">
        <v>0</v>
      </c>
      <c r="T34" s="3">
        <v>0</v>
      </c>
      <c r="U34" s="3">
        <v>0.12897455748938599</v>
      </c>
      <c r="V34" s="3">
        <v>-155.419772733999</v>
      </c>
      <c r="W34" s="3">
        <v>0</v>
      </c>
      <c r="X34" s="3">
        <v>100</v>
      </c>
      <c r="Y34" s="3">
        <v>51.700533477123301</v>
      </c>
      <c r="Z34" s="3">
        <v>225.96024165818699</v>
      </c>
      <c r="AA34" s="3">
        <v>52.430106465867297</v>
      </c>
      <c r="AB34" s="3">
        <v>2.7716270805046301</v>
      </c>
      <c r="AC34" s="3">
        <v>761.46616476721499</v>
      </c>
      <c r="AD34" s="3">
        <v>0</v>
      </c>
      <c r="AE34" s="3">
        <v>0</v>
      </c>
      <c r="AF34" s="3">
        <v>170.40319685078401</v>
      </c>
      <c r="AG34" s="3">
        <v>111.766014446008</v>
      </c>
      <c r="AH34" s="3">
        <v>24.127455000934798</v>
      </c>
      <c r="AI34" s="3">
        <v>-84.6363063433473</v>
      </c>
      <c r="AJ34" s="3">
        <v>1415768.3</v>
      </c>
      <c r="AK34" s="4">
        <v>3.53553390593274E-7</v>
      </c>
      <c r="AL34" s="3">
        <v>8</v>
      </c>
      <c r="AM34" s="3">
        <f t="shared" si="3"/>
        <v>5.4326731525967569E-5</v>
      </c>
      <c r="AN34" s="4">
        <f t="shared" si="4"/>
        <v>0.35188756533455728</v>
      </c>
      <c r="AO34" s="4">
        <f t="shared" si="5"/>
        <v>5.4327990400803663E-5</v>
      </c>
    </row>
    <row r="35" spans="1:41" x14ac:dyDescent="0.25">
      <c r="A35" s="3">
        <v>34</v>
      </c>
      <c r="B35" s="3" t="s">
        <v>53</v>
      </c>
      <c r="C35" s="3" t="s">
        <v>51</v>
      </c>
      <c r="D35" s="3">
        <v>-125</v>
      </c>
      <c r="E35" s="3">
        <v>1.50773464210052E-2</v>
      </c>
      <c r="F35" s="3">
        <v>0.42124972708923902</v>
      </c>
      <c r="G35" s="3">
        <v>0.40617238066823402</v>
      </c>
      <c r="H35" s="3">
        <v>4.7609216997577301E-2</v>
      </c>
      <c r="I35" s="3">
        <v>9.5527037366600898E-3</v>
      </c>
      <c r="J35" s="3">
        <v>1.00400283682023E-2</v>
      </c>
      <c r="K35" s="3">
        <v>0.35403983505461201</v>
      </c>
      <c r="L35" s="4">
        <v>7.9429321877645995E-6</v>
      </c>
      <c r="M35" s="3">
        <v>0</v>
      </c>
      <c r="N35" s="3">
        <v>0</v>
      </c>
      <c r="O35" s="3">
        <v>100</v>
      </c>
      <c r="P35" s="3">
        <v>0</v>
      </c>
      <c r="Q35" s="3">
        <v>0</v>
      </c>
      <c r="R35" s="3">
        <v>100</v>
      </c>
      <c r="S35" s="3">
        <v>0</v>
      </c>
      <c r="T35" s="3">
        <v>0</v>
      </c>
      <c r="U35" s="3">
        <v>0.214063191341888</v>
      </c>
      <c r="V35" s="3">
        <v>-132.69878892252899</v>
      </c>
      <c r="W35" s="3">
        <v>0</v>
      </c>
      <c r="X35" s="3">
        <v>100</v>
      </c>
      <c r="Y35" s="3">
        <v>54.0615871735939</v>
      </c>
      <c r="Z35" s="3">
        <v>224.698757448397</v>
      </c>
      <c r="AA35" s="3">
        <v>52.855612329110798</v>
      </c>
      <c r="AB35" s="3">
        <v>2.90988505992348</v>
      </c>
      <c r="AC35" s="3">
        <v>730.54140795139199</v>
      </c>
      <c r="AD35" s="3">
        <v>0</v>
      </c>
      <c r="AE35" s="3">
        <v>0</v>
      </c>
      <c r="AF35" s="3">
        <v>170.83859878116399</v>
      </c>
      <c r="AG35" s="3">
        <v>111.851605899105</v>
      </c>
      <c r="AH35" s="3">
        <v>25.0313304132493</v>
      </c>
      <c r="AI35" s="3">
        <v>-70.071460034300003</v>
      </c>
      <c r="AJ35" s="3">
        <v>21186605</v>
      </c>
      <c r="AK35" s="3">
        <v>3.0201085542962001E-4</v>
      </c>
      <c r="AL35" s="3">
        <v>110</v>
      </c>
      <c r="AM35" s="3">
        <f t="shared" si="3"/>
        <v>3.5791943475398769E-2</v>
      </c>
      <c r="AN35" s="4">
        <f t="shared" si="4"/>
        <v>0.42124178415705127</v>
      </c>
      <c r="AO35" s="4">
        <f t="shared" si="5"/>
        <v>3.5792618368039014E-2</v>
      </c>
    </row>
    <row r="36" spans="1:41" x14ac:dyDescent="0.25">
      <c r="A36" s="3">
        <v>35</v>
      </c>
      <c r="B36" s="3" t="s">
        <v>53</v>
      </c>
      <c r="C36" s="3" t="s">
        <v>51</v>
      </c>
      <c r="D36" s="3">
        <v>-100</v>
      </c>
      <c r="E36" s="3">
        <v>0.421962711436698</v>
      </c>
      <c r="F36" s="3">
        <v>0.41150395026528802</v>
      </c>
      <c r="G36" s="3">
        <v>-1.04587611714103E-2</v>
      </c>
      <c r="H36" s="3">
        <v>4.80254183590062E-2</v>
      </c>
      <c r="I36" s="3">
        <v>6.8333974018594101E-3</v>
      </c>
      <c r="J36" s="3">
        <v>4.7273548614694596E-3</v>
      </c>
      <c r="K36" s="3">
        <v>0.35190983477553101</v>
      </c>
      <c r="L36" s="4">
        <v>7.9448674216285393E-6</v>
      </c>
      <c r="M36" s="3">
        <v>0</v>
      </c>
      <c r="N36" s="3">
        <v>1.5285198870343799</v>
      </c>
      <c r="O36" s="3">
        <v>98.471480112965594</v>
      </c>
      <c r="P36" s="3">
        <v>0</v>
      </c>
      <c r="Q36" s="3">
        <v>0</v>
      </c>
      <c r="R36" s="3">
        <v>100</v>
      </c>
      <c r="S36" s="3">
        <v>0</v>
      </c>
      <c r="T36" s="3">
        <v>0</v>
      </c>
      <c r="U36" s="3">
        <v>0.21423299043835201</v>
      </c>
      <c r="V36" s="3">
        <v>-108.660837677232</v>
      </c>
      <c r="W36" s="3">
        <v>1.12398051730359E-2</v>
      </c>
      <c r="X36" s="3">
        <v>100</v>
      </c>
      <c r="Y36" s="3">
        <v>45.829546639933199</v>
      </c>
      <c r="Z36" s="3">
        <v>229.817484933971</v>
      </c>
      <c r="AA36" s="3">
        <v>53.824119517446697</v>
      </c>
      <c r="AB36" s="3">
        <v>2.9524664927893198</v>
      </c>
      <c r="AC36" s="3">
        <v>765.82397382952399</v>
      </c>
      <c r="AD36" s="3">
        <v>0</v>
      </c>
      <c r="AE36" s="3">
        <v>0</v>
      </c>
      <c r="AF36" s="3">
        <v>171.339892794609</v>
      </c>
      <c r="AG36" s="3">
        <v>111.881654288341</v>
      </c>
      <c r="AH36" s="3">
        <v>24.907681434121901</v>
      </c>
      <c r="AI36" s="3">
        <v>-66.027070570941007</v>
      </c>
      <c r="AJ36" s="3">
        <v>470242753.19999999</v>
      </c>
      <c r="AK36" s="3">
        <v>6.7349213030437394E-2</v>
      </c>
      <c r="AL36" s="3">
        <v>1317</v>
      </c>
      <c r="AM36" s="3">
        <f t="shared" si="3"/>
        <v>1.0254159435521031</v>
      </c>
      <c r="AN36" s="4">
        <f t="shared" si="4"/>
        <v>0.4114960053978664</v>
      </c>
      <c r="AO36" s="4">
        <f t="shared" si="5"/>
        <v>1.0254357415419175</v>
      </c>
    </row>
    <row r="37" spans="1:41" x14ac:dyDescent="0.25">
      <c r="A37" s="3">
        <v>36</v>
      </c>
      <c r="B37" s="3" t="s">
        <v>53</v>
      </c>
      <c r="C37" s="3" t="s">
        <v>51</v>
      </c>
      <c r="D37" s="3">
        <v>-75</v>
      </c>
      <c r="E37" s="3">
        <v>0.39346014554108499</v>
      </c>
      <c r="F37" s="3">
        <v>0.436188235644068</v>
      </c>
      <c r="G37" s="3">
        <v>4.2728090102982799E-2</v>
      </c>
      <c r="H37" s="3">
        <v>4.7964016394124898E-2</v>
      </c>
      <c r="I37" s="3">
        <v>7.40844985350291E-3</v>
      </c>
      <c r="J37" s="3">
        <v>5.7804591422789403E-3</v>
      </c>
      <c r="K37" s="3">
        <v>0.37477223865866999</v>
      </c>
      <c r="L37" s="3">
        <v>2.6307159549142302E-4</v>
      </c>
      <c r="M37" s="3">
        <v>0</v>
      </c>
      <c r="N37" s="3">
        <v>2.3743731363993099</v>
      </c>
      <c r="O37" s="3">
        <v>97.625626863600701</v>
      </c>
      <c r="P37" s="3">
        <v>0</v>
      </c>
      <c r="Q37" s="3">
        <v>0</v>
      </c>
      <c r="R37" s="3">
        <v>100</v>
      </c>
      <c r="S37" s="3">
        <v>0</v>
      </c>
      <c r="T37" s="3">
        <v>0</v>
      </c>
      <c r="U37" s="3">
        <v>0.26926149626916301</v>
      </c>
      <c r="V37" s="3">
        <v>-83.307532588826504</v>
      </c>
      <c r="W37" s="3">
        <v>0.24710447483193601</v>
      </c>
      <c r="X37" s="3">
        <v>100</v>
      </c>
      <c r="Y37" s="3">
        <v>43.4144518309731</v>
      </c>
      <c r="Z37" s="3">
        <v>256.012484187133</v>
      </c>
      <c r="AA37" s="3">
        <v>53.684773110782302</v>
      </c>
      <c r="AB37" s="3">
        <v>3.1744324275984801</v>
      </c>
      <c r="AC37" s="3">
        <v>768.00929796040896</v>
      </c>
      <c r="AD37" s="3">
        <v>0</v>
      </c>
      <c r="AE37" s="3">
        <v>0</v>
      </c>
      <c r="AF37" s="3">
        <v>171.64721010095499</v>
      </c>
      <c r="AG37" s="3">
        <v>111.900686308803</v>
      </c>
      <c r="AH37" s="3">
        <v>25.152529653657002</v>
      </c>
      <c r="AI37" s="3">
        <v>-43.9417272569396</v>
      </c>
      <c r="AJ37" s="3">
        <v>6175875933.3999996</v>
      </c>
      <c r="AK37" s="3">
        <v>4.7573939080058802E-2</v>
      </c>
      <c r="AL37" s="3">
        <v>5130</v>
      </c>
      <c r="AM37" s="3">
        <f t="shared" si="3"/>
        <v>0.90204208501888761</v>
      </c>
      <c r="AN37" s="4">
        <f t="shared" si="4"/>
        <v>0.43592516404857656</v>
      </c>
      <c r="AO37" s="4">
        <f t="shared" si="5"/>
        <v>0.90258644829514922</v>
      </c>
    </row>
    <row r="38" spans="1:41" x14ac:dyDescent="0.25">
      <c r="A38" s="3">
        <v>37</v>
      </c>
      <c r="B38" s="3" t="s">
        <v>53</v>
      </c>
      <c r="C38" s="3" t="s">
        <v>51</v>
      </c>
      <c r="D38" s="3">
        <v>-50</v>
      </c>
      <c r="E38" s="3">
        <v>0.55273435722961195</v>
      </c>
      <c r="F38" s="3">
        <v>0.52676082740362395</v>
      </c>
      <c r="G38" s="3">
        <v>-2.5973529825987201E-2</v>
      </c>
      <c r="H38" s="3">
        <v>4.8256624693188498E-2</v>
      </c>
      <c r="I38" s="3">
        <v>8.2129202220502396E-3</v>
      </c>
      <c r="J38" s="3">
        <v>7.2680145973093397E-3</v>
      </c>
      <c r="K38" s="3">
        <v>0.43107934199964798</v>
      </c>
      <c r="L38" s="3">
        <v>3.1943925891428603E-2</v>
      </c>
      <c r="M38" s="3">
        <v>0</v>
      </c>
      <c r="N38" s="3">
        <v>2.5161408453744798</v>
      </c>
      <c r="O38" s="3">
        <v>97.483859154625506</v>
      </c>
      <c r="P38" s="3">
        <v>0</v>
      </c>
      <c r="Q38" s="3">
        <v>0</v>
      </c>
      <c r="R38" s="3">
        <v>100</v>
      </c>
      <c r="S38" s="3">
        <v>0</v>
      </c>
      <c r="T38" s="3">
        <v>0</v>
      </c>
      <c r="U38" s="3">
        <v>0.308685467576858</v>
      </c>
      <c r="V38" s="3">
        <v>-59.836503708153799</v>
      </c>
      <c r="W38" s="3">
        <v>45.109290924162202</v>
      </c>
      <c r="X38" s="3">
        <v>99.993981656369598</v>
      </c>
      <c r="Y38" s="3">
        <v>42.5239215194932</v>
      </c>
      <c r="Z38" s="3">
        <v>258.11334621514402</v>
      </c>
      <c r="AA38" s="3">
        <v>54.340936572745001</v>
      </c>
      <c r="AB38" s="3">
        <v>3.3609383493437099</v>
      </c>
      <c r="AC38" s="3">
        <v>768.21756563843201</v>
      </c>
      <c r="AD38" s="3">
        <v>0</v>
      </c>
      <c r="AE38" s="3">
        <v>0</v>
      </c>
      <c r="AF38" s="3">
        <v>172.118061762992</v>
      </c>
      <c r="AG38" s="3">
        <v>112.00153309641399</v>
      </c>
      <c r="AH38" s="3">
        <v>26.2032442262926</v>
      </c>
      <c r="AI38" s="3">
        <v>-28.625642897078301</v>
      </c>
      <c r="AJ38" s="3">
        <v>47864400520.900002</v>
      </c>
      <c r="AK38" s="3">
        <v>6.0873326062906602E-2</v>
      </c>
      <c r="AL38" s="3">
        <v>16268</v>
      </c>
      <c r="AM38" s="3">
        <f t="shared" si="3"/>
        <v>1.0493080131907495</v>
      </c>
      <c r="AN38" s="4">
        <f t="shared" si="4"/>
        <v>0.49481690151219537</v>
      </c>
      <c r="AO38" s="4">
        <f t="shared" si="5"/>
        <v>1.1170482567196407</v>
      </c>
    </row>
    <row r="39" spans="1:41" x14ac:dyDescent="0.25">
      <c r="A39" s="3">
        <v>38</v>
      </c>
      <c r="B39" s="3" t="s">
        <v>53</v>
      </c>
      <c r="C39" s="3" t="s">
        <v>51</v>
      </c>
      <c r="D39" s="3">
        <v>-25</v>
      </c>
      <c r="E39" s="3">
        <v>0.65722973467372003</v>
      </c>
      <c r="F39" s="3">
        <v>0.66867137287614598</v>
      </c>
      <c r="G39" s="3">
        <v>1.1441638202426E-2</v>
      </c>
      <c r="H39" s="3">
        <v>4.8714475333502601E-2</v>
      </c>
      <c r="I39" s="3">
        <v>8.8709319876238805E-3</v>
      </c>
      <c r="J39" s="3">
        <v>1.0615123833449199E-2</v>
      </c>
      <c r="K39" s="3">
        <v>0.50458112518768194</v>
      </c>
      <c r="L39" s="3">
        <v>9.5889716533887906E-2</v>
      </c>
      <c r="M39" s="3">
        <v>0</v>
      </c>
      <c r="N39" s="3">
        <v>2.5392466807704901</v>
      </c>
      <c r="O39" s="3">
        <v>97.460753319229497</v>
      </c>
      <c r="P39" s="3">
        <v>0</v>
      </c>
      <c r="Q39" s="3">
        <v>0</v>
      </c>
      <c r="R39" s="3">
        <v>100</v>
      </c>
      <c r="S39" s="3">
        <v>0</v>
      </c>
      <c r="T39" s="3">
        <v>0</v>
      </c>
      <c r="U39" s="3">
        <v>0.33396643494406197</v>
      </c>
      <c r="V39" s="3">
        <v>-36.398357953265503</v>
      </c>
      <c r="W39" s="3">
        <v>178.77087555353</v>
      </c>
      <c r="X39" s="3">
        <v>99.996036480363898</v>
      </c>
      <c r="Y39" s="3">
        <v>42.7257627164174</v>
      </c>
      <c r="Z39" s="3">
        <v>254.14605479744199</v>
      </c>
      <c r="AA39" s="3">
        <v>55.378201052803099</v>
      </c>
      <c r="AB39" s="3">
        <v>3.5174934310874302</v>
      </c>
      <c r="AC39" s="3">
        <v>765.18335259741605</v>
      </c>
      <c r="AD39" s="3">
        <v>0</v>
      </c>
      <c r="AE39" s="3">
        <v>0</v>
      </c>
      <c r="AF39" s="3">
        <v>173.035106078626</v>
      </c>
      <c r="AG39" s="3">
        <v>112.19196661217499</v>
      </c>
      <c r="AH39" s="3">
        <v>29.203329248353299</v>
      </c>
      <c r="AI39" s="3">
        <v>-18.311357129860401</v>
      </c>
      <c r="AJ39" s="3">
        <v>118410719110.89999</v>
      </c>
      <c r="AK39" s="3">
        <v>6.4814130040078605E-2</v>
      </c>
      <c r="AL39" s="3">
        <v>37023</v>
      </c>
      <c r="AM39" s="3">
        <f t="shared" si="3"/>
        <v>0.982888996498815</v>
      </c>
      <c r="AN39" s="4">
        <f t="shared" si="4"/>
        <v>0.57278165634225808</v>
      </c>
      <c r="AO39" s="4">
        <f t="shared" si="5"/>
        <v>1.14743502588882</v>
      </c>
    </row>
    <row r="40" spans="1:41" x14ac:dyDescent="0.25">
      <c r="A40" s="3">
        <v>39</v>
      </c>
      <c r="B40" s="3" t="s">
        <v>53</v>
      </c>
      <c r="C40" s="3" t="s">
        <v>51</v>
      </c>
      <c r="D40" s="3">
        <v>0</v>
      </c>
      <c r="E40" s="3">
        <v>0.76780464791514402</v>
      </c>
      <c r="F40" s="3">
        <v>0.76266383092171597</v>
      </c>
      <c r="G40" s="3">
        <v>-5.1408169934278204E-3</v>
      </c>
      <c r="H40" s="3">
        <v>4.9417597465721601E-2</v>
      </c>
      <c r="I40" s="3">
        <v>1.10655846553511E-2</v>
      </c>
      <c r="J40" s="3">
        <v>1.4218186211522999E-2</v>
      </c>
      <c r="K40" s="3">
        <v>0.53635417526607898</v>
      </c>
      <c r="L40" s="3">
        <v>0.15160828732304199</v>
      </c>
      <c r="M40" s="3">
        <v>0</v>
      </c>
      <c r="N40" s="3">
        <v>2.4859945864894302</v>
      </c>
      <c r="O40" s="3">
        <v>97.514005413510603</v>
      </c>
      <c r="P40" s="3">
        <v>0</v>
      </c>
      <c r="Q40" s="3">
        <v>0</v>
      </c>
      <c r="R40" s="3">
        <v>100</v>
      </c>
      <c r="S40" s="3">
        <v>0</v>
      </c>
      <c r="T40" s="3">
        <v>0</v>
      </c>
      <c r="U40" s="3">
        <v>0.40373656944754799</v>
      </c>
      <c r="V40" s="3">
        <v>-13.6052308895996</v>
      </c>
      <c r="W40" s="3">
        <v>575.38489443847095</v>
      </c>
      <c r="X40" s="3">
        <v>99.997397413804904</v>
      </c>
      <c r="Y40" s="3">
        <v>43.6058129244824</v>
      </c>
      <c r="Z40" s="3">
        <v>233.90543133654799</v>
      </c>
      <c r="AA40" s="3">
        <v>56.999920220502602</v>
      </c>
      <c r="AB40" s="3">
        <v>3.71789087403151</v>
      </c>
      <c r="AC40" s="3">
        <v>761.81059600149695</v>
      </c>
      <c r="AD40" s="3">
        <v>0</v>
      </c>
      <c r="AE40" s="3">
        <v>0</v>
      </c>
      <c r="AF40" s="3">
        <v>171.70463415430899</v>
      </c>
      <c r="AG40" s="3">
        <v>112.103134256411</v>
      </c>
      <c r="AH40" s="3">
        <v>30.7744851619907</v>
      </c>
      <c r="AI40" s="3">
        <v>-10.952449715666299</v>
      </c>
      <c r="AJ40" s="3">
        <v>139893814347</v>
      </c>
      <c r="AK40" s="3">
        <v>7.3618836129619905E-2</v>
      </c>
      <c r="AL40" s="3">
        <v>62080</v>
      </c>
      <c r="AM40" s="3">
        <f t="shared" si="3"/>
        <v>1.0067406067850564</v>
      </c>
      <c r="AN40" s="4">
        <f t="shared" si="4"/>
        <v>0.61105554359867398</v>
      </c>
      <c r="AO40" s="4">
        <f t="shared" si="5"/>
        <v>1.2565218595241465</v>
      </c>
    </row>
    <row r="41" spans="1:41" x14ac:dyDescent="0.25">
      <c r="A41" s="3">
        <v>40</v>
      </c>
      <c r="B41" s="3" t="s">
        <v>53</v>
      </c>
      <c r="C41" s="3" t="s">
        <v>52</v>
      </c>
      <c r="D41" s="3">
        <v>-150</v>
      </c>
      <c r="E41" s="3">
        <v>0.10630191470603401</v>
      </c>
      <c r="F41" s="3">
        <v>0.48606572794634401</v>
      </c>
      <c r="G41" s="3">
        <v>0.37976381324031</v>
      </c>
      <c r="H41" s="3">
        <v>4.8518703731215897E-2</v>
      </c>
      <c r="I41" s="3">
        <v>3.6400378404043E-3</v>
      </c>
      <c r="J41" s="3">
        <v>2.3951491853951401E-2</v>
      </c>
      <c r="K41" s="3">
        <v>0.40994890483053198</v>
      </c>
      <c r="L41" s="4">
        <v>6.5896902407043798E-6</v>
      </c>
      <c r="M41" s="3">
        <v>0</v>
      </c>
      <c r="N41" s="3">
        <v>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3.0711547464098599E-2</v>
      </c>
      <c r="V41" s="3">
        <v>-157.29107918362499</v>
      </c>
      <c r="W41" s="3">
        <v>0</v>
      </c>
      <c r="X41" s="3">
        <v>100</v>
      </c>
      <c r="Y41" s="3">
        <v>46.169495840292697</v>
      </c>
      <c r="Z41" s="3">
        <v>187.432384506196</v>
      </c>
      <c r="AA41" s="3">
        <v>54.933473211585301</v>
      </c>
      <c r="AB41" s="3">
        <v>2.63597014105361</v>
      </c>
      <c r="AC41" s="3">
        <v>697.16441928018799</v>
      </c>
      <c r="AD41" s="3">
        <v>42.367090515378301</v>
      </c>
      <c r="AE41" s="3">
        <v>0</v>
      </c>
      <c r="AF41" s="3">
        <v>173.80607377066499</v>
      </c>
      <c r="AG41" s="3">
        <v>111.974054475711</v>
      </c>
      <c r="AH41" s="3">
        <v>22.848964577769902</v>
      </c>
      <c r="AI41" s="3">
        <v>-106.414511523497</v>
      </c>
      <c r="AJ41" s="3">
        <v>1275919.1000000001</v>
      </c>
      <c r="AK41" s="3">
        <v>1.1998820543888699E-3</v>
      </c>
      <c r="AL41" s="3">
        <v>9</v>
      </c>
      <c r="AM41" s="3">
        <f t="shared" si="3"/>
        <v>0.21869864216752286</v>
      </c>
      <c r="AN41" s="4">
        <f t="shared" si="4"/>
        <v>0.48605913825610331</v>
      </c>
      <c r="AO41" s="4">
        <f t="shared" si="5"/>
        <v>0.2187016071489305</v>
      </c>
    </row>
    <row r="42" spans="1:41" x14ac:dyDescent="0.25">
      <c r="A42" s="3">
        <v>41</v>
      </c>
      <c r="B42" s="3" t="s">
        <v>53</v>
      </c>
      <c r="C42" s="3" t="s">
        <v>52</v>
      </c>
      <c r="D42" s="3">
        <v>-125</v>
      </c>
      <c r="E42" s="3">
        <v>2.2942569105467402E-2</v>
      </c>
      <c r="F42" s="3">
        <v>0.380567761258439</v>
      </c>
      <c r="G42" s="3">
        <v>0.35762519215297101</v>
      </c>
      <c r="H42" s="3">
        <v>4.8059787261013703E-2</v>
      </c>
      <c r="I42" s="3">
        <v>5.2303506562394403E-3</v>
      </c>
      <c r="J42" s="3">
        <v>6.12185084359812E-3</v>
      </c>
      <c r="K42" s="3">
        <v>0.32114715925899801</v>
      </c>
      <c r="L42" s="4">
        <v>8.6132385897022404E-6</v>
      </c>
      <c r="M42" s="3">
        <v>0</v>
      </c>
      <c r="N42" s="3">
        <v>4.5775564971171097</v>
      </c>
      <c r="O42" s="3">
        <v>95.422443502882899</v>
      </c>
      <c r="P42" s="3">
        <v>0</v>
      </c>
      <c r="Q42" s="3">
        <v>100</v>
      </c>
      <c r="R42" s="3">
        <v>0</v>
      </c>
      <c r="S42" s="3">
        <v>0</v>
      </c>
      <c r="T42" s="3">
        <v>100</v>
      </c>
      <c r="U42" s="3">
        <v>0.147519876877023</v>
      </c>
      <c r="V42" s="3">
        <v>-132.079817347496</v>
      </c>
      <c r="W42" s="3">
        <v>0</v>
      </c>
      <c r="X42" s="3">
        <v>100</v>
      </c>
      <c r="Y42" s="3">
        <v>49.513322592451402</v>
      </c>
      <c r="Z42" s="3">
        <v>277.30905118956002</v>
      </c>
      <c r="AA42" s="3">
        <v>53.902828033357999</v>
      </c>
      <c r="AB42" s="3">
        <v>2.7671999199967798</v>
      </c>
      <c r="AC42" s="3">
        <v>755.94440408155401</v>
      </c>
      <c r="AD42" s="3">
        <v>7.6128540582050404</v>
      </c>
      <c r="AE42" s="3">
        <v>0</v>
      </c>
      <c r="AF42" s="3">
        <v>171.801190633266</v>
      </c>
      <c r="AG42" s="3">
        <v>111.89195700513901</v>
      </c>
      <c r="AH42" s="3">
        <v>24.663311155591099</v>
      </c>
      <c r="AI42" s="3">
        <v>-87.837316035661601</v>
      </c>
      <c r="AJ42" s="3">
        <v>40965351.299999997</v>
      </c>
      <c r="AK42" s="3">
        <v>1.2113497591977301E-3</v>
      </c>
      <c r="AL42" s="3">
        <v>189</v>
      </c>
      <c r="AM42" s="3">
        <f t="shared" si="3"/>
        <v>6.028510935766674E-2</v>
      </c>
      <c r="AN42" s="4">
        <f t="shared" si="4"/>
        <v>0.3805591480198493</v>
      </c>
      <c r="AO42" s="4">
        <f t="shared" si="5"/>
        <v>6.0286473797420727E-2</v>
      </c>
    </row>
    <row r="43" spans="1:41" x14ac:dyDescent="0.25">
      <c r="A43" s="3">
        <v>42</v>
      </c>
      <c r="B43" s="3" t="s">
        <v>53</v>
      </c>
      <c r="C43" s="3" t="s">
        <v>52</v>
      </c>
      <c r="D43" s="3">
        <v>-100</v>
      </c>
      <c r="E43" s="3">
        <v>0.39363207799358502</v>
      </c>
      <c r="F43" s="3">
        <v>0.39058467702473199</v>
      </c>
      <c r="G43" s="3">
        <v>-3.0474009688529198E-3</v>
      </c>
      <c r="H43" s="3">
        <v>4.80504377686728E-2</v>
      </c>
      <c r="I43" s="3">
        <v>4.73014321078898E-3</v>
      </c>
      <c r="J43" s="3">
        <v>4.3449733727841701E-3</v>
      </c>
      <c r="K43" s="3">
        <v>0.33345084308444101</v>
      </c>
      <c r="L43" s="4">
        <v>8.2795880450385206E-6</v>
      </c>
      <c r="M43" s="3">
        <v>0</v>
      </c>
      <c r="N43" s="3">
        <v>3.9409163775512401</v>
      </c>
      <c r="O43" s="3">
        <v>96.059083622448796</v>
      </c>
      <c r="P43" s="3">
        <v>0</v>
      </c>
      <c r="Q43" s="3">
        <v>100</v>
      </c>
      <c r="R43" s="3">
        <v>0</v>
      </c>
      <c r="S43" s="3">
        <v>0</v>
      </c>
      <c r="T43" s="3">
        <v>100</v>
      </c>
      <c r="U43" s="3">
        <v>0.15562023722110599</v>
      </c>
      <c r="V43" s="3">
        <v>-108.40430881153399</v>
      </c>
      <c r="W43" s="3">
        <v>7.11898491280674E-3</v>
      </c>
      <c r="X43" s="3">
        <v>100</v>
      </c>
      <c r="Y43" s="3">
        <v>46.842320357606603</v>
      </c>
      <c r="Z43" s="3">
        <v>253.80306238024301</v>
      </c>
      <c r="AA43" s="3">
        <v>53.884156935158202</v>
      </c>
      <c r="AB43" s="3">
        <v>2.9301153856902098</v>
      </c>
      <c r="AC43" s="3">
        <v>772.54794980827296</v>
      </c>
      <c r="AD43" s="3">
        <v>4.7980129360844499</v>
      </c>
      <c r="AE43" s="3">
        <v>0</v>
      </c>
      <c r="AF43" s="3">
        <v>171.35651012621801</v>
      </c>
      <c r="AG43" s="3">
        <v>111.877379552167</v>
      </c>
      <c r="AH43" s="3">
        <v>24.888581361622101</v>
      </c>
      <c r="AI43" s="3">
        <v>-67.1240096976166</v>
      </c>
      <c r="AJ43" s="3">
        <v>1154541457.9000001</v>
      </c>
      <c r="AK43" s="3">
        <v>6.2818698224567301E-2</v>
      </c>
      <c r="AL43" s="3">
        <v>1861</v>
      </c>
      <c r="AM43" s="3">
        <f t="shared" si="3"/>
        <v>1.0078021518715647</v>
      </c>
      <c r="AN43" s="4">
        <f t="shared" si="4"/>
        <v>0.39057639743668693</v>
      </c>
      <c r="AO43" s="4">
        <f t="shared" si="5"/>
        <v>1.0078235156475204</v>
      </c>
    </row>
    <row r="44" spans="1:41" x14ac:dyDescent="0.25">
      <c r="A44" s="3">
        <v>43</v>
      </c>
      <c r="B44" s="3" t="s">
        <v>53</v>
      </c>
      <c r="C44" s="3" t="s">
        <v>52</v>
      </c>
      <c r="D44" s="3">
        <v>-75</v>
      </c>
      <c r="E44" s="3">
        <v>0.42443301748515799</v>
      </c>
      <c r="F44" s="3">
        <v>0.41679866704322299</v>
      </c>
      <c r="G44" s="3">
        <v>-7.6343504419345903E-3</v>
      </c>
      <c r="H44" s="3">
        <v>4.7927818313305497E-2</v>
      </c>
      <c r="I44" s="3">
        <v>6.58241345467671E-3</v>
      </c>
      <c r="J44" s="3">
        <v>4.7756793099649102E-3</v>
      </c>
      <c r="K44" s="3">
        <v>0.35721943553287999</v>
      </c>
      <c r="L44" s="3">
        <v>2.9332043239561803E-4</v>
      </c>
      <c r="M44" s="3">
        <v>0</v>
      </c>
      <c r="N44" s="3">
        <v>3.31342271469182</v>
      </c>
      <c r="O44" s="3">
        <v>96.686577285308203</v>
      </c>
      <c r="P44" s="3">
        <v>0</v>
      </c>
      <c r="Q44" s="3">
        <v>100</v>
      </c>
      <c r="R44" s="3">
        <v>0</v>
      </c>
      <c r="S44" s="3">
        <v>0</v>
      </c>
      <c r="T44" s="3">
        <v>100</v>
      </c>
      <c r="U44" s="3">
        <v>0.240166240616421</v>
      </c>
      <c r="V44" s="3">
        <v>-83.217185750109394</v>
      </c>
      <c r="W44" s="3">
        <v>0.38547101571544001</v>
      </c>
      <c r="X44" s="3">
        <v>99.993754086189796</v>
      </c>
      <c r="Y44" s="3">
        <v>44.501658569330303</v>
      </c>
      <c r="Z44" s="3">
        <v>276.39139723390599</v>
      </c>
      <c r="AA44" s="3">
        <v>53.604535309250501</v>
      </c>
      <c r="AB44" s="3">
        <v>3.1789897610325202</v>
      </c>
      <c r="AC44" s="3">
        <v>773.61067629978504</v>
      </c>
      <c r="AD44" s="3">
        <v>3.6490169435100301</v>
      </c>
      <c r="AE44" s="3">
        <v>0</v>
      </c>
      <c r="AF44" s="3">
        <v>171.549941839052</v>
      </c>
      <c r="AG44" s="3">
        <v>111.88542784480801</v>
      </c>
      <c r="AH44" s="3">
        <v>24.9618925319845</v>
      </c>
      <c r="AI44" s="3">
        <v>-43.3484163731124</v>
      </c>
      <c r="AJ44" s="3">
        <v>18588774395.400002</v>
      </c>
      <c r="AK44" s="3">
        <v>6.0676938878026797E-2</v>
      </c>
      <c r="AL44" s="3">
        <v>7021</v>
      </c>
      <c r="AM44" s="3">
        <f t="shared" si="3"/>
        <v>1.0183166383330666</v>
      </c>
      <c r="AN44" s="4">
        <f t="shared" si="4"/>
        <v>0.41650534661082739</v>
      </c>
      <c r="AO44" s="4">
        <f t="shared" si="5"/>
        <v>1.0190337793712358</v>
      </c>
    </row>
    <row r="45" spans="1:41" x14ac:dyDescent="0.25">
      <c r="A45" s="3">
        <v>44</v>
      </c>
      <c r="B45" s="3" t="s">
        <v>53</v>
      </c>
      <c r="C45" s="3" t="s">
        <v>52</v>
      </c>
      <c r="D45" s="3">
        <v>-50</v>
      </c>
      <c r="E45" s="3">
        <v>0.55536708583726901</v>
      </c>
      <c r="F45" s="3">
        <v>0.510344481430139</v>
      </c>
      <c r="G45" s="3">
        <v>-4.5022604407129602E-2</v>
      </c>
      <c r="H45" s="3">
        <v>4.8294438450384398E-2</v>
      </c>
      <c r="I45" s="3">
        <v>7.6229579779669796E-3</v>
      </c>
      <c r="J45" s="3">
        <v>6.1779829294208704E-3</v>
      </c>
      <c r="K45" s="3">
        <v>0.413492019689429</v>
      </c>
      <c r="L45" s="3">
        <v>3.4757082382938197E-2</v>
      </c>
      <c r="M45" s="3">
        <v>0</v>
      </c>
      <c r="N45" s="3">
        <v>3.2420422207497701</v>
      </c>
      <c r="O45" s="3">
        <v>96.757957779250205</v>
      </c>
      <c r="P45" s="3">
        <v>0</v>
      </c>
      <c r="Q45" s="3">
        <v>100</v>
      </c>
      <c r="R45" s="3">
        <v>0</v>
      </c>
      <c r="S45" s="3">
        <v>0</v>
      </c>
      <c r="T45" s="3">
        <v>100</v>
      </c>
      <c r="U45" s="3">
        <v>0.28728081751238999</v>
      </c>
      <c r="V45" s="3">
        <v>-59.932086378650297</v>
      </c>
      <c r="W45" s="3">
        <v>44.194573047270197</v>
      </c>
      <c r="X45" s="3">
        <v>99.997445116415093</v>
      </c>
      <c r="Y45" s="3">
        <v>43.211485931246798</v>
      </c>
      <c r="Z45" s="3">
        <v>279.55540789425498</v>
      </c>
      <c r="AA45" s="3">
        <v>54.4277622033866</v>
      </c>
      <c r="AB45" s="3">
        <v>3.3597909977791098</v>
      </c>
      <c r="AC45" s="3">
        <v>773.33498117808494</v>
      </c>
      <c r="AD45" s="3">
        <v>4.9405453867817899</v>
      </c>
      <c r="AE45" s="3">
        <v>0</v>
      </c>
      <c r="AF45" s="3">
        <v>172.064418334294</v>
      </c>
      <c r="AG45" s="3">
        <v>112.001675065019</v>
      </c>
      <c r="AH45" s="3">
        <v>26.268666028200599</v>
      </c>
      <c r="AI45" s="3">
        <v>-28.8403101330263</v>
      </c>
      <c r="AJ45" s="3">
        <v>142463091385.39999</v>
      </c>
      <c r="AK45" s="3">
        <v>6.5491742461149402E-2</v>
      </c>
      <c r="AL45" s="3">
        <v>22475</v>
      </c>
      <c r="AM45" s="3">
        <f t="shared" si="3"/>
        <v>1.0882200279328251</v>
      </c>
      <c r="AN45" s="4">
        <f t="shared" si="4"/>
        <v>0.47558739904720082</v>
      </c>
      <c r="AO45" s="4">
        <f t="shared" si="5"/>
        <v>1.1677497909950938</v>
      </c>
    </row>
    <row r="46" spans="1:41" x14ac:dyDescent="0.25">
      <c r="A46" s="3">
        <v>45</v>
      </c>
      <c r="B46" s="3" t="s">
        <v>53</v>
      </c>
      <c r="C46" s="3" t="s">
        <v>52</v>
      </c>
      <c r="D46" s="3">
        <v>-25</v>
      </c>
      <c r="E46" s="3">
        <v>0.64529180314483003</v>
      </c>
      <c r="F46" s="3">
        <v>0.65335811396678301</v>
      </c>
      <c r="G46" s="3">
        <v>8.0663108219539408E-3</v>
      </c>
      <c r="H46" s="3">
        <v>4.8815191417708202E-2</v>
      </c>
      <c r="I46" s="3">
        <v>8.3127373731398495E-3</v>
      </c>
      <c r="J46" s="3">
        <v>9.7184069651519694E-3</v>
      </c>
      <c r="K46" s="3">
        <v>0.486684735825412</v>
      </c>
      <c r="L46" s="3">
        <v>9.9827042385371198E-2</v>
      </c>
      <c r="M46" s="3">
        <v>0</v>
      </c>
      <c r="N46" s="3">
        <v>3.4737982475637499</v>
      </c>
      <c r="O46" s="3">
        <v>96.526201752436194</v>
      </c>
      <c r="P46" s="3">
        <v>0</v>
      </c>
      <c r="Q46" s="3">
        <v>100</v>
      </c>
      <c r="R46" s="3">
        <v>0</v>
      </c>
      <c r="S46" s="3">
        <v>0</v>
      </c>
      <c r="T46" s="3">
        <v>100</v>
      </c>
      <c r="U46" s="3">
        <v>0.31390017177488699</v>
      </c>
      <c r="V46" s="3">
        <v>-36.507374013018598</v>
      </c>
      <c r="W46" s="3">
        <v>178.31626423265999</v>
      </c>
      <c r="X46" s="3">
        <v>99.992317069153302</v>
      </c>
      <c r="Y46" s="3">
        <v>42.972899940672903</v>
      </c>
      <c r="Z46" s="3">
        <v>275.835233523483</v>
      </c>
      <c r="AA46" s="3">
        <v>55.611508400290099</v>
      </c>
      <c r="AB46" s="3">
        <v>3.5155779425065599</v>
      </c>
      <c r="AC46" s="3">
        <v>770.55891180725996</v>
      </c>
      <c r="AD46" s="3">
        <v>9.6090961734418592</v>
      </c>
      <c r="AE46" s="3">
        <v>0</v>
      </c>
      <c r="AF46" s="3">
        <v>173.05187905628699</v>
      </c>
      <c r="AG46" s="3">
        <v>112.198378187396</v>
      </c>
      <c r="AH46" s="3">
        <v>29.3599494640562</v>
      </c>
      <c r="AI46" s="3">
        <v>-18.761282644802002</v>
      </c>
      <c r="AJ46" s="3">
        <v>331274624617.90002</v>
      </c>
      <c r="AK46" s="3">
        <v>6.9038655934120299E-2</v>
      </c>
      <c r="AL46" s="3">
        <v>52814</v>
      </c>
      <c r="AM46" s="3">
        <f t="shared" ref="AM46:AM47" si="6">E46/F46</f>
        <v>0.98765407416006612</v>
      </c>
      <c r="AN46" s="4">
        <f t="shared" ref="AN46:AN47" si="7">F46-L46</f>
        <v>0.55353107158141179</v>
      </c>
      <c r="AO46" s="4">
        <f t="shared" ref="AO46:AO47" si="8">E46/(F46-L46)</f>
        <v>1.1657734069042633</v>
      </c>
    </row>
    <row r="47" spans="1:41" x14ac:dyDescent="0.25">
      <c r="A47" s="3">
        <v>46</v>
      </c>
      <c r="B47" s="3" t="s">
        <v>53</v>
      </c>
      <c r="C47" s="3" t="s">
        <v>52</v>
      </c>
      <c r="D47" s="3">
        <v>0</v>
      </c>
      <c r="E47" s="3">
        <v>0.74060038185805299</v>
      </c>
      <c r="F47" s="3">
        <v>0.74865785006079399</v>
      </c>
      <c r="G47" s="3">
        <v>8.0574682027402204E-3</v>
      </c>
      <c r="H47" s="3">
        <v>4.9539129738815899E-2</v>
      </c>
      <c r="I47" s="3">
        <v>1.0777114240780501E-2</v>
      </c>
      <c r="J47" s="3">
        <v>1.51388365377249E-2</v>
      </c>
      <c r="K47" s="3">
        <v>0.52286399729219402</v>
      </c>
      <c r="L47" s="3">
        <v>0.15033877225127801</v>
      </c>
      <c r="M47" s="3">
        <v>0</v>
      </c>
      <c r="N47" s="3">
        <v>3.7582561209382699</v>
      </c>
      <c r="O47" s="3">
        <v>96.241743879061701</v>
      </c>
      <c r="P47" s="3">
        <v>0</v>
      </c>
      <c r="Q47" s="3">
        <v>100</v>
      </c>
      <c r="R47" s="3">
        <v>0</v>
      </c>
      <c r="S47" s="3">
        <v>0</v>
      </c>
      <c r="T47" s="3">
        <v>100</v>
      </c>
      <c r="U47" s="3">
        <v>0.39779973015237702</v>
      </c>
      <c r="V47" s="3">
        <v>-13.8545875482104</v>
      </c>
      <c r="W47" s="3">
        <v>577.33986693506199</v>
      </c>
      <c r="X47" s="3">
        <v>99.981929480306206</v>
      </c>
      <c r="Y47" s="3">
        <v>43.373365194991699</v>
      </c>
      <c r="Z47" s="3">
        <v>247.87721379319299</v>
      </c>
      <c r="AA47" s="3">
        <v>57.285547550353499</v>
      </c>
      <c r="AB47" s="3">
        <v>3.7147137510089698</v>
      </c>
      <c r="AC47" s="3">
        <v>766.90936392140202</v>
      </c>
      <c r="AD47" s="3">
        <v>18.001980744755599</v>
      </c>
      <c r="AE47" s="3">
        <v>0</v>
      </c>
      <c r="AF47" s="3">
        <v>171.92148814834701</v>
      </c>
      <c r="AG47" s="3">
        <v>112.120875637555</v>
      </c>
      <c r="AH47" s="3">
        <v>30.8175413115368</v>
      </c>
      <c r="AI47" s="3">
        <v>-11.1994163446254</v>
      </c>
      <c r="AJ47" s="3">
        <v>360316407047.29999</v>
      </c>
      <c r="AK47" s="3">
        <v>7.1423399678760005E-2</v>
      </c>
      <c r="AL47" s="3">
        <v>90107</v>
      </c>
      <c r="AM47" s="3">
        <f t="shared" si="6"/>
        <v>0.98923744912033351</v>
      </c>
      <c r="AN47" s="4">
        <f t="shared" si="7"/>
        <v>0.59831907780951599</v>
      </c>
      <c r="AO47" s="4">
        <f t="shared" si="8"/>
        <v>1.2378017170527771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M1" workbookViewId="0">
      <selection activeCell="A3" sqref="A3:AK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16.28515625" customWidth="1"/>
    <col min="21" max="21" width="11.7109375" customWidth="1"/>
    <col min="22" max="22" width="12.140625" customWidth="1"/>
    <col min="23" max="23" width="15" customWidth="1"/>
    <col min="24" max="24" width="6.140625" customWidth="1"/>
    <col min="25" max="25" width="13.85546875" customWidth="1"/>
    <col min="26" max="26" width="16.28515625" customWidth="1"/>
    <col min="27" max="27" width="11.7109375" customWidth="1"/>
    <col min="28" max="28" width="12.140625" customWidth="1"/>
    <col min="29" max="29" width="15" customWidth="1"/>
    <col min="30" max="30" width="6.140625" customWidth="1"/>
    <col min="31" max="31" width="13.85546875" customWidth="1"/>
    <col min="32" max="32" width="16.28515625" customWidth="1"/>
    <col min="33" max="33" width="11.7109375" customWidth="1"/>
    <col min="34" max="34" width="12.140625" customWidth="1"/>
    <col min="35" max="35" width="15" customWidth="1"/>
    <col min="36" max="36" width="6.140625" customWidth="1"/>
    <col min="37" max="37" width="13.85546875" customWidth="1"/>
  </cols>
  <sheetData>
    <row r="2" spans="1:37" x14ac:dyDescent="0.25">
      <c r="B2" s="5" t="s">
        <v>35</v>
      </c>
      <c r="F2" s="10"/>
      <c r="K2" s="10"/>
    </row>
    <row r="3" spans="1:37" x14ac:dyDescent="0.25">
      <c r="B3" s="3" t="s">
        <v>49</v>
      </c>
      <c r="T3" s="3" t="s">
        <v>53</v>
      </c>
    </row>
    <row r="4" spans="1:37" x14ac:dyDescent="0.25">
      <c r="B4" s="3" t="s">
        <v>50</v>
      </c>
      <c r="H4" s="3" t="s">
        <v>51</v>
      </c>
      <c r="N4" s="3" t="s">
        <v>52</v>
      </c>
      <c r="T4" s="3" t="s">
        <v>50</v>
      </c>
      <c r="Z4" s="3" t="s">
        <v>51</v>
      </c>
      <c r="AF4" s="3" t="s">
        <v>52</v>
      </c>
    </row>
    <row r="5" spans="1:37" x14ac:dyDescent="0.25">
      <c r="A5" s="5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  <c r="Z5" s="3" t="s">
        <v>37</v>
      </c>
      <c r="AA5" s="3" t="s">
        <v>38</v>
      </c>
      <c r="AB5" s="3" t="s">
        <v>39</v>
      </c>
      <c r="AC5" s="3" t="s">
        <v>40</v>
      </c>
      <c r="AD5" s="3" t="s">
        <v>41</v>
      </c>
      <c r="AE5" s="3" t="s">
        <v>42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</row>
    <row r="6" spans="1:37" x14ac:dyDescent="0.25">
      <c r="A6" s="6">
        <v>-175</v>
      </c>
      <c r="B6" s="7"/>
      <c r="C6" s="11"/>
      <c r="D6" s="11"/>
      <c r="E6" s="11"/>
      <c r="F6" s="11"/>
      <c r="G6" s="11"/>
      <c r="H6" s="7"/>
      <c r="I6" s="11"/>
      <c r="J6" s="11"/>
      <c r="K6" s="11"/>
      <c r="L6" s="11"/>
      <c r="M6" s="11"/>
      <c r="N6" s="7">
        <v>3732890.4</v>
      </c>
      <c r="O6" s="11">
        <v>9.8434499978890293E-5</v>
      </c>
      <c r="P6" s="11">
        <v>0.42503270527223902</v>
      </c>
      <c r="Q6" s="11">
        <v>0.42502734151741517</v>
      </c>
      <c r="R6" s="11">
        <v>2.3159276629275318E-4</v>
      </c>
      <c r="S6" s="11">
        <v>2.3159568894430058E-4</v>
      </c>
      <c r="T6" s="7">
        <v>1585574.4</v>
      </c>
      <c r="U6" s="11">
        <v>2.3397505093422301E-3</v>
      </c>
      <c r="V6" s="11">
        <v>0.531566790326648</v>
      </c>
      <c r="W6" s="11">
        <v>0.53156011248661406</v>
      </c>
      <c r="X6" s="11">
        <v>4.4016115226168523E-3</v>
      </c>
      <c r="Y6" s="11">
        <v>4.4016668188231493E-3</v>
      </c>
      <c r="Z6" s="7"/>
      <c r="AA6" s="11"/>
      <c r="AB6" s="11"/>
      <c r="AC6" s="11"/>
      <c r="AD6" s="11"/>
      <c r="AE6" s="11"/>
      <c r="AF6" s="7"/>
      <c r="AG6" s="11"/>
      <c r="AH6" s="11"/>
      <c r="AI6" s="11"/>
      <c r="AJ6" s="11"/>
      <c r="AK6" s="11"/>
    </row>
    <row r="7" spans="1:37" x14ac:dyDescent="0.25">
      <c r="A7" s="6">
        <v>-150</v>
      </c>
      <c r="B7" s="7">
        <v>5542927.2999999998</v>
      </c>
      <c r="C7" s="11">
        <v>0.46452557187246502</v>
      </c>
      <c r="D7" s="11">
        <v>0.50829246243557302</v>
      </c>
      <c r="E7" s="11">
        <v>0.50828500864229476</v>
      </c>
      <c r="F7" s="11">
        <v>0.91389427583995397</v>
      </c>
      <c r="G7" s="11">
        <v>0.9139076777284505</v>
      </c>
      <c r="H7" s="7">
        <v>4293342.3</v>
      </c>
      <c r="I7" s="11">
        <v>2.8146846758526599E-3</v>
      </c>
      <c r="J7" s="11">
        <v>0.45592051698120001</v>
      </c>
      <c r="K7" s="11">
        <v>0.45591336237742097</v>
      </c>
      <c r="L7" s="11">
        <v>6.1736302074967249E-3</v>
      </c>
      <c r="M7" s="11">
        <v>6.1737270896714052E-3</v>
      </c>
      <c r="N7" s="7">
        <v>11796095</v>
      </c>
      <c r="O7" s="11">
        <v>3.81227038269868E-4</v>
      </c>
      <c r="P7" s="11">
        <v>0.44862586079926597</v>
      </c>
      <c r="Q7" s="11">
        <v>0.44861995586196551</v>
      </c>
      <c r="R7" s="11">
        <v>8.4976607810944931E-4</v>
      </c>
      <c r="S7" s="11">
        <v>8.4977726311213529E-4</v>
      </c>
      <c r="T7" s="7">
        <v>13640199.6</v>
      </c>
      <c r="U7" s="11">
        <v>3.2679535150724601</v>
      </c>
      <c r="V7" s="11">
        <v>0.52856263082876997</v>
      </c>
      <c r="W7" s="11">
        <v>0.52855608373293417</v>
      </c>
      <c r="X7" s="11">
        <v>6.1827176657351073</v>
      </c>
      <c r="Y7" s="11">
        <v>6.1827942495572019</v>
      </c>
      <c r="Z7" s="7">
        <v>1415768.3</v>
      </c>
      <c r="AA7" s="11">
        <v>1.9117344271657999E-5</v>
      </c>
      <c r="AB7" s="11">
        <v>0.35189571937564701</v>
      </c>
      <c r="AC7" s="11">
        <v>0.35188756533455728</v>
      </c>
      <c r="AD7" s="11">
        <v>5.4326731525967569E-5</v>
      </c>
      <c r="AE7" s="11">
        <v>5.4327990400803663E-5</v>
      </c>
      <c r="AF7" s="7">
        <v>1275919.1000000001</v>
      </c>
      <c r="AG7" s="11">
        <v>0.10630191470603401</v>
      </c>
      <c r="AH7" s="11">
        <v>0.48606572794634401</v>
      </c>
      <c r="AI7" s="11">
        <v>0.48605913825610331</v>
      </c>
      <c r="AJ7" s="11">
        <v>0.21869864216752286</v>
      </c>
      <c r="AK7" s="11">
        <v>0.2187016071489305</v>
      </c>
    </row>
    <row r="8" spans="1:37" x14ac:dyDescent="0.25">
      <c r="A8" s="6">
        <v>-125</v>
      </c>
      <c r="B8" s="7">
        <v>117493419.90000001</v>
      </c>
      <c r="C8" s="11">
        <v>8.7053054866181506E-2</v>
      </c>
      <c r="D8" s="11">
        <v>0.52836456235350604</v>
      </c>
      <c r="E8" s="11">
        <v>0.52835654335903914</v>
      </c>
      <c r="F8" s="11">
        <v>0.16475945032804462</v>
      </c>
      <c r="G8" s="11">
        <v>0.16476195092189011</v>
      </c>
      <c r="H8" s="7">
        <v>83797281.700000003</v>
      </c>
      <c r="I8" s="11">
        <v>0.67772526817883605</v>
      </c>
      <c r="J8" s="11">
        <v>0.46320627631617201</v>
      </c>
      <c r="K8" s="11">
        <v>0.46319773580940155</v>
      </c>
      <c r="L8" s="11">
        <v>1.4631176277849898</v>
      </c>
      <c r="M8" s="11">
        <v>1.4631446049591856</v>
      </c>
      <c r="N8" s="7">
        <v>192650273.59999999</v>
      </c>
      <c r="O8" s="11">
        <v>0.38801472388171099</v>
      </c>
      <c r="P8" s="11">
        <v>0.463140471455874</v>
      </c>
      <c r="Q8" s="11">
        <v>0.46313256356159777</v>
      </c>
      <c r="R8" s="11">
        <v>0.83779057930738265</v>
      </c>
      <c r="S8" s="11">
        <v>0.83780488441103551</v>
      </c>
      <c r="T8" s="7">
        <v>68210555.200000003</v>
      </c>
      <c r="U8" s="11">
        <v>0.78358727348095203</v>
      </c>
      <c r="V8" s="11">
        <v>0.48788693022031399</v>
      </c>
      <c r="W8" s="11">
        <v>0.48787972698426091</v>
      </c>
      <c r="X8" s="11">
        <v>1.6060837561832397</v>
      </c>
      <c r="Y8" s="11">
        <v>1.6061074689955925</v>
      </c>
      <c r="Z8" s="7">
        <v>21186605</v>
      </c>
      <c r="AA8" s="11">
        <v>1.50773464210052E-2</v>
      </c>
      <c r="AB8" s="11">
        <v>0.42124972708923902</v>
      </c>
      <c r="AC8" s="11">
        <v>0.42124178415705127</v>
      </c>
      <c r="AD8" s="11">
        <v>3.5791943475398769E-2</v>
      </c>
      <c r="AE8" s="11">
        <v>3.5792618368039014E-2</v>
      </c>
      <c r="AF8" s="7">
        <v>40965351.299999997</v>
      </c>
      <c r="AG8" s="11">
        <v>2.2942569105467402E-2</v>
      </c>
      <c r="AH8" s="11">
        <v>0.380567761258439</v>
      </c>
      <c r="AI8" s="11">
        <v>0.3805591480198493</v>
      </c>
      <c r="AJ8" s="11">
        <v>6.028510935766674E-2</v>
      </c>
      <c r="AK8" s="11">
        <v>6.0286473797420727E-2</v>
      </c>
    </row>
    <row r="9" spans="1:37" x14ac:dyDescent="0.25">
      <c r="A9" s="6">
        <v>-100</v>
      </c>
      <c r="B9" s="7">
        <v>1269179907.4000001</v>
      </c>
      <c r="C9" s="11">
        <v>0.59963030647723403</v>
      </c>
      <c r="D9" s="11">
        <v>0.57481511399557395</v>
      </c>
      <c r="E9" s="11">
        <v>0.57480711303606125</v>
      </c>
      <c r="F9" s="11">
        <v>1.0431707376466985</v>
      </c>
      <c r="G9" s="11">
        <v>1.0431852579381973</v>
      </c>
      <c r="H9" s="7">
        <v>724575728.89999998</v>
      </c>
      <c r="I9" s="11">
        <v>0.556359068290329</v>
      </c>
      <c r="J9" s="11">
        <v>0.498069019058622</v>
      </c>
      <c r="K9" s="11">
        <v>0.49806043424188962</v>
      </c>
      <c r="L9" s="11">
        <v>1.1170320718640128</v>
      </c>
      <c r="M9" s="11">
        <v>1.1170513255829631</v>
      </c>
      <c r="N9" s="7">
        <v>2065315143.5999999</v>
      </c>
      <c r="O9" s="11">
        <v>0.56656992357725999</v>
      </c>
      <c r="P9" s="11">
        <v>0.49664352190831201</v>
      </c>
      <c r="Q9" s="11">
        <v>0.49663550637600867</v>
      </c>
      <c r="R9" s="11">
        <v>1.1407979739678502</v>
      </c>
      <c r="S9" s="11">
        <v>1.1408163860686658</v>
      </c>
      <c r="T9" s="7">
        <v>538796299.79999995</v>
      </c>
      <c r="U9" s="11">
        <v>0.29166655183052198</v>
      </c>
      <c r="V9" s="11">
        <v>0.46176775917885199</v>
      </c>
      <c r="W9" s="11">
        <v>0.4617594531671263</v>
      </c>
      <c r="X9" s="11">
        <v>0.63163039435491131</v>
      </c>
      <c r="Y9" s="11">
        <v>0.63164175596196848</v>
      </c>
      <c r="Z9" s="7">
        <v>470242753.19999999</v>
      </c>
      <c r="AA9" s="11">
        <v>0.421962711436698</v>
      </c>
      <c r="AB9" s="11">
        <v>0.41150395026528802</v>
      </c>
      <c r="AC9" s="11">
        <v>0.4114960053978664</v>
      </c>
      <c r="AD9" s="11">
        <v>1.0254159435521031</v>
      </c>
      <c r="AE9" s="11">
        <v>1.0254357415419175</v>
      </c>
      <c r="AF9" s="7">
        <v>1154541457.9000001</v>
      </c>
      <c r="AG9" s="11">
        <v>0.39363207799358502</v>
      </c>
      <c r="AH9" s="11">
        <v>0.39058467702473199</v>
      </c>
      <c r="AI9" s="11">
        <v>0.39057639743668693</v>
      </c>
      <c r="AJ9" s="11">
        <v>1.0078021518715647</v>
      </c>
      <c r="AK9" s="11">
        <v>1.0078235156475204</v>
      </c>
    </row>
    <row r="10" spans="1:37" x14ac:dyDescent="0.25">
      <c r="A10" s="8">
        <v>-75</v>
      </c>
      <c r="B10" s="9">
        <v>5754777261.1000004</v>
      </c>
      <c r="C10" s="12">
        <v>0.71654966106069296</v>
      </c>
      <c r="D10" s="12">
        <v>0.64331185441165695</v>
      </c>
      <c r="E10" s="12">
        <v>0.64308622504293611</v>
      </c>
      <c r="F10" s="12">
        <v>1.1138449511644952</v>
      </c>
      <c r="G10" s="12">
        <v>1.1142357481111527</v>
      </c>
      <c r="H10" s="9">
        <v>2892419380.5999999</v>
      </c>
      <c r="I10" s="12">
        <v>0.59178327908432504</v>
      </c>
      <c r="J10" s="12">
        <v>0.552242476930075</v>
      </c>
      <c r="K10" s="12">
        <v>0.55198206485368084</v>
      </c>
      <c r="L10" s="12">
        <v>1.0716004360513121</v>
      </c>
      <c r="M10" s="12">
        <v>1.0721059917792704</v>
      </c>
      <c r="N10" s="9">
        <v>8789142515.5</v>
      </c>
      <c r="O10" s="12">
        <v>0.61785282363335703</v>
      </c>
      <c r="P10" s="12">
        <v>0.54866088741768404</v>
      </c>
      <c r="Q10" s="12">
        <v>0.54846047315617952</v>
      </c>
      <c r="R10" s="12">
        <v>1.1261105681167294</v>
      </c>
      <c r="S10" s="12">
        <v>1.1265220628896941</v>
      </c>
      <c r="T10" s="9">
        <v>9715911023.2999992</v>
      </c>
      <c r="U10" s="12">
        <v>0.55787054836595196</v>
      </c>
      <c r="V10" s="12">
        <v>0.48416625870248498</v>
      </c>
      <c r="W10" s="12">
        <v>0.48388663208008653</v>
      </c>
      <c r="X10" s="12">
        <v>1.1522292979708804</v>
      </c>
      <c r="Y10" s="12">
        <v>1.152895143988232</v>
      </c>
      <c r="Z10" s="9">
        <v>6175875933.3999996</v>
      </c>
      <c r="AA10" s="12">
        <v>0.39346014554108499</v>
      </c>
      <c r="AB10" s="12">
        <v>0.436188235644068</v>
      </c>
      <c r="AC10" s="12">
        <v>0.43592516404857656</v>
      </c>
      <c r="AD10" s="12">
        <v>0.90204208501888761</v>
      </c>
      <c r="AE10" s="12">
        <v>0.90258644829514922</v>
      </c>
      <c r="AF10" s="9">
        <v>18588774395.400002</v>
      </c>
      <c r="AG10" s="12">
        <v>0.42443301748515799</v>
      </c>
      <c r="AH10" s="12">
        <v>0.41679866704322299</v>
      </c>
      <c r="AI10" s="12">
        <v>0.41650534661082739</v>
      </c>
      <c r="AJ10" s="12">
        <v>1.0183166383330666</v>
      </c>
      <c r="AK10" s="12">
        <v>1.0190337793712358</v>
      </c>
    </row>
    <row r="11" spans="1:37" x14ac:dyDescent="0.25">
      <c r="A11" s="6">
        <v>-50</v>
      </c>
      <c r="B11" s="7">
        <v>12238452704.299999</v>
      </c>
      <c r="C11" s="11">
        <v>0.77845399824064998</v>
      </c>
      <c r="D11" s="11">
        <v>0.76217540078534496</v>
      </c>
      <c r="E11" s="11">
        <v>0.74190513539797576</v>
      </c>
      <c r="F11" s="11">
        <v>1.0213580724837505</v>
      </c>
      <c r="G11" s="11">
        <v>1.0492635258860534</v>
      </c>
      <c r="H11" s="7">
        <v>6210124699</v>
      </c>
      <c r="I11" s="11">
        <v>0.64098793164600498</v>
      </c>
      <c r="J11" s="11">
        <v>0.656855290168326</v>
      </c>
      <c r="K11" s="11">
        <v>0.63203134837393238</v>
      </c>
      <c r="L11" s="11">
        <v>0.97584344868676498</v>
      </c>
      <c r="M11" s="11">
        <v>1.0141711060616152</v>
      </c>
      <c r="N11" s="7">
        <v>18413273613.799999</v>
      </c>
      <c r="O11" s="11">
        <v>0.65149483555855803</v>
      </c>
      <c r="P11" s="11">
        <v>0.65202258945540004</v>
      </c>
      <c r="Q11" s="11">
        <v>0.62774012028134996</v>
      </c>
      <c r="R11" s="11">
        <v>0.99919058955107243</v>
      </c>
      <c r="S11" s="11">
        <v>1.0378416394137135</v>
      </c>
      <c r="T11" s="7">
        <v>71189165399.800003</v>
      </c>
      <c r="U11" s="11">
        <v>0.63902120538831797</v>
      </c>
      <c r="V11" s="11">
        <v>0.59099968269650704</v>
      </c>
      <c r="W11" s="11">
        <v>0.55862136943552654</v>
      </c>
      <c r="X11" s="11">
        <v>1.0812547351509683</v>
      </c>
      <c r="Y11" s="11">
        <v>1.1439254571196114</v>
      </c>
      <c r="Z11" s="7">
        <v>47864400520.900002</v>
      </c>
      <c r="AA11" s="11">
        <v>0.55273435722961195</v>
      </c>
      <c r="AB11" s="11">
        <v>0.52676082740362395</v>
      </c>
      <c r="AC11" s="11">
        <v>0.49481690151219537</v>
      </c>
      <c r="AD11" s="11">
        <v>1.0493080131907495</v>
      </c>
      <c r="AE11" s="11">
        <v>1.1170482567196407</v>
      </c>
      <c r="AF11" s="7">
        <v>142463091385.39999</v>
      </c>
      <c r="AG11" s="11">
        <v>0.55536708583726901</v>
      </c>
      <c r="AH11" s="11">
        <v>0.510344481430139</v>
      </c>
      <c r="AI11" s="11">
        <v>0.47558739904720082</v>
      </c>
      <c r="AJ11" s="11">
        <v>1.0882200279328251</v>
      </c>
      <c r="AK11" s="11">
        <v>1.1677497909950938</v>
      </c>
    </row>
    <row r="12" spans="1:37" x14ac:dyDescent="0.25">
      <c r="A12" s="6">
        <v>-25</v>
      </c>
      <c r="B12" s="7">
        <v>14834246119.5</v>
      </c>
      <c r="C12" s="11">
        <v>0.94663255770666799</v>
      </c>
      <c r="D12" s="11">
        <v>0.924951556464779</v>
      </c>
      <c r="E12" s="11">
        <v>0.85430020169443421</v>
      </c>
      <c r="F12" s="11">
        <v>1.0234401478546131</v>
      </c>
      <c r="G12" s="11">
        <v>1.1080795203244715</v>
      </c>
      <c r="H12" s="7">
        <v>8398744936.3000002</v>
      </c>
      <c r="I12" s="11">
        <v>0.67223900051767804</v>
      </c>
      <c r="J12" s="11">
        <v>0.80850639345226805</v>
      </c>
      <c r="K12" s="11">
        <v>0.72481106470431922</v>
      </c>
      <c r="L12" s="11">
        <v>0.83145786596351157</v>
      </c>
      <c r="M12" s="11">
        <v>0.92746790612518104</v>
      </c>
      <c r="N12" s="7">
        <v>23218044063.099998</v>
      </c>
      <c r="O12" s="11">
        <v>0.81044904927331096</v>
      </c>
      <c r="P12" s="11">
        <v>0.80330301257107195</v>
      </c>
      <c r="Q12" s="11">
        <v>0.72491407666253971</v>
      </c>
      <c r="R12" s="11">
        <v>1.0088958171330233</v>
      </c>
      <c r="S12" s="11">
        <v>1.1179932565312694</v>
      </c>
      <c r="T12" s="7">
        <v>171205312138.20001</v>
      </c>
      <c r="U12" s="11">
        <v>0.76348018041474297</v>
      </c>
      <c r="V12" s="11">
        <v>0.73900088931055197</v>
      </c>
      <c r="W12" s="11">
        <v>0.64203814170732032</v>
      </c>
      <c r="X12" s="11">
        <v>1.0331248466115228</v>
      </c>
      <c r="Y12" s="11">
        <v>1.1891508164678217</v>
      </c>
      <c r="Z12" s="7">
        <v>118410719110.89999</v>
      </c>
      <c r="AA12" s="11">
        <v>0.65722973467372003</v>
      </c>
      <c r="AB12" s="11">
        <v>0.66867137287614598</v>
      </c>
      <c r="AC12" s="11">
        <v>0.57278165634225808</v>
      </c>
      <c r="AD12" s="11">
        <v>0.982888996498815</v>
      </c>
      <c r="AE12" s="11">
        <v>1.14743502588882</v>
      </c>
      <c r="AF12" s="7">
        <v>331274624617.90002</v>
      </c>
      <c r="AG12" s="11">
        <v>0.64529180314483003</v>
      </c>
      <c r="AH12" s="11">
        <v>0.65335811396678301</v>
      </c>
      <c r="AI12" s="11">
        <v>0.55353107158141179</v>
      </c>
      <c r="AJ12" s="11">
        <v>0.98765407416006612</v>
      </c>
      <c r="AK12" s="11">
        <v>1.1657734069042633</v>
      </c>
    </row>
    <row r="13" spans="1:37" x14ac:dyDescent="0.25">
      <c r="A13" s="6">
        <v>0</v>
      </c>
      <c r="B13" s="7">
        <v>14903289834.9</v>
      </c>
      <c r="C13" s="11">
        <v>0.92710979919403502</v>
      </c>
      <c r="D13" s="11">
        <v>1.0196889585347699</v>
      </c>
      <c r="E13" s="11">
        <v>0.89900404803869394</v>
      </c>
      <c r="F13" s="11">
        <v>0.90920843207543856</v>
      </c>
      <c r="G13" s="11">
        <v>1.0312632086770441</v>
      </c>
      <c r="H13" s="7">
        <v>8558932494.3000002</v>
      </c>
      <c r="I13" s="11">
        <v>0.95810327798926997</v>
      </c>
      <c r="J13" s="11">
        <v>0.90558871590204504</v>
      </c>
      <c r="K13" s="11">
        <v>0.76748885533630407</v>
      </c>
      <c r="L13" s="11">
        <v>1.0579894174530609</v>
      </c>
      <c r="M13" s="11">
        <v>1.2483611603316911</v>
      </c>
      <c r="N13" s="7">
        <v>23127059566.200001</v>
      </c>
      <c r="O13" s="11">
        <v>0.94758235864240004</v>
      </c>
      <c r="P13" s="11">
        <v>0.90551961102242595</v>
      </c>
      <c r="Q13" s="11">
        <v>0.78249300218531992</v>
      </c>
      <c r="R13" s="11">
        <v>1.0464515037642099</v>
      </c>
      <c r="S13" s="11">
        <v>1.2109787001238659</v>
      </c>
      <c r="T13" s="7">
        <v>174526082208.60001</v>
      </c>
      <c r="U13" s="11">
        <v>0.84270109648556601</v>
      </c>
      <c r="V13" s="11">
        <v>0.83335146550504102</v>
      </c>
      <c r="W13" s="11">
        <v>0.68116521906192107</v>
      </c>
      <c r="X13" s="11">
        <v>1.0112193130600169</v>
      </c>
      <c r="Y13" s="11">
        <v>1.2371463969433245</v>
      </c>
      <c r="Z13" s="7">
        <v>139893814347</v>
      </c>
      <c r="AA13" s="11">
        <v>0.76780464791514402</v>
      </c>
      <c r="AB13" s="11">
        <v>0.76266383092171597</v>
      </c>
      <c r="AC13" s="11">
        <v>0.61105554359867398</v>
      </c>
      <c r="AD13" s="11">
        <v>1.0067406067850564</v>
      </c>
      <c r="AE13" s="11">
        <v>1.2565218595241465</v>
      </c>
      <c r="AF13" s="7">
        <v>360316407047.29999</v>
      </c>
      <c r="AG13" s="11">
        <v>0.74060038185805299</v>
      </c>
      <c r="AH13" s="11">
        <v>0.74865785006079399</v>
      </c>
      <c r="AI13" s="11">
        <v>0.59831907780951599</v>
      </c>
      <c r="AJ13" s="11">
        <v>0.98923744912033351</v>
      </c>
      <c r="AK13" s="11">
        <v>1.2378017170527771</v>
      </c>
    </row>
    <row r="14" spans="1:3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5"/>
  <sheetViews>
    <sheetView tabSelected="1" topLeftCell="A7" workbookViewId="0">
      <selection activeCell="H24" sqref="H24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1"/>
      <c r="B1" s="1" t="s">
        <v>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53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 t="s">
        <v>50</v>
      </c>
      <c r="C2" s="1"/>
      <c r="D2" s="1"/>
      <c r="E2" s="1"/>
      <c r="F2" s="1"/>
      <c r="G2" s="1"/>
      <c r="H2" s="1" t="s">
        <v>51</v>
      </c>
      <c r="I2" s="1"/>
      <c r="J2" s="1"/>
      <c r="K2" s="1"/>
      <c r="L2" s="1"/>
      <c r="M2" s="1"/>
      <c r="N2" s="1" t="s">
        <v>52</v>
      </c>
      <c r="O2" s="1"/>
      <c r="P2" s="1"/>
      <c r="Q2" s="1"/>
      <c r="R2" s="1"/>
      <c r="S2" s="1"/>
      <c r="T2" s="1" t="s">
        <v>50</v>
      </c>
      <c r="U2" s="1"/>
      <c r="V2" s="1"/>
      <c r="W2" s="1"/>
      <c r="X2" s="1"/>
      <c r="Y2" s="1"/>
      <c r="Z2" s="1" t="s">
        <v>51</v>
      </c>
      <c r="AA2" s="1"/>
      <c r="AB2" s="1"/>
      <c r="AC2" s="1"/>
      <c r="AD2" s="1"/>
      <c r="AE2" s="1"/>
      <c r="AF2" s="1" t="s">
        <v>52</v>
      </c>
      <c r="AG2" s="1"/>
      <c r="AH2" s="1"/>
      <c r="AI2" s="1"/>
      <c r="AJ2" s="1"/>
      <c r="AK2" s="1"/>
    </row>
    <row r="3" spans="1:37" x14ac:dyDescent="0.25">
      <c r="A3" s="14" t="s">
        <v>36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37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37</v>
      </c>
      <c r="O3" s="14" t="s">
        <v>38</v>
      </c>
      <c r="P3" s="14" t="s">
        <v>39</v>
      </c>
      <c r="Q3" s="14" t="s">
        <v>40</v>
      </c>
      <c r="R3" s="14" t="s">
        <v>41</v>
      </c>
      <c r="S3" s="14" t="s">
        <v>42</v>
      </c>
      <c r="T3" s="14" t="s">
        <v>37</v>
      </c>
      <c r="U3" s="14" t="s">
        <v>38</v>
      </c>
      <c r="V3" s="14" t="s">
        <v>39</v>
      </c>
      <c r="W3" s="14" t="s">
        <v>40</v>
      </c>
      <c r="X3" s="14" t="s">
        <v>41</v>
      </c>
      <c r="Y3" s="14" t="s">
        <v>42</v>
      </c>
      <c r="Z3" s="14" t="s">
        <v>37</v>
      </c>
      <c r="AA3" s="14" t="s">
        <v>38</v>
      </c>
      <c r="AB3" s="14" t="s">
        <v>39</v>
      </c>
      <c r="AC3" s="14" t="s">
        <v>40</v>
      </c>
      <c r="AD3" s="14" t="s">
        <v>41</v>
      </c>
      <c r="AE3" s="14" t="s">
        <v>42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</row>
    <row r="4" spans="1:37" x14ac:dyDescent="0.25">
      <c r="A4" s="6">
        <v>-175</v>
      </c>
      <c r="B4" s="7"/>
      <c r="C4" s="11"/>
      <c r="D4" s="11"/>
      <c r="E4" s="11"/>
      <c r="F4" s="11"/>
      <c r="G4" s="11"/>
      <c r="H4" s="7"/>
      <c r="I4" s="11"/>
      <c r="J4" s="11"/>
      <c r="K4" s="11"/>
      <c r="L4" s="11"/>
      <c r="M4" s="11"/>
      <c r="N4" s="7">
        <v>3732890.4</v>
      </c>
      <c r="O4" s="11">
        <v>9.8434499978890293E-5</v>
      </c>
      <c r="P4" s="11">
        <v>0.42503270527223902</v>
      </c>
      <c r="Q4" s="11">
        <v>0.42502734151741517</v>
      </c>
      <c r="R4" s="11">
        <v>2.3159276629275318E-4</v>
      </c>
      <c r="S4" s="11">
        <v>2.3159568894430058E-4</v>
      </c>
      <c r="T4" s="7">
        <v>1585574.4</v>
      </c>
      <c r="U4" s="11">
        <v>2.3397505093422301E-3</v>
      </c>
      <c r="V4" s="11">
        <v>0.531566790326648</v>
      </c>
      <c r="W4" s="11">
        <v>0.53156011248661406</v>
      </c>
      <c r="X4" s="11">
        <v>4.4016115226168523E-3</v>
      </c>
      <c r="Y4" s="11">
        <v>4.4016668188231493E-3</v>
      </c>
      <c r="Z4" s="7"/>
      <c r="AA4" s="11"/>
      <c r="AB4" s="11"/>
      <c r="AC4" s="11"/>
      <c r="AD4" s="11"/>
      <c r="AE4" s="11"/>
      <c r="AF4" s="7"/>
      <c r="AG4" s="11"/>
      <c r="AH4" s="11"/>
      <c r="AI4" s="11"/>
      <c r="AJ4" s="11"/>
      <c r="AK4" s="11"/>
    </row>
    <row r="5" spans="1:37" x14ac:dyDescent="0.25">
      <c r="A5" s="6">
        <v>-150</v>
      </c>
      <c r="B5" s="7">
        <v>5542927.2999999998</v>
      </c>
      <c r="C5" s="11">
        <v>0.46452557187246502</v>
      </c>
      <c r="D5" s="11">
        <v>0.50829246243557302</v>
      </c>
      <c r="E5" s="11">
        <v>0.50828500864229476</v>
      </c>
      <c r="F5" s="11">
        <v>0.91389427583995397</v>
      </c>
      <c r="G5" s="11">
        <v>0.9139076777284505</v>
      </c>
      <c r="H5" s="7">
        <v>4293342.3</v>
      </c>
      <c r="I5" s="11">
        <v>2.8146846758526599E-3</v>
      </c>
      <c r="J5" s="11">
        <v>0.45592051698120001</v>
      </c>
      <c r="K5" s="11">
        <v>0.45591336237742097</v>
      </c>
      <c r="L5" s="11">
        <v>6.1736302074967249E-3</v>
      </c>
      <c r="M5" s="11">
        <v>6.1737270896714052E-3</v>
      </c>
      <c r="N5" s="7">
        <v>11796095</v>
      </c>
      <c r="O5" s="11">
        <v>3.81227038269868E-4</v>
      </c>
      <c r="P5" s="11">
        <v>0.44862586079926597</v>
      </c>
      <c r="Q5" s="11">
        <v>0.44861995586196551</v>
      </c>
      <c r="R5" s="11">
        <v>8.4976607810944931E-4</v>
      </c>
      <c r="S5" s="11">
        <v>8.4977726311213529E-4</v>
      </c>
      <c r="T5" s="7">
        <v>13640199.6</v>
      </c>
      <c r="U5" s="11">
        <v>3.2679535150724601</v>
      </c>
      <c r="V5" s="11">
        <v>0.52856263082876997</v>
      </c>
      <c r="W5" s="11">
        <v>0.52855608373293417</v>
      </c>
      <c r="X5" s="11">
        <v>6.1827176657351073</v>
      </c>
      <c r="Y5" s="11">
        <v>6.1827942495572019</v>
      </c>
      <c r="Z5" s="7">
        <v>1415768.3</v>
      </c>
      <c r="AA5" s="11">
        <v>1.9117344271657999E-5</v>
      </c>
      <c r="AB5" s="11">
        <v>0.35189571937564701</v>
      </c>
      <c r="AC5" s="11">
        <v>0.35188756533455728</v>
      </c>
      <c r="AD5" s="11">
        <v>5.4326731525967569E-5</v>
      </c>
      <c r="AE5" s="11">
        <v>5.4327990400803663E-5</v>
      </c>
      <c r="AF5" s="7">
        <v>1275919.1000000001</v>
      </c>
      <c r="AG5" s="11">
        <v>0.10630191470603401</v>
      </c>
      <c r="AH5" s="11">
        <v>0.48606572794634401</v>
      </c>
      <c r="AI5" s="11">
        <v>0.48605913825610331</v>
      </c>
      <c r="AJ5" s="11">
        <v>0.21869864216752286</v>
      </c>
      <c r="AK5" s="11">
        <v>0.2187016071489305</v>
      </c>
    </row>
    <row r="6" spans="1:37" x14ac:dyDescent="0.25">
      <c r="A6" s="6">
        <v>-125</v>
      </c>
      <c r="B6" s="7">
        <v>117493419.90000001</v>
      </c>
      <c r="C6" s="11">
        <v>8.7053054866181506E-2</v>
      </c>
      <c r="D6" s="11">
        <v>0.52836456235350604</v>
      </c>
      <c r="E6" s="11">
        <v>0.52835654335903914</v>
      </c>
      <c r="F6" s="11">
        <v>0.16475945032804462</v>
      </c>
      <c r="G6" s="11">
        <v>0.16476195092189011</v>
      </c>
      <c r="H6" s="7">
        <v>83797281.700000003</v>
      </c>
      <c r="I6" s="11">
        <v>0.67772526817883605</v>
      </c>
      <c r="J6" s="11">
        <v>0.46320627631617201</v>
      </c>
      <c r="K6" s="11">
        <v>0.46319773580940155</v>
      </c>
      <c r="L6" s="11">
        <v>1.4631176277849898</v>
      </c>
      <c r="M6" s="11">
        <v>1.4631446049591856</v>
      </c>
      <c r="N6" s="7">
        <v>192650273.59999999</v>
      </c>
      <c r="O6" s="11">
        <v>0.38801472388171099</v>
      </c>
      <c r="P6" s="11">
        <v>0.463140471455874</v>
      </c>
      <c r="Q6" s="11">
        <v>0.46313256356159777</v>
      </c>
      <c r="R6" s="11">
        <v>0.83779057930738265</v>
      </c>
      <c r="S6" s="11">
        <v>0.83780488441103551</v>
      </c>
      <c r="T6" s="7">
        <v>68210555.200000003</v>
      </c>
      <c r="U6" s="11">
        <v>0.78358727348095203</v>
      </c>
      <c r="V6" s="11">
        <v>0.48788693022031399</v>
      </c>
      <c r="W6" s="11">
        <v>0.48787972698426091</v>
      </c>
      <c r="X6" s="11">
        <v>1.6060837561832397</v>
      </c>
      <c r="Y6" s="11">
        <v>1.6061074689955925</v>
      </c>
      <c r="Z6" s="7">
        <v>21186605</v>
      </c>
      <c r="AA6" s="11">
        <v>1.50773464210052E-2</v>
      </c>
      <c r="AB6" s="11">
        <v>0.42124972708923902</v>
      </c>
      <c r="AC6" s="11">
        <v>0.42124178415705127</v>
      </c>
      <c r="AD6" s="11">
        <v>3.5791943475398769E-2</v>
      </c>
      <c r="AE6" s="11">
        <v>3.5792618368039014E-2</v>
      </c>
      <c r="AF6" s="7">
        <v>40965351.299999997</v>
      </c>
      <c r="AG6" s="11">
        <v>2.2942569105467402E-2</v>
      </c>
      <c r="AH6" s="11">
        <v>0.380567761258439</v>
      </c>
      <c r="AI6" s="11">
        <v>0.3805591480198493</v>
      </c>
      <c r="AJ6" s="11">
        <v>6.028510935766674E-2</v>
      </c>
      <c r="AK6" s="11">
        <v>6.0286473797420727E-2</v>
      </c>
    </row>
    <row r="7" spans="1:37" x14ac:dyDescent="0.25">
      <c r="A7" s="6">
        <v>-100</v>
      </c>
      <c r="B7" s="7">
        <v>1269179907.4000001</v>
      </c>
      <c r="C7" s="11">
        <v>0.59963030647723403</v>
      </c>
      <c r="D7" s="11">
        <v>0.57481511399557395</v>
      </c>
      <c r="E7" s="11">
        <v>0.57480711303606125</v>
      </c>
      <c r="F7" s="11">
        <v>1.0431707376466985</v>
      </c>
      <c r="G7" s="11">
        <v>1.0431852579381973</v>
      </c>
      <c r="H7" s="7">
        <v>724575728.89999998</v>
      </c>
      <c r="I7" s="11">
        <v>0.556359068290329</v>
      </c>
      <c r="J7" s="11">
        <v>0.498069019058622</v>
      </c>
      <c r="K7" s="11">
        <v>0.49806043424188962</v>
      </c>
      <c r="L7" s="11">
        <v>1.1170320718640128</v>
      </c>
      <c r="M7" s="11">
        <v>1.1170513255829631</v>
      </c>
      <c r="N7" s="7">
        <v>2065315143.5999999</v>
      </c>
      <c r="O7" s="11">
        <v>0.56656992357725999</v>
      </c>
      <c r="P7" s="11">
        <v>0.49664352190831201</v>
      </c>
      <c r="Q7" s="11">
        <v>0.49663550637600867</v>
      </c>
      <c r="R7" s="11">
        <v>1.1407979739678502</v>
      </c>
      <c r="S7" s="11">
        <v>1.1408163860686658</v>
      </c>
      <c r="T7" s="7">
        <v>538796299.79999995</v>
      </c>
      <c r="U7" s="11">
        <v>0.29166655183052198</v>
      </c>
      <c r="V7" s="11">
        <v>0.46176775917885199</v>
      </c>
      <c r="W7" s="11">
        <v>0.4617594531671263</v>
      </c>
      <c r="X7" s="11">
        <v>0.63163039435491131</v>
      </c>
      <c r="Y7" s="11">
        <v>0.63164175596196848</v>
      </c>
      <c r="Z7" s="7">
        <v>470242753.19999999</v>
      </c>
      <c r="AA7" s="11">
        <v>0.421962711436698</v>
      </c>
      <c r="AB7" s="11">
        <v>0.41150395026528802</v>
      </c>
      <c r="AC7" s="11">
        <v>0.4114960053978664</v>
      </c>
      <c r="AD7" s="11">
        <v>1.0254159435521031</v>
      </c>
      <c r="AE7" s="11">
        <v>1.0254357415419175</v>
      </c>
      <c r="AF7" s="7">
        <v>1154541457.9000001</v>
      </c>
      <c r="AG7" s="11">
        <v>0.39363207799358502</v>
      </c>
      <c r="AH7" s="11">
        <v>0.39058467702473199</v>
      </c>
      <c r="AI7" s="11">
        <v>0.39057639743668693</v>
      </c>
      <c r="AJ7" s="11">
        <v>1.0078021518715647</v>
      </c>
      <c r="AK7" s="11">
        <v>1.0078235156475204</v>
      </c>
    </row>
    <row r="8" spans="1:37" x14ac:dyDescent="0.25">
      <c r="A8" s="8">
        <v>-75</v>
      </c>
      <c r="B8" s="9">
        <v>5754777261.1000004</v>
      </c>
      <c r="C8" s="12">
        <v>0.71654966106069296</v>
      </c>
      <c r="D8" s="12">
        <v>0.64331185441165695</v>
      </c>
      <c r="E8" s="12">
        <v>0.64308622504293611</v>
      </c>
      <c r="F8" s="12">
        <v>1.1138449511644952</v>
      </c>
      <c r="G8" s="12">
        <v>1.1142357481111527</v>
      </c>
      <c r="H8" s="9">
        <v>2892419380.5999999</v>
      </c>
      <c r="I8" s="12">
        <v>0.59178327908432504</v>
      </c>
      <c r="J8" s="12">
        <v>0.552242476930075</v>
      </c>
      <c r="K8" s="12">
        <v>0.55198206485368084</v>
      </c>
      <c r="L8" s="12">
        <v>1.0716004360513121</v>
      </c>
      <c r="M8" s="12">
        <v>1.0721059917792704</v>
      </c>
      <c r="N8" s="9">
        <v>8789142515.5</v>
      </c>
      <c r="O8" s="12">
        <v>0.61785282363335703</v>
      </c>
      <c r="P8" s="12">
        <v>0.54866088741768404</v>
      </c>
      <c r="Q8" s="12">
        <v>0.54846047315617952</v>
      </c>
      <c r="R8" s="12">
        <v>1.1261105681167294</v>
      </c>
      <c r="S8" s="12">
        <v>1.1265220628896941</v>
      </c>
      <c r="T8" s="9">
        <v>9715911023.2999992</v>
      </c>
      <c r="U8" s="12">
        <v>0.55787054836595196</v>
      </c>
      <c r="V8" s="12">
        <v>0.48416625870248498</v>
      </c>
      <c r="W8" s="12">
        <v>0.48388663208008653</v>
      </c>
      <c r="X8" s="12">
        <v>1.1522292979708804</v>
      </c>
      <c r="Y8" s="12">
        <v>1.152895143988232</v>
      </c>
      <c r="Z8" s="9">
        <v>6175875933.3999996</v>
      </c>
      <c r="AA8" s="12">
        <v>0.39346014554108499</v>
      </c>
      <c r="AB8" s="12">
        <v>0.436188235644068</v>
      </c>
      <c r="AC8" s="12">
        <v>0.43592516404857656</v>
      </c>
      <c r="AD8" s="12">
        <v>0.90204208501888761</v>
      </c>
      <c r="AE8" s="12">
        <v>0.90258644829514922</v>
      </c>
      <c r="AF8" s="9">
        <v>18588774395.400002</v>
      </c>
      <c r="AG8" s="12">
        <v>0.42443301748515799</v>
      </c>
      <c r="AH8" s="12">
        <v>0.41679866704322299</v>
      </c>
      <c r="AI8" s="12">
        <v>0.41650534661082739</v>
      </c>
      <c r="AJ8" s="12">
        <v>1.0183166383330666</v>
      </c>
      <c r="AK8" s="12">
        <v>1.0190337793712358</v>
      </c>
    </row>
    <row r="9" spans="1:37" x14ac:dyDescent="0.25">
      <c r="A9" s="6">
        <v>-50</v>
      </c>
      <c r="B9" s="7">
        <v>12238452704.299999</v>
      </c>
      <c r="C9" s="11">
        <v>0.77845399824064998</v>
      </c>
      <c r="D9" s="11">
        <v>0.76217540078534496</v>
      </c>
      <c r="E9" s="11">
        <v>0.74190513539797576</v>
      </c>
      <c r="F9" s="11">
        <v>1.0213580724837505</v>
      </c>
      <c r="G9" s="11">
        <v>1.0492635258860534</v>
      </c>
      <c r="H9" s="7">
        <v>6210124699</v>
      </c>
      <c r="I9" s="11">
        <v>0.64098793164600498</v>
      </c>
      <c r="J9" s="11">
        <v>0.656855290168326</v>
      </c>
      <c r="K9" s="11">
        <v>0.63203134837393238</v>
      </c>
      <c r="L9" s="11">
        <v>0.97584344868676498</v>
      </c>
      <c r="M9" s="11">
        <v>1.0141711060616152</v>
      </c>
      <c r="N9" s="7">
        <v>18413273613.799999</v>
      </c>
      <c r="O9" s="11">
        <v>0.65149483555855803</v>
      </c>
      <c r="P9" s="11">
        <v>0.65202258945540004</v>
      </c>
      <c r="Q9" s="11">
        <v>0.62774012028134996</v>
      </c>
      <c r="R9" s="11">
        <v>0.99919058955107243</v>
      </c>
      <c r="S9" s="11">
        <v>1.0378416394137135</v>
      </c>
      <c r="T9" s="7">
        <v>71189165399.800003</v>
      </c>
      <c r="U9" s="11">
        <v>0.63902120538831797</v>
      </c>
      <c r="V9" s="11">
        <v>0.59099968269650704</v>
      </c>
      <c r="W9" s="11">
        <v>0.55862136943552654</v>
      </c>
      <c r="X9" s="11">
        <v>1.0812547351509683</v>
      </c>
      <c r="Y9" s="11">
        <v>1.1439254571196114</v>
      </c>
      <c r="Z9" s="7">
        <v>47864400520.900002</v>
      </c>
      <c r="AA9" s="11">
        <v>0.55273435722961195</v>
      </c>
      <c r="AB9" s="11">
        <v>0.52676082740362395</v>
      </c>
      <c r="AC9" s="11">
        <v>0.49481690151219537</v>
      </c>
      <c r="AD9" s="11">
        <v>1.0493080131907495</v>
      </c>
      <c r="AE9" s="11">
        <v>1.1170482567196407</v>
      </c>
      <c r="AF9" s="7">
        <v>142463091385.39999</v>
      </c>
      <c r="AG9" s="11">
        <v>0.55536708583726901</v>
      </c>
      <c r="AH9" s="11">
        <v>0.510344481430139</v>
      </c>
      <c r="AI9" s="11">
        <v>0.47558739904720082</v>
      </c>
      <c r="AJ9" s="11">
        <v>1.0882200279328251</v>
      </c>
      <c r="AK9" s="11">
        <v>1.1677497909950938</v>
      </c>
    </row>
    <row r="10" spans="1:37" x14ac:dyDescent="0.25">
      <c r="A10" s="6">
        <v>-25</v>
      </c>
      <c r="B10" s="7">
        <v>14834246119.5</v>
      </c>
      <c r="C10" s="11">
        <v>0.94663255770666799</v>
      </c>
      <c r="D10" s="11">
        <v>0.924951556464779</v>
      </c>
      <c r="E10" s="11">
        <v>0.85430020169443421</v>
      </c>
      <c r="F10" s="11">
        <v>1.0234401478546131</v>
      </c>
      <c r="G10" s="11">
        <v>1.1080795203244715</v>
      </c>
      <c r="H10" s="7">
        <v>8398744936.3000002</v>
      </c>
      <c r="I10" s="11">
        <v>0.67223900051767804</v>
      </c>
      <c r="J10" s="11">
        <v>0.80850639345226805</v>
      </c>
      <c r="K10" s="11">
        <v>0.72481106470431922</v>
      </c>
      <c r="L10" s="11">
        <v>0.83145786596351157</v>
      </c>
      <c r="M10" s="11">
        <v>0.92746790612518104</v>
      </c>
      <c r="N10" s="7">
        <v>23218044063.099998</v>
      </c>
      <c r="O10" s="11">
        <v>0.81044904927331096</v>
      </c>
      <c r="P10" s="11">
        <v>0.80330301257107195</v>
      </c>
      <c r="Q10" s="11">
        <v>0.72491407666253971</v>
      </c>
      <c r="R10" s="11">
        <v>1.0088958171330233</v>
      </c>
      <c r="S10" s="11">
        <v>1.1179932565312694</v>
      </c>
      <c r="T10" s="7">
        <v>171205312138.20001</v>
      </c>
      <c r="U10" s="11">
        <v>0.76348018041474297</v>
      </c>
      <c r="V10" s="11">
        <v>0.73900088931055197</v>
      </c>
      <c r="W10" s="11">
        <v>0.64203814170732032</v>
      </c>
      <c r="X10" s="11">
        <v>1.0331248466115228</v>
      </c>
      <c r="Y10" s="11">
        <v>1.1891508164678217</v>
      </c>
      <c r="Z10" s="7">
        <v>118410719110.89999</v>
      </c>
      <c r="AA10" s="11">
        <v>0.65722973467372003</v>
      </c>
      <c r="AB10" s="11">
        <v>0.66867137287614598</v>
      </c>
      <c r="AC10" s="11">
        <v>0.57278165634225808</v>
      </c>
      <c r="AD10" s="11">
        <v>0.982888996498815</v>
      </c>
      <c r="AE10" s="11">
        <v>1.14743502588882</v>
      </c>
      <c r="AF10" s="7">
        <v>331274624617.90002</v>
      </c>
      <c r="AG10" s="11">
        <v>0.64529180314483003</v>
      </c>
      <c r="AH10" s="11">
        <v>0.65335811396678301</v>
      </c>
      <c r="AI10" s="11">
        <v>0.55353107158141179</v>
      </c>
      <c r="AJ10" s="11">
        <v>0.98765407416006612</v>
      </c>
      <c r="AK10" s="11">
        <v>1.1657734069042633</v>
      </c>
    </row>
    <row r="11" spans="1:37" x14ac:dyDescent="0.25">
      <c r="A11" s="6">
        <v>0</v>
      </c>
      <c r="B11" s="7">
        <v>14903289834.9</v>
      </c>
      <c r="C11" s="11">
        <v>0.92710979919403502</v>
      </c>
      <c r="D11" s="11">
        <v>1.0196889585347699</v>
      </c>
      <c r="E11" s="11">
        <v>0.89900404803869394</v>
      </c>
      <c r="F11" s="11">
        <v>0.90920843207543856</v>
      </c>
      <c r="G11" s="11">
        <v>1.0312632086770441</v>
      </c>
      <c r="H11" s="7">
        <v>8558932494.3000002</v>
      </c>
      <c r="I11" s="11">
        <v>0.95810327798926997</v>
      </c>
      <c r="J11" s="11">
        <v>0.90558871590204504</v>
      </c>
      <c r="K11" s="11">
        <v>0.76748885533630407</v>
      </c>
      <c r="L11" s="11">
        <v>1.0579894174530609</v>
      </c>
      <c r="M11" s="11">
        <v>1.2483611603316911</v>
      </c>
      <c r="N11" s="7">
        <v>23127059566.200001</v>
      </c>
      <c r="O11" s="11">
        <v>0.94758235864240004</v>
      </c>
      <c r="P11" s="11">
        <v>0.90551961102242595</v>
      </c>
      <c r="Q11" s="11">
        <v>0.78249300218531992</v>
      </c>
      <c r="R11" s="11">
        <v>1.0464515037642099</v>
      </c>
      <c r="S11" s="11">
        <v>1.2109787001238659</v>
      </c>
      <c r="T11" s="7">
        <v>174526082208.60001</v>
      </c>
      <c r="U11" s="11">
        <v>0.84270109648556601</v>
      </c>
      <c r="V11" s="11">
        <v>0.83335146550504102</v>
      </c>
      <c r="W11" s="11">
        <v>0.68116521906192107</v>
      </c>
      <c r="X11" s="11">
        <v>1.0112193130600169</v>
      </c>
      <c r="Y11" s="11">
        <v>1.2371463969433245</v>
      </c>
      <c r="Z11" s="7">
        <v>139893814347</v>
      </c>
      <c r="AA11" s="11">
        <v>0.76780464791514402</v>
      </c>
      <c r="AB11" s="11">
        <v>0.76266383092171597</v>
      </c>
      <c r="AC11" s="11">
        <v>0.61105554359867398</v>
      </c>
      <c r="AD11" s="11">
        <v>1.0067406067850564</v>
      </c>
      <c r="AE11" s="11">
        <v>1.2565218595241465</v>
      </c>
      <c r="AF11" s="7">
        <v>360316407047.29999</v>
      </c>
      <c r="AG11" s="11">
        <v>0.74060038185805299</v>
      </c>
      <c r="AH11" s="11">
        <v>0.74865785006079399</v>
      </c>
      <c r="AI11" s="11">
        <v>0.59831907780951599</v>
      </c>
      <c r="AJ11" s="11">
        <v>0.98923744912033351</v>
      </c>
      <c r="AK11" s="11">
        <v>1.2378017170527771</v>
      </c>
    </row>
    <row r="14" spans="1:37" x14ac:dyDescent="0.25">
      <c r="C14" t="s">
        <v>49</v>
      </c>
      <c r="I14" t="s">
        <v>49</v>
      </c>
      <c r="O14" s="3" t="s">
        <v>49</v>
      </c>
      <c r="U14" t="str">
        <f>T1</f>
        <v>NONINV</v>
      </c>
      <c r="AA14" t="str">
        <f>T1</f>
        <v>NONINV</v>
      </c>
      <c r="AG14" s="3" t="str">
        <f>T1</f>
        <v>NONINV</v>
      </c>
    </row>
    <row r="15" spans="1:37" x14ac:dyDescent="0.25">
      <c r="C15" t="str">
        <f>B2</f>
        <v>PURCH</v>
      </c>
      <c r="D15" s="3" t="str">
        <f>B2</f>
        <v>PURCH</v>
      </c>
      <c r="E15" s="3" t="str">
        <f>B2</f>
        <v>PURCH</v>
      </c>
      <c r="I15" s="3" t="str">
        <f>$H$2</f>
        <v>RE-FI-CO</v>
      </c>
      <c r="J15" s="3" t="str">
        <f t="shared" ref="J15:K15" si="0">$H$2</f>
        <v>RE-FI-CO</v>
      </c>
      <c r="K15" s="3" t="str">
        <f t="shared" si="0"/>
        <v>RE-FI-CO</v>
      </c>
      <c r="L15" s="3"/>
      <c r="O15" s="3" t="str">
        <f>$N$2</f>
        <v>RE-FI-NCO</v>
      </c>
      <c r="P15" s="3" t="str">
        <f t="shared" ref="P15:Q15" si="1">$N$2</f>
        <v>RE-FI-NCO</v>
      </c>
      <c r="Q15" s="3" t="str">
        <f t="shared" si="1"/>
        <v>RE-FI-NCO</v>
      </c>
      <c r="U15" s="3" t="str">
        <f>$T$2</f>
        <v>PURCH</v>
      </c>
      <c r="V15" s="3" t="str">
        <f t="shared" ref="V15:W15" si="2">$T$2</f>
        <v>PURCH</v>
      </c>
      <c r="W15" s="3" t="str">
        <f t="shared" si="2"/>
        <v>PURCH</v>
      </c>
      <c r="AA15" s="3" t="str">
        <f>$Z$2</f>
        <v>RE-FI-CO</v>
      </c>
      <c r="AB15" s="3" t="str">
        <f t="shared" ref="AB15:AC15" si="3">$Z$2</f>
        <v>RE-FI-CO</v>
      </c>
      <c r="AC15" s="3" t="str">
        <f t="shared" si="3"/>
        <v>RE-FI-CO</v>
      </c>
      <c r="AG15" s="3" t="str">
        <f>$AF$2</f>
        <v>RE-FI-NCO</v>
      </c>
      <c r="AH15" s="3" t="str">
        <f t="shared" ref="AH15:AI15" si="4">$AF$2</f>
        <v>RE-FI-NCO</v>
      </c>
      <c r="AI15" s="3" t="str">
        <f t="shared" si="4"/>
        <v>RE-FI-NCO</v>
      </c>
    </row>
    <row r="16" spans="1:37" x14ac:dyDescent="0.25">
      <c r="C16" s="3" t="s">
        <v>46</v>
      </c>
      <c r="D16" s="3" t="s">
        <v>47</v>
      </c>
      <c r="E16" s="3" t="s">
        <v>48</v>
      </c>
      <c r="I16" s="3" t="s">
        <v>46</v>
      </c>
      <c r="J16" s="3" t="s">
        <v>47</v>
      </c>
      <c r="K16" s="3" t="s">
        <v>48</v>
      </c>
      <c r="O16" s="3" t="s">
        <v>46</v>
      </c>
      <c r="P16" s="3" t="s">
        <v>47</v>
      </c>
      <c r="Q16" s="3" t="s">
        <v>48</v>
      </c>
      <c r="U16" s="3" t="s">
        <v>46</v>
      </c>
      <c r="V16" s="3" t="s">
        <v>47</v>
      </c>
      <c r="W16" s="3" t="s">
        <v>48</v>
      </c>
      <c r="AA16" s="3" t="s">
        <v>46</v>
      </c>
      <c r="AB16" s="3" t="s">
        <v>47</v>
      </c>
      <c r="AC16" s="3" t="s">
        <v>48</v>
      </c>
      <c r="AG16" s="3" t="s">
        <v>46</v>
      </c>
      <c r="AH16" s="3" t="s">
        <v>47</v>
      </c>
      <c r="AI16" s="3" t="s">
        <v>48</v>
      </c>
    </row>
    <row r="17" spans="1:35" x14ac:dyDescent="0.25">
      <c r="A17" s="13">
        <f>A7</f>
        <v>-100</v>
      </c>
      <c r="B17" s="13"/>
      <c r="C17" s="2">
        <f t="shared" ref="C17:D20" si="5">100*(1-(1-C7/100)^12)</f>
        <v>6.9629362219411401</v>
      </c>
      <c r="D17" s="2">
        <f t="shared" si="5"/>
        <v>6.6838340003410597</v>
      </c>
      <c r="E17" s="2">
        <f t="shared" ref="E17:E20" si="6">C17/D17</f>
        <v>1.0417578027200913</v>
      </c>
      <c r="F17" s="13"/>
      <c r="G17" s="13"/>
      <c r="H17" s="13"/>
      <c r="I17" s="2">
        <f t="shared" ref="I17:J20" si="7">100*(1-(1-I7/100)^12)</f>
        <v>6.4757571217672893</v>
      </c>
      <c r="J17" s="2">
        <f t="shared" si="7"/>
        <v>5.815788255903187</v>
      </c>
      <c r="K17" s="2">
        <f t="shared" ref="K17:K20" si="8">I17/J17</f>
        <v>1.1134788332766785</v>
      </c>
      <c r="L17" s="13"/>
      <c r="M17" s="13"/>
      <c r="N17" s="13"/>
      <c r="O17" s="2">
        <f t="shared" ref="O17:P20" si="9">100*(1-(1-O7/100)^12)</f>
        <v>6.5909286960412983</v>
      </c>
      <c r="P17" s="2">
        <f t="shared" si="9"/>
        <v>5.7995952147957937</v>
      </c>
      <c r="Q17" s="2">
        <f t="shared" ref="Q17:Q20" si="10">O17/P17</f>
        <v>1.1364463297760286</v>
      </c>
      <c r="R17" s="13"/>
      <c r="S17" s="13"/>
      <c r="T17" s="13"/>
      <c r="U17" s="2">
        <f t="shared" ref="U17:V20" si="11">100*(1-(1-U7/100)^12)</f>
        <v>3.4443951289134023</v>
      </c>
      <c r="V17" s="2">
        <f t="shared" si="11"/>
        <v>5.4026254984252065</v>
      </c>
      <c r="W17" s="2">
        <f t="shared" ref="W17:W20" si="12">U17/V17</f>
        <v>0.63754097520129749</v>
      </c>
      <c r="X17" s="13"/>
      <c r="Y17" s="13"/>
      <c r="Z17" s="13"/>
      <c r="AA17" s="2">
        <f t="shared" ref="AA17:AB20" si="13">100*(1-(1-AA7/100)^12)</f>
        <v>4.9476751737567053</v>
      </c>
      <c r="AB17" s="2">
        <f t="shared" si="13"/>
        <v>4.8278048805986078</v>
      </c>
      <c r="AC17" s="2">
        <f t="shared" ref="AC17:AC20" si="14">AA17/AB17</f>
        <v>1.0248291503328599</v>
      </c>
      <c r="AG17" s="2">
        <f t="shared" ref="AG17:AH17" si="15">100*(1-(1-AG7/100)^12)</f>
        <v>4.6226504454344619</v>
      </c>
      <c r="AH17" s="2">
        <f t="shared" si="15"/>
        <v>4.5876283543966441</v>
      </c>
      <c r="AI17" s="2">
        <f t="shared" ref="AI17:AI20" si="16">AG17/AH17</f>
        <v>1.0076340296842603</v>
      </c>
    </row>
    <row r="18" spans="1:35" x14ac:dyDescent="0.25">
      <c r="A18" s="3">
        <f>A8</f>
        <v>-75</v>
      </c>
      <c r="C18" s="15">
        <f t="shared" si="5"/>
        <v>8.2676882369058013</v>
      </c>
      <c r="D18" s="15">
        <f t="shared" si="5"/>
        <v>7.4523744091651523</v>
      </c>
      <c r="E18" s="15">
        <f t="shared" si="6"/>
        <v>1.1094032294912548</v>
      </c>
      <c r="I18" s="15">
        <f t="shared" si="7"/>
        <v>6.8747617259640741</v>
      </c>
      <c r="J18" s="15">
        <f t="shared" si="7"/>
        <v>6.4292879351466219</v>
      </c>
      <c r="K18" s="15">
        <f t="shared" si="8"/>
        <v>1.0692882003903117</v>
      </c>
      <c r="O18" s="15">
        <f t="shared" si="9"/>
        <v>7.1674015927141514</v>
      </c>
      <c r="P18" s="15">
        <f t="shared" si="9"/>
        <v>6.3888407760737671</v>
      </c>
      <c r="Q18" s="15">
        <f t="shared" si="10"/>
        <v>1.1218626107503098</v>
      </c>
      <c r="U18" s="15">
        <f t="shared" si="11"/>
        <v>6.4928138037354532</v>
      </c>
      <c r="V18" s="15">
        <f t="shared" si="11"/>
        <v>5.6577498447363155</v>
      </c>
      <c r="W18" s="15">
        <f t="shared" si="12"/>
        <v>1.1475964795043101</v>
      </c>
      <c r="AA18" s="15">
        <f t="shared" si="13"/>
        <v>4.6206748347203845</v>
      </c>
      <c r="AB18" s="15">
        <f t="shared" si="13"/>
        <v>5.1104950804311766</v>
      </c>
      <c r="AC18" s="15">
        <f t="shared" si="14"/>
        <v>0.90415405200439691</v>
      </c>
      <c r="AG18" s="15">
        <f t="shared" ref="AG18:AH18" si="17">100*(1-(1-AG8/100)^12)</f>
        <v>4.9759677134526559</v>
      </c>
      <c r="AH18" s="15">
        <f t="shared" si="17"/>
        <v>4.8885061681666064</v>
      </c>
      <c r="AI18" s="15">
        <f t="shared" si="16"/>
        <v>1.0178912621314848</v>
      </c>
    </row>
    <row r="19" spans="1:35" x14ac:dyDescent="0.25">
      <c r="A19" s="3">
        <f>A9</f>
        <v>-50</v>
      </c>
      <c r="C19" s="15">
        <f t="shared" si="5"/>
        <v>8.9516928204559694</v>
      </c>
      <c r="D19" s="15">
        <f t="shared" si="5"/>
        <v>8.7722789406958324</v>
      </c>
      <c r="E19" s="15">
        <f t="shared" si="6"/>
        <v>1.0204523683039548</v>
      </c>
      <c r="I19" s="15">
        <f t="shared" si="7"/>
        <v>7.4263951369533228</v>
      </c>
      <c r="J19" s="15">
        <f t="shared" si="7"/>
        <v>7.6036443727597653</v>
      </c>
      <c r="K19" s="15">
        <f t="shared" si="8"/>
        <v>0.9766889103281261</v>
      </c>
      <c r="O19" s="15">
        <f t="shared" si="9"/>
        <v>7.5437992587354064</v>
      </c>
      <c r="P19" s="15">
        <f t="shared" si="9"/>
        <v>7.5496927780669632</v>
      </c>
      <c r="Q19" s="15">
        <f t="shared" si="10"/>
        <v>0.99921936964790425</v>
      </c>
      <c r="U19" s="15">
        <f t="shared" si="11"/>
        <v>7.4044037634651954</v>
      </c>
      <c r="V19" s="15">
        <f t="shared" si="11"/>
        <v>6.8659525027632951</v>
      </c>
      <c r="W19" s="15">
        <f t="shared" si="12"/>
        <v>1.0784233885225967</v>
      </c>
      <c r="AA19" s="15">
        <f t="shared" si="13"/>
        <v>6.434841524968804</v>
      </c>
      <c r="AB19" s="15">
        <f t="shared" si="13"/>
        <v>6.1411729445490675</v>
      </c>
      <c r="AC19" s="15">
        <f t="shared" si="14"/>
        <v>1.0478196238847821</v>
      </c>
      <c r="AG19" s="15">
        <f t="shared" ref="AG19:AH19" si="18">100*(1-(1-AG9/100)^12)</f>
        <v>6.4645612929937535</v>
      </c>
      <c r="AH19" s="15">
        <f t="shared" si="18"/>
        <v>5.9551267277568876</v>
      </c>
      <c r="AI19" s="15">
        <f t="shared" si="16"/>
        <v>1.0855455456325367</v>
      </c>
    </row>
    <row r="20" spans="1:35" x14ac:dyDescent="0.25">
      <c r="A20" s="3">
        <f>A10</f>
        <v>-25</v>
      </c>
      <c r="C20" s="15">
        <f t="shared" si="5"/>
        <v>10.786426819596484</v>
      </c>
      <c r="D20" s="15">
        <f t="shared" si="5"/>
        <v>10.551817552632992</v>
      </c>
      <c r="E20" s="15">
        <f t="shared" si="6"/>
        <v>1.0222340147366318</v>
      </c>
      <c r="I20" s="15">
        <f t="shared" si="7"/>
        <v>7.7751938598951131</v>
      </c>
      <c r="J20" s="15">
        <f t="shared" si="7"/>
        <v>9.2820645538983388</v>
      </c>
      <c r="K20" s="15">
        <f t="shared" si="8"/>
        <v>0.83765780928873623</v>
      </c>
      <c r="O20" s="15">
        <f t="shared" si="9"/>
        <v>9.3033826815122964</v>
      </c>
      <c r="P20" s="15">
        <f t="shared" si="9"/>
        <v>9.2249415684654501</v>
      </c>
      <c r="Q20" s="15">
        <f t="shared" si="10"/>
        <v>1.0085031555446367</v>
      </c>
      <c r="U20" s="15">
        <f t="shared" si="11"/>
        <v>8.7866714526529393</v>
      </c>
      <c r="V20" s="15">
        <f t="shared" si="11"/>
        <v>8.5163029086163142</v>
      </c>
      <c r="W20" s="15">
        <f t="shared" si="12"/>
        <v>1.0317471732672967</v>
      </c>
      <c r="AA20" s="15">
        <f t="shared" si="13"/>
        <v>7.6078234138686867</v>
      </c>
      <c r="AB20" s="15">
        <f t="shared" si="13"/>
        <v>7.7354359388565825</v>
      </c>
      <c r="AC20" s="15">
        <f t="shared" si="14"/>
        <v>0.98350286577297164</v>
      </c>
      <c r="AG20" s="15">
        <f t="shared" ref="AG20:AH20" si="19">100*(1-(1-AG10/100)^12)</f>
        <v>7.4745031023006447</v>
      </c>
      <c r="AH20" s="15">
        <f t="shared" si="19"/>
        <v>7.5646052736603853</v>
      </c>
      <c r="AI20" s="15">
        <f t="shared" si="16"/>
        <v>0.98808897912050053</v>
      </c>
    </row>
    <row r="22" spans="1:35" x14ac:dyDescent="0.25">
      <c r="E22" s="16">
        <f>AVERAGE(E19:E20)</f>
        <v>1.0213431915202933</v>
      </c>
      <c r="K22" s="16">
        <f>AVERAGE(K19:K20)</f>
        <v>0.90717335980843117</v>
      </c>
      <c r="Q22" s="16">
        <f>AVERAGE(Q19:Q20)</f>
        <v>1.0038612625962704</v>
      </c>
      <c r="W22" s="16">
        <f>AVERAGE(W19:W20)</f>
        <v>1.0550852808949467</v>
      </c>
      <c r="AC22" s="16">
        <f>AVERAGE(AC19:AC20)</f>
        <v>1.0156612448288769</v>
      </c>
    </row>
    <row r="26" spans="1:35" x14ac:dyDescent="0.25">
      <c r="U26" s="3"/>
      <c r="V26" s="3"/>
    </row>
    <row r="27" spans="1:35" x14ac:dyDescent="0.25">
      <c r="U27" s="3"/>
      <c r="V27" s="3"/>
    </row>
    <row r="28" spans="1:35" x14ac:dyDescent="0.25">
      <c r="U28" s="3"/>
      <c r="V28" s="3"/>
    </row>
    <row r="29" spans="1:35" x14ac:dyDescent="0.25">
      <c r="U29" s="3"/>
      <c r="V29" s="3"/>
    </row>
    <row r="30" spans="1:35" x14ac:dyDescent="0.25">
      <c r="U30" s="3"/>
      <c r="V30" s="3"/>
    </row>
    <row r="31" spans="1:35" x14ac:dyDescent="0.25">
      <c r="U31" s="3"/>
      <c r="V31" s="3"/>
    </row>
    <row r="32" spans="1:35" x14ac:dyDescent="0.25">
      <c r="U32" s="3"/>
      <c r="V32" s="3"/>
    </row>
    <row r="33" spans="21:22" x14ac:dyDescent="0.25">
      <c r="U33" s="3"/>
      <c r="V33" s="3"/>
    </row>
    <row r="34" spans="21:22" x14ac:dyDescent="0.25">
      <c r="U34" s="3"/>
      <c r="V34" s="3"/>
    </row>
    <row r="35" spans="21:22" x14ac:dyDescent="0.25">
      <c r="U35" s="3"/>
      <c r="V35" s="3"/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2018-04-30T16:31:09Z</dcterms:modified>
</cp:coreProperties>
</file>