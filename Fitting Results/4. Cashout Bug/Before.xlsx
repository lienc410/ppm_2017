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1" r:id="rId4"/>
  </pivotCaches>
</workbook>
</file>

<file path=xl/calcChain.xml><?xml version="1.0" encoding="utf-8"?>
<calcChain xmlns="http://schemas.openxmlformats.org/spreadsheetml/2006/main">
  <c r="AC22" i="4" l="1"/>
  <c r="W22" i="4"/>
  <c r="Q22" i="4"/>
  <c r="K22" i="4"/>
  <c r="E22" i="4"/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Q17" i="4" l="1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<sst xmlns="http://schemas.openxmlformats.org/spreadsheetml/2006/main" count="126" uniqueCount="55">
  <si>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</si>
  <si>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</si>
  <si>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</si>
  <si>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</si>
  <si>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</si>
  <si>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</si>
  <si>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</si>
  <si>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</si>
  <si>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</si>
  <si>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</si>
  <si>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</si>
  <si>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</si>
  <si>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</si>
  <si>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</si>
  <si>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</si>
  <si>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</si>
  <si>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</si>
  <si>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</si>
  <si>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</si>
  <si>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</si>
  <si>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</si>
  <si>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</si>
  <si>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</si>
  <si>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</si>
  <si>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</si>
  <si>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</si>
  <si>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</si>
  <si>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</si>
  <si>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</si>
  <si>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</si>
  <si>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</si>
  <si>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</si>
  <si>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</si>
  <si>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</si>
  <si>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</si>
  <si>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</si>
  <si>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</si>
  <si>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</si>
  <si>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</si>
  <si>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</si>
  <si>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</si>
  <si>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</si>
  <si>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</si>
  <si>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</si>
  <si>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</si>
  <si>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</si>
  <si>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</si>
  <si>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</si>
  <si>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</si>
  <si>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</si>
  <si>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</si>
  <si>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</si>
  <si>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prod</t>
  </si>
  <si>
    <t>dev_v2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</si>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</sst>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5216"/>
        <c:axId val="86906752"/>
      </c:lineChart>
      <c:catAx>
        <c:axId val="8690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906752"/>
        <c:crosses val="autoZero"/>
        <c:auto val="1"/>
        <c:lblAlgn val="ctr"/>
        <c:lblOffset val="100"/>
        <c:noMultiLvlLbl val="0"/>
      </c:catAx>
      <c:valAx>
        <c:axId val="86906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90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78400"/>
        <c:axId val="132765568"/>
      </c:lineChart>
      <c:catAx>
        <c:axId val="1326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65568"/>
        <c:crosses val="autoZero"/>
        <c:auto val="1"/>
        <c:lblAlgn val="ctr"/>
        <c:lblOffset val="100"/>
        <c:noMultiLvlLbl val="0"/>
      </c:catAx>
      <c:valAx>
        <c:axId val="1327655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67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4528"/>
        <c:axId val="133336064"/>
      </c:lineChart>
      <c:catAx>
        <c:axId val="13333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36064"/>
        <c:crosses val="autoZero"/>
        <c:auto val="1"/>
        <c:lblAlgn val="ctr"/>
        <c:lblOffset val="100"/>
        <c:noMultiLvlLbl val="0"/>
      </c:catAx>
      <c:valAx>
        <c:axId val="1333360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28832"/>
        <c:axId val="255476864"/>
      </c:lineChart>
      <c:catAx>
        <c:axId val="2527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476864"/>
        <c:crosses val="autoZero"/>
        <c:auto val="1"/>
        <c:lblAlgn val="ctr"/>
        <c:lblOffset val="100"/>
        <c:noMultiLvlLbl val="0"/>
      </c:catAx>
      <c:valAx>
        <c:axId val="2554768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2728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4688"/>
        <c:axId val="86596224"/>
      </c:lineChart>
      <c:catAx>
        <c:axId val="8659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96224"/>
        <c:crosses val="autoZero"/>
        <c:auto val="1"/>
        <c:lblAlgn val="ctr"/>
        <c:lblOffset val="100"/>
        <c:noMultiLvlLbl val="0"/>
      </c:catAx>
      <c:valAx>
        <c:axId val="865962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94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7744"/>
        <c:axId val="86609280"/>
      </c:lineChart>
      <c:catAx>
        <c:axId val="866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09280"/>
        <c:crosses val="autoZero"/>
        <c:auto val="1"/>
        <c:lblAlgn val="ctr"/>
        <c:lblOffset val="100"/>
        <c:noMultiLvlLbl val="0"/>
      </c:catAx>
      <c:valAx>
        <c:axId val="866092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0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8.1053051361852582</c:v>
                </c:pt>
                <c:pt idx="1">
                  <c:v>8.5996871108681141</c:v>
                </c:pt>
                <c:pt idx="2">
                  <c:v>9.5301672591042941</c:v>
                </c:pt>
                <c:pt idx="3">
                  <c:v>9.9596324503337783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7.6541091998260979</c:v>
                </c:pt>
                <c:pt idx="1">
                  <c:v>8.1832772105622791</c:v>
                </c:pt>
                <c:pt idx="2">
                  <c:v>9.304216305646273</c:v>
                </c:pt>
                <c:pt idx="3">
                  <c:v>9.846676023013357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7.4267919367658086</c:v>
                </c:pt>
                <c:pt idx="1">
                  <c:v>8.0441365378149285</c:v>
                </c:pt>
                <c:pt idx="2">
                  <c:v>9.3207872373791023</c:v>
                </c:pt>
                <c:pt idx="3">
                  <c:v>9.9424604561111014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6.9204743956952752</c:v>
                </c:pt>
                <c:pt idx="1">
                  <c:v>7.5785434822784437</c:v>
                </c:pt>
                <c:pt idx="2">
                  <c:v>8.8979763582776599</c:v>
                </c:pt>
                <c:pt idx="3">
                  <c:v>9.5877405520922281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5.4194612513697287</c:v>
                </c:pt>
                <c:pt idx="1">
                  <c:v>6.2587109500431115</c:v>
                </c:pt>
                <c:pt idx="2">
                  <c:v>7.7477112661539227</c:v>
                </c:pt>
                <c:pt idx="3">
                  <c:v>8.723730869638846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2704"/>
        <c:axId val="86700032"/>
      </c:lineChart>
      <c:catAx>
        <c:axId val="866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700032"/>
        <c:crosses val="autoZero"/>
        <c:auto val="1"/>
        <c:lblAlgn val="ctr"/>
        <c:lblOffset val="100"/>
        <c:noMultiLvlLbl val="0"/>
      </c:catAx>
      <c:valAx>
        <c:axId val="867000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JSON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Analysis!$V$26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Analysis!$V$27:$V$35</c:f>
              <c:numCache>
                <c:formatCode>General</c:formatCode>
                <c:ptCount val="9"/>
                <c:pt idx="0">
                  <c:v>1.32</c:v>
                </c:pt>
                <c:pt idx="1">
                  <c:v>1.1314998699613299</c:v>
                </c:pt>
                <c:pt idx="2">
                  <c:v>1.0636188494648799</c:v>
                </c:pt>
                <c:pt idx="3">
                  <c:v>0.935428274197323</c:v>
                </c:pt>
                <c:pt idx="4">
                  <c:v>0.834158465953176</c:v>
                </c:pt>
                <c:pt idx="5">
                  <c:v>0.78</c:v>
                </c:pt>
                <c:pt idx="6">
                  <c:v>0.74662311035888396</c:v>
                </c:pt>
                <c:pt idx="7">
                  <c:v>0.72</c:v>
                </c:pt>
                <c:pt idx="8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Analysis!$W$26</c:f>
              <c:strCache>
                <c:ptCount val="1"/>
                <c:pt idx="0">
                  <c:v>dev_v2</c:v>
                </c:pt>
              </c:strCache>
            </c:strRef>
          </c:tx>
          <c:marker>
            <c:symbol val="none"/>
          </c:marker>
          <c:cat>
            <c:numRef>
              <c:f>Analysis!$U$27:$U$35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160</c:v>
                </c:pt>
                <c:pt idx="5">
                  <c:v>200</c:v>
                </c:pt>
                <c:pt idx="6">
                  <c:v>300</c:v>
                </c:pt>
                <c:pt idx="7">
                  <c:v>600</c:v>
                </c:pt>
                <c:pt idx="8">
                  <c:v>800</c:v>
                </c:pt>
              </c:numCache>
            </c:numRef>
          </c:cat>
          <c:val>
            <c:numRef>
              <c:f>Analysis!$W$27:$W$35</c:f>
              <c:numCache>
                <c:formatCode>General</c:formatCode>
                <c:ptCount val="9"/>
                <c:pt idx="0">
                  <c:v>1.6</c:v>
                </c:pt>
                <c:pt idx="1">
                  <c:v>1.1314998700000001</c:v>
                </c:pt>
                <c:pt idx="2">
                  <c:v>1.1143570254387001</c:v>
                </c:pt>
                <c:pt idx="3">
                  <c:v>1.113</c:v>
                </c:pt>
                <c:pt idx="4">
                  <c:v>0.98399999999999999</c:v>
                </c:pt>
                <c:pt idx="5">
                  <c:v>0.90300000000000002</c:v>
                </c:pt>
                <c:pt idx="6">
                  <c:v>0.72118000000000004</c:v>
                </c:pt>
                <c:pt idx="7">
                  <c:v>0.72118000000000004</c:v>
                </c:pt>
                <c:pt idx="8">
                  <c:v>0.72118000000000004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64256"/>
        <c:axId val="86865792"/>
      </c:lineChart>
      <c:catAx>
        <c:axId val="868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65792"/>
        <c:crosses val="autoZero"/>
        <c:auto val="1"/>
        <c:lblAlgn val="ctr"/>
        <c:lblOffset val="100"/>
        <c:noMultiLvlLbl val="0"/>
      </c:catAx>
      <c:valAx>
        <c:axId val="8686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86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24</xdr:col>
      <xdr:colOff>595312</xdr:colOff>
      <xdr:row>24</xdr:row>
      <xdr:rowOff>142875</xdr:rowOff>
    </xdr:from>
    <xdr:to>
      <xdr:col>31</xdr:col>
      <xdr:colOff>423862</xdr:colOff>
      <xdr:row>39</xdr:row>
      <xdr:rowOff>28575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7.663974537034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85"/>
        <n v="110"/>
        <n v="150"/>
        <n v="175"/>
        <n v="200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840901696672198" maxValue="0.87045679467590198"/>
    </cacheField>
    <cacheField name="track.err" numFmtId="0">
      <sharedItems containsString="0" containsBlank="1" containsNumber="1" minValue="-1.7624984015702601" maxValue="0.61976028905386804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9239940918301699" maxValue="0.71783963323031696"/>
    </cacheField>
    <cacheField name="refi.smm" numFmtId="0">
      <sharedItems containsString="0" containsBlank="1" containsNumber="1" minValue="2.9528327006597501E-6" maxValue="0.173267393393022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4.8771892943509956"/>
    </cacheField>
    <cacheField name="model w/o refi" numFmtId="0">
      <sharedItems containsString="0" containsBlank="1" containsNumber="1" minValue="0.39840192894798349" maxValue="0.83779392067684044"/>
    </cacheField>
    <cacheField name="Ratio w/o refi" numFmtId="0">
      <sharedItems containsString="0" containsBlank="1" containsNumber="1" minValue="0" maxValue="4.87727662005863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8.0000000000000004E-4"/>
    <n v="0.53198266663670701"/>
    <n v="0.53118266663670699"/>
    <n v="5.1949714062499999E-2"/>
    <n v="9.9256774362153194E-4"/>
    <n v="5.1949714062499999E-2"/>
    <n v="0.42708765618948402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808394844419E-3"/>
    <n v="0.53197965205810516"/>
    <n v="1.5038169165023261E-3"/>
  </r>
  <r>
    <x v="0"/>
    <x v="1"/>
    <n v="7.5213920846779205E-4"/>
    <n v="0.53865947672059999"/>
    <n v="0.53790733751213204"/>
    <n v="4.8249027111232502E-2"/>
    <n v="1.5834711428251299E-3"/>
    <n v="4.8249027111232502E-2"/>
    <n v="0.44057499852260901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63166730990662E-3"/>
    <n v="0.53865652388789931"/>
    <n v="1.3963243274935644E-3"/>
  </r>
  <r>
    <x v="0"/>
    <x v="2"/>
    <n v="9.6399666998062006E-3"/>
    <n v="0.57477896170592102"/>
    <n v="0.56513899500611497"/>
    <n v="4.9368286832847698E-2"/>
    <n v="8.5463896581082499E-3"/>
    <n v="4.9368286832847698E-2"/>
    <n v="0.467492420273757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77160672547089E-2"/>
    <n v="0.5747753835975612"/>
    <n v="1.6771711132562678E-2"/>
  </r>
  <r>
    <x v="0"/>
    <x v="3"/>
    <n v="0.14115249188214901"/>
    <n v="0.61778429933657897"/>
    <n v="0.47663180745443001"/>
    <n v="4.8804531330933099E-2"/>
    <n v="1.7513520548055699E-2"/>
    <n v="4.8804531330933099E-2"/>
    <n v="0.502658213174074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2848183748555712"/>
    <n v="0.61778079638399541"/>
    <n v="0.22848313302767756"/>
  </r>
  <r>
    <x v="0"/>
    <x v="4"/>
    <n v="0.90706868060088996"/>
    <n v="0.66142055417928403"/>
    <n v="-0.24564812642160599"/>
    <n v="4.8376106392566398E-2"/>
    <n v="1.7488354049582999E-2"/>
    <n v="4.8376106392566398E-2"/>
    <n v="0.54717641518889104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713947576461629"/>
    <n v="0.66141698202360677"/>
    <n v="1.3714021642228043"/>
  </r>
  <r>
    <x v="0"/>
    <x v="5"/>
    <n v="0.76095870642797703"/>
    <n v="0.70191569631850304"/>
    <n v="-5.9043010109473597E-2"/>
    <n v="4.8319816271105799E-2"/>
    <n v="1.8583312724752301E-2"/>
    <n v="4.8319816271105799E-2"/>
    <n v="0.586689107753397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841169536728561"/>
    <n v="0.70191205302036042"/>
    <n v="1.0841225808184032"/>
  </r>
  <r>
    <x v="0"/>
    <x v="6"/>
    <n v="0.76693221991233096"/>
    <n v="0.74654345260941701"/>
    <n v="-2.03887673029143E-2"/>
    <n v="4.8436428503806903E-2"/>
    <n v="1.9960504762415E-2"/>
    <n v="4.8436428503806903E-2"/>
    <n v="0.62970311954974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273108915919742"/>
    <n v="0.74653648131977546"/>
    <n v="1.0273204848026967"/>
  </r>
  <r>
    <x v="0"/>
    <x v="7"/>
    <n v="0.82024288045910798"/>
    <n v="0.83114118602081"/>
    <n v="1.08983055617021E-2"/>
    <n v="4.8746607503963403E-2"/>
    <n v="1.9833526613671999E-2"/>
    <n v="4.8746607503963403E-2"/>
    <n v="0.70595514301710305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8688753999320022"/>
    <n v="0.82328188463870189"/>
    <n v="0.99630867114132171"/>
  </r>
  <r>
    <x v="0"/>
    <x v="8"/>
    <n v="0.82501349307622196"/>
    <n v="0.87045679467590198"/>
    <n v="4.54433015996797E-2"/>
    <n v="4.93965245078603E-2"/>
    <n v="2.1161238430802001E-2"/>
    <n v="4.93965245078603E-2"/>
    <n v="0.71783963323031696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4779373097248332"/>
    <n v="0.83779392067684044"/>
    <n v="0.98474514163304816"/>
  </r>
  <r>
    <x v="1"/>
    <x v="0"/>
    <n v="0"/>
    <n v="0.56151325953921705"/>
    <n v="0.56151325953921705"/>
    <n v="4.63679339383231E-2"/>
    <n v="7.0095480037455603E-3"/>
    <n v="4.63679339383231E-2"/>
    <n v="0.46176298627529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6150840215568365"/>
    <n v="0"/>
  </r>
  <r>
    <x v="1"/>
    <x v="1"/>
    <n v="0"/>
    <n v="0.61976028905386804"/>
    <n v="0.61976028905386804"/>
    <n v="4.8825977875538502E-2"/>
    <n v="7.0621007871939402E-3"/>
    <n v="4.8825977875538502E-2"/>
    <n v="0.51504147484612905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1975553138440032"/>
    <n v="0"/>
  </r>
  <r>
    <x v="1"/>
    <x v="2"/>
    <n v="0.80176924152882501"/>
    <n v="0.57880455259752595"/>
    <n v="-0.222964688931299"/>
    <n v="4.8826038693448502E-2"/>
    <n v="5.90533291641125E-3"/>
    <n v="4.8826038693448502E-2"/>
    <n v="0.47524251125349798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3852158521053279"/>
    <n v="0.57879992155680615"/>
    <n v="1.3852269353670525"/>
  </r>
  <r>
    <x v="1"/>
    <x v="3"/>
    <n v="0.25237078541822899"/>
    <n v="0.58414942614754095"/>
    <n v="0.33177864072931201"/>
    <n v="4.8616782253292599E-2"/>
    <n v="1.23485300185101E-2"/>
    <n v="4.8616782253292599E-2"/>
    <n v="0.47456285013000599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3203121345613837"/>
    <n v="0.58414494465510214"/>
    <n v="0.43203452794962866"/>
  </r>
  <r>
    <x v="1"/>
    <x v="4"/>
    <n v="0.78584576868868605"/>
    <n v="0.62261361392474601"/>
    <n v="-0.16323215476394001"/>
    <n v="4.8309876020482402E-2"/>
    <n v="1.0654983856745201E-2"/>
    <n v="4.8309876020482402E-2"/>
    <n v="0.51533439929022995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2621724792282965"/>
    <n v="0.62260913518794003"/>
    <n v="1.2621815586619551"/>
  </r>
  <r>
    <x v="1"/>
    <x v="5"/>
    <n v="0.66247028344860104"/>
    <n v="0.66137800647507505"/>
    <n v="-1.0922769735253501E-3"/>
    <n v="4.8263871639751002E-2"/>
    <n v="1.3406272639541099E-2"/>
    <n v="4.8263871639751002E-2"/>
    <n v="0.55143947470354004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016515169280387"/>
    <n v="0.66137349062258333"/>
    <n v="1.00165835619596"/>
  </r>
  <r>
    <x v="1"/>
    <x v="6"/>
    <n v="0.75228695771266696"/>
    <n v="0.70893957861357304"/>
    <n v="-4.33473790990936E-2"/>
    <n v="4.83975426975383E-2"/>
    <n v="1.40277843127187E-2"/>
    <n v="4.83975426975383E-2"/>
    <n v="0.59723316977294605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611439682685873"/>
    <n v="0.70805603948074158"/>
    <n v="1.0624681038867523"/>
  </r>
  <r>
    <x v="1"/>
    <x v="7"/>
    <n v="0.78261799640429697"/>
    <n v="0.81052502339661203"/>
    <n v="2.7907026992315599E-2"/>
    <n v="4.87590885353478E-2"/>
    <n v="1.5075200404070401E-2"/>
    <n v="4.87590885353478E-2"/>
    <n v="0.67458123542067705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6556919751179671"/>
    <n v="0.78717461289544277"/>
    <n v="0.99421142854901623"/>
  </r>
  <r>
    <x v="1"/>
    <x v="8"/>
    <n v="0.87178375675221098"/>
    <n v="0.860099508797319"/>
    <n v="-1.1684247954891499E-2"/>
    <n v="4.9485138753192201E-2"/>
    <n v="1.83533129715002E-2"/>
    <n v="4.9485138753192201E-2"/>
    <n v="0.68485543437163598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135847629668224"/>
    <n v="0.80217902484951975"/>
    <n v="1.0867695735571599"/>
  </r>
  <r>
    <x v="2"/>
    <x v="0"/>
    <n v="0"/>
    <n v="0.47559010894765202"/>
    <n v="0.47559010894765202"/>
    <n v="5.2374562962963001E-2"/>
    <n v="6.6130836168570297E-4"/>
    <n v="5.2374562962963001E-2"/>
    <n v="0.370175036529709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7558547081732039"/>
    <n v="0"/>
  </r>
  <r>
    <x v="2"/>
    <x v="1"/>
    <n v="3.0158558698900298E-3"/>
    <n v="0.49007335695425502"/>
    <n v="0.48705750108436502"/>
    <n v="4.8630407047420797E-2"/>
    <n v="1.7276102316230899E-3"/>
    <n v="4.8630407047420797E-2"/>
    <n v="0.39108038117869698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1538866112477511E-3"/>
    <n v="0.49006880550516174"/>
    <n v="6.1539437646542161E-3"/>
  </r>
  <r>
    <x v="2"/>
    <x v="2"/>
    <n v="1.4011899431400699E-2"/>
    <n v="0.54625412529711703"/>
    <n v="0.53224222586571701"/>
    <n v="4.8585020112481198E-2"/>
    <n v="7.0348562869350598E-3"/>
    <n v="4.8585020112481198E-2"/>
    <n v="0.44204397399607698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5650880757704823E-2"/>
    <n v="0.54624887050797377"/>
    <n v="2.5651127513308357E-2"/>
  </r>
  <r>
    <x v="2"/>
    <x v="3"/>
    <n v="0.35037417787806702"/>
    <n v="0.57895831680507803"/>
    <n v="0.22858413892701099"/>
    <n v="4.8323393376962301E-2"/>
    <n v="1.0485796320760601E-2"/>
    <n v="4.8323393376962301E-2"/>
    <n v="0.47182029707140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0518031731812905"/>
    <n v="0.57895288014609403"/>
    <n v="0.60518600026595071"/>
  </r>
  <r>
    <x v="2"/>
    <x v="4"/>
    <n v="0.71376871313629697"/>
    <n v="0.608730592514661"/>
    <n v="-0.10503812062163601"/>
    <n v="4.8312030645874499E-2"/>
    <n v="9.6760258073164997E-3"/>
    <n v="4.8312030645874499E-2"/>
    <n v="0.50242512954490903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1725527218662108"/>
    <n v="0.60872521664397439"/>
    <n v="1.1725630770997935"/>
  </r>
  <r>
    <x v="2"/>
    <x v="5"/>
    <n v="0.74363181723453298"/>
    <n v="0.64102342206726903"/>
    <n v="-0.102608395167263"/>
    <n v="4.8159461999574701E-2"/>
    <n v="1.0876871701301E-2"/>
    <n v="4.8159461999574701E-2"/>
    <n v="0.53382224139377199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160069650554042"/>
    <n v="0.64101803709422234"/>
    <n v="1.1600793959019715"/>
  </r>
  <r>
    <x v="2"/>
    <x v="6"/>
    <n v="0.69681138195660197"/>
    <n v="0.69640932806303502"/>
    <n v="-4.0205389356663598E-4"/>
    <n v="4.83628969264569E-2"/>
    <n v="1.1897032527530001E-2"/>
    <n v="4.83628969264569E-2"/>
    <n v="0.58270360568777402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000577324107196"/>
    <n v="0.6913264320682182"/>
    <n v="1.007933950784978"/>
  </r>
  <r>
    <x v="2"/>
    <x v="7"/>
    <n v="0.78391795670064501"/>
    <n v="0.81203538364568995"/>
    <n v="2.81174269450454E-2"/>
    <n v="4.8766924029624403E-2"/>
    <n v="1.250086823555E-2"/>
    <n v="4.8766924029624403E-2"/>
    <n v="0.66114617069568904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6537413576880138"/>
    <n v="0.77118088699048737"/>
    <n v="1.016516319225524"/>
  </r>
  <r>
    <x v="2"/>
    <x v="8"/>
    <n v="0.86356101428058196"/>
    <n v="0.86888147979906305"/>
    <n v="5.3204655184807799E-3"/>
    <n v="4.9582621902595103E-2"/>
    <n v="1.5224202316597E-2"/>
    <n v="4.9582621902595103E-2"/>
    <n v="0.67281437976909597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0.99387664987437474"/>
    <n v="0.78720382589088378"/>
    <n v="1.096997989438484"/>
  </r>
  <r>
    <x v="3"/>
    <x v="1"/>
    <n v="0"/>
    <n v="0.50875976422784996"/>
    <n v="0.50875976422784996"/>
    <n v="4.8567768974877801E-2"/>
    <n v="3.2702461795712698E-3"/>
    <n v="4.8567768974877801E-2"/>
    <n v="0.40834731439545402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50875309852478134"/>
    <n v="0"/>
  </r>
  <r>
    <x v="3"/>
    <x v="2"/>
    <n v="2.59566697283704E-2"/>
    <n v="0.53178425213679503"/>
    <n v="0.50582758240842496"/>
    <n v="4.7934321340072701E-2"/>
    <n v="7.44715668120684E-3"/>
    <n v="4.7934321340072701E-2"/>
    <n v="0.42846213033048203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4.8810527246853037E-2"/>
    <n v="0.53177792969183368"/>
    <n v="4.8811107567800605E-2"/>
  </r>
  <r>
    <x v="3"/>
    <x v="3"/>
    <n v="0.45182697437541902"/>
    <n v="0.54513771950794498"/>
    <n v="9.3310745132526102E-2"/>
    <n v="4.8351167836982401E-2"/>
    <n v="8.5568914610602807E-3"/>
    <n v="4.8351167836982401E-2"/>
    <n v="0.43987239625964097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2883087742167139"/>
    <n v="0.54513162339466681"/>
    <n v="0.82884014609496126"/>
  </r>
  <r>
    <x v="3"/>
    <x v="4"/>
    <n v="0.55552322521742603"/>
    <n v="0.57176409818691298"/>
    <n v="1.6240872969487501E-2"/>
    <n v="4.82700513509133E-2"/>
    <n v="8.3288565171176897E-3"/>
    <n v="4.82700513509133E-2"/>
    <n v="0.46688903423126699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0.97159515083058312"/>
    <n v="0.57175799345021106"/>
    <n v="0.97160552468218575"/>
  </r>
  <r>
    <x v="3"/>
    <x v="5"/>
    <n v="0.58389240736353099"/>
    <n v="0.59585059545475305"/>
    <n v="1.19581880912222E-2"/>
    <n v="4.8117572214494198E-2"/>
    <n v="8.6552039642488806E-3"/>
    <n v="4.8117572214494198E-2"/>
    <n v="0.49095413344723998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0.97993089512297027"/>
    <n v="0.59584448184047789"/>
    <n v="0.97994094962492784"/>
  </r>
  <r>
    <x v="3"/>
    <x v="6"/>
    <n v="0.706459051979482"/>
    <n v="0.65460656243996695"/>
    <n v="-5.1852489539514997E-2"/>
    <n v="4.8337096283761198E-2"/>
    <n v="9.7600375946156007E-3"/>
    <n v="4.8337096283761198E-2"/>
    <n v="0.53770650912103202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792116860946843"/>
    <n v="0.6441407392831705"/>
    <n v="1.0967464234068818"/>
  </r>
  <r>
    <x v="3"/>
    <x v="7"/>
    <n v="0.76609999648758498"/>
    <n v="0.77357710933877599"/>
    <n v="7.4771128511913303E-3"/>
    <n v="4.8750457210168102E-2"/>
    <n v="1.0541613951804901E-2"/>
    <n v="4.8750457210168102E-2"/>
    <n v="0.610585931613567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0.99033436646337403"/>
    <n v="0.7186284599857089"/>
    <n v="1.0660585255735908"/>
  </r>
  <r>
    <x v="3"/>
    <x v="8"/>
    <n v="0.83075719071396603"/>
    <n v="0.83640181966540705"/>
    <n v="5.64462895144078E-3"/>
    <n v="4.9610069137206697E-2"/>
    <n v="1.27583999404617E-2"/>
    <n v="4.9610069137206697E-2"/>
    <n v="0.62261811819436197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0.99325129522829214"/>
    <n v="0.73459665640923699"/>
    <n v="1.130902493859377"/>
  </r>
  <r>
    <x v="4"/>
    <x v="0"/>
    <n v="0"/>
    <n v="0.39840901696672198"/>
    <n v="0.39840901696672198"/>
    <n v="5.2374562962963001E-2"/>
    <n v="1.2533938390408301E-3"/>
    <n v="5.2374562962963001E-2"/>
    <n v="0.29239940918301699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840192894798349"/>
    <n v="0"/>
  </r>
  <r>
    <x v="4"/>
    <x v="1"/>
    <n v="7.3962218421947E-5"/>
    <n v="0.43782796040459798"/>
    <n v="0.437753998186176"/>
    <n v="4.7760158202091299E-2"/>
    <n v="2.8927834655613498E-3"/>
    <n v="4.7760158202091299E-2"/>
    <n v="0.33940809823474399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6892986540557693E-4"/>
    <n v="0.43782119810448827"/>
    <n v="1.6893247458588229E-4"/>
  </r>
  <r>
    <x v="4"/>
    <x v="2"/>
    <n v="2.2170798696812399"/>
    <n v="0.45458146811098199"/>
    <n v="-1.7624984015702601"/>
    <n v="4.79690871429952E-2"/>
    <n v="1.07620635196815E-2"/>
    <n v="4.79690871429952E-2"/>
    <n v="0.347873091204028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4.8771892943509956"/>
    <n v="0.45457332900970143"/>
    <n v="4.8772766200586384"/>
  </r>
  <r>
    <x v="4"/>
    <x v="3"/>
    <n v="0.41364190189466499"/>
    <n v="0.44101746484835802"/>
    <n v="2.7375562953692801E-2"/>
    <n v="4.8397763501454402E-2"/>
    <n v="6.3025099187786603E-3"/>
    <n v="4.8397763501454402E-2"/>
    <n v="0.33790971361872402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3792635182122319"/>
    <n v="0.44100775054041086"/>
    <n v="0.93794701201461483"/>
  </r>
  <r>
    <x v="4"/>
    <x v="4"/>
    <n v="0.41371681785979397"/>
    <n v="0.45464257542835901"/>
    <n v="4.0925757568564702E-2"/>
    <n v="4.8348265967077503E-2"/>
    <n v="5.9611014674706697E-3"/>
    <n v="4.8348265967077503E-2"/>
    <n v="0.35197549989163202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0998256700880853"/>
    <n v="0.4546331332932585"/>
    <n v="0.91000146615563171"/>
  </r>
  <r>
    <x v="4"/>
    <x v="5"/>
    <n v="0.47356911269068602"/>
    <n v="0.46324413718565199"/>
    <n v="-1.03249755050335E-2"/>
    <n v="4.80807306663898E-2"/>
    <n v="6.6391731348292198E-3"/>
    <n v="4.80807306663898E-2"/>
    <n v="0.360109463357771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222884105296213"/>
    <n v="0.46291009782538006"/>
    <n v="1.0230261014295843"/>
  </r>
  <r>
    <x v="4"/>
    <x v="6"/>
    <n v="0.56367766448916701"/>
    <n v="0.53714752782989805"/>
    <n v="-2.6530136659269E-2"/>
    <n v="4.8369426714607297E-2"/>
    <n v="7.5976344827189696E-3"/>
    <n v="4.8369426714607297E-2"/>
    <n v="0.394467316647807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493907823916682"/>
    <n v="0.49880380455974177"/>
    <n v="1.1300588715169979"/>
  </r>
  <r>
    <x v="4"/>
    <x v="7"/>
    <n v="0.66900422532126103"/>
    <n v="0.66977273371240098"/>
    <n v="7.6850839113991299E-4"/>
    <n v="4.8816888104872502E-2"/>
    <n v="8.1984497320323705E-3"/>
    <n v="4.8816888104872502E-2"/>
    <n v="0.45347831641582098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0.99885258334288962"/>
    <n v="0.55931054235759803"/>
    <n v="1.1961230383773631"/>
  </r>
  <r>
    <x v="4"/>
    <x v="8"/>
    <n v="0.76103014545249004"/>
    <n v="0.75777557746322899"/>
    <n v="-3.2545679892610302E-3"/>
    <n v="4.9536037223324197E-2"/>
    <n v="1.0011113072660499E-2"/>
    <n v="4.9536037223324197E-2"/>
    <n v="0.47542499655089698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042948969141448"/>
    <n v="0.58450818407020599"/>
    <n v="1.3020008379576116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1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85</v>
      </c>
      <c r="C2" s="3">
        <v>-200</v>
      </c>
      <c r="D2" s="4">
        <v>8.0000000000000004E-4</v>
      </c>
      <c r="E2" s="3">
        <v>0.53198266663670701</v>
      </c>
      <c r="F2" s="3">
        <v>0.53118266663670699</v>
      </c>
      <c r="G2" s="3">
        <v>5.1949714062499999E-2</v>
      </c>
      <c r="H2" s="3">
        <v>9.9256774362153194E-4</v>
      </c>
      <c r="I2" s="3">
        <v>5.1949714062499999E-2</v>
      </c>
      <c r="J2" s="3">
        <v>0.42708765618948402</v>
      </c>
      <c r="K2" s="4">
        <v>3.0145786018786401E-6</v>
      </c>
      <c r="L2" s="3">
        <v>100</v>
      </c>
      <c r="M2" s="3">
        <v>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100</v>
      </c>
      <c r="T2" s="3">
        <v>0</v>
      </c>
      <c r="U2" s="3">
        <v>-202.1</v>
      </c>
      <c r="V2" s="3">
        <v>0</v>
      </c>
      <c r="W2" s="3">
        <v>100</v>
      </c>
      <c r="X2" s="3">
        <v>26.3</v>
      </c>
      <c r="Y2" s="3">
        <v>58.8</v>
      </c>
      <c r="Z2" s="3">
        <v>63</v>
      </c>
      <c r="AA2" s="3">
        <v>2.6</v>
      </c>
      <c r="AB2" s="3">
        <v>728</v>
      </c>
      <c r="AC2" s="3">
        <v>100</v>
      </c>
      <c r="AD2" s="3">
        <v>0</v>
      </c>
      <c r="AE2" s="3">
        <v>179.2</v>
      </c>
      <c r="AF2" s="3">
        <v>112.2</v>
      </c>
      <c r="AG2" s="3">
        <v>20.9</v>
      </c>
      <c r="AH2" s="3">
        <v>-100</v>
      </c>
      <c r="AI2" s="3">
        <v>58820.3</v>
      </c>
      <c r="AJ2" s="3" t="s">
        <v>36</v>
      </c>
      <c r="AK2" s="3">
        <v>1</v>
      </c>
      <c r="AL2" s="3">
        <f>D2/E2</f>
        <v>1.503808394844419E-3</v>
      </c>
      <c r="AM2" s="4">
        <f>E2-K2</f>
        <v>0.53197965205810516</v>
      </c>
      <c r="AN2" s="4">
        <f>D2/(E2-K2)</f>
        <v>1.5038169165023261E-3</v>
      </c>
    </row>
    <row r="3" spans="1:40" x14ac:dyDescent="0.25">
      <c r="A3" s="3">
        <v>2</v>
      </c>
      <c r="B3" s="3">
        <v>85</v>
      </c>
      <c r="C3" s="3">
        <v>-175</v>
      </c>
      <c r="D3" s="3">
        <v>7.5213920846779205E-4</v>
      </c>
      <c r="E3" s="3">
        <v>0.53865947672059999</v>
      </c>
      <c r="F3" s="3">
        <v>0.53790733751213204</v>
      </c>
      <c r="G3" s="3">
        <v>4.8249027111232502E-2</v>
      </c>
      <c r="H3" s="3">
        <v>1.5834711428251299E-3</v>
      </c>
      <c r="I3" s="3">
        <v>4.8249027111232502E-2</v>
      </c>
      <c r="J3" s="3">
        <v>0.44057499852260901</v>
      </c>
      <c r="K3" s="4">
        <v>2.9528327006597501E-6</v>
      </c>
      <c r="L3" s="3">
        <v>100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100</v>
      </c>
      <c r="T3" s="3">
        <v>2.7443399480281301E-2</v>
      </c>
      <c r="U3" s="3">
        <v>-187.01434429778101</v>
      </c>
      <c r="V3" s="3">
        <v>0</v>
      </c>
      <c r="W3" s="3">
        <v>100</v>
      </c>
      <c r="X3" s="3">
        <v>30.375699025757701</v>
      </c>
      <c r="Y3" s="3">
        <v>61.1005372610067</v>
      </c>
      <c r="Z3" s="3">
        <v>54.3403074712379</v>
      </c>
      <c r="AA3" s="3">
        <v>2.6274433994802799</v>
      </c>
      <c r="AB3" s="3">
        <v>734.99806686747195</v>
      </c>
      <c r="AC3" s="3">
        <v>86.278300259859293</v>
      </c>
      <c r="AD3" s="3">
        <v>0</v>
      </c>
      <c r="AE3" s="3">
        <v>171.268256731626</v>
      </c>
      <c r="AF3" s="3">
        <v>111.93892386090199</v>
      </c>
      <c r="AG3" s="3">
        <v>25.886510259787698</v>
      </c>
      <c r="AH3" s="3">
        <v>-96.569575064964795</v>
      </c>
      <c r="AI3" s="3">
        <v>488533.5</v>
      </c>
      <c r="AJ3" s="4">
        <v>4.5961940777125603E-6</v>
      </c>
      <c r="AK3" s="3">
        <v>8</v>
      </c>
      <c r="AL3" s="3">
        <f t="shared" ref="AL3:AL23" si="0">D3/E3</f>
        <v>1.3963166730990662E-3</v>
      </c>
      <c r="AM3" s="4">
        <f t="shared" ref="AM3:AM23" si="1">E3-K3</f>
        <v>0.53865652388789931</v>
      </c>
      <c r="AN3" s="4">
        <f t="shared" ref="AN3:AN23" si="2">D3/(E3-K3)</f>
        <v>1.3963243274935644E-3</v>
      </c>
    </row>
    <row r="4" spans="1:40" x14ac:dyDescent="0.25">
      <c r="A4" s="3">
        <v>3</v>
      </c>
      <c r="B4" s="3">
        <v>85</v>
      </c>
      <c r="C4" s="3">
        <v>-150</v>
      </c>
      <c r="D4" s="3">
        <v>9.6399666998062006E-3</v>
      </c>
      <c r="E4" s="3">
        <v>0.57477896170592102</v>
      </c>
      <c r="F4" s="3">
        <v>0.56513899500611497</v>
      </c>
      <c r="G4" s="3">
        <v>4.9368286832847698E-2</v>
      </c>
      <c r="H4" s="3">
        <v>8.5463896581082499E-3</v>
      </c>
      <c r="I4" s="3">
        <v>4.9368286832847698E-2</v>
      </c>
      <c r="J4" s="3">
        <v>0.46749242027375798</v>
      </c>
      <c r="K4" s="4">
        <v>3.57810835985759E-6</v>
      </c>
      <c r="L4" s="3">
        <v>84.536686256406</v>
      </c>
      <c r="M4" s="3">
        <v>0</v>
      </c>
      <c r="N4" s="3">
        <v>15.463313743594</v>
      </c>
      <c r="O4" s="3">
        <v>45.189572525705202</v>
      </c>
      <c r="P4" s="3">
        <v>34.305358895601103</v>
      </c>
      <c r="Q4" s="3">
        <v>20.505068578693699</v>
      </c>
      <c r="R4" s="3">
        <v>0</v>
      </c>
      <c r="S4" s="3">
        <v>34.305358895601103</v>
      </c>
      <c r="T4" s="3">
        <v>0.30206504853913402</v>
      </c>
      <c r="U4" s="3">
        <v>-160.03852834944701</v>
      </c>
      <c r="V4" s="3">
        <v>0</v>
      </c>
      <c r="W4" s="3">
        <v>100</v>
      </c>
      <c r="X4" s="3">
        <v>47.199015875660798</v>
      </c>
      <c r="Y4" s="3">
        <v>58.415630955625701</v>
      </c>
      <c r="Z4" s="3">
        <v>56.793581206482898</v>
      </c>
      <c r="AA4" s="3">
        <v>2.8777102457363499</v>
      </c>
      <c r="AB4" s="3">
        <v>765.28844342686398</v>
      </c>
      <c r="AC4" s="3">
        <v>12.519851009153101</v>
      </c>
      <c r="AD4" s="3">
        <v>0</v>
      </c>
      <c r="AE4" s="3">
        <v>171.70443441704001</v>
      </c>
      <c r="AF4" s="3">
        <v>111.932469452001</v>
      </c>
      <c r="AG4" s="3">
        <v>25.255095769421999</v>
      </c>
      <c r="AH4" s="3">
        <v>-85.274189704206094</v>
      </c>
      <c r="AI4" s="3">
        <v>4838230.0999999996</v>
      </c>
      <c r="AJ4" s="3">
        <v>2.7651780543365298E-4</v>
      </c>
      <c r="AK4" s="3">
        <v>79</v>
      </c>
      <c r="AL4" s="3">
        <f t="shared" si="0"/>
        <v>1.677160672547089E-2</v>
      </c>
      <c r="AM4" s="4">
        <f t="shared" si="1"/>
        <v>0.5747753835975612</v>
      </c>
      <c r="AN4" s="4">
        <f t="shared" si="2"/>
        <v>1.6771711132562678E-2</v>
      </c>
    </row>
    <row r="5" spans="1:40" x14ac:dyDescent="0.25">
      <c r="A5" s="3">
        <v>4</v>
      </c>
      <c r="B5" s="3">
        <v>85</v>
      </c>
      <c r="C5" s="3">
        <v>-125</v>
      </c>
      <c r="D5" s="3">
        <v>0.14115249188214901</v>
      </c>
      <c r="E5" s="3">
        <v>0.61778429933657897</v>
      </c>
      <c r="F5" s="3">
        <v>0.47663180745443001</v>
      </c>
      <c r="G5" s="3">
        <v>4.8804531330933099E-2</v>
      </c>
      <c r="H5" s="3">
        <v>1.7513520548055699E-2</v>
      </c>
      <c r="I5" s="3">
        <v>4.8804531330933099E-2</v>
      </c>
      <c r="J5" s="3">
        <v>0.502658213174074</v>
      </c>
      <c r="K5" s="4">
        <v>3.5029525835228902E-6</v>
      </c>
      <c r="L5" s="3">
        <v>90.001226913255394</v>
      </c>
      <c r="M5" s="3">
        <v>0</v>
      </c>
      <c r="N5" s="3">
        <v>9.9987730867446096</v>
      </c>
      <c r="O5" s="3">
        <v>37.6714377780932</v>
      </c>
      <c r="P5" s="3">
        <v>44.905550722260898</v>
      </c>
      <c r="Q5" s="3">
        <v>17.423011499645899</v>
      </c>
      <c r="R5" s="3">
        <v>0</v>
      </c>
      <c r="S5" s="3">
        <v>44.905550722260898</v>
      </c>
      <c r="T5" s="3">
        <v>0.690470002645034</v>
      </c>
      <c r="U5" s="3">
        <v>-133.12080055489301</v>
      </c>
      <c r="V5" s="3">
        <v>0</v>
      </c>
      <c r="W5" s="3">
        <v>100</v>
      </c>
      <c r="X5" s="3">
        <v>47.410320721498501</v>
      </c>
      <c r="Y5" s="3">
        <v>58.711937733355597</v>
      </c>
      <c r="Z5" s="3">
        <v>55.589670983048002</v>
      </c>
      <c r="AA5" s="3">
        <v>3.1564457737434699</v>
      </c>
      <c r="AB5" s="3">
        <v>768.37130457085902</v>
      </c>
      <c r="AC5" s="3">
        <v>23.113455991075</v>
      </c>
      <c r="AD5" s="3">
        <v>0</v>
      </c>
      <c r="AE5" s="3">
        <v>172.79743428782501</v>
      </c>
      <c r="AF5" s="3">
        <v>111.990249351918</v>
      </c>
      <c r="AG5" s="3">
        <v>25.108658814666999</v>
      </c>
      <c r="AH5" s="3">
        <v>-48.731555049428302</v>
      </c>
      <c r="AI5" s="3">
        <v>40793430</v>
      </c>
      <c r="AJ5" s="3">
        <v>1.63432249347094E-2</v>
      </c>
      <c r="AK5" s="3">
        <v>426</v>
      </c>
      <c r="AL5" s="3">
        <f t="shared" si="0"/>
        <v>0.22848183748555712</v>
      </c>
      <c r="AM5" s="4">
        <f t="shared" si="1"/>
        <v>0.61778079638399541</v>
      </c>
      <c r="AN5" s="4">
        <f t="shared" si="2"/>
        <v>0.22848313302767756</v>
      </c>
    </row>
    <row r="6" spans="1:40" x14ac:dyDescent="0.25">
      <c r="A6" s="3">
        <v>5</v>
      </c>
      <c r="B6" s="3">
        <v>85</v>
      </c>
      <c r="C6" s="3">
        <v>-100</v>
      </c>
      <c r="D6" s="3">
        <v>0.90706868060088996</v>
      </c>
      <c r="E6" s="3">
        <v>0.66142055417928403</v>
      </c>
      <c r="F6" s="3">
        <v>-0.24564812642160599</v>
      </c>
      <c r="G6" s="3">
        <v>4.8376106392566398E-2</v>
      </c>
      <c r="H6" s="3">
        <v>1.7488354049582999E-2</v>
      </c>
      <c r="I6" s="3">
        <v>4.8376106392566398E-2</v>
      </c>
      <c r="J6" s="3">
        <v>0.54717641518889104</v>
      </c>
      <c r="K6" s="4">
        <v>3.5721556772686999E-6</v>
      </c>
      <c r="L6" s="3">
        <v>80.917392809808206</v>
      </c>
      <c r="M6" s="3">
        <v>0.41989199133710797</v>
      </c>
      <c r="N6" s="3">
        <v>18.662715198854698</v>
      </c>
      <c r="O6" s="3">
        <v>37.757924733796202</v>
      </c>
      <c r="P6" s="3">
        <v>44.740803778108898</v>
      </c>
      <c r="Q6" s="3">
        <v>17.501271488095</v>
      </c>
      <c r="R6" s="3">
        <v>0</v>
      </c>
      <c r="S6" s="3">
        <v>44.740803778108898</v>
      </c>
      <c r="T6" s="3">
        <v>0.68504521675443997</v>
      </c>
      <c r="U6" s="3">
        <v>-109.163904269113</v>
      </c>
      <c r="V6" s="3">
        <v>2.8742042902109199E-2</v>
      </c>
      <c r="W6" s="3">
        <v>99.763497444347806</v>
      </c>
      <c r="X6" s="3">
        <v>46.954982549606001</v>
      </c>
      <c r="Y6" s="3">
        <v>59.750874453629102</v>
      </c>
      <c r="Z6" s="3">
        <v>54.625054713048797</v>
      </c>
      <c r="AA6" s="3">
        <v>3.3131996670323498</v>
      </c>
      <c r="AB6" s="3">
        <v>766.40042409415196</v>
      </c>
      <c r="AC6" s="3">
        <v>18.0264700895099</v>
      </c>
      <c r="AD6" s="3">
        <v>0</v>
      </c>
      <c r="AE6" s="3">
        <v>172.22083352425199</v>
      </c>
      <c r="AF6" s="3">
        <v>111.98486918781001</v>
      </c>
      <c r="AG6" s="3">
        <v>25.6685831280084</v>
      </c>
      <c r="AH6" s="3">
        <v>-32.211756358000798</v>
      </c>
      <c r="AI6" s="3">
        <v>292461448.5</v>
      </c>
      <c r="AJ6" s="3">
        <v>8.2752552046808606E-2</v>
      </c>
      <c r="AK6" s="3">
        <v>1776</v>
      </c>
      <c r="AL6" s="3">
        <f t="shared" si="0"/>
        <v>1.3713947576461629</v>
      </c>
      <c r="AM6" s="4">
        <f t="shared" si="1"/>
        <v>0.66141698202360677</v>
      </c>
      <c r="AN6" s="4">
        <f t="shared" si="2"/>
        <v>1.3714021642228043</v>
      </c>
    </row>
    <row r="7" spans="1:40" x14ac:dyDescent="0.25">
      <c r="A7" s="3">
        <v>6</v>
      </c>
      <c r="B7" s="3">
        <v>85</v>
      </c>
      <c r="C7" s="3">
        <v>-75</v>
      </c>
      <c r="D7" s="3">
        <v>0.76095870642797703</v>
      </c>
      <c r="E7" s="3">
        <v>0.70191569631850304</v>
      </c>
      <c r="F7" s="3">
        <v>-5.9043010109473597E-2</v>
      </c>
      <c r="G7" s="3">
        <v>4.8319816271105799E-2</v>
      </c>
      <c r="H7" s="3">
        <v>1.8583312724752301E-2</v>
      </c>
      <c r="I7" s="3">
        <v>4.8319816271105799E-2</v>
      </c>
      <c r="J7" s="3">
        <v>0.586689107753397</v>
      </c>
      <c r="K7" s="4">
        <v>3.6432981426265699E-6</v>
      </c>
      <c r="L7" s="3">
        <v>58.648727997411697</v>
      </c>
      <c r="M7" s="3">
        <v>2.0224149644622398</v>
      </c>
      <c r="N7" s="3">
        <v>39.328857038126003</v>
      </c>
      <c r="O7" s="3">
        <v>40.973885927819502</v>
      </c>
      <c r="P7" s="3">
        <v>40.060149488570602</v>
      </c>
      <c r="Q7" s="3">
        <v>18.9659645836099</v>
      </c>
      <c r="R7" s="3">
        <v>0</v>
      </c>
      <c r="S7" s="3">
        <v>40.060149488570602</v>
      </c>
      <c r="T7" s="3">
        <v>0.73618946474736102</v>
      </c>
      <c r="U7" s="3">
        <v>-84.715076817155094</v>
      </c>
      <c r="V7" s="3">
        <v>0.88425165945157702</v>
      </c>
      <c r="W7" s="3">
        <v>99.827574314644394</v>
      </c>
      <c r="X7" s="3">
        <v>45.456370910382397</v>
      </c>
      <c r="Y7" s="3">
        <v>60.769939254552099</v>
      </c>
      <c r="Z7" s="3">
        <v>54.4914306966973</v>
      </c>
      <c r="AA7" s="3">
        <v>3.4142877394780702</v>
      </c>
      <c r="AB7" s="3">
        <v>765.78828990433794</v>
      </c>
      <c r="AC7" s="3">
        <v>13.794965083123699</v>
      </c>
      <c r="AD7" s="3">
        <v>0</v>
      </c>
      <c r="AE7" s="3">
        <v>172.14494554989301</v>
      </c>
      <c r="AF7" s="3">
        <v>112.012714523887</v>
      </c>
      <c r="AG7" s="3">
        <v>26.7253979007344</v>
      </c>
      <c r="AH7" s="3">
        <v>-22.771077717510298</v>
      </c>
      <c r="AI7" s="3">
        <v>1362747447.2</v>
      </c>
      <c r="AJ7" s="3">
        <v>6.4555039854858096E-2</v>
      </c>
      <c r="AK7" s="3">
        <v>4934</v>
      </c>
      <c r="AL7" s="3">
        <f t="shared" si="0"/>
        <v>1.0841169536728561</v>
      </c>
      <c r="AM7" s="4">
        <f t="shared" si="1"/>
        <v>0.70191205302036042</v>
      </c>
      <c r="AN7" s="4">
        <f t="shared" si="2"/>
        <v>1.0841225808184032</v>
      </c>
    </row>
    <row r="8" spans="1:40" x14ac:dyDescent="0.25">
      <c r="A8" s="3">
        <v>7</v>
      </c>
      <c r="B8" s="3">
        <v>85</v>
      </c>
      <c r="C8" s="3">
        <v>-50</v>
      </c>
      <c r="D8" s="3">
        <v>0.76693221991233096</v>
      </c>
      <c r="E8" s="3">
        <v>0.74654345260941701</v>
      </c>
      <c r="F8" s="3">
        <v>-2.03887673029143E-2</v>
      </c>
      <c r="G8" s="3">
        <v>4.8436428503806903E-2</v>
      </c>
      <c r="H8" s="3">
        <v>1.9960504762415E-2</v>
      </c>
      <c r="I8" s="3">
        <v>4.8436428503806903E-2</v>
      </c>
      <c r="J8" s="3">
        <v>0.629703119549747</v>
      </c>
      <c r="K8" s="4">
        <v>6.9712896415428402E-6</v>
      </c>
      <c r="L8" s="3">
        <v>32.213785392876296</v>
      </c>
      <c r="M8" s="3">
        <v>4.0655286116554796</v>
      </c>
      <c r="N8" s="3">
        <v>63.720685995468202</v>
      </c>
      <c r="O8" s="3">
        <v>40.527241304550998</v>
      </c>
      <c r="P8" s="3">
        <v>39.680707367690403</v>
      </c>
      <c r="Q8" s="3">
        <v>19.7920513277586</v>
      </c>
      <c r="R8" s="3">
        <v>0</v>
      </c>
      <c r="S8" s="3">
        <v>39.680707367690403</v>
      </c>
      <c r="T8" s="3">
        <v>0.79686923514841501</v>
      </c>
      <c r="U8" s="3">
        <v>-60.256100896367002</v>
      </c>
      <c r="V8" s="3">
        <v>42.597235861731797</v>
      </c>
      <c r="W8" s="3">
        <v>99.866005323585796</v>
      </c>
      <c r="X8" s="3">
        <v>43.3033716722178</v>
      </c>
      <c r="Y8" s="3">
        <v>61.6769879913263</v>
      </c>
      <c r="Z8" s="3">
        <v>54.751453529952997</v>
      </c>
      <c r="AA8" s="3">
        <v>3.49995936520002</v>
      </c>
      <c r="AB8" s="3">
        <v>766.51563823501203</v>
      </c>
      <c r="AC8" s="3">
        <v>13.4235247082197</v>
      </c>
      <c r="AD8" s="3">
        <v>0</v>
      </c>
      <c r="AE8" s="3">
        <v>172.14628594883399</v>
      </c>
      <c r="AF8" s="3">
        <v>112.031471687435</v>
      </c>
      <c r="AG8" s="3">
        <v>27.165402627006799</v>
      </c>
      <c r="AH8" s="3">
        <v>-16.7301479362355</v>
      </c>
      <c r="AI8" s="3">
        <v>5414954180.1000004</v>
      </c>
      <c r="AJ8" s="3">
        <v>7.2395992185729993E-2</v>
      </c>
      <c r="AK8" s="3">
        <v>12917</v>
      </c>
      <c r="AL8" s="3">
        <f t="shared" si="0"/>
        <v>1.0273108915919742</v>
      </c>
      <c r="AM8" s="4">
        <f t="shared" si="1"/>
        <v>0.74653648131977546</v>
      </c>
      <c r="AN8" s="4">
        <f t="shared" si="2"/>
        <v>1.0273204848026967</v>
      </c>
    </row>
    <row r="9" spans="1:40" x14ac:dyDescent="0.25">
      <c r="A9" s="3">
        <v>8</v>
      </c>
      <c r="B9" s="3">
        <v>85</v>
      </c>
      <c r="C9" s="3">
        <v>-25</v>
      </c>
      <c r="D9" s="3">
        <v>0.82024288045910798</v>
      </c>
      <c r="E9" s="3">
        <v>0.83114118602081</v>
      </c>
      <c r="F9" s="3">
        <v>1.08983055617021E-2</v>
      </c>
      <c r="G9" s="3">
        <v>4.8746607503963403E-2</v>
      </c>
      <c r="H9" s="3">
        <v>1.9833526613671999E-2</v>
      </c>
      <c r="I9" s="3">
        <v>4.8746607503963403E-2</v>
      </c>
      <c r="J9" s="3">
        <v>0.70595514301710305</v>
      </c>
      <c r="K9" s="3">
        <v>7.8593013821080995E-3</v>
      </c>
      <c r="L9" s="3">
        <v>22.425253448136498</v>
      </c>
      <c r="M9" s="3">
        <v>5.1251744834420396</v>
      </c>
      <c r="N9" s="3">
        <v>72.449572068421404</v>
      </c>
      <c r="O9" s="3">
        <v>38.099501198178601</v>
      </c>
      <c r="P9" s="3">
        <v>42.657715464400603</v>
      </c>
      <c r="Q9" s="3">
        <v>19.2427833374208</v>
      </c>
      <c r="R9" s="3">
        <v>0</v>
      </c>
      <c r="S9" s="3">
        <v>42.657715464400603</v>
      </c>
      <c r="T9" s="3">
        <v>0.79039047639828197</v>
      </c>
      <c r="U9" s="3">
        <v>-36.417066423795802</v>
      </c>
      <c r="V9" s="3">
        <v>185.69905208359</v>
      </c>
      <c r="W9" s="3">
        <v>99.830364067113095</v>
      </c>
      <c r="X9" s="3">
        <v>42.6054046072882</v>
      </c>
      <c r="Y9" s="3">
        <v>61.902917210939698</v>
      </c>
      <c r="Z9" s="3">
        <v>55.4543189067575</v>
      </c>
      <c r="AA9" s="3">
        <v>3.6352381281817698</v>
      </c>
      <c r="AB9" s="3">
        <v>764.06892953525403</v>
      </c>
      <c r="AC9" s="3">
        <v>18.3608101900561</v>
      </c>
      <c r="AD9" s="3">
        <v>0</v>
      </c>
      <c r="AE9" s="3">
        <v>172.65669128835901</v>
      </c>
      <c r="AF9" s="3">
        <v>112.156261106209</v>
      </c>
      <c r="AG9" s="3">
        <v>29.2606176628762</v>
      </c>
      <c r="AH9" s="3">
        <v>-8.1881607295432204</v>
      </c>
      <c r="AI9" s="3">
        <v>12558200935</v>
      </c>
      <c r="AJ9" s="3">
        <v>8.19881714091905E-2</v>
      </c>
      <c r="AK9" s="3">
        <v>27872</v>
      </c>
      <c r="AL9" s="3">
        <f t="shared" si="0"/>
        <v>0.98688753999320022</v>
      </c>
      <c r="AM9" s="4">
        <f t="shared" si="1"/>
        <v>0.82328188463870189</v>
      </c>
      <c r="AN9" s="4">
        <f t="shared" si="2"/>
        <v>0.99630867114132171</v>
      </c>
    </row>
    <row r="10" spans="1:40" x14ac:dyDescent="0.25">
      <c r="A10" s="3">
        <v>9</v>
      </c>
      <c r="B10" s="3">
        <v>85</v>
      </c>
      <c r="C10" s="3">
        <v>0</v>
      </c>
      <c r="D10" s="3">
        <v>0.82501349307622196</v>
      </c>
      <c r="E10" s="3">
        <v>0.87045679467590198</v>
      </c>
      <c r="F10" s="3">
        <v>4.54433015996797E-2</v>
      </c>
      <c r="G10" s="3">
        <v>4.93965245078603E-2</v>
      </c>
      <c r="H10" s="3">
        <v>2.1161238430802001E-2</v>
      </c>
      <c r="I10" s="3">
        <v>4.93965245078603E-2</v>
      </c>
      <c r="J10" s="3">
        <v>0.71783963323031696</v>
      </c>
      <c r="K10" s="3">
        <v>3.2662873999061502E-2</v>
      </c>
      <c r="L10" s="3">
        <v>19.537962157881299</v>
      </c>
      <c r="M10" s="3">
        <v>5.5501925171908404</v>
      </c>
      <c r="N10" s="3">
        <v>74.911845324927896</v>
      </c>
      <c r="O10" s="3">
        <v>33.573063315869199</v>
      </c>
      <c r="P10" s="3">
        <v>47.743112674918798</v>
      </c>
      <c r="Q10" s="3">
        <v>18.6838240092119</v>
      </c>
      <c r="R10" s="3">
        <v>0</v>
      </c>
      <c r="S10" s="3">
        <v>47.743112674918798</v>
      </c>
      <c r="T10" s="3">
        <v>0.82352015779479704</v>
      </c>
      <c r="U10" s="3">
        <v>-12.135709342727299</v>
      </c>
      <c r="V10" s="3">
        <v>610.18664213930799</v>
      </c>
      <c r="W10" s="3">
        <v>99.794974294620005</v>
      </c>
      <c r="X10" s="3">
        <v>42.284064141918002</v>
      </c>
      <c r="Y10" s="3">
        <v>61.607393500710899</v>
      </c>
      <c r="Z10" s="3">
        <v>56.951775177585503</v>
      </c>
      <c r="AA10" s="3">
        <v>3.83527945019312</v>
      </c>
      <c r="AB10" s="3">
        <v>761.17357587880201</v>
      </c>
      <c r="AC10" s="3">
        <v>25.154324635066502</v>
      </c>
      <c r="AD10" s="3">
        <v>0</v>
      </c>
      <c r="AE10" s="3">
        <v>171.46038315133501</v>
      </c>
      <c r="AF10" s="3">
        <v>112.08185642535599</v>
      </c>
      <c r="AG10" s="3">
        <v>30.864216657301299</v>
      </c>
      <c r="AH10" s="3">
        <v>-0.11372950533618501</v>
      </c>
      <c r="AI10" s="3">
        <v>19368821291.700001</v>
      </c>
      <c r="AJ10" s="3">
        <v>7.7014135703379005E-2</v>
      </c>
      <c r="AK10" s="3">
        <v>47319</v>
      </c>
      <c r="AL10" s="3">
        <f t="shared" si="0"/>
        <v>0.94779373097248332</v>
      </c>
      <c r="AM10" s="4">
        <f t="shared" si="1"/>
        <v>0.83779392067684044</v>
      </c>
      <c r="AN10" s="4">
        <f t="shared" si="2"/>
        <v>0.98474514163304816</v>
      </c>
    </row>
    <row r="11" spans="1:40" x14ac:dyDescent="0.25">
      <c r="A11" s="3">
        <v>10</v>
      </c>
      <c r="B11" s="3">
        <v>110</v>
      </c>
      <c r="C11" s="3">
        <v>-200</v>
      </c>
      <c r="D11" s="3">
        <v>0</v>
      </c>
      <c r="E11" s="3">
        <v>0.56151325953921705</v>
      </c>
      <c r="F11" s="3">
        <v>0.56151325953921705</v>
      </c>
      <c r="G11" s="3">
        <v>4.63679339383231E-2</v>
      </c>
      <c r="H11" s="3">
        <v>7.0095480037455603E-3</v>
      </c>
      <c r="I11" s="3">
        <v>4.63679339383231E-2</v>
      </c>
      <c r="J11" s="3">
        <v>0.461762986275292</v>
      </c>
      <c r="K11" s="4">
        <v>4.8573835333944901E-6</v>
      </c>
      <c r="L11" s="3">
        <v>0</v>
      </c>
      <c r="M11" s="3">
        <v>0</v>
      </c>
      <c r="N11" s="3">
        <v>100</v>
      </c>
      <c r="O11" s="3">
        <v>100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-207.20459285984401</v>
      </c>
      <c r="V11" s="3">
        <v>0</v>
      </c>
      <c r="W11" s="3">
        <v>100</v>
      </c>
      <c r="X11" s="3">
        <v>69.034099070848399</v>
      </c>
      <c r="Y11" s="3">
        <v>93.667049464276602</v>
      </c>
      <c r="Z11" s="3">
        <v>49.998468904423603</v>
      </c>
      <c r="AA11" s="3">
        <v>2.5</v>
      </c>
      <c r="AB11" s="3">
        <v>647</v>
      </c>
      <c r="AC11" s="3">
        <v>0</v>
      </c>
      <c r="AD11" s="3">
        <v>0</v>
      </c>
      <c r="AE11" s="3">
        <v>168.031419440147</v>
      </c>
      <c r="AF11" s="3">
        <v>111.599770264516</v>
      </c>
      <c r="AG11" s="3">
        <v>24.7665912739647</v>
      </c>
      <c r="AH11" s="3">
        <v>-110.7</v>
      </c>
      <c r="AI11" s="3">
        <v>281105.90000000002</v>
      </c>
      <c r="AJ11" s="3">
        <v>0</v>
      </c>
      <c r="AK11" s="3">
        <v>3</v>
      </c>
      <c r="AL11" s="3">
        <f t="shared" si="0"/>
        <v>0</v>
      </c>
      <c r="AM11" s="4">
        <f t="shared" si="1"/>
        <v>0.56150840215568365</v>
      </c>
      <c r="AN11" s="4">
        <f t="shared" si="2"/>
        <v>0</v>
      </c>
    </row>
    <row r="12" spans="1:40" x14ac:dyDescent="0.25">
      <c r="A12" s="3">
        <v>11</v>
      </c>
      <c r="B12" s="3">
        <v>110</v>
      </c>
      <c r="C12" s="3">
        <v>-175</v>
      </c>
      <c r="D12" s="3">
        <v>0</v>
      </c>
      <c r="E12" s="3">
        <v>0.61976028905386804</v>
      </c>
      <c r="F12" s="3">
        <v>0.61976028905386804</v>
      </c>
      <c r="G12" s="3">
        <v>4.8825977875538502E-2</v>
      </c>
      <c r="H12" s="3">
        <v>7.0621007871939402E-3</v>
      </c>
      <c r="I12" s="3">
        <v>4.8825977875538502E-2</v>
      </c>
      <c r="J12" s="3">
        <v>0.51504147484612905</v>
      </c>
      <c r="K12" s="4">
        <v>4.7576694677021104E-6</v>
      </c>
      <c r="L12" s="3">
        <v>17.796536668190399</v>
      </c>
      <c r="M12" s="3">
        <v>0</v>
      </c>
      <c r="N12" s="3">
        <v>82.203463331809601</v>
      </c>
      <c r="O12" s="3">
        <v>82.203463331809601</v>
      </c>
      <c r="P12" s="3">
        <v>17.796536668190399</v>
      </c>
      <c r="Q12" s="3">
        <v>0</v>
      </c>
      <c r="R12" s="3">
        <v>0</v>
      </c>
      <c r="S12" s="3">
        <v>17.796536668190399</v>
      </c>
      <c r="T12" s="3">
        <v>5.3389610004571098E-2</v>
      </c>
      <c r="U12" s="3">
        <v>-187.85595102234799</v>
      </c>
      <c r="V12" s="3">
        <v>0</v>
      </c>
      <c r="W12" s="3">
        <v>100</v>
      </c>
      <c r="X12" s="3">
        <v>63.328055328524499</v>
      </c>
      <c r="Y12" s="3">
        <v>90.624981691238403</v>
      </c>
      <c r="Z12" s="3">
        <v>55.701480454207697</v>
      </c>
      <c r="AA12" s="3">
        <v>2.5533896100045701</v>
      </c>
      <c r="AB12" s="3">
        <v>662.48298690132594</v>
      </c>
      <c r="AC12" s="3">
        <v>0</v>
      </c>
      <c r="AD12" s="3">
        <v>0</v>
      </c>
      <c r="AE12" s="3">
        <v>172.987487515748</v>
      </c>
      <c r="AF12" s="3">
        <v>112.11597718783599</v>
      </c>
      <c r="AG12" s="3">
        <v>25.3284846496245</v>
      </c>
      <c r="AH12" s="3">
        <v>-106.944930763012</v>
      </c>
      <c r="AI12" s="3">
        <v>451969.4</v>
      </c>
      <c r="AJ12" s="3">
        <v>0</v>
      </c>
      <c r="AK12" s="3">
        <v>5</v>
      </c>
      <c r="AL12" s="3">
        <f t="shared" si="0"/>
        <v>0</v>
      </c>
      <c r="AM12" s="4">
        <f t="shared" si="1"/>
        <v>0.61975553138440032</v>
      </c>
      <c r="AN12" s="4">
        <f t="shared" si="2"/>
        <v>0</v>
      </c>
    </row>
    <row r="13" spans="1:40" x14ac:dyDescent="0.25">
      <c r="A13" s="3">
        <v>12</v>
      </c>
      <c r="B13" s="3">
        <v>110</v>
      </c>
      <c r="C13" s="3">
        <v>-150</v>
      </c>
      <c r="D13" s="3">
        <v>0.80176924152882501</v>
      </c>
      <c r="E13" s="3">
        <v>0.57880455259752595</v>
      </c>
      <c r="F13" s="3">
        <v>-0.222964688931299</v>
      </c>
      <c r="G13" s="3">
        <v>4.8826038693448502E-2</v>
      </c>
      <c r="H13" s="3">
        <v>5.90533291641125E-3</v>
      </c>
      <c r="I13" s="3">
        <v>4.8826038693448502E-2</v>
      </c>
      <c r="J13" s="3">
        <v>0.47524251125349798</v>
      </c>
      <c r="K13" s="4">
        <v>4.6310407197566996E-6</v>
      </c>
      <c r="L13" s="3">
        <v>57.830990067897297</v>
      </c>
      <c r="M13" s="3">
        <v>0</v>
      </c>
      <c r="N13" s="3">
        <v>42.169009932102703</v>
      </c>
      <c r="O13" s="3">
        <v>49.010422149699998</v>
      </c>
      <c r="P13" s="3">
        <v>41.707540237676703</v>
      </c>
      <c r="Q13" s="3">
        <v>9.2820376126232897</v>
      </c>
      <c r="R13" s="3">
        <v>0</v>
      </c>
      <c r="S13" s="3">
        <v>41.707540237676703</v>
      </c>
      <c r="T13" s="3">
        <v>8.9880487320662297E-2</v>
      </c>
      <c r="U13" s="3">
        <v>-159.03651918454599</v>
      </c>
      <c r="V13" s="3">
        <v>0</v>
      </c>
      <c r="W13" s="3">
        <v>100</v>
      </c>
      <c r="X13" s="3">
        <v>60.509717753423899</v>
      </c>
      <c r="Y13" s="3">
        <v>87.122493776337507</v>
      </c>
      <c r="Z13" s="3">
        <v>55.643546372113697</v>
      </c>
      <c r="AA13" s="3">
        <v>2.8455322114736199</v>
      </c>
      <c r="AB13" s="3">
        <v>723.18690189669303</v>
      </c>
      <c r="AC13" s="3">
        <v>5.8011329727239298</v>
      </c>
      <c r="AD13" s="3">
        <v>0</v>
      </c>
      <c r="AE13" s="3">
        <v>172.85268779200601</v>
      </c>
      <c r="AF13" s="3">
        <v>112.034770238642</v>
      </c>
      <c r="AG13" s="3">
        <v>26.372850506749501</v>
      </c>
      <c r="AH13" s="3">
        <v>-82.086953698355401</v>
      </c>
      <c r="AI13" s="3">
        <v>3028281.2</v>
      </c>
      <c r="AJ13" s="3">
        <v>3.2879311436662097E-2</v>
      </c>
      <c r="AK13" s="3">
        <v>34</v>
      </c>
      <c r="AL13" s="3">
        <f t="shared" si="0"/>
        <v>1.3852158521053279</v>
      </c>
      <c r="AM13" s="4">
        <f t="shared" si="1"/>
        <v>0.57879992155680615</v>
      </c>
      <c r="AN13" s="4">
        <f t="shared" si="2"/>
        <v>1.3852269353670525</v>
      </c>
    </row>
    <row r="14" spans="1:40" x14ac:dyDescent="0.25">
      <c r="A14" s="3">
        <v>13</v>
      </c>
      <c r="B14" s="3">
        <v>110</v>
      </c>
      <c r="C14" s="3">
        <v>-125</v>
      </c>
      <c r="D14" s="3">
        <v>0.25237078541822899</v>
      </c>
      <c r="E14" s="3">
        <v>0.58414942614754095</v>
      </c>
      <c r="F14" s="3">
        <v>0.33177864072931201</v>
      </c>
      <c r="G14" s="3">
        <v>4.8616782253292599E-2</v>
      </c>
      <c r="H14" s="3">
        <v>1.23485300185101E-2</v>
      </c>
      <c r="I14" s="3">
        <v>4.8616782253292599E-2</v>
      </c>
      <c r="J14" s="3">
        <v>0.47456285013000599</v>
      </c>
      <c r="K14" s="4">
        <v>4.4814924388677803E-6</v>
      </c>
      <c r="L14" s="3">
        <v>84.008434706145593</v>
      </c>
      <c r="M14" s="3">
        <v>0</v>
      </c>
      <c r="N14" s="3">
        <v>15.9915652938544</v>
      </c>
      <c r="O14" s="3">
        <v>33.6009496469647</v>
      </c>
      <c r="P14" s="3">
        <v>48.787248476217201</v>
      </c>
      <c r="Q14" s="3">
        <v>17.611801876818198</v>
      </c>
      <c r="R14" s="3">
        <v>0</v>
      </c>
      <c r="S14" s="3">
        <v>48.787248476217201</v>
      </c>
      <c r="T14" s="3">
        <v>0.45294671009222698</v>
      </c>
      <c r="U14" s="3">
        <v>-132.54226861597999</v>
      </c>
      <c r="V14" s="3">
        <v>0</v>
      </c>
      <c r="W14" s="3">
        <v>100</v>
      </c>
      <c r="X14" s="3">
        <v>49.018061667763597</v>
      </c>
      <c r="Y14" s="3">
        <v>86.123752790886002</v>
      </c>
      <c r="Z14" s="3">
        <v>55.2046453354642</v>
      </c>
      <c r="AA14" s="3">
        <v>3.1780868009415202</v>
      </c>
      <c r="AB14" s="3">
        <v>770.84983199836904</v>
      </c>
      <c r="AC14" s="3">
        <v>23.083586315136301</v>
      </c>
      <c r="AD14" s="3">
        <v>0</v>
      </c>
      <c r="AE14" s="3">
        <v>173.10434369219101</v>
      </c>
      <c r="AF14" s="3">
        <v>111.964832762949</v>
      </c>
      <c r="AG14" s="3">
        <v>24.1604648980835</v>
      </c>
      <c r="AH14" s="3">
        <v>-44.472551593368202</v>
      </c>
      <c r="AI14" s="3">
        <v>39035811.600000001</v>
      </c>
      <c r="AJ14" s="3">
        <v>2.9490900091469201E-2</v>
      </c>
      <c r="AK14" s="3">
        <v>289</v>
      </c>
      <c r="AL14" s="3">
        <f t="shared" si="0"/>
        <v>0.43203121345613837</v>
      </c>
      <c r="AM14" s="4">
        <f t="shared" si="1"/>
        <v>0.58414494465510214</v>
      </c>
      <c r="AN14" s="4">
        <f t="shared" si="2"/>
        <v>0.43203452794962866</v>
      </c>
    </row>
    <row r="15" spans="1:40" x14ac:dyDescent="0.25">
      <c r="A15" s="3">
        <v>14</v>
      </c>
      <c r="B15" s="3">
        <v>110</v>
      </c>
      <c r="C15" s="3">
        <v>-100</v>
      </c>
      <c r="D15" s="3">
        <v>0.78584576868868605</v>
      </c>
      <c r="E15" s="3">
        <v>0.62261361392474601</v>
      </c>
      <c r="F15" s="3">
        <v>-0.16323215476394001</v>
      </c>
      <c r="G15" s="3">
        <v>4.8309876020482402E-2</v>
      </c>
      <c r="H15" s="3">
        <v>1.0654983856745201E-2</v>
      </c>
      <c r="I15" s="3">
        <v>4.8309876020482402E-2</v>
      </c>
      <c r="J15" s="3">
        <v>0.51533439929022995</v>
      </c>
      <c r="K15" s="4">
        <v>4.4787368060152804E-6</v>
      </c>
      <c r="L15" s="3">
        <v>74.356331581869199</v>
      </c>
      <c r="M15" s="3">
        <v>0.85800957763434604</v>
      </c>
      <c r="N15" s="3">
        <v>24.785658840496499</v>
      </c>
      <c r="O15" s="3">
        <v>31.856813095054399</v>
      </c>
      <c r="P15" s="3">
        <v>49.924814966646998</v>
      </c>
      <c r="Q15" s="3">
        <v>18.218371938298599</v>
      </c>
      <c r="R15" s="3">
        <v>0</v>
      </c>
      <c r="S15" s="3">
        <v>49.924814966646998</v>
      </c>
      <c r="T15" s="3">
        <v>0.40320447740593301</v>
      </c>
      <c r="U15" s="3">
        <v>-109.10618208425799</v>
      </c>
      <c r="V15" s="3">
        <v>9.87795815265698E-3</v>
      </c>
      <c r="W15" s="3">
        <v>100</v>
      </c>
      <c r="X15" s="3">
        <v>46.855817068907903</v>
      </c>
      <c r="Y15" s="3">
        <v>86.6548829896022</v>
      </c>
      <c r="Z15" s="3">
        <v>54.477160914831501</v>
      </c>
      <c r="AA15" s="3">
        <v>3.2885903486232602</v>
      </c>
      <c r="AB15" s="3">
        <v>769.82801561745498</v>
      </c>
      <c r="AC15" s="3">
        <v>18.099820478759298</v>
      </c>
      <c r="AD15" s="3">
        <v>0</v>
      </c>
      <c r="AE15" s="3">
        <v>172.17428033824501</v>
      </c>
      <c r="AF15" s="3">
        <v>111.967523211451</v>
      </c>
      <c r="AG15" s="3">
        <v>25.323958848695099</v>
      </c>
      <c r="AH15" s="3">
        <v>-33.570690494040697</v>
      </c>
      <c r="AI15" s="3">
        <v>392191752.60000002</v>
      </c>
      <c r="AJ15" s="3">
        <v>8.2967304490871599E-2</v>
      </c>
      <c r="AK15" s="3">
        <v>1627</v>
      </c>
      <c r="AL15" s="3">
        <f t="shared" si="0"/>
        <v>1.2621724792282965</v>
      </c>
      <c r="AM15" s="4">
        <f t="shared" si="1"/>
        <v>0.62260913518794003</v>
      </c>
      <c r="AN15" s="4">
        <f t="shared" si="2"/>
        <v>1.2621815586619551</v>
      </c>
    </row>
    <row r="16" spans="1:40" x14ac:dyDescent="0.25">
      <c r="A16" s="3">
        <v>15</v>
      </c>
      <c r="B16" s="3">
        <v>110</v>
      </c>
      <c r="C16" s="3">
        <v>-75</v>
      </c>
      <c r="D16" s="3">
        <v>0.66247028344860104</v>
      </c>
      <c r="E16" s="3">
        <v>0.66137800647507505</v>
      </c>
      <c r="F16" s="3">
        <v>-1.0922769735253501E-3</v>
      </c>
      <c r="G16" s="3">
        <v>4.8263871639751002E-2</v>
      </c>
      <c r="H16" s="3">
        <v>1.3406272639541099E-2</v>
      </c>
      <c r="I16" s="3">
        <v>4.8263871639751002E-2</v>
      </c>
      <c r="J16" s="3">
        <v>0.55143947470354004</v>
      </c>
      <c r="K16" s="4">
        <v>4.5158524917522203E-6</v>
      </c>
      <c r="L16" s="3">
        <v>50.099919860744102</v>
      </c>
      <c r="M16" s="3">
        <v>3.0672600061806499</v>
      </c>
      <c r="N16" s="3">
        <v>46.832820133075302</v>
      </c>
      <c r="O16" s="3">
        <v>37.184844854034303</v>
      </c>
      <c r="P16" s="3">
        <v>45.263147563231101</v>
      </c>
      <c r="Q16" s="3">
        <v>17.552007582734699</v>
      </c>
      <c r="R16" s="3">
        <v>0</v>
      </c>
      <c r="S16" s="3">
        <v>45.263147563231101</v>
      </c>
      <c r="T16" s="3">
        <v>0.51905823419326003</v>
      </c>
      <c r="U16" s="3">
        <v>-84.552756442767304</v>
      </c>
      <c r="V16" s="3">
        <v>0.83255626185293596</v>
      </c>
      <c r="W16" s="3">
        <v>99.901808393574896</v>
      </c>
      <c r="X16" s="3">
        <v>46.001376737472498</v>
      </c>
      <c r="Y16" s="3">
        <v>87.232573069225296</v>
      </c>
      <c r="Z16" s="3">
        <v>54.364122242127998</v>
      </c>
      <c r="AA16" s="3">
        <v>3.3796586685926902</v>
      </c>
      <c r="AB16" s="3">
        <v>769.55341853910704</v>
      </c>
      <c r="AC16" s="3">
        <v>13.6194261854166</v>
      </c>
      <c r="AD16" s="3">
        <v>0</v>
      </c>
      <c r="AE16" s="3">
        <v>172.09760711766</v>
      </c>
      <c r="AF16" s="3">
        <v>111.993728340388</v>
      </c>
      <c r="AG16" s="3">
        <v>26.308694989560301</v>
      </c>
      <c r="AH16" s="3">
        <v>-25.297059812794799</v>
      </c>
      <c r="AI16" s="3">
        <v>2144100766.4000001</v>
      </c>
      <c r="AJ16" s="3">
        <v>6.21342916391429E-2</v>
      </c>
      <c r="AK16" s="3">
        <v>4854</v>
      </c>
      <c r="AL16" s="3">
        <f t="shared" si="0"/>
        <v>1.0016515169280387</v>
      </c>
      <c r="AM16" s="4">
        <f t="shared" si="1"/>
        <v>0.66137349062258333</v>
      </c>
      <c r="AN16" s="4">
        <f t="shared" si="2"/>
        <v>1.00165835619596</v>
      </c>
    </row>
    <row r="17" spans="1:40" x14ac:dyDescent="0.25">
      <c r="A17" s="3">
        <v>16</v>
      </c>
      <c r="B17" s="3">
        <v>110</v>
      </c>
      <c r="C17" s="3">
        <v>-50</v>
      </c>
      <c r="D17" s="3">
        <v>0.75228695771266696</v>
      </c>
      <c r="E17" s="3">
        <v>0.70893957861357304</v>
      </c>
      <c r="F17" s="3">
        <v>-4.33473790990936E-2</v>
      </c>
      <c r="G17" s="3">
        <v>4.83975426975383E-2</v>
      </c>
      <c r="H17" s="3">
        <v>1.40277843127187E-2</v>
      </c>
      <c r="I17" s="3">
        <v>4.83975426975383E-2</v>
      </c>
      <c r="J17" s="3">
        <v>0.59723316977294605</v>
      </c>
      <c r="K17" s="3">
        <v>8.8353913283144303E-4</v>
      </c>
      <c r="L17" s="3">
        <v>24.271223211319001</v>
      </c>
      <c r="M17" s="3">
        <v>5.0317585834765897</v>
      </c>
      <c r="N17" s="3">
        <v>70.697018205204401</v>
      </c>
      <c r="O17" s="3">
        <v>37.7242021039877</v>
      </c>
      <c r="P17" s="3">
        <v>43.701056467934798</v>
      </c>
      <c r="Q17" s="3">
        <v>18.574741428077498</v>
      </c>
      <c r="R17" s="3">
        <v>0</v>
      </c>
      <c r="S17" s="3">
        <v>43.701056467934798</v>
      </c>
      <c r="T17" s="3">
        <v>0.54783242542936095</v>
      </c>
      <c r="U17" s="3">
        <v>-60.155596818898402</v>
      </c>
      <c r="V17" s="3">
        <v>41.256730490566902</v>
      </c>
      <c r="W17" s="3">
        <v>99.927709154440905</v>
      </c>
      <c r="X17" s="3">
        <v>44.833403669037899</v>
      </c>
      <c r="Y17" s="3">
        <v>87.415126533997807</v>
      </c>
      <c r="Z17" s="3">
        <v>54.662113964449098</v>
      </c>
      <c r="AA17" s="3">
        <v>3.4650275317386598</v>
      </c>
      <c r="AB17" s="3">
        <v>769.27382011176599</v>
      </c>
      <c r="AC17" s="3">
        <v>12.448164205848901</v>
      </c>
      <c r="AD17" s="3">
        <v>0</v>
      </c>
      <c r="AE17" s="3">
        <v>172.16096401258599</v>
      </c>
      <c r="AF17" s="3">
        <v>112.02862658801401</v>
      </c>
      <c r="AG17" s="3">
        <v>26.939713077399201</v>
      </c>
      <c r="AH17" s="3">
        <v>-19.792475279049899</v>
      </c>
      <c r="AI17" s="3">
        <v>9870188707.6000004</v>
      </c>
      <c r="AJ17" s="3">
        <v>7.7739479357627303E-2</v>
      </c>
      <c r="AK17" s="3">
        <v>13617</v>
      </c>
      <c r="AL17" s="3">
        <f t="shared" si="0"/>
        <v>1.0611439682685873</v>
      </c>
      <c r="AM17" s="4">
        <f t="shared" si="1"/>
        <v>0.70805603948074158</v>
      </c>
      <c r="AN17" s="4">
        <f t="shared" si="2"/>
        <v>1.0624681038867523</v>
      </c>
    </row>
    <row r="18" spans="1:40" x14ac:dyDescent="0.25">
      <c r="A18" s="3">
        <v>17</v>
      </c>
      <c r="B18" s="3">
        <v>110</v>
      </c>
      <c r="C18" s="3">
        <v>-25</v>
      </c>
      <c r="D18" s="3">
        <v>0.78261799640429697</v>
      </c>
      <c r="E18" s="3">
        <v>0.81052502339661203</v>
      </c>
      <c r="F18" s="3">
        <v>2.7907026992315599E-2</v>
      </c>
      <c r="G18" s="3">
        <v>4.87590885353478E-2</v>
      </c>
      <c r="H18" s="3">
        <v>1.5075200404070401E-2</v>
      </c>
      <c r="I18" s="3">
        <v>4.87590885353478E-2</v>
      </c>
      <c r="J18" s="3">
        <v>0.67458123542067705</v>
      </c>
      <c r="K18" s="3">
        <v>2.3350410501169299E-2</v>
      </c>
      <c r="L18" s="3">
        <v>16.4140791946175</v>
      </c>
      <c r="M18" s="3">
        <v>5.6362434331480404</v>
      </c>
      <c r="N18" s="3">
        <v>77.949677372234504</v>
      </c>
      <c r="O18" s="3">
        <v>34.871236644142598</v>
      </c>
      <c r="P18" s="3">
        <v>45.935205718038901</v>
      </c>
      <c r="Q18" s="3">
        <v>19.1935576378185</v>
      </c>
      <c r="R18" s="3">
        <v>0</v>
      </c>
      <c r="S18" s="3">
        <v>45.935205718038901</v>
      </c>
      <c r="T18" s="3">
        <v>0.58927435706989495</v>
      </c>
      <c r="U18" s="3">
        <v>-36.465225330140903</v>
      </c>
      <c r="V18" s="3">
        <v>175.51275015863399</v>
      </c>
      <c r="W18" s="3">
        <v>99.905811539072602</v>
      </c>
      <c r="X18" s="3">
        <v>44.213916563529402</v>
      </c>
      <c r="Y18" s="3">
        <v>87.421914873900704</v>
      </c>
      <c r="Z18" s="3">
        <v>55.482292648199099</v>
      </c>
      <c r="AA18" s="3">
        <v>3.5988541613759901</v>
      </c>
      <c r="AB18" s="3">
        <v>766.56300917793897</v>
      </c>
      <c r="AC18" s="3">
        <v>17.120929045888399</v>
      </c>
      <c r="AD18" s="3">
        <v>0</v>
      </c>
      <c r="AE18" s="3">
        <v>172.76898784933601</v>
      </c>
      <c r="AF18" s="3">
        <v>112.171340821207</v>
      </c>
      <c r="AG18" s="3">
        <v>29.3616042501679</v>
      </c>
      <c r="AH18" s="3">
        <v>-11.474915461483601</v>
      </c>
      <c r="AI18" s="3">
        <v>22538638913.799999</v>
      </c>
      <c r="AJ18" s="3">
        <v>7.1546799049604606E-2</v>
      </c>
      <c r="AK18" s="3">
        <v>29256</v>
      </c>
      <c r="AL18" s="3">
        <f t="shared" si="0"/>
        <v>0.96556919751179671</v>
      </c>
      <c r="AM18" s="4">
        <f t="shared" si="1"/>
        <v>0.78717461289544277</v>
      </c>
      <c r="AN18" s="4">
        <f t="shared" si="2"/>
        <v>0.99421142854901623</v>
      </c>
    </row>
    <row r="19" spans="1:40" x14ac:dyDescent="0.25">
      <c r="A19" s="3">
        <v>18</v>
      </c>
      <c r="B19" s="3">
        <v>110</v>
      </c>
      <c r="C19" s="3">
        <v>0</v>
      </c>
      <c r="D19" s="3">
        <v>0.87178375675221098</v>
      </c>
      <c r="E19" s="3">
        <v>0.860099508797319</v>
      </c>
      <c r="F19" s="3">
        <v>-1.1684247954891499E-2</v>
      </c>
      <c r="G19" s="3">
        <v>4.9485138753192201E-2</v>
      </c>
      <c r="H19" s="3">
        <v>1.83533129715002E-2</v>
      </c>
      <c r="I19" s="3">
        <v>4.9485138753192201E-2</v>
      </c>
      <c r="J19" s="3">
        <v>0.68485543437163598</v>
      </c>
      <c r="K19" s="3">
        <v>5.7920483947799299E-2</v>
      </c>
      <c r="L19" s="3">
        <v>14.031786508676401</v>
      </c>
      <c r="M19" s="3">
        <v>5.3741273248709902</v>
      </c>
      <c r="N19" s="3">
        <v>80.594086166452598</v>
      </c>
      <c r="O19" s="3">
        <v>30.310516154201601</v>
      </c>
      <c r="P19" s="3">
        <v>50.068340196433503</v>
      </c>
      <c r="Q19" s="3">
        <v>19.621143649364999</v>
      </c>
      <c r="R19" s="3">
        <v>0</v>
      </c>
      <c r="S19" s="3">
        <v>50.068340196433503</v>
      </c>
      <c r="T19" s="3">
        <v>0.69829929431724702</v>
      </c>
      <c r="U19" s="3">
        <v>-12.249196932098499</v>
      </c>
      <c r="V19" s="3">
        <v>596.17131428688106</v>
      </c>
      <c r="W19" s="3">
        <v>99.890882334087394</v>
      </c>
      <c r="X19" s="3">
        <v>44.065614364044997</v>
      </c>
      <c r="Y19" s="3">
        <v>87.419564735907002</v>
      </c>
      <c r="Z19" s="3">
        <v>57.157106784774903</v>
      </c>
      <c r="AA19" s="3">
        <v>3.80225893574486</v>
      </c>
      <c r="AB19" s="3">
        <v>763.30566466459095</v>
      </c>
      <c r="AC19" s="3">
        <v>22.503739665169899</v>
      </c>
      <c r="AD19" s="3">
        <v>0</v>
      </c>
      <c r="AE19" s="3">
        <v>171.33504213793299</v>
      </c>
      <c r="AF19" s="3">
        <v>112.075980099201</v>
      </c>
      <c r="AG19" s="3">
        <v>31.050414920165501</v>
      </c>
      <c r="AH19" s="3">
        <v>-4.5168701772823097</v>
      </c>
      <c r="AI19" s="3">
        <v>32534589612.5</v>
      </c>
      <c r="AJ19" s="3">
        <v>7.9223993900239001E-2</v>
      </c>
      <c r="AK19" s="3">
        <v>49889</v>
      </c>
      <c r="AL19" s="3">
        <f t="shared" si="0"/>
        <v>1.0135847629668224</v>
      </c>
      <c r="AM19" s="4">
        <f t="shared" si="1"/>
        <v>0.80217902484951975</v>
      </c>
      <c r="AN19" s="4">
        <f t="shared" si="2"/>
        <v>1.0867695735571599</v>
      </c>
    </row>
    <row r="20" spans="1:40" x14ac:dyDescent="0.25">
      <c r="A20" s="3">
        <v>19</v>
      </c>
      <c r="B20" s="3">
        <v>150</v>
      </c>
      <c r="C20" s="3">
        <v>-200</v>
      </c>
      <c r="D20" s="3">
        <v>0</v>
      </c>
      <c r="E20" s="3">
        <v>0.47559010894765202</v>
      </c>
      <c r="F20" s="3">
        <v>0.47559010894765202</v>
      </c>
      <c r="G20" s="3">
        <v>5.2374562962963001E-2</v>
      </c>
      <c r="H20" s="3">
        <v>6.6130836168570297E-4</v>
      </c>
      <c r="I20" s="3">
        <v>5.2374562962963001E-2</v>
      </c>
      <c r="J20" s="3">
        <v>0.37017503652970901</v>
      </c>
      <c r="K20" s="4">
        <v>4.6381303316231602E-6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-202.1</v>
      </c>
      <c r="V20" s="3">
        <v>0</v>
      </c>
      <c r="W20" s="3">
        <v>100</v>
      </c>
      <c r="X20" s="3">
        <v>41.5</v>
      </c>
      <c r="Y20" s="3">
        <v>128.80000000000001</v>
      </c>
      <c r="Z20" s="3">
        <v>64</v>
      </c>
      <c r="AA20" s="3">
        <v>2.6</v>
      </c>
      <c r="AB20" s="3">
        <v>778</v>
      </c>
      <c r="AC20" s="3">
        <v>100</v>
      </c>
      <c r="AD20" s="3">
        <v>0</v>
      </c>
      <c r="AE20" s="3">
        <v>179.2</v>
      </c>
      <c r="AF20" s="3">
        <v>112.2</v>
      </c>
      <c r="AG20" s="3">
        <v>20.9</v>
      </c>
      <c r="AH20" s="3">
        <v>-107</v>
      </c>
      <c r="AI20" s="3">
        <v>128882.9</v>
      </c>
      <c r="AJ20" s="3" t="s">
        <v>36</v>
      </c>
      <c r="AK20" s="3">
        <v>1</v>
      </c>
      <c r="AL20" s="3">
        <f t="shared" si="0"/>
        <v>0</v>
      </c>
      <c r="AM20" s="4">
        <f t="shared" si="1"/>
        <v>0.47558547081732039</v>
      </c>
      <c r="AN20" s="4">
        <f t="shared" si="2"/>
        <v>0</v>
      </c>
    </row>
    <row r="21" spans="1:40" x14ac:dyDescent="0.25">
      <c r="A21" s="3">
        <v>20</v>
      </c>
      <c r="B21" s="3">
        <v>150</v>
      </c>
      <c r="C21" s="3">
        <v>-175</v>
      </c>
      <c r="D21" s="3">
        <v>3.0158558698900298E-3</v>
      </c>
      <c r="E21" s="3">
        <v>0.49007335695425502</v>
      </c>
      <c r="F21" s="3">
        <v>0.48705750108436502</v>
      </c>
      <c r="G21" s="3">
        <v>4.8630407047420797E-2</v>
      </c>
      <c r="H21" s="3">
        <v>1.7276102316230899E-3</v>
      </c>
      <c r="I21" s="3">
        <v>4.8630407047420797E-2</v>
      </c>
      <c r="J21" s="3">
        <v>0.39108038117869698</v>
      </c>
      <c r="K21" s="4">
        <v>4.5514490932628202E-6</v>
      </c>
      <c r="L21" s="3">
        <v>88.576303523143807</v>
      </c>
      <c r="M21" s="3">
        <v>0</v>
      </c>
      <c r="N21" s="3">
        <v>11.4236964768562</v>
      </c>
      <c r="O21" s="3">
        <v>11.4236964768562</v>
      </c>
      <c r="P21" s="3">
        <v>88.576303523143807</v>
      </c>
      <c r="Q21" s="3">
        <v>0</v>
      </c>
      <c r="R21" s="3">
        <v>0</v>
      </c>
      <c r="S21" s="3">
        <v>88.576303523143807</v>
      </c>
      <c r="T21" s="3">
        <v>2.64679679540081E-2</v>
      </c>
      <c r="U21" s="3">
        <v>-186.03614616698599</v>
      </c>
      <c r="V21" s="3">
        <v>0</v>
      </c>
      <c r="W21" s="3">
        <v>100</v>
      </c>
      <c r="X21" s="3">
        <v>48.6466334602164</v>
      </c>
      <c r="Y21" s="3">
        <v>129.30280914065699</v>
      </c>
      <c r="Z21" s="3">
        <v>55.1954912753624</v>
      </c>
      <c r="AA21" s="3">
        <v>2.6062216154924802</v>
      </c>
      <c r="AB21" s="3">
        <v>771.394646733586</v>
      </c>
      <c r="AC21" s="3">
        <v>79.753647538474496</v>
      </c>
      <c r="AD21" s="3">
        <v>0</v>
      </c>
      <c r="AE21" s="3">
        <v>171.86805111117599</v>
      </c>
      <c r="AF21" s="3">
        <v>111.958665939696</v>
      </c>
      <c r="AG21" s="3">
        <v>25.509406906328</v>
      </c>
      <c r="AH21" s="3">
        <v>-106.862025066144</v>
      </c>
      <c r="AI21" s="3">
        <v>1158048.1000000001</v>
      </c>
      <c r="AJ21" s="4">
        <v>8.7999999999999998E-5</v>
      </c>
      <c r="AK21" s="3">
        <v>9</v>
      </c>
      <c r="AL21" s="3">
        <f t="shared" si="0"/>
        <v>6.1538866112477511E-3</v>
      </c>
      <c r="AM21" s="4">
        <f t="shared" si="1"/>
        <v>0.49006880550516174</v>
      </c>
      <c r="AN21" s="4">
        <f t="shared" si="2"/>
        <v>6.1539437646542161E-3</v>
      </c>
    </row>
    <row r="22" spans="1:40" x14ac:dyDescent="0.25">
      <c r="A22" s="3">
        <v>21</v>
      </c>
      <c r="B22" s="3">
        <v>150</v>
      </c>
      <c r="C22" s="3">
        <v>-150</v>
      </c>
      <c r="D22" s="3">
        <v>1.4011899431400699E-2</v>
      </c>
      <c r="E22" s="3">
        <v>0.54625412529711703</v>
      </c>
      <c r="F22" s="3">
        <v>0.53224222586571701</v>
      </c>
      <c r="G22" s="3">
        <v>4.8585020112481198E-2</v>
      </c>
      <c r="H22" s="3">
        <v>7.0348562869350598E-3</v>
      </c>
      <c r="I22" s="3">
        <v>4.8585020112481198E-2</v>
      </c>
      <c r="J22" s="3">
        <v>0.44204397399607698</v>
      </c>
      <c r="K22" s="4">
        <v>5.25478914331619E-6</v>
      </c>
      <c r="L22" s="3">
        <v>46.245221253371199</v>
      </c>
      <c r="M22" s="3">
        <v>0</v>
      </c>
      <c r="N22" s="3">
        <v>53.754778746628801</v>
      </c>
      <c r="O22" s="3">
        <v>51.6517079900064</v>
      </c>
      <c r="P22" s="3">
        <v>33.645855523879</v>
      </c>
      <c r="Q22" s="3">
        <v>14.702436486114699</v>
      </c>
      <c r="R22" s="3">
        <v>0</v>
      </c>
      <c r="S22" s="3">
        <v>33.645855523879</v>
      </c>
      <c r="T22" s="3">
        <v>0.186571316806347</v>
      </c>
      <c r="U22" s="3">
        <v>-160.11096525009199</v>
      </c>
      <c r="V22" s="3">
        <v>0</v>
      </c>
      <c r="W22" s="3">
        <v>100</v>
      </c>
      <c r="X22" s="3">
        <v>57.741150102339901</v>
      </c>
      <c r="Y22" s="3">
        <v>116.886829500019</v>
      </c>
      <c r="Z22" s="3">
        <v>55.094196456430097</v>
      </c>
      <c r="AA22" s="3">
        <v>2.743851515757</v>
      </c>
      <c r="AB22" s="3">
        <v>740.64837394070105</v>
      </c>
      <c r="AC22" s="3">
        <v>21.347281791713201</v>
      </c>
      <c r="AD22" s="3">
        <v>0</v>
      </c>
      <c r="AE22" s="3">
        <v>173.01221755506299</v>
      </c>
      <c r="AF22" s="3">
        <v>112.01504481361199</v>
      </c>
      <c r="AG22" s="3">
        <v>25.3650229063342</v>
      </c>
      <c r="AH22" s="3">
        <v>-99.439555009017994</v>
      </c>
      <c r="AI22" s="3">
        <v>6808924.5</v>
      </c>
      <c r="AJ22" s="3">
        <v>7.9337144618607004E-4</v>
      </c>
      <c r="AK22" s="3">
        <v>56</v>
      </c>
      <c r="AL22" s="3">
        <f t="shared" si="0"/>
        <v>2.5650880757704823E-2</v>
      </c>
      <c r="AM22" s="4">
        <f t="shared" si="1"/>
        <v>0.54624887050797377</v>
      </c>
      <c r="AN22" s="4">
        <f t="shared" si="2"/>
        <v>2.5651127513308357E-2</v>
      </c>
    </row>
    <row r="23" spans="1:40" x14ac:dyDescent="0.25">
      <c r="A23" s="3">
        <v>22</v>
      </c>
      <c r="B23" s="3">
        <v>150</v>
      </c>
      <c r="C23" s="3">
        <v>-125</v>
      </c>
      <c r="D23" s="3">
        <v>0.35037417787806702</v>
      </c>
      <c r="E23" s="3">
        <v>0.57895831680507803</v>
      </c>
      <c r="F23" s="3">
        <v>0.22858413892701099</v>
      </c>
      <c r="G23" s="3">
        <v>4.8323393376962301E-2</v>
      </c>
      <c r="H23" s="3">
        <v>1.0485796320760601E-2</v>
      </c>
      <c r="I23" s="3">
        <v>4.8323393376962301E-2</v>
      </c>
      <c r="J23" s="3">
        <v>0.47182029707140899</v>
      </c>
      <c r="K23" s="4">
        <v>5.43665898395387E-6</v>
      </c>
      <c r="L23" s="3">
        <v>69.897877135231099</v>
      </c>
      <c r="M23" s="3">
        <v>0.66289910022544196</v>
      </c>
      <c r="N23" s="3">
        <v>29.439223764543399</v>
      </c>
      <c r="O23" s="3">
        <v>38.216127598591697</v>
      </c>
      <c r="P23" s="3">
        <v>37.411662969834097</v>
      </c>
      <c r="Q23" s="3">
        <v>24.372209431574198</v>
      </c>
      <c r="R23" s="3">
        <v>0</v>
      </c>
      <c r="S23" s="3">
        <v>37.411662969834097</v>
      </c>
      <c r="T23" s="3">
        <v>0.368590236933729</v>
      </c>
      <c r="U23" s="3">
        <v>-133.44991956317801</v>
      </c>
      <c r="V23" s="3">
        <v>0</v>
      </c>
      <c r="W23" s="3">
        <v>100</v>
      </c>
      <c r="X23" s="3">
        <v>51.374661584888301</v>
      </c>
      <c r="Y23" s="3">
        <v>115.794912570253</v>
      </c>
      <c r="Z23" s="3">
        <v>54.515062057575797</v>
      </c>
      <c r="AA23" s="3">
        <v>3.07293876931125</v>
      </c>
      <c r="AB23" s="3">
        <v>761.16819877731803</v>
      </c>
      <c r="AC23" s="3">
        <v>8.3101131079493999</v>
      </c>
      <c r="AD23" s="3">
        <v>0</v>
      </c>
      <c r="AE23" s="3">
        <v>173.00087146882399</v>
      </c>
      <c r="AF23" s="3">
        <v>111.997955975756</v>
      </c>
      <c r="AG23" s="3">
        <v>25.2777879225346</v>
      </c>
      <c r="AH23" s="3">
        <v>-60.634587742803397</v>
      </c>
      <c r="AI23" s="3">
        <v>70532001</v>
      </c>
      <c r="AJ23" s="3">
        <v>5.4546957042708601E-2</v>
      </c>
      <c r="AK23" s="3">
        <v>424</v>
      </c>
      <c r="AL23" s="3">
        <f t="shared" si="0"/>
        <v>0.60518031731812905</v>
      </c>
      <c r="AM23" s="4">
        <f t="shared" si="1"/>
        <v>0.57895288014609403</v>
      </c>
      <c r="AN23" s="4">
        <f t="shared" si="2"/>
        <v>0.60518600026595071</v>
      </c>
    </row>
    <row r="24" spans="1:40" x14ac:dyDescent="0.25">
      <c r="A24" s="3">
        <v>23</v>
      </c>
      <c r="B24" s="3">
        <v>150</v>
      </c>
      <c r="C24" s="3">
        <v>-100</v>
      </c>
      <c r="D24" s="3">
        <v>0.71376871313629697</v>
      </c>
      <c r="E24" s="3">
        <v>0.608730592514661</v>
      </c>
      <c r="F24" s="3">
        <v>-0.10503812062163601</v>
      </c>
      <c r="G24" s="3">
        <v>4.8312030645874499E-2</v>
      </c>
      <c r="H24" s="3">
        <v>9.6760258073164997E-3</v>
      </c>
      <c r="I24" s="3">
        <v>4.8312030645874499E-2</v>
      </c>
      <c r="J24" s="3">
        <v>0.50242512954490903</v>
      </c>
      <c r="K24" s="4">
        <v>5.3758706865613798E-6</v>
      </c>
      <c r="L24" s="3">
        <v>65.766596402811601</v>
      </c>
      <c r="M24" s="3">
        <v>1.33825016870159</v>
      </c>
      <c r="N24" s="3">
        <v>32.8951534284869</v>
      </c>
      <c r="O24" s="3">
        <v>31.713459239175901</v>
      </c>
      <c r="P24" s="3">
        <v>47.899341252539998</v>
      </c>
      <c r="Q24" s="3">
        <v>20.387199508283999</v>
      </c>
      <c r="R24" s="3">
        <v>0</v>
      </c>
      <c r="S24" s="3">
        <v>47.899341252539998</v>
      </c>
      <c r="T24" s="3">
        <v>0.36153481687246802</v>
      </c>
      <c r="U24" s="3">
        <v>-108.753633329943</v>
      </c>
      <c r="V24" s="3">
        <v>2.47741933424778E-2</v>
      </c>
      <c r="W24" s="3">
        <v>99.850998832568607</v>
      </c>
      <c r="X24" s="3">
        <v>46.577556001674502</v>
      </c>
      <c r="Y24" s="3">
        <v>116.056006127031</v>
      </c>
      <c r="Z24" s="3">
        <v>54.4831442003699</v>
      </c>
      <c r="AA24" s="3">
        <v>3.2520953952006302</v>
      </c>
      <c r="AB24" s="3">
        <v>770.58928828171202</v>
      </c>
      <c r="AC24" s="3">
        <v>9.7707823356016892</v>
      </c>
      <c r="AD24" s="3">
        <v>0</v>
      </c>
      <c r="AE24" s="3">
        <v>172.135014310278</v>
      </c>
      <c r="AF24" s="3">
        <v>111.953747465798</v>
      </c>
      <c r="AG24" s="3">
        <v>25.266862876201898</v>
      </c>
      <c r="AH24" s="3">
        <v>-37.544938745641403</v>
      </c>
      <c r="AI24" s="3">
        <v>731421249.10000002</v>
      </c>
      <c r="AJ24" s="3">
        <v>6.4145393123455102E-2</v>
      </c>
      <c r="AK24" s="3">
        <v>2032</v>
      </c>
      <c r="AL24" s="3">
        <f>D24/E24</f>
        <v>1.1725527218662108</v>
      </c>
      <c r="AM24" s="4">
        <f>E24-K24</f>
        <v>0.60872521664397439</v>
      </c>
      <c r="AN24" s="4">
        <f>D24/(E24-K24)</f>
        <v>1.1725630770997935</v>
      </c>
    </row>
    <row r="25" spans="1:40" x14ac:dyDescent="0.25">
      <c r="A25" s="3">
        <v>24</v>
      </c>
      <c r="B25" s="3">
        <v>150</v>
      </c>
      <c r="C25" s="3">
        <v>-75</v>
      </c>
      <c r="D25" s="3">
        <v>0.74363181723453298</v>
      </c>
      <c r="E25" s="3">
        <v>0.64102342206726903</v>
      </c>
      <c r="F25" s="3">
        <v>-0.102608395167263</v>
      </c>
      <c r="G25" s="3">
        <v>4.8159461999574701E-2</v>
      </c>
      <c r="H25" s="3">
        <v>1.0876871701301E-2</v>
      </c>
      <c r="I25" s="3">
        <v>4.8159461999574701E-2</v>
      </c>
      <c r="J25" s="3">
        <v>0.53382224139377199</v>
      </c>
      <c r="K25" s="4">
        <v>5.3849730466912E-6</v>
      </c>
      <c r="L25" s="3">
        <v>41.437734737139003</v>
      </c>
      <c r="M25" s="3">
        <v>3.3278236258922198</v>
      </c>
      <c r="N25" s="3">
        <v>55.234441636968803</v>
      </c>
      <c r="O25" s="3">
        <v>34.572157702928202</v>
      </c>
      <c r="P25" s="3">
        <v>45.604409935071999</v>
      </c>
      <c r="Q25" s="3">
        <v>19.823432361999799</v>
      </c>
      <c r="R25" s="3">
        <v>0</v>
      </c>
      <c r="S25" s="3">
        <v>45.604409935071999</v>
      </c>
      <c r="T25" s="3">
        <v>0.412806127398817</v>
      </c>
      <c r="U25" s="3">
        <v>-84.197318220663405</v>
      </c>
      <c r="V25" s="3">
        <v>0.76758663734605204</v>
      </c>
      <c r="W25" s="3">
        <v>99.934946028726202</v>
      </c>
      <c r="X25" s="3">
        <v>46.3666586460091</v>
      </c>
      <c r="Y25" s="3">
        <v>116.626708220068</v>
      </c>
      <c r="Z25" s="3">
        <v>54.126577897129401</v>
      </c>
      <c r="AA25" s="3">
        <v>3.3467199975127602</v>
      </c>
      <c r="AB25" s="3">
        <v>771.37683899306501</v>
      </c>
      <c r="AC25" s="3">
        <v>7.8834644809988301</v>
      </c>
      <c r="AD25" s="3">
        <v>0</v>
      </c>
      <c r="AE25" s="3">
        <v>171.870815478282</v>
      </c>
      <c r="AF25" s="3">
        <v>111.963237351462</v>
      </c>
      <c r="AG25" s="3">
        <v>25.986938191055501</v>
      </c>
      <c r="AH25" s="3">
        <v>-28.005481032138899</v>
      </c>
      <c r="AI25" s="3">
        <v>4734935979.6000004</v>
      </c>
      <c r="AJ25" s="3">
        <v>7.0698471397528495E-2</v>
      </c>
      <c r="AK25" s="3">
        <v>5846</v>
      </c>
      <c r="AL25" s="3">
        <f t="shared" ref="AL25:AL45" si="3">D25/E25</f>
        <v>1.160069650554042</v>
      </c>
      <c r="AM25" s="4">
        <f t="shared" ref="AM25:AM45" si="4">E25-K25</f>
        <v>0.64101803709422234</v>
      </c>
      <c r="AN25" s="4">
        <f t="shared" ref="AN25:AN45" si="5">D25/(E25-K25)</f>
        <v>1.1600793959019715</v>
      </c>
    </row>
    <row r="26" spans="1:40" x14ac:dyDescent="0.25">
      <c r="A26" s="3">
        <v>25</v>
      </c>
      <c r="B26" s="3">
        <v>150</v>
      </c>
      <c r="C26" s="3">
        <v>-50</v>
      </c>
      <c r="D26" s="3">
        <v>0.69681138195660197</v>
      </c>
      <c r="E26" s="3">
        <v>0.69640932806303502</v>
      </c>
      <c r="F26" s="3">
        <v>-4.0205389356663598E-4</v>
      </c>
      <c r="G26" s="3">
        <v>4.83628969264569E-2</v>
      </c>
      <c r="H26" s="3">
        <v>1.1897032527530001E-2</v>
      </c>
      <c r="I26" s="3">
        <v>4.83628969264569E-2</v>
      </c>
      <c r="J26" s="3">
        <v>0.58270360568777402</v>
      </c>
      <c r="K26" s="3">
        <v>5.08289599481685E-3</v>
      </c>
      <c r="L26" s="3">
        <v>18.440368687485801</v>
      </c>
      <c r="M26" s="3">
        <v>5.0943298925529996</v>
      </c>
      <c r="N26" s="3">
        <v>76.465301419961193</v>
      </c>
      <c r="O26" s="3">
        <v>35.0946832471679</v>
      </c>
      <c r="P26" s="3">
        <v>44.003311004257803</v>
      </c>
      <c r="Q26" s="3">
        <v>20.9020057485743</v>
      </c>
      <c r="R26" s="3">
        <v>0</v>
      </c>
      <c r="S26" s="3">
        <v>44.003311004257803</v>
      </c>
      <c r="T26" s="3">
        <v>0.45540641428786699</v>
      </c>
      <c r="U26" s="3">
        <v>-60.127089348989301</v>
      </c>
      <c r="V26" s="3">
        <v>39.434236918698801</v>
      </c>
      <c r="W26" s="3">
        <v>99.962803509938993</v>
      </c>
      <c r="X26" s="3">
        <v>45.793067435976901</v>
      </c>
      <c r="Y26" s="3">
        <v>116.91968312745</v>
      </c>
      <c r="Z26" s="3">
        <v>54.582529595901697</v>
      </c>
      <c r="AA26" s="3">
        <v>3.4358833003244298</v>
      </c>
      <c r="AB26" s="3">
        <v>770.73962104159602</v>
      </c>
      <c r="AC26" s="3">
        <v>7.4796759656448897</v>
      </c>
      <c r="AD26" s="3">
        <v>0</v>
      </c>
      <c r="AE26" s="3">
        <v>172.15594309893501</v>
      </c>
      <c r="AF26" s="3">
        <v>112.02548921518201</v>
      </c>
      <c r="AG26" s="3">
        <v>26.824447736100598</v>
      </c>
      <c r="AH26" s="3">
        <v>-22.082344076666601</v>
      </c>
      <c r="AI26" s="3">
        <v>23474302159.900002</v>
      </c>
      <c r="AJ26" s="3">
        <v>7.3236694493439503E-2</v>
      </c>
      <c r="AK26" s="3">
        <v>16353</v>
      </c>
      <c r="AL26" s="3">
        <f t="shared" si="3"/>
        <v>1.000577324107196</v>
      </c>
      <c r="AM26" s="4">
        <f t="shared" si="4"/>
        <v>0.6913264320682182</v>
      </c>
      <c r="AN26" s="4">
        <f t="shared" si="5"/>
        <v>1.007933950784978</v>
      </c>
    </row>
    <row r="27" spans="1:40" x14ac:dyDescent="0.25">
      <c r="A27" s="3">
        <v>26</v>
      </c>
      <c r="B27" s="3">
        <v>150</v>
      </c>
      <c r="C27" s="3">
        <v>-25</v>
      </c>
      <c r="D27" s="3">
        <v>0.78391795670064501</v>
      </c>
      <c r="E27" s="3">
        <v>0.81203538364568995</v>
      </c>
      <c r="F27" s="3">
        <v>2.81174269450454E-2</v>
      </c>
      <c r="G27" s="3">
        <v>4.8766924029624403E-2</v>
      </c>
      <c r="H27" s="3">
        <v>1.250086823555E-2</v>
      </c>
      <c r="I27" s="3">
        <v>4.8766924029624403E-2</v>
      </c>
      <c r="J27" s="3">
        <v>0.66114617069568904</v>
      </c>
      <c r="K27" s="3">
        <v>4.0854496655202598E-2</v>
      </c>
      <c r="L27" s="3">
        <v>11.6648481802043</v>
      </c>
      <c r="M27" s="3">
        <v>5.5920946075474802</v>
      </c>
      <c r="N27" s="3">
        <v>82.743057212248303</v>
      </c>
      <c r="O27" s="3">
        <v>32.7615088612257</v>
      </c>
      <c r="P27" s="3">
        <v>45.772348155242099</v>
      </c>
      <c r="Q27" s="3">
        <v>21.466142983532201</v>
      </c>
      <c r="R27" s="3">
        <v>0</v>
      </c>
      <c r="S27" s="3">
        <v>45.772348155242099</v>
      </c>
      <c r="T27" s="3">
        <v>0.47913078443106799</v>
      </c>
      <c r="U27" s="3">
        <v>-36.446221315988097</v>
      </c>
      <c r="V27" s="3">
        <v>171.871412975868</v>
      </c>
      <c r="W27" s="3">
        <v>99.953429424805293</v>
      </c>
      <c r="X27" s="3">
        <v>45.188287646918603</v>
      </c>
      <c r="Y27" s="3">
        <v>116.825983934901</v>
      </c>
      <c r="Z27" s="3">
        <v>55.499201478865402</v>
      </c>
      <c r="AA27" s="3">
        <v>3.5730702445146698</v>
      </c>
      <c r="AB27" s="3">
        <v>767.74927412951195</v>
      </c>
      <c r="AC27" s="3">
        <v>11.515645648920501</v>
      </c>
      <c r="AD27" s="3">
        <v>0</v>
      </c>
      <c r="AE27" s="3">
        <v>172.80645561047501</v>
      </c>
      <c r="AF27" s="3">
        <v>112.174652423713</v>
      </c>
      <c r="AG27" s="3">
        <v>29.348992363849199</v>
      </c>
      <c r="AH27" s="3">
        <v>-13.8766695837274</v>
      </c>
      <c r="AI27" s="3">
        <v>53937995797.300003</v>
      </c>
      <c r="AJ27" s="3">
        <v>7.6671943448201496E-2</v>
      </c>
      <c r="AK27" s="3">
        <v>36146</v>
      </c>
      <c r="AL27" s="3">
        <f t="shared" si="3"/>
        <v>0.96537413576880138</v>
      </c>
      <c r="AM27" s="4">
        <f t="shared" si="4"/>
        <v>0.77118088699048737</v>
      </c>
      <c r="AN27" s="4">
        <f t="shared" si="5"/>
        <v>1.016516319225524</v>
      </c>
    </row>
    <row r="28" spans="1:40" x14ac:dyDescent="0.25">
      <c r="A28" s="3">
        <v>27</v>
      </c>
      <c r="B28" s="3">
        <v>150</v>
      </c>
      <c r="C28" s="3">
        <v>0</v>
      </c>
      <c r="D28" s="3">
        <v>0.86356101428058196</v>
      </c>
      <c r="E28" s="3">
        <v>0.86888147979906305</v>
      </c>
      <c r="F28" s="3">
        <v>5.3204655184807799E-3</v>
      </c>
      <c r="G28" s="3">
        <v>4.9582621902595103E-2</v>
      </c>
      <c r="H28" s="3">
        <v>1.5224202316597E-2</v>
      </c>
      <c r="I28" s="3">
        <v>4.9582621902595103E-2</v>
      </c>
      <c r="J28" s="3">
        <v>0.67281437976909597</v>
      </c>
      <c r="K28" s="3">
        <v>8.1677653908179298E-2</v>
      </c>
      <c r="L28" s="3">
        <v>10.1972072401575</v>
      </c>
      <c r="M28" s="3">
        <v>5.4071835171754197</v>
      </c>
      <c r="N28" s="3">
        <v>84.395609242667106</v>
      </c>
      <c r="O28" s="3">
        <v>28.910715000072301</v>
      </c>
      <c r="P28" s="3">
        <v>49.089295490720403</v>
      </c>
      <c r="Q28" s="3">
        <v>21.9999895092073</v>
      </c>
      <c r="R28" s="3">
        <v>0</v>
      </c>
      <c r="S28" s="3">
        <v>49.089295490720403</v>
      </c>
      <c r="T28" s="3">
        <v>0.56737673620283402</v>
      </c>
      <c r="U28" s="3">
        <v>-12.356503194380901</v>
      </c>
      <c r="V28" s="3">
        <v>587.65131550649903</v>
      </c>
      <c r="W28" s="3">
        <v>99.9212977241896</v>
      </c>
      <c r="X28" s="3">
        <v>45.020719940601403</v>
      </c>
      <c r="Y28" s="3">
        <v>116.45020484824001</v>
      </c>
      <c r="Z28" s="3">
        <v>57.382517279721398</v>
      </c>
      <c r="AA28" s="3">
        <v>3.7794444205474602</v>
      </c>
      <c r="AB28" s="3">
        <v>764.24239043899695</v>
      </c>
      <c r="AC28" s="3">
        <v>16.5859758941865</v>
      </c>
      <c r="AD28" s="3">
        <v>0</v>
      </c>
      <c r="AE28" s="3">
        <v>171.28134257186599</v>
      </c>
      <c r="AF28" s="3">
        <v>112.07413651488</v>
      </c>
      <c r="AG28" s="3">
        <v>31.107588501896899</v>
      </c>
      <c r="AH28" s="3">
        <v>-7.3996050338241197</v>
      </c>
      <c r="AI28" s="3">
        <v>75485525496.5</v>
      </c>
      <c r="AJ28" s="3">
        <v>8.0039515535107394E-2</v>
      </c>
      <c r="AK28" s="3">
        <v>63968</v>
      </c>
      <c r="AL28" s="3">
        <f t="shared" si="3"/>
        <v>0.99387664987437474</v>
      </c>
      <c r="AM28" s="4">
        <f t="shared" si="4"/>
        <v>0.78720382589088378</v>
      </c>
      <c r="AN28" s="4">
        <f t="shared" si="5"/>
        <v>1.096997989438484</v>
      </c>
    </row>
    <row r="29" spans="1:40" x14ac:dyDescent="0.25">
      <c r="A29" s="3">
        <v>28</v>
      </c>
      <c r="B29" s="3">
        <v>175</v>
      </c>
      <c r="C29" s="3">
        <v>-175</v>
      </c>
      <c r="D29" s="3">
        <v>0</v>
      </c>
      <c r="E29" s="3">
        <v>0.50875976422784996</v>
      </c>
      <c r="F29" s="3">
        <v>0.50875976422784996</v>
      </c>
      <c r="G29" s="3">
        <v>4.8567768974877801E-2</v>
      </c>
      <c r="H29" s="3">
        <v>3.2702461795712698E-3</v>
      </c>
      <c r="I29" s="3">
        <v>4.8567768974877801E-2</v>
      </c>
      <c r="J29" s="3">
        <v>0.40834731439545402</v>
      </c>
      <c r="K29" s="4">
        <v>6.6657030686496998E-6</v>
      </c>
      <c r="L29" s="3">
        <v>48.979135589346797</v>
      </c>
      <c r="M29" s="3">
        <v>0</v>
      </c>
      <c r="N29" s="3">
        <v>51.020864410653203</v>
      </c>
      <c r="O29" s="3">
        <v>51.020864410653203</v>
      </c>
      <c r="P29" s="3">
        <v>48.979135589346797</v>
      </c>
      <c r="Q29" s="3">
        <v>0</v>
      </c>
      <c r="R29" s="3">
        <v>0</v>
      </c>
      <c r="S29" s="3">
        <v>48.979135589346797</v>
      </c>
      <c r="T29" s="3">
        <v>0</v>
      </c>
      <c r="U29" s="3">
        <v>-177.66122950851701</v>
      </c>
      <c r="V29" s="3">
        <v>0</v>
      </c>
      <c r="W29" s="3">
        <v>100</v>
      </c>
      <c r="X29" s="3">
        <v>54.934821170572199</v>
      </c>
      <c r="Y29" s="3">
        <v>140.70818927140701</v>
      </c>
      <c r="Z29" s="3">
        <v>54.979582711786897</v>
      </c>
      <c r="AA29" s="3">
        <v>2.7489791355893498</v>
      </c>
      <c r="AB29" s="3">
        <v>725.26475406310999</v>
      </c>
      <c r="AC29" s="3">
        <v>0</v>
      </c>
      <c r="AD29" s="3">
        <v>0</v>
      </c>
      <c r="AE29" s="3">
        <v>179.2</v>
      </c>
      <c r="AF29" s="3">
        <v>112.2</v>
      </c>
      <c r="AG29" s="3">
        <v>20.9</v>
      </c>
      <c r="AH29" s="3">
        <v>-139.822816714986</v>
      </c>
      <c r="AI29" s="3">
        <v>281354.7</v>
      </c>
      <c r="AJ29" s="3">
        <v>0</v>
      </c>
      <c r="AK29" s="3">
        <v>2</v>
      </c>
      <c r="AL29" s="3">
        <f t="shared" si="3"/>
        <v>0</v>
      </c>
      <c r="AM29" s="4">
        <f t="shared" si="4"/>
        <v>0.50875309852478134</v>
      </c>
      <c r="AN29" s="4">
        <f t="shared" si="5"/>
        <v>0</v>
      </c>
    </row>
    <row r="30" spans="1:40" x14ac:dyDescent="0.25">
      <c r="A30" s="3">
        <v>29</v>
      </c>
      <c r="B30" s="3">
        <v>175</v>
      </c>
      <c r="C30" s="3">
        <v>-150</v>
      </c>
      <c r="D30" s="3">
        <v>2.59566697283704E-2</v>
      </c>
      <c r="E30" s="3">
        <v>0.53178425213679503</v>
      </c>
      <c r="F30" s="3">
        <v>0.50582758240842496</v>
      </c>
      <c r="G30" s="3">
        <v>4.7934321340072701E-2</v>
      </c>
      <c r="H30" s="3">
        <v>7.44715668120684E-3</v>
      </c>
      <c r="I30" s="3">
        <v>4.7934321340072701E-2</v>
      </c>
      <c r="J30" s="3">
        <v>0.42846213033048203</v>
      </c>
      <c r="K30" s="4">
        <v>6.3224449613780704E-6</v>
      </c>
      <c r="L30" s="3">
        <v>30.6106979569883</v>
      </c>
      <c r="M30" s="3">
        <v>0</v>
      </c>
      <c r="N30" s="3">
        <v>69.389302043011696</v>
      </c>
      <c r="O30" s="3">
        <v>72.238820254136797</v>
      </c>
      <c r="P30" s="3">
        <v>8.9600223335973794</v>
      </c>
      <c r="Q30" s="3">
        <v>18.801157412265901</v>
      </c>
      <c r="R30" s="3">
        <v>0</v>
      </c>
      <c r="S30" s="3">
        <v>8.9600223335973794</v>
      </c>
      <c r="T30" s="3">
        <v>0.18251793655925999</v>
      </c>
      <c r="U30" s="3">
        <v>-158.94860082406601</v>
      </c>
      <c r="V30" s="3">
        <v>0</v>
      </c>
      <c r="W30" s="3">
        <v>100</v>
      </c>
      <c r="X30" s="3">
        <v>62.286342111046302</v>
      </c>
      <c r="Y30" s="3">
        <v>144.36661463770801</v>
      </c>
      <c r="Z30" s="3">
        <v>53.616387664459701</v>
      </c>
      <c r="AA30" s="3">
        <v>2.74709194722608</v>
      </c>
      <c r="AB30" s="3">
        <v>730.93115818480999</v>
      </c>
      <c r="AC30" s="3">
        <v>0</v>
      </c>
      <c r="AD30" s="3">
        <v>0</v>
      </c>
      <c r="AE30" s="3">
        <v>174.68971241524301</v>
      </c>
      <c r="AF30" s="3">
        <v>112.126250969292</v>
      </c>
      <c r="AG30" s="3">
        <v>24.650110094639299</v>
      </c>
      <c r="AH30" s="3">
        <v>-111.844393864116</v>
      </c>
      <c r="AI30" s="3">
        <v>3149335.9</v>
      </c>
      <c r="AJ30" s="3">
        <v>1.6164865332322499E-3</v>
      </c>
      <c r="AK30" s="3">
        <v>22</v>
      </c>
      <c r="AL30" s="3">
        <f t="shared" si="3"/>
        <v>4.8810527246853037E-2</v>
      </c>
      <c r="AM30" s="4">
        <f t="shared" si="4"/>
        <v>0.53177792969183368</v>
      </c>
      <c r="AN30" s="4">
        <f t="shared" si="5"/>
        <v>4.8811107567800605E-2</v>
      </c>
    </row>
    <row r="31" spans="1:40" x14ac:dyDescent="0.25">
      <c r="A31" s="3">
        <v>30</v>
      </c>
      <c r="B31" s="3">
        <v>175</v>
      </c>
      <c r="C31" s="3">
        <v>-125</v>
      </c>
      <c r="D31" s="3">
        <v>0.45182697437541902</v>
      </c>
      <c r="E31" s="3">
        <v>0.54513771950794498</v>
      </c>
      <c r="F31" s="3">
        <v>9.3310745132526102E-2</v>
      </c>
      <c r="G31" s="3">
        <v>4.8351167836982401E-2</v>
      </c>
      <c r="H31" s="3">
        <v>8.5568914610602807E-3</v>
      </c>
      <c r="I31" s="3">
        <v>4.8351167836982401E-2</v>
      </c>
      <c r="J31" s="3">
        <v>0.43987239625964097</v>
      </c>
      <c r="K31" s="4">
        <v>6.0961132781480301E-6</v>
      </c>
      <c r="L31" s="3">
        <v>69.846575803443102</v>
      </c>
      <c r="M31" s="3">
        <v>0</v>
      </c>
      <c r="N31" s="3">
        <v>30.153424196556902</v>
      </c>
      <c r="O31" s="3">
        <v>38.240059512625699</v>
      </c>
      <c r="P31" s="3">
        <v>41.542447593804802</v>
      </c>
      <c r="Q31" s="3">
        <v>20.217492893569499</v>
      </c>
      <c r="R31" s="3">
        <v>0</v>
      </c>
      <c r="S31" s="3">
        <v>41.542447593804802</v>
      </c>
      <c r="T31" s="3">
        <v>0.29671783005007601</v>
      </c>
      <c r="U31" s="3">
        <v>-133.883733438495</v>
      </c>
      <c r="V31" s="3">
        <v>0</v>
      </c>
      <c r="W31" s="3">
        <v>100</v>
      </c>
      <c r="X31" s="3">
        <v>48.416406393874198</v>
      </c>
      <c r="Y31" s="3">
        <v>144.22877278352601</v>
      </c>
      <c r="Z31" s="3">
        <v>54.577546132023002</v>
      </c>
      <c r="AA31" s="3">
        <v>3.0588141616299702</v>
      </c>
      <c r="AB31" s="3">
        <v>761.29183912032204</v>
      </c>
      <c r="AC31" s="3">
        <v>10.8818916373137</v>
      </c>
      <c r="AD31" s="3">
        <v>0</v>
      </c>
      <c r="AE31" s="3">
        <v>173.02703334146</v>
      </c>
      <c r="AF31" s="3">
        <v>112.00210198195499</v>
      </c>
      <c r="AG31" s="3">
        <v>25.3769187736854</v>
      </c>
      <c r="AH31" s="3">
        <v>-63.713750820979897</v>
      </c>
      <c r="AI31" s="3">
        <v>38724152.600000001</v>
      </c>
      <c r="AJ31" s="3">
        <v>6.64616289985209E-2</v>
      </c>
      <c r="AK31" s="3">
        <v>227</v>
      </c>
      <c r="AL31" s="3">
        <f t="shared" si="3"/>
        <v>0.82883087742167139</v>
      </c>
      <c r="AM31" s="4">
        <f t="shared" si="4"/>
        <v>0.54513162339466681</v>
      </c>
      <c r="AN31" s="4">
        <f t="shared" si="5"/>
        <v>0.82884014609496126</v>
      </c>
    </row>
    <row r="32" spans="1:40" x14ac:dyDescent="0.25">
      <c r="A32" s="3">
        <v>31</v>
      </c>
      <c r="B32" s="3">
        <v>175</v>
      </c>
      <c r="C32" s="3">
        <v>-100</v>
      </c>
      <c r="D32" s="3">
        <v>0.55552322521742603</v>
      </c>
      <c r="E32" s="3">
        <v>0.57176409818691298</v>
      </c>
      <c r="F32" s="3">
        <v>1.6240872969487501E-2</v>
      </c>
      <c r="G32" s="3">
        <v>4.82700513509133E-2</v>
      </c>
      <c r="H32" s="3">
        <v>8.3288565171176897E-3</v>
      </c>
      <c r="I32" s="3">
        <v>4.82700513509133E-2</v>
      </c>
      <c r="J32" s="3">
        <v>0.46688903423126699</v>
      </c>
      <c r="K32" s="4">
        <v>6.1047367018836402E-6</v>
      </c>
      <c r="L32" s="3">
        <v>64.483020693846498</v>
      </c>
      <c r="M32" s="3">
        <v>0.99895046095241802</v>
      </c>
      <c r="N32" s="3">
        <v>34.518028845201101</v>
      </c>
      <c r="O32" s="3">
        <v>29.504838727619301</v>
      </c>
      <c r="P32" s="3">
        <v>50.249553414148203</v>
      </c>
      <c r="Q32" s="3">
        <v>20.2456078582324</v>
      </c>
      <c r="R32" s="3">
        <v>0</v>
      </c>
      <c r="S32" s="3">
        <v>50.249553414148203</v>
      </c>
      <c r="T32" s="3">
        <v>0.30983761664139198</v>
      </c>
      <c r="U32" s="3">
        <v>-108.67345474702699</v>
      </c>
      <c r="V32" s="3">
        <v>6.5081209616206399E-3</v>
      </c>
      <c r="W32" s="3">
        <v>100</v>
      </c>
      <c r="X32" s="3">
        <v>45.095290456265197</v>
      </c>
      <c r="Y32" s="3">
        <v>144.608423954139</v>
      </c>
      <c r="Z32" s="3">
        <v>54.388984547619202</v>
      </c>
      <c r="AA32" s="3">
        <v>3.2503326431551098</v>
      </c>
      <c r="AB32" s="3">
        <v>770.35268068152698</v>
      </c>
      <c r="AC32" s="3">
        <v>8.9574481606804994</v>
      </c>
      <c r="AD32" s="3">
        <v>0</v>
      </c>
      <c r="AE32" s="3">
        <v>172.12663012117201</v>
      </c>
      <c r="AF32" s="3">
        <v>111.949079575517</v>
      </c>
      <c r="AG32" s="3">
        <v>25.135660425512</v>
      </c>
      <c r="AH32" s="3">
        <v>-37.751683836786498</v>
      </c>
      <c r="AI32" s="3">
        <v>424766759.30000001</v>
      </c>
      <c r="AJ32" s="3">
        <v>6.9344802879145295E-2</v>
      </c>
      <c r="AK32" s="3">
        <v>1294</v>
      </c>
      <c r="AL32" s="3">
        <f t="shared" si="3"/>
        <v>0.97159515083058312</v>
      </c>
      <c r="AM32" s="4">
        <f t="shared" si="4"/>
        <v>0.57175799345021106</v>
      </c>
      <c r="AN32" s="4">
        <f t="shared" si="5"/>
        <v>0.97160552468218575</v>
      </c>
    </row>
    <row r="33" spans="1:40" x14ac:dyDescent="0.25">
      <c r="A33" s="3">
        <v>32</v>
      </c>
      <c r="B33" s="3">
        <v>175</v>
      </c>
      <c r="C33" s="3">
        <v>-75</v>
      </c>
      <c r="D33" s="3">
        <v>0.58389240736353099</v>
      </c>
      <c r="E33" s="3">
        <v>0.59585059545475305</v>
      </c>
      <c r="F33" s="3">
        <v>1.19581880912222E-2</v>
      </c>
      <c r="G33" s="3">
        <v>4.8117572214494198E-2</v>
      </c>
      <c r="H33" s="3">
        <v>8.6552039642488806E-3</v>
      </c>
      <c r="I33" s="3">
        <v>4.8117572214494198E-2</v>
      </c>
      <c r="J33" s="3">
        <v>0.49095413344723998</v>
      </c>
      <c r="K33" s="4">
        <v>6.1136142751148098E-6</v>
      </c>
      <c r="L33" s="3">
        <v>36.8742173373602</v>
      </c>
      <c r="M33" s="3">
        <v>2.9465557061363401</v>
      </c>
      <c r="N33" s="3">
        <v>60.179226956503399</v>
      </c>
      <c r="O33" s="3">
        <v>30.170386038573401</v>
      </c>
      <c r="P33" s="3">
        <v>50.461892827685901</v>
      </c>
      <c r="Q33" s="3">
        <v>19.367721133740599</v>
      </c>
      <c r="R33" s="3">
        <v>0</v>
      </c>
      <c r="S33" s="3">
        <v>50.461892827685901</v>
      </c>
      <c r="T33" s="3">
        <v>0.32139446440105401</v>
      </c>
      <c r="U33" s="3">
        <v>-84.080065125103204</v>
      </c>
      <c r="V33" s="3">
        <v>0.557604444866863</v>
      </c>
      <c r="W33" s="3">
        <v>99.907774249126703</v>
      </c>
      <c r="X33" s="3">
        <v>46.231740673797603</v>
      </c>
      <c r="Y33" s="3">
        <v>144.690140600642</v>
      </c>
      <c r="Z33" s="3">
        <v>54.032148105238299</v>
      </c>
      <c r="AA33" s="3">
        <v>3.3337738042340601</v>
      </c>
      <c r="AB33" s="3">
        <v>770.28041042718201</v>
      </c>
      <c r="AC33" s="3">
        <v>6.0526830150739004</v>
      </c>
      <c r="AD33" s="3">
        <v>0</v>
      </c>
      <c r="AE33" s="3">
        <v>171.894687875465</v>
      </c>
      <c r="AF33" s="3">
        <v>111.955365274893</v>
      </c>
      <c r="AG33" s="3">
        <v>25.815614475140801</v>
      </c>
      <c r="AH33" s="3">
        <v>-29.442093795889001</v>
      </c>
      <c r="AI33" s="3">
        <v>3117240112.1999998</v>
      </c>
      <c r="AJ33" s="3">
        <v>5.8715392769896797E-2</v>
      </c>
      <c r="AK33" s="3">
        <v>4362</v>
      </c>
      <c r="AL33" s="3">
        <f t="shared" si="3"/>
        <v>0.97993089512297027</v>
      </c>
      <c r="AM33" s="4">
        <f t="shared" si="4"/>
        <v>0.59584448184047789</v>
      </c>
      <c r="AN33" s="4">
        <f t="shared" si="5"/>
        <v>0.97994094962492784</v>
      </c>
    </row>
    <row r="34" spans="1:40" x14ac:dyDescent="0.25">
      <c r="A34" s="3">
        <v>33</v>
      </c>
      <c r="B34" s="3">
        <v>175</v>
      </c>
      <c r="C34" s="3">
        <v>-50</v>
      </c>
      <c r="D34" s="3">
        <v>0.706459051979482</v>
      </c>
      <c r="E34" s="3">
        <v>0.65460656243996695</v>
      </c>
      <c r="F34" s="3">
        <v>-5.1852489539514997E-2</v>
      </c>
      <c r="G34" s="3">
        <v>4.8337096283761198E-2</v>
      </c>
      <c r="H34" s="3">
        <v>9.7600375946156007E-3</v>
      </c>
      <c r="I34" s="3">
        <v>4.8337096283761198E-2</v>
      </c>
      <c r="J34" s="3">
        <v>0.53770650912103202</v>
      </c>
      <c r="K34" s="3">
        <v>1.04658231567964E-2</v>
      </c>
      <c r="L34" s="3">
        <v>16.0323624315151</v>
      </c>
      <c r="M34" s="3">
        <v>4.4193643732682402</v>
      </c>
      <c r="N34" s="3">
        <v>79.548273195216694</v>
      </c>
      <c r="O34" s="3">
        <v>30.304914229523</v>
      </c>
      <c r="P34" s="3">
        <v>49.186188472590501</v>
      </c>
      <c r="Q34" s="3">
        <v>20.508897297886499</v>
      </c>
      <c r="R34" s="3">
        <v>0</v>
      </c>
      <c r="S34" s="3">
        <v>49.186188472590501</v>
      </c>
      <c r="T34" s="3">
        <v>0.37020673347730898</v>
      </c>
      <c r="U34" s="3">
        <v>-60.109777251195403</v>
      </c>
      <c r="V34" s="3">
        <v>38.273862658217197</v>
      </c>
      <c r="W34" s="3">
        <v>99.947430721518003</v>
      </c>
      <c r="X34" s="3">
        <v>45.917052340003103</v>
      </c>
      <c r="Y34" s="3">
        <v>144.58518224548899</v>
      </c>
      <c r="Z34" s="3">
        <v>54.522920972909503</v>
      </c>
      <c r="AA34" s="3">
        <v>3.4241815706358798</v>
      </c>
      <c r="AB34" s="3">
        <v>771.02776761714904</v>
      </c>
      <c r="AC34" s="3">
        <v>6.0539222447816501</v>
      </c>
      <c r="AD34" s="3">
        <v>0</v>
      </c>
      <c r="AE34" s="3">
        <v>172.23767833956799</v>
      </c>
      <c r="AF34" s="3">
        <v>112.03070298256399</v>
      </c>
      <c r="AG34" s="3">
        <v>26.767031131458701</v>
      </c>
      <c r="AH34" s="3">
        <v>-23.142829940499901</v>
      </c>
      <c r="AI34" s="3">
        <v>16067322671.9</v>
      </c>
      <c r="AJ34" s="3">
        <v>6.3881024892799801E-2</v>
      </c>
      <c r="AK34" s="3">
        <v>12566</v>
      </c>
      <c r="AL34" s="3">
        <f t="shared" si="3"/>
        <v>1.0792116860946843</v>
      </c>
      <c r="AM34" s="4">
        <f t="shared" si="4"/>
        <v>0.6441407392831705</v>
      </c>
      <c r="AN34" s="4">
        <f t="shared" si="5"/>
        <v>1.0967464234068818</v>
      </c>
    </row>
    <row r="35" spans="1:40" x14ac:dyDescent="0.25">
      <c r="A35" s="3">
        <v>34</v>
      </c>
      <c r="B35" s="3">
        <v>175</v>
      </c>
      <c r="C35" s="3">
        <v>-25</v>
      </c>
      <c r="D35" s="3">
        <v>0.76609999648758498</v>
      </c>
      <c r="E35" s="3">
        <v>0.77357710933877599</v>
      </c>
      <c r="F35" s="3">
        <v>7.4771128511913303E-3</v>
      </c>
      <c r="G35" s="3">
        <v>4.8750457210168102E-2</v>
      </c>
      <c r="H35" s="3">
        <v>1.0541613951804901E-2</v>
      </c>
      <c r="I35" s="3">
        <v>4.8750457210168102E-2</v>
      </c>
      <c r="J35" s="3">
        <v>0.610585931613567</v>
      </c>
      <c r="K35" s="3">
        <v>5.4948649353067099E-2</v>
      </c>
      <c r="L35" s="3">
        <v>9.8306097699977197</v>
      </c>
      <c r="M35" s="3">
        <v>4.8598199219006899</v>
      </c>
      <c r="N35" s="3">
        <v>85.309570308101598</v>
      </c>
      <c r="O35" s="3">
        <v>28.794880093272301</v>
      </c>
      <c r="P35" s="3">
        <v>49.645564382829903</v>
      </c>
      <c r="Q35" s="3">
        <v>21.559555523897799</v>
      </c>
      <c r="R35" s="3">
        <v>0</v>
      </c>
      <c r="S35" s="3">
        <v>49.645564382829903</v>
      </c>
      <c r="T35" s="3">
        <v>0.39958047117286299</v>
      </c>
      <c r="U35" s="3">
        <v>-36.4536246924065</v>
      </c>
      <c r="V35" s="3">
        <v>174.78464128883101</v>
      </c>
      <c r="W35" s="3">
        <v>99.951849676374096</v>
      </c>
      <c r="X35" s="3">
        <v>45.4808475650484</v>
      </c>
      <c r="Y35" s="3">
        <v>144.59774371146801</v>
      </c>
      <c r="Z35" s="3">
        <v>55.460650851675197</v>
      </c>
      <c r="AA35" s="3">
        <v>3.5664371462277602</v>
      </c>
      <c r="AB35" s="3">
        <v>768.18349625970598</v>
      </c>
      <c r="AC35" s="3">
        <v>9.6843836227838196</v>
      </c>
      <c r="AD35" s="3">
        <v>0</v>
      </c>
      <c r="AE35" s="3">
        <v>172.84484174374401</v>
      </c>
      <c r="AF35" s="3">
        <v>112.17339848610401</v>
      </c>
      <c r="AG35" s="3">
        <v>29.2259070682158</v>
      </c>
      <c r="AH35" s="3">
        <v>-14.6169178032149</v>
      </c>
      <c r="AI35" s="3">
        <v>38072425699.599998</v>
      </c>
      <c r="AJ35" s="3">
        <v>7.8574306442267705E-2</v>
      </c>
      <c r="AK35" s="3">
        <v>27514</v>
      </c>
      <c r="AL35" s="3">
        <f t="shared" si="3"/>
        <v>0.99033436646337403</v>
      </c>
      <c r="AM35" s="4">
        <f t="shared" si="4"/>
        <v>0.7186284599857089</v>
      </c>
      <c r="AN35" s="4">
        <f t="shared" si="5"/>
        <v>1.0660585255735908</v>
      </c>
    </row>
    <row r="36" spans="1:40" x14ac:dyDescent="0.25">
      <c r="A36" s="3">
        <v>35</v>
      </c>
      <c r="B36" s="3">
        <v>175</v>
      </c>
      <c r="C36" s="3">
        <v>0</v>
      </c>
      <c r="D36" s="3">
        <v>0.83075719071396603</v>
      </c>
      <c r="E36" s="3">
        <v>0.83640181966540705</v>
      </c>
      <c r="F36" s="3">
        <v>5.64462895144078E-3</v>
      </c>
      <c r="G36" s="3">
        <v>4.9610069137206697E-2</v>
      </c>
      <c r="H36" s="3">
        <v>1.27583999404617E-2</v>
      </c>
      <c r="I36" s="3">
        <v>4.9610069137206697E-2</v>
      </c>
      <c r="J36" s="3">
        <v>0.62261811819436197</v>
      </c>
      <c r="K36" s="3">
        <v>0.10180516325617001</v>
      </c>
      <c r="L36" s="3">
        <v>8.1137928576943601</v>
      </c>
      <c r="M36" s="3">
        <v>4.8008241503761298</v>
      </c>
      <c r="N36" s="3">
        <v>87.085382991929507</v>
      </c>
      <c r="O36" s="3">
        <v>25.232813448948399</v>
      </c>
      <c r="P36" s="3">
        <v>51.986281849834903</v>
      </c>
      <c r="Q36" s="3">
        <v>22.780904701216699</v>
      </c>
      <c r="R36" s="3">
        <v>0</v>
      </c>
      <c r="S36" s="3">
        <v>51.986281849834903</v>
      </c>
      <c r="T36" s="3">
        <v>0.46982384919265902</v>
      </c>
      <c r="U36" s="3">
        <v>-12.3776246549109</v>
      </c>
      <c r="V36" s="3">
        <v>587.53625068774204</v>
      </c>
      <c r="W36" s="3">
        <v>99.925538339617205</v>
      </c>
      <c r="X36" s="3">
        <v>45.310049788236803</v>
      </c>
      <c r="Y36" s="3">
        <v>144.37843432385301</v>
      </c>
      <c r="Z36" s="3">
        <v>57.446477873213802</v>
      </c>
      <c r="AA36" s="3">
        <v>3.7683374152697402</v>
      </c>
      <c r="AB36" s="3">
        <v>764.619153926482</v>
      </c>
      <c r="AC36" s="3">
        <v>14.468395931949599</v>
      </c>
      <c r="AD36" s="3">
        <v>0</v>
      </c>
      <c r="AE36" s="3">
        <v>171.42338791614199</v>
      </c>
      <c r="AF36" s="3">
        <v>112.08590325201</v>
      </c>
      <c r="AG36" s="3">
        <v>31.023627418161801</v>
      </c>
      <c r="AH36" s="3">
        <v>-8.3379737277496204</v>
      </c>
      <c r="AI36" s="3">
        <v>53559789764.400002</v>
      </c>
      <c r="AJ36" s="3">
        <v>7.9936269974080695E-2</v>
      </c>
      <c r="AK36" s="3">
        <v>47424</v>
      </c>
      <c r="AL36" s="3">
        <f t="shared" si="3"/>
        <v>0.99325129522829214</v>
      </c>
      <c r="AM36" s="4">
        <f t="shared" si="4"/>
        <v>0.73459665640923699</v>
      </c>
      <c r="AN36" s="4">
        <f t="shared" si="5"/>
        <v>1.130902493859377</v>
      </c>
    </row>
    <row r="37" spans="1:40" x14ac:dyDescent="0.25">
      <c r="A37" s="3">
        <v>36</v>
      </c>
      <c r="B37" s="3">
        <v>200</v>
      </c>
      <c r="C37" s="3">
        <v>-200</v>
      </c>
      <c r="D37" s="3">
        <v>0</v>
      </c>
      <c r="E37" s="3">
        <v>0.39840901696672198</v>
      </c>
      <c r="F37" s="3">
        <v>0.39840901696672198</v>
      </c>
      <c r="G37" s="3">
        <v>5.2374562962963001E-2</v>
      </c>
      <c r="H37" s="3">
        <v>1.2533938390408301E-3</v>
      </c>
      <c r="I37" s="3">
        <v>5.2374562962963001E-2</v>
      </c>
      <c r="J37" s="3">
        <v>0.29239940918301699</v>
      </c>
      <c r="K37" s="4">
        <v>7.08801873852613E-6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33.200000000000003</v>
      </c>
      <c r="Y37" s="3">
        <v>256.60000000000002</v>
      </c>
      <c r="Z37" s="3">
        <v>64</v>
      </c>
      <c r="AA37" s="3">
        <v>2.6</v>
      </c>
      <c r="AB37" s="3">
        <v>726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-107</v>
      </c>
      <c r="AI37" s="3">
        <v>256666.2</v>
      </c>
      <c r="AJ37" s="3" t="s">
        <v>36</v>
      </c>
      <c r="AK37" s="3">
        <v>1</v>
      </c>
      <c r="AL37" s="3">
        <f t="shared" si="3"/>
        <v>0</v>
      </c>
      <c r="AM37" s="4">
        <f t="shared" si="4"/>
        <v>0.39840192894798349</v>
      </c>
      <c r="AN37" s="4">
        <f t="shared" si="5"/>
        <v>0</v>
      </c>
    </row>
    <row r="38" spans="1:40" x14ac:dyDescent="0.25">
      <c r="A38" s="3">
        <v>37</v>
      </c>
      <c r="B38" s="3">
        <v>200</v>
      </c>
      <c r="C38" s="3">
        <v>-175</v>
      </c>
      <c r="D38" s="4">
        <v>7.3962218421947E-5</v>
      </c>
      <c r="E38" s="3">
        <v>0.43782796040459798</v>
      </c>
      <c r="F38" s="3">
        <v>0.437753998186176</v>
      </c>
      <c r="G38" s="3">
        <v>4.7760158202091299E-2</v>
      </c>
      <c r="H38" s="3">
        <v>2.8927834655613498E-3</v>
      </c>
      <c r="I38" s="3">
        <v>4.7760158202091299E-2</v>
      </c>
      <c r="J38" s="3">
        <v>0.33940809823474399</v>
      </c>
      <c r="K38" s="4">
        <v>6.76230010971825E-6</v>
      </c>
      <c r="L38" s="3">
        <v>68.072842230738203</v>
      </c>
      <c r="M38" s="3">
        <v>0</v>
      </c>
      <c r="N38" s="3">
        <v>31.9271577692618</v>
      </c>
      <c r="O38" s="3">
        <v>31.9271577692618</v>
      </c>
      <c r="P38" s="3">
        <v>68.072842230738203</v>
      </c>
      <c r="Q38" s="3">
        <v>0</v>
      </c>
      <c r="R38" s="3">
        <v>0</v>
      </c>
      <c r="S38" s="3">
        <v>68.072842230738203</v>
      </c>
      <c r="T38" s="3">
        <v>0</v>
      </c>
      <c r="U38" s="3">
        <v>-186.37678124629201</v>
      </c>
      <c r="V38" s="3">
        <v>0</v>
      </c>
      <c r="W38" s="3">
        <v>100</v>
      </c>
      <c r="X38" s="3">
        <v>46.372032680914899</v>
      </c>
      <c r="Y38" s="3">
        <v>234.46317358054799</v>
      </c>
      <c r="Z38" s="3">
        <v>53.192991388194301</v>
      </c>
      <c r="AA38" s="3">
        <v>2.6246638224836101</v>
      </c>
      <c r="AB38" s="3">
        <v>708.69797251993305</v>
      </c>
      <c r="AC38" s="3">
        <v>62.591577620473899</v>
      </c>
      <c r="AD38" s="3">
        <v>0</v>
      </c>
      <c r="AE38" s="3">
        <v>170.68705272253999</v>
      </c>
      <c r="AF38" s="3">
        <v>111.901201990459</v>
      </c>
      <c r="AG38" s="3">
        <v>25.608482589307101</v>
      </c>
      <c r="AH38" s="3">
        <v>-105.83271587085</v>
      </c>
      <c r="AI38" s="3">
        <v>2938559.1</v>
      </c>
      <c r="AJ38" s="4">
        <v>2.4961508830135298E-6</v>
      </c>
      <c r="AK38" s="3">
        <v>13</v>
      </c>
      <c r="AL38" s="3">
        <f t="shared" si="3"/>
        <v>1.6892986540557693E-4</v>
      </c>
      <c r="AM38" s="4">
        <f t="shared" si="4"/>
        <v>0.43782119810448827</v>
      </c>
      <c r="AN38" s="4">
        <f t="shared" si="5"/>
        <v>1.6893247458588229E-4</v>
      </c>
    </row>
    <row r="39" spans="1:40" x14ac:dyDescent="0.25">
      <c r="A39" s="3">
        <v>38</v>
      </c>
      <c r="B39" s="3">
        <v>200</v>
      </c>
      <c r="C39" s="3">
        <v>-150</v>
      </c>
      <c r="D39" s="3">
        <v>2.2170798696812399</v>
      </c>
      <c r="E39" s="3">
        <v>0.45458146811098199</v>
      </c>
      <c r="F39" s="3">
        <v>-1.7624984015702601</v>
      </c>
      <c r="G39" s="3">
        <v>4.79690871429952E-2</v>
      </c>
      <c r="H39" s="3">
        <v>1.07620635196815E-2</v>
      </c>
      <c r="I39" s="3">
        <v>4.79690871429952E-2</v>
      </c>
      <c r="J39" s="3">
        <v>0.34787309120402898</v>
      </c>
      <c r="K39" s="4">
        <v>8.1391012805753803E-6</v>
      </c>
      <c r="L39" s="3">
        <v>57.986424465708303</v>
      </c>
      <c r="M39" s="3">
        <v>0</v>
      </c>
      <c r="N39" s="3">
        <v>42.013575534291697</v>
      </c>
      <c r="O39" s="3">
        <v>48.266435619322998</v>
      </c>
      <c r="P39" s="3">
        <v>37.618241571372501</v>
      </c>
      <c r="Q39" s="3">
        <v>14.1153228093045</v>
      </c>
      <c r="R39" s="3">
        <v>0</v>
      </c>
      <c r="S39" s="3">
        <v>37.618241571372501</v>
      </c>
      <c r="T39" s="3">
        <v>0.33922127949292302</v>
      </c>
      <c r="U39" s="3">
        <v>-159.66477637488501</v>
      </c>
      <c r="V39" s="3">
        <v>0</v>
      </c>
      <c r="W39" s="3">
        <v>95.184569289696498</v>
      </c>
      <c r="X39" s="3">
        <v>49.738880065120298</v>
      </c>
      <c r="Y39" s="3">
        <v>269.992054430363</v>
      </c>
      <c r="Z39" s="3">
        <v>53.693014528642301</v>
      </c>
      <c r="AA39" s="3">
        <v>2.8422657210725699</v>
      </c>
      <c r="AB39" s="3">
        <v>730.01609015782003</v>
      </c>
      <c r="AC39" s="3">
        <v>13.8430322622185</v>
      </c>
      <c r="AD39" s="3">
        <v>0</v>
      </c>
      <c r="AE39" s="3">
        <v>172.666932967321</v>
      </c>
      <c r="AF39" s="3">
        <v>111.995424074978</v>
      </c>
      <c r="AG39" s="3">
        <v>25.393043352127499</v>
      </c>
      <c r="AH39" s="3">
        <v>-86.006953900532494</v>
      </c>
      <c r="AI39" s="3">
        <v>20139479.899999999</v>
      </c>
      <c r="AJ39" s="3">
        <v>0.12503485203294101</v>
      </c>
      <c r="AK39" s="3">
        <v>81</v>
      </c>
      <c r="AL39" s="3">
        <f t="shared" si="3"/>
        <v>4.8771892943509956</v>
      </c>
      <c r="AM39" s="4">
        <f t="shared" si="4"/>
        <v>0.45457332900970143</v>
      </c>
      <c r="AN39" s="4">
        <f t="shared" si="5"/>
        <v>4.8772766200586384</v>
      </c>
    </row>
    <row r="40" spans="1:40" x14ac:dyDescent="0.25">
      <c r="A40" s="3">
        <v>39</v>
      </c>
      <c r="B40" s="3">
        <v>200</v>
      </c>
      <c r="C40" s="3">
        <v>-125</v>
      </c>
      <c r="D40" s="3">
        <v>0.41364190189466499</v>
      </c>
      <c r="E40" s="3">
        <v>0.44101746484835802</v>
      </c>
      <c r="F40" s="3">
        <v>2.7375562953692801E-2</v>
      </c>
      <c r="G40" s="3">
        <v>4.8397763501454402E-2</v>
      </c>
      <c r="H40" s="3">
        <v>6.3025099187786603E-3</v>
      </c>
      <c r="I40" s="3">
        <v>4.8397763501454402E-2</v>
      </c>
      <c r="J40" s="3">
        <v>0.33790971361872402</v>
      </c>
      <c r="K40" s="4">
        <v>9.7143079471379406E-6</v>
      </c>
      <c r="L40" s="3">
        <v>74.007087830461003</v>
      </c>
      <c r="M40" s="3">
        <v>0.55940062530903101</v>
      </c>
      <c r="N40" s="3">
        <v>25.433511544230001</v>
      </c>
      <c r="O40" s="3">
        <v>34.442461349076702</v>
      </c>
      <c r="P40" s="3">
        <v>45.874151992181503</v>
      </c>
      <c r="Q40" s="3">
        <v>19.683386658741799</v>
      </c>
      <c r="R40" s="3">
        <v>0</v>
      </c>
      <c r="S40" s="3">
        <v>45.874151992181503</v>
      </c>
      <c r="T40" s="3">
        <v>0.21634945063816799</v>
      </c>
      <c r="U40" s="3">
        <v>-133.22913224031601</v>
      </c>
      <c r="V40" s="3">
        <v>4.8349940563992503E-3</v>
      </c>
      <c r="W40" s="3">
        <v>99.424039618100394</v>
      </c>
      <c r="X40" s="3">
        <v>45.691390199147399</v>
      </c>
      <c r="Y40" s="3">
        <v>336.94012688623002</v>
      </c>
      <c r="Z40" s="3">
        <v>54.691600131581801</v>
      </c>
      <c r="AA40" s="3">
        <v>3.13565099442134</v>
      </c>
      <c r="AB40" s="3">
        <v>763.60805431731899</v>
      </c>
      <c r="AC40" s="3">
        <v>5.1076754349936397</v>
      </c>
      <c r="AD40" s="3">
        <v>0</v>
      </c>
      <c r="AE40" s="3">
        <v>172.67518289510301</v>
      </c>
      <c r="AF40" s="3">
        <v>111.944329933547</v>
      </c>
      <c r="AG40" s="3">
        <v>24.535689906641</v>
      </c>
      <c r="AH40" s="3">
        <v>-50.682051112685798</v>
      </c>
      <c r="AI40" s="3">
        <v>335218091.5</v>
      </c>
      <c r="AJ40" s="3">
        <v>5.3160905521352601E-2</v>
      </c>
      <c r="AK40" s="3">
        <v>789</v>
      </c>
      <c r="AL40" s="3">
        <f t="shared" si="3"/>
        <v>0.93792635182122319</v>
      </c>
      <c r="AM40" s="4">
        <f t="shared" si="4"/>
        <v>0.44100775054041086</v>
      </c>
      <c r="AN40" s="4">
        <f t="shared" si="5"/>
        <v>0.93794701201461483</v>
      </c>
    </row>
    <row r="41" spans="1:40" x14ac:dyDescent="0.25">
      <c r="A41" s="3">
        <v>40</v>
      </c>
      <c r="B41" s="3">
        <v>200</v>
      </c>
      <c r="C41" s="3">
        <v>-100</v>
      </c>
      <c r="D41" s="3">
        <v>0.41371681785979397</v>
      </c>
      <c r="E41" s="3">
        <v>0.45464257542835901</v>
      </c>
      <c r="F41" s="3">
        <v>4.0925757568564702E-2</v>
      </c>
      <c r="G41" s="3">
        <v>4.8348265967077503E-2</v>
      </c>
      <c r="H41" s="3">
        <v>5.9611014674706697E-3</v>
      </c>
      <c r="I41" s="3">
        <v>4.8348265967077503E-2</v>
      </c>
      <c r="J41" s="3">
        <v>0.35197549989163202</v>
      </c>
      <c r="K41" s="4">
        <v>9.4421351005022495E-6</v>
      </c>
      <c r="L41" s="3">
        <v>63.349753893862399</v>
      </c>
      <c r="M41" s="3">
        <v>1.6618452454332799</v>
      </c>
      <c r="N41" s="3">
        <v>34.988400860704402</v>
      </c>
      <c r="O41" s="3">
        <v>27.735645554027201</v>
      </c>
      <c r="P41" s="3">
        <v>53.161058762932598</v>
      </c>
      <c r="Q41" s="3">
        <v>19.103295683040098</v>
      </c>
      <c r="R41" s="3">
        <v>0</v>
      </c>
      <c r="S41" s="3">
        <v>53.161058762932598</v>
      </c>
      <c r="T41" s="3">
        <v>0.214467415046248</v>
      </c>
      <c r="U41" s="3">
        <v>-108.394980917027</v>
      </c>
      <c r="V41" s="3">
        <v>8.7907487637100004E-2</v>
      </c>
      <c r="W41" s="3">
        <v>99.957848410457501</v>
      </c>
      <c r="X41" s="3">
        <v>43.911659093918303</v>
      </c>
      <c r="Y41" s="3">
        <v>311.87579933083498</v>
      </c>
      <c r="Z41" s="3">
        <v>54.571086340005799</v>
      </c>
      <c r="AA41" s="3">
        <v>3.2683814459140401</v>
      </c>
      <c r="AB41" s="3">
        <v>772.61018940960503</v>
      </c>
      <c r="AC41" s="3">
        <v>3.87160616852817</v>
      </c>
      <c r="AD41" s="3">
        <v>0</v>
      </c>
      <c r="AE41" s="3">
        <v>172.22306858005399</v>
      </c>
      <c r="AF41" s="3">
        <v>111.941075916644</v>
      </c>
      <c r="AG41" s="3">
        <v>24.894704136701598</v>
      </c>
      <c r="AH41" s="3">
        <v>-35.041601766716902</v>
      </c>
      <c r="AI41" s="3">
        <v>4381810081.3000002</v>
      </c>
      <c r="AJ41" s="3">
        <v>6.0151417550216101E-2</v>
      </c>
      <c r="AK41" s="3">
        <v>4350</v>
      </c>
      <c r="AL41" s="3">
        <f t="shared" si="3"/>
        <v>0.90998256700880853</v>
      </c>
      <c r="AM41" s="4">
        <f t="shared" si="4"/>
        <v>0.4546331332932585</v>
      </c>
      <c r="AN41" s="4">
        <f t="shared" si="5"/>
        <v>0.91000146615563171</v>
      </c>
    </row>
    <row r="42" spans="1:40" x14ac:dyDescent="0.25">
      <c r="A42" s="3">
        <v>41</v>
      </c>
      <c r="B42" s="3">
        <v>200</v>
      </c>
      <c r="C42" s="3">
        <v>-75</v>
      </c>
      <c r="D42" s="3">
        <v>0.47356911269068602</v>
      </c>
      <c r="E42" s="3">
        <v>0.46324413718565199</v>
      </c>
      <c r="F42" s="3">
        <v>-1.03249755050335E-2</v>
      </c>
      <c r="G42" s="3">
        <v>4.80807306663898E-2</v>
      </c>
      <c r="H42" s="3">
        <v>6.6391731348292198E-3</v>
      </c>
      <c r="I42" s="3">
        <v>4.80807306663898E-2</v>
      </c>
      <c r="J42" s="3">
        <v>0.360109463357771</v>
      </c>
      <c r="K42" s="3">
        <v>3.3403936027191398E-4</v>
      </c>
      <c r="L42" s="3">
        <v>30.700335935249701</v>
      </c>
      <c r="M42" s="3">
        <v>3.06213153237195</v>
      </c>
      <c r="N42" s="3">
        <v>66.237532532378395</v>
      </c>
      <c r="O42" s="3">
        <v>28.4472100777569</v>
      </c>
      <c r="P42" s="3">
        <v>54.561912123919598</v>
      </c>
      <c r="Q42" s="3">
        <v>16.990877798323599</v>
      </c>
      <c r="R42" s="3">
        <v>0</v>
      </c>
      <c r="S42" s="3">
        <v>54.561912123919598</v>
      </c>
      <c r="T42" s="3">
        <v>0.24320138156227</v>
      </c>
      <c r="U42" s="3">
        <v>-83.849086539708594</v>
      </c>
      <c r="V42" s="3">
        <v>0.61747857520537097</v>
      </c>
      <c r="W42" s="3">
        <v>99.978631958914093</v>
      </c>
      <c r="X42" s="3">
        <v>44.765685517860597</v>
      </c>
      <c r="Y42" s="3">
        <v>308.16149435118302</v>
      </c>
      <c r="Z42" s="3">
        <v>53.949456235292097</v>
      </c>
      <c r="AA42" s="3">
        <v>3.3238001824335499</v>
      </c>
      <c r="AB42" s="3">
        <v>772.44877703282305</v>
      </c>
      <c r="AC42" s="3">
        <v>2.26634301590085</v>
      </c>
      <c r="AD42" s="3">
        <v>0</v>
      </c>
      <c r="AE42" s="3">
        <v>171.911635516481</v>
      </c>
      <c r="AF42" s="3">
        <v>111.93787382558401</v>
      </c>
      <c r="AG42" s="3">
        <v>25.438281179927301</v>
      </c>
      <c r="AH42" s="3">
        <v>-30.224769602035401</v>
      </c>
      <c r="AI42" s="3">
        <v>40557876203.900002</v>
      </c>
      <c r="AJ42" s="3">
        <v>6.8182001372595696E-2</v>
      </c>
      <c r="AK42" s="3">
        <v>14150</v>
      </c>
      <c r="AL42" s="3">
        <f t="shared" si="3"/>
        <v>1.0222884105296213</v>
      </c>
      <c r="AM42" s="4">
        <f t="shared" si="4"/>
        <v>0.46291009782538006</v>
      </c>
      <c r="AN42" s="4">
        <f t="shared" si="5"/>
        <v>1.0230261014295843</v>
      </c>
    </row>
    <row r="43" spans="1:40" x14ac:dyDescent="0.25">
      <c r="A43" s="3">
        <v>42</v>
      </c>
      <c r="B43" s="3">
        <v>200</v>
      </c>
      <c r="C43" s="3">
        <v>-50</v>
      </c>
      <c r="D43" s="3">
        <v>0.56367766448916701</v>
      </c>
      <c r="E43" s="3">
        <v>0.53714752782989805</v>
      </c>
      <c r="F43" s="3">
        <v>-2.6530136659269E-2</v>
      </c>
      <c r="G43" s="3">
        <v>4.8369426714607297E-2</v>
      </c>
      <c r="H43" s="3">
        <v>7.5976344827189696E-3</v>
      </c>
      <c r="I43" s="3">
        <v>4.8369426714607297E-2</v>
      </c>
      <c r="J43" s="3">
        <v>0.39446731664780799</v>
      </c>
      <c r="K43" s="3">
        <v>3.8343723270156303E-2</v>
      </c>
      <c r="L43" s="3">
        <v>10.6002750926292</v>
      </c>
      <c r="M43" s="3">
        <v>4.0936595437086103</v>
      </c>
      <c r="N43" s="3">
        <v>85.306065363662199</v>
      </c>
      <c r="O43" s="3">
        <v>26.442929998780201</v>
      </c>
      <c r="P43" s="3">
        <v>55.9149862782049</v>
      </c>
      <c r="Q43" s="3">
        <v>17.642083723014899</v>
      </c>
      <c r="R43" s="3">
        <v>0</v>
      </c>
      <c r="S43" s="3">
        <v>55.9149862782049</v>
      </c>
      <c r="T43" s="3">
        <v>0.28313032949268802</v>
      </c>
      <c r="U43" s="3">
        <v>-60.1268373636455</v>
      </c>
      <c r="V43" s="3">
        <v>40.220828184632097</v>
      </c>
      <c r="W43" s="3">
        <v>99.987552217089899</v>
      </c>
      <c r="X43" s="3">
        <v>44.642133858742802</v>
      </c>
      <c r="Y43" s="3">
        <v>302.64444640542098</v>
      </c>
      <c r="Z43" s="3">
        <v>54.596400389046799</v>
      </c>
      <c r="AA43" s="3">
        <v>3.4066129669655298</v>
      </c>
      <c r="AB43" s="3">
        <v>771.73681571055795</v>
      </c>
      <c r="AC43" s="3">
        <v>2.2985852945959802</v>
      </c>
      <c r="AD43" s="3">
        <v>0</v>
      </c>
      <c r="AE43" s="3">
        <v>172.27953774105501</v>
      </c>
      <c r="AF43" s="3">
        <v>112.030007480807</v>
      </c>
      <c r="AG43" s="3">
        <v>26.635491927992401</v>
      </c>
      <c r="AH43" s="3">
        <v>-25.311372266754201</v>
      </c>
      <c r="AI43" s="3">
        <v>243551740603.89999</v>
      </c>
      <c r="AJ43" s="3">
        <v>6.3676017167258903E-2</v>
      </c>
      <c r="AK43" s="3">
        <v>39108</v>
      </c>
      <c r="AL43" s="3">
        <f t="shared" si="3"/>
        <v>1.0493907823916682</v>
      </c>
      <c r="AM43" s="4">
        <f t="shared" si="4"/>
        <v>0.49880380455974177</v>
      </c>
      <c r="AN43" s="4">
        <f t="shared" si="5"/>
        <v>1.1300588715169979</v>
      </c>
    </row>
    <row r="44" spans="1:40" x14ac:dyDescent="0.25">
      <c r="A44" s="3">
        <v>43</v>
      </c>
      <c r="B44" s="3">
        <v>200</v>
      </c>
      <c r="C44" s="3">
        <v>-25</v>
      </c>
      <c r="D44" s="3">
        <v>0.66900422532126103</v>
      </c>
      <c r="E44" s="3">
        <v>0.66977273371240098</v>
      </c>
      <c r="F44" s="3">
        <v>7.6850839113991299E-4</v>
      </c>
      <c r="G44" s="3">
        <v>4.8816888104872502E-2</v>
      </c>
      <c r="H44" s="3">
        <v>8.1984497320323705E-3</v>
      </c>
      <c r="I44" s="3">
        <v>4.8816888104872502E-2</v>
      </c>
      <c r="J44" s="3">
        <v>0.45347831641582098</v>
      </c>
      <c r="K44" s="3">
        <v>0.11046219135480299</v>
      </c>
      <c r="L44" s="3">
        <v>5.5347786308647802</v>
      </c>
      <c r="M44" s="3">
        <v>4.5653467161332397</v>
      </c>
      <c r="N44" s="3">
        <v>89.899874653002001</v>
      </c>
      <c r="O44" s="3">
        <v>26.7960769780838</v>
      </c>
      <c r="P44" s="3">
        <v>54.641556123533299</v>
      </c>
      <c r="Q44" s="3">
        <v>18.562366898382901</v>
      </c>
      <c r="R44" s="3">
        <v>0</v>
      </c>
      <c r="S44" s="3">
        <v>54.641556123533299</v>
      </c>
      <c r="T44" s="3">
        <v>0.30505768527044802</v>
      </c>
      <c r="U44" s="3">
        <v>-36.609340851118503</v>
      </c>
      <c r="V44" s="3">
        <v>164.06680803307501</v>
      </c>
      <c r="W44" s="3">
        <v>99.982372934702795</v>
      </c>
      <c r="X44" s="3">
        <v>44.808867227962402</v>
      </c>
      <c r="Y44" s="3">
        <v>300.75009063454399</v>
      </c>
      <c r="Z44" s="3">
        <v>55.613760315105999</v>
      </c>
      <c r="AA44" s="3">
        <v>3.5385703570492502</v>
      </c>
      <c r="AB44" s="3">
        <v>769.06736957018995</v>
      </c>
      <c r="AC44" s="3">
        <v>4.0917845303728102</v>
      </c>
      <c r="AD44" s="3">
        <v>0</v>
      </c>
      <c r="AE44" s="3">
        <v>173.09208165930201</v>
      </c>
      <c r="AF44" s="3">
        <v>112.208743425252</v>
      </c>
      <c r="AG44" s="3">
        <v>29.632123521064202</v>
      </c>
      <c r="AH44" s="3">
        <v>-17.7423361981716</v>
      </c>
      <c r="AI44" s="3">
        <v>540234429640.20001</v>
      </c>
      <c r="AJ44" s="3">
        <v>7.0662158097894001E-2</v>
      </c>
      <c r="AK44" s="3">
        <v>83881</v>
      </c>
      <c r="AL44" s="3">
        <f t="shared" si="3"/>
        <v>0.99885258334288962</v>
      </c>
      <c r="AM44" s="4">
        <f t="shared" si="4"/>
        <v>0.55931054235759803</v>
      </c>
      <c r="AN44" s="4">
        <f t="shared" si="5"/>
        <v>1.1961230383773631</v>
      </c>
    </row>
    <row r="45" spans="1:40" x14ac:dyDescent="0.25">
      <c r="A45" s="3">
        <v>44</v>
      </c>
      <c r="B45" s="3">
        <v>200</v>
      </c>
      <c r="C45" s="3">
        <v>0</v>
      </c>
      <c r="D45" s="3">
        <v>0.76103014545249004</v>
      </c>
      <c r="E45" s="3">
        <v>0.75777557746322899</v>
      </c>
      <c r="F45" s="3">
        <v>-3.2545679892610302E-3</v>
      </c>
      <c r="G45" s="3">
        <v>4.9536037223324197E-2</v>
      </c>
      <c r="H45" s="3">
        <v>1.0011113072660499E-2</v>
      </c>
      <c r="I45" s="3">
        <v>4.9536037223324197E-2</v>
      </c>
      <c r="J45" s="3">
        <v>0.47542499655089698</v>
      </c>
      <c r="K45" s="3">
        <v>0.17326739339302299</v>
      </c>
      <c r="L45" s="3">
        <v>4.8478567000475703</v>
      </c>
      <c r="M45" s="3">
        <v>4.7734852889912203</v>
      </c>
      <c r="N45" s="3">
        <v>90.378658010961203</v>
      </c>
      <c r="O45" s="3">
        <v>25.4872692592125</v>
      </c>
      <c r="P45" s="3">
        <v>54.222796372016198</v>
      </c>
      <c r="Q45" s="3">
        <v>20.289934368771299</v>
      </c>
      <c r="R45" s="3">
        <v>0</v>
      </c>
      <c r="S45" s="3">
        <v>54.222796372016198</v>
      </c>
      <c r="T45" s="3">
        <v>0.36112453942106898</v>
      </c>
      <c r="U45" s="3">
        <v>-14.366106306862701</v>
      </c>
      <c r="V45" s="3">
        <v>533.43774912150002</v>
      </c>
      <c r="W45" s="3">
        <v>99.972589232536095</v>
      </c>
      <c r="X45" s="3">
        <v>45.280678579065501</v>
      </c>
      <c r="Y45" s="3">
        <v>282.91318211037702</v>
      </c>
      <c r="Z45" s="3">
        <v>57.275813180675698</v>
      </c>
      <c r="AA45" s="3">
        <v>3.7305263026641802</v>
      </c>
      <c r="AB45" s="3">
        <v>765.67275497978699</v>
      </c>
      <c r="AC45" s="3">
        <v>7.64474510400865</v>
      </c>
      <c r="AD45" s="3">
        <v>0</v>
      </c>
      <c r="AE45" s="3">
        <v>171.863708573487</v>
      </c>
      <c r="AF45" s="3">
        <v>112.127003603603</v>
      </c>
      <c r="AG45" s="3">
        <v>31.2585844880705</v>
      </c>
      <c r="AH45" s="3">
        <v>-11.116264703170801</v>
      </c>
      <c r="AI45" s="3">
        <v>540376511070.20001</v>
      </c>
      <c r="AJ45" s="3">
        <v>7.6032973835876094E-2</v>
      </c>
      <c r="AK45" s="3">
        <v>116654</v>
      </c>
      <c r="AL45" s="3">
        <f t="shared" si="3"/>
        <v>1.0042948969141448</v>
      </c>
      <c r="AM45" s="4">
        <f t="shared" si="4"/>
        <v>0.58450818407020599</v>
      </c>
      <c r="AN45" s="4">
        <f t="shared" si="5"/>
        <v>1.3020008379576116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0.53865947672059999</v>
      </c>
      <c r="E5" s="11">
        <v>0.53865652388789931</v>
      </c>
      <c r="F5" s="11">
        <v>1.3963166730990662E-3</v>
      </c>
      <c r="G5" s="11">
        <v>1.3963243274935644E-3</v>
      </c>
      <c r="H5" s="7">
        <v>451969.4</v>
      </c>
      <c r="I5" s="11">
        <v>0</v>
      </c>
      <c r="J5" s="11">
        <v>0.61976028905386804</v>
      </c>
      <c r="K5" s="11">
        <v>0.61975553138440032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0.49007335695425502</v>
      </c>
      <c r="Q5" s="11">
        <v>0.49006880550516174</v>
      </c>
      <c r="R5" s="11">
        <v>6.1538866112477511E-3</v>
      </c>
      <c r="S5" s="11">
        <v>6.1539437646542161E-3</v>
      </c>
      <c r="T5" s="7">
        <v>281354.7</v>
      </c>
      <c r="U5" s="11">
        <v>0</v>
      </c>
      <c r="V5" s="11">
        <v>0.50875976422784996</v>
      </c>
      <c r="W5" s="11">
        <v>0.50875309852478134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0.43782796040459798</v>
      </c>
      <c r="AC5" s="11">
        <v>0.43782119810448827</v>
      </c>
      <c r="AD5" s="11">
        <v>1.6892986540557693E-4</v>
      </c>
      <c r="AE5" s="11">
        <v>1.6893247458588229E-4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0.57477896170592102</v>
      </c>
      <c r="E6" s="11">
        <v>0.5747753835975612</v>
      </c>
      <c r="F6" s="11">
        <v>1.677160672547089E-2</v>
      </c>
      <c r="G6" s="11">
        <v>1.6771711132562678E-2</v>
      </c>
      <c r="H6" s="7">
        <v>3028281.2</v>
      </c>
      <c r="I6" s="11">
        <v>0.80176924152882501</v>
      </c>
      <c r="J6" s="11">
        <v>0.57880455259752595</v>
      </c>
      <c r="K6" s="11">
        <v>0.57879992155680615</v>
      </c>
      <c r="L6" s="11">
        <v>1.3852158521053279</v>
      </c>
      <c r="M6" s="11">
        <v>1.3852269353670525</v>
      </c>
      <c r="N6" s="7">
        <v>6808924.5</v>
      </c>
      <c r="O6" s="11">
        <v>1.4011899431400699E-2</v>
      </c>
      <c r="P6" s="11">
        <v>0.54625412529711703</v>
      </c>
      <c r="Q6" s="11">
        <v>0.54624887050797377</v>
      </c>
      <c r="R6" s="11">
        <v>2.5650880757704823E-2</v>
      </c>
      <c r="S6" s="11">
        <v>2.5651127513308357E-2</v>
      </c>
      <c r="T6" s="7">
        <v>3149335.9</v>
      </c>
      <c r="U6" s="11">
        <v>2.59566697283704E-2</v>
      </c>
      <c r="V6" s="11">
        <v>0.53178425213679503</v>
      </c>
      <c r="W6" s="11">
        <v>0.53177792969183368</v>
      </c>
      <c r="X6" s="11">
        <v>4.8810527246853037E-2</v>
      </c>
      <c r="Y6" s="11">
        <v>4.8811107567800605E-2</v>
      </c>
      <c r="Z6" s="7">
        <v>20139479.899999999</v>
      </c>
      <c r="AA6" s="11">
        <v>2.2170798696812399</v>
      </c>
      <c r="AB6" s="11">
        <v>0.45458146811098199</v>
      </c>
      <c r="AC6" s="11">
        <v>0.45457332900970143</v>
      </c>
      <c r="AD6" s="11">
        <v>4.8771892943509956</v>
      </c>
      <c r="AE6" s="11">
        <v>4.8772766200586384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0.61778429933657897</v>
      </c>
      <c r="E7" s="11">
        <v>0.61778079638399541</v>
      </c>
      <c r="F7" s="11">
        <v>0.22848183748555712</v>
      </c>
      <c r="G7" s="11">
        <v>0.22848313302767756</v>
      </c>
      <c r="H7" s="7">
        <v>39035811.600000001</v>
      </c>
      <c r="I7" s="11">
        <v>0.25237078541822899</v>
      </c>
      <c r="J7" s="11">
        <v>0.58414942614754095</v>
      </c>
      <c r="K7" s="11">
        <v>0.58414494465510214</v>
      </c>
      <c r="L7" s="11">
        <v>0.43203121345613837</v>
      </c>
      <c r="M7" s="11">
        <v>0.43203452794962866</v>
      </c>
      <c r="N7" s="7">
        <v>70532001</v>
      </c>
      <c r="O7" s="11">
        <v>0.35037417787806702</v>
      </c>
      <c r="P7" s="11">
        <v>0.57895831680507803</v>
      </c>
      <c r="Q7" s="11">
        <v>0.57895288014609403</v>
      </c>
      <c r="R7" s="11">
        <v>0.60518031731812905</v>
      </c>
      <c r="S7" s="11">
        <v>0.60518600026595071</v>
      </c>
      <c r="T7" s="7">
        <v>38724152.600000001</v>
      </c>
      <c r="U7" s="11">
        <v>0.45182697437541902</v>
      </c>
      <c r="V7" s="11">
        <v>0.54513771950794498</v>
      </c>
      <c r="W7" s="11">
        <v>0.54513162339466681</v>
      </c>
      <c r="X7" s="11">
        <v>0.82883087742167139</v>
      </c>
      <c r="Y7" s="11">
        <v>0.82884014609496126</v>
      </c>
      <c r="Z7" s="7">
        <v>335218091.5</v>
      </c>
      <c r="AA7" s="11">
        <v>0.41364190189466499</v>
      </c>
      <c r="AB7" s="11">
        <v>0.44101746484835802</v>
      </c>
      <c r="AC7" s="11">
        <v>0.44100775054041086</v>
      </c>
      <c r="AD7" s="11">
        <v>0.93792635182122319</v>
      </c>
      <c r="AE7" s="11">
        <v>0.93794701201461483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0.66142055417928403</v>
      </c>
      <c r="E8" s="11">
        <v>0.66141698202360677</v>
      </c>
      <c r="F8" s="11">
        <v>1.3713947576461629</v>
      </c>
      <c r="G8" s="11">
        <v>1.3714021642228043</v>
      </c>
      <c r="H8" s="7">
        <v>392191752.60000002</v>
      </c>
      <c r="I8" s="11">
        <v>0.78584576868868605</v>
      </c>
      <c r="J8" s="11">
        <v>0.62261361392474601</v>
      </c>
      <c r="K8" s="11">
        <v>0.62260913518794003</v>
      </c>
      <c r="L8" s="11">
        <v>1.2621724792282965</v>
      </c>
      <c r="M8" s="11">
        <v>1.2621815586619551</v>
      </c>
      <c r="N8" s="7">
        <v>731421249.10000002</v>
      </c>
      <c r="O8" s="11">
        <v>0.71376871313629697</v>
      </c>
      <c r="P8" s="11">
        <v>0.608730592514661</v>
      </c>
      <c r="Q8" s="11">
        <v>0.60872521664397439</v>
      </c>
      <c r="R8" s="11">
        <v>1.1725527218662108</v>
      </c>
      <c r="S8" s="11">
        <v>1.1725630770997935</v>
      </c>
      <c r="T8" s="7">
        <v>424766759.30000001</v>
      </c>
      <c r="U8" s="11">
        <v>0.55552322521742603</v>
      </c>
      <c r="V8" s="11">
        <v>0.57176409818691298</v>
      </c>
      <c r="W8" s="11">
        <v>0.57175799345021106</v>
      </c>
      <c r="X8" s="11">
        <v>0.97159515083058312</v>
      </c>
      <c r="Y8" s="11">
        <v>0.97160552468218575</v>
      </c>
      <c r="Z8" s="7">
        <v>4381810081.3000002</v>
      </c>
      <c r="AA8" s="11">
        <v>0.41371681785979397</v>
      </c>
      <c r="AB8" s="11">
        <v>0.45464257542835901</v>
      </c>
      <c r="AC8" s="11">
        <v>0.4546331332932585</v>
      </c>
      <c r="AD8" s="11">
        <v>0.90998256700880853</v>
      </c>
      <c r="AE8" s="11">
        <v>0.91000146615563171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0.70191569631850304</v>
      </c>
      <c r="E9" s="12">
        <v>0.70191205302036042</v>
      </c>
      <c r="F9" s="12">
        <v>1.0841169536728561</v>
      </c>
      <c r="G9" s="12">
        <v>1.0841225808184032</v>
      </c>
      <c r="H9" s="9">
        <v>2144100766.4000001</v>
      </c>
      <c r="I9" s="12">
        <v>0.66247028344860104</v>
      </c>
      <c r="J9" s="12">
        <v>0.66137800647507505</v>
      </c>
      <c r="K9" s="12">
        <v>0.66137349062258333</v>
      </c>
      <c r="L9" s="12">
        <v>1.0016515169280387</v>
      </c>
      <c r="M9" s="12">
        <v>1.00165835619596</v>
      </c>
      <c r="N9" s="9">
        <v>4734935979.6000004</v>
      </c>
      <c r="O9" s="12">
        <v>0.74363181723453298</v>
      </c>
      <c r="P9" s="12">
        <v>0.64102342206726903</v>
      </c>
      <c r="Q9" s="12">
        <v>0.64101803709422234</v>
      </c>
      <c r="R9" s="12">
        <v>1.160069650554042</v>
      </c>
      <c r="S9" s="12">
        <v>1.1600793959019715</v>
      </c>
      <c r="T9" s="9">
        <v>3117240112.1999998</v>
      </c>
      <c r="U9" s="12">
        <v>0.58389240736353099</v>
      </c>
      <c r="V9" s="12">
        <v>0.59585059545475305</v>
      </c>
      <c r="W9" s="12">
        <v>0.59584448184047789</v>
      </c>
      <c r="X9" s="12">
        <v>0.97993089512297027</v>
      </c>
      <c r="Y9" s="12">
        <v>0.97994094962492784</v>
      </c>
      <c r="Z9" s="9">
        <v>40557876203.900002</v>
      </c>
      <c r="AA9" s="12">
        <v>0.47356911269068602</v>
      </c>
      <c r="AB9" s="12">
        <v>0.46324413718565199</v>
      </c>
      <c r="AC9" s="12">
        <v>0.46291009782538006</v>
      </c>
      <c r="AD9" s="12">
        <v>1.0222884105296213</v>
      </c>
      <c r="AE9" s="12">
        <v>1.0230261014295843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0.74654345260941701</v>
      </c>
      <c r="E10" s="11">
        <v>0.74653648131977546</v>
      </c>
      <c r="F10" s="11">
        <v>1.0273108915919742</v>
      </c>
      <c r="G10" s="11">
        <v>1.0273204848026967</v>
      </c>
      <c r="H10" s="7">
        <v>9870188707.6000004</v>
      </c>
      <c r="I10" s="11">
        <v>0.75228695771266696</v>
      </c>
      <c r="J10" s="11">
        <v>0.70893957861357304</v>
      </c>
      <c r="K10" s="11">
        <v>0.70805603948074158</v>
      </c>
      <c r="L10" s="11">
        <v>1.0611439682685873</v>
      </c>
      <c r="M10" s="11">
        <v>1.0624681038867523</v>
      </c>
      <c r="N10" s="7">
        <v>23474302159.900002</v>
      </c>
      <c r="O10" s="11">
        <v>0.69681138195660197</v>
      </c>
      <c r="P10" s="11">
        <v>0.69640932806303502</v>
      </c>
      <c r="Q10" s="11">
        <v>0.6913264320682182</v>
      </c>
      <c r="R10" s="11">
        <v>1.000577324107196</v>
      </c>
      <c r="S10" s="11">
        <v>1.007933950784978</v>
      </c>
      <c r="T10" s="7">
        <v>16067322671.9</v>
      </c>
      <c r="U10" s="11">
        <v>0.706459051979482</v>
      </c>
      <c r="V10" s="11">
        <v>0.65460656243996695</v>
      </c>
      <c r="W10" s="11">
        <v>0.6441407392831705</v>
      </c>
      <c r="X10" s="11">
        <v>1.0792116860946843</v>
      </c>
      <c r="Y10" s="11">
        <v>1.0967464234068818</v>
      </c>
      <c r="Z10" s="7">
        <v>243551740603.89999</v>
      </c>
      <c r="AA10" s="11">
        <v>0.56367766448916701</v>
      </c>
      <c r="AB10" s="11">
        <v>0.53714752782989805</v>
      </c>
      <c r="AC10" s="11">
        <v>0.49880380455974177</v>
      </c>
      <c r="AD10" s="11">
        <v>1.0493907823916682</v>
      </c>
      <c r="AE10" s="11">
        <v>1.1300588715169979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0.83114118602081</v>
      </c>
      <c r="E11" s="11">
        <v>0.82328188463870189</v>
      </c>
      <c r="F11" s="11">
        <v>0.98688753999320022</v>
      </c>
      <c r="G11" s="11">
        <v>0.99630867114132171</v>
      </c>
      <c r="H11" s="7">
        <v>22538638913.799999</v>
      </c>
      <c r="I11" s="11">
        <v>0.78261799640429697</v>
      </c>
      <c r="J11" s="11">
        <v>0.81052502339661203</v>
      </c>
      <c r="K11" s="11">
        <v>0.78717461289544277</v>
      </c>
      <c r="L11" s="11">
        <v>0.96556919751179671</v>
      </c>
      <c r="M11" s="11">
        <v>0.99421142854901623</v>
      </c>
      <c r="N11" s="7">
        <v>53937995797.300003</v>
      </c>
      <c r="O11" s="11">
        <v>0.78391795670064501</v>
      </c>
      <c r="P11" s="11">
        <v>0.81203538364568995</v>
      </c>
      <c r="Q11" s="11">
        <v>0.77118088699048737</v>
      </c>
      <c r="R11" s="11">
        <v>0.96537413576880138</v>
      </c>
      <c r="S11" s="11">
        <v>1.016516319225524</v>
      </c>
      <c r="T11" s="7">
        <v>38072425699.599998</v>
      </c>
      <c r="U11" s="11">
        <v>0.76609999648758498</v>
      </c>
      <c r="V11" s="11">
        <v>0.77357710933877599</v>
      </c>
      <c r="W11" s="11">
        <v>0.7186284599857089</v>
      </c>
      <c r="X11" s="11">
        <v>0.99033436646337403</v>
      </c>
      <c r="Y11" s="11">
        <v>1.0660585255735908</v>
      </c>
      <c r="Z11" s="7">
        <v>540234429640.20001</v>
      </c>
      <c r="AA11" s="11">
        <v>0.66900422532126103</v>
      </c>
      <c r="AB11" s="11">
        <v>0.66977273371240098</v>
      </c>
      <c r="AC11" s="11">
        <v>0.55931054235759803</v>
      </c>
      <c r="AD11" s="11">
        <v>0.99885258334288962</v>
      </c>
      <c r="AE11" s="11">
        <v>1.1961230383773631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0.87045679467590198</v>
      </c>
      <c r="E12" s="11">
        <v>0.83779392067684044</v>
      </c>
      <c r="F12" s="11">
        <v>0.94779373097248332</v>
      </c>
      <c r="G12" s="11">
        <v>0.98474514163304816</v>
      </c>
      <c r="H12" s="7">
        <v>32534589612.5</v>
      </c>
      <c r="I12" s="11">
        <v>0.87178375675221098</v>
      </c>
      <c r="J12" s="11">
        <v>0.860099508797319</v>
      </c>
      <c r="K12" s="11">
        <v>0.80217902484951975</v>
      </c>
      <c r="L12" s="11">
        <v>1.0135847629668224</v>
      </c>
      <c r="M12" s="11">
        <v>1.0867695735571599</v>
      </c>
      <c r="N12" s="7">
        <v>75485525496.5</v>
      </c>
      <c r="O12" s="11">
        <v>0.86356101428058196</v>
      </c>
      <c r="P12" s="11">
        <v>0.86888147979906305</v>
      </c>
      <c r="Q12" s="11">
        <v>0.78720382589088378</v>
      </c>
      <c r="R12" s="11">
        <v>0.99387664987437474</v>
      </c>
      <c r="S12" s="11">
        <v>1.096997989438484</v>
      </c>
      <c r="T12" s="7">
        <v>53559789764.400002</v>
      </c>
      <c r="U12" s="11">
        <v>0.83075719071396603</v>
      </c>
      <c r="V12" s="11">
        <v>0.83640181966540705</v>
      </c>
      <c r="W12" s="11">
        <v>0.73459665640923699</v>
      </c>
      <c r="X12" s="11">
        <v>0.99325129522829214</v>
      </c>
      <c r="Y12" s="11">
        <v>1.130902493859377</v>
      </c>
      <c r="Z12" s="7">
        <v>540376511070.20001</v>
      </c>
      <c r="AA12" s="11">
        <v>0.76103014545249004</v>
      </c>
      <c r="AB12" s="11">
        <v>0.75777557746322899</v>
      </c>
      <c r="AC12" s="11">
        <v>0.58450818407020599</v>
      </c>
      <c r="AD12" s="11">
        <v>1.0042948969141448</v>
      </c>
      <c r="AE12" s="11">
        <v>1.3020008379576116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5"/>
  <sheetViews>
    <sheetView tabSelected="1" workbookViewId="0">
      <selection activeCell="Q32" sqref="Q32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0.53865947672059999</v>
      </c>
      <c r="E3" s="11">
        <v>0.53865652388789931</v>
      </c>
      <c r="F3" s="11">
        <v>1.3963166730990662E-3</v>
      </c>
      <c r="G3" s="11">
        <v>1.3963243274935644E-3</v>
      </c>
      <c r="H3" s="7">
        <v>451969.4</v>
      </c>
      <c r="I3" s="11">
        <v>0</v>
      </c>
      <c r="J3" s="11">
        <v>0.61976028905386804</v>
      </c>
      <c r="K3" s="11">
        <v>0.61975553138440032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0.49007335695425502</v>
      </c>
      <c r="Q3" s="11">
        <v>0.49006880550516174</v>
      </c>
      <c r="R3" s="11">
        <v>6.1538866112477511E-3</v>
      </c>
      <c r="S3" s="11">
        <v>6.1539437646542161E-3</v>
      </c>
      <c r="T3" s="7">
        <v>281354.7</v>
      </c>
      <c r="U3" s="11">
        <v>0</v>
      </c>
      <c r="V3" s="11">
        <v>0.50875976422784996</v>
      </c>
      <c r="W3" s="11">
        <v>0.50875309852478134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0.43782796040459798</v>
      </c>
      <c r="AC3" s="11">
        <v>0.43782119810448827</v>
      </c>
      <c r="AD3" s="11">
        <v>1.6892986540557693E-4</v>
      </c>
      <c r="AE3" s="11">
        <v>1.6893247458588229E-4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0.57477896170592102</v>
      </c>
      <c r="E4" s="11">
        <v>0.5747753835975612</v>
      </c>
      <c r="F4" s="11">
        <v>1.677160672547089E-2</v>
      </c>
      <c r="G4" s="11">
        <v>1.6771711132562678E-2</v>
      </c>
      <c r="H4" s="7">
        <v>3028281.2</v>
      </c>
      <c r="I4" s="11">
        <v>0.80176924152882501</v>
      </c>
      <c r="J4" s="11">
        <v>0.57880455259752595</v>
      </c>
      <c r="K4" s="11">
        <v>0.57879992155680615</v>
      </c>
      <c r="L4" s="11">
        <v>1.3852158521053279</v>
      </c>
      <c r="M4" s="11">
        <v>1.3852269353670525</v>
      </c>
      <c r="N4" s="7">
        <v>6808924.5</v>
      </c>
      <c r="O4" s="11">
        <v>1.4011899431400699E-2</v>
      </c>
      <c r="P4" s="11">
        <v>0.54625412529711703</v>
      </c>
      <c r="Q4" s="11">
        <v>0.54624887050797377</v>
      </c>
      <c r="R4" s="11">
        <v>2.5650880757704823E-2</v>
      </c>
      <c r="S4" s="11">
        <v>2.5651127513308357E-2</v>
      </c>
      <c r="T4" s="7">
        <v>3149335.9</v>
      </c>
      <c r="U4" s="11">
        <v>2.59566697283704E-2</v>
      </c>
      <c r="V4" s="11">
        <v>0.53178425213679503</v>
      </c>
      <c r="W4" s="11">
        <v>0.53177792969183368</v>
      </c>
      <c r="X4" s="11">
        <v>4.8810527246853037E-2</v>
      </c>
      <c r="Y4" s="11">
        <v>4.8811107567800605E-2</v>
      </c>
      <c r="Z4" s="7">
        <v>20139479.899999999</v>
      </c>
      <c r="AA4" s="11">
        <v>2.2170798696812399</v>
      </c>
      <c r="AB4" s="11">
        <v>0.45458146811098199</v>
      </c>
      <c r="AC4" s="11">
        <v>0.45457332900970143</v>
      </c>
      <c r="AD4" s="11">
        <v>4.8771892943509956</v>
      </c>
      <c r="AE4" s="11">
        <v>4.8772766200586384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0.61778429933657897</v>
      </c>
      <c r="E5" s="11">
        <v>0.61778079638399541</v>
      </c>
      <c r="F5" s="11">
        <v>0.22848183748555712</v>
      </c>
      <c r="G5" s="11">
        <v>0.22848313302767756</v>
      </c>
      <c r="H5" s="7">
        <v>39035811.600000001</v>
      </c>
      <c r="I5" s="11">
        <v>0.25237078541822899</v>
      </c>
      <c r="J5" s="11">
        <v>0.58414942614754095</v>
      </c>
      <c r="K5" s="11">
        <v>0.58414494465510214</v>
      </c>
      <c r="L5" s="11">
        <v>0.43203121345613837</v>
      </c>
      <c r="M5" s="11">
        <v>0.43203452794962866</v>
      </c>
      <c r="N5" s="7">
        <v>70532001</v>
      </c>
      <c r="O5" s="11">
        <v>0.35037417787806702</v>
      </c>
      <c r="P5" s="11">
        <v>0.57895831680507803</v>
      </c>
      <c r="Q5" s="11">
        <v>0.57895288014609403</v>
      </c>
      <c r="R5" s="11">
        <v>0.60518031731812905</v>
      </c>
      <c r="S5" s="11">
        <v>0.60518600026595071</v>
      </c>
      <c r="T5" s="7">
        <v>38724152.600000001</v>
      </c>
      <c r="U5" s="11">
        <v>0.45182697437541902</v>
      </c>
      <c r="V5" s="11">
        <v>0.54513771950794498</v>
      </c>
      <c r="W5" s="11">
        <v>0.54513162339466681</v>
      </c>
      <c r="X5" s="11">
        <v>0.82883087742167139</v>
      </c>
      <c r="Y5" s="11">
        <v>0.82884014609496126</v>
      </c>
      <c r="Z5" s="7">
        <v>335218091.5</v>
      </c>
      <c r="AA5" s="11">
        <v>0.41364190189466499</v>
      </c>
      <c r="AB5" s="11">
        <v>0.44101746484835802</v>
      </c>
      <c r="AC5" s="11">
        <v>0.44100775054041086</v>
      </c>
      <c r="AD5" s="11">
        <v>0.93792635182122319</v>
      </c>
      <c r="AE5" s="11">
        <v>0.93794701201461483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0.66142055417928403</v>
      </c>
      <c r="E6" s="11">
        <v>0.66141698202360677</v>
      </c>
      <c r="F6" s="11">
        <v>1.3713947576461629</v>
      </c>
      <c r="G6" s="11">
        <v>1.3714021642228043</v>
      </c>
      <c r="H6" s="7">
        <v>392191752.60000002</v>
      </c>
      <c r="I6" s="11">
        <v>0.78584576868868605</v>
      </c>
      <c r="J6" s="11">
        <v>0.62261361392474601</v>
      </c>
      <c r="K6" s="11">
        <v>0.62260913518794003</v>
      </c>
      <c r="L6" s="11">
        <v>1.2621724792282965</v>
      </c>
      <c r="M6" s="11">
        <v>1.2621815586619551</v>
      </c>
      <c r="N6" s="7">
        <v>731421249.10000002</v>
      </c>
      <c r="O6" s="11">
        <v>0.71376871313629697</v>
      </c>
      <c r="P6" s="11">
        <v>0.608730592514661</v>
      </c>
      <c r="Q6" s="11">
        <v>0.60872521664397439</v>
      </c>
      <c r="R6" s="11">
        <v>1.1725527218662108</v>
      </c>
      <c r="S6" s="11">
        <v>1.1725630770997935</v>
      </c>
      <c r="T6" s="7">
        <v>424766759.30000001</v>
      </c>
      <c r="U6" s="11">
        <v>0.55552322521742603</v>
      </c>
      <c r="V6" s="11">
        <v>0.57176409818691298</v>
      </c>
      <c r="W6" s="11">
        <v>0.57175799345021106</v>
      </c>
      <c r="X6" s="11">
        <v>0.97159515083058312</v>
      </c>
      <c r="Y6" s="11">
        <v>0.97160552468218575</v>
      </c>
      <c r="Z6" s="7">
        <v>4381810081.3000002</v>
      </c>
      <c r="AA6" s="11">
        <v>0.41371681785979397</v>
      </c>
      <c r="AB6" s="11">
        <v>0.45464257542835901</v>
      </c>
      <c r="AC6" s="11">
        <v>0.4546331332932585</v>
      </c>
      <c r="AD6" s="11">
        <v>0.90998256700880853</v>
      </c>
      <c r="AE6" s="11">
        <v>0.91000146615563171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0.70191569631850304</v>
      </c>
      <c r="E7" s="12">
        <v>0.70191205302036042</v>
      </c>
      <c r="F7" s="12">
        <v>1.0841169536728561</v>
      </c>
      <c r="G7" s="12">
        <v>1.0841225808184032</v>
      </c>
      <c r="H7" s="9">
        <v>2144100766.4000001</v>
      </c>
      <c r="I7" s="12">
        <v>0.66247028344860104</v>
      </c>
      <c r="J7" s="12">
        <v>0.66137800647507505</v>
      </c>
      <c r="K7" s="12">
        <v>0.66137349062258333</v>
      </c>
      <c r="L7" s="12">
        <v>1.0016515169280387</v>
      </c>
      <c r="M7" s="12">
        <v>1.00165835619596</v>
      </c>
      <c r="N7" s="9">
        <v>4734935979.6000004</v>
      </c>
      <c r="O7" s="12">
        <v>0.74363181723453298</v>
      </c>
      <c r="P7" s="12">
        <v>0.64102342206726903</v>
      </c>
      <c r="Q7" s="12">
        <v>0.64101803709422234</v>
      </c>
      <c r="R7" s="12">
        <v>1.160069650554042</v>
      </c>
      <c r="S7" s="12">
        <v>1.1600793959019715</v>
      </c>
      <c r="T7" s="9">
        <v>3117240112.1999998</v>
      </c>
      <c r="U7" s="12">
        <v>0.58389240736353099</v>
      </c>
      <c r="V7" s="12">
        <v>0.59585059545475305</v>
      </c>
      <c r="W7" s="12">
        <v>0.59584448184047789</v>
      </c>
      <c r="X7" s="12">
        <v>0.97993089512297027</v>
      </c>
      <c r="Y7" s="12">
        <v>0.97994094962492784</v>
      </c>
      <c r="Z7" s="9">
        <v>40557876203.900002</v>
      </c>
      <c r="AA7" s="12">
        <v>0.47356911269068602</v>
      </c>
      <c r="AB7" s="12">
        <v>0.46324413718565199</v>
      </c>
      <c r="AC7" s="12">
        <v>0.46291009782538006</v>
      </c>
      <c r="AD7" s="12">
        <v>1.0222884105296213</v>
      </c>
      <c r="AE7" s="12">
        <v>1.0230261014295843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0.74654345260941701</v>
      </c>
      <c r="E8" s="11">
        <v>0.74653648131977546</v>
      </c>
      <c r="F8" s="11">
        <v>1.0273108915919742</v>
      </c>
      <c r="G8" s="11">
        <v>1.0273204848026967</v>
      </c>
      <c r="H8" s="7">
        <v>9870188707.6000004</v>
      </c>
      <c r="I8" s="11">
        <v>0.75228695771266696</v>
      </c>
      <c r="J8" s="11">
        <v>0.70893957861357304</v>
      </c>
      <c r="K8" s="11">
        <v>0.70805603948074158</v>
      </c>
      <c r="L8" s="11">
        <v>1.0611439682685873</v>
      </c>
      <c r="M8" s="11">
        <v>1.0624681038867523</v>
      </c>
      <c r="N8" s="7">
        <v>23474302159.900002</v>
      </c>
      <c r="O8" s="11">
        <v>0.69681138195660197</v>
      </c>
      <c r="P8" s="11">
        <v>0.69640932806303502</v>
      </c>
      <c r="Q8" s="11">
        <v>0.6913264320682182</v>
      </c>
      <c r="R8" s="11">
        <v>1.000577324107196</v>
      </c>
      <c r="S8" s="11">
        <v>1.007933950784978</v>
      </c>
      <c r="T8" s="7">
        <v>16067322671.9</v>
      </c>
      <c r="U8" s="11">
        <v>0.706459051979482</v>
      </c>
      <c r="V8" s="11">
        <v>0.65460656243996695</v>
      </c>
      <c r="W8" s="11">
        <v>0.6441407392831705</v>
      </c>
      <c r="X8" s="11">
        <v>1.0792116860946843</v>
      </c>
      <c r="Y8" s="11">
        <v>1.0967464234068818</v>
      </c>
      <c r="Z8" s="7">
        <v>243551740603.89999</v>
      </c>
      <c r="AA8" s="11">
        <v>0.56367766448916701</v>
      </c>
      <c r="AB8" s="11">
        <v>0.53714752782989805</v>
      </c>
      <c r="AC8" s="11">
        <v>0.49880380455974177</v>
      </c>
      <c r="AD8" s="11">
        <v>1.0493907823916682</v>
      </c>
      <c r="AE8" s="11">
        <v>1.1300588715169979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0.83114118602081</v>
      </c>
      <c r="E9" s="11">
        <v>0.82328188463870189</v>
      </c>
      <c r="F9" s="11">
        <v>0.98688753999320022</v>
      </c>
      <c r="G9" s="11">
        <v>0.99630867114132171</v>
      </c>
      <c r="H9" s="7">
        <v>22538638913.799999</v>
      </c>
      <c r="I9" s="11">
        <v>0.78261799640429697</v>
      </c>
      <c r="J9" s="11">
        <v>0.81052502339661203</v>
      </c>
      <c r="K9" s="11">
        <v>0.78717461289544277</v>
      </c>
      <c r="L9" s="11">
        <v>0.96556919751179671</v>
      </c>
      <c r="M9" s="11">
        <v>0.99421142854901623</v>
      </c>
      <c r="N9" s="7">
        <v>53937995797.300003</v>
      </c>
      <c r="O9" s="11">
        <v>0.78391795670064501</v>
      </c>
      <c r="P9" s="11">
        <v>0.81203538364568995</v>
      </c>
      <c r="Q9" s="11">
        <v>0.77118088699048737</v>
      </c>
      <c r="R9" s="11">
        <v>0.96537413576880138</v>
      </c>
      <c r="S9" s="11">
        <v>1.016516319225524</v>
      </c>
      <c r="T9" s="7">
        <v>38072425699.599998</v>
      </c>
      <c r="U9" s="11">
        <v>0.76609999648758498</v>
      </c>
      <c r="V9" s="11">
        <v>0.77357710933877599</v>
      </c>
      <c r="W9" s="11">
        <v>0.7186284599857089</v>
      </c>
      <c r="X9" s="11">
        <v>0.99033436646337403</v>
      </c>
      <c r="Y9" s="11">
        <v>1.0660585255735908</v>
      </c>
      <c r="Z9" s="7">
        <v>540234429640.20001</v>
      </c>
      <c r="AA9" s="11">
        <v>0.66900422532126103</v>
      </c>
      <c r="AB9" s="11">
        <v>0.66977273371240098</v>
      </c>
      <c r="AC9" s="11">
        <v>0.55931054235759803</v>
      </c>
      <c r="AD9" s="11">
        <v>0.99885258334288962</v>
      </c>
      <c r="AE9" s="11">
        <v>1.1961230383773631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0.87045679467590198</v>
      </c>
      <c r="E10" s="11">
        <v>0.83779392067684044</v>
      </c>
      <c r="F10" s="11">
        <v>0.94779373097248332</v>
      </c>
      <c r="G10" s="11">
        <v>0.98474514163304816</v>
      </c>
      <c r="H10" s="7">
        <v>32534589612.5</v>
      </c>
      <c r="I10" s="11">
        <v>0.87178375675221098</v>
      </c>
      <c r="J10" s="11">
        <v>0.860099508797319</v>
      </c>
      <c r="K10" s="11">
        <v>0.80217902484951975</v>
      </c>
      <c r="L10" s="11">
        <v>1.0135847629668224</v>
      </c>
      <c r="M10" s="11">
        <v>1.0867695735571599</v>
      </c>
      <c r="N10" s="7">
        <v>75485525496.5</v>
      </c>
      <c r="O10" s="11">
        <v>0.86356101428058196</v>
      </c>
      <c r="P10" s="11">
        <v>0.86888147979906305</v>
      </c>
      <c r="Q10" s="11">
        <v>0.78720382589088378</v>
      </c>
      <c r="R10" s="11">
        <v>0.99387664987437474</v>
      </c>
      <c r="S10" s="11">
        <v>1.096997989438484</v>
      </c>
      <c r="T10" s="7">
        <v>53559789764.400002</v>
      </c>
      <c r="U10" s="11">
        <v>0.83075719071396603</v>
      </c>
      <c r="V10" s="11">
        <v>0.83640181966540705</v>
      </c>
      <c r="W10" s="11">
        <v>0.73459665640923699</v>
      </c>
      <c r="X10" s="11">
        <v>0.99325129522829214</v>
      </c>
      <c r="Y10" s="11">
        <v>1.130902493859377</v>
      </c>
      <c r="Z10" s="7">
        <v>540376511070.20001</v>
      </c>
      <c r="AA10" s="11">
        <v>0.76103014545249004</v>
      </c>
      <c r="AB10" s="11">
        <v>0.75777557746322899</v>
      </c>
      <c r="AC10" s="11">
        <v>0.58450818407020599</v>
      </c>
      <c r="AD10" s="11">
        <v>1.0042948969141448</v>
      </c>
      <c r="AE10" s="11">
        <v>1.3020008379576116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8.1053051361852582</v>
      </c>
      <c r="E17" s="2">
        <f t="shared" ref="E17:E20" si="1">C17/D17</f>
        <v>1.0806325042657372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7.6541091998260979</v>
      </c>
      <c r="K17" s="2">
        <f t="shared" ref="K17:K20" si="3">I17/J17</f>
        <v>1.0015918148441252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7.4267919367658086</v>
      </c>
      <c r="Q17" s="2">
        <f t="shared" ref="Q17:Q20" si="5">O17/P17</f>
        <v>1.1535945620407322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6.9204743956952752</v>
      </c>
      <c r="W17" s="2">
        <f t="shared" ref="W17:W20" si="7">U17/V17</f>
        <v>0.98057111956074661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5.4194612513697287</v>
      </c>
      <c r="AC17" s="2">
        <f t="shared" ref="AC17:AC20" si="9">AA17/AB17</f>
        <v>1.0217112438396516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8.5996871108681141</v>
      </c>
      <c r="E18" s="15">
        <f t="shared" si="1"/>
        <v>1.026169835513201</v>
      </c>
      <c r="I18" s="15">
        <f t="shared" si="2"/>
        <v>8.6631357164313467</v>
      </c>
      <c r="J18" s="15">
        <f t="shared" si="2"/>
        <v>8.1832772105622791</v>
      </c>
      <c r="K18" s="15">
        <f t="shared" si="3"/>
        <v>1.0586389161117147</v>
      </c>
      <c r="O18" s="15">
        <f t="shared" si="4"/>
        <v>8.0486040970754065</v>
      </c>
      <c r="P18" s="15">
        <f t="shared" si="4"/>
        <v>8.0441365378149285</v>
      </c>
      <c r="Q18" s="15">
        <f t="shared" si="5"/>
        <v>1.0005553808341612</v>
      </c>
      <c r="U18" s="15">
        <f t="shared" si="6"/>
        <v>8.155747829119619</v>
      </c>
      <c r="V18" s="15">
        <f t="shared" si="6"/>
        <v>7.5785434822784437</v>
      </c>
      <c r="W18" s="15">
        <f t="shared" si="7"/>
        <v>1.0761629656398888</v>
      </c>
      <c r="AA18" s="15">
        <f t="shared" si="8"/>
        <v>6.558319164989701</v>
      </c>
      <c r="AB18" s="15">
        <f t="shared" si="8"/>
        <v>6.2587109500431115</v>
      </c>
      <c r="AC18" s="15">
        <f t="shared" si="9"/>
        <v>1.0478705946540838</v>
      </c>
    </row>
    <row r="19" spans="1:29" x14ac:dyDescent="0.25">
      <c r="A19" s="3">
        <f>A9</f>
        <v>-25</v>
      </c>
      <c r="C19" s="15">
        <f t="shared" si="0"/>
        <v>9.4107873577290562</v>
      </c>
      <c r="D19" s="15">
        <f t="shared" si="0"/>
        <v>9.5301672591042941</v>
      </c>
      <c r="E19" s="15">
        <f t="shared" si="1"/>
        <v>0.98747347259186946</v>
      </c>
      <c r="I19" s="15">
        <f t="shared" si="2"/>
        <v>8.9975341728277485</v>
      </c>
      <c r="J19" s="15">
        <f t="shared" si="2"/>
        <v>9.304216305646273</v>
      </c>
      <c r="K19" s="15">
        <f t="shared" si="3"/>
        <v>0.96703837026742234</v>
      </c>
      <c r="O19" s="15">
        <f t="shared" si="4"/>
        <v>9.0118410693269428</v>
      </c>
      <c r="P19" s="15">
        <f t="shared" si="4"/>
        <v>9.3207872373791023</v>
      </c>
      <c r="Q19" s="15">
        <f t="shared" si="5"/>
        <v>0.96685406927719642</v>
      </c>
      <c r="U19" s="15">
        <f t="shared" si="6"/>
        <v>8.8155633304505479</v>
      </c>
      <c r="V19" s="15">
        <f t="shared" si="6"/>
        <v>8.8979763582776599</v>
      </c>
      <c r="W19" s="15">
        <f t="shared" si="7"/>
        <v>0.99073800328201089</v>
      </c>
      <c r="AA19" s="15">
        <f t="shared" si="8"/>
        <v>7.7391459369218989</v>
      </c>
      <c r="AB19" s="15">
        <f t="shared" si="8"/>
        <v>7.7477112661539227</v>
      </c>
      <c r="AC19" s="15">
        <f t="shared" si="9"/>
        <v>0.99889446974238161</v>
      </c>
    </row>
    <row r="20" spans="1:29" x14ac:dyDescent="0.25">
      <c r="A20" s="3">
        <f>A10</f>
        <v>0</v>
      </c>
      <c r="C20" s="15">
        <f t="shared" si="0"/>
        <v>9.4630623469689201</v>
      </c>
      <c r="D20" s="15">
        <f t="shared" si="0"/>
        <v>9.9596324503337783</v>
      </c>
      <c r="E20" s="15">
        <f t="shared" si="1"/>
        <v>0.95014172402032604</v>
      </c>
      <c r="I20" s="15">
        <f t="shared" si="2"/>
        <v>9.9740949025583614</v>
      </c>
      <c r="J20" s="15">
        <f t="shared" si="2"/>
        <v>9.846676023013357</v>
      </c>
      <c r="K20" s="15">
        <f t="shared" si="3"/>
        <v>1.0129402936835947</v>
      </c>
      <c r="O20" s="15">
        <f t="shared" si="4"/>
        <v>9.884441601138505</v>
      </c>
      <c r="P20" s="15">
        <f t="shared" si="4"/>
        <v>9.9424604561111014</v>
      </c>
      <c r="Q20" s="15">
        <f t="shared" si="5"/>
        <v>0.99416453751777956</v>
      </c>
      <c r="U20" s="15">
        <f t="shared" si="6"/>
        <v>9.5259634316378623</v>
      </c>
      <c r="V20" s="15">
        <f t="shared" si="6"/>
        <v>9.5877405520922281</v>
      </c>
      <c r="W20" s="15">
        <f t="shared" si="7"/>
        <v>0.99355665496800649</v>
      </c>
      <c r="AA20" s="15">
        <f t="shared" si="8"/>
        <v>8.7596443631480003</v>
      </c>
      <c r="AB20" s="15">
        <f t="shared" si="8"/>
        <v>8.723730869638846</v>
      </c>
      <c r="AC20" s="15">
        <f t="shared" si="9"/>
        <v>1.0041167585343724</v>
      </c>
    </row>
    <row r="22" spans="1:29" x14ac:dyDescent="0.25">
      <c r="E22" s="15">
        <f>AVERAGE(E18:E20)</f>
        <v>0.98792834404179874</v>
      </c>
      <c r="K22" s="15">
        <f>AVERAGE(K18:K20)</f>
        <v>1.0128725266875773</v>
      </c>
      <c r="Q22" s="15">
        <f>AVERAGE(Q18:Q20)</f>
        <v>0.98719132920971242</v>
      </c>
      <c r="W22" s="15">
        <f>AVERAGE(W18:W20)</f>
        <v>1.0201525412966352</v>
      </c>
      <c r="AC22" s="15">
        <f>AVERAGE(AC18:AC20)</f>
        <v>1.0169606076436126</v>
      </c>
    </row>
    <row r="25" spans="1:29" x14ac:dyDescent="0.25">
      <c r="U25" t="s">
        <v>54</v>
      </c>
    </row>
    <row r="26" spans="1:29" x14ac:dyDescent="0.25">
      <c r="U26" s="3"/>
      <c r="V26" s="3" t="s">
        <v>52</v>
      </c>
      <c r="W26" t="s">
        <v>53</v>
      </c>
    </row>
    <row r="27" spans="1:29" x14ac:dyDescent="0.25">
      <c r="U27" s="3">
        <v>0</v>
      </c>
      <c r="V27" s="3">
        <v>1.32</v>
      </c>
      <c r="W27">
        <v>1.6</v>
      </c>
    </row>
    <row r="28" spans="1:29" x14ac:dyDescent="0.25">
      <c r="U28" s="3">
        <v>60</v>
      </c>
      <c r="V28" s="3">
        <v>1.1314998699613299</v>
      </c>
      <c r="W28">
        <v>1.1314998700000001</v>
      </c>
    </row>
    <row r="29" spans="1:29" x14ac:dyDescent="0.25">
      <c r="U29" s="3">
        <v>80</v>
      </c>
      <c r="V29" s="3">
        <v>1.0636188494648799</v>
      </c>
      <c r="W29">
        <v>1.1143570254387001</v>
      </c>
    </row>
    <row r="30" spans="1:29" x14ac:dyDescent="0.25">
      <c r="U30" s="3">
        <v>120</v>
      </c>
      <c r="V30" s="3">
        <v>0.935428274197323</v>
      </c>
      <c r="W30">
        <v>1.113</v>
      </c>
    </row>
    <row r="31" spans="1:29" x14ac:dyDescent="0.25">
      <c r="U31" s="3">
        <v>160</v>
      </c>
      <c r="V31" s="3">
        <v>0.834158465953176</v>
      </c>
      <c r="W31">
        <v>0.98399999999999999</v>
      </c>
    </row>
    <row r="32" spans="1:29" x14ac:dyDescent="0.25">
      <c r="U32" s="3">
        <v>200</v>
      </c>
      <c r="V32" s="3">
        <v>0.78</v>
      </c>
      <c r="W32">
        <v>0.90300000000000002</v>
      </c>
    </row>
    <row r="33" spans="21:23" x14ac:dyDescent="0.25">
      <c r="U33" s="3">
        <v>300</v>
      </c>
      <c r="V33" s="3">
        <v>0.74662311035888396</v>
      </c>
      <c r="W33">
        <v>0.72118000000000004</v>
      </c>
    </row>
    <row r="34" spans="21:23" x14ac:dyDescent="0.25">
      <c r="U34" s="3">
        <v>600</v>
      </c>
      <c r="V34" s="3">
        <v>0.72</v>
      </c>
      <c r="W34">
        <v>0.72118000000000004</v>
      </c>
    </row>
    <row r="35" spans="21:23" x14ac:dyDescent="0.25">
      <c r="U35" s="3">
        <v>800</v>
      </c>
      <c r="V35" s="3">
        <v>0.69</v>
      </c>
      <c r="W35">
        <v>0.72118000000000004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2018-04-30T15:48:55Z</dcterms:modified>
</cp:coreProperties>
</file>