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51" r:id="rId4"/>
  </pivotCaches>
</workbook>
</file>

<file path=xl/calcChain.xml><?xml version="1.0" encoding="utf-8"?>
<calcChain xmlns="http://schemas.openxmlformats.org/spreadsheetml/2006/main">
  <c r="AB20" i="4" l="1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E20" i="4" l="1"/>
  <c r="Q17" i="4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  <c r="K22" i="4" l="1"/>
  <c r="W22" i="4"/>
  <c r="Q22" i="4"/>
  <c r="AC22" i="4"/>
  <c r="E22" i="4"/>
</calcChain>
</file>

<file path=xl/sharedStrings.xml><?xml version="1.0" encoding="utf-8"?>
<sst xmlns="http://schemas.openxmlformats.org/spreadsheetml/2006/main" count="126" uniqueCount="55">
  <si>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</si>
  <si>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</si>
  <si>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</si>
  <si>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</si>
  <si>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</si>
  <si>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</si>
  <si>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</si>
  <si>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</si>
  <si>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</si>
  <si>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</si>
  <si>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</si>
  <si>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</si>
  <si>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</si>
  <si>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</si>
  <si>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</si>
  <si>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</si>
  <si>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</si>
  <si>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</si>
  <si>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</si>
  <si>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</si>
  <si>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</si>
  <si>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</si>
  <si>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</si>
  <si>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</si>
  <si>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</si>
  <si>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</si>
  <si>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</si>
  <si>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</si>
  <si>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</si>
  <si>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</si>
  <si>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</si>
  <si>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</si>
  <si>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</si>
  <si>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</si>
  <si>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</si>
  <si>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</si>
  <si>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</si>
  <si>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</si>
  <si>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</si>
  <si>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</si>
  <si>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</si>
  <si>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</si>
  <si>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</si>
  <si>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</si>
  <si>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</si>
  <si>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</si>
  <si>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</si>
  <si>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</si>
  <si>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</si>
  <si>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</si>
  <si>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</si>
  <si>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</si>
  <si>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prod</t>
  </si>
  <si>
    <t>JSON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</si>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</sst>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6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9.4107873540868461</c:v>
                </c:pt>
                <c:pt idx="3">
                  <c:v>9.4630623615911347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8.6631344575087041</c:v>
                </c:pt>
                <c:pt idx="2">
                  <c:v>8.997534288773279</c:v>
                </c:pt>
                <c:pt idx="3">
                  <c:v>9.9740945674513863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9.8844416267401041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6.558318155499987</c:v>
                </c:pt>
                <c:pt idx="2">
                  <c:v>7.7391461356267621</c:v>
                </c:pt>
                <c:pt idx="3">
                  <c:v>8.7596392419884381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05216"/>
        <c:axId val="86906752"/>
      </c:lineChart>
      <c:catAx>
        <c:axId val="8690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906752"/>
        <c:crosses val="autoZero"/>
        <c:auto val="1"/>
        <c:lblAlgn val="ctr"/>
        <c:lblOffset val="100"/>
        <c:noMultiLvlLbl val="0"/>
      </c:catAx>
      <c:valAx>
        <c:axId val="869067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905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9.4107873540868461</c:v>
                </c:pt>
                <c:pt idx="3">
                  <c:v>9.4630623615911347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8.0362606562678902</c:v>
                </c:pt>
                <c:pt idx="1">
                  <c:v>8.5946726989373996</c:v>
                </c:pt>
                <c:pt idx="2">
                  <c:v>9.6250863869931642</c:v>
                </c:pt>
                <c:pt idx="3">
                  <c:v>10.120556962282878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78400"/>
        <c:axId val="132765568"/>
      </c:lineChart>
      <c:catAx>
        <c:axId val="1326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65568"/>
        <c:crosses val="autoZero"/>
        <c:auto val="1"/>
        <c:lblAlgn val="ctr"/>
        <c:lblOffset val="100"/>
        <c:noMultiLvlLbl val="0"/>
      </c:catAx>
      <c:valAx>
        <c:axId val="13276556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678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8.6631344575087041</c:v>
                </c:pt>
                <c:pt idx="2">
                  <c:v>8.997534288773279</c:v>
                </c:pt>
                <c:pt idx="3">
                  <c:v>9.9740945674513863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7.5723696053049299</c:v>
                </c:pt>
                <c:pt idx="1">
                  <c:v>8.1610055572820315</c:v>
                </c:pt>
                <c:pt idx="2">
                  <c:v>9.3814043408467889</c:v>
                </c:pt>
                <c:pt idx="3">
                  <c:v>9.9830520859619405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34528"/>
        <c:axId val="133336064"/>
      </c:lineChart>
      <c:catAx>
        <c:axId val="13333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36064"/>
        <c:crosses val="autoZero"/>
        <c:auto val="1"/>
        <c:lblAlgn val="ctr"/>
        <c:lblOffset val="100"/>
        <c:noMultiLvlLbl val="0"/>
      </c:catAx>
      <c:valAx>
        <c:axId val="1333360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3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9.8844416267401041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7.302722150350438</c:v>
                </c:pt>
                <c:pt idx="1">
                  <c:v>7.976733008969294</c:v>
                </c:pt>
                <c:pt idx="2">
                  <c:v>9.3478887011348313</c:v>
                </c:pt>
                <c:pt idx="3">
                  <c:v>10.025645850194731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28832"/>
        <c:axId val="255476864"/>
      </c:lineChart>
      <c:catAx>
        <c:axId val="2527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476864"/>
        <c:crosses val="autoZero"/>
        <c:auto val="1"/>
        <c:lblAlgn val="ctr"/>
        <c:lblOffset val="100"/>
        <c:noMultiLvlLbl val="0"/>
      </c:catAx>
      <c:valAx>
        <c:axId val="2554768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2728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6.7650838867719614</c:v>
                </c:pt>
                <c:pt idx="1">
                  <c:v>7.4723165170360044</c:v>
                </c:pt>
                <c:pt idx="2">
                  <c:v>8.8814027638950961</c:v>
                </c:pt>
                <c:pt idx="3">
                  <c:v>9.6266542119229683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4688"/>
        <c:axId val="86596224"/>
      </c:lineChart>
      <c:catAx>
        <c:axId val="8659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96224"/>
        <c:crosses val="autoZero"/>
        <c:auto val="1"/>
        <c:lblAlgn val="ctr"/>
        <c:lblOffset val="100"/>
        <c:noMultiLvlLbl val="0"/>
      </c:catAx>
      <c:valAx>
        <c:axId val="865962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94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6.558318155499987</c:v>
                </c:pt>
                <c:pt idx="2">
                  <c:v>7.7391461356267621</c:v>
                </c:pt>
                <c:pt idx="3">
                  <c:v>8.7596392419884381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5.2314267807133668</c:v>
                </c:pt>
                <c:pt idx="1">
                  <c:v>6.1189726652454812</c:v>
                </c:pt>
                <c:pt idx="2">
                  <c:v>7.6892520517376273</c:v>
                </c:pt>
                <c:pt idx="3">
                  <c:v>8.7156506279413968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7744"/>
        <c:axId val="86609280"/>
      </c:lineChart>
      <c:catAx>
        <c:axId val="8660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09280"/>
        <c:crosses val="autoZero"/>
        <c:auto val="1"/>
        <c:lblAlgn val="ctr"/>
        <c:lblOffset val="100"/>
        <c:noMultiLvlLbl val="0"/>
      </c:catAx>
      <c:valAx>
        <c:axId val="866092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07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8.0362606562678902</c:v>
                </c:pt>
                <c:pt idx="1">
                  <c:v>8.5946726989373996</c:v>
                </c:pt>
                <c:pt idx="2">
                  <c:v>9.6250863869931642</c:v>
                </c:pt>
                <c:pt idx="3">
                  <c:v>10.120556962282878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7.5723696053049299</c:v>
                </c:pt>
                <c:pt idx="1">
                  <c:v>8.1610055572820315</c:v>
                </c:pt>
                <c:pt idx="2">
                  <c:v>9.3814043408467889</c:v>
                </c:pt>
                <c:pt idx="3">
                  <c:v>9.9830520859619405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7.302722150350438</c:v>
                </c:pt>
                <c:pt idx="1">
                  <c:v>7.976733008969294</c:v>
                </c:pt>
                <c:pt idx="2">
                  <c:v>9.3478887011348313</c:v>
                </c:pt>
                <c:pt idx="3">
                  <c:v>10.025645850194731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6.7650838867719614</c:v>
                </c:pt>
                <c:pt idx="1">
                  <c:v>7.4723165170360044</c:v>
                </c:pt>
                <c:pt idx="2">
                  <c:v>8.8814027638950961</c:v>
                </c:pt>
                <c:pt idx="3">
                  <c:v>9.6266542119229683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5.2314267807133668</c:v>
                </c:pt>
                <c:pt idx="1">
                  <c:v>6.1189726652454812</c:v>
                </c:pt>
                <c:pt idx="2">
                  <c:v>7.6892520517376273</c:v>
                </c:pt>
                <c:pt idx="3">
                  <c:v>8.7156506279413968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2704"/>
        <c:axId val="86700032"/>
      </c:lineChart>
      <c:catAx>
        <c:axId val="8663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700032"/>
        <c:crosses val="autoZero"/>
        <c:auto val="1"/>
        <c:lblAlgn val="ctr"/>
        <c:lblOffset val="100"/>
        <c:noMultiLvlLbl val="0"/>
      </c:catAx>
      <c:valAx>
        <c:axId val="867000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2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JSON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Analysis!$V$26</c:f>
              <c:strCache>
                <c:ptCount val="1"/>
                <c:pt idx="0">
                  <c:v>prod</c:v>
                </c:pt>
              </c:strCache>
            </c:strRef>
          </c:tx>
          <c:marker>
            <c:symbol val="none"/>
          </c:marker>
          <c:cat>
            <c:numRef>
              <c:f>Analysis!$U$27:$U$34</c:f>
              <c:numCache>
                <c:formatCode>General</c:formatCode>
                <c:ptCount val="8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300</c:v>
                </c:pt>
                <c:pt idx="6">
                  <c:v>600</c:v>
                </c:pt>
                <c:pt idx="7">
                  <c:v>800</c:v>
                </c:pt>
              </c:numCache>
            </c:numRef>
          </c:cat>
          <c:val>
            <c:numRef>
              <c:f>Analysis!$V$27:$V$34</c:f>
              <c:numCache>
                <c:formatCode>General</c:formatCode>
                <c:ptCount val="8"/>
                <c:pt idx="0">
                  <c:v>1.32</c:v>
                </c:pt>
                <c:pt idx="1">
                  <c:v>1.1314998699613299</c:v>
                </c:pt>
                <c:pt idx="2">
                  <c:v>0.935428274197323</c:v>
                </c:pt>
                <c:pt idx="3">
                  <c:v>0.834158465953176</c:v>
                </c:pt>
                <c:pt idx="4">
                  <c:v>0.78</c:v>
                </c:pt>
                <c:pt idx="5">
                  <c:v>0.74662311035888396</c:v>
                </c:pt>
                <c:pt idx="6">
                  <c:v>0.72</c:v>
                </c:pt>
                <c:pt idx="7">
                  <c:v>0.69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Analysis!$W$26</c:f>
              <c:strCache>
                <c:ptCount val="1"/>
                <c:pt idx="0">
                  <c:v>dev</c:v>
                </c:pt>
              </c:strCache>
            </c:strRef>
          </c:tx>
          <c:marker>
            <c:symbol val="none"/>
          </c:marker>
          <c:cat>
            <c:numRef>
              <c:f>Analysis!$U$27:$U$34</c:f>
              <c:numCache>
                <c:formatCode>General</c:formatCode>
                <c:ptCount val="8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300</c:v>
                </c:pt>
                <c:pt idx="6">
                  <c:v>600</c:v>
                </c:pt>
                <c:pt idx="7">
                  <c:v>800</c:v>
                </c:pt>
              </c:numCache>
            </c:numRef>
          </c:cat>
          <c:val>
            <c:numRef>
              <c:f>Analysis!$W$27:$W$34</c:f>
              <c:numCache>
                <c:formatCode>General</c:formatCode>
                <c:ptCount val="8"/>
                <c:pt idx="0">
                  <c:v>1.744</c:v>
                </c:pt>
                <c:pt idx="1">
                  <c:v>1.1993898622000001</c:v>
                </c:pt>
                <c:pt idx="2">
                  <c:v>1.1797800000000001</c:v>
                </c:pt>
                <c:pt idx="3">
                  <c:v>1.04304</c:v>
                </c:pt>
                <c:pt idx="4">
                  <c:v>0.96621000000000012</c:v>
                </c:pt>
                <c:pt idx="5">
                  <c:v>0.77887440000000008</c:v>
                </c:pt>
                <c:pt idx="6">
                  <c:v>0.77887440000000008</c:v>
                </c:pt>
                <c:pt idx="7">
                  <c:v>0.77887440000000008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64256"/>
        <c:axId val="86865792"/>
      </c:lineChart>
      <c:catAx>
        <c:axId val="868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65792"/>
        <c:crosses val="autoZero"/>
        <c:auto val="1"/>
        <c:lblAlgn val="ctr"/>
        <c:lblOffset val="100"/>
        <c:noMultiLvlLbl val="0"/>
      </c:catAx>
      <c:valAx>
        <c:axId val="8686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86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8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390525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114300</xdr:colOff>
      <xdr:row>64</xdr:row>
      <xdr:rowOff>76200</xdr:rowOff>
    </xdr:from>
    <xdr:to>
      <xdr:col>24</xdr:col>
      <xdr:colOff>408878</xdr:colOff>
      <xdr:row>94</xdr:row>
      <xdr:rowOff>161200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6625" y="122682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64</xdr:row>
      <xdr:rowOff>9525</xdr:rowOff>
    </xdr:from>
    <xdr:to>
      <xdr:col>15</xdr:col>
      <xdr:colOff>466028</xdr:colOff>
      <xdr:row>94</xdr:row>
      <xdr:rowOff>94525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2015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24</xdr:col>
      <xdr:colOff>595312</xdr:colOff>
      <xdr:row>24</xdr:row>
      <xdr:rowOff>142875</xdr:rowOff>
    </xdr:from>
    <xdr:to>
      <xdr:col>31</xdr:col>
      <xdr:colOff>423862</xdr:colOff>
      <xdr:row>39</xdr:row>
      <xdr:rowOff>28575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517612731484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85"/>
        <n v="110"/>
        <n v="150"/>
        <n v="175"/>
        <n v="200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69835544350267" maxValue="0.88523299655301602"/>
    </cacheField>
    <cacheField name="track.err" numFmtId="0">
      <sharedItems containsString="0" containsBlank="1" containsNumber="1" minValue="-1.78149628472171" maxValue="0.60751485645309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3537572472E-2"/>
    </cacheField>
    <cacheField name="cout.smm" numFmtId="0">
      <sharedItems containsString="0" containsBlank="1" containsNumber="1" minValue="2.3678062319048701E-5" maxValue="1.86326031910449E-2"/>
    </cacheField>
    <cacheField name="turn.smm" numFmtId="0">
      <sharedItems containsString="0" containsBlank="1" containsNumber="1" minValue="0.31513920847365001" maxValue="0.76337965235616301"/>
    </cacheField>
    <cacheField name="refi.smm" numFmtId="0">
      <sharedItems containsString="0" containsBlank="1" containsNumber="1" minValue="2.9528327006597501E-6" maxValue="0.173267389673445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304606348103"/>
    </cacheField>
    <cacheField name="incentive" numFmtId="0">
      <sharedItems containsString="0" containsBlank="1" containsNumber="1" minValue="-207.20459285984401" maxValue="-12.1357095984553"/>
    </cacheField>
    <cacheField name="burnout" numFmtId="0">
      <sharedItems containsString="0" containsBlank="1" containsNumber="1" minValue="0" maxValue="610.18664346772402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5094795698"/>
    </cacheField>
    <cacheField name="sato" numFmtId="0">
      <sharedItems containsString="0" containsBlank="1" containsNumber="1" minValue="-139.822816714986" maxValue="-0.113599694431735"/>
    </cacheField>
    <cacheField name="bal" numFmtId="0">
      <sharedItems containsString="0" containsBlank="1" containsNumber="1" minValue="58820.3" maxValue="540376859333.29999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3"/>
    </cacheField>
    <cacheField name="Ratio" numFmtId="0">
      <sharedItems containsString="0" containsBlank="1" containsNumber="1" minValue="0" maxValue="5.089906842764031"/>
    </cacheField>
    <cacheField name="model w/o refi" numFmtId="0">
      <sharedItems containsString="0" containsBlank="1" containsNumber="1" minValue="0.3698284563315285" maxValue="0.8525701327347236"/>
    </cacheField>
    <cacheField name="Ratio w/o refi" numFmtId="0">
      <sharedItems containsString="0" containsBlank="1" containsNumber="1" minValue="0" maxValue="5.0900019520446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8.0000000000000004E-4"/>
    <n v="0.50523071251205298"/>
    <n v="0.50443071251205296"/>
    <n v="5.1949714062499999E-2"/>
    <n v="9.9256774362153194E-4"/>
    <n v="3.3913728371715799E-4"/>
    <n v="0.45194627884361299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834350133275298E-3"/>
    <n v="0.50522769793345113"/>
    <n v="1.583444461323608E-3"/>
  </r>
  <r>
    <x v="0"/>
    <x v="1"/>
    <n v="7.5213920846779205E-4"/>
    <n v="0.51773152836699099"/>
    <n v="0.51697938915852304"/>
    <n v="4.8249027111232502E-2"/>
    <n v="1.5834711428251299E-3"/>
    <n v="4.2246839107825703E-4"/>
    <n v="0.46747360888915501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4527591372311454E-3"/>
    <n v="0.5177285755342903"/>
    <n v="1.4527674229524467E-3"/>
  </r>
  <r>
    <x v="0"/>
    <x v="2"/>
    <n v="9.6399666998062006E-3"/>
    <n v="0.55455705910647202"/>
    <n v="0.54491709240666597"/>
    <n v="4.9368286832847698E-2"/>
    <n v="8.5463896581082499E-3"/>
    <n v="6.70629107081799E-4"/>
    <n v="0.49596817540007498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7383182742887741E-2"/>
    <n v="0.55455348099811219"/>
    <n v="1.7383294903235882E-2"/>
  </r>
  <r>
    <x v="0"/>
    <x v="3"/>
    <n v="0.14115249188214901"/>
    <n v="0.60139674132914001"/>
    <n v="0.46024424944699099"/>
    <n v="4.8804531330933099E-2"/>
    <n v="1.7513520548055699E-2"/>
    <n v="1.37104975344662E-3"/>
    <n v="0.53370413674412098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470777638433743"/>
    <n v="0.60139323837655645"/>
    <n v="0.2347091434935086"/>
  </r>
  <r>
    <x v="0"/>
    <x v="4"/>
    <n v="0.90706868060088996"/>
    <n v="0.64990621304332097"/>
    <n v="-0.257162467557568"/>
    <n v="4.8376106392566398E-2"/>
    <n v="1.7488354049582999E-2"/>
    <n v="2.7500456221707398E-3"/>
    <n v="0.58128813482332398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687815804602"/>
    <n v="292461448.5"/>
    <n v="8.2752552046808606E-2"/>
    <n v="1776"/>
    <n v="1.3956916588831367"/>
    <n v="0.64990264088764371"/>
    <n v="1.3956993302289189"/>
  </r>
  <r>
    <x v="0"/>
    <x v="5"/>
    <n v="0.76095870642797703"/>
    <n v="0.69570058893931197"/>
    <n v="-6.5258117488665002E-2"/>
    <n v="4.8319816271105799E-2"/>
    <n v="1.8583312724752301E-2"/>
    <n v="5.1561312894951904E-3"/>
    <n v="0.62363768535581598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0936598508101"/>
    <n v="1362747447.2"/>
    <n v="6.4555039854858096E-2"/>
    <n v="4934"/>
    <n v="1.0938020155885735"/>
    <n v="0.69569694564116935"/>
    <n v="1.0938077437247637"/>
  </r>
  <r>
    <x v="0"/>
    <x v="6"/>
    <n v="0.76693221991233096"/>
    <n v="0.74608969303727202"/>
    <n v="-2.08425268750588E-2"/>
    <n v="4.8436428503806903E-2"/>
    <n v="1.9960509413911701E-2"/>
    <n v="8.0033911479120996E-3"/>
    <n v="0.66968239268200003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93010531401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29964174237399"/>
    <n v="5414954180.1000004"/>
    <n v="7.2395992185729993E-2"/>
    <n v="12917"/>
    <n v="1.0279356853064283"/>
    <n v="0.74608272174763046"/>
    <n v="1.027945290189622"/>
  </r>
  <r>
    <x v="0"/>
    <x v="7"/>
    <n v="0.82024288012681301"/>
    <n v="0.83981585581762297"/>
    <n v="1.9572975690809399E-2"/>
    <n v="4.8746608288301803E-2"/>
    <n v="1.9833599780126599E-2"/>
    <n v="1.24959042761536E-2"/>
    <n v="0.75088044209095794"/>
    <n v="7.8593013820825904E-3"/>
    <n v="22.425253448136498"/>
    <n v="5.1251744834420396"/>
    <n v="72.449572068421404"/>
    <n v="38.099501198178601"/>
    <n v="42.657715464400603"/>
    <n v="19.2427833374208"/>
    <n v="0"/>
    <n v="42.657715464400603"/>
    <n v="0.79039268243958904"/>
    <n v="-36.417066651911298"/>
    <n v="185.69905208983101"/>
    <n v="99.830364067113095"/>
    <n v="42.605581373324299"/>
    <n v="61.902919965494199"/>
    <n v="55.454320784262102"/>
    <n v="3.6352381281817698"/>
    <n v="764.06892992759094"/>
    <n v="18.3608103157747"/>
    <n v="0"/>
    <n v="172.65669128835901"/>
    <n v="112.156261106209"/>
    <n v="29.2606176628762"/>
    <n v="-8.1880530522184998"/>
    <n v="12558200935"/>
    <n v="8.1988171419849501E-2"/>
    <n v="27872"/>
    <n v="0.97669372927979048"/>
    <n v="0.8319565544355404"/>
    <n v="0.98592032931734663"/>
  </r>
  <r>
    <x v="0"/>
    <x v="8"/>
    <n v="0.82501349441100102"/>
    <n v="0.88523299655301602"/>
    <n v="6.0219502142014901E-2"/>
    <n v="4.9396523430268902E-2"/>
    <n v="2.11613537572472E-2"/>
    <n v="1.86326031910449E-2"/>
    <n v="0.76337965235616301"/>
    <n v="3.2662863818292399E-2"/>
    <n v="19.537962157881299"/>
    <n v="5.5501925171908404"/>
    <n v="74.911845324927896"/>
    <n v="33.573063315869199"/>
    <n v="47.743112674918798"/>
    <n v="18.6838240092119"/>
    <n v="0"/>
    <n v="47.743112674918798"/>
    <n v="0.82352304606348103"/>
    <n v="-12.1357095984553"/>
    <n v="610.18664346772402"/>
    <n v="99.794974294620005"/>
    <n v="42.284349929226202"/>
    <n v="61.607394986336203"/>
    <n v="56.951772567248"/>
    <n v="3.83527945019312"/>
    <n v="761.17358108444796"/>
    <n v="25.1543216063396"/>
    <n v="0"/>
    <n v="171.46038315132901"/>
    <n v="112.081856425354"/>
    <n v="30.864216657293099"/>
    <n v="-0.113599694431735"/>
    <n v="19368821291.700001"/>
    <n v="7.7014935830769404E-2"/>
    <n v="47318"/>
    <n v="0.93197327440741362"/>
    <n v="0.8525701327347236"/>
    <n v="0.96767815659301681"/>
  </r>
  <r>
    <x v="1"/>
    <x v="0"/>
    <n v="0"/>
    <n v="0.54662159786949704"/>
    <n v="0.54662159786949704"/>
    <n v="4.63679339383231E-2"/>
    <n v="7.0095480037455603E-3"/>
    <n v="2.1767076002008798E-3"/>
    <n v="0.491062550943694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4661674048596365"/>
    <n v="0"/>
  </r>
  <r>
    <x v="1"/>
    <x v="1"/>
    <n v="0"/>
    <n v="0.60751485645309"/>
    <n v="0.60751485645309"/>
    <n v="4.8825977875538502E-2"/>
    <n v="7.0621007871939402E-3"/>
    <n v="3.6704158550267701E-3"/>
    <n v="0.54795160426586298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0751009878362228"/>
    <n v="0"/>
  </r>
  <r>
    <x v="1"/>
    <x v="2"/>
    <n v="0.80176924152882501"/>
    <n v="0.56430081483251304"/>
    <n v="-0.23746842669631199"/>
    <n v="4.8826038693448502E-2"/>
    <n v="5.90533291641125E-3"/>
    <n v="3.6613384671602702E-3"/>
    <n v="0.50590347371477395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208188619518363"/>
    <n v="0.56429618379179325"/>
    <n v="1.4208305222646189"/>
  </r>
  <r>
    <x v="1"/>
    <x v="3"/>
    <n v="0.25237078541822899"/>
    <n v="0.5682816692564"/>
    <n v="0.31591088383817101"/>
    <n v="4.8616782253292599E-2"/>
    <n v="1.23485300185101E-2"/>
    <n v="2.0252058261116899E-3"/>
    <n v="0.50528666966604596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4409453809843574"/>
    <n v="0.56827718776396119"/>
    <n v="0.44409804027370769"/>
  </r>
  <r>
    <x v="1"/>
    <x v="4"/>
    <n v="0.78584576868868605"/>
    <n v="0.61087705296824102"/>
    <n v="-0.17496871572044501"/>
    <n v="4.8309876020482402E-2"/>
    <n v="1.0654983856745201E-2"/>
    <n v="3.2989857172300401E-3"/>
    <n v="0.54860872863697696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215673491"/>
    <n v="392191752.60000002"/>
    <n v="8.2967304490871599E-2"/>
    <n v="1627"/>
    <n v="1.2864221448002917"/>
    <n v="0.61087257423143504"/>
    <n v="1.2864315764664869"/>
  </r>
  <r>
    <x v="1"/>
    <x v="5"/>
    <n v="0.66247028344860104"/>
    <n v="0.65405354560285001"/>
    <n v="-8.4167378457509403E-3"/>
    <n v="4.8263871639751002E-2"/>
    <n v="1.3406272639541099E-2"/>
    <n v="5.3808960518525496E-3"/>
    <n v="0.586997989419213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6779895890101"/>
    <n v="2144100766.4000001"/>
    <n v="6.21342916391429E-2"/>
    <n v="4854"/>
    <n v="1.0128685761316272"/>
    <n v="0.65404902975035828"/>
    <n v="1.0128755694377485"/>
  </r>
  <r>
    <x v="1"/>
    <x v="6"/>
    <n v="0.75228684371599297"/>
    <n v="0.70693274533572803"/>
    <n v="-4.53540983802651E-2"/>
    <n v="4.8397546119878398E-2"/>
    <n v="1.40277833007186E-2"/>
    <n v="7.9081275473132893E-3"/>
    <n v="0.63571574923101104"/>
    <n v="8.8353913680675996E-4"/>
    <n v="24.271223211564902"/>
    <n v="5.0317585835275702"/>
    <n v="70.697018204907494"/>
    <n v="37.724202104370001"/>
    <n v="43.701056468377601"/>
    <n v="18.574741427252501"/>
    <n v="0"/>
    <n v="43.701056468377601"/>
    <n v="0.547832425429846"/>
    <n v="-60.1556907330163"/>
    <n v="41.256642017556899"/>
    <n v="99.927709154440194"/>
    <n v="44.833359632758601"/>
    <n v="87.415256723000198"/>
    <n v="54.662122126218698"/>
    <n v="3.4650275317393202"/>
    <n v="769.27379372492396"/>
    <n v="12.448164205975001"/>
    <n v="0"/>
    <n v="172.160964012515"/>
    <n v="112.028626588012"/>
    <n v="26.9397130774604"/>
    <n v="-19.7921897571511"/>
    <n v="9870188707.5"/>
    <n v="7.7739479153446603E-2"/>
    <n v="13617"/>
    <n v="1.0641561714031593"/>
    <n v="0.70604920619892131"/>
    <n v="1.0654878400982788"/>
  </r>
  <r>
    <x v="1"/>
    <x v="7"/>
    <n v="0.78261800693864103"/>
    <n v="0.81756249570324802"/>
    <n v="3.4944488764607498E-2"/>
    <n v="4.8759090203787298E-2"/>
    <n v="1.5075264477738199E-2"/>
    <n v="1.23378254253559E-2"/>
    <n v="0.71803989792676703"/>
    <n v="2.3350417669599902E-2"/>
    <n v="16.4140791946175"/>
    <n v="5.6362434331480404"/>
    <n v="77.949677372234504"/>
    <n v="34.871236644142598"/>
    <n v="45.935205718038901"/>
    <n v="19.1935576378185"/>
    <n v="0"/>
    <n v="45.935205718038901"/>
    <n v="0.58927658061055199"/>
    <n v="-36.4652222331407"/>
    <n v="175.51275420194801"/>
    <n v="99.905811539072602"/>
    <n v="44.2140359672401"/>
    <n v="87.421912950948297"/>
    <n v="55.482296574056797"/>
    <n v="3.5988545327174002"/>
    <n v="766.56300111844996"/>
    <n v="17.120929045888399"/>
    <n v="0"/>
    <n v="172.76898784933601"/>
    <n v="112.171340821207"/>
    <n v="29.3616042501679"/>
    <n v="-11.4745296255255"/>
    <n v="22538638913.799999"/>
    <n v="7.1546798836378905E-2"/>
    <n v="29256"/>
    <n v="0.95725771552846417"/>
    <n v="0.79421207803364813"/>
    <n v="0.98540179453866739"/>
  </r>
  <r>
    <x v="1"/>
    <x v="8"/>
    <n v="0.87178372600314402"/>
    <n v="0.87260569619431205"/>
    <n v="8.2197019116767001E-4"/>
    <n v="4.9485138661931202E-2"/>
    <n v="1.8353331630171801E-2"/>
    <n v="1.7867731545774E-2"/>
    <n v="0.72897903123218399"/>
    <n v="5.7920463124250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2577828243"/>
    <n v="596.17134452390201"/>
    <n v="99.890882334087394"/>
    <n v="44.065789424612802"/>
    <n v="87.419636873428502"/>
    <n v="57.157106567868198"/>
    <n v="3.80225867842119"/>
    <n v="763.30561969628695"/>
    <n v="22.503760811551299"/>
    <n v="0"/>
    <n v="171.33504213793299"/>
    <n v="112.075980099201"/>
    <n v="31.050414920165501"/>
    <n v="-4.5167651412732299"/>
    <n v="32534589612.5"/>
    <n v="7.9223993878710805E-2"/>
    <n v="49889"/>
    <n v="0.99905802793317433"/>
    <n v="0.81468523307006113"/>
    <n v="1.0700865691623167"/>
  </r>
  <r>
    <x v="2"/>
    <x v="0"/>
    <n v="0"/>
    <n v="0.44493080674499402"/>
    <n v="0.44493080674499402"/>
    <n v="5.2374562962963001E-2"/>
    <n v="6.6130836168570297E-4"/>
    <n v="2.3678062319048701E-5"/>
    <n v="0.391866619227694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4492616861466239"/>
    <n v="0"/>
  </r>
  <r>
    <x v="2"/>
    <x v="1"/>
    <n v="3.0158558698900298E-3"/>
    <n v="0.46477144983646501"/>
    <n v="0.46175559396657501"/>
    <n v="4.8630407047420797E-2"/>
    <n v="1.7276102316230899E-3"/>
    <n v="3.5750043534567597E-4"/>
    <n v="0.41405138067298197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4889008801018054E-3"/>
    <n v="0.46476689838737173"/>
    <n v="6.4889644257246316E-3"/>
  </r>
  <r>
    <x v="2"/>
    <x v="2"/>
    <n v="1.4011899431400699E-2"/>
    <n v="0.53096772836044204"/>
    <n v="0.51695582892904102"/>
    <n v="4.8585020112481198E-2"/>
    <n v="7.0348562869350598E-3"/>
    <n v="6.5110316740395304E-3"/>
    <n v="0.468831565497842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6389361693727766E-2"/>
    <n v="0.53096247357129878"/>
    <n v="2.6389622861961358E-2"/>
  </r>
  <r>
    <x v="2"/>
    <x v="3"/>
    <n v="0.35037417787806702"/>
    <n v="0.56285693161364703"/>
    <n v="0.21248275373558001"/>
    <n v="4.8323393376962301E-2"/>
    <n v="1.0485796320760601E-2"/>
    <n v="3.6239609309968099E-3"/>
    <n v="0.50041834432594301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2249242782456982"/>
    <n v="0.56285149495466302"/>
    <n v="0.6224984405634193"/>
  </r>
  <r>
    <x v="2"/>
    <x v="4"/>
    <n v="0.71376871313629697"/>
    <n v="0.59401950505270196"/>
    <n v="-0.119749208083595"/>
    <n v="4.8312030645874499E-2"/>
    <n v="9.6760258073164997E-3"/>
    <n v="3.2013437665792499E-3"/>
    <n v="0.53282472896224498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697953730797"/>
    <n v="731421249.10000002"/>
    <n v="6.4145393123455102E-2"/>
    <n v="2032"/>
    <n v="1.2015913737933079"/>
    <n v="0.59401412918201535"/>
    <n v="1.2016022482818534"/>
  </r>
  <r>
    <x v="2"/>
    <x v="5"/>
    <n v="0.74363181723453298"/>
    <n v="0.62993320735398906"/>
    <n v="-0.113698609880544"/>
    <n v="4.8159461999574701E-2"/>
    <n v="1.0876871701301E-2"/>
    <n v="4.8357005820837398E-3"/>
    <n v="0.56605578809798296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090475859"/>
    <n v="4734935979.6000004"/>
    <n v="7.0698471397528495E-2"/>
    <n v="5846"/>
    <n v="1.1804931198311177"/>
    <n v="0.62992782238094236"/>
    <n v="1.18050321134225"/>
  </r>
  <r>
    <x v="2"/>
    <x v="6"/>
    <n v="0.69681138195660197"/>
    <n v="0.69034558134150503"/>
    <n v="-6.4658006150962299E-3"/>
    <n v="4.83628969264569E-2"/>
    <n v="1.1897032527530001E-2"/>
    <n v="7.1541864371267401E-3"/>
    <n v="0.61784856945557498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078218412001"/>
    <n v="23474302159.900002"/>
    <n v="7.3236694493439503E-2"/>
    <n v="16353"/>
    <n v="1.0093660346207074"/>
    <n v="0.68526268534668822"/>
    <n v="1.0168529483026951"/>
  </r>
  <r>
    <x v="2"/>
    <x v="7"/>
    <n v="0.78391795670064501"/>
    <n v="0.81450609628720505"/>
    <n v="3.0588139586559999E-2"/>
    <n v="4.8766924029624403E-2"/>
    <n v="1.25008686755244E-2"/>
    <n v="1.13597379002374E-2"/>
    <n v="0.70102406902661596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917793907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561492982599"/>
    <n v="53937995797.300003"/>
    <n v="7.6671943448201496E-2"/>
    <n v="36146"/>
    <n v="0.96244578189654917"/>
    <n v="0.77365159963200247"/>
    <n v="1.0132700004414465"/>
  </r>
  <r>
    <x v="2"/>
    <x v="8"/>
    <n v="0.86356101662761398"/>
    <n v="0.87651526074021602"/>
    <n v="1.29542441126027E-2"/>
    <n v="4.9582622327070502E-2"/>
    <n v="1.52242231188572E-2"/>
    <n v="1.6591674511866598E-2"/>
    <n v="0.71343909726106303"/>
    <n v="8.16776435213592E-2"/>
    <n v="10.197207240171"/>
    <n v="5.4071835171825899"/>
    <n v="84.395609242646501"/>
    <n v="28.910715000110599"/>
    <n v="49.089295490785503"/>
    <n v="21.999989509104001"/>
    <n v="0"/>
    <n v="49.089295490785503"/>
    <n v="0.56737715170827796"/>
    <n v="-12.356503907547999"/>
    <n v="587.65131489940904"/>
    <n v="99.9212977241895"/>
    <n v="45.020798147354697"/>
    <n v="116.450194714003"/>
    <n v="57.382518204961002"/>
    <n v="3.77944442054743"/>
    <n v="764.24238189885398"/>
    <n v="16.585975894208499"/>
    <n v="0"/>
    <n v="171.28134257185599"/>
    <n v="112.07413651488"/>
    <n v="31.107588501900501"/>
    <n v="-7.3995643620594302"/>
    <n v="75485525496.399994"/>
    <n v="8.0039511049871601E-2"/>
    <n v="63968"/>
    <n v="0.98522074321710928"/>
    <n v="0.79483761721885682"/>
    <n v="1.0864621878984804"/>
  </r>
  <r>
    <x v="3"/>
    <x v="1"/>
    <n v="0"/>
    <n v="0.48660862304709301"/>
    <n v="0.48660862304709301"/>
    <n v="4.8567768974877801E-2"/>
    <n v="3.2702461795712698E-3"/>
    <n v="2.5995990443201601E-3"/>
    <n v="0.43216434314525498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48660195734402434"/>
    <n v="0"/>
  </r>
  <r>
    <x v="3"/>
    <x v="2"/>
    <n v="2.59566697283704E-2"/>
    <n v="0.51289707914555804"/>
    <n v="0.48694040941718802"/>
    <n v="4.7934321340072701E-2"/>
    <n v="7.44715668120684E-3"/>
    <n v="3.8213210795821702E-3"/>
    <n v="0.45368795759973501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5.0607949984062997E-2"/>
    <n v="0.51289075670059669"/>
    <n v="5.0608573832268876E-2"/>
  </r>
  <r>
    <x v="3"/>
    <x v="3"/>
    <n v="0.45182697437541902"/>
    <n v="0.52678010582378798"/>
    <n v="7.4953131448369098E-2"/>
    <n v="4.8351167836982401E-2"/>
    <n v="8.5568914610602807E-3"/>
    <n v="4.1450140883661198E-3"/>
    <n v="0.465720936324101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85771457460194722"/>
    <n v="0.52677400971050981"/>
    <n v="0.85772450053813754"/>
  </r>
  <r>
    <x v="3"/>
    <x v="4"/>
    <n v="0.55552322521742603"/>
    <n v="0.55450317873329402"/>
    <n v="-1.0200464841316401E-3"/>
    <n v="4.82700513509133E-2"/>
    <n v="8.3288565171176897E-3"/>
    <n v="3.5824349775129601E-3"/>
    <n v="0.49431573115104799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449065943902"/>
    <n v="424766759.30000001"/>
    <n v="6.9344802879145295E-2"/>
    <n v="1294"/>
    <n v="1.0018395683257617"/>
    <n v="0.55449707399659209"/>
    <n v="1.0018505980805956"/>
  </r>
  <r>
    <x v="3"/>
    <x v="5"/>
    <n v="0.58389240736353099"/>
    <n v="0.582032075883822"/>
    <n v="-1.86033147970872E-3"/>
    <n v="4.8117572214494198E-2"/>
    <n v="8.6552039642488806E-3"/>
    <n v="5.4478599936228604E-3"/>
    <n v="0.519805326097181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1889874844399"/>
    <n v="3117240112.1999998"/>
    <n v="5.8715392769896797E-2"/>
    <n v="4362"/>
    <n v="1.0031962696847663"/>
    <n v="0.58202596226954684"/>
    <n v="1.0032068072817681"/>
  </r>
  <r>
    <x v="3"/>
    <x v="6"/>
    <n v="0.706459051979482"/>
    <n v="0.645096140692199"/>
    <n v="-6.1362911287282502E-2"/>
    <n v="4.8337096283761198E-2"/>
    <n v="9.7600375946156007E-3"/>
    <n v="7.2394241685171104E-3"/>
    <n v="0.56929375948850902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711998949299"/>
    <n v="16067322671.9"/>
    <n v="6.3881024892799801E-2"/>
    <n v="12566"/>
    <n v="1.0951221181100845"/>
    <n v="0.63463031753540255"/>
    <n v="1.1131820092097515"/>
  </r>
  <r>
    <x v="3"/>
    <x v="7"/>
    <n v="0.76609999648758498"/>
    <n v="0.77207293366206298"/>
    <n v="5.9729371744787702E-3"/>
    <n v="4.8750457210168102E-2"/>
    <n v="1.0541613951804901E-2"/>
    <n v="1.1379656026387E-2"/>
    <n v="0.64645255712063598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763058458"/>
    <n v="38072425699.599998"/>
    <n v="7.8574306442267705E-2"/>
    <n v="27514"/>
    <n v="0.99226376561842744"/>
    <n v="0.71712428430899589"/>
    <n v="1.0682945944659801"/>
  </r>
  <r>
    <x v="3"/>
    <x v="8"/>
    <n v="0.83075719071396603"/>
    <n v="0.83995920961522796"/>
    <n v="9.2020189012618197E-3"/>
    <n v="4.9610069137206697E-2"/>
    <n v="1.27584019489821E-2"/>
    <n v="1.65988895351603E-2"/>
    <n v="0.659186685737709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55217367498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8499349311799"/>
    <n v="53559789764.400002"/>
    <n v="7.9936269974080695E-2"/>
    <n v="47424"/>
    <n v="0.98904468360377018"/>
    <n v="0.7381540463590579"/>
    <n v="1.1254523291061977"/>
  </r>
  <r>
    <x v="4"/>
    <x v="0"/>
    <n v="0"/>
    <n v="0.369835544350267"/>
    <n v="0.369835544350267"/>
    <n v="5.2374562962963001E-2"/>
    <n v="1.2533938390408301E-3"/>
    <n v="1.0612910558744199E-3"/>
    <n v="0.31513920847365001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698284563315285"/>
    <n v="0"/>
  </r>
  <r>
    <x v="4"/>
    <x v="1"/>
    <n v="7.3962218421947E-5"/>
    <n v="0.417481670346877"/>
    <n v="0.41740770812845501"/>
    <n v="4.7760158202091299E-2"/>
    <n v="2.8927834655613498E-3"/>
    <n v="2.6894604804633799E-3"/>
    <n v="0.36413250589865098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716279222628698E-4"/>
    <n v="0.41747490804676729"/>
    <n v="1.7716566192682757E-4"/>
  </r>
  <r>
    <x v="4"/>
    <x v="2"/>
    <n v="2.2170798696812399"/>
    <n v="0.43558358495953797"/>
    <n v="-1.78149628472171"/>
    <n v="4.79690871429952E-2"/>
    <n v="1.07620635196815E-2"/>
    <n v="4.0312720659129702E-3"/>
    <n v="0.37281302312966702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5.089906842764031"/>
    <n v="0.43557544585825742"/>
    <n v="5.0900019520446289"/>
  </r>
  <r>
    <x v="4"/>
    <x v="3"/>
    <n v="0.41364190189466499"/>
    <n v="0.42091402404531902"/>
    <n v="7.2721221506539396E-3"/>
    <n v="4.8397763501454402E-2"/>
    <n v="6.3025099187786603E-3"/>
    <n v="3.1462582415442198E-3"/>
    <n v="0.36305777807559497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8272302243398035"/>
    <n v="0.42090430973737186"/>
    <n v="0.98274570329954958"/>
  </r>
  <r>
    <x v="4"/>
    <x v="4"/>
    <n v="0.41371681785979397"/>
    <n v="0.43583430566092601"/>
    <n v="2.2117487801132301E-2"/>
    <n v="4.8348265967077503E-2"/>
    <n v="5.9611014674706697E-3"/>
    <n v="3.0752013522188401E-3"/>
    <n v="0.37844029473905799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547577780001"/>
    <n v="4381810081.3000002"/>
    <n v="6.0151417550216101E-2"/>
    <n v="4350"/>
    <n v="0.94925253126278875"/>
    <n v="0.4358248635258255"/>
    <n v="0.94927309679586125"/>
  </r>
  <r>
    <x v="4"/>
    <x v="5"/>
    <n v="0.47356911269068602"/>
    <n v="0.44676848883595699"/>
    <n v="-2.6800623854729099E-2"/>
    <n v="4.80807306663898E-2"/>
    <n v="6.6391731348292198E-3"/>
    <n v="4.2962947034126901E-3"/>
    <n v="0.38741825097105298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4288967999"/>
    <n v="40557876203.900002"/>
    <n v="6.8182001372595696E-2"/>
    <n v="14150"/>
    <n v="1.0599877218837821"/>
    <n v="0.44643444947568506"/>
    <n v="1.0607808453108161"/>
  </r>
  <r>
    <x v="4"/>
    <x v="6"/>
    <n v="0.56367757496814996"/>
    <n v="0.52480035265360603"/>
    <n v="-3.8877222314544102E-2"/>
    <n v="4.83694268494788E-2"/>
    <n v="7.59763488544385E-3"/>
    <n v="6.0566375804035804E-3"/>
    <n v="0.42443290794878702"/>
    <n v="3.8343745389492097E-2"/>
    <n v="10.600275092633501"/>
    <n v="4.0936595437102996"/>
    <n v="85.306065363656202"/>
    <n v="26.442929998791101"/>
    <n v="55.914986278186902"/>
    <n v="17.6420837230221"/>
    <n v="0"/>
    <n v="55.914986278186902"/>
    <n v="0.28313032949264"/>
    <n v="-60.126835115430403"/>
    <n v="40.220829629909197"/>
    <n v="99.987552217089899"/>
    <n v="44.642141085138597"/>
    <n v="302.64455545095302"/>
    <n v="54.596400710216898"/>
    <n v="3.4066129669655298"/>
    <n v="771.73681322145899"/>
    <n v="2.2985836887290398"/>
    <n v="0"/>
    <n v="172.279537741052"/>
    <n v="112.030007480807"/>
    <n v="26.635491927994799"/>
    <n v="-25.311289937470399"/>
    <n v="243551740603.79999"/>
    <n v="6.3676017169279397E-2"/>
    <n v="39108"/>
    <n v="1.0740800232278136"/>
    <n v="0.48645660726411394"/>
    <n v="1.1587417388332648"/>
  </r>
  <r>
    <x v="4"/>
    <x v="7"/>
    <n v="0.66900424314893503"/>
    <n v="0.66452888800835996"/>
    <n v="-4.4753551405747102E-3"/>
    <n v="4.8816878585963598E-2"/>
    <n v="8.1984481466343597E-3"/>
    <n v="9.2229870118835499E-3"/>
    <n v="0.48782837453545003"/>
    <n v="0.110462199728428"/>
    <n v="5.5347786308647802"/>
    <n v="4.5653467161332397"/>
    <n v="89.899874653002001"/>
    <n v="26.7960769780838"/>
    <n v="54.641556123533299"/>
    <n v="18.562366898382901"/>
    <n v="0"/>
    <n v="54.641556123533299"/>
    <n v="0.30505764369671801"/>
    <n v="-36.609338121494602"/>
    <n v="164.066805514403"/>
    <n v="99.982372934702795"/>
    <n v="44.808881163246703"/>
    <n v="300.75008589296101"/>
    <n v="55.613737866396001"/>
    <n v="3.5385703207732799"/>
    <n v="769.06735014517801"/>
    <n v="4.0917690893106702"/>
    <n v="0"/>
    <n v="173.09208165930201"/>
    <n v="112.208743425252"/>
    <n v="29.632123521064202"/>
    <n v="-17.742090535751501"/>
    <n v="540234429640.20001"/>
    <n v="7.0662158076239004E-2"/>
    <n v="83881"/>
    <n v="1.006734628428251"/>
    <n v="0.554066688279932"/>
    <n v="1.2074435393793841"/>
  </r>
  <r>
    <x v="4"/>
    <x v="8"/>
    <n v="0.76102968127687398"/>
    <n v="0.75704348810321997"/>
    <n v="-3.9861931736536703E-3"/>
    <n v="4.9536035597172699E-2"/>
    <n v="1.0011132674436001E-2"/>
    <n v="1.33426523281342E-2"/>
    <n v="0.51088627783003104"/>
    <n v="0.17326738967344599"/>
    <n v="4.8478535756917198"/>
    <n v="4.7734822125663898"/>
    <n v="90.378664211741906"/>
    <n v="25.487252833128998"/>
    <n v="54.222825874594903"/>
    <n v="20.289921292276102"/>
    <n v="0"/>
    <n v="54.222825874594903"/>
    <n v="0.36112446163831202"/>
    <n v="-14.366102323446899"/>
    <n v="533.43831351482902"/>
    <n v="99.972589250201906"/>
    <n v="45.280768537071403"/>
    <n v="282.91320688058403"/>
    <n v="57.275809356465402"/>
    <n v="3.73052649301157"/>
    <n v="765.67275079328999"/>
    <n v="7.6447461202171203"/>
    <n v="0"/>
    <n v="171.86366644776101"/>
    <n v="112.127000041549"/>
    <n v="31.258585094795698"/>
    <n v="-11.116275860719"/>
    <n v="540376859333.29999"/>
    <n v="7.6033291642935E-2"/>
    <n v="116653"/>
    <n v="1.0052654744889775"/>
    <n v="0.58377609842977396"/>
    <n v="1.3036328197126812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65">
      <pivotArea outline="0" collapsedLevelsAreSubtotals="1" fieldPosition="0"/>
    </format>
    <format dxfId="64">
      <pivotArea dataOnly="0" fieldPosition="0">
        <references count="1">
          <reference field="1" count="1">
            <x v="4"/>
          </reference>
        </references>
      </pivotArea>
    </format>
    <format dxfId="63">
      <pivotArea type="topRight" dataOnly="0" labelOnly="1" outline="0" offset="B1" fieldPosition="0"/>
    </format>
    <format dxfId="62">
      <pivotArea type="topRight" dataOnly="0" labelOnly="1" outline="0" offset="G1" fieldPosition="0"/>
    </format>
    <format dxfId="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A2" sqref="A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 s="3">
        <v>1</v>
      </c>
      <c r="B2" s="3">
        <v>85</v>
      </c>
      <c r="C2" s="3">
        <v>-200</v>
      </c>
      <c r="D2" s="4">
        <v>8.0000000000000004E-4</v>
      </c>
      <c r="E2" s="3">
        <v>0.50523071251205298</v>
      </c>
      <c r="F2" s="3">
        <v>0.50443071251205296</v>
      </c>
      <c r="G2" s="3">
        <v>5.1949714062499999E-2</v>
      </c>
      <c r="H2" s="3">
        <v>9.9256774362153194E-4</v>
      </c>
      <c r="I2" s="3">
        <v>3.3913728371715799E-4</v>
      </c>
      <c r="J2" s="3">
        <v>0.45194627884361299</v>
      </c>
      <c r="K2" s="4">
        <v>3.0145786018786401E-6</v>
      </c>
      <c r="L2" s="3">
        <v>100</v>
      </c>
      <c r="M2" s="3">
        <v>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100</v>
      </c>
      <c r="T2" s="3">
        <v>0</v>
      </c>
      <c r="U2" s="3">
        <v>-202.1</v>
      </c>
      <c r="V2" s="3">
        <v>0</v>
      </c>
      <c r="W2" s="3">
        <v>100</v>
      </c>
      <c r="X2" s="3">
        <v>26.3</v>
      </c>
      <c r="Y2" s="3">
        <v>58.8</v>
      </c>
      <c r="Z2" s="3">
        <v>63</v>
      </c>
      <c r="AA2" s="3">
        <v>2.6</v>
      </c>
      <c r="AB2" s="3">
        <v>728</v>
      </c>
      <c r="AC2" s="3">
        <v>100</v>
      </c>
      <c r="AD2" s="3">
        <v>0</v>
      </c>
      <c r="AE2" s="3">
        <v>179.2</v>
      </c>
      <c r="AF2" s="3">
        <v>112.2</v>
      </c>
      <c r="AG2" s="3">
        <v>20.9</v>
      </c>
      <c r="AH2" s="3">
        <v>-100</v>
      </c>
      <c r="AI2" s="3">
        <v>58820.3</v>
      </c>
      <c r="AJ2" s="3" t="s">
        <v>36</v>
      </c>
      <c r="AK2" s="3">
        <v>1</v>
      </c>
      <c r="AL2" s="3">
        <f>D2/E2</f>
        <v>1.5834350133275298E-3</v>
      </c>
      <c r="AM2" s="4">
        <f>E2-K2</f>
        <v>0.50522769793345113</v>
      </c>
      <c r="AN2" s="4">
        <f>D2/(E2-K2)</f>
        <v>1.583444461323608E-3</v>
      </c>
    </row>
    <row r="3" spans="1:40" x14ac:dyDescent="0.25">
      <c r="A3" s="3">
        <v>2</v>
      </c>
      <c r="B3" s="3">
        <v>85</v>
      </c>
      <c r="C3" s="3">
        <v>-175</v>
      </c>
      <c r="D3" s="3">
        <v>7.5213920846779205E-4</v>
      </c>
      <c r="E3" s="3">
        <v>0.51773152836699099</v>
      </c>
      <c r="F3" s="3">
        <v>0.51697938915852304</v>
      </c>
      <c r="G3" s="3">
        <v>4.8249027111232502E-2</v>
      </c>
      <c r="H3" s="3">
        <v>1.5834711428251299E-3</v>
      </c>
      <c r="I3" s="3">
        <v>4.2246839107825703E-4</v>
      </c>
      <c r="J3" s="3">
        <v>0.46747360888915501</v>
      </c>
      <c r="K3" s="4">
        <v>2.9528327006597501E-6</v>
      </c>
      <c r="L3" s="3">
        <v>100</v>
      </c>
      <c r="M3" s="3">
        <v>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100</v>
      </c>
      <c r="T3" s="3">
        <v>2.7443399480281301E-2</v>
      </c>
      <c r="U3" s="3">
        <v>-187.01434429778101</v>
      </c>
      <c r="V3" s="3">
        <v>0</v>
      </c>
      <c r="W3" s="3">
        <v>100</v>
      </c>
      <c r="X3" s="3">
        <v>30.375699025757701</v>
      </c>
      <c r="Y3" s="3">
        <v>61.1005372610067</v>
      </c>
      <c r="Z3" s="3">
        <v>54.3403074712379</v>
      </c>
      <c r="AA3" s="3">
        <v>2.6274433994802799</v>
      </c>
      <c r="AB3" s="3">
        <v>734.99806686747195</v>
      </c>
      <c r="AC3" s="3">
        <v>86.278300259859293</v>
      </c>
      <c r="AD3" s="3">
        <v>0</v>
      </c>
      <c r="AE3" s="3">
        <v>171.268256731626</v>
      </c>
      <c r="AF3" s="3">
        <v>111.93892386090199</v>
      </c>
      <c r="AG3" s="3">
        <v>25.886510259787698</v>
      </c>
      <c r="AH3" s="3">
        <v>-96.569575064964795</v>
      </c>
      <c r="AI3" s="3">
        <v>488533.5</v>
      </c>
      <c r="AJ3" s="4">
        <v>4.5961940777125603E-6</v>
      </c>
      <c r="AK3" s="3">
        <v>8</v>
      </c>
      <c r="AL3" s="3">
        <f t="shared" ref="AL3:AL23" si="0">D3/E3</f>
        <v>1.4527591372311454E-3</v>
      </c>
      <c r="AM3" s="4">
        <f t="shared" ref="AM3:AM23" si="1">E3-K3</f>
        <v>0.5177285755342903</v>
      </c>
      <c r="AN3" s="4">
        <f t="shared" ref="AN3:AN23" si="2">D3/(E3-K3)</f>
        <v>1.4527674229524467E-3</v>
      </c>
    </row>
    <row r="4" spans="1:40" x14ac:dyDescent="0.25">
      <c r="A4" s="3">
        <v>3</v>
      </c>
      <c r="B4" s="3">
        <v>85</v>
      </c>
      <c r="C4" s="3">
        <v>-150</v>
      </c>
      <c r="D4" s="3">
        <v>9.6399666998062006E-3</v>
      </c>
      <c r="E4" s="3">
        <v>0.55455705910647202</v>
      </c>
      <c r="F4" s="3">
        <v>0.54491709240666597</v>
      </c>
      <c r="G4" s="3">
        <v>4.9368286832847698E-2</v>
      </c>
      <c r="H4" s="3">
        <v>8.5463896581082499E-3</v>
      </c>
      <c r="I4" s="3">
        <v>6.70629107081799E-4</v>
      </c>
      <c r="J4" s="3">
        <v>0.49596817540007498</v>
      </c>
      <c r="K4" s="4">
        <v>3.57810835985759E-6</v>
      </c>
      <c r="L4" s="3">
        <v>84.536686256406</v>
      </c>
      <c r="M4" s="3">
        <v>0</v>
      </c>
      <c r="N4" s="3">
        <v>15.463313743594</v>
      </c>
      <c r="O4" s="3">
        <v>45.189572525705202</v>
      </c>
      <c r="P4" s="3">
        <v>34.305358895601103</v>
      </c>
      <c r="Q4" s="3">
        <v>20.505068578693699</v>
      </c>
      <c r="R4" s="3">
        <v>0</v>
      </c>
      <c r="S4" s="3">
        <v>34.305358895601103</v>
      </c>
      <c r="T4" s="3">
        <v>0.30206504853913402</v>
      </c>
      <c r="U4" s="3">
        <v>-160.03852834944701</v>
      </c>
      <c r="V4" s="3">
        <v>0</v>
      </c>
      <c r="W4" s="3">
        <v>100</v>
      </c>
      <c r="X4" s="3">
        <v>47.199015875660798</v>
      </c>
      <c r="Y4" s="3">
        <v>58.415630955625701</v>
      </c>
      <c r="Z4" s="3">
        <v>56.793581206482898</v>
      </c>
      <c r="AA4" s="3">
        <v>2.8777102457363499</v>
      </c>
      <c r="AB4" s="3">
        <v>765.28844342686398</v>
      </c>
      <c r="AC4" s="3">
        <v>12.519851009153101</v>
      </c>
      <c r="AD4" s="3">
        <v>0</v>
      </c>
      <c r="AE4" s="3">
        <v>171.70443441704001</v>
      </c>
      <c r="AF4" s="3">
        <v>111.932469452001</v>
      </c>
      <c r="AG4" s="3">
        <v>25.255095769421999</v>
      </c>
      <c r="AH4" s="3">
        <v>-85.274189704206094</v>
      </c>
      <c r="AI4" s="3">
        <v>4838230.0999999996</v>
      </c>
      <c r="AJ4" s="3">
        <v>2.7651780543365298E-4</v>
      </c>
      <c r="AK4" s="3">
        <v>79</v>
      </c>
      <c r="AL4" s="3">
        <f t="shared" si="0"/>
        <v>1.7383182742887741E-2</v>
      </c>
      <c r="AM4" s="4">
        <f t="shared" si="1"/>
        <v>0.55455348099811219</v>
      </c>
      <c r="AN4" s="4">
        <f t="shared" si="2"/>
        <v>1.7383294903235882E-2</v>
      </c>
    </row>
    <row r="5" spans="1:40" x14ac:dyDescent="0.25">
      <c r="A5" s="3">
        <v>4</v>
      </c>
      <c r="B5" s="3">
        <v>85</v>
      </c>
      <c r="C5" s="3">
        <v>-125</v>
      </c>
      <c r="D5" s="3">
        <v>0.14115249188214901</v>
      </c>
      <c r="E5" s="3">
        <v>0.60139674132914001</v>
      </c>
      <c r="F5" s="3">
        <v>0.46024424944699099</v>
      </c>
      <c r="G5" s="3">
        <v>4.8804531330933099E-2</v>
      </c>
      <c r="H5" s="3">
        <v>1.7513520548055699E-2</v>
      </c>
      <c r="I5" s="3">
        <v>1.37104975344662E-3</v>
      </c>
      <c r="J5" s="3">
        <v>0.53370413674412098</v>
      </c>
      <c r="K5" s="4">
        <v>3.5029525835228902E-6</v>
      </c>
      <c r="L5" s="3">
        <v>90.001226913255394</v>
      </c>
      <c r="M5" s="3">
        <v>0</v>
      </c>
      <c r="N5" s="3">
        <v>9.9987730867446096</v>
      </c>
      <c r="O5" s="3">
        <v>37.6714377780932</v>
      </c>
      <c r="P5" s="3">
        <v>44.905550722260898</v>
      </c>
      <c r="Q5" s="3">
        <v>17.423011499645899</v>
      </c>
      <c r="R5" s="3">
        <v>0</v>
      </c>
      <c r="S5" s="3">
        <v>44.905550722260898</v>
      </c>
      <c r="T5" s="3">
        <v>0.690470002645034</v>
      </c>
      <c r="U5" s="3">
        <v>-133.12080055489301</v>
      </c>
      <c r="V5" s="3">
        <v>0</v>
      </c>
      <c r="W5" s="3">
        <v>100</v>
      </c>
      <c r="X5" s="3">
        <v>47.410320721498501</v>
      </c>
      <c r="Y5" s="3">
        <v>58.711937733355597</v>
      </c>
      <c r="Z5" s="3">
        <v>55.589670983048002</v>
      </c>
      <c r="AA5" s="3">
        <v>3.1564457737434699</v>
      </c>
      <c r="AB5" s="3">
        <v>768.37130457085902</v>
      </c>
      <c r="AC5" s="3">
        <v>23.113455991075</v>
      </c>
      <c r="AD5" s="3">
        <v>0</v>
      </c>
      <c r="AE5" s="3">
        <v>172.79743428782501</v>
      </c>
      <c r="AF5" s="3">
        <v>111.990249351918</v>
      </c>
      <c r="AG5" s="3">
        <v>25.108658814666999</v>
      </c>
      <c r="AH5" s="3">
        <v>-48.731555049428302</v>
      </c>
      <c r="AI5" s="3">
        <v>40793430</v>
      </c>
      <c r="AJ5" s="3">
        <v>1.63432249347094E-2</v>
      </c>
      <c r="AK5" s="3">
        <v>426</v>
      </c>
      <c r="AL5" s="3">
        <f t="shared" si="0"/>
        <v>0.23470777638433743</v>
      </c>
      <c r="AM5" s="4">
        <f t="shared" si="1"/>
        <v>0.60139323837655645</v>
      </c>
      <c r="AN5" s="4">
        <f t="shared" si="2"/>
        <v>0.2347091434935086</v>
      </c>
    </row>
    <row r="6" spans="1:40" x14ac:dyDescent="0.25">
      <c r="A6" s="3">
        <v>5</v>
      </c>
      <c r="B6" s="3">
        <v>85</v>
      </c>
      <c r="C6" s="3">
        <v>-100</v>
      </c>
      <c r="D6" s="3">
        <v>0.90706868060088996</v>
      </c>
      <c r="E6" s="3">
        <v>0.64990621304332097</v>
      </c>
      <c r="F6" s="3">
        <v>-0.257162467557568</v>
      </c>
      <c r="G6" s="3">
        <v>4.8376106392566398E-2</v>
      </c>
      <c r="H6" s="3">
        <v>1.7488354049582999E-2</v>
      </c>
      <c r="I6" s="3">
        <v>2.7500456221707398E-3</v>
      </c>
      <c r="J6" s="3">
        <v>0.58128813482332398</v>
      </c>
      <c r="K6" s="4">
        <v>3.5721556772686999E-6</v>
      </c>
      <c r="L6" s="3">
        <v>80.917392809808206</v>
      </c>
      <c r="M6" s="3">
        <v>0.41989199133710797</v>
      </c>
      <c r="N6" s="3">
        <v>18.662715198854698</v>
      </c>
      <c r="O6" s="3">
        <v>37.757924733796202</v>
      </c>
      <c r="P6" s="3">
        <v>44.740803778108898</v>
      </c>
      <c r="Q6" s="3">
        <v>17.501271488095</v>
      </c>
      <c r="R6" s="3">
        <v>0</v>
      </c>
      <c r="S6" s="3">
        <v>44.740803778108898</v>
      </c>
      <c r="T6" s="3">
        <v>0.68504521675443997</v>
      </c>
      <c r="U6" s="3">
        <v>-109.163904269113</v>
      </c>
      <c r="V6" s="3">
        <v>2.8742042902109199E-2</v>
      </c>
      <c r="W6" s="3">
        <v>99.763497444347806</v>
      </c>
      <c r="X6" s="3">
        <v>46.954982549606001</v>
      </c>
      <c r="Y6" s="3">
        <v>59.750874453629102</v>
      </c>
      <c r="Z6" s="3">
        <v>54.625054713048797</v>
      </c>
      <c r="AA6" s="3">
        <v>3.3131996670323498</v>
      </c>
      <c r="AB6" s="3">
        <v>766.40042409415196</v>
      </c>
      <c r="AC6" s="3">
        <v>18.0264700895099</v>
      </c>
      <c r="AD6" s="3">
        <v>0</v>
      </c>
      <c r="AE6" s="3">
        <v>172.22083352425199</v>
      </c>
      <c r="AF6" s="3">
        <v>111.98486918781001</v>
      </c>
      <c r="AG6" s="3">
        <v>25.6685831280084</v>
      </c>
      <c r="AH6" s="3">
        <v>-32.211687815804602</v>
      </c>
      <c r="AI6" s="3">
        <v>292461448.5</v>
      </c>
      <c r="AJ6" s="3">
        <v>8.2752552046808606E-2</v>
      </c>
      <c r="AK6" s="3">
        <v>1776</v>
      </c>
      <c r="AL6" s="3">
        <f t="shared" si="0"/>
        <v>1.3956916588831367</v>
      </c>
      <c r="AM6" s="4">
        <f t="shared" si="1"/>
        <v>0.64990264088764371</v>
      </c>
      <c r="AN6" s="4">
        <f t="shared" si="2"/>
        <v>1.3956993302289189</v>
      </c>
    </row>
    <row r="7" spans="1:40" x14ac:dyDescent="0.25">
      <c r="A7" s="3">
        <v>6</v>
      </c>
      <c r="B7" s="3">
        <v>85</v>
      </c>
      <c r="C7" s="3">
        <v>-75</v>
      </c>
      <c r="D7" s="3">
        <v>0.76095870642797703</v>
      </c>
      <c r="E7" s="3">
        <v>0.69570058893931197</v>
      </c>
      <c r="F7" s="3">
        <v>-6.5258117488665002E-2</v>
      </c>
      <c r="G7" s="3">
        <v>4.8319816271105799E-2</v>
      </c>
      <c r="H7" s="3">
        <v>1.8583312724752301E-2</v>
      </c>
      <c r="I7" s="3">
        <v>5.1561312894951904E-3</v>
      </c>
      <c r="J7" s="3">
        <v>0.62363768535581598</v>
      </c>
      <c r="K7" s="4">
        <v>3.6432981426265699E-6</v>
      </c>
      <c r="L7" s="3">
        <v>58.648727997411697</v>
      </c>
      <c r="M7" s="3">
        <v>2.0224149644622398</v>
      </c>
      <c r="N7" s="3">
        <v>39.328857038126003</v>
      </c>
      <c r="O7" s="3">
        <v>40.973885927819502</v>
      </c>
      <c r="P7" s="3">
        <v>40.060149488570602</v>
      </c>
      <c r="Q7" s="3">
        <v>18.9659645836099</v>
      </c>
      <c r="R7" s="3">
        <v>0</v>
      </c>
      <c r="S7" s="3">
        <v>40.060149488570602</v>
      </c>
      <c r="T7" s="3">
        <v>0.73618946474736102</v>
      </c>
      <c r="U7" s="3">
        <v>-84.715076817155094</v>
      </c>
      <c r="V7" s="3">
        <v>0.88425165945157702</v>
      </c>
      <c r="W7" s="3">
        <v>99.827574314644394</v>
      </c>
      <c r="X7" s="3">
        <v>45.456370910382397</v>
      </c>
      <c r="Y7" s="3">
        <v>60.769939254552099</v>
      </c>
      <c r="Z7" s="3">
        <v>54.4914306966973</v>
      </c>
      <c r="AA7" s="3">
        <v>3.4142877394780702</v>
      </c>
      <c r="AB7" s="3">
        <v>765.78828990433794</v>
      </c>
      <c r="AC7" s="3">
        <v>13.794965083123699</v>
      </c>
      <c r="AD7" s="3">
        <v>0</v>
      </c>
      <c r="AE7" s="3">
        <v>172.14494554989301</v>
      </c>
      <c r="AF7" s="3">
        <v>112.012714523887</v>
      </c>
      <c r="AG7" s="3">
        <v>26.7253979007344</v>
      </c>
      <c r="AH7" s="3">
        <v>-22.770936598508101</v>
      </c>
      <c r="AI7" s="3">
        <v>1362747447.2</v>
      </c>
      <c r="AJ7" s="3">
        <v>6.4555039854858096E-2</v>
      </c>
      <c r="AK7" s="3">
        <v>4934</v>
      </c>
      <c r="AL7" s="3">
        <f t="shared" si="0"/>
        <v>1.0938020155885735</v>
      </c>
      <c r="AM7" s="4">
        <f t="shared" si="1"/>
        <v>0.69569694564116935</v>
      </c>
      <c r="AN7" s="4">
        <f t="shared" si="2"/>
        <v>1.0938077437247637</v>
      </c>
    </row>
    <row r="8" spans="1:40" x14ac:dyDescent="0.25">
      <c r="A8" s="3">
        <v>7</v>
      </c>
      <c r="B8" s="3">
        <v>85</v>
      </c>
      <c r="C8" s="3">
        <v>-50</v>
      </c>
      <c r="D8" s="3">
        <v>0.76693221991233096</v>
      </c>
      <c r="E8" s="3">
        <v>0.74608969303727202</v>
      </c>
      <c r="F8" s="3">
        <v>-2.08425268750588E-2</v>
      </c>
      <c r="G8" s="3">
        <v>4.8436428503806903E-2</v>
      </c>
      <c r="H8" s="3">
        <v>1.9960509413911701E-2</v>
      </c>
      <c r="I8" s="3">
        <v>8.0033911479120996E-3</v>
      </c>
      <c r="J8" s="3">
        <v>0.66968239268200003</v>
      </c>
      <c r="K8" s="4">
        <v>6.9712896415428402E-6</v>
      </c>
      <c r="L8" s="3">
        <v>32.213785392876296</v>
      </c>
      <c r="M8" s="3">
        <v>4.0655286116554796</v>
      </c>
      <c r="N8" s="3">
        <v>63.720685995468202</v>
      </c>
      <c r="O8" s="3">
        <v>40.527241304550998</v>
      </c>
      <c r="P8" s="3">
        <v>39.680707367690403</v>
      </c>
      <c r="Q8" s="3">
        <v>19.7920513277586</v>
      </c>
      <c r="R8" s="3">
        <v>0</v>
      </c>
      <c r="S8" s="3">
        <v>39.680707367690403</v>
      </c>
      <c r="T8" s="3">
        <v>0.79686923514841501</v>
      </c>
      <c r="U8" s="3">
        <v>-60.256100896367002</v>
      </c>
      <c r="V8" s="3">
        <v>42.597235861731797</v>
      </c>
      <c r="W8" s="3">
        <v>99.866005323585796</v>
      </c>
      <c r="X8" s="3">
        <v>43.303393010531401</v>
      </c>
      <c r="Y8" s="3">
        <v>61.6769879913263</v>
      </c>
      <c r="Z8" s="3">
        <v>54.751453529952997</v>
      </c>
      <c r="AA8" s="3">
        <v>3.49995936520002</v>
      </c>
      <c r="AB8" s="3">
        <v>766.51563823501203</v>
      </c>
      <c r="AC8" s="3">
        <v>13.4235247082197</v>
      </c>
      <c r="AD8" s="3">
        <v>0</v>
      </c>
      <c r="AE8" s="3">
        <v>172.14628594883399</v>
      </c>
      <c r="AF8" s="3">
        <v>112.031471687435</v>
      </c>
      <c r="AG8" s="3">
        <v>27.165402627006799</v>
      </c>
      <c r="AH8" s="3">
        <v>-16.729964174237399</v>
      </c>
      <c r="AI8" s="3">
        <v>5414954180.1000004</v>
      </c>
      <c r="AJ8" s="3">
        <v>7.2395992185729993E-2</v>
      </c>
      <c r="AK8" s="3">
        <v>12917</v>
      </c>
      <c r="AL8" s="3">
        <f t="shared" si="0"/>
        <v>1.0279356853064283</v>
      </c>
      <c r="AM8" s="4">
        <f t="shared" si="1"/>
        <v>0.74608272174763046</v>
      </c>
      <c r="AN8" s="4">
        <f t="shared" si="2"/>
        <v>1.027945290189622</v>
      </c>
    </row>
    <row r="9" spans="1:40" x14ac:dyDescent="0.25">
      <c r="A9" s="3">
        <v>8</v>
      </c>
      <c r="B9" s="3">
        <v>85</v>
      </c>
      <c r="C9" s="3">
        <v>-25</v>
      </c>
      <c r="D9" s="3">
        <v>0.82024288012681301</v>
      </c>
      <c r="E9" s="3">
        <v>0.83981585581762297</v>
      </c>
      <c r="F9" s="3">
        <v>1.9572975690809399E-2</v>
      </c>
      <c r="G9" s="3">
        <v>4.8746608288301803E-2</v>
      </c>
      <c r="H9" s="3">
        <v>1.9833599780126599E-2</v>
      </c>
      <c r="I9" s="3">
        <v>1.24959042761536E-2</v>
      </c>
      <c r="J9" s="3">
        <v>0.75088044209095794</v>
      </c>
      <c r="K9" s="3">
        <v>7.8593013820825904E-3</v>
      </c>
      <c r="L9" s="3">
        <v>22.425253448136498</v>
      </c>
      <c r="M9" s="3">
        <v>5.1251744834420396</v>
      </c>
      <c r="N9" s="3">
        <v>72.449572068421404</v>
      </c>
      <c r="O9" s="3">
        <v>38.099501198178601</v>
      </c>
      <c r="P9" s="3">
        <v>42.657715464400603</v>
      </c>
      <c r="Q9" s="3">
        <v>19.2427833374208</v>
      </c>
      <c r="R9" s="3">
        <v>0</v>
      </c>
      <c r="S9" s="3">
        <v>42.657715464400603</v>
      </c>
      <c r="T9" s="3">
        <v>0.79039268243958904</v>
      </c>
      <c r="U9" s="3">
        <v>-36.417066651911298</v>
      </c>
      <c r="V9" s="3">
        <v>185.69905208983101</v>
      </c>
      <c r="W9" s="3">
        <v>99.830364067113095</v>
      </c>
      <c r="X9" s="3">
        <v>42.605581373324299</v>
      </c>
      <c r="Y9" s="3">
        <v>61.902919965494199</v>
      </c>
      <c r="Z9" s="3">
        <v>55.454320784262102</v>
      </c>
      <c r="AA9" s="3">
        <v>3.6352381281817698</v>
      </c>
      <c r="AB9" s="3">
        <v>764.06892992759094</v>
      </c>
      <c r="AC9" s="3">
        <v>18.3608103157747</v>
      </c>
      <c r="AD9" s="3">
        <v>0</v>
      </c>
      <c r="AE9" s="3">
        <v>172.65669128835901</v>
      </c>
      <c r="AF9" s="3">
        <v>112.156261106209</v>
      </c>
      <c r="AG9" s="3">
        <v>29.2606176628762</v>
      </c>
      <c r="AH9" s="3">
        <v>-8.1880530522184998</v>
      </c>
      <c r="AI9" s="3">
        <v>12558200935</v>
      </c>
      <c r="AJ9" s="3">
        <v>8.1988171419849501E-2</v>
      </c>
      <c r="AK9" s="3">
        <v>27872</v>
      </c>
      <c r="AL9" s="3">
        <f t="shared" si="0"/>
        <v>0.97669372927979048</v>
      </c>
      <c r="AM9" s="4">
        <f t="shared" si="1"/>
        <v>0.8319565544355404</v>
      </c>
      <c r="AN9" s="4">
        <f t="shared" si="2"/>
        <v>0.98592032931734663</v>
      </c>
    </row>
    <row r="10" spans="1:40" x14ac:dyDescent="0.25">
      <c r="A10" s="3">
        <v>9</v>
      </c>
      <c r="B10" s="3">
        <v>85</v>
      </c>
      <c r="C10" s="3">
        <v>0</v>
      </c>
      <c r="D10" s="3">
        <v>0.82501349441100102</v>
      </c>
      <c r="E10" s="3">
        <v>0.88523299655301602</v>
      </c>
      <c r="F10" s="3">
        <v>6.0219502142014901E-2</v>
      </c>
      <c r="G10" s="3">
        <v>4.9396523430268902E-2</v>
      </c>
      <c r="H10" s="3">
        <v>2.11613537572472E-2</v>
      </c>
      <c r="I10" s="3">
        <v>1.86326031910449E-2</v>
      </c>
      <c r="J10" s="3">
        <v>0.76337965235616301</v>
      </c>
      <c r="K10" s="3">
        <v>3.2662863818292399E-2</v>
      </c>
      <c r="L10" s="3">
        <v>19.537962157881299</v>
      </c>
      <c r="M10" s="3">
        <v>5.5501925171908404</v>
      </c>
      <c r="N10" s="3">
        <v>74.911845324927896</v>
      </c>
      <c r="O10" s="3">
        <v>33.573063315869199</v>
      </c>
      <c r="P10" s="3">
        <v>47.743112674918798</v>
      </c>
      <c r="Q10" s="3">
        <v>18.6838240092119</v>
      </c>
      <c r="R10" s="3">
        <v>0</v>
      </c>
      <c r="S10" s="3">
        <v>47.743112674918798</v>
      </c>
      <c r="T10" s="3">
        <v>0.82352304606348103</v>
      </c>
      <c r="U10" s="3">
        <v>-12.1357095984553</v>
      </c>
      <c r="V10" s="3">
        <v>610.18664346772402</v>
      </c>
      <c r="W10" s="3">
        <v>99.794974294620005</v>
      </c>
      <c r="X10" s="3">
        <v>42.284349929226202</v>
      </c>
      <c r="Y10" s="3">
        <v>61.607394986336203</v>
      </c>
      <c r="Z10" s="3">
        <v>56.951772567248</v>
      </c>
      <c r="AA10" s="3">
        <v>3.83527945019312</v>
      </c>
      <c r="AB10" s="3">
        <v>761.17358108444796</v>
      </c>
      <c r="AC10" s="3">
        <v>25.1543216063396</v>
      </c>
      <c r="AD10" s="3">
        <v>0</v>
      </c>
      <c r="AE10" s="3">
        <v>171.46038315132901</v>
      </c>
      <c r="AF10" s="3">
        <v>112.081856425354</v>
      </c>
      <c r="AG10" s="3">
        <v>30.864216657293099</v>
      </c>
      <c r="AH10" s="3">
        <v>-0.113599694431735</v>
      </c>
      <c r="AI10" s="3">
        <v>19368821291.700001</v>
      </c>
      <c r="AJ10" s="3">
        <v>7.7014935830769404E-2</v>
      </c>
      <c r="AK10" s="3">
        <v>47318</v>
      </c>
      <c r="AL10" s="3">
        <f t="shared" si="0"/>
        <v>0.93197327440741362</v>
      </c>
      <c r="AM10" s="4">
        <f t="shared" si="1"/>
        <v>0.8525701327347236</v>
      </c>
      <c r="AN10" s="4">
        <f t="shared" si="2"/>
        <v>0.96767815659301681</v>
      </c>
    </row>
    <row r="11" spans="1:40" x14ac:dyDescent="0.25">
      <c r="A11" s="3">
        <v>10</v>
      </c>
      <c r="B11" s="3">
        <v>110</v>
      </c>
      <c r="C11" s="3">
        <v>-200</v>
      </c>
      <c r="D11" s="3">
        <v>0</v>
      </c>
      <c r="E11" s="3">
        <v>0.54662159786949704</v>
      </c>
      <c r="F11" s="3">
        <v>0.54662159786949704</v>
      </c>
      <c r="G11" s="3">
        <v>4.63679339383231E-2</v>
      </c>
      <c r="H11" s="3">
        <v>7.0095480037455603E-3</v>
      </c>
      <c r="I11" s="3">
        <v>2.1767076002008798E-3</v>
      </c>
      <c r="J11" s="3">
        <v>0.491062550943694</v>
      </c>
      <c r="K11" s="4">
        <v>4.8573835333944901E-6</v>
      </c>
      <c r="L11" s="3">
        <v>0</v>
      </c>
      <c r="M11" s="3">
        <v>0</v>
      </c>
      <c r="N11" s="3">
        <v>100</v>
      </c>
      <c r="O11" s="3">
        <v>100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-207.20459285984401</v>
      </c>
      <c r="V11" s="3">
        <v>0</v>
      </c>
      <c r="W11" s="3">
        <v>100</v>
      </c>
      <c r="X11" s="3">
        <v>69.034099070848399</v>
      </c>
      <c r="Y11" s="3">
        <v>93.667049464276602</v>
      </c>
      <c r="Z11" s="3">
        <v>49.998468904423603</v>
      </c>
      <c r="AA11" s="3">
        <v>2.5</v>
      </c>
      <c r="AB11" s="3">
        <v>647</v>
      </c>
      <c r="AC11" s="3">
        <v>0</v>
      </c>
      <c r="AD11" s="3">
        <v>0</v>
      </c>
      <c r="AE11" s="3">
        <v>168.031419440147</v>
      </c>
      <c r="AF11" s="3">
        <v>111.599770264516</v>
      </c>
      <c r="AG11" s="3">
        <v>24.7665912739647</v>
      </c>
      <c r="AH11" s="3">
        <v>-110.7</v>
      </c>
      <c r="AI11" s="3">
        <v>281105.90000000002</v>
      </c>
      <c r="AJ11" s="3">
        <v>0</v>
      </c>
      <c r="AK11" s="3">
        <v>3</v>
      </c>
      <c r="AL11" s="3">
        <f t="shared" si="0"/>
        <v>0</v>
      </c>
      <c r="AM11" s="4">
        <f t="shared" si="1"/>
        <v>0.54661674048596365</v>
      </c>
      <c r="AN11" s="4">
        <f t="shared" si="2"/>
        <v>0</v>
      </c>
    </row>
    <row r="12" spans="1:40" x14ac:dyDescent="0.25">
      <c r="A12" s="3">
        <v>11</v>
      </c>
      <c r="B12" s="3">
        <v>110</v>
      </c>
      <c r="C12" s="3">
        <v>-175</v>
      </c>
      <c r="D12" s="3">
        <v>0</v>
      </c>
      <c r="E12" s="3">
        <v>0.60751485645309</v>
      </c>
      <c r="F12" s="3">
        <v>0.60751485645309</v>
      </c>
      <c r="G12" s="3">
        <v>4.8825977875538502E-2</v>
      </c>
      <c r="H12" s="3">
        <v>7.0621007871939402E-3</v>
      </c>
      <c r="I12" s="3">
        <v>3.6704158550267701E-3</v>
      </c>
      <c r="J12" s="3">
        <v>0.54795160426586298</v>
      </c>
      <c r="K12" s="4">
        <v>4.7576694677021104E-6</v>
      </c>
      <c r="L12" s="3">
        <v>17.796536668190399</v>
      </c>
      <c r="M12" s="3">
        <v>0</v>
      </c>
      <c r="N12" s="3">
        <v>82.203463331809601</v>
      </c>
      <c r="O12" s="3">
        <v>82.203463331809601</v>
      </c>
      <c r="P12" s="3">
        <v>17.796536668190399</v>
      </c>
      <c r="Q12" s="3">
        <v>0</v>
      </c>
      <c r="R12" s="3">
        <v>0</v>
      </c>
      <c r="S12" s="3">
        <v>17.796536668190399</v>
      </c>
      <c r="T12" s="3">
        <v>5.3389610004571098E-2</v>
      </c>
      <c r="U12" s="3">
        <v>-187.85595102234799</v>
      </c>
      <c r="V12" s="3">
        <v>0</v>
      </c>
      <c r="W12" s="3">
        <v>100</v>
      </c>
      <c r="X12" s="3">
        <v>63.328055328524499</v>
      </c>
      <c r="Y12" s="3">
        <v>90.624981691238403</v>
      </c>
      <c r="Z12" s="3">
        <v>55.701480454207697</v>
      </c>
      <c r="AA12" s="3">
        <v>2.5533896100045701</v>
      </c>
      <c r="AB12" s="3">
        <v>662.48298690132594</v>
      </c>
      <c r="AC12" s="3">
        <v>0</v>
      </c>
      <c r="AD12" s="3">
        <v>0</v>
      </c>
      <c r="AE12" s="3">
        <v>172.987487515748</v>
      </c>
      <c r="AF12" s="3">
        <v>112.11597718783599</v>
      </c>
      <c r="AG12" s="3">
        <v>25.3284846496245</v>
      </c>
      <c r="AH12" s="3">
        <v>-106.944930763012</v>
      </c>
      <c r="AI12" s="3">
        <v>451969.4</v>
      </c>
      <c r="AJ12" s="3">
        <v>0</v>
      </c>
      <c r="AK12" s="3">
        <v>5</v>
      </c>
      <c r="AL12" s="3">
        <f t="shared" si="0"/>
        <v>0</v>
      </c>
      <c r="AM12" s="4">
        <f t="shared" si="1"/>
        <v>0.60751009878362228</v>
      </c>
      <c r="AN12" s="4">
        <f t="shared" si="2"/>
        <v>0</v>
      </c>
    </row>
    <row r="13" spans="1:40" x14ac:dyDescent="0.25">
      <c r="A13" s="3">
        <v>12</v>
      </c>
      <c r="B13" s="3">
        <v>110</v>
      </c>
      <c r="C13" s="3">
        <v>-150</v>
      </c>
      <c r="D13" s="3">
        <v>0.80176924152882501</v>
      </c>
      <c r="E13" s="3">
        <v>0.56430081483251304</v>
      </c>
      <c r="F13" s="3">
        <v>-0.23746842669631199</v>
      </c>
      <c r="G13" s="3">
        <v>4.8826038693448502E-2</v>
      </c>
      <c r="H13" s="3">
        <v>5.90533291641125E-3</v>
      </c>
      <c r="I13" s="3">
        <v>3.6613384671602702E-3</v>
      </c>
      <c r="J13" s="3">
        <v>0.50590347371477395</v>
      </c>
      <c r="K13" s="4">
        <v>4.6310407197566996E-6</v>
      </c>
      <c r="L13" s="3">
        <v>57.830990067897297</v>
      </c>
      <c r="M13" s="3">
        <v>0</v>
      </c>
      <c r="N13" s="3">
        <v>42.169009932102703</v>
      </c>
      <c r="O13" s="3">
        <v>49.010422149699998</v>
      </c>
      <c r="P13" s="3">
        <v>41.707540237676703</v>
      </c>
      <c r="Q13" s="3">
        <v>9.2820376126232897</v>
      </c>
      <c r="R13" s="3">
        <v>0</v>
      </c>
      <c r="S13" s="3">
        <v>41.707540237676703</v>
      </c>
      <c r="T13" s="3">
        <v>8.9880487320662297E-2</v>
      </c>
      <c r="U13" s="3">
        <v>-159.03651918454599</v>
      </c>
      <c r="V13" s="3">
        <v>0</v>
      </c>
      <c r="W13" s="3">
        <v>100</v>
      </c>
      <c r="X13" s="3">
        <v>60.509717753423899</v>
      </c>
      <c r="Y13" s="3">
        <v>87.122493776337507</v>
      </c>
      <c r="Z13" s="3">
        <v>55.643546372113697</v>
      </c>
      <c r="AA13" s="3">
        <v>2.8455322114736199</v>
      </c>
      <c r="AB13" s="3">
        <v>723.18690189669303</v>
      </c>
      <c r="AC13" s="3">
        <v>5.8011329727239298</v>
      </c>
      <c r="AD13" s="3">
        <v>0</v>
      </c>
      <c r="AE13" s="3">
        <v>172.85268779200601</v>
      </c>
      <c r="AF13" s="3">
        <v>112.034770238642</v>
      </c>
      <c r="AG13" s="3">
        <v>26.372850506749501</v>
      </c>
      <c r="AH13" s="3">
        <v>-82.086953698355401</v>
      </c>
      <c r="AI13" s="3">
        <v>3028281.2</v>
      </c>
      <c r="AJ13" s="3">
        <v>3.2879311436662097E-2</v>
      </c>
      <c r="AK13" s="3">
        <v>34</v>
      </c>
      <c r="AL13" s="3">
        <f t="shared" si="0"/>
        <v>1.4208188619518363</v>
      </c>
      <c r="AM13" s="4">
        <f t="shared" si="1"/>
        <v>0.56429618379179325</v>
      </c>
      <c r="AN13" s="4">
        <f t="shared" si="2"/>
        <v>1.4208305222646189</v>
      </c>
    </row>
    <row r="14" spans="1:40" x14ac:dyDescent="0.25">
      <c r="A14" s="3">
        <v>13</v>
      </c>
      <c r="B14" s="3">
        <v>110</v>
      </c>
      <c r="C14" s="3">
        <v>-125</v>
      </c>
      <c r="D14" s="3">
        <v>0.25237078541822899</v>
      </c>
      <c r="E14" s="3">
        <v>0.5682816692564</v>
      </c>
      <c r="F14" s="3">
        <v>0.31591088383817101</v>
      </c>
      <c r="G14" s="3">
        <v>4.8616782253292599E-2</v>
      </c>
      <c r="H14" s="3">
        <v>1.23485300185101E-2</v>
      </c>
      <c r="I14" s="3">
        <v>2.0252058261116899E-3</v>
      </c>
      <c r="J14" s="3">
        <v>0.50528666966604596</v>
      </c>
      <c r="K14" s="4">
        <v>4.4814924388677803E-6</v>
      </c>
      <c r="L14" s="3">
        <v>84.008434706145593</v>
      </c>
      <c r="M14" s="3">
        <v>0</v>
      </c>
      <c r="N14" s="3">
        <v>15.9915652938544</v>
      </c>
      <c r="O14" s="3">
        <v>33.6009496469647</v>
      </c>
      <c r="P14" s="3">
        <v>48.787248476217201</v>
      </c>
      <c r="Q14" s="3">
        <v>17.611801876818198</v>
      </c>
      <c r="R14" s="3">
        <v>0</v>
      </c>
      <c r="S14" s="3">
        <v>48.787248476217201</v>
      </c>
      <c r="T14" s="3">
        <v>0.45294671009222698</v>
      </c>
      <c r="U14" s="3">
        <v>-132.54226861597999</v>
      </c>
      <c r="V14" s="3">
        <v>0</v>
      </c>
      <c r="W14" s="3">
        <v>100</v>
      </c>
      <c r="X14" s="3">
        <v>49.018061667763597</v>
      </c>
      <c r="Y14" s="3">
        <v>86.123752790886002</v>
      </c>
      <c r="Z14" s="3">
        <v>55.2046453354642</v>
      </c>
      <c r="AA14" s="3">
        <v>3.1780868009415202</v>
      </c>
      <c r="AB14" s="3">
        <v>770.84983199836904</v>
      </c>
      <c r="AC14" s="3">
        <v>23.083586315136301</v>
      </c>
      <c r="AD14" s="3">
        <v>0</v>
      </c>
      <c r="AE14" s="3">
        <v>173.10434369219101</v>
      </c>
      <c r="AF14" s="3">
        <v>111.964832762949</v>
      </c>
      <c r="AG14" s="3">
        <v>24.1604648980835</v>
      </c>
      <c r="AH14" s="3">
        <v>-44.472551593368202</v>
      </c>
      <c r="AI14" s="3">
        <v>39035811.600000001</v>
      </c>
      <c r="AJ14" s="3">
        <v>2.9490900091469201E-2</v>
      </c>
      <c r="AK14" s="3">
        <v>289</v>
      </c>
      <c r="AL14" s="3">
        <f t="shared" si="0"/>
        <v>0.44409453809843574</v>
      </c>
      <c r="AM14" s="4">
        <f t="shared" si="1"/>
        <v>0.56827718776396119</v>
      </c>
      <c r="AN14" s="4">
        <f t="shared" si="2"/>
        <v>0.44409804027370769</v>
      </c>
    </row>
    <row r="15" spans="1:40" x14ac:dyDescent="0.25">
      <c r="A15" s="3">
        <v>14</v>
      </c>
      <c r="B15" s="3">
        <v>110</v>
      </c>
      <c r="C15" s="3">
        <v>-100</v>
      </c>
      <c r="D15" s="3">
        <v>0.78584576868868605</v>
      </c>
      <c r="E15" s="3">
        <v>0.61087705296824102</v>
      </c>
      <c r="F15" s="3">
        <v>-0.17496871572044501</v>
      </c>
      <c r="G15" s="3">
        <v>4.8309876020482402E-2</v>
      </c>
      <c r="H15" s="3">
        <v>1.0654983856745201E-2</v>
      </c>
      <c r="I15" s="3">
        <v>3.2989857172300401E-3</v>
      </c>
      <c r="J15" s="3">
        <v>0.54860872863697696</v>
      </c>
      <c r="K15" s="4">
        <v>4.4787368060152804E-6</v>
      </c>
      <c r="L15" s="3">
        <v>74.356331581869199</v>
      </c>
      <c r="M15" s="3">
        <v>0.85800957763434604</v>
      </c>
      <c r="N15" s="3">
        <v>24.785658840496499</v>
      </c>
      <c r="O15" s="3">
        <v>31.856813095054399</v>
      </c>
      <c r="P15" s="3">
        <v>49.924814966646998</v>
      </c>
      <c r="Q15" s="3">
        <v>18.218371938298599</v>
      </c>
      <c r="R15" s="3">
        <v>0</v>
      </c>
      <c r="S15" s="3">
        <v>49.924814966646998</v>
      </c>
      <c r="T15" s="3">
        <v>0.40320447740593301</v>
      </c>
      <c r="U15" s="3">
        <v>-109.10618208425799</v>
      </c>
      <c r="V15" s="3">
        <v>9.87795815265698E-3</v>
      </c>
      <c r="W15" s="3">
        <v>100</v>
      </c>
      <c r="X15" s="3">
        <v>46.855817068907903</v>
      </c>
      <c r="Y15" s="3">
        <v>86.6548829896022</v>
      </c>
      <c r="Z15" s="3">
        <v>54.477160914831501</v>
      </c>
      <c r="AA15" s="3">
        <v>3.2885903486232602</v>
      </c>
      <c r="AB15" s="3">
        <v>769.82801561745498</v>
      </c>
      <c r="AC15" s="3">
        <v>18.099820478759298</v>
      </c>
      <c r="AD15" s="3">
        <v>0</v>
      </c>
      <c r="AE15" s="3">
        <v>172.17428033824501</v>
      </c>
      <c r="AF15" s="3">
        <v>111.967523211451</v>
      </c>
      <c r="AG15" s="3">
        <v>25.323958848695099</v>
      </c>
      <c r="AH15" s="3">
        <v>-33.5706215673491</v>
      </c>
      <c r="AI15" s="3">
        <v>392191752.60000002</v>
      </c>
      <c r="AJ15" s="3">
        <v>8.2967304490871599E-2</v>
      </c>
      <c r="AK15" s="3">
        <v>1627</v>
      </c>
      <c r="AL15" s="3">
        <f t="shared" si="0"/>
        <v>1.2864221448002917</v>
      </c>
      <c r="AM15" s="4">
        <f t="shared" si="1"/>
        <v>0.61087257423143504</v>
      </c>
      <c r="AN15" s="4">
        <f t="shared" si="2"/>
        <v>1.2864315764664869</v>
      </c>
    </row>
    <row r="16" spans="1:40" x14ac:dyDescent="0.25">
      <c r="A16" s="3">
        <v>15</v>
      </c>
      <c r="B16" s="3">
        <v>110</v>
      </c>
      <c r="C16" s="3">
        <v>-75</v>
      </c>
      <c r="D16" s="3">
        <v>0.66247028344860104</v>
      </c>
      <c r="E16" s="3">
        <v>0.65405354560285001</v>
      </c>
      <c r="F16" s="3">
        <v>-8.4167378457509403E-3</v>
      </c>
      <c r="G16" s="3">
        <v>4.8263871639751002E-2</v>
      </c>
      <c r="H16" s="3">
        <v>1.3406272639541099E-2</v>
      </c>
      <c r="I16" s="3">
        <v>5.3808960518525496E-3</v>
      </c>
      <c r="J16" s="3">
        <v>0.586997989419213</v>
      </c>
      <c r="K16" s="4">
        <v>4.5158524917522203E-6</v>
      </c>
      <c r="L16" s="3">
        <v>50.099919860744102</v>
      </c>
      <c r="M16" s="3">
        <v>3.0672600061806499</v>
      </c>
      <c r="N16" s="3">
        <v>46.832820133075302</v>
      </c>
      <c r="O16" s="3">
        <v>37.184844854034303</v>
      </c>
      <c r="P16" s="3">
        <v>45.263147563231101</v>
      </c>
      <c r="Q16" s="3">
        <v>17.552007582734699</v>
      </c>
      <c r="R16" s="3">
        <v>0</v>
      </c>
      <c r="S16" s="3">
        <v>45.263147563231101</v>
      </c>
      <c r="T16" s="3">
        <v>0.51905823419326003</v>
      </c>
      <c r="U16" s="3">
        <v>-84.552756442767304</v>
      </c>
      <c r="V16" s="3">
        <v>0.83255626185293596</v>
      </c>
      <c r="W16" s="3">
        <v>99.901808393574896</v>
      </c>
      <c r="X16" s="3">
        <v>46.001376737472498</v>
      </c>
      <c r="Y16" s="3">
        <v>87.232573069225296</v>
      </c>
      <c r="Z16" s="3">
        <v>54.364122242127998</v>
      </c>
      <c r="AA16" s="3">
        <v>3.3796586685926902</v>
      </c>
      <c r="AB16" s="3">
        <v>769.55341853910704</v>
      </c>
      <c r="AC16" s="3">
        <v>13.6194261854166</v>
      </c>
      <c r="AD16" s="3">
        <v>0</v>
      </c>
      <c r="AE16" s="3">
        <v>172.09760711766</v>
      </c>
      <c r="AF16" s="3">
        <v>111.993728340388</v>
      </c>
      <c r="AG16" s="3">
        <v>26.308694989560301</v>
      </c>
      <c r="AH16" s="3">
        <v>-25.296779895890101</v>
      </c>
      <c r="AI16" s="3">
        <v>2144100766.4000001</v>
      </c>
      <c r="AJ16" s="3">
        <v>6.21342916391429E-2</v>
      </c>
      <c r="AK16" s="3">
        <v>4854</v>
      </c>
      <c r="AL16" s="3">
        <f t="shared" si="0"/>
        <v>1.0128685761316272</v>
      </c>
      <c r="AM16" s="4">
        <f t="shared" si="1"/>
        <v>0.65404902975035828</v>
      </c>
      <c r="AN16" s="4">
        <f t="shared" si="2"/>
        <v>1.0128755694377485</v>
      </c>
    </row>
    <row r="17" spans="1:40" x14ac:dyDescent="0.25">
      <c r="A17" s="3">
        <v>16</v>
      </c>
      <c r="B17" s="3">
        <v>110</v>
      </c>
      <c r="C17" s="3">
        <v>-50</v>
      </c>
      <c r="D17" s="3">
        <v>0.75228684371599297</v>
      </c>
      <c r="E17" s="3">
        <v>0.70693274533572803</v>
      </c>
      <c r="F17" s="3">
        <v>-4.53540983802651E-2</v>
      </c>
      <c r="G17" s="3">
        <v>4.8397546119878398E-2</v>
      </c>
      <c r="H17" s="3">
        <v>1.40277833007186E-2</v>
      </c>
      <c r="I17" s="3">
        <v>7.9081275473132893E-3</v>
      </c>
      <c r="J17" s="3">
        <v>0.63571574923101104</v>
      </c>
      <c r="K17" s="3">
        <v>8.8353913680675996E-4</v>
      </c>
      <c r="L17" s="3">
        <v>24.271223211564902</v>
      </c>
      <c r="M17" s="3">
        <v>5.0317585835275702</v>
      </c>
      <c r="N17" s="3">
        <v>70.697018204907494</v>
      </c>
      <c r="O17" s="3">
        <v>37.724202104370001</v>
      </c>
      <c r="P17" s="3">
        <v>43.701056468377601</v>
      </c>
      <c r="Q17" s="3">
        <v>18.574741427252501</v>
      </c>
      <c r="R17" s="3">
        <v>0</v>
      </c>
      <c r="S17" s="3">
        <v>43.701056468377601</v>
      </c>
      <c r="T17" s="3">
        <v>0.547832425429846</v>
      </c>
      <c r="U17" s="3">
        <v>-60.1556907330163</v>
      </c>
      <c r="V17" s="3">
        <v>41.256642017556899</v>
      </c>
      <c r="W17" s="3">
        <v>99.927709154440194</v>
      </c>
      <c r="X17" s="3">
        <v>44.833359632758601</v>
      </c>
      <c r="Y17" s="3">
        <v>87.415256723000198</v>
      </c>
      <c r="Z17" s="3">
        <v>54.662122126218698</v>
      </c>
      <c r="AA17" s="3">
        <v>3.4650275317393202</v>
      </c>
      <c r="AB17" s="3">
        <v>769.27379372492396</v>
      </c>
      <c r="AC17" s="3">
        <v>12.448164205975001</v>
      </c>
      <c r="AD17" s="3">
        <v>0</v>
      </c>
      <c r="AE17" s="3">
        <v>172.160964012515</v>
      </c>
      <c r="AF17" s="3">
        <v>112.028626588012</v>
      </c>
      <c r="AG17" s="3">
        <v>26.9397130774604</v>
      </c>
      <c r="AH17" s="3">
        <v>-19.7921897571511</v>
      </c>
      <c r="AI17" s="3">
        <v>9870188707.5</v>
      </c>
      <c r="AJ17" s="3">
        <v>7.7739479153446603E-2</v>
      </c>
      <c r="AK17" s="3">
        <v>13617</v>
      </c>
      <c r="AL17" s="3">
        <f t="shared" si="0"/>
        <v>1.0641561714031593</v>
      </c>
      <c r="AM17" s="4">
        <f t="shared" si="1"/>
        <v>0.70604920619892131</v>
      </c>
      <c r="AN17" s="4">
        <f t="shared" si="2"/>
        <v>1.0654878400982788</v>
      </c>
    </row>
    <row r="18" spans="1:40" x14ac:dyDescent="0.25">
      <c r="A18" s="3">
        <v>17</v>
      </c>
      <c r="B18" s="3">
        <v>110</v>
      </c>
      <c r="C18" s="3">
        <v>-25</v>
      </c>
      <c r="D18" s="3">
        <v>0.78261800693864103</v>
      </c>
      <c r="E18" s="3">
        <v>0.81756249570324802</v>
      </c>
      <c r="F18" s="3">
        <v>3.4944488764607498E-2</v>
      </c>
      <c r="G18" s="3">
        <v>4.8759090203787298E-2</v>
      </c>
      <c r="H18" s="3">
        <v>1.5075264477738199E-2</v>
      </c>
      <c r="I18" s="3">
        <v>1.23378254253559E-2</v>
      </c>
      <c r="J18" s="3">
        <v>0.71803989792676703</v>
      </c>
      <c r="K18" s="3">
        <v>2.3350417669599902E-2</v>
      </c>
      <c r="L18" s="3">
        <v>16.4140791946175</v>
      </c>
      <c r="M18" s="3">
        <v>5.6362434331480404</v>
      </c>
      <c r="N18" s="3">
        <v>77.949677372234504</v>
      </c>
      <c r="O18" s="3">
        <v>34.871236644142598</v>
      </c>
      <c r="P18" s="3">
        <v>45.935205718038901</v>
      </c>
      <c r="Q18" s="3">
        <v>19.1935576378185</v>
      </c>
      <c r="R18" s="3">
        <v>0</v>
      </c>
      <c r="S18" s="3">
        <v>45.935205718038901</v>
      </c>
      <c r="T18" s="3">
        <v>0.58927658061055199</v>
      </c>
      <c r="U18" s="3">
        <v>-36.4652222331407</v>
      </c>
      <c r="V18" s="3">
        <v>175.51275420194801</v>
      </c>
      <c r="W18" s="3">
        <v>99.905811539072602</v>
      </c>
      <c r="X18" s="3">
        <v>44.2140359672401</v>
      </c>
      <c r="Y18" s="3">
        <v>87.421912950948297</v>
      </c>
      <c r="Z18" s="3">
        <v>55.482296574056797</v>
      </c>
      <c r="AA18" s="3">
        <v>3.5988545327174002</v>
      </c>
      <c r="AB18" s="3">
        <v>766.56300111844996</v>
      </c>
      <c r="AC18" s="3">
        <v>17.120929045888399</v>
      </c>
      <c r="AD18" s="3">
        <v>0</v>
      </c>
      <c r="AE18" s="3">
        <v>172.76898784933601</v>
      </c>
      <c r="AF18" s="3">
        <v>112.171340821207</v>
      </c>
      <c r="AG18" s="3">
        <v>29.3616042501679</v>
      </c>
      <c r="AH18" s="3">
        <v>-11.4745296255255</v>
      </c>
      <c r="AI18" s="3">
        <v>22538638913.799999</v>
      </c>
      <c r="AJ18" s="3">
        <v>7.1546798836378905E-2</v>
      </c>
      <c r="AK18" s="3">
        <v>29256</v>
      </c>
      <c r="AL18" s="3">
        <f t="shared" si="0"/>
        <v>0.95725771552846417</v>
      </c>
      <c r="AM18" s="4">
        <f t="shared" si="1"/>
        <v>0.79421207803364813</v>
      </c>
      <c r="AN18" s="4">
        <f t="shared" si="2"/>
        <v>0.98540179453866739</v>
      </c>
    </row>
    <row r="19" spans="1:40" x14ac:dyDescent="0.25">
      <c r="A19" s="3">
        <v>18</v>
      </c>
      <c r="B19" s="3">
        <v>110</v>
      </c>
      <c r="C19" s="3">
        <v>0</v>
      </c>
      <c r="D19" s="3">
        <v>0.87178372600314402</v>
      </c>
      <c r="E19" s="3">
        <v>0.87260569619431205</v>
      </c>
      <c r="F19" s="3">
        <v>8.2197019116767001E-4</v>
      </c>
      <c r="G19" s="3">
        <v>4.9485138661931202E-2</v>
      </c>
      <c r="H19" s="3">
        <v>1.8353331630171801E-2</v>
      </c>
      <c r="I19" s="3">
        <v>1.7867731545774E-2</v>
      </c>
      <c r="J19" s="3">
        <v>0.72897903123218399</v>
      </c>
      <c r="K19" s="3">
        <v>5.79204631242509E-2</v>
      </c>
      <c r="L19" s="3">
        <v>14.031786508676401</v>
      </c>
      <c r="M19" s="3">
        <v>5.3741273248709902</v>
      </c>
      <c r="N19" s="3">
        <v>80.594086166452598</v>
      </c>
      <c r="O19" s="3">
        <v>30.310516154201601</v>
      </c>
      <c r="P19" s="3">
        <v>50.068340196433503</v>
      </c>
      <c r="Q19" s="3">
        <v>19.621143649364999</v>
      </c>
      <c r="R19" s="3">
        <v>0</v>
      </c>
      <c r="S19" s="3">
        <v>50.068340196433503</v>
      </c>
      <c r="T19" s="3">
        <v>0.69829929431724702</v>
      </c>
      <c r="U19" s="3">
        <v>-12.2492577828243</v>
      </c>
      <c r="V19" s="3">
        <v>596.17134452390201</v>
      </c>
      <c r="W19" s="3">
        <v>99.890882334087394</v>
      </c>
      <c r="X19" s="3">
        <v>44.065789424612802</v>
      </c>
      <c r="Y19" s="3">
        <v>87.419636873428502</v>
      </c>
      <c r="Z19" s="3">
        <v>57.157106567868198</v>
      </c>
      <c r="AA19" s="3">
        <v>3.80225867842119</v>
      </c>
      <c r="AB19" s="3">
        <v>763.30561969628695</v>
      </c>
      <c r="AC19" s="3">
        <v>22.503760811551299</v>
      </c>
      <c r="AD19" s="3">
        <v>0</v>
      </c>
      <c r="AE19" s="3">
        <v>171.33504213793299</v>
      </c>
      <c r="AF19" s="3">
        <v>112.075980099201</v>
      </c>
      <c r="AG19" s="3">
        <v>31.050414920165501</v>
      </c>
      <c r="AH19" s="3">
        <v>-4.5167651412732299</v>
      </c>
      <c r="AI19" s="3">
        <v>32534589612.5</v>
      </c>
      <c r="AJ19" s="3">
        <v>7.9223993878710805E-2</v>
      </c>
      <c r="AK19" s="3">
        <v>49889</v>
      </c>
      <c r="AL19" s="3">
        <f t="shared" si="0"/>
        <v>0.99905802793317433</v>
      </c>
      <c r="AM19" s="4">
        <f t="shared" si="1"/>
        <v>0.81468523307006113</v>
      </c>
      <c r="AN19" s="4">
        <f t="shared" si="2"/>
        <v>1.0700865691623167</v>
      </c>
    </row>
    <row r="20" spans="1:40" x14ac:dyDescent="0.25">
      <c r="A20" s="3">
        <v>19</v>
      </c>
      <c r="B20" s="3">
        <v>150</v>
      </c>
      <c r="C20" s="3">
        <v>-200</v>
      </c>
      <c r="D20" s="3">
        <v>0</v>
      </c>
      <c r="E20" s="3">
        <v>0.44493080674499402</v>
      </c>
      <c r="F20" s="3">
        <v>0.44493080674499402</v>
      </c>
      <c r="G20" s="3">
        <v>5.2374562962963001E-2</v>
      </c>
      <c r="H20" s="3">
        <v>6.6130836168570297E-4</v>
      </c>
      <c r="I20" s="4">
        <v>2.3678062319048701E-5</v>
      </c>
      <c r="J20" s="3">
        <v>0.391866619227694</v>
      </c>
      <c r="K20" s="4">
        <v>4.6381303316231602E-6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0</v>
      </c>
      <c r="U20" s="3">
        <v>-202.1</v>
      </c>
      <c r="V20" s="3">
        <v>0</v>
      </c>
      <c r="W20" s="3">
        <v>100</v>
      </c>
      <c r="X20" s="3">
        <v>41.5</v>
      </c>
      <c r="Y20" s="3">
        <v>128.80000000000001</v>
      </c>
      <c r="Z20" s="3">
        <v>64</v>
      </c>
      <c r="AA20" s="3">
        <v>2.6</v>
      </c>
      <c r="AB20" s="3">
        <v>778</v>
      </c>
      <c r="AC20" s="3">
        <v>100</v>
      </c>
      <c r="AD20" s="3">
        <v>0</v>
      </c>
      <c r="AE20" s="3">
        <v>179.2</v>
      </c>
      <c r="AF20" s="3">
        <v>112.2</v>
      </c>
      <c r="AG20" s="3">
        <v>20.9</v>
      </c>
      <c r="AH20" s="3">
        <v>-107</v>
      </c>
      <c r="AI20" s="3">
        <v>128882.9</v>
      </c>
      <c r="AJ20" s="3" t="s">
        <v>36</v>
      </c>
      <c r="AK20" s="3">
        <v>1</v>
      </c>
      <c r="AL20" s="3">
        <f t="shared" si="0"/>
        <v>0</v>
      </c>
      <c r="AM20" s="4">
        <f t="shared" si="1"/>
        <v>0.44492616861466239</v>
      </c>
      <c r="AN20" s="4">
        <f t="shared" si="2"/>
        <v>0</v>
      </c>
    </row>
    <row r="21" spans="1:40" x14ac:dyDescent="0.25">
      <c r="A21" s="3">
        <v>20</v>
      </c>
      <c r="B21" s="3">
        <v>150</v>
      </c>
      <c r="C21" s="3">
        <v>-175</v>
      </c>
      <c r="D21" s="3">
        <v>3.0158558698900298E-3</v>
      </c>
      <c r="E21" s="3">
        <v>0.46477144983646501</v>
      </c>
      <c r="F21" s="3">
        <v>0.46175559396657501</v>
      </c>
      <c r="G21" s="3">
        <v>4.8630407047420797E-2</v>
      </c>
      <c r="H21" s="3">
        <v>1.7276102316230899E-3</v>
      </c>
      <c r="I21" s="3">
        <v>3.5750043534567597E-4</v>
      </c>
      <c r="J21" s="3">
        <v>0.41405138067298197</v>
      </c>
      <c r="K21" s="4">
        <v>4.5514490932628202E-6</v>
      </c>
      <c r="L21" s="3">
        <v>88.576303523143807</v>
      </c>
      <c r="M21" s="3">
        <v>0</v>
      </c>
      <c r="N21" s="3">
        <v>11.4236964768562</v>
      </c>
      <c r="O21" s="3">
        <v>11.4236964768562</v>
      </c>
      <c r="P21" s="3">
        <v>88.576303523143807</v>
      </c>
      <c r="Q21" s="3">
        <v>0</v>
      </c>
      <c r="R21" s="3">
        <v>0</v>
      </c>
      <c r="S21" s="3">
        <v>88.576303523143807</v>
      </c>
      <c r="T21" s="3">
        <v>2.64679679540081E-2</v>
      </c>
      <c r="U21" s="3">
        <v>-186.03614616698599</v>
      </c>
      <c r="V21" s="3">
        <v>0</v>
      </c>
      <c r="W21" s="3">
        <v>100</v>
      </c>
      <c r="X21" s="3">
        <v>48.6466334602164</v>
      </c>
      <c r="Y21" s="3">
        <v>129.30280914065699</v>
      </c>
      <c r="Z21" s="3">
        <v>55.1954912753624</v>
      </c>
      <c r="AA21" s="3">
        <v>2.6062216154924802</v>
      </c>
      <c r="AB21" s="3">
        <v>771.394646733586</v>
      </c>
      <c r="AC21" s="3">
        <v>79.753647538474496</v>
      </c>
      <c r="AD21" s="3">
        <v>0</v>
      </c>
      <c r="AE21" s="3">
        <v>171.86805111117599</v>
      </c>
      <c r="AF21" s="3">
        <v>111.958665939696</v>
      </c>
      <c r="AG21" s="3">
        <v>25.509406906328</v>
      </c>
      <c r="AH21" s="3">
        <v>-106.862025066144</v>
      </c>
      <c r="AI21" s="3">
        <v>1158048.1000000001</v>
      </c>
      <c r="AJ21" s="4">
        <v>8.7999999999999998E-5</v>
      </c>
      <c r="AK21" s="3">
        <v>9</v>
      </c>
      <c r="AL21" s="3">
        <f t="shared" si="0"/>
        <v>6.4889008801018054E-3</v>
      </c>
      <c r="AM21" s="4">
        <f t="shared" si="1"/>
        <v>0.46476689838737173</v>
      </c>
      <c r="AN21" s="4">
        <f t="shared" si="2"/>
        <v>6.4889644257246316E-3</v>
      </c>
    </row>
    <row r="22" spans="1:40" x14ac:dyDescent="0.25">
      <c r="A22" s="3">
        <v>21</v>
      </c>
      <c r="B22" s="3">
        <v>150</v>
      </c>
      <c r="C22" s="3">
        <v>-150</v>
      </c>
      <c r="D22" s="3">
        <v>1.4011899431400699E-2</v>
      </c>
      <c r="E22" s="3">
        <v>0.53096772836044204</v>
      </c>
      <c r="F22" s="3">
        <v>0.51695582892904102</v>
      </c>
      <c r="G22" s="3">
        <v>4.8585020112481198E-2</v>
      </c>
      <c r="H22" s="3">
        <v>7.0348562869350598E-3</v>
      </c>
      <c r="I22" s="3">
        <v>6.5110316740395304E-3</v>
      </c>
      <c r="J22" s="3">
        <v>0.468831565497842</v>
      </c>
      <c r="K22" s="4">
        <v>5.25478914331619E-6</v>
      </c>
      <c r="L22" s="3">
        <v>46.245221253371199</v>
      </c>
      <c r="M22" s="3">
        <v>0</v>
      </c>
      <c r="N22" s="3">
        <v>53.754778746628801</v>
      </c>
      <c r="O22" s="3">
        <v>51.6517079900064</v>
      </c>
      <c r="P22" s="3">
        <v>33.645855523879</v>
      </c>
      <c r="Q22" s="3">
        <v>14.702436486114699</v>
      </c>
      <c r="R22" s="3">
        <v>0</v>
      </c>
      <c r="S22" s="3">
        <v>33.645855523879</v>
      </c>
      <c r="T22" s="3">
        <v>0.186571316806347</v>
      </c>
      <c r="U22" s="3">
        <v>-160.11096525009199</v>
      </c>
      <c r="V22" s="3">
        <v>0</v>
      </c>
      <c r="W22" s="3">
        <v>100</v>
      </c>
      <c r="X22" s="3">
        <v>57.741150102339901</v>
      </c>
      <c r="Y22" s="3">
        <v>116.886829500019</v>
      </c>
      <c r="Z22" s="3">
        <v>55.094196456430097</v>
      </c>
      <c r="AA22" s="3">
        <v>2.743851515757</v>
      </c>
      <c r="AB22" s="3">
        <v>740.64837394070105</v>
      </c>
      <c r="AC22" s="3">
        <v>21.347281791713201</v>
      </c>
      <c r="AD22" s="3">
        <v>0</v>
      </c>
      <c r="AE22" s="3">
        <v>173.01221755506299</v>
      </c>
      <c r="AF22" s="3">
        <v>112.01504481361199</v>
      </c>
      <c r="AG22" s="3">
        <v>25.3650229063342</v>
      </c>
      <c r="AH22" s="3">
        <v>-99.439555009017994</v>
      </c>
      <c r="AI22" s="3">
        <v>6808924.5</v>
      </c>
      <c r="AJ22" s="3">
        <v>7.9337144618607004E-4</v>
      </c>
      <c r="AK22" s="3">
        <v>56</v>
      </c>
      <c r="AL22" s="3">
        <f t="shared" si="0"/>
        <v>2.6389361693727766E-2</v>
      </c>
      <c r="AM22" s="4">
        <f t="shared" si="1"/>
        <v>0.53096247357129878</v>
      </c>
      <c r="AN22" s="4">
        <f t="shared" si="2"/>
        <v>2.6389622861961358E-2</v>
      </c>
    </row>
    <row r="23" spans="1:40" x14ac:dyDescent="0.25">
      <c r="A23" s="3">
        <v>22</v>
      </c>
      <c r="B23" s="3">
        <v>150</v>
      </c>
      <c r="C23" s="3">
        <v>-125</v>
      </c>
      <c r="D23" s="3">
        <v>0.35037417787806702</v>
      </c>
      <c r="E23" s="3">
        <v>0.56285693161364703</v>
      </c>
      <c r="F23" s="3">
        <v>0.21248275373558001</v>
      </c>
      <c r="G23" s="3">
        <v>4.8323393376962301E-2</v>
      </c>
      <c r="H23" s="3">
        <v>1.0485796320760601E-2</v>
      </c>
      <c r="I23" s="3">
        <v>3.6239609309968099E-3</v>
      </c>
      <c r="J23" s="3">
        <v>0.50041834432594301</v>
      </c>
      <c r="K23" s="4">
        <v>5.43665898395387E-6</v>
      </c>
      <c r="L23" s="3">
        <v>69.897877135231099</v>
      </c>
      <c r="M23" s="3">
        <v>0.66289910022544196</v>
      </c>
      <c r="N23" s="3">
        <v>29.439223764543399</v>
      </c>
      <c r="O23" s="3">
        <v>38.216127598591697</v>
      </c>
      <c r="P23" s="3">
        <v>37.411662969834097</v>
      </c>
      <c r="Q23" s="3">
        <v>24.372209431574198</v>
      </c>
      <c r="R23" s="3">
        <v>0</v>
      </c>
      <c r="S23" s="3">
        <v>37.411662969834097</v>
      </c>
      <c r="T23" s="3">
        <v>0.368590236933729</v>
      </c>
      <c r="U23" s="3">
        <v>-133.44991956317801</v>
      </c>
      <c r="V23" s="3">
        <v>0</v>
      </c>
      <c r="W23" s="3">
        <v>100</v>
      </c>
      <c r="X23" s="3">
        <v>51.374661584888301</v>
      </c>
      <c r="Y23" s="3">
        <v>115.794912570253</v>
      </c>
      <c r="Z23" s="3">
        <v>54.515062057575797</v>
      </c>
      <c r="AA23" s="3">
        <v>3.07293876931125</v>
      </c>
      <c r="AB23" s="3">
        <v>761.16819877731803</v>
      </c>
      <c r="AC23" s="3">
        <v>8.3101131079493999</v>
      </c>
      <c r="AD23" s="3">
        <v>0</v>
      </c>
      <c r="AE23" s="3">
        <v>173.00087146882399</v>
      </c>
      <c r="AF23" s="3">
        <v>111.997955975756</v>
      </c>
      <c r="AG23" s="3">
        <v>25.2777879225346</v>
      </c>
      <c r="AH23" s="3">
        <v>-60.634587742803397</v>
      </c>
      <c r="AI23" s="3">
        <v>70532001</v>
      </c>
      <c r="AJ23" s="3">
        <v>5.4546957042708601E-2</v>
      </c>
      <c r="AK23" s="3">
        <v>424</v>
      </c>
      <c r="AL23" s="3">
        <f t="shared" si="0"/>
        <v>0.62249242782456982</v>
      </c>
      <c r="AM23" s="4">
        <f t="shared" si="1"/>
        <v>0.56285149495466302</v>
      </c>
      <c r="AN23" s="4">
        <f t="shared" si="2"/>
        <v>0.6224984405634193</v>
      </c>
    </row>
    <row r="24" spans="1:40" x14ac:dyDescent="0.25">
      <c r="A24" s="3">
        <v>23</v>
      </c>
      <c r="B24" s="3">
        <v>150</v>
      </c>
      <c r="C24" s="3">
        <v>-100</v>
      </c>
      <c r="D24" s="3">
        <v>0.71376871313629697</v>
      </c>
      <c r="E24" s="3">
        <v>0.59401950505270196</v>
      </c>
      <c r="F24" s="3">
        <v>-0.119749208083595</v>
      </c>
      <c r="G24" s="3">
        <v>4.8312030645874499E-2</v>
      </c>
      <c r="H24" s="3">
        <v>9.6760258073164997E-3</v>
      </c>
      <c r="I24" s="3">
        <v>3.2013437665792499E-3</v>
      </c>
      <c r="J24" s="3">
        <v>0.53282472896224498</v>
      </c>
      <c r="K24" s="4">
        <v>5.3758706865613798E-6</v>
      </c>
      <c r="L24" s="3">
        <v>65.766596402811601</v>
      </c>
      <c r="M24" s="3">
        <v>1.33825016870159</v>
      </c>
      <c r="N24" s="3">
        <v>32.8951534284869</v>
      </c>
      <c r="O24" s="3">
        <v>31.713459239175901</v>
      </c>
      <c r="P24" s="3">
        <v>47.899341252539998</v>
      </c>
      <c r="Q24" s="3">
        <v>20.387199508283999</v>
      </c>
      <c r="R24" s="3">
        <v>0</v>
      </c>
      <c r="S24" s="3">
        <v>47.899341252539998</v>
      </c>
      <c r="T24" s="3">
        <v>0.36153481687246802</v>
      </c>
      <c r="U24" s="3">
        <v>-108.753633329943</v>
      </c>
      <c r="V24" s="3">
        <v>2.47741933424778E-2</v>
      </c>
      <c r="W24" s="3">
        <v>99.850998832568607</v>
      </c>
      <c r="X24" s="3">
        <v>46.577556001674502</v>
      </c>
      <c r="Y24" s="3">
        <v>116.056006127031</v>
      </c>
      <c r="Z24" s="3">
        <v>54.4831442003699</v>
      </c>
      <c r="AA24" s="3">
        <v>3.2520953952006302</v>
      </c>
      <c r="AB24" s="3">
        <v>770.58928828171202</v>
      </c>
      <c r="AC24" s="3">
        <v>9.7707823356016892</v>
      </c>
      <c r="AD24" s="3">
        <v>0</v>
      </c>
      <c r="AE24" s="3">
        <v>172.135014310278</v>
      </c>
      <c r="AF24" s="3">
        <v>111.953747465798</v>
      </c>
      <c r="AG24" s="3">
        <v>25.266862876201898</v>
      </c>
      <c r="AH24" s="3">
        <v>-37.544697953730797</v>
      </c>
      <c r="AI24" s="3">
        <v>731421249.10000002</v>
      </c>
      <c r="AJ24" s="3">
        <v>6.4145393123455102E-2</v>
      </c>
      <c r="AK24" s="3">
        <v>2032</v>
      </c>
      <c r="AL24" s="3">
        <f>D24/E24</f>
        <v>1.2015913737933079</v>
      </c>
      <c r="AM24" s="4">
        <f>E24-K24</f>
        <v>0.59401412918201535</v>
      </c>
      <c r="AN24" s="4">
        <f>D24/(E24-K24)</f>
        <v>1.2016022482818534</v>
      </c>
    </row>
    <row r="25" spans="1:40" x14ac:dyDescent="0.25">
      <c r="A25" s="3">
        <v>24</v>
      </c>
      <c r="B25" s="3">
        <v>150</v>
      </c>
      <c r="C25" s="3">
        <v>-75</v>
      </c>
      <c r="D25" s="3">
        <v>0.74363181723453298</v>
      </c>
      <c r="E25" s="3">
        <v>0.62993320735398906</v>
      </c>
      <c r="F25" s="3">
        <v>-0.113698609880544</v>
      </c>
      <c r="G25" s="3">
        <v>4.8159461999574701E-2</v>
      </c>
      <c r="H25" s="3">
        <v>1.0876871701301E-2</v>
      </c>
      <c r="I25" s="3">
        <v>4.8357005820837398E-3</v>
      </c>
      <c r="J25" s="3">
        <v>0.56605578809798296</v>
      </c>
      <c r="K25" s="4">
        <v>5.3849730466912E-6</v>
      </c>
      <c r="L25" s="3">
        <v>41.437734737139003</v>
      </c>
      <c r="M25" s="3">
        <v>3.3278236258922198</v>
      </c>
      <c r="N25" s="3">
        <v>55.234441636968803</v>
      </c>
      <c r="O25" s="3">
        <v>34.572157702928202</v>
      </c>
      <c r="P25" s="3">
        <v>45.604409935071999</v>
      </c>
      <c r="Q25" s="3">
        <v>19.823432361999799</v>
      </c>
      <c r="R25" s="3">
        <v>0</v>
      </c>
      <c r="S25" s="3">
        <v>45.604409935071999</v>
      </c>
      <c r="T25" s="3">
        <v>0.412806127398817</v>
      </c>
      <c r="U25" s="3">
        <v>-84.197318220663405</v>
      </c>
      <c r="V25" s="3">
        <v>0.76758663734605204</v>
      </c>
      <c r="W25" s="3">
        <v>99.934946028726202</v>
      </c>
      <c r="X25" s="3">
        <v>46.3666586460091</v>
      </c>
      <c r="Y25" s="3">
        <v>116.626708220068</v>
      </c>
      <c r="Z25" s="3">
        <v>54.126577897129401</v>
      </c>
      <c r="AA25" s="3">
        <v>3.3467199975127602</v>
      </c>
      <c r="AB25" s="3">
        <v>771.37683899306501</v>
      </c>
      <c r="AC25" s="3">
        <v>7.8834644809988301</v>
      </c>
      <c r="AD25" s="3">
        <v>0</v>
      </c>
      <c r="AE25" s="3">
        <v>171.870815478282</v>
      </c>
      <c r="AF25" s="3">
        <v>111.963237351462</v>
      </c>
      <c r="AG25" s="3">
        <v>25.986938191055501</v>
      </c>
      <c r="AH25" s="3">
        <v>-28.0054090475859</v>
      </c>
      <c r="AI25" s="3">
        <v>4734935979.6000004</v>
      </c>
      <c r="AJ25" s="3">
        <v>7.0698471397528495E-2</v>
      </c>
      <c r="AK25" s="3">
        <v>5846</v>
      </c>
      <c r="AL25" s="3">
        <f t="shared" ref="AL25:AL45" si="3">D25/E25</f>
        <v>1.1804931198311177</v>
      </c>
      <c r="AM25" s="4">
        <f t="shared" ref="AM25:AM45" si="4">E25-K25</f>
        <v>0.62992782238094236</v>
      </c>
      <c r="AN25" s="4">
        <f t="shared" ref="AN25:AN45" si="5">D25/(E25-K25)</f>
        <v>1.18050321134225</v>
      </c>
    </row>
    <row r="26" spans="1:40" x14ac:dyDescent="0.25">
      <c r="A26" s="3">
        <v>25</v>
      </c>
      <c r="B26" s="3">
        <v>150</v>
      </c>
      <c r="C26" s="3">
        <v>-50</v>
      </c>
      <c r="D26" s="3">
        <v>0.69681138195660197</v>
      </c>
      <c r="E26" s="3">
        <v>0.69034558134150503</v>
      </c>
      <c r="F26" s="3">
        <v>-6.4658006150962299E-3</v>
      </c>
      <c r="G26" s="3">
        <v>4.83628969264569E-2</v>
      </c>
      <c r="H26" s="3">
        <v>1.1897032527530001E-2</v>
      </c>
      <c r="I26" s="3">
        <v>7.1541864371267401E-3</v>
      </c>
      <c r="J26" s="3">
        <v>0.61784856945557498</v>
      </c>
      <c r="K26" s="3">
        <v>5.08289599481685E-3</v>
      </c>
      <c r="L26" s="3">
        <v>18.440368687485801</v>
      </c>
      <c r="M26" s="3">
        <v>5.0943298925529996</v>
      </c>
      <c r="N26" s="3">
        <v>76.465301419961193</v>
      </c>
      <c r="O26" s="3">
        <v>35.0946832471679</v>
      </c>
      <c r="P26" s="3">
        <v>44.003311004257803</v>
      </c>
      <c r="Q26" s="3">
        <v>20.9020057485743</v>
      </c>
      <c r="R26" s="3">
        <v>0</v>
      </c>
      <c r="S26" s="3">
        <v>44.003311004257803</v>
      </c>
      <c r="T26" s="3">
        <v>0.45540641428786699</v>
      </c>
      <c r="U26" s="3">
        <v>-60.127089348989301</v>
      </c>
      <c r="V26" s="3">
        <v>39.434236918698801</v>
      </c>
      <c r="W26" s="3">
        <v>99.962803509938993</v>
      </c>
      <c r="X26" s="3">
        <v>45.793067435976901</v>
      </c>
      <c r="Y26" s="3">
        <v>116.91968312745</v>
      </c>
      <c r="Z26" s="3">
        <v>54.582529595901697</v>
      </c>
      <c r="AA26" s="3">
        <v>3.4358833003244298</v>
      </c>
      <c r="AB26" s="3">
        <v>770.73962104159602</v>
      </c>
      <c r="AC26" s="3">
        <v>7.4796759656448897</v>
      </c>
      <c r="AD26" s="3">
        <v>0</v>
      </c>
      <c r="AE26" s="3">
        <v>172.15594309893501</v>
      </c>
      <c r="AF26" s="3">
        <v>112.02548921518201</v>
      </c>
      <c r="AG26" s="3">
        <v>26.824447736100598</v>
      </c>
      <c r="AH26" s="3">
        <v>-22.082078218412001</v>
      </c>
      <c r="AI26" s="3">
        <v>23474302159.900002</v>
      </c>
      <c r="AJ26" s="3">
        <v>7.3236694493439503E-2</v>
      </c>
      <c r="AK26" s="3">
        <v>16353</v>
      </c>
      <c r="AL26" s="3">
        <f t="shared" si="3"/>
        <v>1.0093660346207074</v>
      </c>
      <c r="AM26" s="4">
        <f t="shared" si="4"/>
        <v>0.68526268534668822</v>
      </c>
      <c r="AN26" s="4">
        <f t="shared" si="5"/>
        <v>1.0168529483026951</v>
      </c>
    </row>
    <row r="27" spans="1:40" x14ac:dyDescent="0.25">
      <c r="A27" s="3">
        <v>26</v>
      </c>
      <c r="B27" s="3">
        <v>150</v>
      </c>
      <c r="C27" s="3">
        <v>-25</v>
      </c>
      <c r="D27" s="3">
        <v>0.78391795670064501</v>
      </c>
      <c r="E27" s="3">
        <v>0.81450609628720505</v>
      </c>
      <c r="F27" s="3">
        <v>3.0588139586559999E-2</v>
      </c>
      <c r="G27" s="3">
        <v>4.8766924029624403E-2</v>
      </c>
      <c r="H27" s="3">
        <v>1.25008686755244E-2</v>
      </c>
      <c r="I27" s="3">
        <v>1.13597379002374E-2</v>
      </c>
      <c r="J27" s="3">
        <v>0.70102406902661596</v>
      </c>
      <c r="K27" s="3">
        <v>4.0854496655202598E-2</v>
      </c>
      <c r="L27" s="3">
        <v>11.6648481802043</v>
      </c>
      <c r="M27" s="3">
        <v>5.5920946075474802</v>
      </c>
      <c r="N27" s="3">
        <v>82.743057212248303</v>
      </c>
      <c r="O27" s="3">
        <v>32.7615088612257</v>
      </c>
      <c r="P27" s="3">
        <v>45.772348155242099</v>
      </c>
      <c r="Q27" s="3">
        <v>21.466142983532201</v>
      </c>
      <c r="R27" s="3">
        <v>0</v>
      </c>
      <c r="S27" s="3">
        <v>45.772348155242099</v>
      </c>
      <c r="T27" s="3">
        <v>0.47913078443106799</v>
      </c>
      <c r="U27" s="3">
        <v>-36.446221315988097</v>
      </c>
      <c r="V27" s="3">
        <v>171.871412975868</v>
      </c>
      <c r="W27" s="3">
        <v>99.953429424805293</v>
      </c>
      <c r="X27" s="3">
        <v>45.188291779390703</v>
      </c>
      <c r="Y27" s="3">
        <v>116.825983934901</v>
      </c>
      <c r="Z27" s="3">
        <v>55.499201478865402</v>
      </c>
      <c r="AA27" s="3">
        <v>3.5730702445146698</v>
      </c>
      <c r="AB27" s="3">
        <v>767.74927412951195</v>
      </c>
      <c r="AC27" s="3">
        <v>11.515645648920501</v>
      </c>
      <c r="AD27" s="3">
        <v>0</v>
      </c>
      <c r="AE27" s="3">
        <v>172.80645561047501</v>
      </c>
      <c r="AF27" s="3">
        <v>112.174652423713</v>
      </c>
      <c r="AG27" s="3">
        <v>29.348992363849199</v>
      </c>
      <c r="AH27" s="3">
        <v>-13.876561492982599</v>
      </c>
      <c r="AI27" s="3">
        <v>53937995797.300003</v>
      </c>
      <c r="AJ27" s="3">
        <v>7.6671943448201496E-2</v>
      </c>
      <c r="AK27" s="3">
        <v>36146</v>
      </c>
      <c r="AL27" s="3">
        <f t="shared" si="3"/>
        <v>0.96244578189654917</v>
      </c>
      <c r="AM27" s="4">
        <f t="shared" si="4"/>
        <v>0.77365159963200247</v>
      </c>
      <c r="AN27" s="4">
        <f t="shared" si="5"/>
        <v>1.0132700004414465</v>
      </c>
    </row>
    <row r="28" spans="1:40" x14ac:dyDescent="0.25">
      <c r="A28" s="3">
        <v>27</v>
      </c>
      <c r="B28" s="3">
        <v>150</v>
      </c>
      <c r="C28" s="3">
        <v>0</v>
      </c>
      <c r="D28" s="3">
        <v>0.86356101662761398</v>
      </c>
      <c r="E28" s="3">
        <v>0.87651526074021602</v>
      </c>
      <c r="F28" s="3">
        <v>1.29542441126027E-2</v>
      </c>
      <c r="G28" s="3">
        <v>4.9582622327070502E-2</v>
      </c>
      <c r="H28" s="3">
        <v>1.52242231188572E-2</v>
      </c>
      <c r="I28" s="3">
        <v>1.6591674511866598E-2</v>
      </c>
      <c r="J28" s="3">
        <v>0.71343909726106303</v>
      </c>
      <c r="K28" s="3">
        <v>8.16776435213592E-2</v>
      </c>
      <c r="L28" s="3">
        <v>10.197207240171</v>
      </c>
      <c r="M28" s="3">
        <v>5.4071835171825899</v>
      </c>
      <c r="N28" s="3">
        <v>84.395609242646501</v>
      </c>
      <c r="O28" s="3">
        <v>28.910715000110599</v>
      </c>
      <c r="P28" s="3">
        <v>49.089295490785503</v>
      </c>
      <c r="Q28" s="3">
        <v>21.999989509104001</v>
      </c>
      <c r="R28" s="3">
        <v>0</v>
      </c>
      <c r="S28" s="3">
        <v>49.089295490785503</v>
      </c>
      <c r="T28" s="3">
        <v>0.56737715170827796</v>
      </c>
      <c r="U28" s="3">
        <v>-12.356503907547999</v>
      </c>
      <c r="V28" s="3">
        <v>587.65131489940904</v>
      </c>
      <c r="W28" s="3">
        <v>99.9212977241895</v>
      </c>
      <c r="X28" s="3">
        <v>45.020798147354697</v>
      </c>
      <c r="Y28" s="3">
        <v>116.450194714003</v>
      </c>
      <c r="Z28" s="3">
        <v>57.382518204961002</v>
      </c>
      <c r="AA28" s="3">
        <v>3.77944442054743</v>
      </c>
      <c r="AB28" s="3">
        <v>764.24238189885398</v>
      </c>
      <c r="AC28" s="3">
        <v>16.585975894208499</v>
      </c>
      <c r="AD28" s="3">
        <v>0</v>
      </c>
      <c r="AE28" s="3">
        <v>171.28134257185599</v>
      </c>
      <c r="AF28" s="3">
        <v>112.07413651488</v>
      </c>
      <c r="AG28" s="3">
        <v>31.107588501900501</v>
      </c>
      <c r="AH28" s="3">
        <v>-7.3995643620594302</v>
      </c>
      <c r="AI28" s="3">
        <v>75485525496.399994</v>
      </c>
      <c r="AJ28" s="3">
        <v>8.0039511049871601E-2</v>
      </c>
      <c r="AK28" s="3">
        <v>63968</v>
      </c>
      <c r="AL28" s="3">
        <f t="shared" si="3"/>
        <v>0.98522074321710928</v>
      </c>
      <c r="AM28" s="4">
        <f t="shared" si="4"/>
        <v>0.79483761721885682</v>
      </c>
      <c r="AN28" s="4">
        <f t="shared" si="5"/>
        <v>1.0864621878984804</v>
      </c>
    </row>
    <row r="29" spans="1:40" x14ac:dyDescent="0.25">
      <c r="A29" s="3">
        <v>28</v>
      </c>
      <c r="B29" s="3">
        <v>175</v>
      </c>
      <c r="C29" s="3">
        <v>-175</v>
      </c>
      <c r="D29" s="3">
        <v>0</v>
      </c>
      <c r="E29" s="3">
        <v>0.48660862304709301</v>
      </c>
      <c r="F29" s="3">
        <v>0.48660862304709301</v>
      </c>
      <c r="G29" s="3">
        <v>4.8567768974877801E-2</v>
      </c>
      <c r="H29" s="3">
        <v>3.2702461795712698E-3</v>
      </c>
      <c r="I29" s="3">
        <v>2.5995990443201601E-3</v>
      </c>
      <c r="J29" s="3">
        <v>0.43216434314525498</v>
      </c>
      <c r="K29" s="4">
        <v>6.6657030686496998E-6</v>
      </c>
      <c r="L29" s="3">
        <v>48.979135589346797</v>
      </c>
      <c r="M29" s="3">
        <v>0</v>
      </c>
      <c r="N29" s="3">
        <v>51.020864410653203</v>
      </c>
      <c r="O29" s="3">
        <v>51.020864410653203</v>
      </c>
      <c r="P29" s="3">
        <v>48.979135589346797</v>
      </c>
      <c r="Q29" s="3">
        <v>0</v>
      </c>
      <c r="R29" s="3">
        <v>0</v>
      </c>
      <c r="S29" s="3">
        <v>48.979135589346797</v>
      </c>
      <c r="T29" s="3">
        <v>0</v>
      </c>
      <c r="U29" s="3">
        <v>-177.66122950851701</v>
      </c>
      <c r="V29" s="3">
        <v>0</v>
      </c>
      <c r="W29" s="3">
        <v>100</v>
      </c>
      <c r="X29" s="3">
        <v>54.934821170572199</v>
      </c>
      <c r="Y29" s="3">
        <v>140.70818927140701</v>
      </c>
      <c r="Z29" s="3">
        <v>54.979582711786897</v>
      </c>
      <c r="AA29" s="3">
        <v>2.7489791355893498</v>
      </c>
      <c r="AB29" s="3">
        <v>725.26475406310999</v>
      </c>
      <c r="AC29" s="3">
        <v>0</v>
      </c>
      <c r="AD29" s="3">
        <v>0</v>
      </c>
      <c r="AE29" s="3">
        <v>179.2</v>
      </c>
      <c r="AF29" s="3">
        <v>112.2</v>
      </c>
      <c r="AG29" s="3">
        <v>20.9</v>
      </c>
      <c r="AH29" s="3">
        <v>-139.822816714986</v>
      </c>
      <c r="AI29" s="3">
        <v>281354.7</v>
      </c>
      <c r="AJ29" s="3">
        <v>0</v>
      </c>
      <c r="AK29" s="3">
        <v>2</v>
      </c>
      <c r="AL29" s="3">
        <f t="shared" si="3"/>
        <v>0</v>
      </c>
      <c r="AM29" s="4">
        <f t="shared" si="4"/>
        <v>0.48660195734402434</v>
      </c>
      <c r="AN29" s="4">
        <f t="shared" si="5"/>
        <v>0</v>
      </c>
    </row>
    <row r="30" spans="1:40" x14ac:dyDescent="0.25">
      <c r="A30" s="3">
        <v>29</v>
      </c>
      <c r="B30" s="3">
        <v>175</v>
      </c>
      <c r="C30" s="3">
        <v>-150</v>
      </c>
      <c r="D30" s="3">
        <v>2.59566697283704E-2</v>
      </c>
      <c r="E30" s="3">
        <v>0.51289707914555804</v>
      </c>
      <c r="F30" s="3">
        <v>0.48694040941718802</v>
      </c>
      <c r="G30" s="3">
        <v>4.7934321340072701E-2</v>
      </c>
      <c r="H30" s="3">
        <v>7.44715668120684E-3</v>
      </c>
      <c r="I30" s="3">
        <v>3.8213210795821702E-3</v>
      </c>
      <c r="J30" s="3">
        <v>0.45368795759973501</v>
      </c>
      <c r="K30" s="4">
        <v>6.3224449613780704E-6</v>
      </c>
      <c r="L30" s="3">
        <v>30.6106979569883</v>
      </c>
      <c r="M30" s="3">
        <v>0</v>
      </c>
      <c r="N30" s="3">
        <v>69.389302043011696</v>
      </c>
      <c r="O30" s="3">
        <v>72.238820254136797</v>
      </c>
      <c r="P30" s="3">
        <v>8.9600223335973794</v>
      </c>
      <c r="Q30" s="3">
        <v>18.801157412265901</v>
      </c>
      <c r="R30" s="3">
        <v>0</v>
      </c>
      <c r="S30" s="3">
        <v>8.9600223335973794</v>
      </c>
      <c r="T30" s="3">
        <v>0.18251793655925999</v>
      </c>
      <c r="U30" s="3">
        <v>-158.94860082406601</v>
      </c>
      <c r="V30" s="3">
        <v>0</v>
      </c>
      <c r="W30" s="3">
        <v>100</v>
      </c>
      <c r="X30" s="3">
        <v>62.286342111046302</v>
      </c>
      <c r="Y30" s="3">
        <v>144.36661463770801</v>
      </c>
      <c r="Z30" s="3">
        <v>53.616387664459701</v>
      </c>
      <c r="AA30" s="3">
        <v>2.74709194722608</v>
      </c>
      <c r="AB30" s="3">
        <v>730.93115818480999</v>
      </c>
      <c r="AC30" s="3">
        <v>0</v>
      </c>
      <c r="AD30" s="3">
        <v>0</v>
      </c>
      <c r="AE30" s="3">
        <v>174.68971241524301</v>
      </c>
      <c r="AF30" s="3">
        <v>112.126250969292</v>
      </c>
      <c r="AG30" s="3">
        <v>24.650110094639299</v>
      </c>
      <c r="AH30" s="3">
        <v>-111.844393864116</v>
      </c>
      <c r="AI30" s="3">
        <v>3149335.9</v>
      </c>
      <c r="AJ30" s="3">
        <v>1.6164865332322499E-3</v>
      </c>
      <c r="AK30" s="3">
        <v>22</v>
      </c>
      <c r="AL30" s="3">
        <f t="shared" si="3"/>
        <v>5.0607949984062997E-2</v>
      </c>
      <c r="AM30" s="4">
        <f t="shared" si="4"/>
        <v>0.51289075670059669</v>
      </c>
      <c r="AN30" s="4">
        <f t="shared" si="5"/>
        <v>5.0608573832268876E-2</v>
      </c>
    </row>
    <row r="31" spans="1:40" x14ac:dyDescent="0.25">
      <c r="A31" s="3">
        <v>30</v>
      </c>
      <c r="B31" s="3">
        <v>175</v>
      </c>
      <c r="C31" s="3">
        <v>-125</v>
      </c>
      <c r="D31" s="3">
        <v>0.45182697437541902</v>
      </c>
      <c r="E31" s="3">
        <v>0.52678010582378798</v>
      </c>
      <c r="F31" s="3">
        <v>7.4953131448369098E-2</v>
      </c>
      <c r="G31" s="3">
        <v>4.8351167836982401E-2</v>
      </c>
      <c r="H31" s="3">
        <v>8.5568914610602807E-3</v>
      </c>
      <c r="I31" s="3">
        <v>4.1450140883661198E-3</v>
      </c>
      <c r="J31" s="3">
        <v>0.465720936324101</v>
      </c>
      <c r="K31" s="4">
        <v>6.0961132781480301E-6</v>
      </c>
      <c r="L31" s="3">
        <v>69.846575803443102</v>
      </c>
      <c r="M31" s="3">
        <v>0</v>
      </c>
      <c r="N31" s="3">
        <v>30.153424196556902</v>
      </c>
      <c r="O31" s="3">
        <v>38.240059512625699</v>
      </c>
      <c r="P31" s="3">
        <v>41.542447593804802</v>
      </c>
      <c r="Q31" s="3">
        <v>20.217492893569499</v>
      </c>
      <c r="R31" s="3">
        <v>0</v>
      </c>
      <c r="S31" s="3">
        <v>41.542447593804802</v>
      </c>
      <c r="T31" s="3">
        <v>0.29671783005007601</v>
      </c>
      <c r="U31" s="3">
        <v>-133.883733438495</v>
      </c>
      <c r="V31" s="3">
        <v>0</v>
      </c>
      <c r="W31" s="3">
        <v>100</v>
      </c>
      <c r="X31" s="3">
        <v>48.416406393874198</v>
      </c>
      <c r="Y31" s="3">
        <v>144.22877278352601</v>
      </c>
      <c r="Z31" s="3">
        <v>54.577546132023002</v>
      </c>
      <c r="AA31" s="3">
        <v>3.0588141616299702</v>
      </c>
      <c r="AB31" s="3">
        <v>761.29183912032204</v>
      </c>
      <c r="AC31" s="3">
        <v>10.8818916373137</v>
      </c>
      <c r="AD31" s="3">
        <v>0</v>
      </c>
      <c r="AE31" s="3">
        <v>173.02703334146</v>
      </c>
      <c r="AF31" s="3">
        <v>112.00210198195499</v>
      </c>
      <c r="AG31" s="3">
        <v>25.3769187736854</v>
      </c>
      <c r="AH31" s="3">
        <v>-63.713750820979897</v>
      </c>
      <c r="AI31" s="3">
        <v>38724152.600000001</v>
      </c>
      <c r="AJ31" s="3">
        <v>6.64616289985209E-2</v>
      </c>
      <c r="AK31" s="3">
        <v>227</v>
      </c>
      <c r="AL31" s="3">
        <f t="shared" si="3"/>
        <v>0.85771457460194722</v>
      </c>
      <c r="AM31" s="4">
        <f t="shared" si="4"/>
        <v>0.52677400971050981</v>
      </c>
      <c r="AN31" s="4">
        <f t="shared" si="5"/>
        <v>0.85772450053813754</v>
      </c>
    </row>
    <row r="32" spans="1:40" x14ac:dyDescent="0.25">
      <c r="A32" s="3">
        <v>31</v>
      </c>
      <c r="B32" s="3">
        <v>175</v>
      </c>
      <c r="C32" s="3">
        <v>-100</v>
      </c>
      <c r="D32" s="3">
        <v>0.55552322521742603</v>
      </c>
      <c r="E32" s="3">
        <v>0.55450317873329402</v>
      </c>
      <c r="F32" s="3">
        <v>-1.0200464841316401E-3</v>
      </c>
      <c r="G32" s="3">
        <v>4.82700513509133E-2</v>
      </c>
      <c r="H32" s="3">
        <v>8.3288565171176897E-3</v>
      </c>
      <c r="I32" s="3">
        <v>3.5824349775129601E-3</v>
      </c>
      <c r="J32" s="3">
        <v>0.49431573115104799</v>
      </c>
      <c r="K32" s="4">
        <v>6.1047367018836402E-6</v>
      </c>
      <c r="L32" s="3">
        <v>64.483020693846498</v>
      </c>
      <c r="M32" s="3">
        <v>0.99895046095241802</v>
      </c>
      <c r="N32" s="3">
        <v>34.518028845201101</v>
      </c>
      <c r="O32" s="3">
        <v>29.504838727619301</v>
      </c>
      <c r="P32" s="3">
        <v>50.249553414148203</v>
      </c>
      <c r="Q32" s="3">
        <v>20.2456078582324</v>
      </c>
      <c r="R32" s="3">
        <v>0</v>
      </c>
      <c r="S32" s="3">
        <v>50.249553414148203</v>
      </c>
      <c r="T32" s="3">
        <v>0.30983761664139198</v>
      </c>
      <c r="U32" s="3">
        <v>-108.67345474702699</v>
      </c>
      <c r="V32" s="3">
        <v>6.5081209616206399E-3</v>
      </c>
      <c r="W32" s="3">
        <v>100</v>
      </c>
      <c r="X32" s="3">
        <v>45.095290456265197</v>
      </c>
      <c r="Y32" s="3">
        <v>144.608423954139</v>
      </c>
      <c r="Z32" s="3">
        <v>54.388984547619202</v>
      </c>
      <c r="AA32" s="3">
        <v>3.2503326431551098</v>
      </c>
      <c r="AB32" s="3">
        <v>770.35268068152698</v>
      </c>
      <c r="AC32" s="3">
        <v>8.9574481606804994</v>
      </c>
      <c r="AD32" s="3">
        <v>0</v>
      </c>
      <c r="AE32" s="3">
        <v>172.12663012117201</v>
      </c>
      <c r="AF32" s="3">
        <v>111.949079575517</v>
      </c>
      <c r="AG32" s="3">
        <v>25.135660425512</v>
      </c>
      <c r="AH32" s="3">
        <v>-37.751449065943902</v>
      </c>
      <c r="AI32" s="3">
        <v>424766759.30000001</v>
      </c>
      <c r="AJ32" s="3">
        <v>6.9344802879145295E-2</v>
      </c>
      <c r="AK32" s="3">
        <v>1294</v>
      </c>
      <c r="AL32" s="3">
        <f t="shared" si="3"/>
        <v>1.0018395683257617</v>
      </c>
      <c r="AM32" s="4">
        <f t="shared" si="4"/>
        <v>0.55449707399659209</v>
      </c>
      <c r="AN32" s="4">
        <f t="shared" si="5"/>
        <v>1.0018505980805956</v>
      </c>
    </row>
    <row r="33" spans="1:40" x14ac:dyDescent="0.25">
      <c r="A33" s="3">
        <v>32</v>
      </c>
      <c r="B33" s="3">
        <v>175</v>
      </c>
      <c r="C33" s="3">
        <v>-75</v>
      </c>
      <c r="D33" s="3">
        <v>0.58389240736353099</v>
      </c>
      <c r="E33" s="3">
        <v>0.582032075883822</v>
      </c>
      <c r="F33" s="3">
        <v>-1.86033147970872E-3</v>
      </c>
      <c r="G33" s="3">
        <v>4.8117572214494198E-2</v>
      </c>
      <c r="H33" s="3">
        <v>8.6552039642488806E-3</v>
      </c>
      <c r="I33" s="3">
        <v>5.4478599936228604E-3</v>
      </c>
      <c r="J33" s="3">
        <v>0.519805326097181</v>
      </c>
      <c r="K33" s="4">
        <v>6.1136142751148098E-6</v>
      </c>
      <c r="L33" s="3">
        <v>36.8742173373602</v>
      </c>
      <c r="M33" s="3">
        <v>2.9465557061363401</v>
      </c>
      <c r="N33" s="3">
        <v>60.179226956503399</v>
      </c>
      <c r="O33" s="3">
        <v>30.170386038573401</v>
      </c>
      <c r="P33" s="3">
        <v>50.461892827685901</v>
      </c>
      <c r="Q33" s="3">
        <v>19.367721133740599</v>
      </c>
      <c r="R33" s="3">
        <v>0</v>
      </c>
      <c r="S33" s="3">
        <v>50.461892827685901</v>
      </c>
      <c r="T33" s="3">
        <v>0.32139446440105401</v>
      </c>
      <c r="U33" s="3">
        <v>-84.080065125103204</v>
      </c>
      <c r="V33" s="3">
        <v>0.557604444866863</v>
      </c>
      <c r="W33" s="3">
        <v>99.907774249126703</v>
      </c>
      <c r="X33" s="3">
        <v>46.231740673797603</v>
      </c>
      <c r="Y33" s="3">
        <v>144.690140600642</v>
      </c>
      <c r="Z33" s="3">
        <v>54.032148105238299</v>
      </c>
      <c r="AA33" s="3">
        <v>3.3337738042340601</v>
      </c>
      <c r="AB33" s="3">
        <v>770.28041042718201</v>
      </c>
      <c r="AC33" s="3">
        <v>6.0526830150739004</v>
      </c>
      <c r="AD33" s="3">
        <v>0</v>
      </c>
      <c r="AE33" s="3">
        <v>171.894687875465</v>
      </c>
      <c r="AF33" s="3">
        <v>111.955365274893</v>
      </c>
      <c r="AG33" s="3">
        <v>25.815614475140801</v>
      </c>
      <c r="AH33" s="3">
        <v>-29.441889874844399</v>
      </c>
      <c r="AI33" s="3">
        <v>3117240112.1999998</v>
      </c>
      <c r="AJ33" s="3">
        <v>5.8715392769896797E-2</v>
      </c>
      <c r="AK33" s="3">
        <v>4362</v>
      </c>
      <c r="AL33" s="3">
        <f t="shared" si="3"/>
        <v>1.0031962696847663</v>
      </c>
      <c r="AM33" s="4">
        <f t="shared" si="4"/>
        <v>0.58202596226954684</v>
      </c>
      <c r="AN33" s="4">
        <f t="shared" si="5"/>
        <v>1.0032068072817681</v>
      </c>
    </row>
    <row r="34" spans="1:40" x14ac:dyDescent="0.25">
      <c r="A34" s="3">
        <v>33</v>
      </c>
      <c r="B34" s="3">
        <v>175</v>
      </c>
      <c r="C34" s="3">
        <v>-50</v>
      </c>
      <c r="D34" s="3">
        <v>0.706459051979482</v>
      </c>
      <c r="E34" s="3">
        <v>0.645096140692199</v>
      </c>
      <c r="F34" s="3">
        <v>-6.1362911287282502E-2</v>
      </c>
      <c r="G34" s="3">
        <v>4.8337096283761198E-2</v>
      </c>
      <c r="H34" s="3">
        <v>9.7600375946156007E-3</v>
      </c>
      <c r="I34" s="3">
        <v>7.2394241685171104E-3</v>
      </c>
      <c r="J34" s="3">
        <v>0.56929375948850902</v>
      </c>
      <c r="K34" s="3">
        <v>1.04658231567964E-2</v>
      </c>
      <c r="L34" s="3">
        <v>16.0323624315151</v>
      </c>
      <c r="M34" s="3">
        <v>4.4193643732682402</v>
      </c>
      <c r="N34" s="3">
        <v>79.548273195216694</v>
      </c>
      <c r="O34" s="3">
        <v>30.304914229523</v>
      </c>
      <c r="P34" s="3">
        <v>49.186188472590501</v>
      </c>
      <c r="Q34" s="3">
        <v>20.508897297886499</v>
      </c>
      <c r="R34" s="3">
        <v>0</v>
      </c>
      <c r="S34" s="3">
        <v>49.186188472590501</v>
      </c>
      <c r="T34" s="3">
        <v>0.37020673347730898</v>
      </c>
      <c r="U34" s="3">
        <v>-60.109777251195403</v>
      </c>
      <c r="V34" s="3">
        <v>38.273862658217197</v>
      </c>
      <c r="W34" s="3">
        <v>99.947430721518003</v>
      </c>
      <c r="X34" s="3">
        <v>45.917052340003103</v>
      </c>
      <c r="Y34" s="3">
        <v>144.58518224548899</v>
      </c>
      <c r="Z34" s="3">
        <v>54.522920972909503</v>
      </c>
      <c r="AA34" s="3">
        <v>3.4241815706358798</v>
      </c>
      <c r="AB34" s="3">
        <v>771.02776761714904</v>
      </c>
      <c r="AC34" s="3">
        <v>6.0539222447816501</v>
      </c>
      <c r="AD34" s="3">
        <v>0</v>
      </c>
      <c r="AE34" s="3">
        <v>172.23767833956799</v>
      </c>
      <c r="AF34" s="3">
        <v>112.03070298256399</v>
      </c>
      <c r="AG34" s="3">
        <v>26.767031131458701</v>
      </c>
      <c r="AH34" s="3">
        <v>-23.142711998949299</v>
      </c>
      <c r="AI34" s="3">
        <v>16067322671.9</v>
      </c>
      <c r="AJ34" s="3">
        <v>6.3881024892799801E-2</v>
      </c>
      <c r="AK34" s="3">
        <v>12566</v>
      </c>
      <c r="AL34" s="3">
        <f t="shared" si="3"/>
        <v>1.0951221181100845</v>
      </c>
      <c r="AM34" s="4">
        <f t="shared" si="4"/>
        <v>0.63463031753540255</v>
      </c>
      <c r="AN34" s="4">
        <f t="shared" si="5"/>
        <v>1.1131820092097515</v>
      </c>
    </row>
    <row r="35" spans="1:40" x14ac:dyDescent="0.25">
      <c r="A35" s="3">
        <v>34</v>
      </c>
      <c r="B35" s="3">
        <v>175</v>
      </c>
      <c r="C35" s="3">
        <v>-25</v>
      </c>
      <c r="D35" s="3">
        <v>0.76609999648758498</v>
      </c>
      <c r="E35" s="3">
        <v>0.77207293366206298</v>
      </c>
      <c r="F35" s="3">
        <v>5.9729371744787702E-3</v>
      </c>
      <c r="G35" s="3">
        <v>4.8750457210168102E-2</v>
      </c>
      <c r="H35" s="3">
        <v>1.0541613951804901E-2</v>
      </c>
      <c r="I35" s="3">
        <v>1.1379656026387E-2</v>
      </c>
      <c r="J35" s="3">
        <v>0.64645255712063598</v>
      </c>
      <c r="K35" s="3">
        <v>5.4948649353067099E-2</v>
      </c>
      <c r="L35" s="3">
        <v>9.8306097699977197</v>
      </c>
      <c r="M35" s="3">
        <v>4.8598199219006899</v>
      </c>
      <c r="N35" s="3">
        <v>85.309570308101598</v>
      </c>
      <c r="O35" s="3">
        <v>28.794880093272301</v>
      </c>
      <c r="P35" s="3">
        <v>49.645564382829903</v>
      </c>
      <c r="Q35" s="3">
        <v>21.559555523897799</v>
      </c>
      <c r="R35" s="3">
        <v>0</v>
      </c>
      <c r="S35" s="3">
        <v>49.645564382829903</v>
      </c>
      <c r="T35" s="3">
        <v>0.39958047117286299</v>
      </c>
      <c r="U35" s="3">
        <v>-36.4536246924065</v>
      </c>
      <c r="V35" s="3">
        <v>174.78464128883101</v>
      </c>
      <c r="W35" s="3">
        <v>99.951849676374096</v>
      </c>
      <c r="X35" s="3">
        <v>45.4808475650484</v>
      </c>
      <c r="Y35" s="3">
        <v>144.59774371146801</v>
      </c>
      <c r="Z35" s="3">
        <v>55.460650851675197</v>
      </c>
      <c r="AA35" s="3">
        <v>3.5664371462277602</v>
      </c>
      <c r="AB35" s="3">
        <v>768.18349625970598</v>
      </c>
      <c r="AC35" s="3">
        <v>9.6843836227838196</v>
      </c>
      <c r="AD35" s="3">
        <v>0</v>
      </c>
      <c r="AE35" s="3">
        <v>172.84484174374401</v>
      </c>
      <c r="AF35" s="3">
        <v>112.17339848610401</v>
      </c>
      <c r="AG35" s="3">
        <v>29.2259070682158</v>
      </c>
      <c r="AH35" s="3">
        <v>-14.616763058458</v>
      </c>
      <c r="AI35" s="3">
        <v>38072425699.599998</v>
      </c>
      <c r="AJ35" s="3">
        <v>7.8574306442267705E-2</v>
      </c>
      <c r="AK35" s="3">
        <v>27514</v>
      </c>
      <c r="AL35" s="3">
        <f t="shared" si="3"/>
        <v>0.99226376561842744</v>
      </c>
      <c r="AM35" s="4">
        <f t="shared" si="4"/>
        <v>0.71712428430899589</v>
      </c>
      <c r="AN35" s="4">
        <f t="shared" si="5"/>
        <v>1.0682945944659801</v>
      </c>
    </row>
    <row r="36" spans="1:40" x14ac:dyDescent="0.25">
      <c r="A36" s="3">
        <v>35</v>
      </c>
      <c r="B36" s="3">
        <v>175</v>
      </c>
      <c r="C36" s="3">
        <v>0</v>
      </c>
      <c r="D36" s="3">
        <v>0.83075719071396603</v>
      </c>
      <c r="E36" s="3">
        <v>0.83995920961522796</v>
      </c>
      <c r="F36" s="3">
        <v>9.2020189012618197E-3</v>
      </c>
      <c r="G36" s="3">
        <v>4.9610069137206697E-2</v>
      </c>
      <c r="H36" s="3">
        <v>1.27584019489821E-2</v>
      </c>
      <c r="I36" s="3">
        <v>1.65988895351603E-2</v>
      </c>
      <c r="J36" s="3">
        <v>0.659186685737709</v>
      </c>
      <c r="K36" s="3">
        <v>0.10180516325617001</v>
      </c>
      <c r="L36" s="3">
        <v>8.1137928576943601</v>
      </c>
      <c r="M36" s="3">
        <v>4.8008241503761298</v>
      </c>
      <c r="N36" s="3">
        <v>87.085382991929507</v>
      </c>
      <c r="O36" s="3">
        <v>25.232813448948399</v>
      </c>
      <c r="P36" s="3">
        <v>51.986281849834903</v>
      </c>
      <c r="Q36" s="3">
        <v>22.780904701216699</v>
      </c>
      <c r="R36" s="3">
        <v>0</v>
      </c>
      <c r="S36" s="3">
        <v>51.986281849834903</v>
      </c>
      <c r="T36" s="3">
        <v>0.46982384919265902</v>
      </c>
      <c r="U36" s="3">
        <v>-12.3776246549109</v>
      </c>
      <c r="V36" s="3">
        <v>587.53625068774204</v>
      </c>
      <c r="W36" s="3">
        <v>99.925538339617205</v>
      </c>
      <c r="X36" s="3">
        <v>45.310055217367498</v>
      </c>
      <c r="Y36" s="3">
        <v>144.37843432385301</v>
      </c>
      <c r="Z36" s="3">
        <v>57.446477873213802</v>
      </c>
      <c r="AA36" s="3">
        <v>3.7683374152697402</v>
      </c>
      <c r="AB36" s="3">
        <v>764.619153926482</v>
      </c>
      <c r="AC36" s="3">
        <v>14.468395931949599</v>
      </c>
      <c r="AD36" s="3">
        <v>0</v>
      </c>
      <c r="AE36" s="3">
        <v>171.42338791614199</v>
      </c>
      <c r="AF36" s="3">
        <v>112.08590325201</v>
      </c>
      <c r="AG36" s="3">
        <v>31.023627418161801</v>
      </c>
      <c r="AH36" s="3">
        <v>-8.3378499349311799</v>
      </c>
      <c r="AI36" s="3">
        <v>53559789764.400002</v>
      </c>
      <c r="AJ36" s="3">
        <v>7.9936269974080695E-2</v>
      </c>
      <c r="AK36" s="3">
        <v>47424</v>
      </c>
      <c r="AL36" s="3">
        <f t="shared" si="3"/>
        <v>0.98904468360377018</v>
      </c>
      <c r="AM36" s="4">
        <f t="shared" si="4"/>
        <v>0.7381540463590579</v>
      </c>
      <c r="AN36" s="4">
        <f t="shared" si="5"/>
        <v>1.1254523291061977</v>
      </c>
    </row>
    <row r="37" spans="1:40" x14ac:dyDescent="0.25">
      <c r="A37" s="3">
        <v>36</v>
      </c>
      <c r="B37" s="3">
        <v>200</v>
      </c>
      <c r="C37" s="3">
        <v>-200</v>
      </c>
      <c r="D37" s="3">
        <v>0</v>
      </c>
      <c r="E37" s="3">
        <v>0.369835544350267</v>
      </c>
      <c r="F37" s="3">
        <v>0.369835544350267</v>
      </c>
      <c r="G37" s="3">
        <v>5.2374562962963001E-2</v>
      </c>
      <c r="H37" s="3">
        <v>1.2533938390408301E-3</v>
      </c>
      <c r="I37" s="3">
        <v>1.0612910558744199E-3</v>
      </c>
      <c r="J37" s="3">
        <v>0.31513920847365001</v>
      </c>
      <c r="K37" s="4">
        <v>7.08801873852613E-6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33.200000000000003</v>
      </c>
      <c r="Y37" s="3">
        <v>256.60000000000002</v>
      </c>
      <c r="Z37" s="3">
        <v>64</v>
      </c>
      <c r="AA37" s="3">
        <v>2.6</v>
      </c>
      <c r="AB37" s="3">
        <v>726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-107</v>
      </c>
      <c r="AI37" s="3">
        <v>256666.2</v>
      </c>
      <c r="AJ37" s="3" t="s">
        <v>36</v>
      </c>
      <c r="AK37" s="3">
        <v>1</v>
      </c>
      <c r="AL37" s="3">
        <f t="shared" si="3"/>
        <v>0</v>
      </c>
      <c r="AM37" s="4">
        <f t="shared" si="4"/>
        <v>0.3698284563315285</v>
      </c>
      <c r="AN37" s="4">
        <f t="shared" si="5"/>
        <v>0</v>
      </c>
    </row>
    <row r="38" spans="1:40" x14ac:dyDescent="0.25">
      <c r="A38" s="3">
        <v>37</v>
      </c>
      <c r="B38" s="3">
        <v>200</v>
      </c>
      <c r="C38" s="3">
        <v>-175</v>
      </c>
      <c r="D38" s="4">
        <v>7.3962218421947E-5</v>
      </c>
      <c r="E38" s="3">
        <v>0.417481670346877</v>
      </c>
      <c r="F38" s="3">
        <v>0.41740770812845501</v>
      </c>
      <c r="G38" s="3">
        <v>4.7760158202091299E-2</v>
      </c>
      <c r="H38" s="3">
        <v>2.8927834655613498E-3</v>
      </c>
      <c r="I38" s="3">
        <v>2.6894604804633799E-3</v>
      </c>
      <c r="J38" s="3">
        <v>0.36413250589865098</v>
      </c>
      <c r="K38" s="4">
        <v>6.76230010971825E-6</v>
      </c>
      <c r="L38" s="3">
        <v>68.072842230738203</v>
      </c>
      <c r="M38" s="3">
        <v>0</v>
      </c>
      <c r="N38" s="3">
        <v>31.9271577692618</v>
      </c>
      <c r="O38" s="3">
        <v>31.9271577692618</v>
      </c>
      <c r="P38" s="3">
        <v>68.072842230738203</v>
      </c>
      <c r="Q38" s="3">
        <v>0</v>
      </c>
      <c r="R38" s="3">
        <v>0</v>
      </c>
      <c r="S38" s="3">
        <v>68.072842230738203</v>
      </c>
      <c r="T38" s="3">
        <v>0</v>
      </c>
      <c r="U38" s="3">
        <v>-186.37678124629201</v>
      </c>
      <c r="V38" s="3">
        <v>0</v>
      </c>
      <c r="W38" s="3">
        <v>100</v>
      </c>
      <c r="X38" s="3">
        <v>46.372032680914899</v>
      </c>
      <c r="Y38" s="3">
        <v>234.46317358054799</v>
      </c>
      <c r="Z38" s="3">
        <v>53.192991388194301</v>
      </c>
      <c r="AA38" s="3">
        <v>2.6246638224836101</v>
      </c>
      <c r="AB38" s="3">
        <v>708.69797251993305</v>
      </c>
      <c r="AC38" s="3">
        <v>62.591577620473899</v>
      </c>
      <c r="AD38" s="3">
        <v>0</v>
      </c>
      <c r="AE38" s="3">
        <v>170.68705272253999</v>
      </c>
      <c r="AF38" s="3">
        <v>111.901201990459</v>
      </c>
      <c r="AG38" s="3">
        <v>25.608482589307101</v>
      </c>
      <c r="AH38" s="3">
        <v>-105.83271587085</v>
      </c>
      <c r="AI38" s="3">
        <v>2938559.1</v>
      </c>
      <c r="AJ38" s="4">
        <v>2.4961508830135298E-6</v>
      </c>
      <c r="AK38" s="3">
        <v>13</v>
      </c>
      <c r="AL38" s="3">
        <f t="shared" si="3"/>
        <v>1.7716279222628698E-4</v>
      </c>
      <c r="AM38" s="4">
        <f t="shared" si="4"/>
        <v>0.41747490804676729</v>
      </c>
      <c r="AN38" s="4">
        <f t="shared" si="5"/>
        <v>1.7716566192682757E-4</v>
      </c>
    </row>
    <row r="39" spans="1:40" x14ac:dyDescent="0.25">
      <c r="A39" s="3">
        <v>38</v>
      </c>
      <c r="B39" s="3">
        <v>200</v>
      </c>
      <c r="C39" s="3">
        <v>-150</v>
      </c>
      <c r="D39" s="3">
        <v>2.2170798696812399</v>
      </c>
      <c r="E39" s="3">
        <v>0.43558358495953797</v>
      </c>
      <c r="F39" s="3">
        <v>-1.78149628472171</v>
      </c>
      <c r="G39" s="3">
        <v>4.79690871429952E-2</v>
      </c>
      <c r="H39" s="3">
        <v>1.07620635196815E-2</v>
      </c>
      <c r="I39" s="3">
        <v>4.0312720659129702E-3</v>
      </c>
      <c r="J39" s="3">
        <v>0.37281302312966702</v>
      </c>
      <c r="K39" s="4">
        <v>8.1391012805753803E-6</v>
      </c>
      <c r="L39" s="3">
        <v>57.986424465708303</v>
      </c>
      <c r="M39" s="3">
        <v>0</v>
      </c>
      <c r="N39" s="3">
        <v>42.013575534291697</v>
      </c>
      <c r="O39" s="3">
        <v>48.266435619322998</v>
      </c>
      <c r="P39" s="3">
        <v>37.618241571372501</v>
      </c>
      <c r="Q39" s="3">
        <v>14.1153228093045</v>
      </c>
      <c r="R39" s="3">
        <v>0</v>
      </c>
      <c r="S39" s="3">
        <v>37.618241571372501</v>
      </c>
      <c r="T39" s="3">
        <v>0.33922127949292302</v>
      </c>
      <c r="U39" s="3">
        <v>-159.66477637488501</v>
      </c>
      <c r="V39" s="3">
        <v>0</v>
      </c>
      <c r="W39" s="3">
        <v>95.184569289696498</v>
      </c>
      <c r="X39" s="3">
        <v>49.738880065120298</v>
      </c>
      <c r="Y39" s="3">
        <v>269.992054430363</v>
      </c>
      <c r="Z39" s="3">
        <v>53.693014528642301</v>
      </c>
      <c r="AA39" s="3">
        <v>2.8422657210725699</v>
      </c>
      <c r="AB39" s="3">
        <v>730.01609015782003</v>
      </c>
      <c r="AC39" s="3">
        <v>13.8430322622185</v>
      </c>
      <c r="AD39" s="3">
        <v>0</v>
      </c>
      <c r="AE39" s="3">
        <v>172.666932967321</v>
      </c>
      <c r="AF39" s="3">
        <v>111.995424074978</v>
      </c>
      <c r="AG39" s="3">
        <v>25.393043352127499</v>
      </c>
      <c r="AH39" s="3">
        <v>-86.006953900532494</v>
      </c>
      <c r="AI39" s="3">
        <v>20139479.899999999</v>
      </c>
      <c r="AJ39" s="3">
        <v>0.12503485203294101</v>
      </c>
      <c r="AK39" s="3">
        <v>81</v>
      </c>
      <c r="AL39" s="3">
        <f t="shared" si="3"/>
        <v>5.089906842764031</v>
      </c>
      <c r="AM39" s="4">
        <f t="shared" si="4"/>
        <v>0.43557544585825742</v>
      </c>
      <c r="AN39" s="4">
        <f t="shared" si="5"/>
        <v>5.0900019520446289</v>
      </c>
    </row>
    <row r="40" spans="1:40" x14ac:dyDescent="0.25">
      <c r="A40" s="3">
        <v>39</v>
      </c>
      <c r="B40" s="3">
        <v>200</v>
      </c>
      <c r="C40" s="3">
        <v>-125</v>
      </c>
      <c r="D40" s="3">
        <v>0.41364190189466499</v>
      </c>
      <c r="E40" s="3">
        <v>0.42091402404531902</v>
      </c>
      <c r="F40" s="3">
        <v>7.2721221506539396E-3</v>
      </c>
      <c r="G40" s="3">
        <v>4.8397763501454402E-2</v>
      </c>
      <c r="H40" s="3">
        <v>6.3025099187786603E-3</v>
      </c>
      <c r="I40" s="3">
        <v>3.1462582415442198E-3</v>
      </c>
      <c r="J40" s="3">
        <v>0.36305777807559497</v>
      </c>
      <c r="K40" s="4">
        <v>9.7143079471379406E-6</v>
      </c>
      <c r="L40" s="3">
        <v>74.007087830461003</v>
      </c>
      <c r="M40" s="3">
        <v>0.55940062530903101</v>
      </c>
      <c r="N40" s="3">
        <v>25.433511544230001</v>
      </c>
      <c r="O40" s="3">
        <v>34.442461349076702</v>
      </c>
      <c r="P40" s="3">
        <v>45.874151992181503</v>
      </c>
      <c r="Q40" s="3">
        <v>19.683386658741799</v>
      </c>
      <c r="R40" s="3">
        <v>0</v>
      </c>
      <c r="S40" s="3">
        <v>45.874151992181503</v>
      </c>
      <c r="T40" s="3">
        <v>0.21634945063816799</v>
      </c>
      <c r="U40" s="3">
        <v>-133.22913224031601</v>
      </c>
      <c r="V40" s="3">
        <v>4.8349940563992503E-3</v>
      </c>
      <c r="W40" s="3">
        <v>99.424039618100394</v>
      </c>
      <c r="X40" s="3">
        <v>45.691390199147399</v>
      </c>
      <c r="Y40" s="3">
        <v>336.94012688623002</v>
      </c>
      <c r="Z40" s="3">
        <v>54.691600131581801</v>
      </c>
      <c r="AA40" s="3">
        <v>3.13565099442134</v>
      </c>
      <c r="AB40" s="3">
        <v>763.60805431731899</v>
      </c>
      <c r="AC40" s="3">
        <v>5.1076754349936397</v>
      </c>
      <c r="AD40" s="3">
        <v>0</v>
      </c>
      <c r="AE40" s="3">
        <v>172.67518289510301</v>
      </c>
      <c r="AF40" s="3">
        <v>111.944329933547</v>
      </c>
      <c r="AG40" s="3">
        <v>24.535689906641</v>
      </c>
      <c r="AH40" s="3">
        <v>-50.682051112685798</v>
      </c>
      <c r="AI40" s="3">
        <v>335218091.5</v>
      </c>
      <c r="AJ40" s="3">
        <v>5.3160905521352601E-2</v>
      </c>
      <c r="AK40" s="3">
        <v>789</v>
      </c>
      <c r="AL40" s="3">
        <f t="shared" si="3"/>
        <v>0.98272302243398035</v>
      </c>
      <c r="AM40" s="4">
        <f t="shared" si="4"/>
        <v>0.42090430973737186</v>
      </c>
      <c r="AN40" s="4">
        <f t="shared" si="5"/>
        <v>0.98274570329954958</v>
      </c>
    </row>
    <row r="41" spans="1:40" x14ac:dyDescent="0.25">
      <c r="A41" s="3">
        <v>40</v>
      </c>
      <c r="B41" s="3">
        <v>200</v>
      </c>
      <c r="C41" s="3">
        <v>-100</v>
      </c>
      <c r="D41" s="3">
        <v>0.41371681785979397</v>
      </c>
      <c r="E41" s="3">
        <v>0.43583430566092601</v>
      </c>
      <c r="F41" s="3">
        <v>2.2117487801132301E-2</v>
      </c>
      <c r="G41" s="3">
        <v>4.8348265967077503E-2</v>
      </c>
      <c r="H41" s="3">
        <v>5.9611014674706697E-3</v>
      </c>
      <c r="I41" s="3">
        <v>3.0752013522188401E-3</v>
      </c>
      <c r="J41" s="3">
        <v>0.37844029473905799</v>
      </c>
      <c r="K41" s="4">
        <v>9.4421351005022495E-6</v>
      </c>
      <c r="L41" s="3">
        <v>63.349753893862399</v>
      </c>
      <c r="M41" s="3">
        <v>1.6618452454332799</v>
      </c>
      <c r="N41" s="3">
        <v>34.988400860704402</v>
      </c>
      <c r="O41" s="3">
        <v>27.735645554027201</v>
      </c>
      <c r="P41" s="3">
        <v>53.161058762932598</v>
      </c>
      <c r="Q41" s="3">
        <v>19.103295683040098</v>
      </c>
      <c r="R41" s="3">
        <v>0</v>
      </c>
      <c r="S41" s="3">
        <v>53.161058762932598</v>
      </c>
      <c r="T41" s="3">
        <v>0.214467415046248</v>
      </c>
      <c r="U41" s="3">
        <v>-108.394980917027</v>
      </c>
      <c r="V41" s="3">
        <v>8.7907487637100004E-2</v>
      </c>
      <c r="W41" s="3">
        <v>99.957848410457501</v>
      </c>
      <c r="X41" s="3">
        <v>43.911659093918303</v>
      </c>
      <c r="Y41" s="3">
        <v>311.87579933083498</v>
      </c>
      <c r="Z41" s="3">
        <v>54.571086340005799</v>
      </c>
      <c r="AA41" s="3">
        <v>3.2683814459140401</v>
      </c>
      <c r="AB41" s="3">
        <v>772.61018940960503</v>
      </c>
      <c r="AC41" s="3">
        <v>3.87160616852817</v>
      </c>
      <c r="AD41" s="3">
        <v>0</v>
      </c>
      <c r="AE41" s="3">
        <v>172.22306858005399</v>
      </c>
      <c r="AF41" s="3">
        <v>111.941075916644</v>
      </c>
      <c r="AG41" s="3">
        <v>24.894704136701598</v>
      </c>
      <c r="AH41" s="3">
        <v>-35.041547577780001</v>
      </c>
      <c r="AI41" s="3">
        <v>4381810081.3000002</v>
      </c>
      <c r="AJ41" s="3">
        <v>6.0151417550216101E-2</v>
      </c>
      <c r="AK41" s="3">
        <v>4350</v>
      </c>
      <c r="AL41" s="3">
        <f t="shared" si="3"/>
        <v>0.94925253126278875</v>
      </c>
      <c r="AM41" s="4">
        <f t="shared" si="4"/>
        <v>0.4358248635258255</v>
      </c>
      <c r="AN41" s="4">
        <f t="shared" si="5"/>
        <v>0.94927309679586125</v>
      </c>
    </row>
    <row r="42" spans="1:40" x14ac:dyDescent="0.25">
      <c r="A42" s="3">
        <v>41</v>
      </c>
      <c r="B42" s="3">
        <v>200</v>
      </c>
      <c r="C42" s="3">
        <v>-75</v>
      </c>
      <c r="D42" s="3">
        <v>0.47356911269068602</v>
      </c>
      <c r="E42" s="3">
        <v>0.44676848883595699</v>
      </c>
      <c r="F42" s="3">
        <v>-2.6800623854729099E-2</v>
      </c>
      <c r="G42" s="3">
        <v>4.80807306663898E-2</v>
      </c>
      <c r="H42" s="3">
        <v>6.6391731348292198E-3</v>
      </c>
      <c r="I42" s="3">
        <v>4.2962947034126901E-3</v>
      </c>
      <c r="J42" s="3">
        <v>0.38741825097105298</v>
      </c>
      <c r="K42" s="3">
        <v>3.3403936027191398E-4</v>
      </c>
      <c r="L42" s="3">
        <v>30.700335935249701</v>
      </c>
      <c r="M42" s="3">
        <v>3.06213153237195</v>
      </c>
      <c r="N42" s="3">
        <v>66.237532532378395</v>
      </c>
      <c r="O42" s="3">
        <v>28.4472100777569</v>
      </c>
      <c r="P42" s="3">
        <v>54.561912123919598</v>
      </c>
      <c r="Q42" s="3">
        <v>16.990877798323599</v>
      </c>
      <c r="R42" s="3">
        <v>0</v>
      </c>
      <c r="S42" s="3">
        <v>54.561912123919598</v>
      </c>
      <c r="T42" s="3">
        <v>0.24320138156227</v>
      </c>
      <c r="U42" s="3">
        <v>-83.849086539708594</v>
      </c>
      <c r="V42" s="3">
        <v>0.61747857520537097</v>
      </c>
      <c r="W42" s="3">
        <v>99.978631958914093</v>
      </c>
      <c r="X42" s="3">
        <v>44.765685517860597</v>
      </c>
      <c r="Y42" s="3">
        <v>308.16149435118302</v>
      </c>
      <c r="Z42" s="3">
        <v>53.949456235292097</v>
      </c>
      <c r="AA42" s="3">
        <v>3.3238001824335499</v>
      </c>
      <c r="AB42" s="3">
        <v>772.44877703282305</v>
      </c>
      <c r="AC42" s="3">
        <v>2.26634301590085</v>
      </c>
      <c r="AD42" s="3">
        <v>0</v>
      </c>
      <c r="AE42" s="3">
        <v>171.911635516481</v>
      </c>
      <c r="AF42" s="3">
        <v>111.93787382558401</v>
      </c>
      <c r="AG42" s="3">
        <v>25.438281179927301</v>
      </c>
      <c r="AH42" s="3">
        <v>-30.2244288967999</v>
      </c>
      <c r="AI42" s="3">
        <v>40557876203.900002</v>
      </c>
      <c r="AJ42" s="3">
        <v>6.8182001372595696E-2</v>
      </c>
      <c r="AK42" s="3">
        <v>14150</v>
      </c>
      <c r="AL42" s="3">
        <f t="shared" si="3"/>
        <v>1.0599877218837821</v>
      </c>
      <c r="AM42" s="4">
        <f t="shared" si="4"/>
        <v>0.44643444947568506</v>
      </c>
      <c r="AN42" s="4">
        <f t="shared" si="5"/>
        <v>1.0607808453108161</v>
      </c>
    </row>
    <row r="43" spans="1:40" x14ac:dyDescent="0.25">
      <c r="A43" s="3">
        <v>42</v>
      </c>
      <c r="B43" s="3">
        <v>200</v>
      </c>
      <c r="C43" s="3">
        <v>-50</v>
      </c>
      <c r="D43" s="3">
        <v>0.56367757496814996</v>
      </c>
      <c r="E43" s="3">
        <v>0.52480035265360603</v>
      </c>
      <c r="F43" s="3">
        <v>-3.8877222314544102E-2</v>
      </c>
      <c r="G43" s="3">
        <v>4.83694268494788E-2</v>
      </c>
      <c r="H43" s="3">
        <v>7.59763488544385E-3</v>
      </c>
      <c r="I43" s="3">
        <v>6.0566375804035804E-3</v>
      </c>
      <c r="J43" s="3">
        <v>0.42443290794878702</v>
      </c>
      <c r="K43" s="3">
        <v>3.8343745389492097E-2</v>
      </c>
      <c r="L43" s="3">
        <v>10.600275092633501</v>
      </c>
      <c r="M43" s="3">
        <v>4.0936595437102996</v>
      </c>
      <c r="N43" s="3">
        <v>85.306065363656202</v>
      </c>
      <c r="O43" s="3">
        <v>26.442929998791101</v>
      </c>
      <c r="P43" s="3">
        <v>55.914986278186902</v>
      </c>
      <c r="Q43" s="3">
        <v>17.6420837230221</v>
      </c>
      <c r="R43" s="3">
        <v>0</v>
      </c>
      <c r="S43" s="3">
        <v>55.914986278186902</v>
      </c>
      <c r="T43" s="3">
        <v>0.28313032949264</v>
      </c>
      <c r="U43" s="3">
        <v>-60.126835115430403</v>
      </c>
      <c r="V43" s="3">
        <v>40.220829629909197</v>
      </c>
      <c r="W43" s="3">
        <v>99.987552217089899</v>
      </c>
      <c r="X43" s="3">
        <v>44.642141085138597</v>
      </c>
      <c r="Y43" s="3">
        <v>302.64455545095302</v>
      </c>
      <c r="Z43" s="3">
        <v>54.596400710216898</v>
      </c>
      <c r="AA43" s="3">
        <v>3.4066129669655298</v>
      </c>
      <c r="AB43" s="3">
        <v>771.73681322145899</v>
      </c>
      <c r="AC43" s="3">
        <v>2.2985836887290398</v>
      </c>
      <c r="AD43" s="3">
        <v>0</v>
      </c>
      <c r="AE43" s="3">
        <v>172.279537741052</v>
      </c>
      <c r="AF43" s="3">
        <v>112.030007480807</v>
      </c>
      <c r="AG43" s="3">
        <v>26.635491927994799</v>
      </c>
      <c r="AH43" s="3">
        <v>-25.311289937470399</v>
      </c>
      <c r="AI43" s="3">
        <v>243551740603.79999</v>
      </c>
      <c r="AJ43" s="3">
        <v>6.3676017169279397E-2</v>
      </c>
      <c r="AK43" s="3">
        <v>39108</v>
      </c>
      <c r="AL43" s="3">
        <f t="shared" si="3"/>
        <v>1.0740800232278136</v>
      </c>
      <c r="AM43" s="4">
        <f t="shared" si="4"/>
        <v>0.48645660726411394</v>
      </c>
      <c r="AN43" s="4">
        <f t="shared" si="5"/>
        <v>1.1587417388332648</v>
      </c>
    </row>
    <row r="44" spans="1:40" x14ac:dyDescent="0.25">
      <c r="A44" s="3">
        <v>43</v>
      </c>
      <c r="B44" s="3">
        <v>200</v>
      </c>
      <c r="C44" s="3">
        <v>-25</v>
      </c>
      <c r="D44" s="3">
        <v>0.66900424314893503</v>
      </c>
      <c r="E44" s="3">
        <v>0.66452888800835996</v>
      </c>
      <c r="F44" s="3">
        <v>-4.4753551405747102E-3</v>
      </c>
      <c r="G44" s="3">
        <v>4.8816878585963598E-2</v>
      </c>
      <c r="H44" s="3">
        <v>8.1984481466343597E-3</v>
      </c>
      <c r="I44" s="3">
        <v>9.2229870118835499E-3</v>
      </c>
      <c r="J44" s="3">
        <v>0.48782837453545003</v>
      </c>
      <c r="K44" s="3">
        <v>0.110462199728428</v>
      </c>
      <c r="L44" s="3">
        <v>5.5347786308647802</v>
      </c>
      <c r="M44" s="3">
        <v>4.5653467161332397</v>
      </c>
      <c r="N44" s="3">
        <v>89.899874653002001</v>
      </c>
      <c r="O44" s="3">
        <v>26.7960769780838</v>
      </c>
      <c r="P44" s="3">
        <v>54.641556123533299</v>
      </c>
      <c r="Q44" s="3">
        <v>18.562366898382901</v>
      </c>
      <c r="R44" s="3">
        <v>0</v>
      </c>
      <c r="S44" s="3">
        <v>54.641556123533299</v>
      </c>
      <c r="T44" s="3">
        <v>0.30505764369671801</v>
      </c>
      <c r="U44" s="3">
        <v>-36.609338121494602</v>
      </c>
      <c r="V44" s="3">
        <v>164.066805514403</v>
      </c>
      <c r="W44" s="3">
        <v>99.982372934702795</v>
      </c>
      <c r="X44" s="3">
        <v>44.808881163246703</v>
      </c>
      <c r="Y44" s="3">
        <v>300.75008589296101</v>
      </c>
      <c r="Z44" s="3">
        <v>55.613737866396001</v>
      </c>
      <c r="AA44" s="3">
        <v>3.5385703207732799</v>
      </c>
      <c r="AB44" s="3">
        <v>769.06735014517801</v>
      </c>
      <c r="AC44" s="3">
        <v>4.0917690893106702</v>
      </c>
      <c r="AD44" s="3">
        <v>0</v>
      </c>
      <c r="AE44" s="3">
        <v>173.09208165930201</v>
      </c>
      <c r="AF44" s="3">
        <v>112.208743425252</v>
      </c>
      <c r="AG44" s="3">
        <v>29.632123521064202</v>
      </c>
      <c r="AH44" s="3">
        <v>-17.742090535751501</v>
      </c>
      <c r="AI44" s="3">
        <v>540234429640.20001</v>
      </c>
      <c r="AJ44" s="3">
        <v>7.0662158076239004E-2</v>
      </c>
      <c r="AK44" s="3">
        <v>83881</v>
      </c>
      <c r="AL44" s="3">
        <f t="shared" si="3"/>
        <v>1.006734628428251</v>
      </c>
      <c r="AM44" s="4">
        <f t="shared" si="4"/>
        <v>0.554066688279932</v>
      </c>
      <c r="AN44" s="4">
        <f t="shared" si="5"/>
        <v>1.2074435393793841</v>
      </c>
    </row>
    <row r="45" spans="1:40" x14ac:dyDescent="0.25">
      <c r="A45" s="3">
        <v>44</v>
      </c>
      <c r="B45" s="3">
        <v>200</v>
      </c>
      <c r="C45" s="3">
        <v>0</v>
      </c>
      <c r="D45" s="3">
        <v>0.76102968127687398</v>
      </c>
      <c r="E45" s="3">
        <v>0.75704348810321997</v>
      </c>
      <c r="F45" s="3">
        <v>-3.9861931736536703E-3</v>
      </c>
      <c r="G45" s="3">
        <v>4.9536035597172699E-2</v>
      </c>
      <c r="H45" s="3">
        <v>1.0011132674436001E-2</v>
      </c>
      <c r="I45" s="3">
        <v>1.33426523281342E-2</v>
      </c>
      <c r="J45" s="3">
        <v>0.51088627783003104</v>
      </c>
      <c r="K45" s="3">
        <v>0.17326738967344599</v>
      </c>
      <c r="L45" s="3">
        <v>4.8478535756917198</v>
      </c>
      <c r="M45" s="3">
        <v>4.7734822125663898</v>
      </c>
      <c r="N45" s="3">
        <v>90.378664211741906</v>
      </c>
      <c r="O45" s="3">
        <v>25.487252833128998</v>
      </c>
      <c r="P45" s="3">
        <v>54.222825874594903</v>
      </c>
      <c r="Q45" s="3">
        <v>20.289921292276102</v>
      </c>
      <c r="R45" s="3">
        <v>0</v>
      </c>
      <c r="S45" s="3">
        <v>54.222825874594903</v>
      </c>
      <c r="T45" s="3">
        <v>0.36112446163831202</v>
      </c>
      <c r="U45" s="3">
        <v>-14.366102323446899</v>
      </c>
      <c r="V45" s="3">
        <v>533.43831351482902</v>
      </c>
      <c r="W45" s="3">
        <v>99.972589250201906</v>
      </c>
      <c r="X45" s="3">
        <v>45.280768537071403</v>
      </c>
      <c r="Y45" s="3">
        <v>282.91320688058403</v>
      </c>
      <c r="Z45" s="3">
        <v>57.275809356465402</v>
      </c>
      <c r="AA45" s="3">
        <v>3.73052649301157</v>
      </c>
      <c r="AB45" s="3">
        <v>765.67275079328999</v>
      </c>
      <c r="AC45" s="3">
        <v>7.6447461202171203</v>
      </c>
      <c r="AD45" s="3">
        <v>0</v>
      </c>
      <c r="AE45" s="3">
        <v>171.86366644776101</v>
      </c>
      <c r="AF45" s="3">
        <v>112.127000041549</v>
      </c>
      <c r="AG45" s="3">
        <v>31.258585094795698</v>
      </c>
      <c r="AH45" s="3">
        <v>-11.116275860719</v>
      </c>
      <c r="AI45" s="3">
        <v>540376859333.29999</v>
      </c>
      <c r="AJ45" s="3">
        <v>7.6033291642935E-2</v>
      </c>
      <c r="AK45" s="3">
        <v>116653</v>
      </c>
      <c r="AL45" s="3">
        <f t="shared" si="3"/>
        <v>1.0052654744889775</v>
      </c>
      <c r="AM45" s="4">
        <f t="shared" si="4"/>
        <v>0.58377609842977396</v>
      </c>
      <c r="AN45" s="4">
        <f t="shared" si="5"/>
        <v>1.3036328197126812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E12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0.51773152836699099</v>
      </c>
      <c r="E5" s="11">
        <v>0.5177285755342903</v>
      </c>
      <c r="F5" s="11">
        <v>1.4527591372311454E-3</v>
      </c>
      <c r="G5" s="11">
        <v>1.4527674229524467E-3</v>
      </c>
      <c r="H5" s="7">
        <v>451969.4</v>
      </c>
      <c r="I5" s="11">
        <v>0</v>
      </c>
      <c r="J5" s="11">
        <v>0.60751485645309</v>
      </c>
      <c r="K5" s="11">
        <v>0.60751009878362228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0.46477144983646501</v>
      </c>
      <c r="Q5" s="11">
        <v>0.46476689838737173</v>
      </c>
      <c r="R5" s="11">
        <v>6.4889008801018054E-3</v>
      </c>
      <c r="S5" s="11">
        <v>6.4889644257246316E-3</v>
      </c>
      <c r="T5" s="7">
        <v>281354.7</v>
      </c>
      <c r="U5" s="11">
        <v>0</v>
      </c>
      <c r="V5" s="11">
        <v>0.48660862304709301</v>
      </c>
      <c r="W5" s="11">
        <v>0.48660195734402434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0.417481670346877</v>
      </c>
      <c r="AC5" s="11">
        <v>0.41747490804676729</v>
      </c>
      <c r="AD5" s="11">
        <v>1.7716279222628698E-4</v>
      </c>
      <c r="AE5" s="11">
        <v>1.7716566192682757E-4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0.55455705910647202</v>
      </c>
      <c r="E6" s="11">
        <v>0.55455348099811219</v>
      </c>
      <c r="F6" s="11">
        <v>1.7383182742887741E-2</v>
      </c>
      <c r="G6" s="11">
        <v>1.7383294903235882E-2</v>
      </c>
      <c r="H6" s="7">
        <v>3028281.2</v>
      </c>
      <c r="I6" s="11">
        <v>0.80176924152882501</v>
      </c>
      <c r="J6" s="11">
        <v>0.56430081483251304</v>
      </c>
      <c r="K6" s="11">
        <v>0.56429618379179325</v>
      </c>
      <c r="L6" s="11">
        <v>1.4208188619518363</v>
      </c>
      <c r="M6" s="11">
        <v>1.4208305222646189</v>
      </c>
      <c r="N6" s="7">
        <v>6808924.5</v>
      </c>
      <c r="O6" s="11">
        <v>1.4011899431400699E-2</v>
      </c>
      <c r="P6" s="11">
        <v>0.53096772836044204</v>
      </c>
      <c r="Q6" s="11">
        <v>0.53096247357129878</v>
      </c>
      <c r="R6" s="11">
        <v>2.6389361693727766E-2</v>
      </c>
      <c r="S6" s="11">
        <v>2.6389622861961358E-2</v>
      </c>
      <c r="T6" s="7">
        <v>3149335.9</v>
      </c>
      <c r="U6" s="11">
        <v>2.59566697283704E-2</v>
      </c>
      <c r="V6" s="11">
        <v>0.51289707914555804</v>
      </c>
      <c r="W6" s="11">
        <v>0.51289075670059669</v>
      </c>
      <c r="X6" s="11">
        <v>5.0607949984062997E-2</v>
      </c>
      <c r="Y6" s="11">
        <v>5.0608573832268876E-2</v>
      </c>
      <c r="Z6" s="7">
        <v>20139479.899999999</v>
      </c>
      <c r="AA6" s="11">
        <v>2.2170798696812399</v>
      </c>
      <c r="AB6" s="11">
        <v>0.43558358495953797</v>
      </c>
      <c r="AC6" s="11">
        <v>0.43557544585825742</v>
      </c>
      <c r="AD6" s="11">
        <v>5.089906842764031</v>
      </c>
      <c r="AE6" s="11">
        <v>5.0900019520446289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0.60139674132914001</v>
      </c>
      <c r="E7" s="11">
        <v>0.60139323837655645</v>
      </c>
      <c r="F7" s="11">
        <v>0.23470777638433743</v>
      </c>
      <c r="G7" s="11">
        <v>0.2347091434935086</v>
      </c>
      <c r="H7" s="7">
        <v>39035811.600000001</v>
      </c>
      <c r="I7" s="11">
        <v>0.25237078541822899</v>
      </c>
      <c r="J7" s="11">
        <v>0.5682816692564</v>
      </c>
      <c r="K7" s="11">
        <v>0.56827718776396119</v>
      </c>
      <c r="L7" s="11">
        <v>0.44409453809843574</v>
      </c>
      <c r="M7" s="11">
        <v>0.44409804027370769</v>
      </c>
      <c r="N7" s="7">
        <v>70532001</v>
      </c>
      <c r="O7" s="11">
        <v>0.35037417787806702</v>
      </c>
      <c r="P7" s="11">
        <v>0.56285693161364703</v>
      </c>
      <c r="Q7" s="11">
        <v>0.56285149495466302</v>
      </c>
      <c r="R7" s="11">
        <v>0.62249242782456982</v>
      </c>
      <c r="S7" s="11">
        <v>0.6224984405634193</v>
      </c>
      <c r="T7" s="7">
        <v>38724152.600000001</v>
      </c>
      <c r="U7" s="11">
        <v>0.45182697437541902</v>
      </c>
      <c r="V7" s="11">
        <v>0.52678010582378798</v>
      </c>
      <c r="W7" s="11">
        <v>0.52677400971050981</v>
      </c>
      <c r="X7" s="11">
        <v>0.85771457460194722</v>
      </c>
      <c r="Y7" s="11">
        <v>0.85772450053813754</v>
      </c>
      <c r="Z7" s="7">
        <v>335218091.5</v>
      </c>
      <c r="AA7" s="11">
        <v>0.41364190189466499</v>
      </c>
      <c r="AB7" s="11">
        <v>0.42091402404531902</v>
      </c>
      <c r="AC7" s="11">
        <v>0.42090430973737186</v>
      </c>
      <c r="AD7" s="11">
        <v>0.98272302243398035</v>
      </c>
      <c r="AE7" s="11">
        <v>0.98274570329954958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0.64990621304332097</v>
      </c>
      <c r="E8" s="11">
        <v>0.64990264088764371</v>
      </c>
      <c r="F8" s="11">
        <v>1.3956916588831367</v>
      </c>
      <c r="G8" s="11">
        <v>1.3956993302289189</v>
      </c>
      <c r="H8" s="7">
        <v>392191752.60000002</v>
      </c>
      <c r="I8" s="11">
        <v>0.78584576868868605</v>
      </c>
      <c r="J8" s="11">
        <v>0.61087705296824102</v>
      </c>
      <c r="K8" s="11">
        <v>0.61087257423143504</v>
      </c>
      <c r="L8" s="11">
        <v>1.2864221448002917</v>
      </c>
      <c r="M8" s="11">
        <v>1.2864315764664869</v>
      </c>
      <c r="N8" s="7">
        <v>731421249.10000002</v>
      </c>
      <c r="O8" s="11">
        <v>0.71376871313629697</v>
      </c>
      <c r="P8" s="11">
        <v>0.59401950505270196</v>
      </c>
      <c r="Q8" s="11">
        <v>0.59401412918201535</v>
      </c>
      <c r="R8" s="11">
        <v>1.2015913737933079</v>
      </c>
      <c r="S8" s="11">
        <v>1.2016022482818534</v>
      </c>
      <c r="T8" s="7">
        <v>424766759.30000001</v>
      </c>
      <c r="U8" s="11">
        <v>0.55552322521742603</v>
      </c>
      <c r="V8" s="11">
        <v>0.55450317873329402</v>
      </c>
      <c r="W8" s="11">
        <v>0.55449707399659209</v>
      </c>
      <c r="X8" s="11">
        <v>1.0018395683257617</v>
      </c>
      <c r="Y8" s="11">
        <v>1.0018505980805956</v>
      </c>
      <c r="Z8" s="7">
        <v>4381810081.3000002</v>
      </c>
      <c r="AA8" s="11">
        <v>0.41371681785979397</v>
      </c>
      <c r="AB8" s="11">
        <v>0.43583430566092601</v>
      </c>
      <c r="AC8" s="11">
        <v>0.4358248635258255</v>
      </c>
      <c r="AD8" s="11">
        <v>0.94925253126278875</v>
      </c>
      <c r="AE8" s="11">
        <v>0.94927309679586125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0.69570058893931197</v>
      </c>
      <c r="E9" s="12">
        <v>0.69569694564116935</v>
      </c>
      <c r="F9" s="12">
        <v>1.0938020155885735</v>
      </c>
      <c r="G9" s="12">
        <v>1.0938077437247637</v>
      </c>
      <c r="H9" s="9">
        <v>2144100766.4000001</v>
      </c>
      <c r="I9" s="12">
        <v>0.66247028344860104</v>
      </c>
      <c r="J9" s="12">
        <v>0.65405354560285001</v>
      </c>
      <c r="K9" s="12">
        <v>0.65404902975035828</v>
      </c>
      <c r="L9" s="12">
        <v>1.0128685761316272</v>
      </c>
      <c r="M9" s="12">
        <v>1.0128755694377485</v>
      </c>
      <c r="N9" s="9">
        <v>4734935979.6000004</v>
      </c>
      <c r="O9" s="12">
        <v>0.74363181723453298</v>
      </c>
      <c r="P9" s="12">
        <v>0.62993320735398906</v>
      </c>
      <c r="Q9" s="12">
        <v>0.62992782238094236</v>
      </c>
      <c r="R9" s="12">
        <v>1.1804931198311177</v>
      </c>
      <c r="S9" s="12">
        <v>1.18050321134225</v>
      </c>
      <c r="T9" s="9">
        <v>3117240112.1999998</v>
      </c>
      <c r="U9" s="12">
        <v>0.58389240736353099</v>
      </c>
      <c r="V9" s="12">
        <v>0.582032075883822</v>
      </c>
      <c r="W9" s="12">
        <v>0.58202596226954684</v>
      </c>
      <c r="X9" s="12">
        <v>1.0031962696847663</v>
      </c>
      <c r="Y9" s="12">
        <v>1.0032068072817681</v>
      </c>
      <c r="Z9" s="9">
        <v>40557876203.900002</v>
      </c>
      <c r="AA9" s="12">
        <v>0.47356911269068602</v>
      </c>
      <c r="AB9" s="12">
        <v>0.44676848883595699</v>
      </c>
      <c r="AC9" s="12">
        <v>0.44643444947568506</v>
      </c>
      <c r="AD9" s="12">
        <v>1.0599877218837821</v>
      </c>
      <c r="AE9" s="12">
        <v>1.0607808453108161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0.74608969303727202</v>
      </c>
      <c r="E10" s="11">
        <v>0.74608272174763046</v>
      </c>
      <c r="F10" s="11">
        <v>1.0279356853064283</v>
      </c>
      <c r="G10" s="11">
        <v>1.027945290189622</v>
      </c>
      <c r="H10" s="7">
        <v>9870188707.5</v>
      </c>
      <c r="I10" s="11">
        <v>0.75228684371599297</v>
      </c>
      <c r="J10" s="11">
        <v>0.70693274533572803</v>
      </c>
      <c r="K10" s="11">
        <v>0.70604920619892131</v>
      </c>
      <c r="L10" s="11">
        <v>1.0641561714031593</v>
      </c>
      <c r="M10" s="11">
        <v>1.0654878400982788</v>
      </c>
      <c r="N10" s="7">
        <v>23474302159.900002</v>
      </c>
      <c r="O10" s="11">
        <v>0.69681138195660197</v>
      </c>
      <c r="P10" s="11">
        <v>0.69034558134150503</v>
      </c>
      <c r="Q10" s="11">
        <v>0.68526268534668822</v>
      </c>
      <c r="R10" s="11">
        <v>1.0093660346207074</v>
      </c>
      <c r="S10" s="11">
        <v>1.0168529483026951</v>
      </c>
      <c r="T10" s="7">
        <v>16067322671.9</v>
      </c>
      <c r="U10" s="11">
        <v>0.706459051979482</v>
      </c>
      <c r="V10" s="11">
        <v>0.645096140692199</v>
      </c>
      <c r="W10" s="11">
        <v>0.63463031753540255</v>
      </c>
      <c r="X10" s="11">
        <v>1.0951221181100845</v>
      </c>
      <c r="Y10" s="11">
        <v>1.1131820092097515</v>
      </c>
      <c r="Z10" s="7">
        <v>243551740603.79999</v>
      </c>
      <c r="AA10" s="11">
        <v>0.56367757496814996</v>
      </c>
      <c r="AB10" s="11">
        <v>0.52480035265360603</v>
      </c>
      <c r="AC10" s="11">
        <v>0.48645660726411394</v>
      </c>
      <c r="AD10" s="11">
        <v>1.0740800232278136</v>
      </c>
      <c r="AE10" s="11">
        <v>1.1587417388332648</v>
      </c>
    </row>
    <row r="11" spans="1:31" x14ac:dyDescent="0.25">
      <c r="A11" s="6">
        <v>-25</v>
      </c>
      <c r="B11" s="7">
        <v>12558200935</v>
      </c>
      <c r="C11" s="11">
        <v>0.82024288012681301</v>
      </c>
      <c r="D11" s="11">
        <v>0.83981585581762297</v>
      </c>
      <c r="E11" s="11">
        <v>0.8319565544355404</v>
      </c>
      <c r="F11" s="11">
        <v>0.97669372927979048</v>
      </c>
      <c r="G11" s="11">
        <v>0.98592032931734663</v>
      </c>
      <c r="H11" s="7">
        <v>22538638913.799999</v>
      </c>
      <c r="I11" s="11">
        <v>0.78261800693864103</v>
      </c>
      <c r="J11" s="11">
        <v>0.81756249570324802</v>
      </c>
      <c r="K11" s="11">
        <v>0.79421207803364813</v>
      </c>
      <c r="L11" s="11">
        <v>0.95725771552846417</v>
      </c>
      <c r="M11" s="11">
        <v>0.98540179453866739</v>
      </c>
      <c r="N11" s="7">
        <v>53937995797.300003</v>
      </c>
      <c r="O11" s="11">
        <v>0.78391795670064501</v>
      </c>
      <c r="P11" s="11">
        <v>0.81450609628720505</v>
      </c>
      <c r="Q11" s="11">
        <v>0.77365159963200247</v>
      </c>
      <c r="R11" s="11">
        <v>0.96244578189654917</v>
      </c>
      <c r="S11" s="11">
        <v>1.0132700004414465</v>
      </c>
      <c r="T11" s="7">
        <v>38072425699.599998</v>
      </c>
      <c r="U11" s="11">
        <v>0.76609999648758498</v>
      </c>
      <c r="V11" s="11">
        <v>0.77207293366206298</v>
      </c>
      <c r="W11" s="11">
        <v>0.71712428430899589</v>
      </c>
      <c r="X11" s="11">
        <v>0.99226376561842744</v>
      </c>
      <c r="Y11" s="11">
        <v>1.0682945944659801</v>
      </c>
      <c r="Z11" s="7">
        <v>540234429640.20001</v>
      </c>
      <c r="AA11" s="11">
        <v>0.66900424314893503</v>
      </c>
      <c r="AB11" s="11">
        <v>0.66452888800835996</v>
      </c>
      <c r="AC11" s="11">
        <v>0.554066688279932</v>
      </c>
      <c r="AD11" s="11">
        <v>1.006734628428251</v>
      </c>
      <c r="AE11" s="11">
        <v>1.2074435393793841</v>
      </c>
    </row>
    <row r="12" spans="1:31" x14ac:dyDescent="0.25">
      <c r="A12" s="6">
        <v>0</v>
      </c>
      <c r="B12" s="7">
        <v>19368821291.700001</v>
      </c>
      <c r="C12" s="11">
        <v>0.82501349441100102</v>
      </c>
      <c r="D12" s="11">
        <v>0.88523299655301602</v>
      </c>
      <c r="E12" s="11">
        <v>0.8525701327347236</v>
      </c>
      <c r="F12" s="11">
        <v>0.93197327440741362</v>
      </c>
      <c r="G12" s="11">
        <v>0.96767815659301681</v>
      </c>
      <c r="H12" s="7">
        <v>32534589612.5</v>
      </c>
      <c r="I12" s="11">
        <v>0.87178372600314402</v>
      </c>
      <c r="J12" s="11">
        <v>0.87260569619431205</v>
      </c>
      <c r="K12" s="11">
        <v>0.81468523307006113</v>
      </c>
      <c r="L12" s="11">
        <v>0.99905802793317433</v>
      </c>
      <c r="M12" s="11">
        <v>1.0700865691623167</v>
      </c>
      <c r="N12" s="7">
        <v>75485525496.399994</v>
      </c>
      <c r="O12" s="11">
        <v>0.86356101662761398</v>
      </c>
      <c r="P12" s="11">
        <v>0.87651526074021602</v>
      </c>
      <c r="Q12" s="11">
        <v>0.79483761721885682</v>
      </c>
      <c r="R12" s="11">
        <v>0.98522074321710928</v>
      </c>
      <c r="S12" s="11">
        <v>1.0864621878984804</v>
      </c>
      <c r="T12" s="7">
        <v>53559789764.400002</v>
      </c>
      <c r="U12" s="11">
        <v>0.83075719071396603</v>
      </c>
      <c r="V12" s="11">
        <v>0.83995920961522796</v>
      </c>
      <c r="W12" s="11">
        <v>0.7381540463590579</v>
      </c>
      <c r="X12" s="11">
        <v>0.98904468360377018</v>
      </c>
      <c r="Y12" s="11">
        <v>1.1254523291061977</v>
      </c>
      <c r="Z12" s="7">
        <v>540376859333.29999</v>
      </c>
      <c r="AA12" s="11">
        <v>0.76102968127687398</v>
      </c>
      <c r="AB12" s="11">
        <v>0.75704348810321997</v>
      </c>
      <c r="AC12" s="11">
        <v>0.58377609842977396</v>
      </c>
      <c r="AD12" s="11">
        <v>1.0052654744889775</v>
      </c>
      <c r="AE12" s="11">
        <v>1.3036328197126812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4"/>
  <sheetViews>
    <sheetView tabSelected="1" workbookViewId="0">
      <selection activeCell="W27" sqref="W27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0.51773152836699099</v>
      </c>
      <c r="E3" s="11">
        <v>0.5177285755342903</v>
      </c>
      <c r="F3" s="11">
        <v>1.4527591372311454E-3</v>
      </c>
      <c r="G3" s="11">
        <v>1.4527674229524467E-3</v>
      </c>
      <c r="H3" s="7">
        <v>451969.4</v>
      </c>
      <c r="I3" s="11">
        <v>0</v>
      </c>
      <c r="J3" s="11">
        <v>0.60751485645309</v>
      </c>
      <c r="K3" s="11">
        <v>0.60751009878362228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0.46477144983646501</v>
      </c>
      <c r="Q3" s="11">
        <v>0.46476689838737173</v>
      </c>
      <c r="R3" s="11">
        <v>6.4889008801018054E-3</v>
      </c>
      <c r="S3" s="11">
        <v>6.4889644257246316E-3</v>
      </c>
      <c r="T3" s="7">
        <v>281354.7</v>
      </c>
      <c r="U3" s="11">
        <v>0</v>
      </c>
      <c r="V3" s="11">
        <v>0.48660862304709301</v>
      </c>
      <c r="W3" s="11">
        <v>0.48660195734402434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0.417481670346877</v>
      </c>
      <c r="AC3" s="11">
        <v>0.41747490804676729</v>
      </c>
      <c r="AD3" s="11">
        <v>1.7716279222628698E-4</v>
      </c>
      <c r="AE3" s="11">
        <v>1.7716566192682757E-4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0.55455705910647202</v>
      </c>
      <c r="E4" s="11">
        <v>0.55455348099811219</v>
      </c>
      <c r="F4" s="11">
        <v>1.7383182742887741E-2</v>
      </c>
      <c r="G4" s="11">
        <v>1.7383294903235882E-2</v>
      </c>
      <c r="H4" s="7">
        <v>3028281.2</v>
      </c>
      <c r="I4" s="11">
        <v>0.80176924152882501</v>
      </c>
      <c r="J4" s="11">
        <v>0.56430081483251304</v>
      </c>
      <c r="K4" s="11">
        <v>0.56429618379179325</v>
      </c>
      <c r="L4" s="11">
        <v>1.4208188619518363</v>
      </c>
      <c r="M4" s="11">
        <v>1.4208305222646189</v>
      </c>
      <c r="N4" s="7">
        <v>6808924.5</v>
      </c>
      <c r="O4" s="11">
        <v>1.4011899431400699E-2</v>
      </c>
      <c r="P4" s="11">
        <v>0.53096772836044204</v>
      </c>
      <c r="Q4" s="11">
        <v>0.53096247357129878</v>
      </c>
      <c r="R4" s="11">
        <v>2.6389361693727766E-2</v>
      </c>
      <c r="S4" s="11">
        <v>2.6389622861961358E-2</v>
      </c>
      <c r="T4" s="7">
        <v>3149335.9</v>
      </c>
      <c r="U4" s="11">
        <v>2.59566697283704E-2</v>
      </c>
      <c r="V4" s="11">
        <v>0.51289707914555804</v>
      </c>
      <c r="W4" s="11">
        <v>0.51289075670059669</v>
      </c>
      <c r="X4" s="11">
        <v>5.0607949984062997E-2</v>
      </c>
      <c r="Y4" s="11">
        <v>5.0608573832268876E-2</v>
      </c>
      <c r="Z4" s="7">
        <v>20139479.899999999</v>
      </c>
      <c r="AA4" s="11">
        <v>2.2170798696812399</v>
      </c>
      <c r="AB4" s="11">
        <v>0.43558358495953797</v>
      </c>
      <c r="AC4" s="11">
        <v>0.43557544585825742</v>
      </c>
      <c r="AD4" s="11">
        <v>5.089906842764031</v>
      </c>
      <c r="AE4" s="11">
        <v>5.0900019520446289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0.60139674132914001</v>
      </c>
      <c r="E5" s="11">
        <v>0.60139323837655645</v>
      </c>
      <c r="F5" s="11">
        <v>0.23470777638433743</v>
      </c>
      <c r="G5" s="11">
        <v>0.2347091434935086</v>
      </c>
      <c r="H5" s="7">
        <v>39035811.600000001</v>
      </c>
      <c r="I5" s="11">
        <v>0.25237078541822899</v>
      </c>
      <c r="J5" s="11">
        <v>0.5682816692564</v>
      </c>
      <c r="K5" s="11">
        <v>0.56827718776396119</v>
      </c>
      <c r="L5" s="11">
        <v>0.44409453809843574</v>
      </c>
      <c r="M5" s="11">
        <v>0.44409804027370769</v>
      </c>
      <c r="N5" s="7">
        <v>70532001</v>
      </c>
      <c r="O5" s="11">
        <v>0.35037417787806702</v>
      </c>
      <c r="P5" s="11">
        <v>0.56285693161364703</v>
      </c>
      <c r="Q5" s="11">
        <v>0.56285149495466302</v>
      </c>
      <c r="R5" s="11">
        <v>0.62249242782456982</v>
      </c>
      <c r="S5" s="11">
        <v>0.6224984405634193</v>
      </c>
      <c r="T5" s="7">
        <v>38724152.600000001</v>
      </c>
      <c r="U5" s="11">
        <v>0.45182697437541902</v>
      </c>
      <c r="V5" s="11">
        <v>0.52678010582378798</v>
      </c>
      <c r="W5" s="11">
        <v>0.52677400971050981</v>
      </c>
      <c r="X5" s="11">
        <v>0.85771457460194722</v>
      </c>
      <c r="Y5" s="11">
        <v>0.85772450053813754</v>
      </c>
      <c r="Z5" s="7">
        <v>335218091.5</v>
      </c>
      <c r="AA5" s="11">
        <v>0.41364190189466499</v>
      </c>
      <c r="AB5" s="11">
        <v>0.42091402404531902</v>
      </c>
      <c r="AC5" s="11">
        <v>0.42090430973737186</v>
      </c>
      <c r="AD5" s="11">
        <v>0.98272302243398035</v>
      </c>
      <c r="AE5" s="11">
        <v>0.98274570329954958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0.64990621304332097</v>
      </c>
      <c r="E6" s="11">
        <v>0.64990264088764371</v>
      </c>
      <c r="F6" s="11">
        <v>1.3956916588831367</v>
      </c>
      <c r="G6" s="11">
        <v>1.3956993302289189</v>
      </c>
      <c r="H6" s="7">
        <v>392191752.60000002</v>
      </c>
      <c r="I6" s="11">
        <v>0.78584576868868605</v>
      </c>
      <c r="J6" s="11">
        <v>0.61087705296824102</v>
      </c>
      <c r="K6" s="11">
        <v>0.61087257423143504</v>
      </c>
      <c r="L6" s="11">
        <v>1.2864221448002917</v>
      </c>
      <c r="M6" s="11">
        <v>1.2864315764664869</v>
      </c>
      <c r="N6" s="7">
        <v>731421249.10000002</v>
      </c>
      <c r="O6" s="11">
        <v>0.71376871313629697</v>
      </c>
      <c r="P6" s="11">
        <v>0.59401950505270196</v>
      </c>
      <c r="Q6" s="11">
        <v>0.59401412918201535</v>
      </c>
      <c r="R6" s="11">
        <v>1.2015913737933079</v>
      </c>
      <c r="S6" s="11">
        <v>1.2016022482818534</v>
      </c>
      <c r="T6" s="7">
        <v>424766759.30000001</v>
      </c>
      <c r="U6" s="11">
        <v>0.55552322521742603</v>
      </c>
      <c r="V6" s="11">
        <v>0.55450317873329402</v>
      </c>
      <c r="W6" s="11">
        <v>0.55449707399659209</v>
      </c>
      <c r="X6" s="11">
        <v>1.0018395683257617</v>
      </c>
      <c r="Y6" s="11">
        <v>1.0018505980805956</v>
      </c>
      <c r="Z6" s="7">
        <v>4381810081.3000002</v>
      </c>
      <c r="AA6" s="11">
        <v>0.41371681785979397</v>
      </c>
      <c r="AB6" s="11">
        <v>0.43583430566092601</v>
      </c>
      <c r="AC6" s="11">
        <v>0.4358248635258255</v>
      </c>
      <c r="AD6" s="11">
        <v>0.94925253126278875</v>
      </c>
      <c r="AE6" s="11">
        <v>0.94927309679586125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0.69570058893931197</v>
      </c>
      <c r="E7" s="12">
        <v>0.69569694564116935</v>
      </c>
      <c r="F7" s="12">
        <v>1.0938020155885735</v>
      </c>
      <c r="G7" s="12">
        <v>1.0938077437247637</v>
      </c>
      <c r="H7" s="9">
        <v>2144100766.4000001</v>
      </c>
      <c r="I7" s="12">
        <v>0.66247028344860104</v>
      </c>
      <c r="J7" s="12">
        <v>0.65405354560285001</v>
      </c>
      <c r="K7" s="12">
        <v>0.65404902975035828</v>
      </c>
      <c r="L7" s="12">
        <v>1.0128685761316272</v>
      </c>
      <c r="M7" s="12">
        <v>1.0128755694377485</v>
      </c>
      <c r="N7" s="9">
        <v>4734935979.6000004</v>
      </c>
      <c r="O7" s="12">
        <v>0.74363181723453298</v>
      </c>
      <c r="P7" s="12">
        <v>0.62993320735398906</v>
      </c>
      <c r="Q7" s="12">
        <v>0.62992782238094236</v>
      </c>
      <c r="R7" s="12">
        <v>1.1804931198311177</v>
      </c>
      <c r="S7" s="12">
        <v>1.18050321134225</v>
      </c>
      <c r="T7" s="9">
        <v>3117240112.1999998</v>
      </c>
      <c r="U7" s="12">
        <v>0.58389240736353099</v>
      </c>
      <c r="V7" s="12">
        <v>0.582032075883822</v>
      </c>
      <c r="W7" s="12">
        <v>0.58202596226954684</v>
      </c>
      <c r="X7" s="12">
        <v>1.0031962696847663</v>
      </c>
      <c r="Y7" s="12">
        <v>1.0032068072817681</v>
      </c>
      <c r="Z7" s="9">
        <v>40557876203.900002</v>
      </c>
      <c r="AA7" s="12">
        <v>0.47356911269068602</v>
      </c>
      <c r="AB7" s="12">
        <v>0.44676848883595699</v>
      </c>
      <c r="AC7" s="12">
        <v>0.44643444947568506</v>
      </c>
      <c r="AD7" s="12">
        <v>1.0599877218837821</v>
      </c>
      <c r="AE7" s="12">
        <v>1.0607808453108161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0.74608969303727202</v>
      </c>
      <c r="E8" s="11">
        <v>0.74608272174763046</v>
      </c>
      <c r="F8" s="11">
        <v>1.0279356853064283</v>
      </c>
      <c r="G8" s="11">
        <v>1.027945290189622</v>
      </c>
      <c r="H8" s="7">
        <v>9870188707.5</v>
      </c>
      <c r="I8" s="11">
        <v>0.75228684371599297</v>
      </c>
      <c r="J8" s="11">
        <v>0.70693274533572803</v>
      </c>
      <c r="K8" s="11">
        <v>0.70604920619892131</v>
      </c>
      <c r="L8" s="11">
        <v>1.0641561714031593</v>
      </c>
      <c r="M8" s="11">
        <v>1.0654878400982788</v>
      </c>
      <c r="N8" s="7">
        <v>23474302159.900002</v>
      </c>
      <c r="O8" s="11">
        <v>0.69681138195660197</v>
      </c>
      <c r="P8" s="11">
        <v>0.69034558134150503</v>
      </c>
      <c r="Q8" s="11">
        <v>0.68526268534668822</v>
      </c>
      <c r="R8" s="11">
        <v>1.0093660346207074</v>
      </c>
      <c r="S8" s="11">
        <v>1.0168529483026951</v>
      </c>
      <c r="T8" s="7">
        <v>16067322671.9</v>
      </c>
      <c r="U8" s="11">
        <v>0.706459051979482</v>
      </c>
      <c r="V8" s="11">
        <v>0.645096140692199</v>
      </c>
      <c r="W8" s="11">
        <v>0.63463031753540255</v>
      </c>
      <c r="X8" s="11">
        <v>1.0951221181100845</v>
      </c>
      <c r="Y8" s="11">
        <v>1.1131820092097515</v>
      </c>
      <c r="Z8" s="7">
        <v>243551740603.79999</v>
      </c>
      <c r="AA8" s="11">
        <v>0.56367757496814996</v>
      </c>
      <c r="AB8" s="11">
        <v>0.52480035265360603</v>
      </c>
      <c r="AC8" s="11">
        <v>0.48645660726411394</v>
      </c>
      <c r="AD8" s="11">
        <v>1.0740800232278136</v>
      </c>
      <c r="AE8" s="11">
        <v>1.1587417388332648</v>
      </c>
    </row>
    <row r="9" spans="1:31" x14ac:dyDescent="0.25">
      <c r="A9" s="6">
        <v>-25</v>
      </c>
      <c r="B9" s="7">
        <v>12558200935</v>
      </c>
      <c r="C9" s="11">
        <v>0.82024288012681301</v>
      </c>
      <c r="D9" s="11">
        <v>0.83981585581762297</v>
      </c>
      <c r="E9" s="11">
        <v>0.8319565544355404</v>
      </c>
      <c r="F9" s="11">
        <v>0.97669372927979048</v>
      </c>
      <c r="G9" s="11">
        <v>0.98592032931734663</v>
      </c>
      <c r="H9" s="7">
        <v>22538638913.799999</v>
      </c>
      <c r="I9" s="11">
        <v>0.78261800693864103</v>
      </c>
      <c r="J9" s="11">
        <v>0.81756249570324802</v>
      </c>
      <c r="K9" s="11">
        <v>0.79421207803364813</v>
      </c>
      <c r="L9" s="11">
        <v>0.95725771552846417</v>
      </c>
      <c r="M9" s="11">
        <v>0.98540179453866739</v>
      </c>
      <c r="N9" s="7">
        <v>53937995797.300003</v>
      </c>
      <c r="O9" s="11">
        <v>0.78391795670064501</v>
      </c>
      <c r="P9" s="11">
        <v>0.81450609628720505</v>
      </c>
      <c r="Q9" s="11">
        <v>0.77365159963200247</v>
      </c>
      <c r="R9" s="11">
        <v>0.96244578189654917</v>
      </c>
      <c r="S9" s="11">
        <v>1.0132700004414465</v>
      </c>
      <c r="T9" s="7">
        <v>38072425699.599998</v>
      </c>
      <c r="U9" s="11">
        <v>0.76609999648758498</v>
      </c>
      <c r="V9" s="11">
        <v>0.77207293366206298</v>
      </c>
      <c r="W9" s="11">
        <v>0.71712428430899589</v>
      </c>
      <c r="X9" s="11">
        <v>0.99226376561842744</v>
      </c>
      <c r="Y9" s="11">
        <v>1.0682945944659801</v>
      </c>
      <c r="Z9" s="7">
        <v>540234429640.20001</v>
      </c>
      <c r="AA9" s="11">
        <v>0.66900424314893503</v>
      </c>
      <c r="AB9" s="11">
        <v>0.66452888800835996</v>
      </c>
      <c r="AC9" s="11">
        <v>0.554066688279932</v>
      </c>
      <c r="AD9" s="11">
        <v>1.006734628428251</v>
      </c>
      <c r="AE9" s="11">
        <v>1.2074435393793841</v>
      </c>
    </row>
    <row r="10" spans="1:31" x14ac:dyDescent="0.25">
      <c r="A10" s="6">
        <v>0</v>
      </c>
      <c r="B10" s="7">
        <v>19368821291.700001</v>
      </c>
      <c r="C10" s="11">
        <v>0.82501349441100102</v>
      </c>
      <c r="D10" s="11">
        <v>0.88523299655301602</v>
      </c>
      <c r="E10" s="11">
        <v>0.8525701327347236</v>
      </c>
      <c r="F10" s="11">
        <v>0.93197327440741362</v>
      </c>
      <c r="G10" s="11">
        <v>0.96767815659301681</v>
      </c>
      <c r="H10" s="7">
        <v>32534589612.5</v>
      </c>
      <c r="I10" s="11">
        <v>0.87178372600314402</v>
      </c>
      <c r="J10" s="11">
        <v>0.87260569619431205</v>
      </c>
      <c r="K10" s="11">
        <v>0.81468523307006113</v>
      </c>
      <c r="L10" s="11">
        <v>0.99905802793317433</v>
      </c>
      <c r="M10" s="11">
        <v>1.0700865691623167</v>
      </c>
      <c r="N10" s="7">
        <v>75485525496.399994</v>
      </c>
      <c r="O10" s="11">
        <v>0.86356101662761398</v>
      </c>
      <c r="P10" s="11">
        <v>0.87651526074021602</v>
      </c>
      <c r="Q10" s="11">
        <v>0.79483761721885682</v>
      </c>
      <c r="R10" s="11">
        <v>0.98522074321710928</v>
      </c>
      <c r="S10" s="11">
        <v>1.0864621878984804</v>
      </c>
      <c r="T10" s="7">
        <v>53559789764.400002</v>
      </c>
      <c r="U10" s="11">
        <v>0.83075719071396603</v>
      </c>
      <c r="V10" s="11">
        <v>0.83995920961522796</v>
      </c>
      <c r="W10" s="11">
        <v>0.7381540463590579</v>
      </c>
      <c r="X10" s="11">
        <v>0.98904468360377018</v>
      </c>
      <c r="Y10" s="11">
        <v>1.1254523291061977</v>
      </c>
      <c r="Z10" s="7">
        <v>540376859333.29999</v>
      </c>
      <c r="AA10" s="11">
        <v>0.76102968127687398</v>
      </c>
      <c r="AB10" s="11">
        <v>0.75704348810321997</v>
      </c>
      <c r="AC10" s="11">
        <v>0.58377609842977396</v>
      </c>
      <c r="AD10" s="11">
        <v>1.0052654744889775</v>
      </c>
      <c r="AE10" s="11">
        <v>1.3036328197126812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 t="shared" ref="C17:D20" si="0">100*(1-(1-C7/100)^12)</f>
        <v>8.7588561871538175</v>
      </c>
      <c r="D17" s="2">
        <f t="shared" si="0"/>
        <v>8.0362606562678902</v>
      </c>
      <c r="E17" s="2">
        <f t="shared" ref="E17:E20" si="1">C17/D17</f>
        <v>1.0899168857001096</v>
      </c>
      <c r="F17" s="13"/>
      <c r="G17" s="13"/>
      <c r="H17" s="13"/>
      <c r="I17" s="2">
        <f t="shared" ref="I17:J20" si="2">100*(1-(1-I7/100)^12)</f>
        <v>7.666293124468937</v>
      </c>
      <c r="J17" s="2">
        <f t="shared" si="2"/>
        <v>7.5723696053049299</v>
      </c>
      <c r="K17" s="2">
        <f t="shared" ref="K17:K20" si="3">I17/J17</f>
        <v>1.0124034515032398</v>
      </c>
      <c r="L17" s="13"/>
      <c r="M17" s="13"/>
      <c r="N17" s="13"/>
      <c r="O17" s="2">
        <f t="shared" ref="O17:P20" si="4">100*(1-(1-O7/100)^12)</f>
        <v>8.5675067916609944</v>
      </c>
      <c r="P17" s="2">
        <f t="shared" si="4"/>
        <v>7.302722150350438</v>
      </c>
      <c r="Q17" s="2">
        <f t="shared" ref="Q17:Q20" si="5">O17/P17</f>
        <v>1.1731935866202801</v>
      </c>
      <c r="R17" s="13"/>
      <c r="S17" s="13"/>
      <c r="T17" s="13"/>
      <c r="U17" s="2">
        <f t="shared" ref="U17:V20" si="6">100*(1-(1-U7/100)^12)</f>
        <v>6.7860173260783974</v>
      </c>
      <c r="V17" s="2">
        <f t="shared" si="6"/>
        <v>6.7650838867719614</v>
      </c>
      <c r="W17" s="2">
        <f t="shared" ref="W17:W20" si="7">U17/V17</f>
        <v>1.0030943355111039</v>
      </c>
      <c r="X17" s="13"/>
      <c r="Y17" s="13"/>
      <c r="Z17" s="13"/>
      <c r="AA17" s="2">
        <f t="shared" ref="AA17:AB20" si="8">100*(1-(1-AA7/100)^12)</f>
        <v>5.5371244960777606</v>
      </c>
      <c r="AB17" s="2">
        <f t="shared" si="8"/>
        <v>5.2314267807133668</v>
      </c>
      <c r="AC17" s="2">
        <f t="shared" ref="AC17:AC20" si="9">AA17/AB17</f>
        <v>1.0584348645557662</v>
      </c>
    </row>
    <row r="18" spans="1:29" x14ac:dyDescent="0.25">
      <c r="A18" s="3">
        <f>A8</f>
        <v>-50</v>
      </c>
      <c r="C18" s="15">
        <f t="shared" si="0"/>
        <v>8.8247395080245266</v>
      </c>
      <c r="D18" s="15">
        <f t="shared" si="0"/>
        <v>8.5946726989373996</v>
      </c>
      <c r="E18" s="15">
        <f t="shared" si="1"/>
        <v>1.0267685364115811</v>
      </c>
      <c r="I18" s="15">
        <f t="shared" si="2"/>
        <v>8.6631344575087041</v>
      </c>
      <c r="J18" s="15">
        <f t="shared" si="2"/>
        <v>8.1610055572820315</v>
      </c>
      <c r="K18" s="15">
        <f t="shared" si="3"/>
        <v>1.061527822362359</v>
      </c>
      <c r="O18" s="15">
        <f t="shared" si="4"/>
        <v>8.0486040970754065</v>
      </c>
      <c r="P18" s="15">
        <f t="shared" si="4"/>
        <v>7.976733008969294</v>
      </c>
      <c r="Q18" s="15">
        <f t="shared" si="5"/>
        <v>1.0090100907257769</v>
      </c>
      <c r="U18" s="15">
        <f t="shared" si="6"/>
        <v>8.155747829119619</v>
      </c>
      <c r="V18" s="15">
        <f t="shared" si="6"/>
        <v>7.4723165170360044</v>
      </c>
      <c r="W18" s="15">
        <f t="shared" si="7"/>
        <v>1.0914617723333149</v>
      </c>
      <c r="AA18" s="15">
        <f t="shared" si="8"/>
        <v>6.558318155499987</v>
      </c>
      <c r="AB18" s="15">
        <f t="shared" si="8"/>
        <v>6.1189726652454812</v>
      </c>
      <c r="AC18" s="15">
        <f t="shared" si="9"/>
        <v>1.0718005316071926</v>
      </c>
    </row>
    <row r="19" spans="1:29" x14ac:dyDescent="0.25">
      <c r="A19" s="3">
        <f>A9</f>
        <v>-25</v>
      </c>
      <c r="C19" s="15">
        <f t="shared" si="0"/>
        <v>9.4107873540868461</v>
      </c>
      <c r="D19" s="15">
        <f t="shared" si="0"/>
        <v>9.6250863869931642</v>
      </c>
      <c r="E19" s="15">
        <f t="shared" si="1"/>
        <v>0.97773536524348392</v>
      </c>
      <c r="I19" s="15">
        <f t="shared" si="2"/>
        <v>8.997534288773279</v>
      </c>
      <c r="J19" s="15">
        <f t="shared" si="2"/>
        <v>9.3814043408467889</v>
      </c>
      <c r="K19" s="15">
        <f t="shared" si="3"/>
        <v>0.95908181354020383</v>
      </c>
      <c r="O19" s="15">
        <f t="shared" si="4"/>
        <v>9.0118410693269428</v>
      </c>
      <c r="P19" s="15">
        <f t="shared" si="4"/>
        <v>9.3478887011348313</v>
      </c>
      <c r="Q19" s="15">
        <f t="shared" si="5"/>
        <v>0.96405095925381612</v>
      </c>
      <c r="U19" s="15">
        <f t="shared" si="6"/>
        <v>8.8155633304505479</v>
      </c>
      <c r="V19" s="15">
        <f t="shared" si="6"/>
        <v>8.8814027638950961</v>
      </c>
      <c r="W19" s="15">
        <f t="shared" si="7"/>
        <v>0.99258682043874868</v>
      </c>
      <c r="AA19" s="15">
        <f t="shared" si="8"/>
        <v>7.7391461356267621</v>
      </c>
      <c r="AB19" s="15">
        <f t="shared" si="8"/>
        <v>7.6892520517376273</v>
      </c>
      <c r="AC19" s="15">
        <f t="shared" si="9"/>
        <v>1.0064888084762236</v>
      </c>
    </row>
    <row r="20" spans="1:29" x14ac:dyDescent="0.25">
      <c r="A20" s="3">
        <f>A10</f>
        <v>0</v>
      </c>
      <c r="C20" s="15">
        <f t="shared" si="0"/>
        <v>9.4630623615911347</v>
      </c>
      <c r="D20" s="15">
        <f t="shared" si="0"/>
        <v>10.120556962282878</v>
      </c>
      <c r="E20" s="15">
        <f t="shared" si="1"/>
        <v>0.93503375326653626</v>
      </c>
      <c r="I20" s="15">
        <f t="shared" si="2"/>
        <v>9.9740945674513863</v>
      </c>
      <c r="J20" s="15">
        <f t="shared" si="2"/>
        <v>9.9830520859619405</v>
      </c>
      <c r="K20" s="15">
        <f t="shared" si="3"/>
        <v>0.99910272745915552</v>
      </c>
      <c r="O20" s="15">
        <f t="shared" si="4"/>
        <v>9.8844416267401041</v>
      </c>
      <c r="P20" s="15">
        <f t="shared" si="4"/>
        <v>10.025645850194731</v>
      </c>
      <c r="Q20" s="15">
        <f t="shared" si="5"/>
        <v>0.98591569804434243</v>
      </c>
      <c r="U20" s="15">
        <f t="shared" si="6"/>
        <v>9.5259634316378623</v>
      </c>
      <c r="V20" s="15">
        <f t="shared" si="6"/>
        <v>9.6266542119229683</v>
      </c>
      <c r="W20" s="15">
        <f t="shared" si="7"/>
        <v>0.9895404178784778</v>
      </c>
      <c r="AA20" s="15">
        <f t="shared" si="8"/>
        <v>8.7596392419884381</v>
      </c>
      <c r="AB20" s="15">
        <f t="shared" si="8"/>
        <v>8.7156506279413968</v>
      </c>
      <c r="AC20" s="15">
        <f t="shared" si="9"/>
        <v>1.0050470832213052</v>
      </c>
    </row>
    <row r="22" spans="1:29" x14ac:dyDescent="0.25">
      <c r="E22" s="15">
        <f>AVERAGE(E18:E20)</f>
        <v>0.97984588497386704</v>
      </c>
      <c r="K22" s="15">
        <f>AVERAGE(K18:K20)</f>
        <v>1.0065707877872396</v>
      </c>
      <c r="Q22" s="15">
        <f>AVERAGE(Q18:Q20)</f>
        <v>0.98632558267464499</v>
      </c>
      <c r="W22" s="15">
        <f>AVERAGE(W18:W20)</f>
        <v>1.0245296702168472</v>
      </c>
      <c r="AC22" s="15">
        <f>AVERAGE(AC18:AC20)</f>
        <v>1.0277788077682406</v>
      </c>
    </row>
    <row r="25" spans="1:29" x14ac:dyDescent="0.25">
      <c r="U25" t="s">
        <v>53</v>
      </c>
    </row>
    <row r="26" spans="1:29" x14ac:dyDescent="0.25">
      <c r="U26" s="3"/>
      <c r="V26" s="3" t="s">
        <v>52</v>
      </c>
      <c r="W26" t="s">
        <v>54</v>
      </c>
    </row>
    <row r="27" spans="1:29" x14ac:dyDescent="0.25">
      <c r="U27" s="3">
        <v>0</v>
      </c>
      <c r="V27" s="3">
        <v>1.32</v>
      </c>
      <c r="W27">
        <v>1.744</v>
      </c>
    </row>
    <row r="28" spans="1:29" x14ac:dyDescent="0.25">
      <c r="U28" s="3">
        <v>60</v>
      </c>
      <c r="V28" s="3">
        <v>1.1314998699613299</v>
      </c>
      <c r="W28">
        <v>1.1993898622000001</v>
      </c>
    </row>
    <row r="29" spans="1:29" x14ac:dyDescent="0.25">
      <c r="U29" s="3">
        <v>120</v>
      </c>
      <c r="V29" s="3">
        <v>0.935428274197323</v>
      </c>
      <c r="W29">
        <v>1.1797800000000001</v>
      </c>
    </row>
    <row r="30" spans="1:29" x14ac:dyDescent="0.25">
      <c r="U30" s="3">
        <v>160</v>
      </c>
      <c r="V30" s="3">
        <v>0.834158465953176</v>
      </c>
      <c r="W30">
        <v>1.04304</v>
      </c>
    </row>
    <row r="31" spans="1:29" x14ac:dyDescent="0.25">
      <c r="U31" s="3">
        <v>200</v>
      </c>
      <c r="V31" s="3">
        <v>0.78</v>
      </c>
      <c r="W31">
        <v>0.96621000000000012</v>
      </c>
    </row>
    <row r="32" spans="1:29" x14ac:dyDescent="0.25">
      <c r="U32" s="3">
        <v>300</v>
      </c>
      <c r="V32" s="3">
        <v>0.74662311035888396</v>
      </c>
      <c r="W32">
        <v>0.77887440000000008</v>
      </c>
    </row>
    <row r="33" spans="21:23" x14ac:dyDescent="0.25">
      <c r="U33" s="3">
        <v>600</v>
      </c>
      <c r="V33" s="3">
        <v>0.72</v>
      </c>
      <c r="W33" s="3">
        <v>0.77887440000000008</v>
      </c>
    </row>
    <row r="34" spans="21:23" x14ac:dyDescent="0.25">
      <c r="U34" s="3">
        <v>800</v>
      </c>
      <c r="V34" s="3">
        <v>0.69</v>
      </c>
      <c r="W34" s="3">
        <v>0.77887440000000008</v>
      </c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2018-04-30T16:27:51Z</dcterms:modified>
</cp:coreProperties>
</file>