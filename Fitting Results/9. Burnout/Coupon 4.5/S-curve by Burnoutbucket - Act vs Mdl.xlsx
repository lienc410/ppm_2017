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815" yWindow="300" windowWidth="29685" windowHeight="17265"/>
  </bookViews>
  <sheets>
    <sheet name="Sheet5" sheetId="5" r:id="rId1"/>
    <sheet name="Sheet1" sheetId="1" r:id="rId2"/>
    <sheet name="Sheet2" sheetId="2" r:id="rId3"/>
    <sheet name="Sheet3" sheetId="3" r:id="rId4"/>
  </sheets>
  <calcPr calcId="145621"/>
  <pivotCaches>
    <pivotCache cacheId="1" r:id="rId5"/>
    <pivotCache cacheId="5" r:id="rId6"/>
  </pivotCaches>
</workbook>
</file>

<file path=xl/sharedStrings.xml><?xml version="1.0" encoding="utf-8"?>
<sst xmlns="http://schemas.openxmlformats.org/spreadsheetml/2006/main" count="139" uniqueCount="29">
  <si>
    <t>PREPAY_CPR1</t>
  </si>
  <si>
    <t>PCT_LOANTYPE</t>
  </si>
  <si>
    <t>WTAVG_ORIGNOTERATE</t>
  </si>
  <si>
    <t>WTAVG_ZEROSATO</t>
  </si>
  <si>
    <t>WTAVG_REFI_INCENTIVE_INCL_ELIG</t>
  </si>
  <si>
    <t>WTAVG_LOANAGE</t>
  </si>
  <si>
    <t>WTAVG_LTV</t>
  </si>
  <si>
    <t>WTAVG_CLTV</t>
  </si>
  <si>
    <t>AVG_LOANSIZE_SCHAMBALANCE</t>
  </si>
  <si>
    <t>WTAVG_FICO</t>
  </si>
  <si>
    <t>PCT_ISSECONDLIEN</t>
  </si>
  <si>
    <t>PCT_SVC</t>
  </si>
  <si>
    <t>PCT_TPO</t>
  </si>
  <si>
    <t>PCT_GEO</t>
  </si>
  <si>
    <t>PCT_LOANPURPOSE</t>
  </si>
  <si>
    <t>PCT_OCC</t>
  </si>
  <si>
    <t>groupByColumn</t>
  </si>
  <si>
    <t>burnoutBucket</t>
  </si>
  <si>
    <t>Balance</t>
  </si>
  <si>
    <t>LoanCount</t>
  </si>
  <si>
    <t>Column Labels</t>
  </si>
  <si>
    <t>Row Labels</t>
  </si>
  <si>
    <t>Sum of Balance</t>
  </si>
  <si>
    <t>Average of PREPAY_CPR1</t>
  </si>
  <si>
    <t>SFACTOR_PREPAY_TRACKING_CPR</t>
  </si>
  <si>
    <t>mdl</t>
  </si>
  <si>
    <t>PREPAY_TRACKING_CPR1</t>
  </si>
  <si>
    <t>Type</t>
  </si>
  <si>
    <t>act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</si>
</sst>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0.0%"/>
  </numFmts>
  <fonts count="1" x14ac:knownFonts="1">
    <font>
      <sz val="11"/>
      <color theme="1"/>
      <name val="Calibri"/>
      <family val="2"/>
      <scheme val="minor"/>
    </font>
  </fonts>
  <fills count="3">
    <fill>
      <patternFill patternType="none"/>
    </fill>
    <fill>
      <patternFill patternType="gray125"/>
    </fill>
    <fill>
      <patternFill patternType="solid">
        <fgColor theme="6" tint="0.79998168889431442"/>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43" fontId="0" fillId="0" borderId="0" xfId="0" applyNumberFormat="1"/>
    <xf numFmtId="37" fontId="0" fillId="0" borderId="0" xfId="0" applyNumberFormat="1"/>
    <xf numFmtId="164" fontId="0" fillId="0" borderId="0" xfId="0" applyNumberFormat="1"/>
    <xf numFmtId="11" fontId="0" fillId="0" borderId="0" xfId="0" applyNumberFormat="1"/>
    <xf numFmtId="43" fontId="0" fillId="2" borderId="0" xfId="0" applyNumberFormat="1" applyFill="1"/>
  </cellXfs>
  <cellStyles count="1">
    <cellStyle name="Normal" xfId="0" builtinId="0"/>
  </cellStyles>
  <dxfs count="12">
    <dxf>
      <numFmt numFmtId="35" formatCode="_(* #,##0.00_);_(* \(#,##0.00\);_(* &quot;-&quot;??_);_(@_)"/>
    </dxf>
    <dxf>
      <numFmt numFmtId="35" formatCode="_(* #,##0.00_);_(* \(#,##0.00\);_(* &quot;-&quot;??_);_(@_)"/>
    </dxf>
    <dxf>
      <numFmt numFmtId="35" formatCode="_(* #,##0.00_);_(* \(#,##0.00\);_(* &quot;-&quot;??_);_(@_)"/>
    </dxf>
    <dxf>
      <numFmt numFmtId="5" formatCode="#,##0_);\(#,##0\)"/>
    </dxf>
    <dxf>
      <numFmt numFmtId="35" formatCode="_(* #,##0.00_);_(* \(#,##0.00\);_(* &quot;-&quot;??_);_(@_)"/>
    </dxf>
    <dxf>
      <numFmt numFmtId="35" formatCode="_(* #,##0.00_);_(* \(#,##0.00\);_(* &quot;-&quot;??_);_(@_)"/>
    </dxf>
    <dxf>
      <numFmt numFmtId="5" formatCode="#,##0_);\(#,##0\)"/>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numFmt numFmtId="35" formatCode="_(* #,##0.00_);_(* \(#,##0.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[S-curve by Burnoutbucket - Act vs Mdl.xlsx]Sheet5!PivotTable3</c:name>
    <c:fmtId val="0"/>
  </c:pivotSource>
  <c:chart>
    <c:autoTitleDeleted val="0"/>
    <c:pivotFmts>
      <c:pivotFmt>
        <c:idx val="0"/>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
        <c:idx val="9"/>
        <c:marker>
          <c:symbol val="none"/>
        </c:marker>
      </c:pivotFmt>
      <c:pivotFmt>
        <c:idx val="10"/>
        <c:marker>
          <c:symbol val="none"/>
        </c:marker>
      </c:pivotFmt>
      <c:pivotFmt>
        <c:idx val="11"/>
        <c:marker>
          <c:symbol val="none"/>
        </c:marker>
      </c:pivotFmt>
      <c:pivotFmt>
        <c:idx val="12"/>
        <c:marker>
          <c:symbol val="none"/>
        </c:marker>
      </c:pivotFmt>
      <c:pivotFmt>
        <c:idx val="13"/>
        <c:marker>
          <c:symbol val="none"/>
        </c:marker>
      </c:pivotFmt>
      <c:pivotFmt>
        <c:idx val="14"/>
        <c:marker>
          <c:symbol val="none"/>
        </c:marker>
      </c:pivotFmt>
      <c:pivotFmt>
        <c:idx val="15"/>
        <c:marker>
          <c:symbol val="none"/>
        </c:marker>
      </c:pivotFmt>
      <c:pivotFmt>
        <c:idx val="16"/>
        <c:marker>
          <c:symbol val="none"/>
        </c:marker>
      </c:pivotFmt>
      <c:pivotFmt>
        <c:idx val="17"/>
        <c:marker>
          <c:symbol val="none"/>
        </c:marker>
      </c:pivotFmt>
    </c:pivotFmts>
    <c:plotArea>
      <c:layout/>
      <c:lineChart>
        <c:grouping val="standard"/>
        <c:varyColors val="0"/>
        <c:ser>
          <c:idx val="0"/>
          <c:order val="0"/>
          <c:tx>
            <c:strRef>
              <c:f>Sheet5!$B$3:$B$4</c:f>
              <c:strCache>
                <c:ptCount val="1"/>
                <c:pt idx="0">
                  <c:v>2000</c:v>
                </c:pt>
              </c:strCache>
            </c:strRef>
          </c:tx>
          <c:marker>
            <c:symbol val="none"/>
          </c:marker>
          <c:cat>
            <c:strRef>
              <c:f>Sheet5!$A$5:$A$20</c:f>
              <c:strCache>
                <c:ptCount val="16"/>
                <c:pt idx="0">
                  <c:v>-200</c:v>
                </c:pt>
                <c:pt idx="1">
                  <c:v>-150</c:v>
                </c:pt>
                <c:pt idx="2">
                  <c:v>-125</c:v>
                </c:pt>
                <c:pt idx="3">
                  <c:v>-100</c:v>
                </c:pt>
                <c:pt idx="4">
                  <c:v>-75</c:v>
                </c:pt>
                <c:pt idx="5">
                  <c:v>-50</c:v>
                </c:pt>
                <c:pt idx="6">
                  <c:v>-25</c:v>
                </c:pt>
                <c:pt idx="7">
                  <c:v>0</c:v>
                </c:pt>
                <c:pt idx="8">
                  <c:v>25</c:v>
                </c:pt>
                <c:pt idx="9">
                  <c:v>50</c:v>
                </c:pt>
                <c:pt idx="10">
                  <c:v>75</c:v>
                </c:pt>
                <c:pt idx="11">
                  <c:v>100</c:v>
                </c:pt>
                <c:pt idx="12">
                  <c:v>125</c:v>
                </c:pt>
                <c:pt idx="13">
                  <c:v>150</c:v>
                </c:pt>
                <c:pt idx="14">
                  <c:v>175</c:v>
                </c:pt>
                <c:pt idx="15">
                  <c:v>200</c:v>
                </c:pt>
              </c:strCache>
            </c:strRef>
          </c:cat>
          <c:val>
            <c:numRef>
              <c:f>Sheet5!$B$5:$B$20</c:f>
              <c:numCache>
                <c:formatCode>_(* #,##0.00_);_(* \(#,##0.00\);_(* "-"??_);_(@_)</c:formatCode>
                <c:ptCount val="16"/>
                <c:pt idx="0">
                  <c:v>0</c:v>
                </c:pt>
                <c:pt idx="1">
                  <c:v>0.148035649086908</c:v>
                </c:pt>
                <c:pt idx="2">
                  <c:v>8.9267611333350203</c:v>
                </c:pt>
                <c:pt idx="3">
                  <c:v>3.8381918488139601</c:v>
                </c:pt>
                <c:pt idx="4">
                  <c:v>3.7050725365195398</c:v>
                </c:pt>
                <c:pt idx="5">
                  <c:v>4.1745512199787598</c:v>
                </c:pt>
                <c:pt idx="6">
                  <c:v>5.5056201904765096</c:v>
                </c:pt>
                <c:pt idx="7">
                  <c:v>6.5575639565676802</c:v>
                </c:pt>
                <c:pt idx="8">
                  <c:v>8.56333857840694</c:v>
                </c:pt>
                <c:pt idx="9">
                  <c:v>11.787777985540099</c:v>
                </c:pt>
                <c:pt idx="10">
                  <c:v>14.811676300351399</c:v>
                </c:pt>
                <c:pt idx="11">
                  <c:v>18.870775387907099</c:v>
                </c:pt>
                <c:pt idx="12">
                  <c:v>22.042381690762198</c:v>
                </c:pt>
                <c:pt idx="13">
                  <c:v>33.322795142916704</c:v>
                </c:pt>
                <c:pt idx="14">
                  <c:v>39.685410250180198</c:v>
                </c:pt>
                <c:pt idx="15">
                  <c:v>43.885928419580999</c:v>
                </c:pt>
              </c:numCache>
            </c:numRef>
          </c:val>
          <c:smooth val="0"/>
        </c:ser>
        <c:ser>
          <c:idx val="1"/>
          <c:order val="1"/>
          <c:tx>
            <c:strRef>
              <c:f>Sheet5!$C$3:$C$4</c:f>
              <c:strCache>
                <c:ptCount val="1"/>
                <c:pt idx="0">
                  <c:v>4000</c:v>
                </c:pt>
              </c:strCache>
            </c:strRef>
          </c:tx>
          <c:marker>
            <c:symbol val="none"/>
          </c:marker>
          <c:cat>
            <c:strRef>
              <c:f>Sheet5!$A$5:$A$20</c:f>
              <c:strCache>
                <c:ptCount val="16"/>
                <c:pt idx="0">
                  <c:v>-200</c:v>
                </c:pt>
                <c:pt idx="1">
                  <c:v>-150</c:v>
                </c:pt>
                <c:pt idx="2">
                  <c:v>-125</c:v>
                </c:pt>
                <c:pt idx="3">
                  <c:v>-100</c:v>
                </c:pt>
                <c:pt idx="4">
                  <c:v>-75</c:v>
                </c:pt>
                <c:pt idx="5">
                  <c:v>-50</c:v>
                </c:pt>
                <c:pt idx="6">
                  <c:v>-25</c:v>
                </c:pt>
                <c:pt idx="7">
                  <c:v>0</c:v>
                </c:pt>
                <c:pt idx="8">
                  <c:v>25</c:v>
                </c:pt>
                <c:pt idx="9">
                  <c:v>50</c:v>
                </c:pt>
                <c:pt idx="10">
                  <c:v>75</c:v>
                </c:pt>
                <c:pt idx="11">
                  <c:v>100</c:v>
                </c:pt>
                <c:pt idx="12">
                  <c:v>125</c:v>
                </c:pt>
                <c:pt idx="13">
                  <c:v>150</c:v>
                </c:pt>
                <c:pt idx="14">
                  <c:v>175</c:v>
                </c:pt>
                <c:pt idx="15">
                  <c:v>200</c:v>
                </c:pt>
              </c:strCache>
            </c:strRef>
          </c:cat>
          <c:val>
            <c:numRef>
              <c:f>Sheet5!$C$5:$C$20</c:f>
              <c:numCache>
                <c:formatCode>_(* #,##0.00_);_(* \(#,##0.00\);_(* "-"??_);_(@_)</c:formatCode>
                <c:ptCount val="16"/>
                <c:pt idx="5">
                  <c:v>0</c:v>
                </c:pt>
                <c:pt idx="6">
                  <c:v>0</c:v>
                </c:pt>
                <c:pt idx="7">
                  <c:v>0</c:v>
                </c:pt>
                <c:pt idx="8">
                  <c:v>10.129544373794801</c:v>
                </c:pt>
                <c:pt idx="9">
                  <c:v>12.1714435618736</c:v>
                </c:pt>
                <c:pt idx="10">
                  <c:v>14.406614967733899</c:v>
                </c:pt>
                <c:pt idx="11">
                  <c:v>16.609397315757299</c:v>
                </c:pt>
                <c:pt idx="12">
                  <c:v>18.881205815624899</c:v>
                </c:pt>
                <c:pt idx="13">
                  <c:v>22.812950605636001</c:v>
                </c:pt>
                <c:pt idx="14">
                  <c:v>28.1181939056017</c:v>
                </c:pt>
                <c:pt idx="15">
                  <c:v>13.5081673350006</c:v>
                </c:pt>
              </c:numCache>
            </c:numRef>
          </c:val>
          <c:smooth val="0"/>
        </c:ser>
        <c:ser>
          <c:idx val="2"/>
          <c:order val="2"/>
          <c:tx>
            <c:strRef>
              <c:f>Sheet5!$D$3:$D$4</c:f>
              <c:strCache>
                <c:ptCount val="1"/>
                <c:pt idx="0">
                  <c:v>6000</c:v>
                </c:pt>
              </c:strCache>
            </c:strRef>
          </c:tx>
          <c:marker>
            <c:symbol val="none"/>
          </c:marker>
          <c:cat>
            <c:strRef>
              <c:f>Sheet5!$A$5:$A$20</c:f>
              <c:strCache>
                <c:ptCount val="16"/>
                <c:pt idx="0">
                  <c:v>-200</c:v>
                </c:pt>
                <c:pt idx="1">
                  <c:v>-150</c:v>
                </c:pt>
                <c:pt idx="2">
                  <c:v>-125</c:v>
                </c:pt>
                <c:pt idx="3">
                  <c:v>-100</c:v>
                </c:pt>
                <c:pt idx="4">
                  <c:v>-75</c:v>
                </c:pt>
                <c:pt idx="5">
                  <c:v>-50</c:v>
                </c:pt>
                <c:pt idx="6">
                  <c:v>-25</c:v>
                </c:pt>
                <c:pt idx="7">
                  <c:v>0</c:v>
                </c:pt>
                <c:pt idx="8">
                  <c:v>25</c:v>
                </c:pt>
                <c:pt idx="9">
                  <c:v>50</c:v>
                </c:pt>
                <c:pt idx="10">
                  <c:v>75</c:v>
                </c:pt>
                <c:pt idx="11">
                  <c:v>100</c:v>
                </c:pt>
                <c:pt idx="12">
                  <c:v>125</c:v>
                </c:pt>
                <c:pt idx="13">
                  <c:v>150</c:v>
                </c:pt>
                <c:pt idx="14">
                  <c:v>175</c:v>
                </c:pt>
                <c:pt idx="15">
                  <c:v>200</c:v>
                </c:pt>
              </c:strCache>
            </c:strRef>
          </c:cat>
          <c:val>
            <c:numRef>
              <c:f>Sheet5!$D$5:$D$20</c:f>
              <c:numCache>
                <c:formatCode>_(* #,##0.00_);_(* \(#,##0.00\);_(* "-"??_);_(@_)</c:formatCode>
                <c:ptCount val="16"/>
                <c:pt idx="8">
                  <c:v>8.4794015595295207</c:v>
                </c:pt>
                <c:pt idx="9">
                  <c:v>11.5195355064049</c:v>
                </c:pt>
                <c:pt idx="10">
                  <c:v>12.8790121568562</c:v>
                </c:pt>
                <c:pt idx="11">
                  <c:v>14.3711185781499</c:v>
                </c:pt>
                <c:pt idx="12">
                  <c:v>16.529664718773802</c:v>
                </c:pt>
                <c:pt idx="13">
                  <c:v>19.645171026849798</c:v>
                </c:pt>
                <c:pt idx="14">
                  <c:v>18.372278462934599</c:v>
                </c:pt>
                <c:pt idx="15">
                  <c:v>13.8526184693303</c:v>
                </c:pt>
              </c:numCache>
            </c:numRef>
          </c:val>
          <c:smooth val="0"/>
        </c:ser>
        <c:ser>
          <c:idx val="3"/>
          <c:order val="3"/>
          <c:tx>
            <c:strRef>
              <c:f>Sheet5!$E$3:$E$4</c:f>
              <c:strCache>
                <c:ptCount val="1"/>
                <c:pt idx="0">
                  <c:v>8000</c:v>
                </c:pt>
              </c:strCache>
            </c:strRef>
          </c:tx>
          <c:marker>
            <c:symbol val="none"/>
          </c:marker>
          <c:cat>
            <c:strRef>
              <c:f>Sheet5!$A$5:$A$20</c:f>
              <c:strCache>
                <c:ptCount val="16"/>
                <c:pt idx="0">
                  <c:v>-200</c:v>
                </c:pt>
                <c:pt idx="1">
                  <c:v>-150</c:v>
                </c:pt>
                <c:pt idx="2">
                  <c:v>-125</c:v>
                </c:pt>
                <c:pt idx="3">
                  <c:v>-100</c:v>
                </c:pt>
                <c:pt idx="4">
                  <c:v>-75</c:v>
                </c:pt>
                <c:pt idx="5">
                  <c:v>-50</c:v>
                </c:pt>
                <c:pt idx="6">
                  <c:v>-25</c:v>
                </c:pt>
                <c:pt idx="7">
                  <c:v>0</c:v>
                </c:pt>
                <c:pt idx="8">
                  <c:v>25</c:v>
                </c:pt>
                <c:pt idx="9">
                  <c:v>50</c:v>
                </c:pt>
                <c:pt idx="10">
                  <c:v>75</c:v>
                </c:pt>
                <c:pt idx="11">
                  <c:v>100</c:v>
                </c:pt>
                <c:pt idx="12">
                  <c:v>125</c:v>
                </c:pt>
                <c:pt idx="13">
                  <c:v>150</c:v>
                </c:pt>
                <c:pt idx="14">
                  <c:v>175</c:v>
                </c:pt>
                <c:pt idx="15">
                  <c:v>200</c:v>
                </c:pt>
              </c:strCache>
            </c:strRef>
          </c:cat>
          <c:val>
            <c:numRef>
              <c:f>Sheet5!$E$5:$E$20</c:f>
              <c:numCache>
                <c:formatCode>_(* #,##0.00_);_(* \(#,##0.00\);_(* "-"??_);_(@_)</c:formatCode>
                <c:ptCount val="16"/>
                <c:pt idx="9">
                  <c:v>5.8180147767477104</c:v>
                </c:pt>
                <c:pt idx="10">
                  <c:v>12.5084291638675</c:v>
                </c:pt>
                <c:pt idx="11">
                  <c:v>14.4014007631721</c:v>
                </c:pt>
                <c:pt idx="12">
                  <c:v>15.509165186481001</c:v>
                </c:pt>
                <c:pt idx="13">
                  <c:v>17.055864095959599</c:v>
                </c:pt>
                <c:pt idx="14">
                  <c:v>14.802152708263399</c:v>
                </c:pt>
                <c:pt idx="15">
                  <c:v>14.37455533676</c:v>
                </c:pt>
              </c:numCache>
            </c:numRef>
          </c:val>
          <c:smooth val="0"/>
        </c:ser>
        <c:ser>
          <c:idx val="4"/>
          <c:order val="4"/>
          <c:tx>
            <c:strRef>
              <c:f>Sheet5!$F$3:$F$4</c:f>
              <c:strCache>
                <c:ptCount val="1"/>
                <c:pt idx="0">
                  <c:v>10000</c:v>
                </c:pt>
              </c:strCache>
            </c:strRef>
          </c:tx>
          <c:marker>
            <c:symbol val="none"/>
          </c:marker>
          <c:cat>
            <c:strRef>
              <c:f>Sheet5!$A$5:$A$20</c:f>
              <c:strCache>
                <c:ptCount val="16"/>
                <c:pt idx="0">
                  <c:v>-200</c:v>
                </c:pt>
                <c:pt idx="1">
                  <c:v>-150</c:v>
                </c:pt>
                <c:pt idx="2">
                  <c:v>-125</c:v>
                </c:pt>
                <c:pt idx="3">
                  <c:v>-100</c:v>
                </c:pt>
                <c:pt idx="4">
                  <c:v>-75</c:v>
                </c:pt>
                <c:pt idx="5">
                  <c:v>-50</c:v>
                </c:pt>
                <c:pt idx="6">
                  <c:v>-25</c:v>
                </c:pt>
                <c:pt idx="7">
                  <c:v>0</c:v>
                </c:pt>
                <c:pt idx="8">
                  <c:v>25</c:v>
                </c:pt>
                <c:pt idx="9">
                  <c:v>50</c:v>
                </c:pt>
                <c:pt idx="10">
                  <c:v>75</c:v>
                </c:pt>
                <c:pt idx="11">
                  <c:v>100</c:v>
                </c:pt>
                <c:pt idx="12">
                  <c:v>125</c:v>
                </c:pt>
                <c:pt idx="13">
                  <c:v>150</c:v>
                </c:pt>
                <c:pt idx="14">
                  <c:v>175</c:v>
                </c:pt>
                <c:pt idx="15">
                  <c:v>200</c:v>
                </c:pt>
              </c:strCache>
            </c:strRef>
          </c:cat>
          <c:val>
            <c:numRef>
              <c:f>Sheet5!$F$5:$F$20</c:f>
              <c:numCache>
                <c:formatCode>_(* #,##0.00_);_(* \(#,##0.00\);_(* "-"??_);_(@_)</c:formatCode>
                <c:ptCount val="16"/>
                <c:pt idx="10">
                  <c:v>15.138490181224499</c:v>
                </c:pt>
                <c:pt idx="11">
                  <c:v>13.5470809622134</c:v>
                </c:pt>
                <c:pt idx="12">
                  <c:v>15.252770286017199</c:v>
                </c:pt>
                <c:pt idx="13">
                  <c:v>16.499963372505</c:v>
                </c:pt>
                <c:pt idx="14">
                  <c:v>16.6284907822454</c:v>
                </c:pt>
                <c:pt idx="15">
                  <c:v>16.116439923231699</c:v>
                </c:pt>
              </c:numCache>
            </c:numRef>
          </c:val>
          <c:smooth val="0"/>
        </c:ser>
        <c:dLbls>
          <c:showLegendKey val="0"/>
          <c:showVal val="0"/>
          <c:showCatName val="0"/>
          <c:showSerName val="0"/>
          <c:showPercent val="0"/>
          <c:showBubbleSize val="0"/>
        </c:dLbls>
        <c:marker val="1"/>
        <c:smooth val="0"/>
        <c:axId val="247723136"/>
        <c:axId val="247724672"/>
      </c:lineChart>
      <c:catAx>
        <c:axId val="247723136"/>
        <c:scaling>
          <c:orientation val="minMax"/>
        </c:scaling>
        <c:delete val="0"/>
        <c:axPos val="b"/>
        <c:majorTickMark val="out"/>
        <c:minorTickMark val="none"/>
        <c:tickLblPos val="nextTo"/>
        <c:crossAx val="247724672"/>
        <c:crosses val="autoZero"/>
        <c:auto val="1"/>
        <c:lblAlgn val="ctr"/>
        <c:lblOffset val="100"/>
        <c:noMultiLvlLbl val="0"/>
      </c:catAx>
      <c:valAx>
        <c:axId val="247724672"/>
        <c:scaling>
          <c:orientation val="minMax"/>
        </c:scaling>
        <c:delete val="0"/>
        <c:axPos val="l"/>
        <c:majorGridlines/>
        <c:numFmt formatCode="_(* #,##0.00_);_(* \(#,##0.00\);_(* &quot;-&quot;??_);_(@_)" sourceLinked="1"/>
        <c:majorTickMark val="out"/>
        <c:minorTickMark val="none"/>
        <c:tickLblPos val="nextTo"/>
        <c:crossAx val="24772313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[S-curve by Burnoutbucket - Act vs Mdl.xlsx]Sheet5!PivotTable6</c:name>
    <c:fmtId val="1"/>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s>
    <c:plotArea>
      <c:layout/>
      <c:lineChart>
        <c:grouping val="standard"/>
        <c:varyColors val="0"/>
        <c:ser>
          <c:idx val="0"/>
          <c:order val="0"/>
          <c:tx>
            <c:strRef>
              <c:f>Sheet5!$B$47:$B$48</c:f>
              <c:strCache>
                <c:ptCount val="1"/>
                <c:pt idx="0">
                  <c:v>act</c:v>
                </c:pt>
              </c:strCache>
            </c:strRef>
          </c:tx>
          <c:marker>
            <c:symbol val="none"/>
          </c:marker>
          <c:cat>
            <c:strRef>
              <c:f>Sheet5!$A$49:$A$54</c:f>
              <c:strCache>
                <c:ptCount val="6"/>
                <c:pt idx="0">
                  <c:v>75</c:v>
                </c:pt>
                <c:pt idx="1">
                  <c:v>100</c:v>
                </c:pt>
                <c:pt idx="2">
                  <c:v>125</c:v>
                </c:pt>
                <c:pt idx="3">
                  <c:v>150</c:v>
                </c:pt>
                <c:pt idx="4">
                  <c:v>175</c:v>
                </c:pt>
                <c:pt idx="5">
                  <c:v>200</c:v>
                </c:pt>
              </c:strCache>
            </c:strRef>
          </c:cat>
          <c:val>
            <c:numRef>
              <c:f>Sheet5!$B$49:$B$54</c:f>
              <c:numCache>
                <c:formatCode>_(* #,##0.00_);_(* \(#,##0.00\);_(* "-"??_);_(@_)</c:formatCode>
                <c:ptCount val="6"/>
                <c:pt idx="0">
                  <c:v>15.138490181224499</c:v>
                </c:pt>
                <c:pt idx="1">
                  <c:v>13.5470809622134</c:v>
                </c:pt>
                <c:pt idx="2">
                  <c:v>15.252770286017199</c:v>
                </c:pt>
                <c:pt idx="3">
                  <c:v>16.499963372505</c:v>
                </c:pt>
                <c:pt idx="4">
                  <c:v>16.6284907822454</c:v>
                </c:pt>
                <c:pt idx="5">
                  <c:v>16.116439923231699</c:v>
                </c:pt>
              </c:numCache>
            </c:numRef>
          </c:val>
          <c:smooth val="0"/>
        </c:ser>
        <c:ser>
          <c:idx val="1"/>
          <c:order val="1"/>
          <c:tx>
            <c:strRef>
              <c:f>Sheet5!$C$47:$C$48</c:f>
              <c:strCache>
                <c:ptCount val="1"/>
                <c:pt idx="0">
                  <c:v>mdl</c:v>
                </c:pt>
              </c:strCache>
            </c:strRef>
          </c:tx>
          <c:marker>
            <c:symbol val="none"/>
          </c:marker>
          <c:cat>
            <c:strRef>
              <c:f>Sheet5!$A$49:$A$54</c:f>
              <c:strCache>
                <c:ptCount val="6"/>
                <c:pt idx="0">
                  <c:v>75</c:v>
                </c:pt>
                <c:pt idx="1">
                  <c:v>100</c:v>
                </c:pt>
                <c:pt idx="2">
                  <c:v>125</c:v>
                </c:pt>
                <c:pt idx="3">
                  <c:v>150</c:v>
                </c:pt>
                <c:pt idx="4">
                  <c:v>175</c:v>
                </c:pt>
                <c:pt idx="5">
                  <c:v>200</c:v>
                </c:pt>
              </c:strCache>
            </c:strRef>
          </c:cat>
          <c:val>
            <c:numRef>
              <c:f>Sheet5!$C$49:$C$54</c:f>
              <c:numCache>
                <c:formatCode>_(* #,##0.00_);_(* \(#,##0.00\);_(* "-"??_);_(@_)</c:formatCode>
                <c:ptCount val="6"/>
                <c:pt idx="0">
                  <c:v>17.414898119744699</c:v>
                </c:pt>
                <c:pt idx="1">
                  <c:v>14.6734563470343</c:v>
                </c:pt>
                <c:pt idx="2">
                  <c:v>16.067570658016301</c:v>
                </c:pt>
                <c:pt idx="3">
                  <c:v>17.021524491193301</c:v>
                </c:pt>
                <c:pt idx="4">
                  <c:v>17.544303540275301</c:v>
                </c:pt>
                <c:pt idx="5">
                  <c:v>17.867389340265198</c:v>
                </c:pt>
              </c:numCache>
            </c:numRef>
          </c:val>
          <c:smooth val="0"/>
        </c:ser>
        <c:dLbls>
          <c:showLegendKey val="0"/>
          <c:showVal val="0"/>
          <c:showCatName val="0"/>
          <c:showSerName val="0"/>
          <c:showPercent val="0"/>
          <c:showBubbleSize val="0"/>
        </c:dLbls>
        <c:marker val="1"/>
        <c:smooth val="0"/>
        <c:axId val="254054784"/>
        <c:axId val="254056320"/>
      </c:lineChart>
      <c:catAx>
        <c:axId val="254054784"/>
        <c:scaling>
          <c:orientation val="minMax"/>
        </c:scaling>
        <c:delete val="0"/>
        <c:axPos val="b"/>
        <c:majorTickMark val="out"/>
        <c:minorTickMark val="none"/>
        <c:tickLblPos val="nextTo"/>
        <c:crossAx val="254056320"/>
        <c:crosses val="autoZero"/>
        <c:auto val="1"/>
        <c:lblAlgn val="ctr"/>
        <c:lblOffset val="100"/>
        <c:noMultiLvlLbl val="0"/>
      </c:catAx>
      <c:valAx>
        <c:axId val="254056320"/>
        <c:scaling>
          <c:orientation val="minMax"/>
        </c:scaling>
        <c:delete val="0"/>
        <c:axPos val="l"/>
        <c:majorGridlines/>
        <c:numFmt formatCode="_(* #,##0.00_);_(* \(#,##0.00\);_(* &quot;-&quot;??_);_(@_)" sourceLinked="1"/>
        <c:majorTickMark val="out"/>
        <c:minorTickMark val="none"/>
        <c:tickLblPos val="nextTo"/>
        <c:crossAx val="25405478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11</xdr:col>
      <xdr:colOff>304799</xdr:colOff>
      <xdr:row>2</xdr:row>
      <xdr:rowOff>114299</xdr:rowOff>
    </xdr:from>
    <xdr:to>
      <xdr:col>25</xdr:col>
      <xdr:colOff>371474</xdr:colOff>
      <xdr:row>35</xdr:row>
      <xdr:rowOff>47624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180975</xdr:colOff>
      <xdr:row>83</xdr:row>
      <xdr:rowOff>171449</xdr:rowOff>
    </xdr:from>
    <xdr:to>
      <xdr:col>33</xdr:col>
      <xdr:colOff>476250</xdr:colOff>
      <xdr:row>142</xdr:row>
      <xdr:rowOff>9525</xdr:rowOff>
    </xdr:to>
    <xdr:sp macro="" textlink="">
      <xdr:nvSpPr>
        <xdr:cNvPr id="3" name="TextBox 2"/>
        <xdr:cNvSpPr txBox="1"/>
      </xdr:nvSpPr>
      <xdr:spPr>
        <a:xfrm>
          <a:off x="8848725" y="15982949"/>
          <a:ext cx="13411200" cy="110775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select </a:t>
          </a:r>
        </a:p>
        <a:p>
          <a:r>
            <a:rPr lang="en-US" sz="1100"/>
            <a:t>			SFACTOR_PREPAY_TRACKING_CPR = 1 - ( sum(md1.smmTotal*1*l.schamBalance)/sum(sign(md1.issueId)*1*l.schamBalance))</a:t>
          </a:r>
        </a:p>
        <a:p>
          <a:r>
            <a:rPr lang="en-US" sz="1100"/>
            <a:t>            ,PREPAY_TRACKING_CPR1 = 100*(1-POWER(SFACTOR_PREPAY_TRACKING_CPR,12))			</a:t>
          </a:r>
        </a:p>
        <a:p>
          <a:r>
            <a:rPr lang="en-US" sz="1100"/>
            <a:t>	        ,PREPAY_CPR1 = 100*(1.0 - power(sum(1*currentRpb)/sum(1*calcScham), 12))</a:t>
          </a:r>
        </a:p>
        <a:p>
          <a:r>
            <a:rPr lang="en-US" sz="1100"/>
            <a:t>			,PCT_LOANTYPE = sum(case when loanType in ( 'FHA') then  1*schamBalance else 0  end) / sum( 1*schamBalance)</a:t>
          </a:r>
        </a:p>
        <a:p>
          <a:r>
            <a:rPr lang="en-US" sz="1100"/>
            <a:t>			,WTAVG_ORIGNOTERATE = sum( case when OrigNoteRate &gt;0 then 1*schamBalance else NULL end *OrigNoteRate) / sum(case when OrigNoteRate &gt;0   then  1*schamBalance  else NULL end)</a:t>
          </a:r>
        </a:p>
        <a:p>
          <a:r>
            <a:rPr lang="en-US" sz="1100"/>
            <a:t>			,WTAVG_ZEROSATO = sum( case when zeroSATORate &gt;0 then 1*schamBalance else NULL end *zeroSATORate) / sum(case when zeroSATORate &gt;0   then  1*schamBalance  else NULL end)</a:t>
          </a:r>
        </a:p>
        <a:p>
          <a:r>
            <a:rPr lang="en-US" sz="1100"/>
            <a:t>			,WTAVG_REFI_INCENTIVE_INCL_ELIG = sum( case when incentive_include_elig &gt;-99999 then 1*schamBalance else NULL end *incentive_include_elig) / sum(case when incentive_include_elig &gt;-99999   then  1*schamBalance  else NULL end)</a:t>
          </a:r>
        </a:p>
        <a:p>
          <a:r>
            <a:rPr lang="en-US" sz="1100"/>
            <a:t>			,WTAVG_LOANAGE = sum( case when loanAge &gt;0 then 1*schamBalance else NULL end *loanAge) / sum(case when loanAge &gt;0   then  1*schamBalance  else NULL end)</a:t>
          </a:r>
        </a:p>
        <a:p>
          <a:r>
            <a:rPr lang="en-US" sz="1100"/>
            <a:t>			,WTAVG_LTV = sum( case when origLTV &gt;0 then 1*schamBalance else NULL end *origLTV) / sum(case when origLTV &gt;0   then  1*schamBalance  else NULL end)</a:t>
          </a:r>
        </a:p>
        <a:p>
          <a:r>
            <a:rPr lang="en-US" sz="1100"/>
            <a:t>			,WTAVG_CLTV = sum( case when CLTV &gt;0 then 1*schamBalance else NULL end *CLTV) / sum(case when CLTV &gt;0   then  1*schamBalance  else NULL end)</a:t>
          </a:r>
        </a:p>
        <a:p>
          <a:r>
            <a:rPr lang="en-US" sz="1100"/>
            <a:t>			,AVG_LOANSIZE_SCHAMBALANCE = sum( 1*schamBalance)/sum( 1*1)</a:t>
          </a:r>
        </a:p>
        <a:p>
          <a:r>
            <a:rPr lang="en-US" sz="1100"/>
            <a:t>			,WTAVG_FICO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  </a:t>
          </a:r>
        </a:p>
        <a:p>
          <a:r>
            <a:rPr lang="en-US" sz="1100"/>
            <a:t>,groupByColumn = </a:t>
          </a:r>
        </a:p>
        <a:p>
          <a:r>
            <a:rPr lang="en-US" sz="1100"/>
            <a:t>    case</a:t>
          </a:r>
        </a:p>
        <a:p>
          <a:r>
            <a:rPr lang="en-US" sz="1100"/>
            <a:t>    when incentive_include_elig &lt;= -200 then -200</a:t>
          </a:r>
        </a:p>
        <a:p>
          <a:r>
            <a:rPr lang="en-US" sz="1100"/>
            <a:t>    when incentive_include_elig &gt; 250 then 250</a:t>
          </a:r>
        </a:p>
        <a:p>
          <a:r>
            <a:rPr lang="en-US" sz="1100"/>
            <a:t>    else convert(int, incentive_include_elig / 25) * 25 + 25</a:t>
          </a:r>
        </a:p>
        <a:p>
          <a:r>
            <a:rPr lang="en-US" sz="1100"/>
            <a:t>    end</a:t>
          </a:r>
        </a:p>
        <a:p>
          <a:r>
            <a:rPr lang="en-US" sz="1100"/>
            <a:t>,burnoutBucket = </a:t>
          </a:r>
        </a:p>
        <a:p>
          <a:r>
            <a:rPr lang="en-US" sz="1100"/>
            <a:t>    case</a:t>
          </a:r>
        </a:p>
        <a:p>
          <a:r>
            <a:rPr lang="en-US" sz="1100"/>
            <a:t>    when slb.burnout &lt;= 2000 then 2000</a:t>
          </a:r>
        </a:p>
        <a:p>
          <a:r>
            <a:rPr lang="en-US" sz="1100"/>
            <a:t>    when slb.burnout &gt; 10000 then 10000</a:t>
          </a:r>
        </a:p>
        <a:p>
          <a:r>
            <a:rPr lang="en-US" sz="1100"/>
            <a:t>    else convert(int, slb.burnout / 2000) * 2000 + 2000</a:t>
          </a:r>
        </a:p>
        <a:p>
          <a:r>
            <a:rPr lang="en-US" sz="1100"/>
            <a:t>    end</a:t>
          </a:r>
        </a:p>
        <a:p>
          <a:r>
            <a:rPr lang="en-US" sz="1100"/>
            <a:t>--,curve = substring( groupByColumn,charindex(':',groupByColumn)+1)  </a:t>
          </a:r>
        </a:p>
        <a:p>
          <a:r>
            <a:rPr lang="en-US" sz="1100"/>
            <a:t>,Balance = sum(schamBalance)</a:t>
          </a:r>
        </a:p>
        <a:p>
          <a:r>
            <a:rPr lang="en-US" sz="1100"/>
            <a:t>,LoanCount = count(1)</a:t>
          </a:r>
        </a:p>
        <a:p>
          <a:r>
            <a:rPr lang="en-US" sz="1100"/>
            <a:t>from FHL.Cello_LoanView l</a:t>
          </a:r>
        </a:p>
        <a:p>
          <a:r>
            <a:rPr lang="en-US" sz="1100"/>
            <a:t>left outer join scale.LoanPrepayTracking md1 on md1.loanseqNum = l.loanseqNum and md1.asOf =  l.asOf and md1.modelId = '4.10'</a:t>
          </a:r>
        </a:p>
        <a:p>
          <a:r>
            <a:rPr lang="en-US" sz="1100"/>
            <a:t>JOIN scale.fhl_LoanBurnout slb</a:t>
          </a:r>
        </a:p>
        <a:p>
          <a:r>
            <a:rPr lang="en-US" sz="1100"/>
            <a:t>    ON l.loanSeqNum = slb.loanSeqNum</a:t>
          </a:r>
        </a:p>
        <a:p>
          <a:r>
            <a:rPr lang="en-US" sz="1100"/>
            <a:t>    AND l.asOf = slb.asOf</a:t>
          </a:r>
        </a:p>
        <a:p>
          <a:r>
            <a:rPr lang="en-US" sz="1100"/>
            <a:t>    AND slb.version = '2.60'</a:t>
          </a:r>
        </a:p>
        <a:p>
          <a:r>
            <a:rPr lang="en-US" sz="1100"/>
            <a:t>where 1 = 1</a:t>
          </a:r>
        </a:p>
        <a:p>
          <a:r>
            <a:rPr lang="en-US" sz="1100"/>
            <a:t>and schamBalance &gt; 0.1</a:t>
          </a:r>
        </a:p>
        <a:p>
          <a:r>
            <a:rPr lang="en-US" sz="1100"/>
            <a:t>and groupByColumn is NOT NULL</a:t>
          </a:r>
        </a:p>
        <a:p>
          <a:r>
            <a:rPr lang="en-US" sz="1100"/>
            <a:t>and ( 1=2 </a:t>
          </a:r>
        </a:p>
        <a:p>
          <a:r>
            <a:rPr lang="en-US" sz="1100"/>
            <a:t> OR marketTicker LIKE 'FGLMC')</a:t>
          </a:r>
        </a:p>
        <a:p>
          <a:r>
            <a:rPr lang="en-US" sz="1100"/>
            <a:t> and coupon &gt;= 4.5 and coupon&lt;=4.5</a:t>
          </a:r>
        </a:p>
        <a:p>
          <a:r>
            <a:rPr lang="en-US" sz="1100"/>
            <a:t>-- and incentive_include_elig &gt;= -25 and incentive_include_elig&lt;=250</a:t>
          </a:r>
        </a:p>
        <a:p>
          <a:r>
            <a:rPr lang="en-US" sz="1100"/>
            <a:t> and l.asOf &gt;= '20170401' and l.asOf&lt;='20180401'</a:t>
          </a:r>
        </a:p>
        <a:p>
          <a:r>
            <a:rPr lang="en-US" sz="1100"/>
            <a:t> and calcOrigMonth_LL &gt;= 200907 and calcOrigMonth_LL&lt;=201804</a:t>
          </a:r>
        </a:p>
        <a:p>
          <a:r>
            <a:rPr lang="en-US" sz="1100"/>
            <a:t> and origLTV &gt;= 0 and origLTV&lt;=80</a:t>
          </a:r>
        </a:p>
        <a:p>
          <a:r>
            <a:rPr lang="en-US" sz="1100"/>
            <a:t> and ( 1=2 </a:t>
          </a:r>
        </a:p>
        <a:p>
          <a:r>
            <a:rPr lang="en-US" sz="1100"/>
            <a:t> OR occType LIKE 'OWNER' OR occType LIKE '2ND')</a:t>
          </a:r>
        </a:p>
        <a:p>
          <a:r>
            <a:rPr lang="en-US" sz="1100"/>
            <a:t> and incentive_include_elig&gt;=-99999999 and incentive_include_elig&lt;=99999999</a:t>
          </a:r>
        </a:p>
        <a:p>
          <a:r>
            <a:rPr lang="en-US" sz="1100"/>
            <a:t> and agency in ( 'FHL')</a:t>
          </a:r>
        </a:p>
        <a:p>
          <a:r>
            <a:rPr lang="en-US" sz="1100"/>
            <a:t>group by groupByColumn, burnoutBucket</a:t>
          </a:r>
        </a:p>
        <a:p>
          <a:r>
            <a:rPr lang="en-US" sz="1100"/>
            <a:t>having 1=1					</a:t>
          </a:r>
        </a:p>
        <a:p>
          <a:r>
            <a:rPr lang="en-US" sz="1100"/>
            <a:t>-- and sum(schamBalance) &gt;100000000</a:t>
          </a:r>
        </a:p>
        <a:p>
          <a:r>
            <a:rPr lang="en-US" sz="1100"/>
            <a:t>order by groupByColumn, burnoutBucket</a:t>
          </a:r>
        </a:p>
        <a:p>
          <a:r>
            <a:rPr lang="en-US" sz="1100"/>
            <a:t>;</a:t>
          </a:r>
        </a:p>
        <a:p>
          <a:r>
            <a:rPr lang="en-US" sz="1100"/>
            <a:t>commit;</a:t>
          </a:r>
        </a:p>
      </xdr:txBody>
    </xdr:sp>
    <xdr:clientData/>
  </xdr:twoCellAnchor>
  <xdr:twoCellAnchor>
    <xdr:from>
      <xdr:col>11</xdr:col>
      <xdr:colOff>266699</xdr:colOff>
      <xdr:row>36</xdr:row>
      <xdr:rowOff>38099</xdr:rowOff>
    </xdr:from>
    <xdr:to>
      <xdr:col>25</xdr:col>
      <xdr:colOff>438149</xdr:colOff>
      <xdr:row>66</xdr:row>
      <xdr:rowOff>142874</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Lien Chen" refreshedDate="43236.473890046298" createdVersion="4" refreshedVersion="4" minRefreshableVersion="3" recordCount="120">
  <cacheSource type="worksheet">
    <worksheetSource ref="A1:W103" sheet="Sheet1"/>
  </cacheSource>
  <cacheFields count="23">
    <cacheField name="SFACTOR_PREPAY_TRACKING_CPR" numFmtId="0">
      <sharedItems containsSemiMixedTypes="0" containsString="0" containsNumber="1" minValue="0.97771960000000002" maxValue="0.99604628949520402"/>
    </cacheField>
    <cacheField name="PREPAY_TRACKING_CPR1" numFmtId="0">
      <sharedItems containsSemiMixedTypes="0" containsString="0" containsNumber="1" minValue="4.6426302115949403" maxValue="23.6916861866899"/>
    </cacheField>
    <cacheField name="PREPAY_CPR1" numFmtId="0">
      <sharedItems containsSemiMixedTypes="0" containsString="0" containsNumber="1" minValue="0" maxValue="43.885928419580999"/>
    </cacheField>
    <cacheField name="PCT_LOANTYPE" numFmtId="0">
      <sharedItems containsSemiMixedTypes="0" containsString="0" containsNumber="1" containsInteger="1" minValue="0" maxValue="0"/>
    </cacheField>
    <cacheField name="WTAVG_ORIGNOTERATE" numFmtId="0">
      <sharedItems containsSemiMixedTypes="0" containsString="0" containsNumber="1" minValue="2.5820235313747602" maxValue="6.5"/>
    </cacheField>
    <cacheField name="WTAVG_ZEROSATO" numFmtId="0">
      <sharedItems containsSemiMixedTypes="0" containsString="0" containsNumber="1" minValue="4.2093661364101997" maxValue="4.6574080023050799"/>
    </cacheField>
    <cacheField name="WTAVG_REFI_INCENTIVE_INCL_ELIG" numFmtId="0">
      <sharedItems containsSemiMixedTypes="0" containsString="0" containsNumber="1" minValue="-208.39340186020999" maxValue="250"/>
    </cacheField>
    <cacheField name="WTAVG_LOANAGE" numFmtId="0">
      <sharedItems containsSemiMixedTypes="0" containsString="0" containsNumber="1" minValue="9.1049649026074295" maxValue="96.073514429304296"/>
    </cacheField>
    <cacheField name="WTAVG_LTV" numFmtId="0">
      <sharedItems containsSemiMixedTypes="0" containsString="0" containsNumber="1" minValue="57.156379157096097" maxValue="78.421172010364899"/>
    </cacheField>
    <cacheField name="WTAVG_CLTV" numFmtId="0">
      <sharedItems containsSemiMixedTypes="0" containsString="0" containsNumber="1" minValue="33.919848533592997" maxValue="85.9111225715789"/>
    </cacheField>
    <cacheField name="AVG_LOANSIZE_SCHAMBALANCE" numFmtId="0">
      <sharedItems containsSemiMixedTypes="0" containsString="0" containsNumber="1" minValue="74281.217241379301" maxValue="414969.47629530198"/>
    </cacheField>
    <cacheField name="WTAVG_FICO" numFmtId="0">
      <sharedItems containsSemiMixedTypes="0" containsString="0" containsNumber="1" minValue="622.72103471306798" maxValue="768.42624395596602"/>
    </cacheField>
    <cacheField name="PCT_ISSECONDLIEN" numFmtId="0">
      <sharedItems containsSemiMixedTypes="0" containsString="0" containsNumber="1" minValue="0" maxValue="0.51405672700480498"/>
    </cacheField>
    <cacheField name="PCT_SVC" numFmtId="0">
      <sharedItems containsSemiMixedTypes="0" containsString="0" containsNumber="1" minValue="0" maxValue="1"/>
    </cacheField>
    <cacheField name="PCT_TPO" numFmtId="0">
      <sharedItems containsSemiMixedTypes="0" containsString="0" containsNumber="1" minValue="0" maxValue="1"/>
    </cacheField>
    <cacheField name="PCT_GEO" numFmtId="0">
      <sharedItems containsSemiMixedTypes="0" containsString="0" containsNumber="1" minValue="0" maxValue="1"/>
    </cacheField>
    <cacheField name="PCT_LOANPURPOSE" numFmtId="0">
      <sharedItems containsSemiMixedTypes="0" containsString="0" containsNumber="1" minValue="0" maxValue="1"/>
    </cacheField>
    <cacheField name="PCT_OCC" numFmtId="0">
      <sharedItems containsSemiMixedTypes="0" containsString="0" containsNumber="1" containsInteger="1" minValue="0" maxValue="0"/>
    </cacheField>
    <cacheField name="groupByColumn" numFmtId="0">
      <sharedItems containsSemiMixedTypes="0" containsString="0" containsNumber="1" containsInteger="1" minValue="-200" maxValue="275" count="19">
        <n v="-200"/>
        <n v="-150"/>
        <n v="-125"/>
        <n v="-100"/>
        <n v="-75"/>
        <n v="-50"/>
        <n v="-25"/>
        <n v="0"/>
        <n v="25"/>
        <n v="50"/>
        <n v="75"/>
        <n v="100"/>
        <n v="125"/>
        <n v="150"/>
        <n v="175"/>
        <n v="200"/>
        <n v="225"/>
        <n v="250"/>
        <n v="275"/>
      </sharedItems>
    </cacheField>
    <cacheField name="burnoutBucket" numFmtId="0">
      <sharedItems containsSemiMixedTypes="0" containsString="0" containsNumber="1" containsInteger="1" minValue="2000" maxValue="12000" count="6">
        <n v="2000"/>
        <n v="4000"/>
        <n v="6000"/>
        <n v="8000"/>
        <n v="10000"/>
        <n v="12000"/>
      </sharedItems>
    </cacheField>
    <cacheField name="Balance" numFmtId="0">
      <sharedItems containsSemiMixedTypes="0" containsString="0" containsNumber="1" minValue="75601.27" maxValue="4265520533953.0601"/>
    </cacheField>
    <cacheField name="LoanCount" numFmtId="0">
      <sharedItems containsSemiMixedTypes="0" containsString="0" containsNumber="1" containsInteger="1" minValue="1" maxValue="19398418"/>
    </cacheField>
    <cacheField name="Type" numFmtId="0">
      <sharedItems count="2">
        <s v="act"/>
        <s v="mdl"/>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Lien Chen" refreshedDate="43237.689057060183" createdVersion="4" refreshedVersion="4" minRefreshableVersion="3" recordCount="51">
  <cacheSource type="worksheet">
    <worksheetSource ref="A1:W52" sheet="Sheet1"/>
  </cacheSource>
  <cacheFields count="23">
    <cacheField name="SFACTOR_PREPAY_TRACKING_CPR" numFmtId="0">
      <sharedItems containsSemiMixedTypes="0" containsString="0" containsNumber="1" minValue="0.978202658576936" maxValue="0.99453478946053098"/>
    </cacheField>
    <cacheField name="PREPAY_TRACKING_CPR1" numFmtId="0">
      <sharedItems containsSemiMixedTypes="0" containsString="0" containsNumber="1" minValue="6.3646678287545697" maxValue="23.23803812841"/>
    </cacheField>
    <cacheField name="PREPAY_CPR1" numFmtId="0">
      <sharedItems containsSemiMixedTypes="0" containsString="0" containsNumber="1" minValue="0" maxValue="52.1774270646209"/>
    </cacheField>
    <cacheField name="PCT_LOANTYPE" numFmtId="0">
      <sharedItems containsSemiMixedTypes="0" containsString="0" containsNumber="1" containsInteger="1" minValue="0" maxValue="0"/>
    </cacheField>
    <cacheField name="WTAVG_ORIGNOTERATE" numFmtId="0">
      <sharedItems containsSemiMixedTypes="0" containsString="0" containsNumber="1" minValue="4.1706825209449603" maxValue="6.0073544326335897"/>
    </cacheField>
    <cacheField name="WTAVG_ZEROSATO" numFmtId="0">
      <sharedItems containsSemiMixedTypes="0" containsString="0" containsNumber="1" minValue="4.2036729130116903" maxValue="4.6577606256153903"/>
    </cacheField>
    <cacheField name="WTAVG_REFI_INCENTIVE_INCL_ELIG" numFmtId="0">
      <sharedItems containsSemiMixedTypes="0" containsString="0" containsNumber="1" minValue="-77.966021917483502" maxValue="235.49606820415701"/>
    </cacheField>
    <cacheField name="WTAVG_LOANAGE" numFmtId="0">
      <sharedItems containsSemiMixedTypes="0" containsString="0" containsNumber="1" minValue="8.6858907630623499" maxValue="95.742866655187399"/>
    </cacheField>
    <cacheField name="WTAVG_LTV" numFmtId="0">
      <sharedItems containsSemiMixedTypes="0" containsString="0" containsNumber="1" minValue="55.491247069495401" maxValue="80"/>
    </cacheField>
    <cacheField name="WTAVG_CLTV" numFmtId="0">
      <sharedItems containsSemiMixedTypes="0" containsString="0" containsNumber="1" minValue="29.496142583150299" maxValue="88.831251851682595"/>
    </cacheField>
    <cacheField name="AVG_LOANSIZE_SCHAMBALANCE" numFmtId="0">
      <sharedItems containsSemiMixedTypes="0" containsString="0" containsNumber="1" minValue="89620.580938123705" maxValue="440747.45764044899"/>
    </cacheField>
    <cacheField name="WTAVG_FICO" numFmtId="0">
      <sharedItems containsSemiMixedTypes="0" containsString="0" containsNumber="1" minValue="599.09541632943603" maxValue="777.20280721620395"/>
    </cacheField>
    <cacheField name="PCT_ISSECONDLIEN" numFmtId="0">
      <sharedItems containsSemiMixedTypes="0" containsString="0" containsNumber="1" minValue="0" maxValue="0.30575369284268"/>
    </cacheField>
    <cacheField name="PCT_SVC" numFmtId="0">
      <sharedItems containsSemiMixedTypes="0" containsString="0" containsNumber="1" minValue="0" maxValue="0.24941972151448999"/>
    </cacheField>
    <cacheField name="PCT_TPO" numFmtId="0">
      <sharedItems containsSemiMixedTypes="0" containsString="0" containsNumber="1" minValue="0" maxValue="1"/>
    </cacheField>
    <cacheField name="PCT_GEO" numFmtId="0">
      <sharedItems containsSemiMixedTypes="0" containsString="0" containsNumber="1" minValue="0" maxValue="1"/>
    </cacheField>
    <cacheField name="PCT_LOANPURPOSE" numFmtId="0">
      <sharedItems containsSemiMixedTypes="0" containsString="0" containsNumber="1" minValue="0" maxValue="1"/>
    </cacheField>
    <cacheField name="PCT_OCC" numFmtId="0">
      <sharedItems containsSemiMixedTypes="0" containsString="0" containsNumber="1" containsInteger="1" minValue="0" maxValue="0"/>
    </cacheField>
    <cacheField name="groupByColumn" numFmtId="0">
      <sharedItems containsSemiMixedTypes="0" containsString="0" containsNumber="1" containsInteger="1" minValue="-200" maxValue="275" count="19">
        <n v="-50"/>
        <n v="-25"/>
        <n v="0"/>
        <n v="25"/>
        <n v="50"/>
        <n v="75"/>
        <n v="100"/>
        <n v="125"/>
        <n v="150"/>
        <n v="175"/>
        <n v="200"/>
        <n v="225"/>
        <n v="250"/>
        <n v="275" u="1"/>
        <n v="-150" u="1"/>
        <n v="-200" u="1"/>
        <n v="-75" u="1"/>
        <n v="-100" u="1"/>
        <n v="-125" u="1"/>
      </sharedItems>
    </cacheField>
    <cacheField name="burnoutBucket" numFmtId="0">
      <sharedItems containsSemiMixedTypes="0" containsString="0" containsNumber="1" containsInteger="1" minValue="2000" maxValue="12000" count="6">
        <n v="2000"/>
        <n v="4000"/>
        <n v="6000"/>
        <n v="8000"/>
        <n v="10000"/>
        <n v="12000"/>
      </sharedItems>
    </cacheField>
    <cacheField name="Balance" numFmtId="0">
      <sharedItems containsSemiMixedTypes="0" containsString="0" containsNumber="1" minValue="273409.65000000002" maxValue="128220602298.42999"/>
    </cacheField>
    <cacheField name="LoanCount" numFmtId="0">
      <sharedItems containsSemiMixedTypes="0" containsString="0" containsNumber="1" containsInteger="1" minValue="2" maxValue="852930"/>
    </cacheField>
    <cacheField name="Typ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20">
  <r>
    <n v="0.99398597823422097"/>
    <n v="6.98283555604442"/>
    <n v="0"/>
    <n v="0"/>
    <n v="2.5820235313747602"/>
    <n v="4.4939835864167197"/>
    <n v="-208.39340186020999"/>
    <n v="54.728761824876202"/>
    <n v="78.031435247005504"/>
    <n v="54.709311816321303"/>
    <n v="101967.10875"/>
    <n v="622.72103471306798"/>
    <n v="0.34381174900185602"/>
    <n v="0"/>
    <n v="1"/>
    <n v="0"/>
    <n v="0.65618825099814304"/>
    <n v="0"/>
    <x v="0"/>
    <x v="0"/>
    <n v="815736.87"/>
    <n v="8"/>
    <x v="0"/>
  </r>
  <r>
    <n v="0.99546301067528098"/>
    <n v="5.3105647649837104"/>
    <n v="0.148035649086908"/>
    <n v="0"/>
    <n v="2.8210540226077501"/>
    <n v="4.4522579292633697"/>
    <n v="-185.94455808751101"/>
    <n v="43.870997294096298"/>
    <n v="78.421172010364899"/>
    <n v="70.484520109925398"/>
    <n v="162806.263055555"/>
    <n v="671.00586815569602"/>
    <n v="0.51405672700480498"/>
    <n v="0"/>
    <n v="0.818231007448599"/>
    <n v="7.5114897939523806E-2"/>
    <n v="7.2803641134833605E-2"/>
    <n v="0"/>
    <x v="1"/>
    <x v="0"/>
    <n v="11722050.939999999"/>
    <n v="72"/>
    <x v="0"/>
  </r>
  <r>
    <n v="0.99562685036164"/>
    <n v="5.1233802471356196"/>
    <n v="8.9267611333350203"/>
    <n v="0"/>
    <n v="2.8145332240622398"/>
    <n v="4.4628457490188698"/>
    <n v="-160.958380531394"/>
    <n v="41.374896234072303"/>
    <n v="75.447366435882401"/>
    <n v="64.976336838562602"/>
    <n v="159404.06294906099"/>
    <n v="691.91843352757701"/>
    <n v="0.442510268475589"/>
    <n v="1.5366483603079699E-2"/>
    <n v="0.80234035456755404"/>
    <n v="5.3115384849629903E-2"/>
    <n v="0.24483994654817801"/>
    <n v="0"/>
    <x v="2"/>
    <x v="0"/>
    <n v="59457715.479999997"/>
    <n v="373"/>
    <x v="0"/>
  </r>
  <r>
    <n v="0.99569036215895701"/>
    <n v="5.0507277360105602"/>
    <n v="3.8381918488139601"/>
    <n v="0"/>
    <n v="3.0311088635587899"/>
    <n v="4.4622172895753298"/>
    <n v="-134.357993345745"/>
    <n v="36.260072873915597"/>
    <n v="73.063789665629201"/>
    <n v="62.6333325016071"/>
    <n v="179063.47174813499"/>
    <n v="706.92252568924198"/>
    <n v="0.246753700921861"/>
    <n v="2.6964096008012702E-2"/>
    <n v="0.83340264176037204"/>
    <n v="8.4972610976399507E-2"/>
    <n v="0.41008630358869103"/>
    <n v="0"/>
    <x v="3"/>
    <x v="0"/>
    <n v="432259220.80000001"/>
    <n v="2414"/>
    <x v="0"/>
  </r>
  <r>
    <n v="0.99604628949520402"/>
    <n v="4.6426302115949403"/>
    <n v="3.7050725365195398"/>
    <n v="0"/>
    <n v="3.2061118717894299"/>
    <n v="4.4825838108136304"/>
    <n v="-108.66773568327901"/>
    <n v="33.061955653587397"/>
    <n v="70.790520290852498"/>
    <n v="59.029512189385201"/>
    <n v="205068.25070235899"/>
    <n v="733.85394212400399"/>
    <n v="8.9336089777009201E-2"/>
    <n v="6.6793706717945503E-2"/>
    <n v="0.71103571768352603"/>
    <n v="7.9668242612107601E-2"/>
    <n v="0.54346183352333799"/>
    <n v="0"/>
    <x v="4"/>
    <x v="0"/>
    <n v="5821887637.4399996"/>
    <n v="28390"/>
    <x v="0"/>
  </r>
  <r>
    <n v="0.99580346355126104"/>
    <n v="4.9212223359414802"/>
    <n v="4.1745512199787598"/>
    <n v="0"/>
    <n v="3.3495667996017802"/>
    <n v="4.4912100371309602"/>
    <n v="-83.492356986669904"/>
    <n v="34.077256536640199"/>
    <n v="69.369775626790698"/>
    <n v="56.623366450968398"/>
    <n v="231747.72286269799"/>
    <n v="754.41168760165795"/>
    <n v="7.3730902481013993E-2"/>
    <n v="0.121036557071403"/>
    <n v="0.53530419811316798"/>
    <n v="5.47007342528186E-2"/>
    <n v="0.57963800353168704"/>
    <n v="0"/>
    <x v="5"/>
    <x v="0"/>
    <n v="89683587775.190002"/>
    <n v="386988"/>
    <x v="0"/>
  </r>
  <r>
    <n v="0.98150963785794199"/>
    <n v="20.065397113392802"/>
    <n v="0"/>
    <n v="0"/>
    <n v="5.25"/>
    <n v="4.3700157286008698"/>
    <n v="-77.587347335436803"/>
    <n v="82.998754292633294"/>
    <n v="74"/>
    <n v="85.9111225715789"/>
    <n v="81536.003333333298"/>
    <n v="647"/>
    <n v="0"/>
    <n v="0"/>
    <n v="0"/>
    <n v="1"/>
    <n v="0"/>
    <n v="0"/>
    <x v="5"/>
    <x v="1"/>
    <n v="244608.01"/>
    <n v="3"/>
    <x v="0"/>
  </r>
  <r>
    <n v="0.99508664213139397"/>
    <n v="5.7392791584546501"/>
    <n v="5.5056201904765096"/>
    <n v="0"/>
    <n v="3.5037411454088199"/>
    <n v="4.4667068363478997"/>
    <n v="-59.938698364456997"/>
    <n v="33.843270423637399"/>
    <n v="68.591490464202494"/>
    <n v="55.299691849516101"/>
    <n v="237376.74118653699"/>
    <n v="762.71546776335595"/>
    <n v="7.9410149416530504E-2"/>
    <n v="0.13416101009067"/>
    <n v="0.48024384155331201"/>
    <n v="3.9906489652881301E-2"/>
    <n v="0.61205276389845098"/>
    <n v="0"/>
    <x v="6"/>
    <x v="0"/>
    <n v="696411373134.97998"/>
    <n v="2933781"/>
    <x v="0"/>
  </r>
  <r>
    <n v="0.98489717008636102"/>
    <n v="16.6912390880521"/>
    <n v="0"/>
    <n v="0"/>
    <n v="5.25"/>
    <n v="4.4279385744636803"/>
    <n v="-64.647185239423905"/>
    <n v="80.499540071801206"/>
    <n v="74"/>
    <n v="85.2246826495428"/>
    <n v="81914.960000000006"/>
    <n v="647"/>
    <n v="0"/>
    <n v="0"/>
    <n v="0"/>
    <n v="1"/>
    <n v="0"/>
    <n v="0"/>
    <x v="6"/>
    <x v="1"/>
    <n v="163829.92000000001"/>
    <n v="2"/>
    <x v="0"/>
  </r>
  <r>
    <n v="0.99398380181809698"/>
    <n v="6.9852795537216998"/>
    <n v="6.5575639565676802"/>
    <n v="0"/>
    <n v="3.6554546660374498"/>
    <n v="4.3963921992015704"/>
    <n v="-36.465705750073397"/>
    <n v="31.858091508346298"/>
    <n v="68.205800968198801"/>
    <n v="55.201959590370201"/>
    <n v="234959.53240854901"/>
    <n v="761.46974160819298"/>
    <n v="8.84293268599321E-2"/>
    <n v="0.122660306402846"/>
    <n v="0.50927653463171596"/>
    <n v="3.9354194181498998E-2"/>
    <n v="0.62741768305344303"/>
    <n v="0"/>
    <x v="7"/>
    <x v="0"/>
    <n v="1770278631059.9099"/>
    <n v="7534398"/>
    <x v="0"/>
  </r>
  <r>
    <n v="0.98484671593370998"/>
    <n v="16.742437393639701"/>
    <n v="0"/>
    <n v="0"/>
    <n v="5.1818747503786904"/>
    <n v="4.3574565950817501"/>
    <n v="-35.557474277933999"/>
    <n v="90.366766075766606"/>
    <n v="75.495021425979004"/>
    <n v="85.453081344722193"/>
    <n v="110968.091428571"/>
    <n v="674.16656085332295"/>
    <n v="0"/>
    <n v="0"/>
    <n v="0.89542659264315605"/>
    <n v="1"/>
    <n v="0.64625635497998402"/>
    <n v="0"/>
    <x v="7"/>
    <x v="1"/>
    <n v="776776.64"/>
    <n v="7"/>
    <x v="0"/>
  </r>
  <r>
    <n v="0.99245679463983705"/>
    <n v="8.6855910128964204"/>
    <n v="8.56333857840694"/>
    <n v="0"/>
    <n v="3.9513623348753799"/>
    <n v="4.3396682243928604"/>
    <n v="-1.43414742051971"/>
    <n v="30.8121597189947"/>
    <n v="69.077546436757402"/>
    <n v="56.320718159300597"/>
    <n v="219890.12371797799"/>
    <n v="755.22258558809006"/>
    <n v="9.2803773270958997E-2"/>
    <n v="0.124420728350217"/>
    <n v="0.55170776609035899"/>
    <n v="4.3676970027426397E-2"/>
    <n v="0.59436984121686298"/>
    <n v="0"/>
    <x v="8"/>
    <x v="0"/>
    <n v="4265520533953.0601"/>
    <n v="19398418"/>
    <x v="0"/>
  </r>
  <r>
    <n v="0.99115723079014995"/>
    <n v="10.1101525269435"/>
    <n v="10.129544373794801"/>
    <n v="0"/>
    <n v="4.22527477798275"/>
    <n v="4.5222541993292404"/>
    <n v="14.9690194946128"/>
    <n v="69.271574176926705"/>
    <n v="65.399328614665905"/>
    <n v="42.561574550114003"/>
    <n v="173930.63935191499"/>
    <n v="767.01000628972599"/>
    <n v="0.137914484194057"/>
    <n v="5.36442967813682E-2"/>
    <n v="0.54604546621221295"/>
    <n v="6.6118389338703495E-2"/>
    <n v="0.73954681765393704"/>
    <n v="0"/>
    <x v="8"/>
    <x v="1"/>
    <n v="114419575375.10001"/>
    <n v="657846"/>
    <x v="0"/>
  </r>
  <r>
    <n v="0.99017373160824496"/>
    <n v="11.1746742991541"/>
    <n v="8.4794015595295207"/>
    <n v="0"/>
    <n v="4.3928592315350601"/>
    <n v="4.6556366250897696"/>
    <n v="20.200990381279301"/>
    <n v="84.513551666101904"/>
    <n v="58.706612015526098"/>
    <n v="33.919848533592997"/>
    <n v="414969.47629530198"/>
    <n v="766.56512038446795"/>
    <n v="0.17374072299454801"/>
    <n v="6.7237217385238995E-2"/>
    <n v="0.432478505022724"/>
    <n v="9.3272376902318502E-2"/>
    <n v="0.84599155084733502"/>
    <n v="0"/>
    <x v="8"/>
    <x v="2"/>
    <n v="309152259.83999997"/>
    <n v="745"/>
    <x v="0"/>
  </r>
  <r>
    <n v="0.99034993271858696"/>
    <n v="10.9848112754652"/>
    <n v="11.787777985540099"/>
    <n v="0"/>
    <n v="4.2863255074666204"/>
    <n v="4.2825192229139901"/>
    <n v="35.731986109913798"/>
    <n v="24.789614647665001"/>
    <n v="70.338135223775595"/>
    <n v="59.458127911429301"/>
    <n v="207705.79620102301"/>
    <n v="743.32066442701705"/>
    <n v="9.0879971506139801E-2"/>
    <n v="0.148249569483207"/>
    <n v="0.56775642155774797"/>
    <n v="4.60290407995506E-2"/>
    <n v="0.55696228141047099"/>
    <n v="0"/>
    <x v="9"/>
    <x v="0"/>
    <n v="1122432983615.3"/>
    <n v="5403956"/>
    <x v="0"/>
  </r>
  <r>
    <n v="0.98934725385050803"/>
    <n v="12.060289503701201"/>
    <n v="12.1714435618736"/>
    <n v="0"/>
    <n v="4.3617753882506696"/>
    <n v="4.3974849608757802"/>
    <n v="38.5668571089995"/>
    <n v="61.853929013688699"/>
    <n v="67.280429760121905"/>
    <n v="46.102590075254298"/>
    <n v="172175.856882886"/>
    <n v="758.93591376180404"/>
    <n v="0.128138873097072"/>
    <n v="7.7167733740411207E-2"/>
    <n v="0.55843610370010499"/>
    <n v="6.4070182362654299E-2"/>
    <n v="0.67182947265940496"/>
    <n v="0"/>
    <x v="9"/>
    <x v="1"/>
    <n v="338369807970.09003"/>
    <n v="1965257"/>
    <x v="0"/>
  </r>
  <r>
    <n v="0.99043970290307604"/>
    <n v="10.8879376993882"/>
    <n v="11.5195355064049"/>
    <n v="0"/>
    <n v="4.46849184072948"/>
    <n v="4.5461926900649496"/>
    <n v="39.567577813461298"/>
    <n v="81.0342128052622"/>
    <n v="62.960992640415398"/>
    <n v="39.480884592997"/>
    <n v="155856.69374767799"/>
    <n v="768.42624395596602"/>
    <n v="0.159597293861205"/>
    <n v="4.8493438330124899E-2"/>
    <n v="0.62825879988527"/>
    <n v="7.3892448306979802E-2"/>
    <n v="0.82343396783188305"/>
    <n v="0"/>
    <x v="9"/>
    <x v="2"/>
    <n v="52873136500.349998"/>
    <n v="339242"/>
    <x v="0"/>
  </r>
  <r>
    <n v="0.98740655363968199"/>
    <n v="14.108128669409799"/>
    <n v="5.8180147767477104"/>
    <n v="0"/>
    <n v="4.6829119365540999"/>
    <n v="4.6570687464989904"/>
    <n v="45.175495601118101"/>
    <n v="90.809628942521996"/>
    <n v="57.156379157096097"/>
    <n v="34.265511741168403"/>
    <n v="413238.51123076899"/>
    <n v="763.69031435922602"/>
    <n v="0.31474233892931303"/>
    <n v="1.9025139994955802E-2"/>
    <n v="0.530773298173982"/>
    <n v="0.234519126213066"/>
    <n v="0.81215865244021501"/>
    <n v="0"/>
    <x v="9"/>
    <x v="3"/>
    <n v="188023522.61000001"/>
    <n v="455"/>
    <x v="0"/>
  </r>
  <r>
    <n v="0.98752449030537204"/>
    <n v="13.984939800028901"/>
    <n v="14.811676300351399"/>
    <n v="0"/>
    <n v="4.5296750711594802"/>
    <n v="4.26005392279394"/>
    <n v="59.265778786477199"/>
    <n v="18.595154297341399"/>
    <n v="70.519731860245798"/>
    <n v="61.822961976451801"/>
    <n v="198478.417851904"/>
    <n v="726.32342984895297"/>
    <n v="9.8233222872629394E-2"/>
    <n v="0.16715068778688799"/>
    <n v="0.57824403694966897"/>
    <n v="4.2906729269133297E-2"/>
    <n v="0.65177608717683899"/>
    <n v="0"/>
    <x v="10"/>
    <x v="0"/>
    <n v="325559385320.45001"/>
    <n v="1640276"/>
    <x v="0"/>
  </r>
  <r>
    <n v="0.98630707204757095"/>
    <n v="15.2488176853743"/>
    <n v="14.406614967733899"/>
    <n v="0"/>
    <n v="4.51603033813032"/>
    <n v="4.3124173245953399"/>
    <n v="61.3647725613707"/>
    <n v="50.578749189931401"/>
    <n v="70.315846419190393"/>
    <n v="51.036674818865102"/>
    <n v="172466.23041035599"/>
    <n v="746.68997199588102"/>
    <n v="0.11391568921334901"/>
    <n v="0.110059969756117"/>
    <n v="0.56787508848236001"/>
    <n v="6.14136884723573E-2"/>
    <n v="0.58933898722213496"/>
    <n v="0"/>
    <x v="10"/>
    <x v="1"/>
    <n v="350243558386.20001"/>
    <n v="2030795"/>
    <x v="0"/>
  </r>
  <r>
    <n v="0.98775969791081297"/>
    <n v="13.738773710056201"/>
    <n v="12.8790121568562"/>
    <n v="0"/>
    <n v="4.5714396260582104"/>
    <n v="4.35739571334428"/>
    <n v="63.333813971588597"/>
    <n v="78.324200288411504"/>
    <n v="65.192505028015802"/>
    <n v="42.348221941081597"/>
    <n v="154408.97229443199"/>
    <n v="760.99938848523595"/>
    <n v="0.15733536257849701"/>
    <n v="4.9431251534719903E-2"/>
    <n v="0.62939474972946896"/>
    <n v="7.9921145949063799E-2"/>
    <n v="0.780557246236947"/>
    <n v="0"/>
    <x v="10"/>
    <x v="2"/>
    <n v="147258447196.45001"/>
    <n v="953691"/>
    <x v="0"/>
  </r>
  <r>
    <n v="0.98811317115094"/>
    <n v="13.367617213541299"/>
    <n v="12.5084291638675"/>
    <n v="0"/>
    <n v="4.7402533430095097"/>
    <n v="4.5497117973718399"/>
    <n v="65.864375106985193"/>
    <n v="86.540590305115202"/>
    <n v="61.805123056995598"/>
    <n v="39.036463897669499"/>
    <n v="152149.89682382299"/>
    <n v="765.53374274745897"/>
    <n v="0.157326615554848"/>
    <n v="5.3224149580664501E-2"/>
    <n v="0.58296372540943397"/>
    <n v="8.2581490601832702E-2"/>
    <n v="0.79769139492819996"/>
    <n v="0"/>
    <x v="10"/>
    <x v="3"/>
    <n v="51914914145.360001"/>
    <n v="341209"/>
    <x v="0"/>
  </r>
  <r>
    <n v="0.98418137585028698"/>
    <n v="17.414898119744699"/>
    <n v="15.138490181224499"/>
    <n v="0"/>
    <n v="4.8814145543693899"/>
    <n v="4.6574080023050799"/>
    <n v="70.972789243235198"/>
    <n v="95.328075520708694"/>
    <n v="58.824789582857001"/>
    <n v="37.4438197133613"/>
    <n v="285760.31780210801"/>
    <n v="751.81467424918299"/>
    <n v="0.177217837044018"/>
    <n v="6.3439250745552705E-2"/>
    <n v="0.58499533773989398"/>
    <n v="0.16905593071776501"/>
    <n v="0.81762920583313703"/>
    <n v="0"/>
    <x v="10"/>
    <x v="4"/>
    <n v="352342471.85000002"/>
    <n v="1233"/>
    <x v="0"/>
  </r>
  <r>
    <n v="0.985255282777454"/>
    <n v="16.3270143498411"/>
    <n v="18.870775387907099"/>
    <n v="0"/>
    <n v="4.80436128871807"/>
    <n v="4.25323797044281"/>
    <n v="83.831029740364997"/>
    <n v="12.2561190489971"/>
    <n v="69.354955145865105"/>
    <n v="63.204567535960997"/>
    <n v="179943.00107593299"/>
    <n v="711.99152941815203"/>
    <n v="0.10433488292779899"/>
    <n v="0.17124523727923399"/>
    <n v="0.62033465922544595"/>
    <n v="4.2562788851003702E-2"/>
    <n v="0.79930886349470098"/>
    <n v="0"/>
    <x v="11"/>
    <x v="0"/>
    <n v="60189314372.889999"/>
    <n v="334491"/>
    <x v="0"/>
  </r>
  <r>
    <n v="0.983458418388789"/>
    <n v="18.1399459934768"/>
    <n v="16.609397315757299"/>
    <n v="0"/>
    <n v="4.7008041457226497"/>
    <n v="4.2591302485955396"/>
    <n v="84.302532381712595"/>
    <n v="43.467810389232298"/>
    <n v="71.341003087210098"/>
    <n v="53.207077853058799"/>
    <n v="162678.00271452701"/>
    <n v="728.70082338626196"/>
    <n v="0.11592872201276"/>
    <n v="0.14105522095792"/>
    <n v="0.58597788405253803"/>
    <n v="5.4255382086337303E-2"/>
    <n v="0.61939860533376401"/>
    <n v="0"/>
    <x v="11"/>
    <x v="1"/>
    <n v="146966073178.35001"/>
    <n v="903417"/>
    <x v="0"/>
  </r>
  <r>
    <n v="0.98514428295215795"/>
    <n v="16.4400644492334"/>
    <n v="14.3711185781499"/>
    <n v="0"/>
    <n v="4.7290539673801701"/>
    <n v="4.2964462649127597"/>
    <n v="85.104183994976296"/>
    <n v="74.94238566304"/>
    <n v="70.578437320133105"/>
    <n v="47.54456277832"/>
    <n v="151396.51105309499"/>
    <n v="741.94418149789499"/>
    <n v="0.15310163734527299"/>
    <n v="6.154413354142E-2"/>
    <n v="0.62484588698308496"/>
    <n v="8.0300255209670296E-2"/>
    <n v="0.72464712990745395"/>
    <n v="0"/>
    <x v="11"/>
    <x v="2"/>
    <n v="93309606071.309998"/>
    <n v="616326"/>
    <x v="0"/>
  </r>
  <r>
    <n v="0.98596012751768602"/>
    <n v="15.6058724705958"/>
    <n v="14.4014007631721"/>
    <n v="0"/>
    <n v="4.8266873052181998"/>
    <n v="4.3603134369337297"/>
    <n v="88.220702458499602"/>
    <n v="84.782197519571099"/>
    <n v="65.721873258181304"/>
    <n v="42.233849855707"/>
    <n v="151079.47258008699"/>
    <n v="761.30092783313398"/>
    <n v="0.145333996175217"/>
    <n v="5.5209883457111801E-2"/>
    <n v="0.57071653915144205"/>
    <n v="8.0494399157510998E-2"/>
    <n v="0.74989868917583002"/>
    <n v="0"/>
    <x v="11"/>
    <x v="3"/>
    <n v="175796074294.19"/>
    <n v="1163600"/>
    <x v="0"/>
  </r>
  <r>
    <n v="0.98686333255487901"/>
    <n v="14.6734563470343"/>
    <n v="13.5470809622134"/>
    <n v="0"/>
    <n v="4.9467696547346502"/>
    <n v="4.5666779867455096"/>
    <n v="87.757354208193803"/>
    <n v="91.343739852647602"/>
    <n v="60.993132773983596"/>
    <n v="38.262631816603701"/>
    <n v="140035.579475106"/>
    <n v="764.38572692385696"/>
    <n v="0.15851085630199399"/>
    <n v="5.00887683026493E-2"/>
    <n v="0.62810405203987596"/>
    <n v="9.7963638641623704E-2"/>
    <n v="0.81363329892733305"/>
    <n v="0"/>
    <x v="11"/>
    <x v="4"/>
    <n v="43686619657.690002"/>
    <n v="311968"/>
    <x v="0"/>
  </r>
  <r>
    <n v="0.98567268206301595"/>
    <n v="15.900649277879999"/>
    <n v="22.042381690762198"/>
    <n v="0"/>
    <n v="5.0908830132362199"/>
    <n v="4.2553257561278004"/>
    <n v="108.81651620580701"/>
    <n v="9.1049649026074295"/>
    <n v="67.455401955829004"/>
    <n v="63.249416529706103"/>
    <n v="154246.55142997499"/>
    <n v="705.89558408246705"/>
    <n v="9.6343570621840693E-2"/>
    <n v="0.15990761765865999"/>
    <n v="0.65046708872192505"/>
    <n v="5.1984237997353099E-2"/>
    <n v="0.85624146138189705"/>
    <n v="0"/>
    <x v="12"/>
    <x v="0"/>
    <n v="8943215051.9099998"/>
    <n v="57980"/>
    <x v="0"/>
  </r>
  <r>
    <n v="0.98171323846709202"/>
    <n v="19.866194001571099"/>
    <n v="18.881205815624899"/>
    <n v="0"/>
    <n v="4.9407625378263198"/>
    <n v="4.2434132075689099"/>
    <n v="107.463379155147"/>
    <n v="42.4532722786197"/>
    <n v="73.635062150333397"/>
    <n v="55.083200768744803"/>
    <n v="143984.10160557801"/>
    <n v="699.73708281602705"/>
    <n v="0.109310344427112"/>
    <n v="0.152880124736711"/>
    <n v="0.61670757810657895"/>
    <n v="4.49544269839494E-2"/>
    <n v="0.70566840004062203"/>
    <n v="0"/>
    <x v="12"/>
    <x v="1"/>
    <n v="19947845404.639999"/>
    <n v="138542"/>
    <x v="0"/>
  </r>
  <r>
    <n v="0.98328913328914902"/>
    <n v="18.308875256145999"/>
    <n v="16.529664718773802"/>
    <n v="0"/>
    <n v="4.9597818561512401"/>
    <n v="4.2737622058612601"/>
    <n v="109.345287551041"/>
    <n v="59.458375612136102"/>
    <n v="71.135236584248602"/>
    <n v="51.040936223082497"/>
    <n v="139777.25990748199"/>
    <n v="715.80338963453596"/>
    <n v="0.16493743811079101"/>
    <n v="0.109271796211439"/>
    <n v="0.63895181919439503"/>
    <n v="7.1407158372328194E-2"/>
    <n v="0.733713636413027"/>
    <n v="0"/>
    <x v="12"/>
    <x v="2"/>
    <n v="29672615619.459999"/>
    <n v="212285"/>
    <x v="0"/>
  </r>
  <r>
    <n v="0.98440315330964401"/>
    <n v="17.1913023701226"/>
    <n v="15.509165186481001"/>
    <n v="0"/>
    <n v="4.9096635511019002"/>
    <n v="4.2530075740376603"/>
    <n v="108.451291293875"/>
    <n v="85.768815079674198"/>
    <n v="71.836969169806807"/>
    <n v="46.611114100958197"/>
    <n v="151052.03752173"/>
    <n v="749.11057880089504"/>
    <n v="0.132811189206338"/>
    <n v="5.9700944244034597E-2"/>
    <n v="0.55760185692593101"/>
    <n v="7.7576081558536694E-2"/>
    <n v="0.69221315938833605"/>
    <n v="0"/>
    <x v="12"/>
    <x v="3"/>
    <n v="104491304319.92"/>
    <n v="691757"/>
    <x v="0"/>
  </r>
  <r>
    <n v="0.98550950233689705"/>
    <n v="16.067570658016301"/>
    <n v="15.252770286017199"/>
    <n v="0"/>
    <n v="5.0736988526200397"/>
    <n v="4.37484348276831"/>
    <n v="113.40025868683701"/>
    <n v="89.640006633143003"/>
    <n v="63.189077193727897"/>
    <n v="40.8668626527272"/>
    <n v="137093.475911238"/>
    <n v="757.928629264601"/>
    <n v="0.15584062208816399"/>
    <n v="5.0256080667606999E-2"/>
    <n v="0.63909506094827295"/>
    <n v="9.7783487368540603E-2"/>
    <n v="0.78323769431246304"/>
    <n v="0"/>
    <x v="12"/>
    <x v="4"/>
    <n v="125911720735.49001"/>
    <n v="918437"/>
    <x v="0"/>
  </r>
  <r>
    <n v="0.98596697968295199"/>
    <n v="15.5988339959434"/>
    <n v="33.322795142916704"/>
    <n v="0"/>
    <n v="5.3530569085511104"/>
    <n v="4.2572634299695604"/>
    <n v="134.399389937027"/>
    <n v="10.066987333153"/>
    <n v="66.545608382382298"/>
    <n v="62.3718351986466"/>
    <n v="139479.20650795"/>
    <n v="705.68383072680501"/>
    <n v="0.10376222809937399"/>
    <n v="7.8226299102396299E-2"/>
    <n v="0.58721391821775304"/>
    <n v="6.4605946118652405E-2"/>
    <n v="0.84438347554930604"/>
    <n v="0"/>
    <x v="13"/>
    <x v="0"/>
    <n v="1587691807.6800001"/>
    <n v="11383"/>
    <x v="0"/>
  </r>
  <r>
    <n v="0.98110401760282495"/>
    <n v="20.4609041790182"/>
    <n v="22.812950605636001"/>
    <n v="0"/>
    <n v="5.1902084538639501"/>
    <n v="4.2392311814893997"/>
    <n v="131.52235995615999"/>
    <n v="36.570123186935703"/>
    <n v="72.699476577608493"/>
    <n v="56.193379979395502"/>
    <n v="119336.023539117"/>
    <n v="684.63467998115902"/>
    <n v="8.1076542714625402E-2"/>
    <n v="0.10772160678997"/>
    <n v="0.68724440482761495"/>
    <n v="3.3018342885355101E-2"/>
    <n v="0.77686411572778302"/>
    <n v="0"/>
    <x v="13"/>
    <x v="1"/>
    <n v="1287397021.9400001"/>
    <n v="10788"/>
    <x v="0"/>
  </r>
  <r>
    <n v="0.98232754870207395"/>
    <n v="19.2623908832858"/>
    <n v="19.645171026849798"/>
    <n v="0"/>
    <n v="5.2076281375855498"/>
    <n v="4.2590072300983604"/>
    <n v="134.42655258494599"/>
    <n v="50.386232238903702"/>
    <n v="72.711506279474506"/>
    <n v="52.464839409917403"/>
    <n v="124769.277302894"/>
    <n v="697.729173951539"/>
    <n v="0.14858027178245201"/>
    <n v="0.13178418495261199"/>
    <n v="0.67093646550053598"/>
    <n v="4.9841305439763901E-2"/>
    <n v="0.763036176768916"/>
    <n v="0"/>
    <x v="13"/>
    <x v="2"/>
    <n v="7850857235.7299995"/>
    <n v="62923"/>
    <x v="0"/>
  </r>
  <r>
    <n v="0.98216303800292504"/>
    <n v="19.4244953460129"/>
    <n v="17.055864095959599"/>
    <n v="0"/>
    <n v="5.2129471815067303"/>
    <n v="4.2674055181355"/>
    <n v="133.74976093237001"/>
    <n v="82.478688614929297"/>
    <n v="76.143007300519798"/>
    <n v="53.462713764169898"/>
    <n v="138334.28271226501"/>
    <n v="697.93150811090595"/>
    <n v="0.13358696631866299"/>
    <n v="8.1448988223030497E-2"/>
    <n v="0.60073647349787196"/>
    <n v="8.1469366893350395E-2"/>
    <n v="0.66294921309675603"/>
    <n v="0"/>
    <x v="13"/>
    <x v="3"/>
    <n v="10063957401.6"/>
    <n v="72751"/>
    <x v="0"/>
  </r>
  <r>
    <n v="0.98457118420351397"/>
    <n v="17.021524491193301"/>
    <n v="16.499963372505"/>
    <n v="0"/>
    <n v="5.2605676610026801"/>
    <n v="4.3225979649127098"/>
    <n v="136.616687011766"/>
    <n v="90.439673858579596"/>
    <n v="68.2369498962682"/>
    <n v="44.604535443485602"/>
    <n v="131742.58411015401"/>
    <n v="745.13972205011601"/>
    <n v="0.14784958048796901"/>
    <n v="5.6821301580346303E-2"/>
    <n v="0.63243950967436702"/>
    <n v="8.93554082842693E-2"/>
    <n v="0.74192281848379604"/>
    <n v="0"/>
    <x v="13"/>
    <x v="4"/>
    <n v="119232176580.47"/>
    <n v="905039"/>
    <x v="0"/>
  </r>
  <r>
    <n v="0.98671239337169203"/>
    <n v="14.8299313900418"/>
    <n v="0.19273256109619799"/>
    <n v="0"/>
    <n v="5.2210826761666196"/>
    <n v="4.3405834514459096"/>
    <n v="134.358119209313"/>
    <n v="87.135803535886694"/>
    <n v="73.878001733049601"/>
    <n v="51.475231040934901"/>
    <n v="146545.13500000001"/>
    <n v="741.78105620838198"/>
    <n v="0.235087077438633"/>
    <n v="0"/>
    <n v="1"/>
    <n v="0"/>
    <n v="0.70679477008909197"/>
    <n v="0"/>
    <x v="13"/>
    <x v="5"/>
    <n v="586180.54"/>
    <n v="4"/>
    <x v="0"/>
  </r>
  <r>
    <n v="0.98534654979510605"/>
    <n v="16.2339565295676"/>
    <n v="39.685410250180198"/>
    <n v="0"/>
    <n v="5.5120181668486898"/>
    <n v="4.2550145670730002"/>
    <n v="158.85358309766801"/>
    <n v="17.386646423551401"/>
    <n v="62.621170821430603"/>
    <n v="55.960942436094399"/>
    <n v="111059.13032869701"/>
    <n v="713.428014063315"/>
    <n v="0.10787261996382499"/>
    <n v="3.3860212796509401E-2"/>
    <n v="0.62394160496005802"/>
    <n v="6.2659816434433302E-2"/>
    <n v="0.80645741139667704"/>
    <n v="0"/>
    <x v="14"/>
    <x v="0"/>
    <n v="263543316.27000001"/>
    <n v="2373"/>
    <x v="0"/>
  </r>
  <r>
    <n v="0.98274062685113395"/>
    <n v="18.8540360381235"/>
    <n v="28.1181939056017"/>
    <n v="0"/>
    <n v="5.3734319167786504"/>
    <n v="4.2717677584801299"/>
    <n v="157.555163881769"/>
    <n v="46.028947926485799"/>
    <n v="67.204109940918997"/>
    <n v="50.693894468319399"/>
    <n v="94184.534417266099"/>
    <n v="711.67865631950599"/>
    <n v="8.3985870852643599E-2"/>
    <n v="0.113782628445286"/>
    <n v="0.79273766231624698"/>
    <n v="1.3072936282843299E-2"/>
    <n v="0.825930387952303"/>
    <n v="0"/>
    <x v="14"/>
    <x v="1"/>
    <n v="65458251.420000002"/>
    <n v="695"/>
    <x v="0"/>
  </r>
  <r>
    <n v="0.98237072147660398"/>
    <n v="19.219800088167101"/>
    <n v="18.372278462934599"/>
    <n v="0"/>
    <n v="5.4144152265857404"/>
    <n v="4.2528429410426201"/>
    <n v="158.28520919726199"/>
    <n v="63.360150097550601"/>
    <n v="73.558371395568599"/>
    <n v="49.557934512642198"/>
    <n v="119177.79808105199"/>
    <n v="704.74590354485497"/>
    <n v="9.4136223616177295E-2"/>
    <n v="8.0397059693233602E-2"/>
    <n v="0.72754081467625198"/>
    <n v="3.2392574815950599E-2"/>
    <n v="0.77468704777499298"/>
    <n v="0"/>
    <x v="14"/>
    <x v="2"/>
    <n v="1332169426.95"/>
    <n v="11178"/>
    <x v="0"/>
  </r>
  <r>
    <n v="0.982953317437253"/>
    <n v="18.643039877819302"/>
    <n v="14.802152708263399"/>
    <n v="0"/>
    <n v="5.4102975353799296"/>
    <n v="4.2692543307704298"/>
    <n v="158.32568112498799"/>
    <n v="67.300956721358403"/>
    <n v="71.739475572872195"/>
    <n v="51.167851416229702"/>
    <n v="108063.860319531"/>
    <n v="700.07614825992903"/>
    <n v="0.16040982504644699"/>
    <n v="7.69550319211601E-2"/>
    <n v="0.71096242892415595"/>
    <n v="6.1252469835239597E-2"/>
    <n v="0.759074435514829"/>
    <n v="0"/>
    <x v="14"/>
    <x v="3"/>
    <n v="1532021347.75"/>
    <n v="14177"/>
    <x v="0"/>
  </r>
  <r>
    <n v="0.984052771175012"/>
    <n v="17.544303540275301"/>
    <n v="16.6284907822454"/>
    <n v="0"/>
    <n v="5.44004647097678"/>
    <n v="4.2759197509973497"/>
    <n v="159.583967653282"/>
    <n v="92.450860889279596"/>
    <n v="69.832087180034407"/>
    <n v="45.828307964105399"/>
    <n v="122970.459852846"/>
    <n v="733.31410817784104"/>
    <n v="0.145246080925437"/>
    <n v="6.4978167509949405E-2"/>
    <n v="0.624992809694076"/>
    <n v="8.3244919261219893E-2"/>
    <n v="0.74858561388338896"/>
    <n v="0"/>
    <x v="14"/>
    <x v="4"/>
    <n v="55688402448.959999"/>
    <n v="452860"/>
    <x v="0"/>
  </r>
  <r>
    <n v="0.98310943627896197"/>
    <n v="18.487844852010198"/>
    <n v="43.885928419580999"/>
    <n v="0"/>
    <n v="5.7302846832360297"/>
    <n v="4.2742653255758096"/>
    <n v="184.094641553434"/>
    <n v="38.1408621309631"/>
    <n v="65.554288276550196"/>
    <n v="51.906762433506699"/>
    <n v="111255.402970297"/>
    <n v="720.46416223888696"/>
    <n v="0.16537287805277001"/>
    <n v="1.6414207165838201E-2"/>
    <n v="0.59267397243860098"/>
    <n v="6.9435209630090505E-2"/>
    <n v="0.65469847667516101"/>
    <n v="0"/>
    <x v="15"/>
    <x v="0"/>
    <n v="44947182.799999997"/>
    <n v="404"/>
    <x v="0"/>
  </r>
  <r>
    <n v="0.98304369587339702"/>
    <n v="18.553229293110299"/>
    <n v="13.5081673350006"/>
    <n v="0"/>
    <n v="5.6670699715585897"/>
    <n v="4.34412935854035"/>
    <n v="184.30421223546799"/>
    <n v="68.961597978487305"/>
    <n v="70.844412281565198"/>
    <n v="41.628294519840303"/>
    <n v="106115.08865979299"/>
    <n v="730.06182134421704"/>
    <n v="0.14215217467251701"/>
    <n v="0.124770799329372"/>
    <n v="0.63776619949963598"/>
    <n v="0.102363739754413"/>
    <n v="0.65413922304703198"/>
    <n v="0"/>
    <x v="15"/>
    <x v="1"/>
    <n v="10293163.6"/>
    <n v="97"/>
    <x v="0"/>
  </r>
  <r>
    <n v="0.98298583027696396"/>
    <n v="18.6107417775588"/>
    <n v="13.8526184693303"/>
    <n v="0"/>
    <n v="5.7130949501878003"/>
    <n v="4.3004225406607697"/>
    <n v="184.227056540836"/>
    <n v="79.948175835772403"/>
    <n v="72.931917069901402"/>
    <n v="45.739079246083001"/>
    <n v="112777.20735049499"/>
    <n v="721.37221050312598"/>
    <n v="7.4636471688863795E-2"/>
    <n v="3.3986509980303101E-2"/>
    <n v="0.83027305726437295"/>
    <n v="3.9214653043156099E-2"/>
    <n v="0.71774543210859898"/>
    <n v="0"/>
    <x v="15"/>
    <x v="2"/>
    <n v="284762448.56"/>
    <n v="2525"/>
    <x v="0"/>
  </r>
  <r>
    <n v="0.983817718500125"/>
    <n v="17.780339541695401"/>
    <n v="14.37455533676"/>
    <n v="0"/>
    <n v="5.6359777764676604"/>
    <n v="4.30486565636126"/>
    <n v="185.470410846475"/>
    <n v="72.417000813173601"/>
    <n v="72.553114650079607"/>
    <n v="48.5479752631108"/>
    <n v="105722.471601147"/>
    <n v="712.31202359858696"/>
    <n v="0.106722836912649"/>
    <n v="3.9652464164049703E-2"/>
    <n v="0.81817790558005998"/>
    <n v="4.8952951388021602E-2"/>
    <n v="0.77545330305848503"/>
    <n v="0"/>
    <x v="15"/>
    <x v="3"/>
    <n v="368442813.52999997"/>
    <n v="3485"/>
    <x v="0"/>
  </r>
  <r>
    <n v="0.98373087519930102"/>
    <n v="17.867389340265198"/>
    <n v="16.116439923231699"/>
    <n v="0"/>
    <n v="5.7027057725989101"/>
    <n v="4.2830379284148599"/>
    <n v="184.558634760296"/>
    <n v="93.952042039393902"/>
    <n v="70.656370842332606"/>
    <n v="46.801397846110099"/>
    <n v="109348.361098687"/>
    <n v="720.65193734904301"/>
    <n v="0.13580927321009301"/>
    <n v="7.4601706391698497E-2"/>
    <n v="0.63654564024454197"/>
    <n v="8.1941577449617303E-2"/>
    <n v="0.761120637876055"/>
    <n v="0"/>
    <x v="15"/>
    <x v="4"/>
    <n v="14190464864.860001"/>
    <n v="129773"/>
    <x v="0"/>
  </r>
  <r>
    <n v="0.98382410007638099"/>
    <n v="17.773939456691298"/>
    <n v="0.45541527101946599"/>
    <n v="0"/>
    <n v="5.9546398629324404"/>
    <n v="4.29783055707271"/>
    <n v="209.06028209073199"/>
    <n v="71.550090762946098"/>
    <n v="71.215588210671697"/>
    <n v="48.707119901350602"/>
    <n v="92769.134939758995"/>
    <n v="722.08420440219197"/>
    <n v="8.1162315852299299E-2"/>
    <n v="1.2850288204757299E-2"/>
    <n v="0.79311062796098697"/>
    <n v="7.9166327157368002E-2"/>
    <n v="0.52524365901610703"/>
    <n v="0"/>
    <x v="16"/>
    <x v="0"/>
    <n v="7699838.2000000002"/>
    <n v="83"/>
    <x v="0"/>
  </r>
  <r>
    <n v="0.98093811609146697"/>
    <n v="20.622151800090201"/>
    <n v="0.62554155103293796"/>
    <n v="0"/>
    <n v="5.88763823197612"/>
    <n v="4.2429238744594304"/>
    <n v="210.25523486970599"/>
    <n v="77.009730216050997"/>
    <n v="71.349130057089994"/>
    <n v="36.900943248533999"/>
    <n v="158701.749230769"/>
    <n v="752.58605859452302"/>
    <n v="0"/>
    <n v="0"/>
    <n v="0.46631361673938299"/>
    <n v="5.3304833106213201E-2"/>
    <n v="0.68319201083176095"/>
    <n v="0"/>
    <x v="16"/>
    <x v="1"/>
    <n v="6189368.2199999997"/>
    <n v="39"/>
    <x v="0"/>
  </r>
  <r>
    <n v="0.98271016371728104"/>
    <n v="18.884215382220901"/>
    <n v="14.965107009557601"/>
    <n v="0"/>
    <n v="5.9957435640179098"/>
    <n v="4.3169239396526198"/>
    <n v="209.62124897719599"/>
    <n v="76.151318161034496"/>
    <n v="73.073970507964603"/>
    <n v="46.073421602868898"/>
    <n v="105605.529086956"/>
    <n v="722.31139040505298"/>
    <n v="0.134107868139211"/>
    <n v="3.0552209818029301E-2"/>
    <n v="0.85631408016087696"/>
    <n v="8.0531693785010294E-2"/>
    <n v="0.75603969642944802"/>
    <n v="0"/>
    <x v="16"/>
    <x v="2"/>
    <n v="48578543.380000003"/>
    <n v="460"/>
    <x v="0"/>
  </r>
  <r>
    <n v="0.98313500163217105"/>
    <n v="18.462404936152701"/>
    <n v="15.9846501772682"/>
    <n v="0"/>
    <n v="5.8573818119709804"/>
    <n v="4.2613917767895098"/>
    <n v="208.97989619273801"/>
    <n v="84.6671897933644"/>
    <n v="74.249724193727204"/>
    <n v="46.557784384957699"/>
    <n v="109734.307860696"/>
    <n v="714.44337638379"/>
    <n v="7.7046954423322295E-2"/>
    <n v="2.9244241428247001E-2"/>
    <n v="0.88201334521843699"/>
    <n v="3.8943980110225401E-2"/>
    <n v="0.73952532385292002"/>
    <n v="0"/>
    <x v="16"/>
    <x v="3"/>
    <n v="176452767.03999999"/>
    <n v="1608"/>
    <x v="0"/>
  </r>
  <r>
    <n v="0.98331688293019104"/>
    <n v="18.281205861191602"/>
    <n v="17.292389862786301"/>
    <n v="0"/>
    <n v="5.9329729381671603"/>
    <n v="4.2670494173833502"/>
    <n v="208.980394884753"/>
    <n v="95.429630534315095"/>
    <n v="71.390718849516503"/>
    <n v="47.314856104710501"/>
    <n v="98998.820578641695"/>
    <n v="710.74612897337602"/>
    <n v="0.11109744159745499"/>
    <n v="8.24373995950681E-2"/>
    <n v="0.61876537244641605"/>
    <n v="7.4605746066493298E-2"/>
    <n v="0.75593102802810297"/>
    <n v="0"/>
    <x v="16"/>
    <x v="4"/>
    <n v="3921343283.1199999"/>
    <n v="39610"/>
    <x v="0"/>
  </r>
  <r>
    <n v="0.98230003479744998"/>
    <n v="19.289523153451"/>
    <n v="0.33002660335445"/>
    <n v="0"/>
    <n v="6.2412579094459897"/>
    <n v="4.2743212479768102"/>
    <n v="240.804813685113"/>
    <n v="65.580276677359294"/>
    <n v="60.704207143282503"/>
    <n v="41.779815814532903"/>
    <n v="74281.217241379301"/>
    <n v="690.19806866756505"/>
    <n v="7.5653691263577794E-2"/>
    <n v="0"/>
    <n v="0.94845331253508003"/>
    <n v="5.1546687464919499E-2"/>
    <n v="0.33312484016356603"/>
    <n v="0"/>
    <x v="17"/>
    <x v="0"/>
    <n v="2154155.2999999998"/>
    <n v="29"/>
    <x v="0"/>
  </r>
  <r>
    <n v="0.98133262668731402"/>
    <n v="20.238216094867902"/>
    <n v="0.59038139441574"/>
    <n v="0"/>
    <n v="5.99752523283159"/>
    <n v="4.2093661364101997"/>
    <n v="227.30930225871299"/>
    <n v="77.613127891809199"/>
    <n v="68.040372530545199"/>
    <n v="34.092491291313699"/>
    <n v="149084.866666666"/>
    <n v="739.939441204182"/>
    <n v="0"/>
    <n v="0"/>
    <n v="0"/>
    <n v="0.24747671684092201"/>
    <n v="0.75252328315907702"/>
    <n v="0"/>
    <x v="17"/>
    <x v="1"/>
    <n v="447254.6"/>
    <n v="3"/>
    <x v="0"/>
  </r>
  <r>
    <n v="0.98204605623003105"/>
    <n v="19.539584504141501"/>
    <n v="11.572809036833799"/>
    <n v="0"/>
    <n v="6.2967213112112104"/>
    <n v="4.3203610634640199"/>
    <n v="237.80057506014199"/>
    <n v="73.4262234211634"/>
    <n v="74.616509594313399"/>
    <n v="46.308414195750998"/>
    <n v="90239.877849462297"/>
    <n v="717.01073405827401"/>
    <n v="0.10781808365427301"/>
    <n v="7.2769052735886901E-3"/>
    <n v="0.91994847498840304"/>
    <n v="1.1684483281825499E-2"/>
    <n v="0.66184113433654601"/>
    <n v="0"/>
    <x v="17"/>
    <x v="2"/>
    <n v="16784617.280000001"/>
    <n v="186"/>
    <x v="0"/>
  </r>
  <r>
    <n v="0.98303686411221303"/>
    <n v="18.5600213039402"/>
    <n v="7.9192901334640702"/>
    <n v="0"/>
    <n v="6.1867965416667099"/>
    <n v="4.2684674417546002"/>
    <n v="240.57617419609201"/>
    <n v="77.341780984670905"/>
    <n v="73.806941090480393"/>
    <n v="44.966426857602897"/>
    <n v="94715.094444444403"/>
    <n v="716.151916451489"/>
    <n v="0.13025483106601299"/>
    <n v="3.2894720571535099E-2"/>
    <n v="0.84209205249339802"/>
    <n v="1.74046442641668E-2"/>
    <n v="0.75453423354645699"/>
    <n v="0"/>
    <x v="17"/>
    <x v="3"/>
    <n v="46883971.75"/>
    <n v="495"/>
    <x v="0"/>
  </r>
  <r>
    <n v="0.98210291430340901"/>
    <n v="19.4836651559371"/>
    <n v="15.331237025649701"/>
    <n v="0"/>
    <n v="6.3238098663990501"/>
    <n v="4.2892407831702197"/>
    <n v="244.89708899814499"/>
    <n v="96.073514429304296"/>
    <n v="72.1702680337457"/>
    <n v="48.074258682261899"/>
    <n v="84486.940430909293"/>
    <n v="691.25953294715703"/>
    <n v="7.8675747072390806E-2"/>
    <n v="6.6625828152622399E-2"/>
    <n v="0.60277525582496905"/>
    <n v="4.2860074080100202E-2"/>
    <n v="0.75830655446586803"/>
    <n v="0"/>
    <x v="17"/>
    <x v="4"/>
    <n v="1280315095.29"/>
    <n v="15154"/>
    <x v="0"/>
  </r>
  <r>
    <n v="0.97771960000000002"/>
    <n v="23.6916861866899"/>
    <n v="6.5076330741709997E-3"/>
    <n v="0"/>
    <n v="6.5"/>
    <n v="4.4352400000000003"/>
    <n v="250"/>
    <n v="92"/>
    <n v="70"/>
    <n v="42.36"/>
    <n v="75601.27"/>
    <n v="652"/>
    <n v="0"/>
    <n v="1"/>
    <n v="0"/>
    <n v="0"/>
    <n v="1"/>
    <n v="0"/>
    <x v="18"/>
    <x v="4"/>
    <n v="75601.27"/>
    <n v="1"/>
    <x v="0"/>
  </r>
  <r>
    <n v="0.99398597823422097"/>
    <n v="6.98283555604442"/>
    <n v="6.98283555604442"/>
    <n v="0"/>
    <n v="2.5820235313747602"/>
    <n v="4.4939835864167197"/>
    <n v="-208.39340186020999"/>
    <n v="54.728761824876202"/>
    <n v="78.031435247005504"/>
    <n v="54.709311816321303"/>
    <n v="101967.10875"/>
    <n v="622.72103471306798"/>
    <n v="0.34381174900185602"/>
    <n v="0"/>
    <n v="1"/>
    <n v="0"/>
    <n v="0.65618825099814304"/>
    <n v="0"/>
    <x v="0"/>
    <x v="0"/>
    <n v="815736.87"/>
    <n v="8"/>
    <x v="1"/>
  </r>
  <r>
    <n v="0.99546301067528098"/>
    <n v="5.3105647649837104"/>
    <n v="5.3105647649837104"/>
    <n v="0"/>
    <n v="2.8210540226077501"/>
    <n v="4.4522579292633697"/>
    <n v="-185.94455808751101"/>
    <n v="43.870997294096298"/>
    <n v="78.421172010364899"/>
    <n v="70.484520109925398"/>
    <n v="162806.263055555"/>
    <n v="671.00586815569602"/>
    <n v="0.51405672700480498"/>
    <n v="0"/>
    <n v="0.818231007448599"/>
    <n v="7.5114897939523806E-2"/>
    <n v="7.2803641134833605E-2"/>
    <n v="0"/>
    <x v="1"/>
    <x v="0"/>
    <n v="11722050.939999999"/>
    <n v="72"/>
    <x v="1"/>
  </r>
  <r>
    <n v="0.99562685036164"/>
    <n v="5.1233802471356196"/>
    <n v="5.1233802471356196"/>
    <n v="0"/>
    <n v="2.8145332240622398"/>
    <n v="4.4628457490188698"/>
    <n v="-160.958380531394"/>
    <n v="41.374896234072303"/>
    <n v="75.447366435882401"/>
    <n v="64.976336838562602"/>
    <n v="159404.06294906099"/>
    <n v="691.91843352757701"/>
    <n v="0.442510268475589"/>
    <n v="1.5366483603079699E-2"/>
    <n v="0.80234035456755404"/>
    <n v="5.3115384849629903E-2"/>
    <n v="0.24483994654817801"/>
    <n v="0"/>
    <x v="2"/>
    <x v="0"/>
    <n v="59457715.479999997"/>
    <n v="373"/>
    <x v="1"/>
  </r>
  <r>
    <n v="0.99569036215895701"/>
    <n v="5.0507277360105602"/>
    <n v="5.0507277360105602"/>
    <n v="0"/>
    <n v="3.0311088635587899"/>
    <n v="4.4622172895753298"/>
    <n v="-134.357993345745"/>
    <n v="36.260072873915597"/>
    <n v="73.063789665629201"/>
    <n v="62.6333325016071"/>
    <n v="179063.47174813499"/>
    <n v="706.92252568924198"/>
    <n v="0.246753700921861"/>
    <n v="2.6964096008012702E-2"/>
    <n v="0.83340264176037204"/>
    <n v="8.4972610976399507E-2"/>
    <n v="0.41008630358869103"/>
    <n v="0"/>
    <x v="3"/>
    <x v="0"/>
    <n v="432259220.80000001"/>
    <n v="2414"/>
    <x v="1"/>
  </r>
  <r>
    <n v="0.99604628949520402"/>
    <n v="4.6426302115949403"/>
    <n v="4.6426302115949403"/>
    <n v="0"/>
    <n v="3.2061118717894299"/>
    <n v="4.4825838108136304"/>
    <n v="-108.66773568327901"/>
    <n v="33.061955653587397"/>
    <n v="70.790520290852498"/>
    <n v="59.029512189385201"/>
    <n v="205068.25070235899"/>
    <n v="733.85394212400399"/>
    <n v="8.9336089777009201E-2"/>
    <n v="6.6793706717945503E-2"/>
    <n v="0.71103571768352603"/>
    <n v="7.9668242612107601E-2"/>
    <n v="0.54346183352333799"/>
    <n v="0"/>
    <x v="4"/>
    <x v="0"/>
    <n v="5821887637.4399996"/>
    <n v="28390"/>
    <x v="1"/>
  </r>
  <r>
    <n v="0.99580346355126104"/>
    <n v="4.9212223359414802"/>
    <n v="4.9212223359414802"/>
    <n v="0"/>
    <n v="3.3495667996017802"/>
    <n v="4.4912100371309602"/>
    <n v="-83.492356986669904"/>
    <n v="34.077256536640199"/>
    <n v="69.369775626790698"/>
    <n v="56.623366450968398"/>
    <n v="231747.72286269799"/>
    <n v="754.41168760165795"/>
    <n v="7.3730902481013993E-2"/>
    <n v="0.121036557071403"/>
    <n v="0.53530419811316798"/>
    <n v="5.47007342528186E-2"/>
    <n v="0.57963800353168704"/>
    <n v="0"/>
    <x v="5"/>
    <x v="0"/>
    <n v="89683587775.190002"/>
    <n v="386988"/>
    <x v="1"/>
  </r>
  <r>
    <n v="0.98150963785794199"/>
    <n v="20.065397113392802"/>
    <n v="20.065397113392802"/>
    <n v="0"/>
    <n v="5.25"/>
    <n v="4.3700157286008698"/>
    <n v="-77.587347335436803"/>
    <n v="82.998754292633294"/>
    <n v="74"/>
    <n v="85.9111225715789"/>
    <n v="81536.003333333298"/>
    <n v="647"/>
    <n v="0"/>
    <n v="0"/>
    <n v="0"/>
    <n v="1"/>
    <n v="0"/>
    <n v="0"/>
    <x v="5"/>
    <x v="1"/>
    <n v="244608.01"/>
    <n v="3"/>
    <x v="1"/>
  </r>
  <r>
    <n v="0.99508664213139397"/>
    <n v="5.7392791584546501"/>
    <n v="5.7392791584546501"/>
    <n v="0"/>
    <n v="3.5037411454088199"/>
    <n v="4.4667068363478997"/>
    <n v="-59.938698364456997"/>
    <n v="33.843270423637399"/>
    <n v="68.591490464202494"/>
    <n v="55.299691849516101"/>
    <n v="237376.74118653699"/>
    <n v="762.71546776335595"/>
    <n v="7.9410149416530504E-2"/>
    <n v="0.13416101009067"/>
    <n v="0.48024384155331201"/>
    <n v="3.9906489652881301E-2"/>
    <n v="0.61205276389845098"/>
    <n v="0"/>
    <x v="6"/>
    <x v="0"/>
    <n v="696411373134.97998"/>
    <n v="2933781"/>
    <x v="1"/>
  </r>
  <r>
    <n v="0.98489717008636102"/>
    <n v="16.6912390880521"/>
    <n v="16.6912390880521"/>
    <n v="0"/>
    <n v="5.25"/>
    <n v="4.4279385744636803"/>
    <n v="-64.647185239423905"/>
    <n v="80.499540071801206"/>
    <n v="74"/>
    <n v="85.2246826495428"/>
    <n v="81914.960000000006"/>
    <n v="647"/>
    <n v="0"/>
    <n v="0"/>
    <n v="0"/>
    <n v="1"/>
    <n v="0"/>
    <n v="0"/>
    <x v="6"/>
    <x v="1"/>
    <n v="163829.92000000001"/>
    <n v="2"/>
    <x v="1"/>
  </r>
  <r>
    <n v="0.99398380181809698"/>
    <n v="6.9852795537216998"/>
    <n v="6.9852795537216998"/>
    <n v="0"/>
    <n v="3.6554546660374498"/>
    <n v="4.3963921992015704"/>
    <n v="-36.465705750073397"/>
    <n v="31.858091508346298"/>
    <n v="68.205800968198801"/>
    <n v="55.201959590370201"/>
    <n v="234959.53240854901"/>
    <n v="761.46974160819298"/>
    <n v="8.84293268599321E-2"/>
    <n v="0.122660306402846"/>
    <n v="0.50927653463171596"/>
    <n v="3.9354194181498998E-2"/>
    <n v="0.62741768305344303"/>
    <n v="0"/>
    <x v="7"/>
    <x v="0"/>
    <n v="1770278631059.9099"/>
    <n v="7534398"/>
    <x v="1"/>
  </r>
  <r>
    <n v="0.98484671593370998"/>
    <n v="16.742437393639701"/>
    <n v="16.742437393639701"/>
    <n v="0"/>
    <n v="5.1818747503786904"/>
    <n v="4.3574565950817501"/>
    <n v="-35.557474277933999"/>
    <n v="90.366766075766606"/>
    <n v="75.495021425979004"/>
    <n v="85.453081344722193"/>
    <n v="110968.091428571"/>
    <n v="674.16656085332295"/>
    <n v="0"/>
    <n v="0"/>
    <n v="0.89542659264315605"/>
    <n v="1"/>
    <n v="0.64625635497998402"/>
    <n v="0"/>
    <x v="7"/>
    <x v="1"/>
    <n v="776776.64"/>
    <n v="7"/>
    <x v="1"/>
  </r>
  <r>
    <n v="0.99245679463983705"/>
    <n v="8.6855910128964204"/>
    <n v="8.6855910128964204"/>
    <n v="0"/>
    <n v="3.9513623348753799"/>
    <n v="4.3396682243928604"/>
    <n v="-1.43414742051971"/>
    <n v="30.8121597189947"/>
    <n v="69.077546436757402"/>
    <n v="56.320718159300597"/>
    <n v="219890.12371797799"/>
    <n v="755.22258558809006"/>
    <n v="9.2803773270958997E-2"/>
    <n v="0.124420728350217"/>
    <n v="0.55170776609035899"/>
    <n v="4.3676970027426397E-2"/>
    <n v="0.59436984121686298"/>
    <n v="0"/>
    <x v="8"/>
    <x v="0"/>
    <n v="4265520533953.0601"/>
    <n v="19398418"/>
    <x v="1"/>
  </r>
  <r>
    <n v="0.99115723079014995"/>
    <n v="10.1101525269435"/>
    <n v="10.1101525269435"/>
    <n v="0"/>
    <n v="4.22527477798275"/>
    <n v="4.5222541993292404"/>
    <n v="14.9690194946128"/>
    <n v="69.271574176926705"/>
    <n v="65.399328614665905"/>
    <n v="42.561574550114003"/>
    <n v="173930.63935191499"/>
    <n v="767.01000628972599"/>
    <n v="0.137914484194057"/>
    <n v="5.36442967813682E-2"/>
    <n v="0.54604546621221295"/>
    <n v="6.6118389338703495E-2"/>
    <n v="0.73954681765393704"/>
    <n v="0"/>
    <x v="8"/>
    <x v="1"/>
    <n v="114419575375.10001"/>
    <n v="657846"/>
    <x v="1"/>
  </r>
  <r>
    <n v="0.99017373160824496"/>
    <n v="11.1746742991541"/>
    <n v="11.1746742991541"/>
    <n v="0"/>
    <n v="4.3928592315350601"/>
    <n v="4.6556366250897696"/>
    <n v="20.200990381279301"/>
    <n v="84.513551666101904"/>
    <n v="58.706612015526098"/>
    <n v="33.919848533592997"/>
    <n v="414969.47629530198"/>
    <n v="766.56512038446795"/>
    <n v="0.17374072299454801"/>
    <n v="6.7237217385238995E-2"/>
    <n v="0.432478505022724"/>
    <n v="9.3272376902318502E-2"/>
    <n v="0.84599155084733502"/>
    <n v="0"/>
    <x v="8"/>
    <x v="2"/>
    <n v="309152259.83999997"/>
    <n v="745"/>
    <x v="1"/>
  </r>
  <r>
    <n v="0.99034993271858696"/>
    <n v="10.9848112754652"/>
    <n v="10.9848112754652"/>
    <n v="0"/>
    <n v="4.2863255074666204"/>
    <n v="4.2825192229139901"/>
    <n v="35.731986109913798"/>
    <n v="24.789614647665001"/>
    <n v="70.338135223775595"/>
    <n v="59.458127911429301"/>
    <n v="207705.79620102301"/>
    <n v="743.32066442701705"/>
    <n v="9.0879971506139801E-2"/>
    <n v="0.148249569483207"/>
    <n v="0.56775642155774797"/>
    <n v="4.60290407995506E-2"/>
    <n v="0.55696228141047099"/>
    <n v="0"/>
    <x v="9"/>
    <x v="0"/>
    <n v="1122432983615.3"/>
    <n v="5403956"/>
    <x v="1"/>
  </r>
  <r>
    <n v="0.98934725385050803"/>
    <n v="12.060289503701201"/>
    <n v="12.060289503701201"/>
    <n v="0"/>
    <n v="4.3617753882506696"/>
    <n v="4.3974849608757802"/>
    <n v="38.5668571089995"/>
    <n v="61.853929013688699"/>
    <n v="67.280429760121905"/>
    <n v="46.102590075254298"/>
    <n v="172175.856882886"/>
    <n v="758.93591376180404"/>
    <n v="0.128138873097072"/>
    <n v="7.7167733740411207E-2"/>
    <n v="0.55843610370010499"/>
    <n v="6.4070182362654299E-2"/>
    <n v="0.67182947265940496"/>
    <n v="0"/>
    <x v="9"/>
    <x v="1"/>
    <n v="338369807970.09003"/>
    <n v="1965257"/>
    <x v="1"/>
  </r>
  <r>
    <n v="0.99043970290307604"/>
    <n v="10.8879376993882"/>
    <n v="10.8879376993882"/>
    <n v="0"/>
    <n v="4.46849184072948"/>
    <n v="4.5461926900649496"/>
    <n v="39.567577813461298"/>
    <n v="81.0342128052622"/>
    <n v="62.960992640415398"/>
    <n v="39.480884592997"/>
    <n v="155856.69374767799"/>
    <n v="768.42624395596602"/>
    <n v="0.159597293861205"/>
    <n v="4.8493438330124899E-2"/>
    <n v="0.62825879988527"/>
    <n v="7.3892448306979802E-2"/>
    <n v="0.82343396783188305"/>
    <n v="0"/>
    <x v="9"/>
    <x v="2"/>
    <n v="52873136500.349998"/>
    <n v="339242"/>
    <x v="1"/>
  </r>
  <r>
    <n v="0.98740655363968199"/>
    <n v="14.108128669409799"/>
    <n v="14.108128669409799"/>
    <n v="0"/>
    <n v="4.6829119365540999"/>
    <n v="4.6570687464989904"/>
    <n v="45.175495601118101"/>
    <n v="90.809628942521996"/>
    <n v="57.156379157096097"/>
    <n v="34.265511741168403"/>
    <n v="413238.51123076899"/>
    <n v="763.69031435922602"/>
    <n v="0.31474233892931303"/>
    <n v="1.9025139994955802E-2"/>
    <n v="0.530773298173982"/>
    <n v="0.234519126213066"/>
    <n v="0.81215865244021501"/>
    <n v="0"/>
    <x v="9"/>
    <x v="3"/>
    <n v="188023522.61000001"/>
    <n v="455"/>
    <x v="1"/>
  </r>
  <r>
    <n v="0.98752449030537204"/>
    <n v="13.984939800028901"/>
    <n v="13.984939800028901"/>
    <n v="0"/>
    <n v="4.5296750711594802"/>
    <n v="4.26005392279394"/>
    <n v="59.265778786477199"/>
    <n v="18.595154297341399"/>
    <n v="70.519731860245798"/>
    <n v="61.822961976451801"/>
    <n v="198478.417851904"/>
    <n v="726.32342984895297"/>
    <n v="9.8233222872629394E-2"/>
    <n v="0.16715068778688799"/>
    <n v="0.57824403694966897"/>
    <n v="4.2906729269133297E-2"/>
    <n v="0.65177608717683899"/>
    <n v="0"/>
    <x v="10"/>
    <x v="0"/>
    <n v="325559385320.45001"/>
    <n v="1640276"/>
    <x v="1"/>
  </r>
  <r>
    <n v="0.98630707204757095"/>
    <n v="15.2488176853743"/>
    <n v="15.2488176853743"/>
    <n v="0"/>
    <n v="4.51603033813032"/>
    <n v="4.3124173245953399"/>
    <n v="61.3647725613707"/>
    <n v="50.578749189931401"/>
    <n v="70.315846419190393"/>
    <n v="51.036674818865102"/>
    <n v="172466.23041035599"/>
    <n v="746.68997199588102"/>
    <n v="0.11391568921334901"/>
    <n v="0.110059969756117"/>
    <n v="0.56787508848236001"/>
    <n v="6.14136884723573E-2"/>
    <n v="0.58933898722213496"/>
    <n v="0"/>
    <x v="10"/>
    <x v="1"/>
    <n v="350243558386.20001"/>
    <n v="2030795"/>
    <x v="1"/>
  </r>
  <r>
    <n v="0.98775969791081297"/>
    <n v="13.738773710056201"/>
    <n v="13.738773710056201"/>
    <n v="0"/>
    <n v="4.5714396260582104"/>
    <n v="4.35739571334428"/>
    <n v="63.333813971588597"/>
    <n v="78.324200288411504"/>
    <n v="65.192505028015802"/>
    <n v="42.348221941081597"/>
    <n v="154408.97229443199"/>
    <n v="760.99938848523595"/>
    <n v="0.15733536257849701"/>
    <n v="4.9431251534719903E-2"/>
    <n v="0.62939474972946896"/>
    <n v="7.9921145949063799E-2"/>
    <n v="0.780557246236947"/>
    <n v="0"/>
    <x v="10"/>
    <x v="2"/>
    <n v="147258447196.45001"/>
    <n v="953691"/>
    <x v="1"/>
  </r>
  <r>
    <n v="0.98811317115094"/>
    <n v="13.367617213541299"/>
    <n v="13.367617213541299"/>
    <n v="0"/>
    <n v="4.7402533430095097"/>
    <n v="4.5497117973718399"/>
    <n v="65.864375106985193"/>
    <n v="86.540590305115202"/>
    <n v="61.805123056995598"/>
    <n v="39.036463897669499"/>
    <n v="152149.89682382299"/>
    <n v="765.53374274745897"/>
    <n v="0.157326615554848"/>
    <n v="5.3224149580664501E-2"/>
    <n v="0.58296372540943397"/>
    <n v="8.2581490601832702E-2"/>
    <n v="0.79769139492819996"/>
    <n v="0"/>
    <x v="10"/>
    <x v="3"/>
    <n v="51914914145.360001"/>
    <n v="341209"/>
    <x v="1"/>
  </r>
  <r>
    <n v="0.98418137585028698"/>
    <n v="17.414898119744699"/>
    <n v="17.414898119744699"/>
    <n v="0"/>
    <n v="4.8814145543693899"/>
    <n v="4.6574080023050799"/>
    <n v="70.972789243235198"/>
    <n v="95.328075520708694"/>
    <n v="58.824789582857001"/>
    <n v="37.4438197133613"/>
    <n v="285760.31780210801"/>
    <n v="751.81467424918299"/>
    <n v="0.177217837044018"/>
    <n v="6.3439250745552705E-2"/>
    <n v="0.58499533773989398"/>
    <n v="0.16905593071776501"/>
    <n v="0.81762920583313703"/>
    <n v="0"/>
    <x v="10"/>
    <x v="4"/>
    <n v="352342471.85000002"/>
    <n v="1233"/>
    <x v="1"/>
  </r>
  <r>
    <n v="0.985255282777454"/>
    <n v="16.3270143498411"/>
    <n v="16.3270143498411"/>
    <n v="0"/>
    <n v="4.80436128871807"/>
    <n v="4.25323797044281"/>
    <n v="83.831029740364997"/>
    <n v="12.2561190489971"/>
    <n v="69.354955145865105"/>
    <n v="63.204567535960997"/>
    <n v="179943.00107593299"/>
    <n v="711.99152941815203"/>
    <n v="0.10433488292779899"/>
    <n v="0.17124523727923399"/>
    <n v="0.62033465922544595"/>
    <n v="4.2562788851003702E-2"/>
    <n v="0.79930886349470098"/>
    <n v="0"/>
    <x v="11"/>
    <x v="0"/>
    <n v="60189314372.889999"/>
    <n v="334491"/>
    <x v="1"/>
  </r>
  <r>
    <n v="0.983458418388789"/>
    <n v="18.1399459934768"/>
    <n v="18.1399459934768"/>
    <n v="0"/>
    <n v="4.7008041457226497"/>
    <n v="4.2591302485955396"/>
    <n v="84.302532381712595"/>
    <n v="43.467810389232298"/>
    <n v="71.341003087210098"/>
    <n v="53.207077853058799"/>
    <n v="162678.00271452701"/>
    <n v="728.70082338626196"/>
    <n v="0.11592872201276"/>
    <n v="0.14105522095792"/>
    <n v="0.58597788405253803"/>
    <n v="5.4255382086337303E-2"/>
    <n v="0.61939860533376401"/>
    <n v="0"/>
    <x v="11"/>
    <x v="1"/>
    <n v="146966073178.35001"/>
    <n v="903417"/>
    <x v="1"/>
  </r>
  <r>
    <n v="0.98514428295215795"/>
    <n v="16.4400644492334"/>
    <n v="16.4400644492334"/>
    <n v="0"/>
    <n v="4.7290539673801701"/>
    <n v="4.2964462649127597"/>
    <n v="85.104183994976296"/>
    <n v="74.94238566304"/>
    <n v="70.578437320133105"/>
    <n v="47.54456277832"/>
    <n v="151396.51105309499"/>
    <n v="741.94418149789499"/>
    <n v="0.15310163734527299"/>
    <n v="6.154413354142E-2"/>
    <n v="0.62484588698308496"/>
    <n v="8.0300255209670296E-2"/>
    <n v="0.72464712990745395"/>
    <n v="0"/>
    <x v="11"/>
    <x v="2"/>
    <n v="93309606071.309998"/>
    <n v="616326"/>
    <x v="1"/>
  </r>
  <r>
    <n v="0.98596012751768602"/>
    <n v="15.6058724705958"/>
    <n v="15.6058724705958"/>
    <n v="0"/>
    <n v="4.8266873052181998"/>
    <n v="4.3603134369337297"/>
    <n v="88.220702458499602"/>
    <n v="84.782197519571099"/>
    <n v="65.721873258181304"/>
    <n v="42.233849855707"/>
    <n v="151079.47258008699"/>
    <n v="761.30092783313398"/>
    <n v="0.145333996175217"/>
    <n v="5.5209883457111801E-2"/>
    <n v="0.57071653915144205"/>
    <n v="8.0494399157510998E-2"/>
    <n v="0.74989868917583002"/>
    <n v="0"/>
    <x v="11"/>
    <x v="3"/>
    <n v="175796074294.19"/>
    <n v="1163600"/>
    <x v="1"/>
  </r>
  <r>
    <n v="0.98686333255487901"/>
    <n v="14.6734563470343"/>
    <n v="14.6734563470343"/>
    <n v="0"/>
    <n v="4.9467696547346502"/>
    <n v="4.5666779867455096"/>
    <n v="87.757354208193803"/>
    <n v="91.343739852647602"/>
    <n v="60.993132773983596"/>
    <n v="38.262631816603701"/>
    <n v="140035.579475106"/>
    <n v="764.38572692385696"/>
    <n v="0.15851085630199399"/>
    <n v="5.00887683026493E-2"/>
    <n v="0.62810405203987596"/>
    <n v="9.7963638641623704E-2"/>
    <n v="0.81363329892733305"/>
    <n v="0"/>
    <x v="11"/>
    <x v="4"/>
    <n v="43686619657.690002"/>
    <n v="311968"/>
    <x v="1"/>
  </r>
  <r>
    <n v="0.98567268206301595"/>
    <n v="15.900649277879999"/>
    <n v="15.900649277879999"/>
    <n v="0"/>
    <n v="5.0908830132362199"/>
    <n v="4.2553257561278004"/>
    <n v="108.81651620580701"/>
    <n v="9.1049649026074295"/>
    <n v="67.455401955829004"/>
    <n v="63.249416529706103"/>
    <n v="154246.55142997499"/>
    <n v="705.89558408246705"/>
    <n v="9.6343570621840693E-2"/>
    <n v="0.15990761765865999"/>
    <n v="0.65046708872192505"/>
    <n v="5.1984237997353099E-2"/>
    <n v="0.85624146138189705"/>
    <n v="0"/>
    <x v="12"/>
    <x v="0"/>
    <n v="8943215051.9099998"/>
    <n v="57980"/>
    <x v="1"/>
  </r>
  <r>
    <n v="0.98171323846709202"/>
    <n v="19.866194001571099"/>
    <n v="19.866194001571099"/>
    <n v="0"/>
    <n v="4.9407625378263198"/>
    <n v="4.2434132075689099"/>
    <n v="107.463379155147"/>
    <n v="42.4532722786197"/>
    <n v="73.635062150333397"/>
    <n v="55.083200768744803"/>
    <n v="143984.10160557801"/>
    <n v="699.73708281602705"/>
    <n v="0.109310344427112"/>
    <n v="0.152880124736711"/>
    <n v="0.61670757810657895"/>
    <n v="4.49544269839494E-2"/>
    <n v="0.70566840004062203"/>
    <n v="0"/>
    <x v="12"/>
    <x v="1"/>
    <n v="19947845404.639999"/>
    <n v="138542"/>
    <x v="1"/>
  </r>
  <r>
    <n v="0.98328913328914902"/>
    <n v="18.308875256145999"/>
    <n v="18.308875256145999"/>
    <n v="0"/>
    <n v="4.9597818561512401"/>
    <n v="4.2737622058612601"/>
    <n v="109.345287551041"/>
    <n v="59.458375612136102"/>
    <n v="71.135236584248602"/>
    <n v="51.040936223082497"/>
    <n v="139777.25990748199"/>
    <n v="715.80338963453596"/>
    <n v="0.16493743811079101"/>
    <n v="0.109271796211439"/>
    <n v="0.63895181919439503"/>
    <n v="7.1407158372328194E-2"/>
    <n v="0.733713636413027"/>
    <n v="0"/>
    <x v="12"/>
    <x v="2"/>
    <n v="29672615619.459999"/>
    <n v="212285"/>
    <x v="1"/>
  </r>
  <r>
    <n v="0.98440315330964401"/>
    <n v="17.1913023701226"/>
    <n v="17.1913023701226"/>
    <n v="0"/>
    <n v="4.9096635511019002"/>
    <n v="4.2530075740376603"/>
    <n v="108.451291293875"/>
    <n v="85.768815079674198"/>
    <n v="71.836969169806807"/>
    <n v="46.611114100958197"/>
    <n v="151052.03752173"/>
    <n v="749.11057880089504"/>
    <n v="0.132811189206338"/>
    <n v="5.9700944244034597E-2"/>
    <n v="0.55760185692593101"/>
    <n v="7.7576081558536694E-2"/>
    <n v="0.69221315938833605"/>
    <n v="0"/>
    <x v="12"/>
    <x v="3"/>
    <n v="104491304319.92"/>
    <n v="691757"/>
    <x v="1"/>
  </r>
  <r>
    <n v="0.98550950233689705"/>
    <n v="16.067570658016301"/>
    <n v="16.067570658016301"/>
    <n v="0"/>
    <n v="5.0736988526200397"/>
    <n v="4.37484348276831"/>
    <n v="113.40025868683701"/>
    <n v="89.640006633143003"/>
    <n v="63.189077193727897"/>
    <n v="40.8668626527272"/>
    <n v="137093.475911238"/>
    <n v="757.928629264601"/>
    <n v="0.15584062208816399"/>
    <n v="5.0256080667606999E-2"/>
    <n v="0.63909506094827295"/>
    <n v="9.7783487368540603E-2"/>
    <n v="0.78323769431246304"/>
    <n v="0"/>
    <x v="12"/>
    <x v="4"/>
    <n v="125911720735.49001"/>
    <n v="918437"/>
    <x v="1"/>
  </r>
  <r>
    <n v="0.98596697968295199"/>
    <n v="15.5988339959434"/>
    <n v="15.5988339959434"/>
    <n v="0"/>
    <n v="5.3530569085511104"/>
    <n v="4.2572634299695604"/>
    <n v="134.399389937027"/>
    <n v="10.066987333153"/>
    <n v="66.545608382382298"/>
    <n v="62.3718351986466"/>
    <n v="139479.20650795"/>
    <n v="705.68383072680501"/>
    <n v="0.10376222809937399"/>
    <n v="7.8226299102396299E-2"/>
    <n v="0.58721391821775304"/>
    <n v="6.4605946118652405E-2"/>
    <n v="0.84438347554930604"/>
    <n v="0"/>
    <x v="13"/>
    <x v="0"/>
    <n v="1587691807.6800001"/>
    <n v="11383"/>
    <x v="1"/>
  </r>
  <r>
    <n v="0.98110401760282495"/>
    <n v="20.4609041790182"/>
    <n v="20.4609041790182"/>
    <n v="0"/>
    <n v="5.1902084538639501"/>
    <n v="4.2392311814893997"/>
    <n v="131.52235995615999"/>
    <n v="36.570123186935703"/>
    <n v="72.699476577608493"/>
    <n v="56.193379979395502"/>
    <n v="119336.023539117"/>
    <n v="684.63467998115902"/>
    <n v="8.1076542714625402E-2"/>
    <n v="0.10772160678997"/>
    <n v="0.68724440482761495"/>
    <n v="3.3018342885355101E-2"/>
    <n v="0.77686411572778302"/>
    <n v="0"/>
    <x v="13"/>
    <x v="1"/>
    <n v="1287397021.9400001"/>
    <n v="10788"/>
    <x v="1"/>
  </r>
  <r>
    <n v="0.98232754870207395"/>
    <n v="19.2623908832858"/>
    <n v="19.2623908832858"/>
    <n v="0"/>
    <n v="5.2076281375855498"/>
    <n v="4.2590072300983604"/>
    <n v="134.42655258494599"/>
    <n v="50.386232238903702"/>
    <n v="72.711506279474506"/>
    <n v="52.464839409917403"/>
    <n v="124769.277302894"/>
    <n v="697.729173951539"/>
    <n v="0.14858027178245201"/>
    <n v="0.13178418495261199"/>
    <n v="0.67093646550053598"/>
    <n v="4.9841305439763901E-2"/>
    <n v="0.763036176768916"/>
    <n v="0"/>
    <x v="13"/>
    <x v="2"/>
    <n v="7850857235.7299995"/>
    <n v="62923"/>
    <x v="1"/>
  </r>
  <r>
    <n v="0.98216303800292504"/>
    <n v="19.4244953460129"/>
    <n v="19.4244953460129"/>
    <n v="0"/>
    <n v="5.2129471815067303"/>
    <n v="4.2674055181355"/>
    <n v="133.74976093237001"/>
    <n v="82.478688614929297"/>
    <n v="76.143007300519798"/>
    <n v="53.462713764169898"/>
    <n v="138334.28271226501"/>
    <n v="697.93150811090595"/>
    <n v="0.13358696631866299"/>
    <n v="8.1448988223030497E-2"/>
    <n v="0.60073647349787196"/>
    <n v="8.1469366893350395E-2"/>
    <n v="0.66294921309675603"/>
    <n v="0"/>
    <x v="13"/>
    <x v="3"/>
    <n v="10063957401.6"/>
    <n v="72751"/>
    <x v="1"/>
  </r>
  <r>
    <n v="0.98457118420351397"/>
    <n v="17.021524491193301"/>
    <n v="17.021524491193301"/>
    <n v="0"/>
    <n v="5.2605676610026801"/>
    <n v="4.3225979649127098"/>
    <n v="136.616687011766"/>
    <n v="90.439673858579596"/>
    <n v="68.2369498962682"/>
    <n v="44.604535443485602"/>
    <n v="131742.58411015401"/>
    <n v="745.13972205011601"/>
    <n v="0.14784958048796901"/>
    <n v="5.6821301580346303E-2"/>
    <n v="0.63243950967436702"/>
    <n v="8.93554082842693E-2"/>
    <n v="0.74192281848379604"/>
    <n v="0"/>
    <x v="13"/>
    <x v="4"/>
    <n v="119232176580.47"/>
    <n v="905039"/>
    <x v="1"/>
  </r>
  <r>
    <n v="0.98671239337169203"/>
    <n v="14.8299313900418"/>
    <n v="14.8299313900418"/>
    <n v="0"/>
    <n v="5.2210826761666196"/>
    <n v="4.3405834514459096"/>
    <n v="134.358119209313"/>
    <n v="87.135803535886694"/>
    <n v="73.878001733049601"/>
    <n v="51.475231040934901"/>
    <n v="146545.13500000001"/>
    <n v="741.78105620838198"/>
    <n v="0.235087077438633"/>
    <n v="0"/>
    <n v="1"/>
    <n v="0"/>
    <n v="0.70679477008909197"/>
    <n v="0"/>
    <x v="13"/>
    <x v="5"/>
    <n v="586180.54"/>
    <n v="4"/>
    <x v="1"/>
  </r>
  <r>
    <n v="0.98534654979510605"/>
    <n v="16.2339565295676"/>
    <n v="16.2339565295676"/>
    <n v="0"/>
    <n v="5.5120181668486898"/>
    <n v="4.2550145670730002"/>
    <n v="158.85358309766801"/>
    <n v="17.386646423551401"/>
    <n v="62.621170821430603"/>
    <n v="55.960942436094399"/>
    <n v="111059.13032869701"/>
    <n v="713.428014063315"/>
    <n v="0.10787261996382499"/>
    <n v="3.3860212796509401E-2"/>
    <n v="0.62394160496005802"/>
    <n v="6.2659816434433302E-2"/>
    <n v="0.80645741139667704"/>
    <n v="0"/>
    <x v="14"/>
    <x v="0"/>
    <n v="263543316.27000001"/>
    <n v="2373"/>
    <x v="1"/>
  </r>
  <r>
    <n v="0.98274062685113395"/>
    <n v="18.8540360381235"/>
    <n v="18.8540360381235"/>
    <n v="0"/>
    <n v="5.3734319167786504"/>
    <n v="4.2717677584801299"/>
    <n v="157.555163881769"/>
    <n v="46.028947926485799"/>
    <n v="67.204109940918997"/>
    <n v="50.693894468319399"/>
    <n v="94184.534417266099"/>
    <n v="711.67865631950599"/>
    <n v="8.3985870852643599E-2"/>
    <n v="0.113782628445286"/>
    <n v="0.79273766231624698"/>
    <n v="1.3072936282843299E-2"/>
    <n v="0.825930387952303"/>
    <n v="0"/>
    <x v="14"/>
    <x v="1"/>
    <n v="65458251.420000002"/>
    <n v="695"/>
    <x v="1"/>
  </r>
  <r>
    <n v="0.98237072147660398"/>
    <n v="19.219800088167101"/>
    <n v="19.219800088167101"/>
    <n v="0"/>
    <n v="5.4144152265857404"/>
    <n v="4.2528429410426201"/>
    <n v="158.28520919726199"/>
    <n v="63.360150097550601"/>
    <n v="73.558371395568599"/>
    <n v="49.557934512642198"/>
    <n v="119177.79808105199"/>
    <n v="704.74590354485497"/>
    <n v="9.4136223616177295E-2"/>
    <n v="8.0397059693233602E-2"/>
    <n v="0.72754081467625198"/>
    <n v="3.2392574815950599E-2"/>
    <n v="0.77468704777499298"/>
    <n v="0"/>
    <x v="14"/>
    <x v="2"/>
    <n v="1332169426.95"/>
    <n v="11178"/>
    <x v="1"/>
  </r>
  <r>
    <n v="0.982953317437253"/>
    <n v="18.643039877819302"/>
    <n v="18.643039877819302"/>
    <n v="0"/>
    <n v="5.4102975353799296"/>
    <n v="4.2692543307704298"/>
    <n v="158.32568112498799"/>
    <n v="67.300956721358403"/>
    <n v="71.739475572872195"/>
    <n v="51.167851416229702"/>
    <n v="108063.860319531"/>
    <n v="700.07614825992903"/>
    <n v="0.16040982504644699"/>
    <n v="7.69550319211601E-2"/>
    <n v="0.71096242892415595"/>
    <n v="6.1252469835239597E-2"/>
    <n v="0.759074435514829"/>
    <n v="0"/>
    <x v="14"/>
    <x v="3"/>
    <n v="1532021347.75"/>
    <n v="14177"/>
    <x v="1"/>
  </r>
  <r>
    <n v="0.984052771175012"/>
    <n v="17.544303540275301"/>
    <n v="17.544303540275301"/>
    <n v="0"/>
    <n v="5.44004647097678"/>
    <n v="4.2759197509973497"/>
    <n v="159.583967653282"/>
    <n v="92.450860889279596"/>
    <n v="69.832087180034407"/>
    <n v="45.828307964105399"/>
    <n v="122970.459852846"/>
    <n v="733.31410817784104"/>
    <n v="0.145246080925437"/>
    <n v="6.4978167509949405E-2"/>
    <n v="0.624992809694076"/>
    <n v="8.3244919261219893E-2"/>
    <n v="0.74858561388338896"/>
    <n v="0"/>
    <x v="14"/>
    <x v="4"/>
    <n v="55688402448.959999"/>
    <n v="452860"/>
    <x v="1"/>
  </r>
  <r>
    <n v="0.98310943627896197"/>
    <n v="18.487844852010198"/>
    <n v="18.487844852010198"/>
    <n v="0"/>
    <n v="5.7302846832360297"/>
    <n v="4.2742653255758096"/>
    <n v="184.094641553434"/>
    <n v="38.1408621309631"/>
    <n v="65.554288276550196"/>
    <n v="51.906762433506699"/>
    <n v="111255.402970297"/>
    <n v="720.46416223888696"/>
    <n v="0.16537287805277001"/>
    <n v="1.6414207165838201E-2"/>
    <n v="0.59267397243860098"/>
    <n v="6.9435209630090505E-2"/>
    <n v="0.65469847667516101"/>
    <n v="0"/>
    <x v="15"/>
    <x v="0"/>
    <n v="44947182.799999997"/>
    <n v="404"/>
    <x v="1"/>
  </r>
  <r>
    <n v="0.98304369587339702"/>
    <n v="18.553229293110299"/>
    <n v="18.553229293110299"/>
    <n v="0"/>
    <n v="5.6670699715585897"/>
    <n v="4.34412935854035"/>
    <n v="184.30421223546799"/>
    <n v="68.961597978487305"/>
    <n v="70.844412281565198"/>
    <n v="41.628294519840303"/>
    <n v="106115.08865979299"/>
    <n v="730.06182134421704"/>
    <n v="0.14215217467251701"/>
    <n v="0.124770799329372"/>
    <n v="0.63776619949963598"/>
    <n v="0.102363739754413"/>
    <n v="0.65413922304703198"/>
    <n v="0"/>
    <x v="15"/>
    <x v="1"/>
    <n v="10293163.6"/>
    <n v="97"/>
    <x v="1"/>
  </r>
  <r>
    <n v="0.98298583027696396"/>
    <n v="18.6107417775588"/>
    <n v="18.6107417775588"/>
    <n v="0"/>
    <n v="5.7130949501878003"/>
    <n v="4.3004225406607697"/>
    <n v="184.227056540836"/>
    <n v="79.948175835772403"/>
    <n v="72.931917069901402"/>
    <n v="45.739079246083001"/>
    <n v="112777.20735049499"/>
    <n v="721.37221050312598"/>
    <n v="7.4636471688863795E-2"/>
    <n v="3.3986509980303101E-2"/>
    <n v="0.83027305726437295"/>
    <n v="3.9214653043156099E-2"/>
    <n v="0.71774543210859898"/>
    <n v="0"/>
    <x v="15"/>
    <x v="2"/>
    <n v="284762448.56"/>
    <n v="2525"/>
    <x v="1"/>
  </r>
  <r>
    <n v="0.983817718500125"/>
    <n v="17.780339541695401"/>
    <n v="17.780339541695401"/>
    <n v="0"/>
    <n v="5.6359777764676604"/>
    <n v="4.30486565636126"/>
    <n v="185.470410846475"/>
    <n v="72.417000813173601"/>
    <n v="72.553114650079607"/>
    <n v="48.5479752631108"/>
    <n v="105722.471601147"/>
    <n v="712.31202359858696"/>
    <n v="0.106722836912649"/>
    <n v="3.9652464164049703E-2"/>
    <n v="0.81817790558005998"/>
    <n v="4.8952951388021602E-2"/>
    <n v="0.77545330305848503"/>
    <n v="0"/>
    <x v="15"/>
    <x v="3"/>
    <n v="368442813.52999997"/>
    <n v="3485"/>
    <x v="1"/>
  </r>
  <r>
    <n v="0.98373087519930102"/>
    <n v="17.867389340265198"/>
    <n v="17.867389340265198"/>
    <n v="0"/>
    <n v="5.7027057725989101"/>
    <n v="4.2830379284148599"/>
    <n v="184.558634760296"/>
    <n v="93.952042039393902"/>
    <n v="70.656370842332606"/>
    <n v="46.801397846110099"/>
    <n v="109348.361098687"/>
    <n v="720.65193734904301"/>
    <n v="0.13580927321009301"/>
    <n v="7.4601706391698497E-2"/>
    <n v="0.63654564024454197"/>
    <n v="8.1941577449617303E-2"/>
    <n v="0.761120637876055"/>
    <n v="0"/>
    <x v="15"/>
    <x v="4"/>
    <n v="14190464864.860001"/>
    <n v="129773"/>
    <x v="1"/>
  </r>
  <r>
    <n v="0.98382410007638099"/>
    <n v="17.773939456691298"/>
    <n v="17.773939456691298"/>
    <n v="0"/>
    <n v="5.9546398629324404"/>
    <n v="4.29783055707271"/>
    <n v="209.06028209073199"/>
    <n v="71.550090762946098"/>
    <n v="71.215588210671697"/>
    <n v="48.707119901350602"/>
    <n v="92769.134939758995"/>
    <n v="722.08420440219197"/>
    <n v="8.1162315852299299E-2"/>
    <n v="1.2850288204757299E-2"/>
    <n v="0.79311062796098697"/>
    <n v="7.9166327157368002E-2"/>
    <n v="0.52524365901610703"/>
    <n v="0"/>
    <x v="16"/>
    <x v="0"/>
    <n v="7699838.2000000002"/>
    <n v="83"/>
    <x v="1"/>
  </r>
  <r>
    <n v="0.98093811609146697"/>
    <n v="20.622151800090201"/>
    <n v="20.622151800090201"/>
    <n v="0"/>
    <n v="5.88763823197612"/>
    <n v="4.2429238744594304"/>
    <n v="210.25523486970599"/>
    <n v="77.009730216050997"/>
    <n v="71.349130057089994"/>
    <n v="36.900943248533999"/>
    <n v="158701.749230769"/>
    <n v="752.58605859452302"/>
    <n v="0"/>
    <n v="0"/>
    <n v="0.46631361673938299"/>
    <n v="5.3304833106213201E-2"/>
    <n v="0.68319201083176095"/>
    <n v="0"/>
    <x v="16"/>
    <x v="1"/>
    <n v="6189368.2199999997"/>
    <n v="39"/>
    <x v="1"/>
  </r>
  <r>
    <n v="0.98271016371728104"/>
    <n v="18.884215382220901"/>
    <n v="18.884215382220901"/>
    <n v="0"/>
    <n v="5.9957435640179098"/>
    <n v="4.3169239396526198"/>
    <n v="209.62124897719599"/>
    <n v="76.151318161034496"/>
    <n v="73.073970507964603"/>
    <n v="46.073421602868898"/>
    <n v="105605.529086956"/>
    <n v="722.31139040505298"/>
    <n v="0.134107868139211"/>
    <n v="3.0552209818029301E-2"/>
    <n v="0.85631408016087696"/>
    <n v="8.0531693785010294E-2"/>
    <n v="0.75603969642944802"/>
    <n v="0"/>
    <x v="16"/>
    <x v="2"/>
    <n v="48578543.380000003"/>
    <n v="460"/>
    <x v="1"/>
  </r>
  <r>
    <n v="0.98313500163217105"/>
    <n v="18.462404936152701"/>
    <n v="18.462404936152701"/>
    <n v="0"/>
    <n v="5.8573818119709804"/>
    <n v="4.2613917767895098"/>
    <n v="208.97989619273801"/>
    <n v="84.6671897933644"/>
    <n v="74.249724193727204"/>
    <n v="46.557784384957699"/>
    <n v="109734.307860696"/>
    <n v="714.44337638379"/>
    <n v="7.7046954423322295E-2"/>
    <n v="2.9244241428247001E-2"/>
    <n v="0.88201334521843699"/>
    <n v="3.8943980110225401E-2"/>
    <n v="0.73952532385292002"/>
    <n v="0"/>
    <x v="16"/>
    <x v="3"/>
    <n v="176452767.03999999"/>
    <n v="1608"/>
    <x v="1"/>
  </r>
  <r>
    <n v="0.98331688293019104"/>
    <n v="18.281205861191602"/>
    <n v="18.281205861191602"/>
    <n v="0"/>
    <n v="5.9329729381671603"/>
    <n v="4.2670494173833502"/>
    <n v="208.980394884753"/>
    <n v="95.429630534315095"/>
    <n v="71.390718849516503"/>
    <n v="47.314856104710501"/>
    <n v="98998.820578641695"/>
    <n v="710.74612897337602"/>
    <n v="0.11109744159745499"/>
    <n v="8.24373995950681E-2"/>
    <n v="0.61876537244641605"/>
    <n v="7.4605746066493298E-2"/>
    <n v="0.75593102802810297"/>
    <n v="0"/>
    <x v="16"/>
    <x v="4"/>
    <n v="3921343283.1199999"/>
    <n v="39610"/>
    <x v="1"/>
  </r>
  <r>
    <n v="0.98230003479744998"/>
    <n v="19.289523153451"/>
    <n v="19.289523153451"/>
    <n v="0"/>
    <n v="6.2412579094459897"/>
    <n v="4.2743212479768102"/>
    <n v="240.804813685113"/>
    <n v="65.580276677359294"/>
    <n v="60.704207143282503"/>
    <n v="41.779815814532903"/>
    <n v="74281.217241379301"/>
    <n v="690.19806866756505"/>
    <n v="7.5653691263577794E-2"/>
    <n v="0"/>
    <n v="0.94845331253508003"/>
    <n v="5.1546687464919499E-2"/>
    <n v="0.33312484016356603"/>
    <n v="0"/>
    <x v="17"/>
    <x v="0"/>
    <n v="2154155.2999999998"/>
    <n v="29"/>
    <x v="1"/>
  </r>
  <r>
    <n v="0.98133262668731402"/>
    <n v="20.238216094867902"/>
    <n v="20.238216094867902"/>
    <n v="0"/>
    <n v="5.99752523283159"/>
    <n v="4.2093661364101997"/>
    <n v="227.30930225871299"/>
    <n v="77.613127891809199"/>
    <n v="68.040372530545199"/>
    <n v="34.092491291313699"/>
    <n v="149084.866666666"/>
    <n v="739.939441204182"/>
    <n v="0"/>
    <n v="0"/>
    <n v="0"/>
    <n v="0.24747671684092201"/>
    <n v="0.75252328315907702"/>
    <n v="0"/>
    <x v="17"/>
    <x v="1"/>
    <n v="447254.6"/>
    <n v="3"/>
    <x v="1"/>
  </r>
  <r>
    <n v="0.98204605623003105"/>
    <n v="19.539584504141501"/>
    <n v="19.539584504141501"/>
    <n v="0"/>
    <n v="6.2967213112112104"/>
    <n v="4.3203610634640199"/>
    <n v="237.80057506014199"/>
    <n v="73.4262234211634"/>
    <n v="74.616509594313399"/>
    <n v="46.308414195750998"/>
    <n v="90239.877849462297"/>
    <n v="717.01073405827401"/>
    <n v="0.10781808365427301"/>
    <n v="7.2769052735886901E-3"/>
    <n v="0.91994847498840304"/>
    <n v="1.1684483281825499E-2"/>
    <n v="0.66184113433654601"/>
    <n v="0"/>
    <x v="17"/>
    <x v="2"/>
    <n v="16784617.280000001"/>
    <n v="186"/>
    <x v="1"/>
  </r>
  <r>
    <n v="0.98303686411221303"/>
    <n v="18.5600213039402"/>
    <n v="18.5600213039402"/>
    <n v="0"/>
    <n v="6.1867965416667099"/>
    <n v="4.2684674417546002"/>
    <n v="240.57617419609201"/>
    <n v="77.341780984670905"/>
    <n v="73.806941090480393"/>
    <n v="44.966426857602897"/>
    <n v="94715.094444444403"/>
    <n v="716.151916451489"/>
    <n v="0.13025483106601299"/>
    <n v="3.2894720571535099E-2"/>
    <n v="0.84209205249339802"/>
    <n v="1.74046442641668E-2"/>
    <n v="0.75453423354645699"/>
    <n v="0"/>
    <x v="17"/>
    <x v="3"/>
    <n v="46883971.75"/>
    <n v="495"/>
    <x v="1"/>
  </r>
  <r>
    <n v="0.98210291430340901"/>
    <n v="19.4836651559371"/>
    <n v="19.4836651559371"/>
    <n v="0"/>
    <n v="6.3238098663990501"/>
    <n v="4.2892407831702197"/>
    <n v="244.89708899814499"/>
    <n v="96.073514429304296"/>
    <n v="72.1702680337457"/>
    <n v="48.074258682261899"/>
    <n v="84486.940430909293"/>
    <n v="691.25953294715703"/>
    <n v="7.8675747072390806E-2"/>
    <n v="6.6625828152622399E-2"/>
    <n v="0.60277525582496905"/>
    <n v="4.2860074080100202E-2"/>
    <n v="0.75830655446586803"/>
    <n v="0"/>
    <x v="17"/>
    <x v="4"/>
    <n v="1280315095.29"/>
    <n v="15154"/>
    <x v="1"/>
  </r>
  <r>
    <n v="0.97771960000000002"/>
    <n v="23.6916861866899"/>
    <n v="23.6916861866899"/>
    <n v="0"/>
    <n v="6.5"/>
    <n v="4.4352400000000003"/>
    <n v="250"/>
    <n v="92"/>
    <n v="70"/>
    <n v="42.36"/>
    <n v="75601.27"/>
    <n v="652"/>
    <n v="0"/>
    <n v="1"/>
    <n v="0"/>
    <n v="0"/>
    <n v="1"/>
    <n v="0"/>
    <x v="18"/>
    <x v="4"/>
    <n v="75601.27"/>
    <n v="1"/>
    <x v="1"/>
  </r>
</pivotCacheRecords>
</file>

<file path=xl/pivotCache/pivotCacheRecords2.xml><?xml version="1.0" encoding="utf-8"?>
<pivotCacheRecords xmlns="http://schemas.openxmlformats.org/spreadsheetml/2006/main" xmlns:r="http://schemas.openxmlformats.org/officeDocument/2006/relationships" count="51">
  <r>
    <n v="0.98530719396251998"/>
    <n v="16.274096213758401"/>
    <n v="0"/>
    <n v="0"/>
    <n v="5.125"/>
    <n v="4.3700227752523304"/>
    <n v="-77.966021917483502"/>
    <n v="86.998669938064396"/>
    <n v="80"/>
    <n v="88.831251851682595"/>
    <n v="119488.17"/>
    <n v="674"/>
    <n v="0"/>
    <n v="0"/>
    <n v="0"/>
    <n v="1"/>
    <n v="0"/>
    <n v="0"/>
    <x v="0"/>
    <x v="0"/>
    <n v="358464.51"/>
    <n v="3"/>
    <s v="act"/>
  </r>
  <r>
    <n v="0.99221381976859102"/>
    <n v="8.9534989669207601"/>
    <n v="1.271351859999E-3"/>
    <n v="0"/>
    <n v="4.1706825209449603"/>
    <n v="4.52620932401455"/>
    <n v="-58.044858529319598"/>
    <n v="58.119886586390002"/>
    <n v="65.125136541416794"/>
    <n v="62.147665997671602"/>
    <n v="130445.452413793"/>
    <n v="685.04970698652005"/>
    <n v="0"/>
    <n v="7.9995926530918401E-2"/>
    <n v="0.80433622761044499"/>
    <n v="0.66657759433608799"/>
    <n v="0.51033132591302199"/>
    <n v="0"/>
    <x v="1"/>
    <x v="0"/>
    <n v="3782918.12"/>
    <n v="29"/>
    <s v="act"/>
  </r>
  <r>
    <n v="0.99453478946053098"/>
    <n v="6.3646678287545697"/>
    <n v="6.1434751547609299"/>
    <n v="0"/>
    <n v="4.5734529982070198"/>
    <n v="4.4941605690581996"/>
    <n v="-34.0525803577804"/>
    <n v="23.1493617451757"/>
    <n v="75.092062012119001"/>
    <n v="69.424861288668794"/>
    <n v="156156.077355371"/>
    <n v="660.90909809785603"/>
    <n v="0"/>
    <n v="9.5058153610305798E-2"/>
    <n v="0.58888151253646903"/>
    <n v="0.10644182574707001"/>
    <n v="0.22954706616965601"/>
    <n v="0"/>
    <x v="2"/>
    <x v="0"/>
    <n v="37789770.719999999"/>
    <n v="242"/>
    <s v="act"/>
  </r>
  <r>
    <n v="0.98677689909140198"/>
    <n v="14.763092066527999"/>
    <n v="0"/>
    <n v="0"/>
    <n v="5"/>
    <n v="4.3876715390759404"/>
    <n v="-37.434862243754303"/>
    <n v="93.497343270128894"/>
    <n v="74"/>
    <n v="82.948218123444704"/>
    <n v="125499.21"/>
    <n v="674"/>
    <n v="0"/>
    <n v="0"/>
    <n v="1"/>
    <n v="1"/>
    <n v="1"/>
    <n v="0"/>
    <x v="2"/>
    <x v="1"/>
    <n v="501996.84"/>
    <n v="4"/>
    <s v="act"/>
  </r>
  <r>
    <n v="0.99138805027851495"/>
    <n v="9.8586292721314805"/>
    <n v="7.2666857457883101"/>
    <n v="0"/>
    <n v="4.7957981574109603"/>
    <n v="4.5371537349709898"/>
    <n v="14.2505219085908"/>
    <n v="14.317896013129401"/>
    <n v="76.366914325145899"/>
    <n v="71.257621228641796"/>
    <n v="168000.42747128601"/>
    <n v="651.53026838428605"/>
    <n v="6.4330160949469001E-2"/>
    <n v="0.15455904252078501"/>
    <n v="0.58105059826675298"/>
    <n v="4.5776931264950201E-2"/>
    <n v="0.53773051068742095"/>
    <n v="0"/>
    <x v="3"/>
    <x v="0"/>
    <n v="5192725212.71"/>
    <n v="30909"/>
    <s v="act"/>
  </r>
  <r>
    <n v="0.978202658576936"/>
    <n v="23.23803812841"/>
    <n v="15.038587975279"/>
    <n v="0"/>
    <n v="4.8649098832703803"/>
    <n v="4.6311308932935704"/>
    <n v="14.031202451245701"/>
    <n v="87.545061210749296"/>
    <n v="66.467324648406503"/>
    <n v="48.146541035258402"/>
    <n v="133464.86962531201"/>
    <n v="599.09541632943603"/>
    <n v="0.30575369284268"/>
    <n v="1.9025603509388301E-2"/>
    <n v="0.96265789306356897"/>
    <n v="0.19397621883857799"/>
    <n v="0.91333149677960501"/>
    <n v="0"/>
    <x v="3"/>
    <x v="1"/>
    <n v="160291308.41999999"/>
    <n v="1201"/>
    <s v="act"/>
  </r>
  <r>
    <n v="0.98873176729401302"/>
    <n v="12.7145499159484"/>
    <n v="0"/>
    <n v="0"/>
    <n v="4.9426031213360604"/>
    <n v="4.4205023909954697"/>
    <n v="18.793341318430802"/>
    <n v="87.646192181340297"/>
    <n v="75.292963356154999"/>
    <n v="86.286809855230601"/>
    <n v="90514.444545454506"/>
    <n v="717.63988818499797"/>
    <n v="0"/>
    <n v="0"/>
    <n v="1"/>
    <n v="1"/>
    <n v="0.69366359999055405"/>
    <n v="0"/>
    <x v="3"/>
    <x v="2"/>
    <n v="995658.89"/>
    <n v="11"/>
    <s v="act"/>
  </r>
  <r>
    <n v="0.99097135016515703"/>
    <n v="10.312238211427299"/>
    <n v="7.8195881253730501"/>
    <n v="0"/>
    <n v="4.8521594375600996"/>
    <n v="4.3921254400227197"/>
    <n v="39.960469327816099"/>
    <n v="10.6634588457975"/>
    <n v="76.785890984224906"/>
    <n v="72.458104651565193"/>
    <n v="177546.69036663501"/>
    <n v="661.54729493491197"/>
    <n v="5.8854026932123299E-2"/>
    <n v="0.16811399324246701"/>
    <n v="0.57894466878583795"/>
    <n v="4.51715295096244E-2"/>
    <n v="0.61418641103595994"/>
    <n v="0"/>
    <x v="4"/>
    <x v="0"/>
    <n v="17782011226.98"/>
    <n v="100154"/>
    <s v="act"/>
  </r>
  <r>
    <n v="0.979118446062476"/>
    <n v="22.371214764082499"/>
    <n v="13.9054762662754"/>
    <n v="0"/>
    <n v="4.9562673937301103"/>
    <n v="4.50539622661009"/>
    <n v="40.426591438021397"/>
    <n v="68.599153632783398"/>
    <n v="69.379468383794602"/>
    <n v="51.095815497698702"/>
    <n v="141137.936861386"/>
    <n v="619.21926702219105"/>
    <n v="0.25640346617676602"/>
    <n v="6.1637788555388803E-2"/>
    <n v="0.84123417374505505"/>
    <n v="0.14314885323903601"/>
    <n v="0.82910190580505105"/>
    <n v="0"/>
    <x v="4"/>
    <x v="1"/>
    <n v="1710591794.76"/>
    <n v="12120"/>
    <s v="act"/>
  </r>
  <r>
    <n v="0.98858691396547305"/>
    <n v="12.867878519415299"/>
    <n v="12.302017472113"/>
    <n v="0"/>
    <n v="4.7814699990054796"/>
    <n v="4.5505824060812303"/>
    <n v="42.158706915675701"/>
    <n v="84.684655235337104"/>
    <n v="62.7709984209502"/>
    <n v="44.322325233669403"/>
    <n v="213574.11583768501"/>
    <n v="751.22675435158703"/>
    <n v="0.10611233970602101"/>
    <n v="0.12669717848773901"/>
    <n v="0.55451687738201005"/>
    <n v="0.46202163107138899"/>
    <n v="0.760530075811651"/>
    <n v="0"/>
    <x v="4"/>
    <x v="2"/>
    <n v="531585974.31999999"/>
    <n v="2489"/>
    <s v="act"/>
  </r>
  <r>
    <n v="0.98755811561539697"/>
    <n v="13.949787358019501"/>
    <n v="9.2160384251305003E-2"/>
    <n v="0"/>
    <n v="4.8779695478893697"/>
    <n v="4.6537485218037604"/>
    <n v="44.918139189006297"/>
    <n v="91.2435310616804"/>
    <n v="56.785961625409598"/>
    <n v="38.076501994361102"/>
    <n v="440747.45764044899"/>
    <n v="762.54830867012402"/>
    <n v="0.29073014265799102"/>
    <n v="2.1173952749852801E-2"/>
    <n v="0.54709238416625805"/>
    <n v="0.61266317799198899"/>
    <n v="0.90730835276083199"/>
    <n v="0"/>
    <x v="4"/>
    <x v="3"/>
    <n v="39226523.729999997"/>
    <n v="89"/>
    <s v="act"/>
  </r>
  <r>
    <n v="0.989045313883259"/>
    <n v="12.381810451168599"/>
    <n v="11.6050335259346"/>
    <n v="0"/>
    <n v="4.9163265444085198"/>
    <n v="4.3280212351852301"/>
    <n v="62.637308730023598"/>
    <n v="8.7006989757956408"/>
    <n v="75.7516329101461"/>
    <n v="71.668998787174999"/>
    <n v="180474.75474041101"/>
    <n v="678.047755354473"/>
    <n v="6.3525769384317393E-2"/>
    <n v="0.17698798265863599"/>
    <n v="0.59352765369927996"/>
    <n v="4.23667129619213E-2"/>
    <n v="0.73724051374950506"/>
    <n v="0"/>
    <x v="5"/>
    <x v="0"/>
    <n v="27944891498.759998"/>
    <n v="154841"/>
    <s v="act"/>
  </r>
  <r>
    <n v="0.98156345683340696"/>
    <n v="20.012784738710501"/>
    <n v="14.2417680791966"/>
    <n v="0"/>
    <n v="4.9269762017355596"/>
    <n v="4.4300976706792401"/>
    <n v="64.794145700124602"/>
    <n v="56.498374453263096"/>
    <n v="72.432685449712594"/>
    <n v="54.820489722012198"/>
    <n v="134854.19664766101"/>
    <n v="660.72335509537595"/>
    <n v="0.154358259585128"/>
    <n v="8.07257214930788E-2"/>
    <n v="0.70400738085630499"/>
    <n v="0.10675032194350501"/>
    <n v="0.70744031800756102"/>
    <n v="0"/>
    <x v="5"/>
    <x v="1"/>
    <n v="7402955979.1700001"/>
    <n v="54896"/>
    <s v="act"/>
  </r>
  <r>
    <n v="0.98599023162771304"/>
    <n v="15.5749458229299"/>
    <n v="13.537749671908401"/>
    <n v="0"/>
    <n v="4.7863144799332096"/>
    <n v="4.4568587103273201"/>
    <n v="67.778155358224794"/>
    <n v="81.611006746005302"/>
    <n v="73.960969393246202"/>
    <n v="51.532504264639599"/>
    <n v="166859.89517661199"/>
    <n v="736.60111638895103"/>
    <n v="0.11439779523953"/>
    <n v="6.46124162438899E-2"/>
    <n v="0.51772985195939902"/>
    <n v="0.141832614329195"/>
    <n v="0.64219210793224801"/>
    <n v="0"/>
    <x v="5"/>
    <x v="2"/>
    <n v="13236328044.780001"/>
    <n v="79326"/>
    <s v="act"/>
  </r>
  <r>
    <n v="0.98755911263255902"/>
    <n v="13.9487448591877"/>
    <n v="12.8456011512364"/>
    <n v="0"/>
    <n v="4.7636153732050097"/>
    <n v="4.5667166446549601"/>
    <n v="67.0611163450193"/>
    <n v="88.317290968324698"/>
    <n v="63.080489785227101"/>
    <n v="39.8357861564497"/>
    <n v="151339.24918299899"/>
    <n v="763.43243769006699"/>
    <n v="0.14190296303465"/>
    <n v="6.0049776007354998E-2"/>
    <n v="0.52308334868763096"/>
    <n v="7.4424648169462801E-2"/>
    <n v="0.76426376012404496"/>
    <n v="0"/>
    <x v="5"/>
    <x v="3"/>
    <n v="29373132195.43"/>
    <n v="194088"/>
    <s v="act"/>
  </r>
  <r>
    <n v="0.984348943125117"/>
    <n v="17.246008192985698"/>
    <n v="7.9433977445865596"/>
    <n v="0"/>
    <n v="4.8818365479926698"/>
    <n v="4.6577606256153903"/>
    <n v="70.990733394204"/>
    <n v="95.742866655187399"/>
    <n v="59.402519164528698"/>
    <n v="37.665608301138597"/>
    <n v="278306.022046678"/>
    <n v="754.60860777969106"/>
    <n v="0.16647431732238599"/>
    <n v="6.3043064011436695E-2"/>
    <n v="0.59317409653114095"/>
    <n v="0.14614182723519301"/>
    <n v="0.80551787698907695"/>
    <n v="0"/>
    <x v="5"/>
    <x v="4"/>
    <n v="310032908.56"/>
    <n v="1114"/>
    <s v="act"/>
  </r>
  <r>
    <n v="0.98679434286850998"/>
    <n v="14.7450089736463"/>
    <n v="16.271059064151899"/>
    <n v="0"/>
    <n v="4.9607805773859699"/>
    <n v="4.2794935303568096"/>
    <n v="86.384211393334397"/>
    <n v="8.7983741017869992"/>
    <n v="72.165751523188604"/>
    <n v="67.855245125317595"/>
    <n v="163835.88167870999"/>
    <n v="698.93170075589796"/>
    <n v="7.8093787932760297E-2"/>
    <n v="0.15619164821309001"/>
    <n v="0.62264397931905802"/>
    <n v="4.0798470901430003E-2"/>
    <n v="0.81880145265729398"/>
    <n v="0"/>
    <x v="6"/>
    <x v="0"/>
    <n v="22762374385.150002"/>
    <n v="138934"/>
    <s v="act"/>
  </r>
  <r>
    <n v="0.98197584180465802"/>
    <n v="19.608590564293799"/>
    <n v="16.0018222221582"/>
    <n v="0"/>
    <n v="4.9520255218151297"/>
    <n v="4.3398695675053798"/>
    <n v="87.997532077019898"/>
    <n v="47.635599092121303"/>
    <n v="73.041035089497598"/>
    <n v="55.575188560874601"/>
    <n v="128857.19352863599"/>
    <n v="688.05458068707196"/>
    <n v="0.104555438855468"/>
    <n v="0.101329400298431"/>
    <n v="0.64884267460741696"/>
    <n v="6.9910596788370402E-2"/>
    <n v="0.68156958924423605"/>
    <n v="0"/>
    <x v="6"/>
    <x v="1"/>
    <n v="13400117269.43"/>
    <n v="103992"/>
    <s v="act"/>
  </r>
  <r>
    <n v="0.983877053684582"/>
    <n v="17.720814645410702"/>
    <n v="15.066756216846001"/>
    <n v="0"/>
    <n v="4.8476670631508503"/>
    <n v="4.3526241990664802"/>
    <n v="87.629904597357694"/>
    <n v="79.556468540834402"/>
    <n v="75.258770707953602"/>
    <n v="52.435120000121202"/>
    <n v="153512.93132900901"/>
    <n v="722.95772715970804"/>
    <n v="0.120099290218486"/>
    <n v="7.3788557584416506E-2"/>
    <n v="0.55044919090373401"/>
    <n v="8.5972378119751003E-2"/>
    <n v="0.65372523520280301"/>
    <n v="0"/>
    <x v="6"/>
    <x v="2"/>
    <n v="27339885505.040001"/>
    <n v="178095"/>
    <s v="act"/>
  </r>
  <r>
    <n v="0.98561624602940001"/>
    <n v="15.958413761195899"/>
    <n v="14.569820776034501"/>
    <n v="0"/>
    <n v="4.8336242563085197"/>
    <n v="4.36598666617276"/>
    <n v="88.884827265697893"/>
    <n v="85.877019154426094"/>
    <n v="66.449332365818904"/>
    <n v="42.520914278272699"/>
    <n v="150329.57253048901"/>
    <n v="760.70510705915603"/>
    <n v="0.137235059723124"/>
    <n v="5.7517019397516099E-2"/>
    <n v="0.53941016903916705"/>
    <n v="7.0800844166219901E-2"/>
    <n v="0.73131193285338403"/>
    <n v="0"/>
    <x v="6"/>
    <x v="3"/>
    <n v="128220602298.42999"/>
    <n v="852930"/>
    <s v="act"/>
  </r>
  <r>
    <n v="0.98680128888892704"/>
    <n v="14.7378074021447"/>
    <n v="13.387174598599101"/>
    <n v="0"/>
    <n v="4.93876562186027"/>
    <n v="4.5789245473033899"/>
    <n v="87.308246614253406"/>
    <n v="92.117825713477103"/>
    <n v="61.476725448251599"/>
    <n v="38.204044359234601"/>
    <n v="139097.412955796"/>
    <n v="764.44938576584002"/>
    <n v="0.15490657568991101"/>
    <n v="5.0024569483995897E-2"/>
    <n v="0.61799667485460497"/>
    <n v="8.3209793047896802E-2"/>
    <n v="0.80578337679773204"/>
    <n v="0"/>
    <x v="6"/>
    <x v="4"/>
    <n v="38280303532.5"/>
    <n v="275205"/>
    <s v="act"/>
  </r>
  <r>
    <n v="0.98615114451086305"/>
    <n v="15.4094600525101"/>
    <n v="20.989033159377598"/>
    <n v="0"/>
    <n v="5.0867680332571297"/>
    <n v="4.2553391216397101"/>
    <n v="108.97818505102499"/>
    <n v="8.6858907630623499"/>
    <n v="67.409973566672207"/>
    <n v="63.401149915204101"/>
    <n v="145623.10925142301"/>
    <n v="707.03107077885204"/>
    <n v="9.1228142247742602E-2"/>
    <n v="0.170112636922886"/>
    <n v="0.66445805200423103"/>
    <n v="4.9740499679356301E-2"/>
    <n v="0.85634868634443395"/>
    <n v="0"/>
    <x v="7"/>
    <x v="0"/>
    <n v="6958454652.4700003"/>
    <n v="47784"/>
    <s v="act"/>
  </r>
  <r>
    <n v="0.98120559703552201"/>
    <n v="20.362026116638599"/>
    <n v="18.556830560857801"/>
    <n v="0"/>
    <n v="5.0378896058801601"/>
    <n v="4.2623998268942396"/>
    <n v="109.79437030800899"/>
    <n v="43.445379003402202"/>
    <n v="73.889232073782907"/>
    <n v="55.810245845991403"/>
    <n v="130615.066224503"/>
    <n v="689.16061306826396"/>
    <n v="8.2924730696915694E-2"/>
    <n v="0.113997441551552"/>
    <n v="0.62504374914497896"/>
    <n v="4.5914138998640198E-2"/>
    <n v="0.70121441207156998"/>
    <n v="0"/>
    <x v="7"/>
    <x v="1"/>
    <n v="9022496929.5900002"/>
    <n v="69077"/>
    <s v="act"/>
  </r>
  <r>
    <n v="0.98300990509026598"/>
    <n v="18.5868183992193"/>
    <n v="16.084053653627201"/>
    <n v="0"/>
    <n v="4.9924061674495102"/>
    <n v="4.2903414883744402"/>
    <n v="110.37537627414299"/>
    <n v="64.371383819998599"/>
    <n v="73.273805055953602"/>
    <n v="52.533282515366601"/>
    <n v="132920.323293063"/>
    <n v="705.90555390066299"/>
    <n v="0.14436052164875801"/>
    <n v="0.11581312738263599"/>
    <n v="0.63678349231051201"/>
    <n v="6.9706990870027505E-2"/>
    <n v="0.71491529318730596"/>
    <n v="0"/>
    <x v="7"/>
    <x v="2"/>
    <n v="16855892037.440001"/>
    <n v="126812"/>
    <s v="act"/>
  </r>
  <r>
    <n v="0.98447225440781505"/>
    <n v="17.121521427490901"/>
    <n v="15.5179788446535"/>
    <n v="0"/>
    <n v="4.8935836194265301"/>
    <n v="4.2459133816961003"/>
    <n v="108.385811718291"/>
    <n v="86.4932961522114"/>
    <n v="71.855188942478705"/>
    <n v="46.272185482099403"/>
    <n v="150087.007278117"/>
    <n v="752.40525500797003"/>
    <n v="0.129105899182206"/>
    <n v="5.8312049154565303E-2"/>
    <n v="0.54350847283183201"/>
    <n v="6.7807988917218301E-2"/>
    <n v="0.68362226608701104"/>
    <n v="0"/>
    <x v="7"/>
    <x v="3"/>
    <n v="88995741922.639999"/>
    <n v="592961"/>
    <s v="act"/>
  </r>
  <r>
    <n v="0.98567037845028205"/>
    <n v="15.9030078277135"/>
    <n v="14.906576156612999"/>
    <n v="0"/>
    <n v="5.0075134025547001"/>
    <n v="4.3302943134916703"/>
    <n v="112.448861489308"/>
    <n v="90.166546769070905"/>
    <n v="61.522820166639498"/>
    <n v="39.108666577093501"/>
    <n v="136971.47127286601"/>
    <n v="763.18521671584904"/>
    <n v="0.16051982276952101"/>
    <n v="4.4650297685611698E-2"/>
    <n v="0.64942082812596902"/>
    <n v="9.2006581443121599E-2"/>
    <n v="0.79835783363966795"/>
    <n v="0"/>
    <x v="7"/>
    <x v="4"/>
    <n v="88946123100.759995"/>
    <n v="649377"/>
    <s v="act"/>
  </r>
  <r>
    <n v="0.98623427754647996"/>
    <n v="15.323848066682199"/>
    <n v="33.843847747789603"/>
    <n v="0"/>
    <n v="5.2688034543739803"/>
    <n v="4.2552158605300496"/>
    <n v="134.10764390327799"/>
    <n v="10.095796687110701"/>
    <n v="63.4750911951025"/>
    <n v="59.381990938270903"/>
    <n v="130590.083790349"/>
    <n v="718.92329502101904"/>
    <n v="0.125939802923068"/>
    <n v="0.101902724338762"/>
    <n v="0.60675998663441499"/>
    <n v="7.6358633772053999E-2"/>
    <n v="0.82141464472700898"/>
    <n v="0"/>
    <x v="8"/>
    <x v="0"/>
    <n v="1161076434.98"/>
    <n v="8891"/>
    <s v="act"/>
  </r>
  <r>
    <n v="0.98087415576701797"/>
    <n v="20.684237828026699"/>
    <n v="23.948656548807801"/>
    <n v="0"/>
    <n v="5.2040824689538301"/>
    <n v="4.2353943553350399"/>
    <n v="131.53372971447001"/>
    <n v="34.344203304265598"/>
    <n v="72.929287847566201"/>
    <n v="56.644056673378302"/>
    <n v="118087.034980707"/>
    <n v="681.09112253249896"/>
    <n v="8.4482743673133798E-2"/>
    <n v="0.113168466083168"/>
    <n v="0.66364520759047696"/>
    <n v="2.77550318316186E-2"/>
    <n v="0.76491910308299105"/>
    <n v="0"/>
    <x v="8"/>
    <x v="1"/>
    <n v="1101752036.3699999"/>
    <n v="9330"/>
    <s v="act"/>
  </r>
  <r>
    <n v="0.98215367573256696"/>
    <n v="19.433711699074198"/>
    <n v="20.389260984045901"/>
    <n v="0"/>
    <n v="5.2049040724306197"/>
    <n v="4.2517276664970902"/>
    <n v="134.49036897166499"/>
    <n v="47.766017168095999"/>
    <n v="72.949889439271402"/>
    <n v="53.273789794071497"/>
    <n v="123333.296887067"/>
    <n v="694.34321338808195"/>
    <n v="0.15278453090710001"/>
    <n v="0.145318008349724"/>
    <n v="0.65979333290659303"/>
    <n v="4.9642234361021199E-2"/>
    <n v="0.76143526344927404"/>
    <n v="0"/>
    <x v="8"/>
    <x v="2"/>
    <n v="6394214777.1099997"/>
    <n v="51845"/>
    <s v="act"/>
  </r>
  <r>
    <n v="0.98332311919551496"/>
    <n v="18.274986447681499"/>
    <n v="17.7803242082969"/>
    <n v="0"/>
    <n v="5.1263674902934602"/>
    <n v="4.2474771880903903"/>
    <n v="132.00012087118799"/>
    <n v="79.788131619765494"/>
    <n v="74.956945407871402"/>
    <n v="51.361636355687899"/>
    <n v="132432.68883229"/>
    <n v="714.19175248506599"/>
    <n v="0.15272140351798999"/>
    <n v="7.5496772737984399E-2"/>
    <n v="0.63340708944947799"/>
    <n v="7.6944204862596899E-2"/>
    <n v="0.689608408494221"/>
    <n v="0"/>
    <x v="8"/>
    <x v="3"/>
    <n v="5841870769.7700005"/>
    <n v="44112"/>
    <s v="act"/>
  </r>
  <r>
    <n v="0.98511419456146898"/>
    <n v="16.4706844719441"/>
    <n v="16.624376836497198"/>
    <n v="0"/>
    <n v="5.12167142952622"/>
    <n v="4.2404951002168403"/>
    <n v="133.024154074612"/>
    <n v="90.037305950472103"/>
    <n v="66.5905283304552"/>
    <n v="42.892242624627698"/>
    <n v="135222.80200277999"/>
    <n v="756.68670395113895"/>
    <n v="0.16150140374240499"/>
    <n v="3.8798197561299597E-2"/>
    <n v="0.68364642960784405"/>
    <n v="0.11000481196480399"/>
    <n v="0.74947662879466104"/>
    <n v="0"/>
    <x v="8"/>
    <x v="4"/>
    <n v="41143836296.980003"/>
    <n v="304267"/>
    <s v="act"/>
  </r>
  <r>
    <n v="0.98850387351397395"/>
    <n v="12.955666234736301"/>
    <n v="1.3167046927199999E-4"/>
    <n v="0"/>
    <n v="5.125"/>
    <n v="4.2685719170557803"/>
    <n v="132.165004501487"/>
    <n v="87.172080246618904"/>
    <n v="71.914837131754396"/>
    <n v="50.223292241148002"/>
    <n v="136704.82500000001"/>
    <n v="777.20280721620395"/>
    <n v="0"/>
    <n v="0"/>
    <n v="1"/>
    <n v="0"/>
    <n v="0.37137844256777303"/>
    <n v="0"/>
    <x v="8"/>
    <x v="5"/>
    <n v="273409.65000000002"/>
    <n v="2"/>
    <s v="act"/>
  </r>
  <r>
    <n v="0.98663101717017498"/>
    <n v="14.9141829768354"/>
    <n v="43.147922150603002"/>
    <n v="0"/>
    <n v="5.4438749976197904"/>
    <n v="4.2421690929419897"/>
    <n v="158.342136390815"/>
    <n v="14.9047183851913"/>
    <n v="58.336084082503397"/>
    <n v="53.078604551954101"/>
    <n v="103297.489154501"/>
    <n v="724.56341804300303"/>
    <n v="0.111383690305904"/>
    <n v="3.4963805811190199E-2"/>
    <n v="0.63709609100626596"/>
    <n v="8.6323530717819202E-2"/>
    <n v="0.81054950737919296"/>
    <n v="0"/>
    <x v="9"/>
    <x v="0"/>
    <n v="169821072.16999999"/>
    <n v="1644"/>
    <s v="act"/>
  </r>
  <r>
    <n v="0.98244148294804501"/>
    <n v="19.1499479543604"/>
    <n v="38.1924917057733"/>
    <n v="0"/>
    <n v="5.4010891663392204"/>
    <n v="4.25175899914385"/>
    <n v="156.734508669869"/>
    <n v="39.414969592684699"/>
    <n v="65.592163938151003"/>
    <n v="51.813284763640901"/>
    <n v="89620.580938123705"/>
    <n v="709.20697171581503"/>
    <n v="9.2518900880985105E-2"/>
    <n v="0.16588032639320699"/>
    <n v="0.769446274882987"/>
    <n v="1.36176133916862E-2"/>
    <n v="0.86306569331165695"/>
    <n v="0"/>
    <x v="9"/>
    <x v="1"/>
    <n v="44899911.049999997"/>
    <n v="501"/>
    <s v="act"/>
  </r>
  <r>
    <n v="0.981687984123915"/>
    <n v="19.890927582653699"/>
    <n v="19.004656578162798"/>
    <n v="0"/>
    <n v="5.3805341122592196"/>
    <n v="4.2286828342587501"/>
    <n v="156.22821455225599"/>
    <n v="51.514783485275899"/>
    <n v="74.703396700963694"/>
    <n v="52.679859527010201"/>
    <n v="116098.935796052"/>
    <n v="688.23112389077903"/>
    <n v="0.113079240153384"/>
    <n v="0.116696132326922"/>
    <n v="0.63465038294524301"/>
    <n v="4.1143323093907197E-2"/>
    <n v="0.761013845643425"/>
    <n v="0"/>
    <x v="9"/>
    <x v="2"/>
    <n v="705881529.63999999"/>
    <n v="6080"/>
    <s v="act"/>
  </r>
  <r>
    <n v="0.98420157940298003"/>
    <n v="17.394551859646999"/>
    <n v="14.6701800671109"/>
    <n v="0"/>
    <n v="5.3962829400567003"/>
    <n v="4.2501571386986496"/>
    <n v="158.74793325121399"/>
    <n v="50.5458584209984"/>
    <n v="66.711244429594799"/>
    <n v="48.258505699110998"/>
    <n v="92783.734925860699"/>
    <n v="713.82822777408603"/>
    <n v="0.227871641820694"/>
    <n v="8.9210384361049194E-2"/>
    <n v="0.76462181485879499"/>
    <n v="5.8620087470571701E-2"/>
    <n v="0.88525035193794699"/>
    <n v="0"/>
    <x v="9"/>
    <x v="3"/>
    <n v="738372962.53999996"/>
    <n v="7958"/>
    <s v="act"/>
  </r>
  <r>
    <n v="0.98472734526613404"/>
    <n v="16.863453847441601"/>
    <n v="16.420308642561299"/>
    <n v="0"/>
    <n v="5.3463583052534496"/>
    <n v="4.2318458048076399"/>
    <n v="156.72057313100001"/>
    <n v="88.084377687589594"/>
    <n v="68.141102366781595"/>
    <n v="44.974352935613197"/>
    <n v="126570.908833102"/>
    <n v="740.282316796955"/>
    <n v="0.212467121684184"/>
    <n v="2.79433385344398E-2"/>
    <n v="0.71995075344520398"/>
    <n v="0.21831259924914601"/>
    <n v="0.79821479710850696"/>
    <n v="0"/>
    <x v="9"/>
    <x v="4"/>
    <n v="2372191973.3499999"/>
    <n v="18742"/>
    <s v="act"/>
  </r>
  <r>
    <n v="0.98492339762375802"/>
    <n v="16.664613319303601"/>
    <n v="41.283072593580002"/>
    <n v="0"/>
    <n v="5.6326415029374903"/>
    <n v="4.2461035336789097"/>
    <n v="182.15171453175401"/>
    <n v="34.026303168544203"/>
    <n v="55.491247069495401"/>
    <n v="42.8705074296672"/>
    <n v="94084.563419354803"/>
    <n v="727.80423015510996"/>
    <n v="5.9944629098467997E-2"/>
    <n v="4.38186029588798E-2"/>
    <n v="0.722181384370295"/>
    <n v="3.71612577303852E-2"/>
    <n v="0.83103029181367205"/>
    <n v="0"/>
    <x v="10"/>
    <x v="0"/>
    <n v="14583107.33"/>
    <n v="155"/>
    <s v="act"/>
  </r>
  <r>
    <n v="0.98265484492939004"/>
    <n v="18.938992524487698"/>
    <n v="24.874315199201501"/>
    <n v="0"/>
    <n v="5.6574445913390301"/>
    <n v="4.34595121773771"/>
    <n v="184.05808441717201"/>
    <n v="66.922779602365296"/>
    <n v="64.332429765777306"/>
    <n v="38.0888615768337"/>
    <n v="119746.433488372"/>
    <n v="732.31916476906497"/>
    <n v="0.21341125382334999"/>
    <n v="0.24941972151448999"/>
    <n v="0.725831108114529"/>
    <n v="0.108058247669633"/>
    <n v="0.97974615990116598"/>
    <n v="0"/>
    <x v="10"/>
    <x v="1"/>
    <n v="5149096.6399999997"/>
    <n v="43"/>
    <s v="act"/>
  </r>
  <r>
    <n v="0.98338711360322095"/>
    <n v="18.211139891372301"/>
    <n v="20.118393519433798"/>
    <n v="0"/>
    <n v="5.6215651936878501"/>
    <n v="4.2561916166635498"/>
    <n v="182.39360014073901"/>
    <n v="72.905397680305995"/>
    <n v="71.704204248062695"/>
    <n v="42.932737549421098"/>
    <n v="93422.969896907205"/>
    <n v="714.76736479887404"/>
    <n v="6.4921657139689601E-2"/>
    <n v="0.11119845067838199"/>
    <n v="0.60598367457276703"/>
    <n v="3.1535023669889098E-2"/>
    <n v="0.78475622037578097"/>
    <n v="0"/>
    <x v="10"/>
    <x v="2"/>
    <n v="36248112.32"/>
    <n v="388"/>
    <s v="act"/>
  </r>
  <r>
    <n v="0.98386193655100096"/>
    <n v="17.7359838618287"/>
    <n v="13.6364791528792"/>
    <n v="0"/>
    <n v="5.5484370517799304"/>
    <n v="4.2502323595030704"/>
    <n v="182.74385073456901"/>
    <n v="54.027598307785397"/>
    <n v="70.582166524316406"/>
    <n v="49.382274413280399"/>
    <n v="94189.162651933701"/>
    <n v="705.36635601865703"/>
    <n v="0.16113354504834401"/>
    <n v="5.5810595623430603E-2"/>
    <n v="0.757210452100332"/>
    <n v="6.6433781647648002E-2"/>
    <n v="0.87741130993159999"/>
    <n v="0"/>
    <x v="10"/>
    <x v="3"/>
    <n v="102289430.64"/>
    <n v="1086"/>
    <s v="act"/>
  </r>
  <r>
    <n v="0.98468041177858701"/>
    <n v="16.910990238943501"/>
    <n v="10.152792210903501"/>
    <n v="0"/>
    <n v="5.4954718012674704"/>
    <n v="4.2596412373910404"/>
    <n v="182.02142921744601"/>
    <n v="81.399551008418896"/>
    <n v="69.156210815859794"/>
    <n v="46.078694330495097"/>
    <n v="99887.724191449801"/>
    <n v="725.08566935575698"/>
    <n v="0.19522709056395601"/>
    <n v="3.03296924055203E-2"/>
    <n v="0.73818941715160802"/>
    <n v="0.176173788649749"/>
    <n v="0.84371283587300205"/>
    <n v="0"/>
    <x v="10"/>
    <x v="4"/>
    <n v="107479191.23"/>
    <n v="1076"/>
    <s v="act"/>
  </r>
  <r>
    <n v="0.97931134732737501"/>
    <n v="22.1874871108752"/>
    <n v="1.45776474697706"/>
    <n v="0"/>
    <n v="5.9382316831216899"/>
    <n v="4.2752365834870103"/>
    <n v="207.59759561684299"/>
    <n v="64.253183799995398"/>
    <n v="63.253635542344199"/>
    <n v="30.864359717122198"/>
    <n v="135295.20000000001"/>
    <n v="761.33633403106603"/>
    <n v="0"/>
    <n v="0"/>
    <n v="0.46039517398146501"/>
    <n v="0"/>
    <n v="1"/>
    <n v="0"/>
    <x v="11"/>
    <x v="0"/>
    <n v="947066.4"/>
    <n v="7"/>
    <s v="act"/>
  </r>
  <r>
    <n v="0.97975307947282197"/>
    <n v="21.765259520842498"/>
    <n v="0.266731905501494"/>
    <n v="0"/>
    <n v="5.90583909083196"/>
    <n v="4.2468892041425104"/>
    <n v="211.712128955688"/>
    <n v="78.3790068667643"/>
    <n v="65.592442597982796"/>
    <n v="29.496142583150299"/>
    <n v="220311.24076923"/>
    <n v="774.10954407357895"/>
    <n v="0"/>
    <n v="0"/>
    <n v="0.70678376608410198"/>
    <n v="0"/>
    <n v="1"/>
    <n v="0"/>
    <x v="11"/>
    <x v="1"/>
    <n v="2864046.13"/>
    <n v="13"/>
    <s v="act"/>
  </r>
  <r>
    <n v="0.98261462944497402"/>
    <n v="18.978792957316401"/>
    <n v="52.1774270646209"/>
    <n v="0"/>
    <n v="5.87590372778042"/>
    <n v="4.3255139738055597"/>
    <n v="210.543398748584"/>
    <n v="71.270581808844895"/>
    <n v="73.356873023827205"/>
    <n v="45.133089672640203"/>
    <n v="116516.17724999999"/>
    <n v="714.247823393982"/>
    <n v="0.118920495222477"/>
    <n v="0"/>
    <n v="0.61059723361289697"/>
    <n v="0.132552044398624"/>
    <n v="0.66451405570808797"/>
    <n v="0"/>
    <x v="11"/>
    <x v="2"/>
    <n v="4660647.09"/>
    <n v="40"/>
    <s v="act"/>
  </r>
  <r>
    <n v="0.98315229243500202"/>
    <n v="18.445194845642899"/>
    <n v="13.992031492425699"/>
    <n v="0"/>
    <n v="5.6155638647318602"/>
    <n v="4.27422718539973"/>
    <n v="209.680316440762"/>
    <n v="63.607255988470698"/>
    <n v="74.452387761132599"/>
    <n v="48.740329108671403"/>
    <n v="111853.406142131"/>
    <n v="694.33381830064195"/>
    <n v="9.52178964230702E-2"/>
    <n v="4.1448393207621399E-2"/>
    <n v="0.73420249485618705"/>
    <n v="1.7079424244105801E-2"/>
    <n v="0.85229694320612204"/>
    <n v="0"/>
    <x v="11"/>
    <x v="3"/>
    <n v="22035121.010000002"/>
    <n v="197"/>
    <s v="act"/>
  </r>
  <r>
    <n v="0.98355540611491998"/>
    <n v="18.043017910145799"/>
    <n v="7.0944412060642303"/>
    <n v="0"/>
    <n v="5.3844470056819498"/>
    <n v="4.2944594602452399"/>
    <n v="211.45110415584699"/>
    <n v="67.891470325217"/>
    <n v="73.781730786400701"/>
    <n v="51.318171321920303"/>
    <n v="109443.68668316799"/>
    <n v="693.38890336174802"/>
    <n v="0.19360101531233201"/>
    <n v="4.6184378167870499E-3"/>
    <n v="0.83586798954666996"/>
    <n v="8.1510710609489001E-2"/>
    <n v="0.90068067018494202"/>
    <n v="0"/>
    <x v="11"/>
    <x v="4"/>
    <n v="22107624.710000001"/>
    <n v="202"/>
    <s v="act"/>
  </r>
  <r>
    <n v="0.98121549462771795"/>
    <n v="20.352385716018201"/>
    <n v="0.334347541879365"/>
    <n v="0"/>
    <n v="6"/>
    <n v="4.2036729130116903"/>
    <n v="227.680687465738"/>
    <n v="76.499312534261094"/>
    <n v="72"/>
    <n v="32.245103119860801"/>
    <n v="168284.75"/>
    <n v="734"/>
    <n v="0"/>
    <n v="0"/>
    <n v="0"/>
    <n v="0"/>
    <n v="1"/>
    <n v="0"/>
    <x v="12"/>
    <x v="1"/>
    <n v="336569.5"/>
    <n v="2"/>
    <s v="act"/>
  </r>
  <r>
    <n v="0.98245229446556603"/>
    <n v="19.1392704981088"/>
    <n v="0.35847492701651701"/>
    <n v="0"/>
    <n v="6.0073544326335897"/>
    <n v="4.2772202235977197"/>
    <n v="232.32591728408499"/>
    <n v="80.690801947878199"/>
    <n v="75.671462789651898"/>
    <n v="44.3965589987451"/>
    <n v="138497.10875000001"/>
    <n v="727.18050419229405"/>
    <n v="0"/>
    <n v="0"/>
    <n v="0.53475898824494394"/>
    <n v="0"/>
    <n v="0.50129861465429304"/>
    <n v="0"/>
    <x v="12"/>
    <x v="2"/>
    <n v="1107976.8700000001"/>
    <n v="8"/>
    <s v="act"/>
  </r>
  <r>
    <n v="0.98369734782325502"/>
    <n v="17.900973828111901"/>
    <n v="24.672204731671599"/>
    <n v="0"/>
    <n v="5.8510627179282704"/>
    <n v="4.2372647287574798"/>
    <n v="235.49606820415701"/>
    <n v="74.546732657168107"/>
    <n v="76.347681264096806"/>
    <n v="46.242285575124001"/>
    <n v="122064.119565217"/>
    <n v="710.39797562916601"/>
    <n v="0"/>
    <n v="5.5047595708563303E-2"/>
    <n v="0.56492897042083801"/>
    <n v="0"/>
    <n v="0.65105716266904901"/>
    <n v="0"/>
    <x v="12"/>
    <x v="3"/>
    <n v="5614949.5"/>
    <n v="46"/>
    <s v="act"/>
  </r>
  <r>
    <n v="0.98338571287725696"/>
    <n v="18.212537870428299"/>
    <n v="25.036345604294599"/>
    <n v="0"/>
    <n v="5.2971927099096199"/>
    <n v="4.2438812712768801"/>
    <n v="233.75961390507999"/>
    <n v="56.042045040316097"/>
    <n v="75.269810068317696"/>
    <n v="53.929300864367001"/>
    <n v="119886.104512195"/>
    <n v="702.45781135946504"/>
    <n v="0.15832263955381301"/>
    <n v="4.17028161109625E-2"/>
    <n v="0.90744615038620902"/>
    <n v="0"/>
    <n v="1"/>
    <n v="0"/>
    <x v="12"/>
    <x v="4"/>
    <n v="9830660.5700000003"/>
    <n v="82"/>
    <s v="ac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2">
  <location ref="A47:C54" firstHeaderRow="1" firstDataRow="2" firstDataCol="1" rowPageCount="1" colPageCount="1"/>
  <pivotFields count="23">
    <pivotField showAll="0" defaultSubtotal="0"/>
    <pivotField showAll="0" defaultSubtotal="0"/>
    <pivotField dataField="1"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axis="axisRow" showAll="0" defaultSubtotal="0">
      <items count="19">
        <item x="0"/>
        <item x="1"/>
        <item x="2"/>
        <item x="3"/>
        <item x="4"/>
        <item x="5"/>
        <item x="6"/>
        <item x="7"/>
        <item x="8"/>
        <item x="9"/>
        <item x="10"/>
        <item x="11"/>
        <item x="12"/>
        <item x="13"/>
        <item x="14"/>
        <item x="15"/>
        <item h="1" x="16"/>
        <item h="1" x="17"/>
        <item h="1" x="18"/>
      </items>
    </pivotField>
    <pivotField axis="axisPage" showAll="0" defaultSubtotal="0">
      <items count="6">
        <item x="0"/>
        <item x="1"/>
        <item x="2"/>
        <item x="3"/>
        <item x="4"/>
        <item x="5"/>
      </items>
    </pivotField>
    <pivotField showAll="0" defaultSubtotal="0"/>
    <pivotField showAll="0" defaultSubtotal="0"/>
    <pivotField axis="axisCol" showAll="0" defaultSubtotal="0">
      <items count="2">
        <item x="0"/>
        <item x="1"/>
      </items>
    </pivotField>
  </pivotFields>
  <rowFields count="1">
    <field x="18"/>
  </rowFields>
  <rowItems count="6">
    <i>
      <x v="10"/>
    </i>
    <i>
      <x v="11"/>
    </i>
    <i>
      <x v="12"/>
    </i>
    <i>
      <x v="13"/>
    </i>
    <i>
      <x v="14"/>
    </i>
    <i>
      <x v="15"/>
    </i>
  </rowItems>
  <colFields count="1">
    <field x="22"/>
  </colFields>
  <colItems count="2">
    <i>
      <x/>
    </i>
    <i>
      <x v="1"/>
    </i>
  </colItems>
  <pageFields count="1">
    <pageField fld="19" item="4" hier="-1"/>
  </pageFields>
  <dataFields count="1">
    <dataField name="Average of PREPAY_CPR1" fld="2" subtotal="average" baseField="0" baseItem="0" numFmtId="43"/>
  </dataFields>
  <formats count="1">
    <format dxfId="5">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9" count="1" selected="0">
            <x v="0"/>
          </reference>
        </references>
      </pivotArea>
    </chartFormat>
    <chartFormat chart="0" format="2" series="1">
      <pivotArea type="data" outline="0" fieldPosition="0">
        <references count="2">
          <reference field="4294967294" count="1" selected="0">
            <x v="0"/>
          </reference>
          <reference field="19" count="1" selected="0">
            <x v="1"/>
          </reference>
        </references>
      </pivotArea>
    </chartFormat>
    <chartFormat chart="0" format="3" series="1">
      <pivotArea type="data" outline="0" fieldPosition="0">
        <references count="2">
          <reference field="4294967294" count="1" selected="0">
            <x v="0"/>
          </reference>
          <reference field="19" count="1" selected="0">
            <x v="2"/>
          </reference>
        </references>
      </pivotArea>
    </chartFormat>
    <chartFormat chart="0" format="4" series="1">
      <pivotArea type="data" outline="0" fieldPosition="0">
        <references count="2">
          <reference field="4294967294" count="1" selected="0">
            <x v="0"/>
          </reference>
          <reference field="19" count="1" selected="0">
            <x v="3"/>
          </reference>
        </references>
      </pivotArea>
    </chartFormat>
    <chartFormat chart="0" format="5" series="1">
      <pivotArea type="data" outline="0" fieldPosition="0">
        <references count="2">
          <reference field="4294967294" count="1" selected="0">
            <x v="0"/>
          </reference>
          <reference field="19" count="1" selected="0">
            <x v="4"/>
          </reference>
        </references>
      </pivotArea>
    </chartFormat>
    <chartFormat chart="0" format="6" series="1">
      <pivotArea type="data" outline="0" fieldPosition="0">
        <references count="2">
          <reference field="4294967294" count="1" selected="0">
            <x v="0"/>
          </reference>
          <reference field="19" count="1" selected="0">
            <x v="5"/>
          </reference>
        </references>
      </pivotArea>
    </chartFormat>
    <chartFormat chart="1" format="0" series="1">
      <pivotArea type="data" outline="0" fieldPosition="0">
        <references count="2">
          <reference field="4294967294" count="1" selected="0">
            <x v="0"/>
          </reference>
          <reference field="19" count="1" selected="0">
            <x v="0"/>
          </reference>
        </references>
      </pivotArea>
    </chartFormat>
    <chartFormat chart="1" format="1" series="1">
      <pivotArea type="data" outline="0" fieldPosition="0">
        <references count="2">
          <reference field="4294967294" count="1" selected="0">
            <x v="0"/>
          </reference>
          <reference field="19" count="1" selected="0">
            <x v="1"/>
          </reference>
        </references>
      </pivotArea>
    </chartFormat>
    <chartFormat chart="1" format="2" series="1">
      <pivotArea type="data" outline="0" fieldPosition="0">
        <references count="2">
          <reference field="4294967294" count="1" selected="0">
            <x v="0"/>
          </reference>
          <reference field="19" count="1" selected="0">
            <x v="2"/>
          </reference>
        </references>
      </pivotArea>
    </chartFormat>
    <chartFormat chart="1" format="3" series="1">
      <pivotArea type="data" outline="0" fieldPosition="0">
        <references count="2">
          <reference field="4294967294" count="1" selected="0">
            <x v="0"/>
          </reference>
          <reference field="19" count="1" selected="0">
            <x v="3"/>
          </reference>
        </references>
      </pivotArea>
    </chartFormat>
    <chartFormat chart="1" format="4" series="1">
      <pivotArea type="data" outline="0" fieldPosition="0">
        <references count="2">
          <reference field="4294967294" count="1" selected="0">
            <x v="0"/>
          </reference>
          <reference field="19" count="1" selected="0">
            <x v="4"/>
          </reference>
        </references>
      </pivotArea>
    </chartFormat>
    <chartFormat chart="1" format="5" series="1">
      <pivotArea type="data" outline="0" fieldPosition="0">
        <references count="1">
          <reference field="4294967294" count="1" selected="0">
            <x v="0"/>
          </reference>
        </references>
      </pivotArea>
    </chartFormat>
    <chartFormat chart="1" format="6" series="1">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5"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1">
  <location ref="A24:F36" firstHeaderRow="1" firstDataRow="2" firstDataCol="1"/>
  <pivotFields count="23">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axis="axisRow" showAll="0" defaultSubtotal="0">
      <items count="19">
        <item m="1" x="15"/>
        <item m="1" x="14"/>
        <item m="1" x="18"/>
        <item m="1" x="17"/>
        <item m="1" x="16"/>
        <item x="0"/>
        <item x="1"/>
        <item x="2"/>
        <item x="3"/>
        <item x="4"/>
        <item x="5"/>
        <item x="6"/>
        <item x="7"/>
        <item x="8"/>
        <item x="9"/>
        <item x="10"/>
        <item h="1" x="11"/>
        <item h="1" x="12"/>
        <item h="1" m="1" x="13"/>
      </items>
    </pivotField>
    <pivotField axis="axisCol" showAll="0" defaultSubtotal="0">
      <items count="6">
        <item x="0"/>
        <item x="1"/>
        <item x="2"/>
        <item x="3"/>
        <item x="4"/>
        <item h="1" x="5"/>
      </items>
    </pivotField>
    <pivotField dataField="1" showAll="0" defaultSubtotal="0"/>
    <pivotField showAll="0" defaultSubtotal="0"/>
    <pivotField showAll="0" defaultSubtotal="0"/>
  </pivotFields>
  <rowFields count="1">
    <field x="18"/>
  </rowFields>
  <rowItems count="11">
    <i>
      <x v="5"/>
    </i>
    <i>
      <x v="6"/>
    </i>
    <i>
      <x v="7"/>
    </i>
    <i>
      <x v="8"/>
    </i>
    <i>
      <x v="9"/>
    </i>
    <i>
      <x v="10"/>
    </i>
    <i>
      <x v="11"/>
    </i>
    <i>
      <x v="12"/>
    </i>
    <i>
      <x v="13"/>
    </i>
    <i>
      <x v="14"/>
    </i>
    <i>
      <x v="15"/>
    </i>
  </rowItems>
  <colFields count="1">
    <field x="19"/>
  </colFields>
  <colItems count="5">
    <i>
      <x/>
    </i>
    <i>
      <x v="1"/>
    </i>
    <i>
      <x v="2"/>
    </i>
    <i>
      <x v="3"/>
    </i>
    <i>
      <x v="4"/>
    </i>
  </colItems>
  <dataFields count="1">
    <dataField name="Sum of Balance" fld="20" baseField="0" baseItem="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1">
  <location ref="A3:F20" firstHeaderRow="1" firstDataRow="2" firstDataCol="1" rowPageCount="1" colPageCount="1"/>
  <pivotFields count="23">
    <pivotField showAll="0" defaultSubtotal="0"/>
    <pivotField showAll="0" defaultSubtotal="0"/>
    <pivotField dataField="1"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axis="axisRow" showAll="0" defaultSubtotal="0">
      <items count="19">
        <item x="0"/>
        <item x="1"/>
        <item x="2"/>
        <item x="3"/>
        <item x="4"/>
        <item x="5"/>
        <item x="6"/>
        <item x="7"/>
        <item x="8"/>
        <item x="9"/>
        <item x="10"/>
        <item x="11"/>
        <item x="12"/>
        <item x="13"/>
        <item x="14"/>
        <item x="15"/>
        <item h="1" x="16"/>
        <item h="1" x="17"/>
        <item h="1" x="18"/>
      </items>
    </pivotField>
    <pivotField axis="axisCol" showAll="0" defaultSubtotal="0">
      <items count="6">
        <item x="0"/>
        <item x="1"/>
        <item x="2"/>
        <item x="3"/>
        <item x="4"/>
        <item h="1" x="5"/>
      </items>
    </pivotField>
    <pivotField showAll="0" defaultSubtotal="0"/>
    <pivotField showAll="0" defaultSubtotal="0"/>
    <pivotField axis="axisPage" showAll="0" defaultSubtotal="0">
      <items count="2">
        <item x="0"/>
        <item x="1"/>
      </items>
    </pivotField>
  </pivotFields>
  <rowFields count="1">
    <field x="18"/>
  </rowFields>
  <rowItems count="16">
    <i>
      <x/>
    </i>
    <i>
      <x v="1"/>
    </i>
    <i>
      <x v="2"/>
    </i>
    <i>
      <x v="3"/>
    </i>
    <i>
      <x v="4"/>
    </i>
    <i>
      <x v="5"/>
    </i>
    <i>
      <x v="6"/>
    </i>
    <i>
      <x v="7"/>
    </i>
    <i>
      <x v="8"/>
    </i>
    <i>
      <x v="9"/>
    </i>
    <i>
      <x v="10"/>
    </i>
    <i>
      <x v="11"/>
    </i>
    <i>
      <x v="12"/>
    </i>
    <i>
      <x v="13"/>
    </i>
    <i>
      <x v="14"/>
    </i>
    <i>
      <x v="15"/>
    </i>
  </rowItems>
  <colFields count="1">
    <field x="19"/>
  </colFields>
  <colItems count="5">
    <i>
      <x/>
    </i>
    <i>
      <x v="1"/>
    </i>
    <i>
      <x v="2"/>
    </i>
    <i>
      <x v="3"/>
    </i>
    <i>
      <x v="4"/>
    </i>
  </colItems>
  <pageFields count="1">
    <pageField fld="22" item="0" hier="-1"/>
  </pageFields>
  <dataFields count="1">
    <dataField name="Average of PREPAY_CPR1" fld="2" subtotal="average" baseField="0" baseItem="0" numFmtId="43"/>
  </dataFields>
  <formats count="5">
    <format dxfId="11">
      <pivotArea outline="0" collapsedLevelsAreSubtotals="1" fieldPosition="0"/>
    </format>
    <format dxfId="10">
      <pivotArea collapsedLevelsAreSubtotals="1" fieldPosition="0">
        <references count="2">
          <reference field="18" count="1">
            <x v="12"/>
          </reference>
          <reference field="19" count="2" selected="0">
            <x v="3"/>
            <x v="4"/>
          </reference>
        </references>
      </pivotArea>
    </format>
    <format dxfId="9">
      <pivotArea collapsedLevelsAreSubtotals="1" fieldPosition="0">
        <references count="2">
          <reference field="18" count="1">
            <x v="13"/>
          </reference>
          <reference field="19" count="1" selected="0">
            <x v="4"/>
          </reference>
        </references>
      </pivotArea>
    </format>
    <format dxfId="8">
      <pivotArea collapsedLevelsAreSubtotals="1" fieldPosition="0">
        <references count="2">
          <reference field="18" count="1">
            <x v="11"/>
          </reference>
          <reference field="19" count="1" selected="0">
            <x v="3"/>
          </reference>
        </references>
      </pivotArea>
    </format>
    <format dxfId="7">
      <pivotArea collapsedLevelsAreSubtotals="1" fieldPosition="0">
        <references count="2">
          <reference field="18" count="3">
            <x v="9"/>
            <x v="10"/>
            <x v="11"/>
          </reference>
          <reference field="19" count="1" selected="0">
            <x v="2"/>
          </reference>
        </references>
      </pivotArea>
    </format>
  </format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9" count="1" selected="0">
            <x v="0"/>
          </reference>
        </references>
      </pivotArea>
    </chartFormat>
    <chartFormat chart="0" format="2" series="1">
      <pivotArea type="data" outline="0" fieldPosition="0">
        <references count="2">
          <reference field="4294967294" count="1" selected="0">
            <x v="0"/>
          </reference>
          <reference field="19" count="1" selected="0">
            <x v="1"/>
          </reference>
        </references>
      </pivotArea>
    </chartFormat>
    <chartFormat chart="0" format="3" series="1">
      <pivotArea type="data" outline="0" fieldPosition="0">
        <references count="2">
          <reference field="4294967294" count="1" selected="0">
            <x v="0"/>
          </reference>
          <reference field="19" count="1" selected="0">
            <x v="2"/>
          </reference>
        </references>
      </pivotArea>
    </chartFormat>
    <chartFormat chart="0" format="4" series="1">
      <pivotArea type="data" outline="0" fieldPosition="0">
        <references count="2">
          <reference field="4294967294" count="1" selected="0">
            <x v="0"/>
          </reference>
          <reference field="19" count="1" selected="0">
            <x v="3"/>
          </reference>
        </references>
      </pivotArea>
    </chartFormat>
    <chartFormat chart="0" format="5" series="1">
      <pivotArea type="data" outline="0" fieldPosition="0">
        <references count="2">
          <reference field="4294967294" count="1" selected="0">
            <x v="0"/>
          </reference>
          <reference field="19" count="1" selected="0">
            <x v="4"/>
          </reference>
        </references>
      </pivotArea>
    </chartFormat>
    <chartFormat chart="0" format="6" series="1">
      <pivotArea type="data" outline="0" fieldPosition="0">
        <references count="2">
          <reference field="4294967294" count="1" selected="0">
            <x v="0"/>
          </reference>
          <reference field="1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9"/>
  <sheetViews>
    <sheetView tabSelected="1" workbookViewId="0">
      <selection activeCell="U156" sqref="U156"/>
    </sheetView>
  </sheetViews>
  <sheetFormatPr defaultRowHeight="15" x14ac:dyDescent="0.25"/>
  <cols>
    <col min="1" max="1" width="23.7109375" customWidth="1"/>
    <col min="2" max="2" width="16.28515625" customWidth="1"/>
    <col min="3" max="3" width="14.5703125" bestFit="1" customWidth="1"/>
    <col min="4" max="4" width="14.5703125" customWidth="1"/>
    <col min="5" max="5" width="15.5703125" bestFit="1" customWidth="1"/>
    <col min="6" max="6" width="14.5703125" customWidth="1"/>
    <col min="7" max="9" width="7" customWidth="1"/>
    <col min="10" max="10" width="7.85546875" customWidth="1"/>
    <col min="11" max="11" width="7" customWidth="1"/>
    <col min="12" max="12" width="7.85546875" customWidth="1"/>
    <col min="13" max="13" width="6" customWidth="1"/>
  </cols>
  <sheetData>
    <row r="1" spans="1:6" x14ac:dyDescent="0.25">
      <c r="A1" s="1" t="s">
        <v>27</v>
      </c>
      <c r="B1" t="s">
        <v>28</v>
      </c>
    </row>
    <row r="3" spans="1:6" x14ac:dyDescent="0.25">
      <c r="A3" s="1" t="s">
        <v>23</v>
      </c>
      <c r="B3" s="1" t="s">
        <v>20</v>
      </c>
    </row>
    <row r="4" spans="1:6" x14ac:dyDescent="0.25">
      <c r="A4" s="1" t="s">
        <v>21</v>
      </c>
      <c r="B4">
        <v>2000</v>
      </c>
      <c r="C4">
        <v>4000</v>
      </c>
      <c r="D4">
        <v>6000</v>
      </c>
      <c r="E4">
        <v>8000</v>
      </c>
      <c r="F4">
        <v>10000</v>
      </c>
    </row>
    <row r="5" spans="1:6" x14ac:dyDescent="0.25">
      <c r="A5" s="2">
        <v>-200</v>
      </c>
      <c r="B5" s="3">
        <v>0</v>
      </c>
      <c r="C5" s="3"/>
      <c r="D5" s="3"/>
      <c r="E5" s="3"/>
      <c r="F5" s="3"/>
    </row>
    <row r="6" spans="1:6" x14ac:dyDescent="0.25">
      <c r="A6" s="2">
        <v>-150</v>
      </c>
      <c r="B6" s="3">
        <v>0.148035649086908</v>
      </c>
      <c r="C6" s="3"/>
      <c r="D6" s="3"/>
      <c r="E6" s="3"/>
      <c r="F6" s="3"/>
    </row>
    <row r="7" spans="1:6" x14ac:dyDescent="0.25">
      <c r="A7" s="2">
        <v>-125</v>
      </c>
      <c r="B7" s="3">
        <v>8.9267611333350203</v>
      </c>
      <c r="C7" s="3"/>
      <c r="D7" s="3"/>
      <c r="E7" s="3"/>
      <c r="F7" s="3"/>
    </row>
    <row r="8" spans="1:6" x14ac:dyDescent="0.25">
      <c r="A8" s="2">
        <v>-100</v>
      </c>
      <c r="B8" s="3">
        <v>3.8381918488139601</v>
      </c>
      <c r="C8" s="3"/>
      <c r="D8" s="3"/>
      <c r="E8" s="3"/>
      <c r="F8" s="3"/>
    </row>
    <row r="9" spans="1:6" x14ac:dyDescent="0.25">
      <c r="A9" s="2">
        <v>-75</v>
      </c>
      <c r="B9" s="3">
        <v>3.7050725365195398</v>
      </c>
      <c r="C9" s="3"/>
      <c r="D9" s="3"/>
      <c r="E9" s="3"/>
      <c r="F9" s="3"/>
    </row>
    <row r="10" spans="1:6" x14ac:dyDescent="0.25">
      <c r="A10" s="2">
        <v>-50</v>
      </c>
      <c r="B10" s="3">
        <v>4.1745512199787598</v>
      </c>
      <c r="C10" s="3">
        <v>0</v>
      </c>
      <c r="D10" s="3"/>
      <c r="E10" s="3"/>
      <c r="F10" s="3"/>
    </row>
    <row r="11" spans="1:6" x14ac:dyDescent="0.25">
      <c r="A11" s="2">
        <v>-25</v>
      </c>
      <c r="B11" s="3">
        <v>5.5056201904765096</v>
      </c>
      <c r="C11" s="3">
        <v>0</v>
      </c>
      <c r="D11" s="3"/>
      <c r="E11" s="3"/>
      <c r="F11" s="3"/>
    </row>
    <row r="12" spans="1:6" x14ac:dyDescent="0.25">
      <c r="A12" s="2">
        <v>0</v>
      </c>
      <c r="B12" s="3">
        <v>6.5575639565676802</v>
      </c>
      <c r="C12" s="3">
        <v>0</v>
      </c>
      <c r="D12" s="3"/>
      <c r="E12" s="3"/>
      <c r="F12" s="3"/>
    </row>
    <row r="13" spans="1:6" x14ac:dyDescent="0.25">
      <c r="A13" s="2">
        <v>25</v>
      </c>
      <c r="B13" s="3">
        <v>8.56333857840694</v>
      </c>
      <c r="C13" s="3">
        <v>10.129544373794801</v>
      </c>
      <c r="D13" s="3">
        <v>8.4794015595295207</v>
      </c>
      <c r="E13" s="3"/>
      <c r="F13" s="3"/>
    </row>
    <row r="14" spans="1:6" x14ac:dyDescent="0.25">
      <c r="A14" s="2">
        <v>50</v>
      </c>
      <c r="B14" s="3">
        <v>11.787777985540099</v>
      </c>
      <c r="C14" s="3">
        <v>12.1714435618736</v>
      </c>
      <c r="D14" s="7">
        <v>11.5195355064049</v>
      </c>
      <c r="E14" s="3">
        <v>5.8180147767477104</v>
      </c>
      <c r="F14" s="3"/>
    </row>
    <row r="15" spans="1:6" x14ac:dyDescent="0.25">
      <c r="A15" s="2">
        <v>75</v>
      </c>
      <c r="B15" s="3">
        <v>14.811676300351399</v>
      </c>
      <c r="C15" s="3">
        <v>14.406614967733899</v>
      </c>
      <c r="D15" s="7">
        <v>12.8790121568562</v>
      </c>
      <c r="E15" s="3">
        <v>12.5084291638675</v>
      </c>
      <c r="F15" s="3">
        <v>15.138490181224499</v>
      </c>
    </row>
    <row r="16" spans="1:6" x14ac:dyDescent="0.25">
      <c r="A16" s="2">
        <v>100</v>
      </c>
      <c r="B16" s="3">
        <v>18.870775387907099</v>
      </c>
      <c r="C16" s="3">
        <v>16.609397315757299</v>
      </c>
      <c r="D16" s="7">
        <v>14.3711185781499</v>
      </c>
      <c r="E16" s="7">
        <v>14.4014007631721</v>
      </c>
      <c r="F16" s="3">
        <v>13.5470809622134</v>
      </c>
    </row>
    <row r="17" spans="1:6" x14ac:dyDescent="0.25">
      <c r="A17" s="2">
        <v>125</v>
      </c>
      <c r="B17" s="3">
        <v>22.042381690762198</v>
      </c>
      <c r="C17" s="3">
        <v>18.881205815624899</v>
      </c>
      <c r="D17" s="3">
        <v>16.529664718773802</v>
      </c>
      <c r="E17" s="7">
        <v>15.509165186481001</v>
      </c>
      <c r="F17" s="7">
        <v>15.252770286017199</v>
      </c>
    </row>
    <row r="18" spans="1:6" x14ac:dyDescent="0.25">
      <c r="A18" s="2">
        <v>150</v>
      </c>
      <c r="B18" s="3">
        <v>33.322795142916704</v>
      </c>
      <c r="C18" s="3">
        <v>22.812950605636001</v>
      </c>
      <c r="D18" s="3">
        <v>19.645171026849798</v>
      </c>
      <c r="E18" s="3">
        <v>17.055864095959599</v>
      </c>
      <c r="F18" s="7">
        <v>16.499963372505</v>
      </c>
    </row>
    <row r="19" spans="1:6" x14ac:dyDescent="0.25">
      <c r="A19" s="2">
        <v>175</v>
      </c>
      <c r="B19" s="3">
        <v>39.685410250180198</v>
      </c>
      <c r="C19" s="3">
        <v>28.1181939056017</v>
      </c>
      <c r="D19" s="3">
        <v>18.372278462934599</v>
      </c>
      <c r="E19" s="3">
        <v>14.802152708263399</v>
      </c>
      <c r="F19" s="3">
        <v>16.6284907822454</v>
      </c>
    </row>
    <row r="20" spans="1:6" x14ac:dyDescent="0.25">
      <c r="A20" s="2">
        <v>200</v>
      </c>
      <c r="B20" s="3">
        <v>43.885928419580999</v>
      </c>
      <c r="C20" s="3">
        <v>13.5081673350006</v>
      </c>
      <c r="D20" s="3">
        <v>13.8526184693303</v>
      </c>
      <c r="E20" s="3">
        <v>14.37455533676</v>
      </c>
      <c r="F20" s="3">
        <v>16.116439923231699</v>
      </c>
    </row>
    <row r="24" spans="1:6" x14ac:dyDescent="0.25">
      <c r="A24" s="1" t="s">
        <v>22</v>
      </c>
      <c r="B24" s="1" t="s">
        <v>20</v>
      </c>
    </row>
    <row r="25" spans="1:6" x14ac:dyDescent="0.25">
      <c r="A25" s="1" t="s">
        <v>21</v>
      </c>
      <c r="B25">
        <v>2000</v>
      </c>
      <c r="C25">
        <v>4000</v>
      </c>
      <c r="D25">
        <v>6000</v>
      </c>
      <c r="E25">
        <v>8000</v>
      </c>
      <c r="F25">
        <v>10000</v>
      </c>
    </row>
    <row r="26" spans="1:6" x14ac:dyDescent="0.25">
      <c r="A26" s="2">
        <v>-50</v>
      </c>
      <c r="B26" s="4">
        <v>358464.51</v>
      </c>
      <c r="C26" s="4"/>
      <c r="D26" s="4"/>
      <c r="E26" s="4"/>
      <c r="F26" s="4"/>
    </row>
    <row r="27" spans="1:6" x14ac:dyDescent="0.25">
      <c r="A27" s="2">
        <v>-25</v>
      </c>
      <c r="B27" s="4">
        <v>3782918.12</v>
      </c>
      <c r="C27" s="4"/>
      <c r="D27" s="4"/>
      <c r="E27" s="4"/>
      <c r="F27" s="4"/>
    </row>
    <row r="28" spans="1:6" x14ac:dyDescent="0.25">
      <c r="A28" s="2">
        <v>0</v>
      </c>
      <c r="B28" s="4">
        <v>37789770.719999999</v>
      </c>
      <c r="C28" s="4">
        <v>501996.84</v>
      </c>
      <c r="D28" s="4"/>
      <c r="E28" s="4"/>
      <c r="F28" s="4"/>
    </row>
    <row r="29" spans="1:6" x14ac:dyDescent="0.25">
      <c r="A29" s="2">
        <v>25</v>
      </c>
      <c r="B29" s="4">
        <v>5192725212.71</v>
      </c>
      <c r="C29" s="4">
        <v>160291308.41999999</v>
      </c>
      <c r="D29" s="4">
        <v>995658.89</v>
      </c>
      <c r="E29" s="4"/>
      <c r="F29" s="4"/>
    </row>
    <row r="30" spans="1:6" x14ac:dyDescent="0.25">
      <c r="A30" s="2">
        <v>50</v>
      </c>
      <c r="B30" s="4">
        <v>17782011226.98</v>
      </c>
      <c r="C30" s="4">
        <v>1710591794.76</v>
      </c>
      <c r="D30" s="4">
        <v>531585974.31999999</v>
      </c>
      <c r="E30" s="4">
        <v>39226523.729999997</v>
      </c>
      <c r="F30" s="4"/>
    </row>
    <row r="31" spans="1:6" x14ac:dyDescent="0.25">
      <c r="A31" s="2">
        <v>75</v>
      </c>
      <c r="B31" s="4">
        <v>27944891498.759998</v>
      </c>
      <c r="C31" s="4">
        <v>7402955979.1700001</v>
      </c>
      <c r="D31" s="4">
        <v>13236328044.780001</v>
      </c>
      <c r="E31" s="4">
        <v>29373132195.43</v>
      </c>
      <c r="F31" s="4">
        <v>310032908.56</v>
      </c>
    </row>
    <row r="32" spans="1:6" x14ac:dyDescent="0.25">
      <c r="A32" s="2">
        <v>100</v>
      </c>
      <c r="B32" s="4">
        <v>22762374385.150002</v>
      </c>
      <c r="C32" s="4">
        <v>13400117269.43</v>
      </c>
      <c r="D32" s="4">
        <v>27339885505.040001</v>
      </c>
      <c r="E32" s="4">
        <v>128220602298.42999</v>
      </c>
      <c r="F32" s="4">
        <v>38280303532.5</v>
      </c>
    </row>
    <row r="33" spans="1:6" x14ac:dyDescent="0.25">
      <c r="A33" s="2">
        <v>125</v>
      </c>
      <c r="B33" s="4">
        <v>6958454652.4700003</v>
      </c>
      <c r="C33" s="4">
        <v>9022496929.5900002</v>
      </c>
      <c r="D33" s="4">
        <v>16855892037.440001</v>
      </c>
      <c r="E33" s="4">
        <v>88995741922.639999</v>
      </c>
      <c r="F33" s="4">
        <v>88946123100.759995</v>
      </c>
    </row>
    <row r="34" spans="1:6" x14ac:dyDescent="0.25">
      <c r="A34" s="2">
        <v>150</v>
      </c>
      <c r="B34" s="4">
        <v>1161076434.98</v>
      </c>
      <c r="C34" s="4">
        <v>1101752036.3699999</v>
      </c>
      <c r="D34" s="4">
        <v>6394214777.1099997</v>
      </c>
      <c r="E34" s="4">
        <v>5841870769.7700005</v>
      </c>
      <c r="F34" s="4">
        <v>41143836296.980003</v>
      </c>
    </row>
    <row r="35" spans="1:6" x14ac:dyDescent="0.25">
      <c r="A35" s="2">
        <v>175</v>
      </c>
      <c r="B35" s="4">
        <v>169821072.16999999</v>
      </c>
      <c r="C35" s="4">
        <v>44899911.049999997</v>
      </c>
      <c r="D35" s="4">
        <v>705881529.63999999</v>
      </c>
      <c r="E35" s="4">
        <v>738372962.53999996</v>
      </c>
      <c r="F35" s="4">
        <v>2372191973.3499999</v>
      </c>
    </row>
    <row r="36" spans="1:6" x14ac:dyDescent="0.25">
      <c r="A36" s="2">
        <v>200</v>
      </c>
      <c r="B36" s="4">
        <v>14583107.33</v>
      </c>
      <c r="C36" s="4">
        <v>5149096.6399999997</v>
      </c>
      <c r="D36" s="4">
        <v>36248112.32</v>
      </c>
      <c r="E36" s="4">
        <v>102289430.64</v>
      </c>
      <c r="F36" s="4">
        <v>107479191.23</v>
      </c>
    </row>
    <row r="45" spans="1:6" x14ac:dyDescent="0.25">
      <c r="A45" s="1" t="s">
        <v>17</v>
      </c>
      <c r="B45" s="2">
        <v>10000</v>
      </c>
    </row>
    <row r="47" spans="1:6" x14ac:dyDescent="0.25">
      <c r="A47" s="1" t="s">
        <v>23</v>
      </c>
      <c r="B47" s="1" t="s">
        <v>20</v>
      </c>
    </row>
    <row r="48" spans="1:6" x14ac:dyDescent="0.25">
      <c r="A48" s="1" t="s">
        <v>21</v>
      </c>
      <c r="B48" t="s">
        <v>28</v>
      </c>
      <c r="C48" t="s">
        <v>25</v>
      </c>
    </row>
    <row r="49" spans="1:7" x14ac:dyDescent="0.25">
      <c r="A49" s="2">
        <v>75</v>
      </c>
      <c r="B49" s="3">
        <v>15.138490181224499</v>
      </c>
      <c r="C49" s="3">
        <v>17.414898119744699</v>
      </c>
    </row>
    <row r="50" spans="1:7" x14ac:dyDescent="0.25">
      <c r="A50" s="2">
        <v>100</v>
      </c>
      <c r="B50" s="3">
        <v>13.5470809622134</v>
      </c>
      <c r="C50" s="3">
        <v>14.6734563470343</v>
      </c>
    </row>
    <row r="51" spans="1:7" x14ac:dyDescent="0.25">
      <c r="A51" s="2">
        <v>125</v>
      </c>
      <c r="B51" s="3">
        <v>15.252770286017199</v>
      </c>
      <c r="C51" s="3">
        <v>16.067570658016301</v>
      </c>
    </row>
    <row r="52" spans="1:7" x14ac:dyDescent="0.25">
      <c r="A52" s="2">
        <v>150</v>
      </c>
      <c r="B52" s="3">
        <v>16.499963372505</v>
      </c>
      <c r="C52" s="3">
        <v>17.021524491193301</v>
      </c>
    </row>
    <row r="53" spans="1:7" x14ac:dyDescent="0.25">
      <c r="A53" s="2">
        <v>175</v>
      </c>
      <c r="B53" s="3">
        <v>16.6284907822454</v>
      </c>
      <c r="C53" s="3">
        <v>17.544303540275301</v>
      </c>
    </row>
    <row r="54" spans="1:7" x14ac:dyDescent="0.25">
      <c r="A54" s="2">
        <v>200</v>
      </c>
      <c r="B54" s="3">
        <v>16.116439923231699</v>
      </c>
      <c r="C54" s="3">
        <v>17.867389340265198</v>
      </c>
      <c r="G54" s="5"/>
    </row>
    <row r="55" spans="1:7" x14ac:dyDescent="0.25">
      <c r="G55" s="5"/>
    </row>
    <row r="56" spans="1:7" x14ac:dyDescent="0.25">
      <c r="G56" s="5"/>
    </row>
    <row r="57" spans="1:7" x14ac:dyDescent="0.25">
      <c r="G57" s="5"/>
    </row>
    <row r="58" spans="1:7" x14ac:dyDescent="0.25">
      <c r="G58" s="5"/>
    </row>
    <row r="59" spans="1:7" x14ac:dyDescent="0.25">
      <c r="G59" s="5"/>
    </row>
    <row r="60" spans="1:7" x14ac:dyDescent="0.25">
      <c r="G60" s="5"/>
    </row>
    <row r="61" spans="1:7" x14ac:dyDescent="0.25">
      <c r="G61" s="5"/>
    </row>
    <row r="62" spans="1:7" x14ac:dyDescent="0.25">
      <c r="G62" s="5"/>
    </row>
    <row r="63" spans="1:7" x14ac:dyDescent="0.25">
      <c r="G63" s="5"/>
    </row>
    <row r="64" spans="1:7" x14ac:dyDescent="0.25">
      <c r="G64" s="5"/>
    </row>
    <row r="65" spans="1:7" x14ac:dyDescent="0.25">
      <c r="A65" s="2"/>
      <c r="B65" s="5"/>
      <c r="C65" s="5"/>
      <c r="D65" s="5"/>
      <c r="E65" s="5"/>
      <c r="F65" s="5"/>
      <c r="G65" s="5"/>
    </row>
    <row r="66" spans="1:7" x14ac:dyDescent="0.25">
      <c r="A66" s="2"/>
      <c r="B66" s="5"/>
      <c r="C66" s="5"/>
      <c r="D66" s="5"/>
      <c r="E66" s="5"/>
      <c r="F66" s="5"/>
      <c r="G66" s="5"/>
    </row>
    <row r="67" spans="1:7" x14ac:dyDescent="0.25">
      <c r="A67" s="2"/>
      <c r="B67" s="5"/>
      <c r="C67" s="5"/>
      <c r="D67" s="5"/>
      <c r="E67" s="5"/>
      <c r="F67" s="5"/>
      <c r="G67" s="5"/>
    </row>
    <row r="68" spans="1:7" x14ac:dyDescent="0.25">
      <c r="A68" s="2"/>
      <c r="B68" s="5"/>
      <c r="C68" s="5"/>
      <c r="D68" s="5"/>
      <c r="E68" s="5"/>
      <c r="F68" s="5"/>
      <c r="G68" s="5"/>
    </row>
    <row r="69" spans="1:7" x14ac:dyDescent="0.25">
      <c r="A69" s="2"/>
      <c r="B69" s="5"/>
      <c r="C69" s="5"/>
      <c r="D69" s="5"/>
      <c r="E69" s="5"/>
      <c r="F69" s="5"/>
      <c r="G69" s="5"/>
    </row>
  </sheetData>
  <pageMargins left="0.7" right="0.7" top="0.75" bottom="0.75" header="0.3" footer="0.3"/>
  <pageSetup orientation="portrait" horizontalDpi="1200" verticalDpi="1200"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03"/>
  <sheetViews>
    <sheetView workbookViewId="0">
      <selection activeCell="C53" sqref="C53:C103"/>
    </sheetView>
  </sheetViews>
  <sheetFormatPr defaultRowHeight="15" x14ac:dyDescent="0.25"/>
  <cols>
    <col min="1" max="1" width="31.85546875" bestFit="1" customWidth="1"/>
    <col min="2" max="2" width="23.5703125" bestFit="1" customWidth="1"/>
  </cols>
  <sheetData>
    <row r="1" spans="1:23" x14ac:dyDescent="0.25">
      <c r="A1" t="s">
        <v>24</v>
      </c>
      <c r="B1" t="s">
        <v>26</v>
      </c>
      <c r="C1" t="s">
        <v>0</v>
      </c>
      <c r="D1" t="s">
        <v>1</v>
      </c>
      <c r="E1" t="s">
        <v>2</v>
      </c>
      <c r="F1" t="s">
        <v>3</v>
      </c>
      <c r="G1" t="s">
        <v>4</v>
      </c>
      <c r="H1" t="s">
        <v>5</v>
      </c>
      <c r="I1" t="s">
        <v>6</v>
      </c>
      <c r="J1" t="s">
        <v>7</v>
      </c>
      <c r="K1" t="s">
        <v>8</v>
      </c>
      <c r="L1" t="s">
        <v>9</v>
      </c>
      <c r="M1" t="s">
        <v>10</v>
      </c>
      <c r="N1" t="s">
        <v>11</v>
      </c>
      <c r="O1" t="s">
        <v>12</v>
      </c>
      <c r="P1" t="s">
        <v>13</v>
      </c>
      <c r="Q1" t="s">
        <v>14</v>
      </c>
      <c r="R1" t="s">
        <v>15</v>
      </c>
      <c r="S1" t="s">
        <v>16</v>
      </c>
      <c r="T1" t="s">
        <v>17</v>
      </c>
      <c r="U1" t="s">
        <v>18</v>
      </c>
      <c r="V1" t="s">
        <v>19</v>
      </c>
      <c r="W1" t="s">
        <v>27</v>
      </c>
    </row>
    <row r="2" spans="1:23" x14ac:dyDescent="0.25">
      <c r="A2">
        <v>0.98530719396251998</v>
      </c>
      <c r="B2" s="6">
        <v>16.274096213758401</v>
      </c>
      <c r="C2">
        <v>0</v>
      </c>
      <c r="D2">
        <v>0</v>
      </c>
      <c r="E2">
        <v>5.125</v>
      </c>
      <c r="F2">
        <v>4.3700227752523304</v>
      </c>
      <c r="G2">
        <v>-77.966021917483502</v>
      </c>
      <c r="H2">
        <v>86.998669938064396</v>
      </c>
      <c r="I2">
        <v>80</v>
      </c>
      <c r="J2">
        <v>88.831251851682595</v>
      </c>
      <c r="K2" s="6">
        <v>119488.17</v>
      </c>
      <c r="L2" s="6">
        <v>674</v>
      </c>
      <c r="M2">
        <v>0</v>
      </c>
      <c r="N2" s="6">
        <v>0</v>
      </c>
      <c r="O2">
        <v>0</v>
      </c>
      <c r="P2" s="6">
        <v>1</v>
      </c>
      <c r="Q2">
        <v>0</v>
      </c>
      <c r="R2">
        <v>0</v>
      </c>
      <c r="S2">
        <v>-50</v>
      </c>
      <c r="T2">
        <v>2000</v>
      </c>
      <c r="U2">
        <v>358464.51</v>
      </c>
      <c r="V2">
        <v>3</v>
      </c>
      <c r="W2" t="s">
        <v>28</v>
      </c>
    </row>
    <row r="3" spans="1:23" x14ac:dyDescent="0.25">
      <c r="A3">
        <v>0.99221381976859102</v>
      </c>
      <c r="B3" s="6">
        <v>8.9534989669207601</v>
      </c>
      <c r="C3">
        <v>1.271351859999E-3</v>
      </c>
      <c r="D3">
        <v>0</v>
      </c>
      <c r="E3">
        <v>4.1706825209449603</v>
      </c>
      <c r="F3">
        <v>4.52620932401455</v>
      </c>
      <c r="G3">
        <v>-58.044858529319598</v>
      </c>
      <c r="H3">
        <v>58.119886586390002</v>
      </c>
      <c r="I3">
        <v>65.125136541416794</v>
      </c>
      <c r="J3">
        <v>62.147665997671602</v>
      </c>
      <c r="K3">
        <v>130445.452413793</v>
      </c>
      <c r="L3" s="6">
        <v>685.04970698652005</v>
      </c>
      <c r="M3">
        <v>0</v>
      </c>
      <c r="N3" s="6">
        <v>7.9995926530918401E-2</v>
      </c>
      <c r="O3">
        <v>0.80433622761044499</v>
      </c>
      <c r="P3" s="6">
        <v>0.66657759433608799</v>
      </c>
      <c r="Q3">
        <v>0.51033132591302199</v>
      </c>
      <c r="R3">
        <v>0</v>
      </c>
      <c r="S3">
        <v>-25</v>
      </c>
      <c r="T3">
        <v>2000</v>
      </c>
      <c r="U3">
        <v>3782918.12</v>
      </c>
      <c r="V3">
        <v>29</v>
      </c>
      <c r="W3" t="s">
        <v>28</v>
      </c>
    </row>
    <row r="4" spans="1:23" x14ac:dyDescent="0.25">
      <c r="A4">
        <v>0.99453478946053098</v>
      </c>
      <c r="B4" s="6">
        <v>6.3646678287545697</v>
      </c>
      <c r="C4">
        <v>6.1434751547609299</v>
      </c>
      <c r="D4">
        <v>0</v>
      </c>
      <c r="E4">
        <v>4.5734529982070198</v>
      </c>
      <c r="F4">
        <v>4.4941605690581996</v>
      </c>
      <c r="G4">
        <v>-34.0525803577804</v>
      </c>
      <c r="H4">
        <v>23.1493617451757</v>
      </c>
      <c r="I4">
        <v>75.092062012119001</v>
      </c>
      <c r="J4">
        <v>69.424861288668794</v>
      </c>
      <c r="K4">
        <v>156156.077355371</v>
      </c>
      <c r="L4" s="6">
        <v>660.90909809785603</v>
      </c>
      <c r="M4">
        <v>0</v>
      </c>
      <c r="N4">
        <v>9.5058153610305798E-2</v>
      </c>
      <c r="O4">
        <v>0.58888151253646903</v>
      </c>
      <c r="P4" s="6">
        <v>0.10644182574707001</v>
      </c>
      <c r="Q4">
        <v>0.22954706616965601</v>
      </c>
      <c r="R4">
        <v>0</v>
      </c>
      <c r="S4">
        <v>0</v>
      </c>
      <c r="T4">
        <v>2000</v>
      </c>
      <c r="U4">
        <v>37789770.719999999</v>
      </c>
      <c r="V4">
        <v>242</v>
      </c>
      <c r="W4" t="s">
        <v>28</v>
      </c>
    </row>
    <row r="5" spans="1:23" x14ac:dyDescent="0.25">
      <c r="A5">
        <v>0.98677689909140198</v>
      </c>
      <c r="B5" s="6">
        <v>14.763092066527999</v>
      </c>
      <c r="C5">
        <v>0</v>
      </c>
      <c r="D5">
        <v>0</v>
      </c>
      <c r="E5">
        <v>5</v>
      </c>
      <c r="F5">
        <v>4.3876715390759404</v>
      </c>
      <c r="G5">
        <v>-37.434862243754303</v>
      </c>
      <c r="H5">
        <v>93.497343270128894</v>
      </c>
      <c r="I5">
        <v>74</v>
      </c>
      <c r="J5">
        <v>82.948218123444704</v>
      </c>
      <c r="K5">
        <v>125499.21</v>
      </c>
      <c r="L5">
        <v>674</v>
      </c>
      <c r="M5">
        <v>0</v>
      </c>
      <c r="N5">
        <v>0</v>
      </c>
      <c r="O5">
        <v>1</v>
      </c>
      <c r="P5" s="6">
        <v>1</v>
      </c>
      <c r="Q5">
        <v>1</v>
      </c>
      <c r="R5">
        <v>0</v>
      </c>
      <c r="S5">
        <v>0</v>
      </c>
      <c r="T5">
        <v>4000</v>
      </c>
      <c r="U5">
        <v>501996.84</v>
      </c>
      <c r="V5">
        <v>4</v>
      </c>
      <c r="W5" t="s">
        <v>28</v>
      </c>
    </row>
    <row r="6" spans="1:23" x14ac:dyDescent="0.25">
      <c r="A6">
        <v>0.99138805027851495</v>
      </c>
      <c r="B6" s="6">
        <v>9.8586292721314805</v>
      </c>
      <c r="C6">
        <v>7.2666857457883101</v>
      </c>
      <c r="D6">
        <v>0</v>
      </c>
      <c r="E6">
        <v>4.7957981574109603</v>
      </c>
      <c r="F6">
        <v>4.5371537349709898</v>
      </c>
      <c r="G6">
        <v>14.2505219085908</v>
      </c>
      <c r="H6">
        <v>14.317896013129401</v>
      </c>
      <c r="I6">
        <v>76.366914325145899</v>
      </c>
      <c r="J6">
        <v>71.257621228641796</v>
      </c>
      <c r="K6">
        <v>168000.42747128601</v>
      </c>
      <c r="L6">
        <v>651.53026838428605</v>
      </c>
      <c r="M6">
        <v>6.4330160949469001E-2</v>
      </c>
      <c r="N6">
        <v>0.15455904252078501</v>
      </c>
      <c r="O6">
        <v>0.58105059826675298</v>
      </c>
      <c r="P6" s="6">
        <v>4.5776931264950201E-2</v>
      </c>
      <c r="Q6">
        <v>0.53773051068742095</v>
      </c>
      <c r="R6">
        <v>0</v>
      </c>
      <c r="S6">
        <v>25</v>
      </c>
      <c r="T6">
        <v>2000</v>
      </c>
      <c r="U6">
        <v>5192725212.71</v>
      </c>
      <c r="V6">
        <v>30909</v>
      </c>
      <c r="W6" t="s">
        <v>28</v>
      </c>
    </row>
    <row r="7" spans="1:23" x14ac:dyDescent="0.25">
      <c r="A7">
        <v>0.978202658576936</v>
      </c>
      <c r="B7" s="6">
        <v>23.23803812841</v>
      </c>
      <c r="C7">
        <v>15.038587975279</v>
      </c>
      <c r="D7">
        <v>0</v>
      </c>
      <c r="E7">
        <v>4.8649098832703803</v>
      </c>
      <c r="F7">
        <v>4.6311308932935704</v>
      </c>
      <c r="G7">
        <v>14.031202451245701</v>
      </c>
      <c r="H7">
        <v>87.545061210749296</v>
      </c>
      <c r="I7">
        <v>66.467324648406503</v>
      </c>
      <c r="J7">
        <v>48.146541035258402</v>
      </c>
      <c r="K7">
        <v>133464.86962531201</v>
      </c>
      <c r="L7">
        <v>599.09541632943603</v>
      </c>
      <c r="M7">
        <v>0.30575369284268</v>
      </c>
      <c r="N7">
        <v>1.9025603509388301E-2</v>
      </c>
      <c r="O7">
        <v>0.96265789306356897</v>
      </c>
      <c r="P7" s="6">
        <v>0.19397621883857799</v>
      </c>
      <c r="Q7">
        <v>0.91333149677960501</v>
      </c>
      <c r="R7">
        <v>0</v>
      </c>
      <c r="S7">
        <v>25</v>
      </c>
      <c r="T7">
        <v>4000</v>
      </c>
      <c r="U7">
        <v>160291308.41999999</v>
      </c>
      <c r="V7">
        <v>1201</v>
      </c>
      <c r="W7" t="s">
        <v>28</v>
      </c>
    </row>
    <row r="8" spans="1:23" x14ac:dyDescent="0.25">
      <c r="A8">
        <v>0.98873176729401302</v>
      </c>
      <c r="B8" s="6">
        <v>12.7145499159484</v>
      </c>
      <c r="C8">
        <v>0</v>
      </c>
      <c r="D8">
        <v>0</v>
      </c>
      <c r="E8">
        <v>4.9426031213360604</v>
      </c>
      <c r="F8">
        <v>4.4205023909954697</v>
      </c>
      <c r="G8">
        <v>18.793341318430802</v>
      </c>
      <c r="H8">
        <v>87.646192181340297</v>
      </c>
      <c r="I8">
        <v>75.292963356154999</v>
      </c>
      <c r="J8">
        <v>86.286809855230601</v>
      </c>
      <c r="K8">
        <v>90514.444545454506</v>
      </c>
      <c r="L8">
        <v>717.63988818499797</v>
      </c>
      <c r="M8">
        <v>0</v>
      </c>
      <c r="N8">
        <v>0</v>
      </c>
      <c r="O8">
        <v>1</v>
      </c>
      <c r="P8" s="6">
        <v>1</v>
      </c>
      <c r="Q8">
        <v>0.69366359999055405</v>
      </c>
      <c r="R8">
        <v>0</v>
      </c>
      <c r="S8">
        <v>25</v>
      </c>
      <c r="T8">
        <v>6000</v>
      </c>
      <c r="U8">
        <v>995658.89</v>
      </c>
      <c r="V8">
        <v>11</v>
      </c>
      <c r="W8" t="s">
        <v>28</v>
      </c>
    </row>
    <row r="9" spans="1:23" x14ac:dyDescent="0.25">
      <c r="A9">
        <v>0.99097135016515703</v>
      </c>
      <c r="B9" s="6">
        <v>10.312238211427299</v>
      </c>
      <c r="C9">
        <v>7.8195881253730501</v>
      </c>
      <c r="D9">
        <v>0</v>
      </c>
      <c r="E9">
        <v>4.8521594375600996</v>
      </c>
      <c r="F9">
        <v>4.3921254400227197</v>
      </c>
      <c r="G9">
        <v>39.960469327816099</v>
      </c>
      <c r="H9">
        <v>10.6634588457975</v>
      </c>
      <c r="I9">
        <v>76.785890984224906</v>
      </c>
      <c r="J9">
        <v>72.458104651565193</v>
      </c>
      <c r="K9">
        <v>177546.69036663501</v>
      </c>
      <c r="L9">
        <v>661.54729493491197</v>
      </c>
      <c r="M9">
        <v>5.8854026932123299E-2</v>
      </c>
      <c r="N9">
        <v>0.16811399324246701</v>
      </c>
      <c r="O9">
        <v>0.57894466878583795</v>
      </c>
      <c r="P9" s="6">
        <v>4.51715295096244E-2</v>
      </c>
      <c r="Q9">
        <v>0.61418641103595994</v>
      </c>
      <c r="R9">
        <v>0</v>
      </c>
      <c r="S9">
        <v>50</v>
      </c>
      <c r="T9">
        <v>2000</v>
      </c>
      <c r="U9">
        <v>17782011226.98</v>
      </c>
      <c r="V9">
        <v>100154</v>
      </c>
      <c r="W9" t="s">
        <v>28</v>
      </c>
    </row>
    <row r="10" spans="1:23" x14ac:dyDescent="0.25">
      <c r="A10">
        <v>0.979118446062476</v>
      </c>
      <c r="B10" s="6">
        <v>22.371214764082499</v>
      </c>
      <c r="C10">
        <v>13.9054762662754</v>
      </c>
      <c r="D10">
        <v>0</v>
      </c>
      <c r="E10">
        <v>4.9562673937301103</v>
      </c>
      <c r="F10">
        <v>4.50539622661009</v>
      </c>
      <c r="G10">
        <v>40.426591438021397</v>
      </c>
      <c r="H10">
        <v>68.599153632783398</v>
      </c>
      <c r="I10">
        <v>69.379468383794602</v>
      </c>
      <c r="J10">
        <v>51.095815497698702</v>
      </c>
      <c r="K10">
        <v>141137.936861386</v>
      </c>
      <c r="L10">
        <v>619.21926702219105</v>
      </c>
      <c r="M10">
        <v>0.25640346617676602</v>
      </c>
      <c r="N10">
        <v>6.1637788555388803E-2</v>
      </c>
      <c r="O10">
        <v>0.84123417374505505</v>
      </c>
      <c r="P10" s="6">
        <v>0.14314885323903601</v>
      </c>
      <c r="Q10">
        <v>0.82910190580505105</v>
      </c>
      <c r="R10">
        <v>0</v>
      </c>
      <c r="S10">
        <v>50</v>
      </c>
      <c r="T10">
        <v>4000</v>
      </c>
      <c r="U10">
        <v>1710591794.76</v>
      </c>
      <c r="V10">
        <v>12120</v>
      </c>
      <c r="W10" t="s">
        <v>28</v>
      </c>
    </row>
    <row r="11" spans="1:23" x14ac:dyDescent="0.25">
      <c r="A11">
        <v>0.98858691396547305</v>
      </c>
      <c r="B11" s="6">
        <v>12.867878519415299</v>
      </c>
      <c r="C11">
        <v>12.302017472113</v>
      </c>
      <c r="D11">
        <v>0</v>
      </c>
      <c r="E11">
        <v>4.7814699990054796</v>
      </c>
      <c r="F11">
        <v>4.5505824060812303</v>
      </c>
      <c r="G11">
        <v>42.158706915675701</v>
      </c>
      <c r="H11">
        <v>84.684655235337104</v>
      </c>
      <c r="I11">
        <v>62.7709984209502</v>
      </c>
      <c r="J11">
        <v>44.322325233669403</v>
      </c>
      <c r="K11">
        <v>213574.11583768501</v>
      </c>
      <c r="L11">
        <v>751.22675435158703</v>
      </c>
      <c r="M11">
        <v>0.10611233970602101</v>
      </c>
      <c r="N11">
        <v>0.12669717848773901</v>
      </c>
      <c r="O11">
        <v>0.55451687738201005</v>
      </c>
      <c r="P11" s="6">
        <v>0.46202163107138899</v>
      </c>
      <c r="Q11">
        <v>0.760530075811651</v>
      </c>
      <c r="R11">
        <v>0</v>
      </c>
      <c r="S11">
        <v>50</v>
      </c>
      <c r="T11">
        <v>6000</v>
      </c>
      <c r="U11">
        <v>531585974.31999999</v>
      </c>
      <c r="V11">
        <v>2489</v>
      </c>
      <c r="W11" t="s">
        <v>28</v>
      </c>
    </row>
    <row r="12" spans="1:23" x14ac:dyDescent="0.25">
      <c r="A12">
        <v>0.98755811561539697</v>
      </c>
      <c r="B12" s="6">
        <v>13.949787358019501</v>
      </c>
      <c r="C12">
        <v>9.2160384251305003E-2</v>
      </c>
      <c r="D12">
        <v>0</v>
      </c>
      <c r="E12">
        <v>4.8779695478893697</v>
      </c>
      <c r="F12">
        <v>4.6537485218037604</v>
      </c>
      <c r="G12">
        <v>44.918139189006297</v>
      </c>
      <c r="H12">
        <v>91.2435310616804</v>
      </c>
      <c r="I12">
        <v>56.785961625409598</v>
      </c>
      <c r="J12">
        <v>38.076501994361102</v>
      </c>
      <c r="K12">
        <v>440747.45764044899</v>
      </c>
      <c r="L12">
        <v>762.54830867012402</v>
      </c>
      <c r="M12">
        <v>0.29073014265799102</v>
      </c>
      <c r="N12">
        <v>2.1173952749852801E-2</v>
      </c>
      <c r="O12">
        <v>0.54709238416625805</v>
      </c>
      <c r="P12" s="6">
        <v>0.61266317799198899</v>
      </c>
      <c r="Q12">
        <v>0.90730835276083199</v>
      </c>
      <c r="R12">
        <v>0</v>
      </c>
      <c r="S12">
        <v>50</v>
      </c>
      <c r="T12">
        <v>8000</v>
      </c>
      <c r="U12">
        <v>39226523.729999997</v>
      </c>
      <c r="V12">
        <v>89</v>
      </c>
      <c r="W12" t="s">
        <v>28</v>
      </c>
    </row>
    <row r="13" spans="1:23" x14ac:dyDescent="0.25">
      <c r="A13">
        <v>0.989045313883259</v>
      </c>
      <c r="B13" s="6">
        <v>12.381810451168599</v>
      </c>
      <c r="C13">
        <v>11.6050335259346</v>
      </c>
      <c r="D13">
        <v>0</v>
      </c>
      <c r="E13">
        <v>4.9163265444085198</v>
      </c>
      <c r="F13">
        <v>4.3280212351852301</v>
      </c>
      <c r="G13">
        <v>62.637308730023598</v>
      </c>
      <c r="H13">
        <v>8.7006989757956408</v>
      </c>
      <c r="I13">
        <v>75.7516329101461</v>
      </c>
      <c r="J13">
        <v>71.668998787174999</v>
      </c>
      <c r="K13">
        <v>180474.75474041101</v>
      </c>
      <c r="L13">
        <v>678.047755354473</v>
      </c>
      <c r="M13">
        <v>6.3525769384317393E-2</v>
      </c>
      <c r="N13">
        <v>0.17698798265863599</v>
      </c>
      <c r="O13">
        <v>0.59352765369927996</v>
      </c>
      <c r="P13" s="6">
        <v>4.23667129619213E-2</v>
      </c>
      <c r="Q13">
        <v>0.73724051374950506</v>
      </c>
      <c r="R13">
        <v>0</v>
      </c>
      <c r="S13">
        <v>75</v>
      </c>
      <c r="T13">
        <v>2000</v>
      </c>
      <c r="U13">
        <v>27944891498.759998</v>
      </c>
      <c r="V13">
        <v>154841</v>
      </c>
      <c r="W13" t="s">
        <v>28</v>
      </c>
    </row>
    <row r="14" spans="1:23" x14ac:dyDescent="0.25">
      <c r="A14">
        <v>0.98156345683340696</v>
      </c>
      <c r="B14" s="6">
        <v>20.012784738710501</v>
      </c>
      <c r="C14">
        <v>14.2417680791966</v>
      </c>
      <c r="D14">
        <v>0</v>
      </c>
      <c r="E14">
        <v>4.9269762017355596</v>
      </c>
      <c r="F14">
        <v>4.4300976706792401</v>
      </c>
      <c r="G14">
        <v>64.794145700124602</v>
      </c>
      <c r="H14">
        <v>56.498374453263096</v>
      </c>
      <c r="I14">
        <v>72.432685449712594</v>
      </c>
      <c r="J14">
        <v>54.820489722012198</v>
      </c>
      <c r="K14">
        <v>134854.19664766101</v>
      </c>
      <c r="L14">
        <v>660.72335509537595</v>
      </c>
      <c r="M14">
        <v>0.154358259585128</v>
      </c>
      <c r="N14">
        <v>8.07257214930788E-2</v>
      </c>
      <c r="O14">
        <v>0.70400738085630499</v>
      </c>
      <c r="P14" s="6">
        <v>0.10675032194350501</v>
      </c>
      <c r="Q14">
        <v>0.70744031800756102</v>
      </c>
      <c r="R14">
        <v>0</v>
      </c>
      <c r="S14">
        <v>75</v>
      </c>
      <c r="T14">
        <v>4000</v>
      </c>
      <c r="U14">
        <v>7402955979.1700001</v>
      </c>
      <c r="V14">
        <v>54896</v>
      </c>
      <c r="W14" t="s">
        <v>28</v>
      </c>
    </row>
    <row r="15" spans="1:23" x14ac:dyDescent="0.25">
      <c r="A15">
        <v>0.98599023162771304</v>
      </c>
      <c r="B15" s="6">
        <v>15.5749458229299</v>
      </c>
      <c r="C15">
        <v>13.537749671908401</v>
      </c>
      <c r="D15">
        <v>0</v>
      </c>
      <c r="E15">
        <v>4.7863144799332096</v>
      </c>
      <c r="F15">
        <v>4.4568587103273201</v>
      </c>
      <c r="G15">
        <v>67.778155358224794</v>
      </c>
      <c r="H15">
        <v>81.611006746005302</v>
      </c>
      <c r="I15">
        <v>73.960969393246202</v>
      </c>
      <c r="J15">
        <v>51.532504264639599</v>
      </c>
      <c r="K15">
        <v>166859.89517661199</v>
      </c>
      <c r="L15">
        <v>736.60111638895103</v>
      </c>
      <c r="M15">
        <v>0.11439779523953</v>
      </c>
      <c r="N15">
        <v>6.46124162438899E-2</v>
      </c>
      <c r="O15">
        <v>0.51772985195939902</v>
      </c>
      <c r="P15" s="6">
        <v>0.141832614329195</v>
      </c>
      <c r="Q15">
        <v>0.64219210793224801</v>
      </c>
      <c r="R15">
        <v>0</v>
      </c>
      <c r="S15">
        <v>75</v>
      </c>
      <c r="T15">
        <v>6000</v>
      </c>
      <c r="U15">
        <v>13236328044.780001</v>
      </c>
      <c r="V15">
        <v>79326</v>
      </c>
      <c r="W15" t="s">
        <v>28</v>
      </c>
    </row>
    <row r="16" spans="1:23" x14ac:dyDescent="0.25">
      <c r="A16">
        <v>0.98755911263255902</v>
      </c>
      <c r="B16" s="6">
        <v>13.9487448591877</v>
      </c>
      <c r="C16">
        <v>12.8456011512364</v>
      </c>
      <c r="D16">
        <v>0</v>
      </c>
      <c r="E16">
        <v>4.7636153732050097</v>
      </c>
      <c r="F16">
        <v>4.5667166446549601</v>
      </c>
      <c r="G16">
        <v>67.0611163450193</v>
      </c>
      <c r="H16">
        <v>88.317290968324698</v>
      </c>
      <c r="I16">
        <v>63.080489785227101</v>
      </c>
      <c r="J16">
        <v>39.8357861564497</v>
      </c>
      <c r="K16">
        <v>151339.24918299899</v>
      </c>
      <c r="L16">
        <v>763.43243769006699</v>
      </c>
      <c r="M16">
        <v>0.14190296303465</v>
      </c>
      <c r="N16">
        <v>6.0049776007354998E-2</v>
      </c>
      <c r="O16">
        <v>0.52308334868763096</v>
      </c>
      <c r="P16" s="6">
        <v>7.4424648169462801E-2</v>
      </c>
      <c r="Q16">
        <v>0.76426376012404496</v>
      </c>
      <c r="R16">
        <v>0</v>
      </c>
      <c r="S16">
        <v>75</v>
      </c>
      <c r="T16">
        <v>8000</v>
      </c>
      <c r="U16">
        <v>29373132195.43</v>
      </c>
      <c r="V16">
        <v>194088</v>
      </c>
      <c r="W16" t="s">
        <v>28</v>
      </c>
    </row>
    <row r="17" spans="1:23" x14ac:dyDescent="0.25">
      <c r="A17">
        <v>0.984348943125117</v>
      </c>
      <c r="B17" s="6">
        <v>17.246008192985698</v>
      </c>
      <c r="C17">
        <v>7.9433977445865596</v>
      </c>
      <c r="D17">
        <v>0</v>
      </c>
      <c r="E17">
        <v>4.8818365479926698</v>
      </c>
      <c r="F17">
        <v>4.6577606256153903</v>
      </c>
      <c r="G17">
        <v>70.990733394204</v>
      </c>
      <c r="H17">
        <v>95.742866655187399</v>
      </c>
      <c r="I17">
        <v>59.402519164528698</v>
      </c>
      <c r="J17">
        <v>37.665608301138597</v>
      </c>
      <c r="K17">
        <v>278306.022046678</v>
      </c>
      <c r="L17">
        <v>754.60860777969106</v>
      </c>
      <c r="M17">
        <v>0.16647431732238599</v>
      </c>
      <c r="N17">
        <v>6.3043064011436695E-2</v>
      </c>
      <c r="O17">
        <v>0.59317409653114095</v>
      </c>
      <c r="P17" s="6">
        <v>0.14614182723519301</v>
      </c>
      <c r="Q17">
        <v>0.80551787698907695</v>
      </c>
      <c r="R17">
        <v>0</v>
      </c>
      <c r="S17">
        <v>75</v>
      </c>
      <c r="T17">
        <v>10000</v>
      </c>
      <c r="U17">
        <v>310032908.56</v>
      </c>
      <c r="V17">
        <v>1114</v>
      </c>
      <c r="W17" t="s">
        <v>28</v>
      </c>
    </row>
    <row r="18" spans="1:23" x14ac:dyDescent="0.25">
      <c r="A18">
        <v>0.98679434286850998</v>
      </c>
      <c r="B18" s="6">
        <v>14.7450089736463</v>
      </c>
      <c r="C18">
        <v>16.271059064151899</v>
      </c>
      <c r="D18">
        <v>0</v>
      </c>
      <c r="E18">
        <v>4.9607805773859699</v>
      </c>
      <c r="F18">
        <v>4.2794935303568096</v>
      </c>
      <c r="G18">
        <v>86.384211393334397</v>
      </c>
      <c r="H18">
        <v>8.7983741017869992</v>
      </c>
      <c r="I18">
        <v>72.165751523188604</v>
      </c>
      <c r="J18">
        <v>67.855245125317595</v>
      </c>
      <c r="K18">
        <v>163835.88167870999</v>
      </c>
      <c r="L18">
        <v>698.93170075589796</v>
      </c>
      <c r="M18">
        <v>7.8093787932760297E-2</v>
      </c>
      <c r="N18">
        <v>0.15619164821309001</v>
      </c>
      <c r="O18">
        <v>0.62264397931905802</v>
      </c>
      <c r="P18" s="6">
        <v>4.0798470901430003E-2</v>
      </c>
      <c r="Q18">
        <v>0.81880145265729398</v>
      </c>
      <c r="R18">
        <v>0</v>
      </c>
      <c r="S18">
        <v>100</v>
      </c>
      <c r="T18">
        <v>2000</v>
      </c>
      <c r="U18">
        <v>22762374385.150002</v>
      </c>
      <c r="V18">
        <v>138934</v>
      </c>
      <c r="W18" t="s">
        <v>28</v>
      </c>
    </row>
    <row r="19" spans="1:23" x14ac:dyDescent="0.25">
      <c r="A19">
        <v>0.98197584180465802</v>
      </c>
      <c r="B19" s="6">
        <v>19.608590564293799</v>
      </c>
      <c r="C19">
        <v>16.0018222221582</v>
      </c>
      <c r="D19">
        <v>0</v>
      </c>
      <c r="E19">
        <v>4.9520255218151297</v>
      </c>
      <c r="F19">
        <v>4.3398695675053798</v>
      </c>
      <c r="G19">
        <v>87.997532077019898</v>
      </c>
      <c r="H19">
        <v>47.635599092121303</v>
      </c>
      <c r="I19">
        <v>73.041035089497598</v>
      </c>
      <c r="J19">
        <v>55.575188560874601</v>
      </c>
      <c r="K19">
        <v>128857.19352863599</v>
      </c>
      <c r="L19">
        <v>688.05458068707196</v>
      </c>
      <c r="M19">
        <v>0.104555438855468</v>
      </c>
      <c r="N19">
        <v>0.101329400298431</v>
      </c>
      <c r="O19">
        <v>0.64884267460741696</v>
      </c>
      <c r="P19" s="6">
        <v>6.9910596788370402E-2</v>
      </c>
      <c r="Q19">
        <v>0.68156958924423605</v>
      </c>
      <c r="R19">
        <v>0</v>
      </c>
      <c r="S19">
        <v>100</v>
      </c>
      <c r="T19">
        <v>4000</v>
      </c>
      <c r="U19">
        <v>13400117269.43</v>
      </c>
      <c r="V19">
        <v>103992</v>
      </c>
      <c r="W19" t="s">
        <v>28</v>
      </c>
    </row>
    <row r="20" spans="1:23" x14ac:dyDescent="0.25">
      <c r="A20">
        <v>0.983877053684582</v>
      </c>
      <c r="B20" s="6">
        <v>17.720814645410702</v>
      </c>
      <c r="C20">
        <v>15.066756216846001</v>
      </c>
      <c r="D20">
        <v>0</v>
      </c>
      <c r="E20">
        <v>4.8476670631508503</v>
      </c>
      <c r="F20">
        <v>4.3526241990664802</v>
      </c>
      <c r="G20">
        <v>87.629904597357694</v>
      </c>
      <c r="H20">
        <v>79.556468540834402</v>
      </c>
      <c r="I20">
        <v>75.258770707953602</v>
      </c>
      <c r="J20">
        <v>52.435120000121202</v>
      </c>
      <c r="K20">
        <v>153512.93132900901</v>
      </c>
      <c r="L20">
        <v>722.95772715970804</v>
      </c>
      <c r="M20">
        <v>0.120099290218486</v>
      </c>
      <c r="N20">
        <v>7.3788557584416506E-2</v>
      </c>
      <c r="O20">
        <v>0.55044919090373401</v>
      </c>
      <c r="P20" s="6">
        <v>8.5972378119751003E-2</v>
      </c>
      <c r="Q20">
        <v>0.65372523520280301</v>
      </c>
      <c r="R20">
        <v>0</v>
      </c>
      <c r="S20">
        <v>100</v>
      </c>
      <c r="T20">
        <v>6000</v>
      </c>
      <c r="U20">
        <v>27339885505.040001</v>
      </c>
      <c r="V20">
        <v>178095</v>
      </c>
      <c r="W20" t="s">
        <v>28</v>
      </c>
    </row>
    <row r="21" spans="1:23" x14ac:dyDescent="0.25">
      <c r="A21">
        <v>0.98561624602940001</v>
      </c>
      <c r="B21" s="6">
        <v>15.958413761195899</v>
      </c>
      <c r="C21">
        <v>14.569820776034501</v>
      </c>
      <c r="D21">
        <v>0</v>
      </c>
      <c r="E21">
        <v>4.8336242563085197</v>
      </c>
      <c r="F21">
        <v>4.36598666617276</v>
      </c>
      <c r="G21">
        <v>88.884827265697893</v>
      </c>
      <c r="H21">
        <v>85.877019154426094</v>
      </c>
      <c r="I21">
        <v>66.449332365818904</v>
      </c>
      <c r="J21">
        <v>42.520914278272699</v>
      </c>
      <c r="K21">
        <v>150329.57253048901</v>
      </c>
      <c r="L21">
        <v>760.70510705915603</v>
      </c>
      <c r="M21">
        <v>0.137235059723124</v>
      </c>
      <c r="N21">
        <v>5.7517019397516099E-2</v>
      </c>
      <c r="O21">
        <v>0.53941016903916705</v>
      </c>
      <c r="P21" s="6">
        <v>7.0800844166219901E-2</v>
      </c>
      <c r="Q21">
        <v>0.73131193285338403</v>
      </c>
      <c r="R21">
        <v>0</v>
      </c>
      <c r="S21">
        <v>100</v>
      </c>
      <c r="T21">
        <v>8000</v>
      </c>
      <c r="U21">
        <v>128220602298.42999</v>
      </c>
      <c r="V21">
        <v>852930</v>
      </c>
      <c r="W21" t="s">
        <v>28</v>
      </c>
    </row>
    <row r="22" spans="1:23" x14ac:dyDescent="0.25">
      <c r="A22">
        <v>0.98680128888892704</v>
      </c>
      <c r="B22" s="6">
        <v>14.7378074021447</v>
      </c>
      <c r="C22">
        <v>13.387174598599101</v>
      </c>
      <c r="D22">
        <v>0</v>
      </c>
      <c r="E22">
        <v>4.93876562186027</v>
      </c>
      <c r="F22">
        <v>4.5789245473033899</v>
      </c>
      <c r="G22">
        <v>87.308246614253406</v>
      </c>
      <c r="H22">
        <v>92.117825713477103</v>
      </c>
      <c r="I22">
        <v>61.476725448251599</v>
      </c>
      <c r="J22">
        <v>38.204044359234601</v>
      </c>
      <c r="K22">
        <v>139097.412955796</v>
      </c>
      <c r="L22">
        <v>764.44938576584002</v>
      </c>
      <c r="M22">
        <v>0.15490657568991101</v>
      </c>
      <c r="N22">
        <v>5.0024569483995897E-2</v>
      </c>
      <c r="O22">
        <v>0.61799667485460497</v>
      </c>
      <c r="P22" s="6">
        <v>8.3209793047896802E-2</v>
      </c>
      <c r="Q22">
        <v>0.80578337679773204</v>
      </c>
      <c r="R22">
        <v>0</v>
      </c>
      <c r="S22">
        <v>100</v>
      </c>
      <c r="T22">
        <v>10000</v>
      </c>
      <c r="U22">
        <v>38280303532.5</v>
      </c>
      <c r="V22">
        <v>275205</v>
      </c>
      <c r="W22" t="s">
        <v>28</v>
      </c>
    </row>
    <row r="23" spans="1:23" x14ac:dyDescent="0.25">
      <c r="A23">
        <v>0.98615114451086305</v>
      </c>
      <c r="B23" s="6">
        <v>15.4094600525101</v>
      </c>
      <c r="C23">
        <v>20.989033159377598</v>
      </c>
      <c r="D23">
        <v>0</v>
      </c>
      <c r="E23">
        <v>5.0867680332571297</v>
      </c>
      <c r="F23">
        <v>4.2553391216397101</v>
      </c>
      <c r="G23">
        <v>108.97818505102499</v>
      </c>
      <c r="H23">
        <v>8.6858907630623499</v>
      </c>
      <c r="I23">
        <v>67.409973566672207</v>
      </c>
      <c r="J23">
        <v>63.401149915204101</v>
      </c>
      <c r="K23">
        <v>145623.10925142301</v>
      </c>
      <c r="L23">
        <v>707.03107077885204</v>
      </c>
      <c r="M23">
        <v>9.1228142247742602E-2</v>
      </c>
      <c r="N23">
        <v>0.170112636922886</v>
      </c>
      <c r="O23">
        <v>0.66445805200423103</v>
      </c>
      <c r="P23" s="6">
        <v>4.9740499679356301E-2</v>
      </c>
      <c r="Q23">
        <v>0.85634868634443395</v>
      </c>
      <c r="R23">
        <v>0</v>
      </c>
      <c r="S23">
        <v>125</v>
      </c>
      <c r="T23">
        <v>2000</v>
      </c>
      <c r="U23">
        <v>6958454652.4700003</v>
      </c>
      <c r="V23">
        <v>47784</v>
      </c>
      <c r="W23" t="s">
        <v>28</v>
      </c>
    </row>
    <row r="24" spans="1:23" x14ac:dyDescent="0.25">
      <c r="A24">
        <v>0.98120559703552201</v>
      </c>
      <c r="B24" s="6">
        <v>20.362026116638599</v>
      </c>
      <c r="C24">
        <v>18.556830560857801</v>
      </c>
      <c r="D24">
        <v>0</v>
      </c>
      <c r="E24">
        <v>5.0378896058801601</v>
      </c>
      <c r="F24">
        <v>4.2623998268942396</v>
      </c>
      <c r="G24">
        <v>109.79437030800899</v>
      </c>
      <c r="H24">
        <v>43.445379003402202</v>
      </c>
      <c r="I24">
        <v>73.889232073782907</v>
      </c>
      <c r="J24">
        <v>55.810245845991403</v>
      </c>
      <c r="K24">
        <v>130615.066224503</v>
      </c>
      <c r="L24">
        <v>689.16061306826396</v>
      </c>
      <c r="M24">
        <v>8.2924730696915694E-2</v>
      </c>
      <c r="N24">
        <v>0.113997441551552</v>
      </c>
      <c r="O24">
        <v>0.62504374914497896</v>
      </c>
      <c r="P24" s="6">
        <v>4.5914138998640198E-2</v>
      </c>
      <c r="Q24">
        <v>0.70121441207156998</v>
      </c>
      <c r="R24">
        <v>0</v>
      </c>
      <c r="S24">
        <v>125</v>
      </c>
      <c r="T24">
        <v>4000</v>
      </c>
      <c r="U24">
        <v>9022496929.5900002</v>
      </c>
      <c r="V24">
        <v>69077</v>
      </c>
      <c r="W24" t="s">
        <v>28</v>
      </c>
    </row>
    <row r="25" spans="1:23" x14ac:dyDescent="0.25">
      <c r="A25">
        <v>0.98300990509026598</v>
      </c>
      <c r="B25" s="6">
        <v>18.5868183992193</v>
      </c>
      <c r="C25">
        <v>16.084053653627201</v>
      </c>
      <c r="D25">
        <v>0</v>
      </c>
      <c r="E25">
        <v>4.9924061674495102</v>
      </c>
      <c r="F25">
        <v>4.2903414883744402</v>
      </c>
      <c r="G25">
        <v>110.37537627414299</v>
      </c>
      <c r="H25">
        <v>64.371383819998599</v>
      </c>
      <c r="I25">
        <v>73.273805055953602</v>
      </c>
      <c r="J25">
        <v>52.533282515366601</v>
      </c>
      <c r="K25">
        <v>132920.323293063</v>
      </c>
      <c r="L25">
        <v>705.90555390066299</v>
      </c>
      <c r="M25">
        <v>0.14436052164875801</v>
      </c>
      <c r="N25">
        <v>0.11581312738263599</v>
      </c>
      <c r="O25">
        <v>0.63678349231051201</v>
      </c>
      <c r="P25" s="6">
        <v>6.9706990870027505E-2</v>
      </c>
      <c r="Q25">
        <v>0.71491529318730596</v>
      </c>
      <c r="R25">
        <v>0</v>
      </c>
      <c r="S25">
        <v>125</v>
      </c>
      <c r="T25">
        <v>6000</v>
      </c>
      <c r="U25">
        <v>16855892037.440001</v>
      </c>
      <c r="V25">
        <v>126812</v>
      </c>
      <c r="W25" t="s">
        <v>28</v>
      </c>
    </row>
    <row r="26" spans="1:23" x14ac:dyDescent="0.25">
      <c r="A26">
        <v>0.98447225440781505</v>
      </c>
      <c r="B26" s="6">
        <v>17.121521427490901</v>
      </c>
      <c r="C26">
        <v>15.5179788446535</v>
      </c>
      <c r="D26">
        <v>0</v>
      </c>
      <c r="E26">
        <v>4.8935836194265301</v>
      </c>
      <c r="F26">
        <v>4.2459133816961003</v>
      </c>
      <c r="G26">
        <v>108.385811718291</v>
      </c>
      <c r="H26">
        <v>86.4932961522114</v>
      </c>
      <c r="I26">
        <v>71.855188942478705</v>
      </c>
      <c r="J26">
        <v>46.272185482099403</v>
      </c>
      <c r="K26">
        <v>150087.007278117</v>
      </c>
      <c r="L26">
        <v>752.40525500797003</v>
      </c>
      <c r="M26">
        <v>0.129105899182206</v>
      </c>
      <c r="N26">
        <v>5.8312049154565303E-2</v>
      </c>
      <c r="O26">
        <v>0.54350847283183201</v>
      </c>
      <c r="P26" s="6">
        <v>6.7807988917218301E-2</v>
      </c>
      <c r="Q26">
        <v>0.68362226608701104</v>
      </c>
      <c r="R26">
        <v>0</v>
      </c>
      <c r="S26">
        <v>125</v>
      </c>
      <c r="T26">
        <v>8000</v>
      </c>
      <c r="U26">
        <v>88995741922.639999</v>
      </c>
      <c r="V26">
        <v>592961</v>
      </c>
      <c r="W26" t="s">
        <v>28</v>
      </c>
    </row>
    <row r="27" spans="1:23" x14ac:dyDescent="0.25">
      <c r="A27">
        <v>0.98567037845028205</v>
      </c>
      <c r="B27" s="6">
        <v>15.9030078277135</v>
      </c>
      <c r="C27">
        <v>14.906576156612999</v>
      </c>
      <c r="D27">
        <v>0</v>
      </c>
      <c r="E27">
        <v>5.0075134025547001</v>
      </c>
      <c r="F27">
        <v>4.3302943134916703</v>
      </c>
      <c r="G27">
        <v>112.448861489308</v>
      </c>
      <c r="H27">
        <v>90.166546769070905</v>
      </c>
      <c r="I27">
        <v>61.522820166639498</v>
      </c>
      <c r="J27">
        <v>39.108666577093501</v>
      </c>
      <c r="K27">
        <v>136971.47127286601</v>
      </c>
      <c r="L27">
        <v>763.18521671584904</v>
      </c>
      <c r="M27">
        <v>0.16051982276952101</v>
      </c>
      <c r="N27">
        <v>4.4650297685611698E-2</v>
      </c>
      <c r="O27">
        <v>0.64942082812596902</v>
      </c>
      <c r="P27" s="6">
        <v>9.2006581443121599E-2</v>
      </c>
      <c r="Q27">
        <v>0.79835783363966795</v>
      </c>
      <c r="R27">
        <v>0</v>
      </c>
      <c r="S27">
        <v>125</v>
      </c>
      <c r="T27">
        <v>10000</v>
      </c>
      <c r="U27">
        <v>88946123100.759995</v>
      </c>
      <c r="V27">
        <v>649377</v>
      </c>
      <c r="W27" t="s">
        <v>28</v>
      </c>
    </row>
    <row r="28" spans="1:23" x14ac:dyDescent="0.25">
      <c r="A28">
        <v>0.98623427754647996</v>
      </c>
      <c r="B28" s="6">
        <v>15.323848066682199</v>
      </c>
      <c r="C28">
        <v>33.843847747789603</v>
      </c>
      <c r="D28">
        <v>0</v>
      </c>
      <c r="E28">
        <v>5.2688034543739803</v>
      </c>
      <c r="F28">
        <v>4.2552158605300496</v>
      </c>
      <c r="G28">
        <v>134.10764390327799</v>
      </c>
      <c r="H28">
        <v>10.095796687110701</v>
      </c>
      <c r="I28">
        <v>63.4750911951025</v>
      </c>
      <c r="J28">
        <v>59.381990938270903</v>
      </c>
      <c r="K28">
        <v>130590.083790349</v>
      </c>
      <c r="L28">
        <v>718.92329502101904</v>
      </c>
      <c r="M28">
        <v>0.125939802923068</v>
      </c>
      <c r="N28">
        <v>0.101902724338762</v>
      </c>
      <c r="O28">
        <v>0.60675998663441499</v>
      </c>
      <c r="P28" s="6">
        <v>7.6358633772053999E-2</v>
      </c>
      <c r="Q28">
        <v>0.82141464472700898</v>
      </c>
      <c r="R28">
        <v>0</v>
      </c>
      <c r="S28">
        <v>150</v>
      </c>
      <c r="T28">
        <v>2000</v>
      </c>
      <c r="U28">
        <v>1161076434.98</v>
      </c>
      <c r="V28">
        <v>8891</v>
      </c>
      <c r="W28" t="s">
        <v>28</v>
      </c>
    </row>
    <row r="29" spans="1:23" x14ac:dyDescent="0.25">
      <c r="A29">
        <v>0.98087415576701797</v>
      </c>
      <c r="B29" s="6">
        <v>20.684237828026699</v>
      </c>
      <c r="C29">
        <v>23.948656548807801</v>
      </c>
      <c r="D29">
        <v>0</v>
      </c>
      <c r="E29">
        <v>5.2040824689538301</v>
      </c>
      <c r="F29">
        <v>4.2353943553350399</v>
      </c>
      <c r="G29">
        <v>131.53372971447001</v>
      </c>
      <c r="H29">
        <v>34.344203304265598</v>
      </c>
      <c r="I29">
        <v>72.929287847566201</v>
      </c>
      <c r="J29">
        <v>56.644056673378302</v>
      </c>
      <c r="K29">
        <v>118087.034980707</v>
      </c>
      <c r="L29">
        <v>681.09112253249896</v>
      </c>
      <c r="M29">
        <v>8.4482743673133798E-2</v>
      </c>
      <c r="N29">
        <v>0.113168466083168</v>
      </c>
      <c r="O29">
        <v>0.66364520759047696</v>
      </c>
      <c r="P29" s="6">
        <v>2.77550318316186E-2</v>
      </c>
      <c r="Q29">
        <v>0.76491910308299105</v>
      </c>
      <c r="R29">
        <v>0</v>
      </c>
      <c r="S29">
        <v>150</v>
      </c>
      <c r="T29">
        <v>4000</v>
      </c>
      <c r="U29">
        <v>1101752036.3699999</v>
      </c>
      <c r="V29">
        <v>9330</v>
      </c>
      <c r="W29" t="s">
        <v>28</v>
      </c>
    </row>
    <row r="30" spans="1:23" x14ac:dyDescent="0.25">
      <c r="A30">
        <v>0.98215367573256696</v>
      </c>
      <c r="B30" s="6">
        <v>19.433711699074198</v>
      </c>
      <c r="C30">
        <v>20.389260984045901</v>
      </c>
      <c r="D30">
        <v>0</v>
      </c>
      <c r="E30">
        <v>5.2049040724306197</v>
      </c>
      <c r="F30">
        <v>4.2517276664970902</v>
      </c>
      <c r="G30">
        <v>134.49036897166499</v>
      </c>
      <c r="H30">
        <v>47.766017168095999</v>
      </c>
      <c r="I30">
        <v>72.949889439271402</v>
      </c>
      <c r="J30">
        <v>53.273789794071497</v>
      </c>
      <c r="K30">
        <v>123333.296887067</v>
      </c>
      <c r="L30">
        <v>694.34321338808195</v>
      </c>
      <c r="M30">
        <v>0.15278453090710001</v>
      </c>
      <c r="N30">
        <v>0.145318008349724</v>
      </c>
      <c r="O30">
        <v>0.65979333290659303</v>
      </c>
      <c r="P30" s="6">
        <v>4.9642234361021199E-2</v>
      </c>
      <c r="Q30">
        <v>0.76143526344927404</v>
      </c>
      <c r="R30">
        <v>0</v>
      </c>
      <c r="S30">
        <v>150</v>
      </c>
      <c r="T30">
        <v>6000</v>
      </c>
      <c r="U30">
        <v>6394214777.1099997</v>
      </c>
      <c r="V30">
        <v>51845</v>
      </c>
      <c r="W30" t="s">
        <v>28</v>
      </c>
    </row>
    <row r="31" spans="1:23" x14ac:dyDescent="0.25">
      <c r="A31">
        <v>0.98332311919551496</v>
      </c>
      <c r="B31" s="6">
        <v>18.274986447681499</v>
      </c>
      <c r="C31">
        <v>17.7803242082969</v>
      </c>
      <c r="D31">
        <v>0</v>
      </c>
      <c r="E31">
        <v>5.1263674902934602</v>
      </c>
      <c r="F31">
        <v>4.2474771880903903</v>
      </c>
      <c r="G31">
        <v>132.00012087118799</v>
      </c>
      <c r="H31">
        <v>79.788131619765494</v>
      </c>
      <c r="I31">
        <v>74.956945407871402</v>
      </c>
      <c r="J31">
        <v>51.361636355687899</v>
      </c>
      <c r="K31">
        <v>132432.68883229</v>
      </c>
      <c r="L31">
        <v>714.19175248506599</v>
      </c>
      <c r="M31">
        <v>0.15272140351798999</v>
      </c>
      <c r="N31">
        <v>7.5496772737984399E-2</v>
      </c>
      <c r="O31">
        <v>0.63340708944947799</v>
      </c>
      <c r="P31" s="6">
        <v>7.6944204862596899E-2</v>
      </c>
      <c r="Q31">
        <v>0.689608408494221</v>
      </c>
      <c r="R31">
        <v>0</v>
      </c>
      <c r="S31">
        <v>150</v>
      </c>
      <c r="T31">
        <v>8000</v>
      </c>
      <c r="U31">
        <v>5841870769.7700005</v>
      </c>
      <c r="V31">
        <v>44112</v>
      </c>
      <c r="W31" t="s">
        <v>28</v>
      </c>
    </row>
    <row r="32" spans="1:23" x14ac:dyDescent="0.25">
      <c r="A32">
        <v>0.98511419456146898</v>
      </c>
      <c r="B32" s="6">
        <v>16.4706844719441</v>
      </c>
      <c r="C32">
        <v>16.624376836497198</v>
      </c>
      <c r="D32">
        <v>0</v>
      </c>
      <c r="E32">
        <v>5.12167142952622</v>
      </c>
      <c r="F32">
        <v>4.2404951002168403</v>
      </c>
      <c r="G32">
        <v>133.024154074612</v>
      </c>
      <c r="H32">
        <v>90.037305950472103</v>
      </c>
      <c r="I32">
        <v>66.5905283304552</v>
      </c>
      <c r="J32">
        <v>42.892242624627698</v>
      </c>
      <c r="K32">
        <v>135222.80200277999</v>
      </c>
      <c r="L32">
        <v>756.68670395113895</v>
      </c>
      <c r="M32">
        <v>0.16150140374240499</v>
      </c>
      <c r="N32">
        <v>3.8798197561299597E-2</v>
      </c>
      <c r="O32">
        <v>0.68364642960784405</v>
      </c>
      <c r="P32" s="6">
        <v>0.11000481196480399</v>
      </c>
      <c r="Q32">
        <v>0.74947662879466104</v>
      </c>
      <c r="R32">
        <v>0</v>
      </c>
      <c r="S32">
        <v>150</v>
      </c>
      <c r="T32">
        <v>10000</v>
      </c>
      <c r="U32">
        <v>41143836296.980003</v>
      </c>
      <c r="V32">
        <v>304267</v>
      </c>
      <c r="W32" t="s">
        <v>28</v>
      </c>
    </row>
    <row r="33" spans="1:23" x14ac:dyDescent="0.25">
      <c r="A33">
        <v>0.98850387351397395</v>
      </c>
      <c r="B33" s="6">
        <v>12.955666234736301</v>
      </c>
      <c r="C33">
        <v>1.3167046927199999E-4</v>
      </c>
      <c r="D33">
        <v>0</v>
      </c>
      <c r="E33">
        <v>5.125</v>
      </c>
      <c r="F33">
        <v>4.2685719170557803</v>
      </c>
      <c r="G33">
        <v>132.165004501487</v>
      </c>
      <c r="H33">
        <v>87.172080246618904</v>
      </c>
      <c r="I33">
        <v>71.914837131754396</v>
      </c>
      <c r="J33">
        <v>50.223292241148002</v>
      </c>
      <c r="K33">
        <v>136704.82500000001</v>
      </c>
      <c r="L33">
        <v>777.20280721620395</v>
      </c>
      <c r="M33">
        <v>0</v>
      </c>
      <c r="N33">
        <v>0</v>
      </c>
      <c r="O33">
        <v>1</v>
      </c>
      <c r="P33" s="6">
        <v>0</v>
      </c>
      <c r="Q33">
        <v>0.37137844256777303</v>
      </c>
      <c r="R33">
        <v>0</v>
      </c>
      <c r="S33">
        <v>150</v>
      </c>
      <c r="T33">
        <v>12000</v>
      </c>
      <c r="U33">
        <v>273409.65000000002</v>
      </c>
      <c r="V33">
        <v>2</v>
      </c>
      <c r="W33" t="s">
        <v>28</v>
      </c>
    </row>
    <row r="34" spans="1:23" x14ac:dyDescent="0.25">
      <c r="A34">
        <v>0.98663101717017498</v>
      </c>
      <c r="B34" s="6">
        <v>14.9141829768354</v>
      </c>
      <c r="C34">
        <v>43.147922150603002</v>
      </c>
      <c r="D34">
        <v>0</v>
      </c>
      <c r="E34">
        <v>5.4438749976197904</v>
      </c>
      <c r="F34">
        <v>4.2421690929419897</v>
      </c>
      <c r="G34">
        <v>158.342136390815</v>
      </c>
      <c r="H34">
        <v>14.9047183851913</v>
      </c>
      <c r="I34">
        <v>58.336084082503397</v>
      </c>
      <c r="J34">
        <v>53.078604551954101</v>
      </c>
      <c r="K34">
        <v>103297.489154501</v>
      </c>
      <c r="L34">
        <v>724.56341804300303</v>
      </c>
      <c r="M34">
        <v>0.111383690305904</v>
      </c>
      <c r="N34">
        <v>3.4963805811190199E-2</v>
      </c>
      <c r="O34">
        <v>0.63709609100626596</v>
      </c>
      <c r="P34" s="6">
        <v>8.6323530717819202E-2</v>
      </c>
      <c r="Q34">
        <v>0.81054950737919296</v>
      </c>
      <c r="R34">
        <v>0</v>
      </c>
      <c r="S34">
        <v>175</v>
      </c>
      <c r="T34">
        <v>2000</v>
      </c>
      <c r="U34">
        <v>169821072.16999999</v>
      </c>
      <c r="V34">
        <v>1644</v>
      </c>
      <c r="W34" t="s">
        <v>28</v>
      </c>
    </row>
    <row r="35" spans="1:23" x14ac:dyDescent="0.25">
      <c r="A35">
        <v>0.98244148294804501</v>
      </c>
      <c r="B35" s="6">
        <v>19.1499479543604</v>
      </c>
      <c r="C35">
        <v>38.1924917057733</v>
      </c>
      <c r="D35">
        <v>0</v>
      </c>
      <c r="E35">
        <v>5.4010891663392204</v>
      </c>
      <c r="F35">
        <v>4.25175899914385</v>
      </c>
      <c r="G35">
        <v>156.734508669869</v>
      </c>
      <c r="H35">
        <v>39.414969592684699</v>
      </c>
      <c r="I35">
        <v>65.592163938151003</v>
      </c>
      <c r="J35">
        <v>51.813284763640901</v>
      </c>
      <c r="K35">
        <v>89620.580938123705</v>
      </c>
      <c r="L35">
        <v>709.20697171581503</v>
      </c>
      <c r="M35">
        <v>9.2518900880985105E-2</v>
      </c>
      <c r="N35">
        <v>0.16588032639320699</v>
      </c>
      <c r="O35">
        <v>0.769446274882987</v>
      </c>
      <c r="P35" s="6">
        <v>1.36176133916862E-2</v>
      </c>
      <c r="Q35">
        <v>0.86306569331165695</v>
      </c>
      <c r="R35">
        <v>0</v>
      </c>
      <c r="S35">
        <v>175</v>
      </c>
      <c r="T35">
        <v>4000</v>
      </c>
      <c r="U35">
        <v>44899911.049999997</v>
      </c>
      <c r="V35">
        <v>501</v>
      </c>
      <c r="W35" t="s">
        <v>28</v>
      </c>
    </row>
    <row r="36" spans="1:23" x14ac:dyDescent="0.25">
      <c r="A36">
        <v>0.981687984123915</v>
      </c>
      <c r="B36" s="6">
        <v>19.890927582653699</v>
      </c>
      <c r="C36">
        <v>19.004656578162798</v>
      </c>
      <c r="D36">
        <v>0</v>
      </c>
      <c r="E36">
        <v>5.3805341122592196</v>
      </c>
      <c r="F36">
        <v>4.2286828342587501</v>
      </c>
      <c r="G36">
        <v>156.22821455225599</v>
      </c>
      <c r="H36">
        <v>51.514783485275899</v>
      </c>
      <c r="I36">
        <v>74.703396700963694</v>
      </c>
      <c r="J36">
        <v>52.679859527010201</v>
      </c>
      <c r="K36">
        <v>116098.935796052</v>
      </c>
      <c r="L36">
        <v>688.23112389077903</v>
      </c>
      <c r="M36">
        <v>0.113079240153384</v>
      </c>
      <c r="N36">
        <v>0.116696132326922</v>
      </c>
      <c r="O36">
        <v>0.63465038294524301</v>
      </c>
      <c r="P36" s="6">
        <v>4.1143323093907197E-2</v>
      </c>
      <c r="Q36">
        <v>0.761013845643425</v>
      </c>
      <c r="R36">
        <v>0</v>
      </c>
      <c r="S36">
        <v>175</v>
      </c>
      <c r="T36">
        <v>6000</v>
      </c>
      <c r="U36">
        <v>705881529.63999999</v>
      </c>
      <c r="V36">
        <v>6080</v>
      </c>
      <c r="W36" t="s">
        <v>28</v>
      </c>
    </row>
    <row r="37" spans="1:23" x14ac:dyDescent="0.25">
      <c r="A37">
        <v>0.98420157940298003</v>
      </c>
      <c r="B37" s="6">
        <v>17.394551859646999</v>
      </c>
      <c r="C37">
        <v>14.6701800671109</v>
      </c>
      <c r="D37">
        <v>0</v>
      </c>
      <c r="E37">
        <v>5.3962829400567003</v>
      </c>
      <c r="F37">
        <v>4.2501571386986496</v>
      </c>
      <c r="G37">
        <v>158.74793325121399</v>
      </c>
      <c r="H37">
        <v>50.5458584209984</v>
      </c>
      <c r="I37">
        <v>66.711244429594799</v>
      </c>
      <c r="J37">
        <v>48.258505699110998</v>
      </c>
      <c r="K37" s="6">
        <v>92783.734925860699</v>
      </c>
      <c r="L37" s="6">
        <v>713.82822777408603</v>
      </c>
      <c r="M37">
        <v>0.227871641820694</v>
      </c>
      <c r="N37" s="6">
        <v>8.9210384361049194E-2</v>
      </c>
      <c r="O37">
        <v>0.76462181485879499</v>
      </c>
      <c r="P37" s="6">
        <v>5.8620087470571701E-2</v>
      </c>
      <c r="Q37">
        <v>0.88525035193794699</v>
      </c>
      <c r="R37">
        <v>0</v>
      </c>
      <c r="S37">
        <v>175</v>
      </c>
      <c r="T37">
        <v>8000</v>
      </c>
      <c r="U37">
        <v>738372962.53999996</v>
      </c>
      <c r="V37">
        <v>7958</v>
      </c>
      <c r="W37" t="s">
        <v>28</v>
      </c>
    </row>
    <row r="38" spans="1:23" x14ac:dyDescent="0.25">
      <c r="A38">
        <v>0.98472734526613404</v>
      </c>
      <c r="B38" s="6">
        <v>16.863453847441601</v>
      </c>
      <c r="C38">
        <v>16.420308642561299</v>
      </c>
      <c r="D38">
        <v>0</v>
      </c>
      <c r="E38">
        <v>5.3463583052534496</v>
      </c>
      <c r="F38">
        <v>4.2318458048076399</v>
      </c>
      <c r="G38">
        <v>156.72057313100001</v>
      </c>
      <c r="H38">
        <v>88.084377687589594</v>
      </c>
      <c r="I38">
        <v>68.141102366781595</v>
      </c>
      <c r="J38">
        <v>44.974352935613197</v>
      </c>
      <c r="K38">
        <v>126570.908833102</v>
      </c>
      <c r="L38">
        <v>740.282316796955</v>
      </c>
      <c r="M38">
        <v>0.212467121684184</v>
      </c>
      <c r="N38">
        <v>2.79433385344398E-2</v>
      </c>
      <c r="O38">
        <v>0.71995075344520398</v>
      </c>
      <c r="P38" s="6">
        <v>0.21831259924914601</v>
      </c>
      <c r="Q38">
        <v>0.79821479710850696</v>
      </c>
      <c r="R38">
        <v>0</v>
      </c>
      <c r="S38">
        <v>175</v>
      </c>
      <c r="T38">
        <v>10000</v>
      </c>
      <c r="U38">
        <v>2372191973.3499999</v>
      </c>
      <c r="V38">
        <v>18742</v>
      </c>
      <c r="W38" t="s">
        <v>28</v>
      </c>
    </row>
    <row r="39" spans="1:23" x14ac:dyDescent="0.25">
      <c r="A39">
        <v>0.98492339762375802</v>
      </c>
      <c r="B39" s="6">
        <v>16.664613319303601</v>
      </c>
      <c r="C39">
        <v>41.283072593580002</v>
      </c>
      <c r="D39">
        <v>0</v>
      </c>
      <c r="E39">
        <v>5.6326415029374903</v>
      </c>
      <c r="F39">
        <v>4.2461035336789097</v>
      </c>
      <c r="G39">
        <v>182.15171453175401</v>
      </c>
      <c r="H39">
        <v>34.026303168544203</v>
      </c>
      <c r="I39">
        <v>55.491247069495401</v>
      </c>
      <c r="J39">
        <v>42.8705074296672</v>
      </c>
      <c r="K39">
        <v>94084.563419354803</v>
      </c>
      <c r="L39">
        <v>727.80423015510996</v>
      </c>
      <c r="M39">
        <v>5.9944629098467997E-2</v>
      </c>
      <c r="N39">
        <v>4.38186029588798E-2</v>
      </c>
      <c r="O39">
        <v>0.722181384370295</v>
      </c>
      <c r="P39" s="6">
        <v>3.71612577303852E-2</v>
      </c>
      <c r="Q39">
        <v>0.83103029181367205</v>
      </c>
      <c r="R39">
        <v>0</v>
      </c>
      <c r="S39">
        <v>200</v>
      </c>
      <c r="T39">
        <v>2000</v>
      </c>
      <c r="U39">
        <v>14583107.33</v>
      </c>
      <c r="V39">
        <v>155</v>
      </c>
      <c r="W39" t="s">
        <v>28</v>
      </c>
    </row>
    <row r="40" spans="1:23" x14ac:dyDescent="0.25">
      <c r="A40">
        <v>0.98265484492939004</v>
      </c>
      <c r="B40" s="6">
        <v>18.938992524487698</v>
      </c>
      <c r="C40">
        <v>24.874315199201501</v>
      </c>
      <c r="D40">
        <v>0</v>
      </c>
      <c r="E40">
        <v>5.6574445913390301</v>
      </c>
      <c r="F40">
        <v>4.34595121773771</v>
      </c>
      <c r="G40">
        <v>184.05808441717201</v>
      </c>
      <c r="H40">
        <v>66.922779602365296</v>
      </c>
      <c r="I40">
        <v>64.332429765777306</v>
      </c>
      <c r="J40">
        <v>38.0888615768337</v>
      </c>
      <c r="K40">
        <v>119746.433488372</v>
      </c>
      <c r="L40">
        <v>732.31916476906497</v>
      </c>
      <c r="M40">
        <v>0.21341125382334999</v>
      </c>
      <c r="N40">
        <v>0.24941972151448999</v>
      </c>
      <c r="O40">
        <v>0.725831108114529</v>
      </c>
      <c r="P40" s="6">
        <v>0.108058247669633</v>
      </c>
      <c r="Q40">
        <v>0.97974615990116598</v>
      </c>
      <c r="R40">
        <v>0</v>
      </c>
      <c r="S40">
        <v>200</v>
      </c>
      <c r="T40">
        <v>4000</v>
      </c>
      <c r="U40">
        <v>5149096.6399999997</v>
      </c>
      <c r="V40">
        <v>43</v>
      </c>
      <c r="W40" t="s">
        <v>28</v>
      </c>
    </row>
    <row r="41" spans="1:23" x14ac:dyDescent="0.25">
      <c r="A41">
        <v>0.98338711360322095</v>
      </c>
      <c r="B41" s="6">
        <v>18.211139891372301</v>
      </c>
      <c r="C41">
        <v>20.118393519433798</v>
      </c>
      <c r="D41">
        <v>0</v>
      </c>
      <c r="E41">
        <v>5.6215651936878501</v>
      </c>
      <c r="F41">
        <v>4.2561916166635498</v>
      </c>
      <c r="G41">
        <v>182.39360014073901</v>
      </c>
      <c r="H41">
        <v>72.905397680305995</v>
      </c>
      <c r="I41">
        <v>71.704204248062695</v>
      </c>
      <c r="J41">
        <v>42.932737549421098</v>
      </c>
      <c r="K41">
        <v>93422.969896907205</v>
      </c>
      <c r="L41">
        <v>714.76736479887404</v>
      </c>
      <c r="M41">
        <v>6.4921657139689601E-2</v>
      </c>
      <c r="N41">
        <v>0.11119845067838199</v>
      </c>
      <c r="O41">
        <v>0.60598367457276703</v>
      </c>
      <c r="P41" s="6">
        <v>3.1535023669889098E-2</v>
      </c>
      <c r="Q41">
        <v>0.78475622037578097</v>
      </c>
      <c r="R41">
        <v>0</v>
      </c>
      <c r="S41">
        <v>200</v>
      </c>
      <c r="T41">
        <v>6000</v>
      </c>
      <c r="U41">
        <v>36248112.32</v>
      </c>
      <c r="V41">
        <v>388</v>
      </c>
      <c r="W41" t="s">
        <v>28</v>
      </c>
    </row>
    <row r="42" spans="1:23" x14ac:dyDescent="0.25">
      <c r="A42">
        <v>0.98386193655100096</v>
      </c>
      <c r="B42" s="6">
        <v>17.7359838618287</v>
      </c>
      <c r="C42">
        <v>13.6364791528792</v>
      </c>
      <c r="D42">
        <v>0</v>
      </c>
      <c r="E42">
        <v>5.5484370517799304</v>
      </c>
      <c r="F42">
        <v>4.2502323595030704</v>
      </c>
      <c r="G42">
        <v>182.74385073456901</v>
      </c>
      <c r="H42">
        <v>54.027598307785397</v>
      </c>
      <c r="I42">
        <v>70.582166524316406</v>
      </c>
      <c r="J42">
        <v>49.382274413280399</v>
      </c>
      <c r="K42">
        <v>94189.162651933701</v>
      </c>
      <c r="L42">
        <v>705.36635601865703</v>
      </c>
      <c r="M42">
        <v>0.16113354504834401</v>
      </c>
      <c r="N42">
        <v>5.5810595623430603E-2</v>
      </c>
      <c r="O42">
        <v>0.757210452100332</v>
      </c>
      <c r="P42" s="6">
        <v>6.6433781647648002E-2</v>
      </c>
      <c r="Q42">
        <v>0.87741130993159999</v>
      </c>
      <c r="R42">
        <v>0</v>
      </c>
      <c r="S42">
        <v>200</v>
      </c>
      <c r="T42">
        <v>8000</v>
      </c>
      <c r="U42">
        <v>102289430.64</v>
      </c>
      <c r="V42">
        <v>1086</v>
      </c>
      <c r="W42" t="s">
        <v>28</v>
      </c>
    </row>
    <row r="43" spans="1:23" x14ac:dyDescent="0.25">
      <c r="A43">
        <v>0.98468041177858701</v>
      </c>
      <c r="B43" s="6">
        <v>16.910990238943501</v>
      </c>
      <c r="C43">
        <v>10.152792210903501</v>
      </c>
      <c r="D43">
        <v>0</v>
      </c>
      <c r="E43">
        <v>5.4954718012674704</v>
      </c>
      <c r="F43">
        <v>4.2596412373910404</v>
      </c>
      <c r="G43">
        <v>182.02142921744601</v>
      </c>
      <c r="H43">
        <v>81.399551008418896</v>
      </c>
      <c r="I43">
        <v>69.156210815859794</v>
      </c>
      <c r="J43">
        <v>46.078694330495097</v>
      </c>
      <c r="K43">
        <v>99887.724191449801</v>
      </c>
      <c r="L43" s="6">
        <v>725.08566935575698</v>
      </c>
      <c r="M43">
        <v>0.19522709056395601</v>
      </c>
      <c r="N43">
        <v>3.03296924055203E-2</v>
      </c>
      <c r="O43">
        <v>0.73818941715160802</v>
      </c>
      <c r="P43" s="6">
        <v>0.176173788649749</v>
      </c>
      <c r="Q43">
        <v>0.84371283587300205</v>
      </c>
      <c r="R43">
        <v>0</v>
      </c>
      <c r="S43">
        <v>200</v>
      </c>
      <c r="T43">
        <v>10000</v>
      </c>
      <c r="U43">
        <v>107479191.23</v>
      </c>
      <c r="V43">
        <v>1076</v>
      </c>
      <c r="W43" t="s">
        <v>28</v>
      </c>
    </row>
    <row r="44" spans="1:23" x14ac:dyDescent="0.25">
      <c r="A44">
        <v>0.97931134732737501</v>
      </c>
      <c r="B44" s="6">
        <v>22.1874871108752</v>
      </c>
      <c r="C44">
        <v>1.45776474697706</v>
      </c>
      <c r="D44">
        <v>0</v>
      </c>
      <c r="E44">
        <v>5.9382316831216899</v>
      </c>
      <c r="F44">
        <v>4.2752365834870103</v>
      </c>
      <c r="G44">
        <v>207.59759561684299</v>
      </c>
      <c r="H44">
        <v>64.253183799995398</v>
      </c>
      <c r="I44">
        <v>63.253635542344199</v>
      </c>
      <c r="J44">
        <v>30.864359717122198</v>
      </c>
      <c r="K44" s="6">
        <v>135295.20000000001</v>
      </c>
      <c r="L44" s="6">
        <v>761.33633403106603</v>
      </c>
      <c r="M44">
        <v>0</v>
      </c>
      <c r="N44">
        <v>0</v>
      </c>
      <c r="O44">
        <v>0.46039517398146501</v>
      </c>
      <c r="P44" s="6">
        <v>0</v>
      </c>
      <c r="Q44">
        <v>1</v>
      </c>
      <c r="R44">
        <v>0</v>
      </c>
      <c r="S44">
        <v>225</v>
      </c>
      <c r="T44">
        <v>2000</v>
      </c>
      <c r="U44">
        <v>947066.4</v>
      </c>
      <c r="V44">
        <v>7</v>
      </c>
      <c r="W44" t="s">
        <v>28</v>
      </c>
    </row>
    <row r="45" spans="1:23" x14ac:dyDescent="0.25">
      <c r="A45">
        <v>0.97975307947282197</v>
      </c>
      <c r="B45">
        <v>21.765259520842498</v>
      </c>
      <c r="C45">
        <v>0.266731905501494</v>
      </c>
      <c r="D45">
        <v>0</v>
      </c>
      <c r="E45">
        <v>5.90583909083196</v>
      </c>
      <c r="F45">
        <v>4.2468892041425104</v>
      </c>
      <c r="G45">
        <v>211.712128955688</v>
      </c>
      <c r="H45">
        <v>78.3790068667643</v>
      </c>
      <c r="I45">
        <v>65.592442597982796</v>
      </c>
      <c r="J45">
        <v>29.496142583150299</v>
      </c>
      <c r="K45">
        <v>220311.24076923</v>
      </c>
      <c r="L45">
        <v>774.10954407357895</v>
      </c>
      <c r="M45">
        <v>0</v>
      </c>
      <c r="N45">
        <v>0</v>
      </c>
      <c r="O45">
        <v>0.70678376608410198</v>
      </c>
      <c r="P45">
        <v>0</v>
      </c>
      <c r="Q45">
        <v>1</v>
      </c>
      <c r="R45">
        <v>0</v>
      </c>
      <c r="S45">
        <v>225</v>
      </c>
      <c r="T45">
        <v>4000</v>
      </c>
      <c r="U45">
        <v>2864046.13</v>
      </c>
      <c r="V45">
        <v>13</v>
      </c>
      <c r="W45" t="s">
        <v>28</v>
      </c>
    </row>
    <row r="46" spans="1:23" x14ac:dyDescent="0.25">
      <c r="A46">
        <v>0.98261462944497402</v>
      </c>
      <c r="B46">
        <v>18.978792957316401</v>
      </c>
      <c r="C46">
        <v>52.1774270646209</v>
      </c>
      <c r="D46">
        <v>0</v>
      </c>
      <c r="E46">
        <v>5.87590372778042</v>
      </c>
      <c r="F46">
        <v>4.3255139738055597</v>
      </c>
      <c r="G46">
        <v>210.543398748584</v>
      </c>
      <c r="H46">
        <v>71.270581808844895</v>
      </c>
      <c r="I46">
        <v>73.356873023827205</v>
      </c>
      <c r="J46">
        <v>45.133089672640203</v>
      </c>
      <c r="K46">
        <v>116516.17724999999</v>
      </c>
      <c r="L46">
        <v>714.247823393982</v>
      </c>
      <c r="M46">
        <v>0.118920495222477</v>
      </c>
      <c r="N46">
        <v>0</v>
      </c>
      <c r="O46">
        <v>0.61059723361289697</v>
      </c>
      <c r="P46">
        <v>0.132552044398624</v>
      </c>
      <c r="Q46">
        <v>0.66451405570808797</v>
      </c>
      <c r="R46">
        <v>0</v>
      </c>
      <c r="S46">
        <v>225</v>
      </c>
      <c r="T46">
        <v>6000</v>
      </c>
      <c r="U46">
        <v>4660647.09</v>
      </c>
      <c r="V46">
        <v>40</v>
      </c>
      <c r="W46" t="s">
        <v>28</v>
      </c>
    </row>
    <row r="47" spans="1:23" x14ac:dyDescent="0.25">
      <c r="A47">
        <v>0.98315229243500202</v>
      </c>
      <c r="B47">
        <v>18.445194845642899</v>
      </c>
      <c r="C47">
        <v>13.992031492425699</v>
      </c>
      <c r="D47">
        <v>0</v>
      </c>
      <c r="E47">
        <v>5.6155638647318602</v>
      </c>
      <c r="F47">
        <v>4.27422718539973</v>
      </c>
      <c r="G47">
        <v>209.680316440762</v>
      </c>
      <c r="H47">
        <v>63.607255988470698</v>
      </c>
      <c r="I47">
        <v>74.452387761132599</v>
      </c>
      <c r="J47">
        <v>48.740329108671403</v>
      </c>
      <c r="K47">
        <v>111853.406142131</v>
      </c>
      <c r="L47">
        <v>694.33381830064195</v>
      </c>
      <c r="M47">
        <v>9.52178964230702E-2</v>
      </c>
      <c r="N47">
        <v>4.1448393207621399E-2</v>
      </c>
      <c r="O47">
        <v>0.73420249485618705</v>
      </c>
      <c r="P47">
        <v>1.7079424244105801E-2</v>
      </c>
      <c r="Q47">
        <v>0.85229694320612204</v>
      </c>
      <c r="R47">
        <v>0</v>
      </c>
      <c r="S47">
        <v>225</v>
      </c>
      <c r="T47">
        <v>8000</v>
      </c>
      <c r="U47">
        <v>22035121.010000002</v>
      </c>
      <c r="V47">
        <v>197</v>
      </c>
      <c r="W47" t="s">
        <v>28</v>
      </c>
    </row>
    <row r="48" spans="1:23" x14ac:dyDescent="0.25">
      <c r="A48">
        <v>0.98355540611491998</v>
      </c>
      <c r="B48">
        <v>18.043017910145799</v>
      </c>
      <c r="C48">
        <v>7.0944412060642303</v>
      </c>
      <c r="D48">
        <v>0</v>
      </c>
      <c r="E48">
        <v>5.3844470056819498</v>
      </c>
      <c r="F48">
        <v>4.2944594602452399</v>
      </c>
      <c r="G48">
        <v>211.45110415584699</v>
      </c>
      <c r="H48">
        <v>67.891470325217</v>
      </c>
      <c r="I48">
        <v>73.781730786400701</v>
      </c>
      <c r="J48">
        <v>51.318171321920303</v>
      </c>
      <c r="K48">
        <v>109443.68668316799</v>
      </c>
      <c r="L48">
        <v>693.38890336174802</v>
      </c>
      <c r="M48">
        <v>0.19360101531233201</v>
      </c>
      <c r="N48">
        <v>4.6184378167870499E-3</v>
      </c>
      <c r="O48">
        <v>0.83586798954666996</v>
      </c>
      <c r="P48">
        <v>8.1510710609489001E-2</v>
      </c>
      <c r="Q48">
        <v>0.90068067018494202</v>
      </c>
      <c r="R48">
        <v>0</v>
      </c>
      <c r="S48">
        <v>225</v>
      </c>
      <c r="T48">
        <v>10000</v>
      </c>
      <c r="U48">
        <v>22107624.710000001</v>
      </c>
      <c r="V48">
        <v>202</v>
      </c>
      <c r="W48" t="s">
        <v>28</v>
      </c>
    </row>
    <row r="49" spans="1:23" x14ac:dyDescent="0.25">
      <c r="A49">
        <v>0.98121549462771795</v>
      </c>
      <c r="B49">
        <v>20.352385716018201</v>
      </c>
      <c r="C49">
        <v>0.334347541879365</v>
      </c>
      <c r="D49">
        <v>0</v>
      </c>
      <c r="E49">
        <v>6</v>
      </c>
      <c r="F49">
        <v>4.2036729130116903</v>
      </c>
      <c r="G49">
        <v>227.680687465738</v>
      </c>
      <c r="H49">
        <v>76.499312534261094</v>
      </c>
      <c r="I49">
        <v>72</v>
      </c>
      <c r="J49">
        <v>32.245103119860801</v>
      </c>
      <c r="K49">
        <v>168284.75</v>
      </c>
      <c r="L49">
        <v>734</v>
      </c>
      <c r="M49">
        <v>0</v>
      </c>
      <c r="N49">
        <v>0</v>
      </c>
      <c r="O49">
        <v>0</v>
      </c>
      <c r="P49">
        <v>0</v>
      </c>
      <c r="Q49">
        <v>1</v>
      </c>
      <c r="R49">
        <v>0</v>
      </c>
      <c r="S49">
        <v>250</v>
      </c>
      <c r="T49">
        <v>4000</v>
      </c>
      <c r="U49">
        <v>336569.5</v>
      </c>
      <c r="V49">
        <v>2</v>
      </c>
      <c r="W49" t="s">
        <v>28</v>
      </c>
    </row>
    <row r="50" spans="1:23" x14ac:dyDescent="0.25">
      <c r="A50">
        <v>0.98245229446556603</v>
      </c>
      <c r="B50">
        <v>19.1392704981088</v>
      </c>
      <c r="C50">
        <v>0.35847492701651701</v>
      </c>
      <c r="D50">
        <v>0</v>
      </c>
      <c r="E50">
        <v>6.0073544326335897</v>
      </c>
      <c r="F50">
        <v>4.2772202235977197</v>
      </c>
      <c r="G50">
        <v>232.32591728408499</v>
      </c>
      <c r="H50">
        <v>80.690801947878199</v>
      </c>
      <c r="I50">
        <v>75.671462789651898</v>
      </c>
      <c r="J50">
        <v>44.3965589987451</v>
      </c>
      <c r="K50">
        <v>138497.10875000001</v>
      </c>
      <c r="L50">
        <v>727.18050419229405</v>
      </c>
      <c r="M50">
        <v>0</v>
      </c>
      <c r="N50">
        <v>0</v>
      </c>
      <c r="O50">
        <v>0.53475898824494394</v>
      </c>
      <c r="P50">
        <v>0</v>
      </c>
      <c r="Q50">
        <v>0.50129861465429304</v>
      </c>
      <c r="R50">
        <v>0</v>
      </c>
      <c r="S50">
        <v>250</v>
      </c>
      <c r="T50">
        <v>6000</v>
      </c>
      <c r="U50">
        <v>1107976.8700000001</v>
      </c>
      <c r="V50">
        <v>8</v>
      </c>
      <c r="W50" t="s">
        <v>28</v>
      </c>
    </row>
    <row r="51" spans="1:23" x14ac:dyDescent="0.25">
      <c r="A51">
        <v>0.98369734782325502</v>
      </c>
      <c r="B51">
        <v>17.900973828111901</v>
      </c>
      <c r="C51">
        <v>24.672204731671599</v>
      </c>
      <c r="D51">
        <v>0</v>
      </c>
      <c r="E51">
        <v>5.8510627179282704</v>
      </c>
      <c r="F51">
        <v>4.2372647287574798</v>
      </c>
      <c r="G51">
        <v>235.49606820415701</v>
      </c>
      <c r="H51">
        <v>74.546732657168107</v>
      </c>
      <c r="I51">
        <v>76.347681264096806</v>
      </c>
      <c r="J51">
        <v>46.242285575124001</v>
      </c>
      <c r="K51">
        <v>122064.119565217</v>
      </c>
      <c r="L51">
        <v>710.39797562916601</v>
      </c>
      <c r="M51">
        <v>0</v>
      </c>
      <c r="N51">
        <v>5.5047595708563303E-2</v>
      </c>
      <c r="O51">
        <v>0.56492897042083801</v>
      </c>
      <c r="P51">
        <v>0</v>
      </c>
      <c r="Q51">
        <v>0.65105716266904901</v>
      </c>
      <c r="R51">
        <v>0</v>
      </c>
      <c r="S51">
        <v>250</v>
      </c>
      <c r="T51">
        <v>8000</v>
      </c>
      <c r="U51">
        <v>5614949.5</v>
      </c>
      <c r="V51">
        <v>46</v>
      </c>
      <c r="W51" t="s">
        <v>28</v>
      </c>
    </row>
    <row r="52" spans="1:23" x14ac:dyDescent="0.25">
      <c r="A52">
        <v>0.98338571287725696</v>
      </c>
      <c r="B52">
        <v>18.212537870428299</v>
      </c>
      <c r="C52">
        <v>25.036345604294599</v>
      </c>
      <c r="D52">
        <v>0</v>
      </c>
      <c r="E52">
        <v>5.2971927099096199</v>
      </c>
      <c r="F52">
        <v>4.2438812712768801</v>
      </c>
      <c r="G52">
        <v>233.75961390507999</v>
      </c>
      <c r="H52">
        <v>56.042045040316097</v>
      </c>
      <c r="I52">
        <v>75.269810068317696</v>
      </c>
      <c r="J52">
        <v>53.929300864367001</v>
      </c>
      <c r="K52">
        <v>119886.104512195</v>
      </c>
      <c r="L52">
        <v>702.45781135946504</v>
      </c>
      <c r="M52">
        <v>0.15832263955381301</v>
      </c>
      <c r="N52">
        <v>4.17028161109625E-2</v>
      </c>
      <c r="O52">
        <v>0.90744615038620902</v>
      </c>
      <c r="P52">
        <v>0</v>
      </c>
      <c r="Q52">
        <v>1</v>
      </c>
      <c r="R52">
        <v>0</v>
      </c>
      <c r="S52">
        <v>250</v>
      </c>
      <c r="T52">
        <v>10000</v>
      </c>
      <c r="U52">
        <v>9830660.5700000003</v>
      </c>
      <c r="V52">
        <v>82</v>
      </c>
      <c r="W52" t="s">
        <v>28</v>
      </c>
    </row>
    <row r="53" spans="1:23" x14ac:dyDescent="0.25">
      <c r="A53">
        <v>0.98530719396251998</v>
      </c>
      <c r="B53" s="6">
        <v>16.274096213758401</v>
      </c>
      <c r="C53" s="6">
        <v>16.274096213758401</v>
      </c>
      <c r="D53">
        <v>0</v>
      </c>
      <c r="E53">
        <v>5.125</v>
      </c>
      <c r="F53">
        <v>4.3700227752523304</v>
      </c>
      <c r="G53">
        <v>-77.966021917483502</v>
      </c>
      <c r="H53">
        <v>86.998669938064396</v>
      </c>
      <c r="I53">
        <v>80</v>
      </c>
      <c r="J53">
        <v>88.831251851682595</v>
      </c>
      <c r="K53" s="6">
        <v>119488.17</v>
      </c>
      <c r="L53" s="6">
        <v>674</v>
      </c>
      <c r="M53">
        <v>0</v>
      </c>
      <c r="N53" s="6">
        <v>0</v>
      </c>
      <c r="O53">
        <v>0</v>
      </c>
      <c r="P53" s="6">
        <v>1</v>
      </c>
      <c r="Q53">
        <v>0</v>
      </c>
      <c r="R53">
        <v>0</v>
      </c>
      <c r="S53">
        <v>-50</v>
      </c>
      <c r="T53">
        <v>2000</v>
      </c>
      <c r="U53">
        <v>358464.51</v>
      </c>
      <c r="V53">
        <v>3</v>
      </c>
      <c r="W53" t="s">
        <v>25</v>
      </c>
    </row>
    <row r="54" spans="1:23" x14ac:dyDescent="0.25">
      <c r="A54">
        <v>0.99221381976859102</v>
      </c>
      <c r="B54" s="6">
        <v>8.9534989669207601</v>
      </c>
      <c r="C54" s="6">
        <v>8.9534989669207601</v>
      </c>
      <c r="D54">
        <v>0</v>
      </c>
      <c r="E54">
        <v>4.1706825209449603</v>
      </c>
      <c r="F54">
        <v>4.52620932401455</v>
      </c>
      <c r="G54">
        <v>-58.044858529319598</v>
      </c>
      <c r="H54">
        <v>58.119886586390002</v>
      </c>
      <c r="I54">
        <v>65.125136541416794</v>
      </c>
      <c r="J54">
        <v>62.147665997671602</v>
      </c>
      <c r="K54">
        <v>130445.452413793</v>
      </c>
      <c r="L54" s="6">
        <v>685.04970698652005</v>
      </c>
      <c r="M54">
        <v>0</v>
      </c>
      <c r="N54" s="6">
        <v>7.9995926530918401E-2</v>
      </c>
      <c r="O54">
        <v>0.80433622761044499</v>
      </c>
      <c r="P54" s="6">
        <v>0.66657759433608799</v>
      </c>
      <c r="Q54">
        <v>0.51033132591302199</v>
      </c>
      <c r="R54">
        <v>0</v>
      </c>
      <c r="S54">
        <v>-25</v>
      </c>
      <c r="T54">
        <v>2000</v>
      </c>
      <c r="U54">
        <v>3782918.12</v>
      </c>
      <c r="V54">
        <v>29</v>
      </c>
      <c r="W54" t="s">
        <v>25</v>
      </c>
    </row>
    <row r="55" spans="1:23" x14ac:dyDescent="0.25">
      <c r="A55">
        <v>0.99453478946053098</v>
      </c>
      <c r="B55" s="6">
        <v>6.3646678287545697</v>
      </c>
      <c r="C55" s="6">
        <v>6.3646678287545697</v>
      </c>
      <c r="D55">
        <v>0</v>
      </c>
      <c r="E55">
        <v>4.5734529982070198</v>
      </c>
      <c r="F55">
        <v>4.4941605690581996</v>
      </c>
      <c r="G55">
        <v>-34.0525803577804</v>
      </c>
      <c r="H55">
        <v>23.1493617451757</v>
      </c>
      <c r="I55">
        <v>75.092062012119001</v>
      </c>
      <c r="J55">
        <v>69.424861288668794</v>
      </c>
      <c r="K55">
        <v>156156.077355371</v>
      </c>
      <c r="L55" s="6">
        <v>660.90909809785603</v>
      </c>
      <c r="M55">
        <v>0</v>
      </c>
      <c r="N55">
        <v>9.5058153610305798E-2</v>
      </c>
      <c r="O55">
        <v>0.58888151253646903</v>
      </c>
      <c r="P55" s="6">
        <v>0.10644182574707001</v>
      </c>
      <c r="Q55">
        <v>0.22954706616965601</v>
      </c>
      <c r="R55">
        <v>0</v>
      </c>
      <c r="S55">
        <v>0</v>
      </c>
      <c r="T55">
        <v>2000</v>
      </c>
      <c r="U55">
        <v>37789770.719999999</v>
      </c>
      <c r="V55">
        <v>242</v>
      </c>
      <c r="W55" t="s">
        <v>25</v>
      </c>
    </row>
    <row r="56" spans="1:23" x14ac:dyDescent="0.25">
      <c r="A56">
        <v>0.98677689909140198</v>
      </c>
      <c r="B56" s="6">
        <v>14.763092066527999</v>
      </c>
      <c r="C56" s="6">
        <v>14.763092066527999</v>
      </c>
      <c r="D56">
        <v>0</v>
      </c>
      <c r="E56">
        <v>5</v>
      </c>
      <c r="F56">
        <v>4.3876715390759404</v>
      </c>
      <c r="G56">
        <v>-37.434862243754303</v>
      </c>
      <c r="H56">
        <v>93.497343270128894</v>
      </c>
      <c r="I56">
        <v>74</v>
      </c>
      <c r="J56">
        <v>82.948218123444704</v>
      </c>
      <c r="K56">
        <v>125499.21</v>
      </c>
      <c r="L56">
        <v>674</v>
      </c>
      <c r="M56">
        <v>0</v>
      </c>
      <c r="N56">
        <v>0</v>
      </c>
      <c r="O56">
        <v>1</v>
      </c>
      <c r="P56" s="6">
        <v>1</v>
      </c>
      <c r="Q56">
        <v>1</v>
      </c>
      <c r="R56">
        <v>0</v>
      </c>
      <c r="S56">
        <v>0</v>
      </c>
      <c r="T56">
        <v>4000</v>
      </c>
      <c r="U56">
        <v>501996.84</v>
      </c>
      <c r="V56">
        <v>4</v>
      </c>
      <c r="W56" t="s">
        <v>25</v>
      </c>
    </row>
    <row r="57" spans="1:23" x14ac:dyDescent="0.25">
      <c r="A57">
        <v>0.99138805027851495</v>
      </c>
      <c r="B57" s="6">
        <v>9.8586292721314805</v>
      </c>
      <c r="C57" s="6">
        <v>9.8586292721314805</v>
      </c>
      <c r="D57">
        <v>0</v>
      </c>
      <c r="E57">
        <v>4.7957981574109603</v>
      </c>
      <c r="F57">
        <v>4.5371537349709898</v>
      </c>
      <c r="G57">
        <v>14.2505219085908</v>
      </c>
      <c r="H57">
        <v>14.317896013129401</v>
      </c>
      <c r="I57">
        <v>76.366914325145899</v>
      </c>
      <c r="J57">
        <v>71.257621228641796</v>
      </c>
      <c r="K57">
        <v>168000.42747128601</v>
      </c>
      <c r="L57">
        <v>651.53026838428605</v>
      </c>
      <c r="M57">
        <v>6.4330160949469001E-2</v>
      </c>
      <c r="N57">
        <v>0.15455904252078501</v>
      </c>
      <c r="O57">
        <v>0.58105059826675298</v>
      </c>
      <c r="P57" s="6">
        <v>4.5776931264950201E-2</v>
      </c>
      <c r="Q57">
        <v>0.53773051068742095</v>
      </c>
      <c r="R57">
        <v>0</v>
      </c>
      <c r="S57">
        <v>25</v>
      </c>
      <c r="T57">
        <v>2000</v>
      </c>
      <c r="U57">
        <v>5192725212.71</v>
      </c>
      <c r="V57">
        <v>30909</v>
      </c>
      <c r="W57" t="s">
        <v>25</v>
      </c>
    </row>
    <row r="58" spans="1:23" x14ac:dyDescent="0.25">
      <c r="A58">
        <v>0.978202658576936</v>
      </c>
      <c r="B58" s="6">
        <v>23.23803812841</v>
      </c>
      <c r="C58" s="6">
        <v>23.23803812841</v>
      </c>
      <c r="D58">
        <v>0</v>
      </c>
      <c r="E58">
        <v>4.8649098832703803</v>
      </c>
      <c r="F58">
        <v>4.6311308932935704</v>
      </c>
      <c r="G58">
        <v>14.031202451245701</v>
      </c>
      <c r="H58">
        <v>87.545061210749296</v>
      </c>
      <c r="I58">
        <v>66.467324648406503</v>
      </c>
      <c r="J58">
        <v>48.146541035258402</v>
      </c>
      <c r="K58">
        <v>133464.86962531201</v>
      </c>
      <c r="L58">
        <v>599.09541632943603</v>
      </c>
      <c r="M58">
        <v>0.30575369284268</v>
      </c>
      <c r="N58">
        <v>1.9025603509388301E-2</v>
      </c>
      <c r="O58">
        <v>0.96265789306356897</v>
      </c>
      <c r="P58" s="6">
        <v>0.19397621883857799</v>
      </c>
      <c r="Q58">
        <v>0.91333149677960501</v>
      </c>
      <c r="R58">
        <v>0</v>
      </c>
      <c r="S58">
        <v>25</v>
      </c>
      <c r="T58">
        <v>4000</v>
      </c>
      <c r="U58">
        <v>160291308.41999999</v>
      </c>
      <c r="V58">
        <v>1201</v>
      </c>
      <c r="W58" t="s">
        <v>25</v>
      </c>
    </row>
    <row r="59" spans="1:23" x14ac:dyDescent="0.25">
      <c r="A59">
        <v>0.98873176729401302</v>
      </c>
      <c r="B59" s="6">
        <v>12.7145499159484</v>
      </c>
      <c r="C59" s="6">
        <v>12.7145499159484</v>
      </c>
      <c r="D59">
        <v>0</v>
      </c>
      <c r="E59">
        <v>4.9426031213360604</v>
      </c>
      <c r="F59">
        <v>4.4205023909954697</v>
      </c>
      <c r="G59">
        <v>18.793341318430802</v>
      </c>
      <c r="H59">
        <v>87.646192181340297</v>
      </c>
      <c r="I59">
        <v>75.292963356154999</v>
      </c>
      <c r="J59">
        <v>86.286809855230601</v>
      </c>
      <c r="K59">
        <v>90514.444545454506</v>
      </c>
      <c r="L59">
        <v>717.63988818499797</v>
      </c>
      <c r="M59">
        <v>0</v>
      </c>
      <c r="N59">
        <v>0</v>
      </c>
      <c r="O59">
        <v>1</v>
      </c>
      <c r="P59" s="6">
        <v>1</v>
      </c>
      <c r="Q59">
        <v>0.69366359999055405</v>
      </c>
      <c r="R59">
        <v>0</v>
      </c>
      <c r="S59">
        <v>25</v>
      </c>
      <c r="T59">
        <v>6000</v>
      </c>
      <c r="U59">
        <v>995658.89</v>
      </c>
      <c r="V59">
        <v>11</v>
      </c>
      <c r="W59" t="s">
        <v>25</v>
      </c>
    </row>
    <row r="60" spans="1:23" x14ac:dyDescent="0.25">
      <c r="A60">
        <v>0.99097135016515703</v>
      </c>
      <c r="B60" s="6">
        <v>10.312238211427299</v>
      </c>
      <c r="C60" s="6">
        <v>10.312238211427299</v>
      </c>
      <c r="D60">
        <v>0</v>
      </c>
      <c r="E60">
        <v>4.8521594375600996</v>
      </c>
      <c r="F60">
        <v>4.3921254400227197</v>
      </c>
      <c r="G60">
        <v>39.960469327816099</v>
      </c>
      <c r="H60">
        <v>10.6634588457975</v>
      </c>
      <c r="I60">
        <v>76.785890984224906</v>
      </c>
      <c r="J60">
        <v>72.458104651565193</v>
      </c>
      <c r="K60">
        <v>177546.69036663501</v>
      </c>
      <c r="L60">
        <v>661.54729493491197</v>
      </c>
      <c r="M60">
        <v>5.8854026932123299E-2</v>
      </c>
      <c r="N60">
        <v>0.16811399324246701</v>
      </c>
      <c r="O60">
        <v>0.57894466878583795</v>
      </c>
      <c r="P60" s="6">
        <v>4.51715295096244E-2</v>
      </c>
      <c r="Q60">
        <v>0.61418641103595994</v>
      </c>
      <c r="R60">
        <v>0</v>
      </c>
      <c r="S60">
        <v>50</v>
      </c>
      <c r="T60">
        <v>2000</v>
      </c>
      <c r="U60">
        <v>17782011226.98</v>
      </c>
      <c r="V60">
        <v>100154</v>
      </c>
      <c r="W60" t="s">
        <v>25</v>
      </c>
    </row>
    <row r="61" spans="1:23" x14ac:dyDescent="0.25">
      <c r="A61">
        <v>0.979118446062476</v>
      </c>
      <c r="B61" s="6">
        <v>22.371214764082499</v>
      </c>
      <c r="C61" s="6">
        <v>22.371214764082499</v>
      </c>
      <c r="D61">
        <v>0</v>
      </c>
      <c r="E61">
        <v>4.9562673937301103</v>
      </c>
      <c r="F61">
        <v>4.50539622661009</v>
      </c>
      <c r="G61">
        <v>40.426591438021397</v>
      </c>
      <c r="H61">
        <v>68.599153632783398</v>
      </c>
      <c r="I61">
        <v>69.379468383794602</v>
      </c>
      <c r="J61">
        <v>51.095815497698702</v>
      </c>
      <c r="K61">
        <v>141137.936861386</v>
      </c>
      <c r="L61">
        <v>619.21926702219105</v>
      </c>
      <c r="M61">
        <v>0.25640346617676602</v>
      </c>
      <c r="N61">
        <v>6.1637788555388803E-2</v>
      </c>
      <c r="O61">
        <v>0.84123417374505505</v>
      </c>
      <c r="P61" s="6">
        <v>0.14314885323903601</v>
      </c>
      <c r="Q61">
        <v>0.82910190580505105</v>
      </c>
      <c r="R61">
        <v>0</v>
      </c>
      <c r="S61">
        <v>50</v>
      </c>
      <c r="T61">
        <v>4000</v>
      </c>
      <c r="U61">
        <v>1710591794.76</v>
      </c>
      <c r="V61">
        <v>12120</v>
      </c>
      <c r="W61" t="s">
        <v>25</v>
      </c>
    </row>
    <row r="62" spans="1:23" x14ac:dyDescent="0.25">
      <c r="A62">
        <v>0.98858691396547305</v>
      </c>
      <c r="B62" s="6">
        <v>12.867878519415299</v>
      </c>
      <c r="C62" s="6">
        <v>12.867878519415299</v>
      </c>
      <c r="D62">
        <v>0</v>
      </c>
      <c r="E62">
        <v>4.7814699990054796</v>
      </c>
      <c r="F62">
        <v>4.5505824060812303</v>
      </c>
      <c r="G62">
        <v>42.158706915675701</v>
      </c>
      <c r="H62">
        <v>84.684655235337104</v>
      </c>
      <c r="I62">
        <v>62.7709984209502</v>
      </c>
      <c r="J62">
        <v>44.322325233669403</v>
      </c>
      <c r="K62">
        <v>213574.11583768501</v>
      </c>
      <c r="L62">
        <v>751.22675435158703</v>
      </c>
      <c r="M62">
        <v>0.10611233970602101</v>
      </c>
      <c r="N62">
        <v>0.12669717848773901</v>
      </c>
      <c r="O62">
        <v>0.55451687738201005</v>
      </c>
      <c r="P62" s="6">
        <v>0.46202163107138899</v>
      </c>
      <c r="Q62">
        <v>0.760530075811651</v>
      </c>
      <c r="R62">
        <v>0</v>
      </c>
      <c r="S62">
        <v>50</v>
      </c>
      <c r="T62">
        <v>6000</v>
      </c>
      <c r="U62">
        <v>531585974.31999999</v>
      </c>
      <c r="V62">
        <v>2489</v>
      </c>
      <c r="W62" t="s">
        <v>25</v>
      </c>
    </row>
    <row r="63" spans="1:23" x14ac:dyDescent="0.25">
      <c r="A63">
        <v>0.98755811561539697</v>
      </c>
      <c r="B63" s="6">
        <v>13.949787358019501</v>
      </c>
      <c r="C63" s="6">
        <v>13.949787358019501</v>
      </c>
      <c r="D63">
        <v>0</v>
      </c>
      <c r="E63">
        <v>4.8779695478893697</v>
      </c>
      <c r="F63">
        <v>4.6537485218037604</v>
      </c>
      <c r="G63">
        <v>44.918139189006297</v>
      </c>
      <c r="H63">
        <v>91.2435310616804</v>
      </c>
      <c r="I63">
        <v>56.785961625409598</v>
      </c>
      <c r="J63">
        <v>38.076501994361102</v>
      </c>
      <c r="K63">
        <v>440747.45764044899</v>
      </c>
      <c r="L63">
        <v>762.54830867012402</v>
      </c>
      <c r="M63">
        <v>0.29073014265799102</v>
      </c>
      <c r="N63">
        <v>2.1173952749852801E-2</v>
      </c>
      <c r="O63">
        <v>0.54709238416625805</v>
      </c>
      <c r="P63" s="6">
        <v>0.61266317799198899</v>
      </c>
      <c r="Q63">
        <v>0.90730835276083199</v>
      </c>
      <c r="R63">
        <v>0</v>
      </c>
      <c r="S63">
        <v>50</v>
      </c>
      <c r="T63">
        <v>8000</v>
      </c>
      <c r="U63">
        <v>39226523.729999997</v>
      </c>
      <c r="V63">
        <v>89</v>
      </c>
      <c r="W63" t="s">
        <v>25</v>
      </c>
    </row>
    <row r="64" spans="1:23" x14ac:dyDescent="0.25">
      <c r="A64">
        <v>0.989045313883259</v>
      </c>
      <c r="B64" s="6">
        <v>12.381810451168599</v>
      </c>
      <c r="C64" s="6">
        <v>12.381810451168599</v>
      </c>
      <c r="D64">
        <v>0</v>
      </c>
      <c r="E64">
        <v>4.9163265444085198</v>
      </c>
      <c r="F64">
        <v>4.3280212351852301</v>
      </c>
      <c r="G64">
        <v>62.637308730023598</v>
      </c>
      <c r="H64">
        <v>8.7006989757956408</v>
      </c>
      <c r="I64">
        <v>75.7516329101461</v>
      </c>
      <c r="J64">
        <v>71.668998787174999</v>
      </c>
      <c r="K64">
        <v>180474.75474041101</v>
      </c>
      <c r="L64">
        <v>678.047755354473</v>
      </c>
      <c r="M64">
        <v>6.3525769384317393E-2</v>
      </c>
      <c r="N64">
        <v>0.17698798265863599</v>
      </c>
      <c r="O64">
        <v>0.59352765369927996</v>
      </c>
      <c r="P64" s="6">
        <v>4.23667129619213E-2</v>
      </c>
      <c r="Q64">
        <v>0.73724051374950506</v>
      </c>
      <c r="R64">
        <v>0</v>
      </c>
      <c r="S64">
        <v>75</v>
      </c>
      <c r="T64">
        <v>2000</v>
      </c>
      <c r="U64">
        <v>27944891498.759998</v>
      </c>
      <c r="V64">
        <v>154841</v>
      </c>
      <c r="W64" t="s">
        <v>25</v>
      </c>
    </row>
    <row r="65" spans="1:23" x14ac:dyDescent="0.25">
      <c r="A65">
        <v>0.98156345683340696</v>
      </c>
      <c r="B65" s="6">
        <v>20.012784738710501</v>
      </c>
      <c r="C65" s="6">
        <v>20.012784738710501</v>
      </c>
      <c r="D65">
        <v>0</v>
      </c>
      <c r="E65">
        <v>4.9269762017355596</v>
      </c>
      <c r="F65">
        <v>4.4300976706792401</v>
      </c>
      <c r="G65">
        <v>64.794145700124602</v>
      </c>
      <c r="H65">
        <v>56.498374453263096</v>
      </c>
      <c r="I65">
        <v>72.432685449712594</v>
      </c>
      <c r="J65">
        <v>54.820489722012198</v>
      </c>
      <c r="K65">
        <v>134854.19664766101</v>
      </c>
      <c r="L65">
        <v>660.72335509537595</v>
      </c>
      <c r="M65">
        <v>0.154358259585128</v>
      </c>
      <c r="N65">
        <v>8.07257214930788E-2</v>
      </c>
      <c r="O65">
        <v>0.70400738085630499</v>
      </c>
      <c r="P65" s="6">
        <v>0.10675032194350501</v>
      </c>
      <c r="Q65">
        <v>0.70744031800756102</v>
      </c>
      <c r="R65">
        <v>0</v>
      </c>
      <c r="S65">
        <v>75</v>
      </c>
      <c r="T65">
        <v>4000</v>
      </c>
      <c r="U65">
        <v>7402955979.1700001</v>
      </c>
      <c r="V65">
        <v>54896</v>
      </c>
      <c r="W65" t="s">
        <v>25</v>
      </c>
    </row>
    <row r="66" spans="1:23" x14ac:dyDescent="0.25">
      <c r="A66">
        <v>0.98599023162771304</v>
      </c>
      <c r="B66" s="6">
        <v>15.5749458229299</v>
      </c>
      <c r="C66" s="6">
        <v>15.5749458229299</v>
      </c>
      <c r="D66">
        <v>0</v>
      </c>
      <c r="E66">
        <v>4.7863144799332096</v>
      </c>
      <c r="F66">
        <v>4.4568587103273201</v>
      </c>
      <c r="G66">
        <v>67.778155358224794</v>
      </c>
      <c r="H66">
        <v>81.611006746005302</v>
      </c>
      <c r="I66">
        <v>73.960969393246202</v>
      </c>
      <c r="J66">
        <v>51.532504264639599</v>
      </c>
      <c r="K66">
        <v>166859.89517661199</v>
      </c>
      <c r="L66">
        <v>736.60111638895103</v>
      </c>
      <c r="M66">
        <v>0.11439779523953</v>
      </c>
      <c r="N66">
        <v>6.46124162438899E-2</v>
      </c>
      <c r="O66">
        <v>0.51772985195939902</v>
      </c>
      <c r="P66" s="6">
        <v>0.141832614329195</v>
      </c>
      <c r="Q66">
        <v>0.64219210793224801</v>
      </c>
      <c r="R66">
        <v>0</v>
      </c>
      <c r="S66">
        <v>75</v>
      </c>
      <c r="T66">
        <v>6000</v>
      </c>
      <c r="U66">
        <v>13236328044.780001</v>
      </c>
      <c r="V66">
        <v>79326</v>
      </c>
      <c r="W66" t="s">
        <v>25</v>
      </c>
    </row>
    <row r="67" spans="1:23" x14ac:dyDescent="0.25">
      <c r="A67">
        <v>0.98755911263255902</v>
      </c>
      <c r="B67" s="6">
        <v>13.9487448591877</v>
      </c>
      <c r="C67" s="6">
        <v>13.9487448591877</v>
      </c>
      <c r="D67">
        <v>0</v>
      </c>
      <c r="E67">
        <v>4.7636153732050097</v>
      </c>
      <c r="F67">
        <v>4.5667166446549601</v>
      </c>
      <c r="G67">
        <v>67.0611163450193</v>
      </c>
      <c r="H67">
        <v>88.317290968324698</v>
      </c>
      <c r="I67">
        <v>63.080489785227101</v>
      </c>
      <c r="J67">
        <v>39.8357861564497</v>
      </c>
      <c r="K67">
        <v>151339.24918299899</v>
      </c>
      <c r="L67">
        <v>763.43243769006699</v>
      </c>
      <c r="M67">
        <v>0.14190296303465</v>
      </c>
      <c r="N67">
        <v>6.0049776007354998E-2</v>
      </c>
      <c r="O67">
        <v>0.52308334868763096</v>
      </c>
      <c r="P67" s="6">
        <v>7.4424648169462801E-2</v>
      </c>
      <c r="Q67">
        <v>0.76426376012404496</v>
      </c>
      <c r="R67">
        <v>0</v>
      </c>
      <c r="S67">
        <v>75</v>
      </c>
      <c r="T67">
        <v>8000</v>
      </c>
      <c r="U67">
        <v>29373132195.43</v>
      </c>
      <c r="V67">
        <v>194088</v>
      </c>
      <c r="W67" t="s">
        <v>25</v>
      </c>
    </row>
    <row r="68" spans="1:23" x14ac:dyDescent="0.25">
      <c r="A68">
        <v>0.984348943125117</v>
      </c>
      <c r="B68" s="6">
        <v>17.246008192985698</v>
      </c>
      <c r="C68" s="6">
        <v>17.246008192985698</v>
      </c>
      <c r="D68">
        <v>0</v>
      </c>
      <c r="E68">
        <v>4.8818365479926698</v>
      </c>
      <c r="F68">
        <v>4.6577606256153903</v>
      </c>
      <c r="G68">
        <v>70.990733394204</v>
      </c>
      <c r="H68">
        <v>95.742866655187399</v>
      </c>
      <c r="I68">
        <v>59.402519164528698</v>
      </c>
      <c r="J68">
        <v>37.665608301138597</v>
      </c>
      <c r="K68">
        <v>278306.022046678</v>
      </c>
      <c r="L68">
        <v>754.60860777969106</v>
      </c>
      <c r="M68">
        <v>0.16647431732238599</v>
      </c>
      <c r="N68">
        <v>6.3043064011436695E-2</v>
      </c>
      <c r="O68">
        <v>0.59317409653114095</v>
      </c>
      <c r="P68" s="6">
        <v>0.14614182723519301</v>
      </c>
      <c r="Q68">
        <v>0.80551787698907695</v>
      </c>
      <c r="R68">
        <v>0</v>
      </c>
      <c r="S68">
        <v>75</v>
      </c>
      <c r="T68">
        <v>10000</v>
      </c>
      <c r="U68">
        <v>310032908.56</v>
      </c>
      <c r="V68">
        <v>1114</v>
      </c>
      <c r="W68" t="s">
        <v>25</v>
      </c>
    </row>
    <row r="69" spans="1:23" x14ac:dyDescent="0.25">
      <c r="A69">
        <v>0.98679434286850998</v>
      </c>
      <c r="B69" s="6">
        <v>14.7450089736463</v>
      </c>
      <c r="C69" s="6">
        <v>14.7450089736463</v>
      </c>
      <c r="D69">
        <v>0</v>
      </c>
      <c r="E69">
        <v>4.9607805773859699</v>
      </c>
      <c r="F69">
        <v>4.2794935303568096</v>
      </c>
      <c r="G69">
        <v>86.384211393334397</v>
      </c>
      <c r="H69">
        <v>8.7983741017869992</v>
      </c>
      <c r="I69">
        <v>72.165751523188604</v>
      </c>
      <c r="J69">
        <v>67.855245125317595</v>
      </c>
      <c r="K69">
        <v>163835.88167870999</v>
      </c>
      <c r="L69">
        <v>698.93170075589796</v>
      </c>
      <c r="M69">
        <v>7.8093787932760297E-2</v>
      </c>
      <c r="N69">
        <v>0.15619164821309001</v>
      </c>
      <c r="O69">
        <v>0.62264397931905802</v>
      </c>
      <c r="P69" s="6">
        <v>4.0798470901430003E-2</v>
      </c>
      <c r="Q69">
        <v>0.81880145265729398</v>
      </c>
      <c r="R69">
        <v>0</v>
      </c>
      <c r="S69">
        <v>100</v>
      </c>
      <c r="T69">
        <v>2000</v>
      </c>
      <c r="U69">
        <v>22762374385.150002</v>
      </c>
      <c r="V69">
        <v>138934</v>
      </c>
      <c r="W69" t="s">
        <v>25</v>
      </c>
    </row>
    <row r="70" spans="1:23" x14ac:dyDescent="0.25">
      <c r="A70">
        <v>0.98197584180465802</v>
      </c>
      <c r="B70" s="6">
        <v>19.608590564293799</v>
      </c>
      <c r="C70" s="6">
        <v>19.608590564293799</v>
      </c>
      <c r="D70">
        <v>0</v>
      </c>
      <c r="E70">
        <v>4.9520255218151297</v>
      </c>
      <c r="F70">
        <v>4.3398695675053798</v>
      </c>
      <c r="G70">
        <v>87.997532077019898</v>
      </c>
      <c r="H70">
        <v>47.635599092121303</v>
      </c>
      <c r="I70">
        <v>73.041035089497598</v>
      </c>
      <c r="J70">
        <v>55.575188560874601</v>
      </c>
      <c r="K70">
        <v>128857.19352863599</v>
      </c>
      <c r="L70">
        <v>688.05458068707196</v>
      </c>
      <c r="M70">
        <v>0.104555438855468</v>
      </c>
      <c r="N70">
        <v>0.101329400298431</v>
      </c>
      <c r="O70">
        <v>0.64884267460741696</v>
      </c>
      <c r="P70" s="6">
        <v>6.9910596788370402E-2</v>
      </c>
      <c r="Q70">
        <v>0.68156958924423605</v>
      </c>
      <c r="R70">
        <v>0</v>
      </c>
      <c r="S70">
        <v>100</v>
      </c>
      <c r="T70">
        <v>4000</v>
      </c>
      <c r="U70">
        <v>13400117269.43</v>
      </c>
      <c r="V70">
        <v>103992</v>
      </c>
      <c r="W70" t="s">
        <v>25</v>
      </c>
    </row>
    <row r="71" spans="1:23" x14ac:dyDescent="0.25">
      <c r="A71">
        <v>0.983877053684582</v>
      </c>
      <c r="B71" s="6">
        <v>17.720814645410702</v>
      </c>
      <c r="C71" s="6">
        <v>17.720814645410702</v>
      </c>
      <c r="D71">
        <v>0</v>
      </c>
      <c r="E71">
        <v>4.8476670631508503</v>
      </c>
      <c r="F71">
        <v>4.3526241990664802</v>
      </c>
      <c r="G71">
        <v>87.629904597357694</v>
      </c>
      <c r="H71">
        <v>79.556468540834402</v>
      </c>
      <c r="I71">
        <v>75.258770707953602</v>
      </c>
      <c r="J71">
        <v>52.435120000121202</v>
      </c>
      <c r="K71">
        <v>153512.93132900901</v>
      </c>
      <c r="L71">
        <v>722.95772715970804</v>
      </c>
      <c r="M71">
        <v>0.120099290218486</v>
      </c>
      <c r="N71">
        <v>7.3788557584416506E-2</v>
      </c>
      <c r="O71">
        <v>0.55044919090373401</v>
      </c>
      <c r="P71" s="6">
        <v>8.5972378119751003E-2</v>
      </c>
      <c r="Q71">
        <v>0.65372523520280301</v>
      </c>
      <c r="R71">
        <v>0</v>
      </c>
      <c r="S71">
        <v>100</v>
      </c>
      <c r="T71">
        <v>6000</v>
      </c>
      <c r="U71">
        <v>27339885505.040001</v>
      </c>
      <c r="V71">
        <v>178095</v>
      </c>
      <c r="W71" t="s">
        <v>25</v>
      </c>
    </row>
    <row r="72" spans="1:23" x14ac:dyDescent="0.25">
      <c r="A72">
        <v>0.98561624602940001</v>
      </c>
      <c r="B72" s="6">
        <v>15.958413761195899</v>
      </c>
      <c r="C72" s="6">
        <v>15.958413761195899</v>
      </c>
      <c r="D72">
        <v>0</v>
      </c>
      <c r="E72">
        <v>4.8336242563085197</v>
      </c>
      <c r="F72">
        <v>4.36598666617276</v>
      </c>
      <c r="G72">
        <v>88.884827265697893</v>
      </c>
      <c r="H72">
        <v>85.877019154426094</v>
      </c>
      <c r="I72">
        <v>66.449332365818904</v>
      </c>
      <c r="J72">
        <v>42.520914278272699</v>
      </c>
      <c r="K72">
        <v>150329.57253048901</v>
      </c>
      <c r="L72">
        <v>760.70510705915603</v>
      </c>
      <c r="M72">
        <v>0.137235059723124</v>
      </c>
      <c r="N72">
        <v>5.7517019397516099E-2</v>
      </c>
      <c r="O72">
        <v>0.53941016903916705</v>
      </c>
      <c r="P72" s="6">
        <v>7.0800844166219901E-2</v>
      </c>
      <c r="Q72">
        <v>0.73131193285338403</v>
      </c>
      <c r="R72">
        <v>0</v>
      </c>
      <c r="S72">
        <v>100</v>
      </c>
      <c r="T72">
        <v>8000</v>
      </c>
      <c r="U72">
        <v>128220602298.42999</v>
      </c>
      <c r="V72">
        <v>852930</v>
      </c>
      <c r="W72" t="s">
        <v>25</v>
      </c>
    </row>
    <row r="73" spans="1:23" x14ac:dyDescent="0.25">
      <c r="A73">
        <v>0.98680128888892704</v>
      </c>
      <c r="B73" s="6">
        <v>14.7378074021447</v>
      </c>
      <c r="C73" s="6">
        <v>14.7378074021447</v>
      </c>
      <c r="D73">
        <v>0</v>
      </c>
      <c r="E73">
        <v>4.93876562186027</v>
      </c>
      <c r="F73">
        <v>4.5789245473033899</v>
      </c>
      <c r="G73">
        <v>87.308246614253406</v>
      </c>
      <c r="H73">
        <v>92.117825713477103</v>
      </c>
      <c r="I73">
        <v>61.476725448251599</v>
      </c>
      <c r="J73">
        <v>38.204044359234601</v>
      </c>
      <c r="K73">
        <v>139097.412955796</v>
      </c>
      <c r="L73">
        <v>764.44938576584002</v>
      </c>
      <c r="M73">
        <v>0.15490657568991101</v>
      </c>
      <c r="N73">
        <v>5.0024569483995897E-2</v>
      </c>
      <c r="O73">
        <v>0.61799667485460497</v>
      </c>
      <c r="P73" s="6">
        <v>8.3209793047896802E-2</v>
      </c>
      <c r="Q73">
        <v>0.80578337679773204</v>
      </c>
      <c r="R73">
        <v>0</v>
      </c>
      <c r="S73">
        <v>100</v>
      </c>
      <c r="T73">
        <v>10000</v>
      </c>
      <c r="U73">
        <v>38280303532.5</v>
      </c>
      <c r="V73">
        <v>275205</v>
      </c>
      <c r="W73" t="s">
        <v>25</v>
      </c>
    </row>
    <row r="74" spans="1:23" x14ac:dyDescent="0.25">
      <c r="A74">
        <v>0.98615114451086305</v>
      </c>
      <c r="B74" s="6">
        <v>15.4094600525101</v>
      </c>
      <c r="C74" s="6">
        <v>15.4094600525101</v>
      </c>
      <c r="D74">
        <v>0</v>
      </c>
      <c r="E74">
        <v>5.0867680332571297</v>
      </c>
      <c r="F74">
        <v>4.2553391216397101</v>
      </c>
      <c r="G74">
        <v>108.97818505102499</v>
      </c>
      <c r="H74">
        <v>8.6858907630623499</v>
      </c>
      <c r="I74">
        <v>67.409973566672207</v>
      </c>
      <c r="J74">
        <v>63.401149915204101</v>
      </c>
      <c r="K74">
        <v>145623.10925142301</v>
      </c>
      <c r="L74">
        <v>707.03107077885204</v>
      </c>
      <c r="M74">
        <v>9.1228142247742602E-2</v>
      </c>
      <c r="N74">
        <v>0.170112636922886</v>
      </c>
      <c r="O74">
        <v>0.66445805200423103</v>
      </c>
      <c r="P74" s="6">
        <v>4.9740499679356301E-2</v>
      </c>
      <c r="Q74">
        <v>0.85634868634443395</v>
      </c>
      <c r="R74">
        <v>0</v>
      </c>
      <c r="S74">
        <v>125</v>
      </c>
      <c r="T74">
        <v>2000</v>
      </c>
      <c r="U74">
        <v>6958454652.4700003</v>
      </c>
      <c r="V74">
        <v>47784</v>
      </c>
      <c r="W74" t="s">
        <v>25</v>
      </c>
    </row>
    <row r="75" spans="1:23" x14ac:dyDescent="0.25">
      <c r="A75">
        <v>0.98120559703552201</v>
      </c>
      <c r="B75" s="6">
        <v>20.362026116638599</v>
      </c>
      <c r="C75" s="6">
        <v>20.362026116638599</v>
      </c>
      <c r="D75">
        <v>0</v>
      </c>
      <c r="E75">
        <v>5.0378896058801601</v>
      </c>
      <c r="F75">
        <v>4.2623998268942396</v>
      </c>
      <c r="G75">
        <v>109.79437030800899</v>
      </c>
      <c r="H75">
        <v>43.445379003402202</v>
      </c>
      <c r="I75">
        <v>73.889232073782907</v>
      </c>
      <c r="J75">
        <v>55.810245845991403</v>
      </c>
      <c r="K75">
        <v>130615.066224503</v>
      </c>
      <c r="L75">
        <v>689.16061306826396</v>
      </c>
      <c r="M75">
        <v>8.2924730696915694E-2</v>
      </c>
      <c r="N75">
        <v>0.113997441551552</v>
      </c>
      <c r="O75">
        <v>0.62504374914497896</v>
      </c>
      <c r="P75" s="6">
        <v>4.5914138998640198E-2</v>
      </c>
      <c r="Q75">
        <v>0.70121441207156998</v>
      </c>
      <c r="R75">
        <v>0</v>
      </c>
      <c r="S75">
        <v>125</v>
      </c>
      <c r="T75">
        <v>4000</v>
      </c>
      <c r="U75">
        <v>9022496929.5900002</v>
      </c>
      <c r="V75">
        <v>69077</v>
      </c>
      <c r="W75" t="s">
        <v>25</v>
      </c>
    </row>
    <row r="76" spans="1:23" x14ac:dyDescent="0.25">
      <c r="A76">
        <v>0.98300990509026598</v>
      </c>
      <c r="B76" s="6">
        <v>18.5868183992193</v>
      </c>
      <c r="C76" s="6">
        <v>18.5868183992193</v>
      </c>
      <c r="D76">
        <v>0</v>
      </c>
      <c r="E76">
        <v>4.9924061674495102</v>
      </c>
      <c r="F76">
        <v>4.2903414883744402</v>
      </c>
      <c r="G76">
        <v>110.37537627414299</v>
      </c>
      <c r="H76">
        <v>64.371383819998599</v>
      </c>
      <c r="I76">
        <v>73.273805055953602</v>
      </c>
      <c r="J76">
        <v>52.533282515366601</v>
      </c>
      <c r="K76">
        <v>132920.323293063</v>
      </c>
      <c r="L76">
        <v>705.90555390066299</v>
      </c>
      <c r="M76">
        <v>0.14436052164875801</v>
      </c>
      <c r="N76">
        <v>0.11581312738263599</v>
      </c>
      <c r="O76">
        <v>0.63678349231051201</v>
      </c>
      <c r="P76" s="6">
        <v>6.9706990870027505E-2</v>
      </c>
      <c r="Q76">
        <v>0.71491529318730596</v>
      </c>
      <c r="R76">
        <v>0</v>
      </c>
      <c r="S76">
        <v>125</v>
      </c>
      <c r="T76">
        <v>6000</v>
      </c>
      <c r="U76">
        <v>16855892037.440001</v>
      </c>
      <c r="V76">
        <v>126812</v>
      </c>
      <c r="W76" t="s">
        <v>25</v>
      </c>
    </row>
    <row r="77" spans="1:23" x14ac:dyDescent="0.25">
      <c r="A77">
        <v>0.98447225440781505</v>
      </c>
      <c r="B77" s="6">
        <v>17.121521427490901</v>
      </c>
      <c r="C77" s="6">
        <v>17.121521427490901</v>
      </c>
      <c r="D77">
        <v>0</v>
      </c>
      <c r="E77">
        <v>4.8935836194265301</v>
      </c>
      <c r="F77">
        <v>4.2459133816961003</v>
      </c>
      <c r="G77">
        <v>108.385811718291</v>
      </c>
      <c r="H77">
        <v>86.4932961522114</v>
      </c>
      <c r="I77">
        <v>71.855188942478705</v>
      </c>
      <c r="J77">
        <v>46.272185482099403</v>
      </c>
      <c r="K77">
        <v>150087.007278117</v>
      </c>
      <c r="L77">
        <v>752.40525500797003</v>
      </c>
      <c r="M77">
        <v>0.129105899182206</v>
      </c>
      <c r="N77">
        <v>5.8312049154565303E-2</v>
      </c>
      <c r="O77">
        <v>0.54350847283183201</v>
      </c>
      <c r="P77" s="6">
        <v>6.7807988917218301E-2</v>
      </c>
      <c r="Q77">
        <v>0.68362226608701104</v>
      </c>
      <c r="R77">
        <v>0</v>
      </c>
      <c r="S77">
        <v>125</v>
      </c>
      <c r="T77">
        <v>8000</v>
      </c>
      <c r="U77">
        <v>88995741922.639999</v>
      </c>
      <c r="V77">
        <v>592961</v>
      </c>
      <c r="W77" t="s">
        <v>25</v>
      </c>
    </row>
    <row r="78" spans="1:23" x14ac:dyDescent="0.25">
      <c r="A78">
        <v>0.98567037845028205</v>
      </c>
      <c r="B78" s="6">
        <v>15.9030078277135</v>
      </c>
      <c r="C78" s="6">
        <v>15.9030078277135</v>
      </c>
      <c r="D78">
        <v>0</v>
      </c>
      <c r="E78">
        <v>5.0075134025547001</v>
      </c>
      <c r="F78">
        <v>4.3302943134916703</v>
      </c>
      <c r="G78">
        <v>112.448861489308</v>
      </c>
      <c r="H78">
        <v>90.166546769070905</v>
      </c>
      <c r="I78">
        <v>61.522820166639498</v>
      </c>
      <c r="J78">
        <v>39.108666577093501</v>
      </c>
      <c r="K78">
        <v>136971.47127286601</v>
      </c>
      <c r="L78">
        <v>763.18521671584904</v>
      </c>
      <c r="M78">
        <v>0.16051982276952101</v>
      </c>
      <c r="N78">
        <v>4.4650297685611698E-2</v>
      </c>
      <c r="O78">
        <v>0.64942082812596902</v>
      </c>
      <c r="P78" s="6">
        <v>9.2006581443121599E-2</v>
      </c>
      <c r="Q78">
        <v>0.79835783363966795</v>
      </c>
      <c r="R78">
        <v>0</v>
      </c>
      <c r="S78">
        <v>125</v>
      </c>
      <c r="T78">
        <v>10000</v>
      </c>
      <c r="U78">
        <v>88946123100.759995</v>
      </c>
      <c r="V78">
        <v>649377</v>
      </c>
      <c r="W78" t="s">
        <v>25</v>
      </c>
    </row>
    <row r="79" spans="1:23" x14ac:dyDescent="0.25">
      <c r="A79">
        <v>0.98623427754647996</v>
      </c>
      <c r="B79" s="6">
        <v>15.323848066682199</v>
      </c>
      <c r="C79" s="6">
        <v>15.323848066682199</v>
      </c>
      <c r="D79">
        <v>0</v>
      </c>
      <c r="E79">
        <v>5.2688034543739803</v>
      </c>
      <c r="F79">
        <v>4.2552158605300496</v>
      </c>
      <c r="G79">
        <v>134.10764390327799</v>
      </c>
      <c r="H79">
        <v>10.095796687110701</v>
      </c>
      <c r="I79">
        <v>63.4750911951025</v>
      </c>
      <c r="J79">
        <v>59.381990938270903</v>
      </c>
      <c r="K79">
        <v>130590.083790349</v>
      </c>
      <c r="L79">
        <v>718.92329502101904</v>
      </c>
      <c r="M79">
        <v>0.125939802923068</v>
      </c>
      <c r="N79">
        <v>0.101902724338762</v>
      </c>
      <c r="O79">
        <v>0.60675998663441499</v>
      </c>
      <c r="P79" s="6">
        <v>7.6358633772053999E-2</v>
      </c>
      <c r="Q79">
        <v>0.82141464472700898</v>
      </c>
      <c r="R79">
        <v>0</v>
      </c>
      <c r="S79">
        <v>150</v>
      </c>
      <c r="T79">
        <v>2000</v>
      </c>
      <c r="U79">
        <v>1161076434.98</v>
      </c>
      <c r="V79">
        <v>8891</v>
      </c>
      <c r="W79" t="s">
        <v>25</v>
      </c>
    </row>
    <row r="80" spans="1:23" x14ac:dyDescent="0.25">
      <c r="A80">
        <v>0.98087415576701797</v>
      </c>
      <c r="B80" s="6">
        <v>20.684237828026699</v>
      </c>
      <c r="C80" s="6">
        <v>20.684237828026699</v>
      </c>
      <c r="D80">
        <v>0</v>
      </c>
      <c r="E80">
        <v>5.2040824689538301</v>
      </c>
      <c r="F80">
        <v>4.2353943553350399</v>
      </c>
      <c r="G80">
        <v>131.53372971447001</v>
      </c>
      <c r="H80">
        <v>34.344203304265598</v>
      </c>
      <c r="I80">
        <v>72.929287847566201</v>
      </c>
      <c r="J80">
        <v>56.644056673378302</v>
      </c>
      <c r="K80">
        <v>118087.034980707</v>
      </c>
      <c r="L80">
        <v>681.09112253249896</v>
      </c>
      <c r="M80">
        <v>8.4482743673133798E-2</v>
      </c>
      <c r="N80">
        <v>0.113168466083168</v>
      </c>
      <c r="O80">
        <v>0.66364520759047696</v>
      </c>
      <c r="P80" s="6">
        <v>2.77550318316186E-2</v>
      </c>
      <c r="Q80">
        <v>0.76491910308299105</v>
      </c>
      <c r="R80">
        <v>0</v>
      </c>
      <c r="S80">
        <v>150</v>
      </c>
      <c r="T80">
        <v>4000</v>
      </c>
      <c r="U80">
        <v>1101752036.3699999</v>
      </c>
      <c r="V80">
        <v>9330</v>
      </c>
      <c r="W80" t="s">
        <v>25</v>
      </c>
    </row>
    <row r="81" spans="1:23" x14ac:dyDescent="0.25">
      <c r="A81">
        <v>0.98215367573256696</v>
      </c>
      <c r="B81" s="6">
        <v>19.433711699074198</v>
      </c>
      <c r="C81" s="6">
        <v>19.433711699074198</v>
      </c>
      <c r="D81">
        <v>0</v>
      </c>
      <c r="E81">
        <v>5.2049040724306197</v>
      </c>
      <c r="F81">
        <v>4.2517276664970902</v>
      </c>
      <c r="G81">
        <v>134.49036897166499</v>
      </c>
      <c r="H81">
        <v>47.766017168095999</v>
      </c>
      <c r="I81">
        <v>72.949889439271402</v>
      </c>
      <c r="J81">
        <v>53.273789794071497</v>
      </c>
      <c r="K81">
        <v>123333.296887067</v>
      </c>
      <c r="L81">
        <v>694.34321338808195</v>
      </c>
      <c r="M81">
        <v>0.15278453090710001</v>
      </c>
      <c r="N81">
        <v>0.145318008349724</v>
      </c>
      <c r="O81">
        <v>0.65979333290659303</v>
      </c>
      <c r="P81" s="6">
        <v>4.9642234361021199E-2</v>
      </c>
      <c r="Q81">
        <v>0.76143526344927404</v>
      </c>
      <c r="R81">
        <v>0</v>
      </c>
      <c r="S81">
        <v>150</v>
      </c>
      <c r="T81">
        <v>6000</v>
      </c>
      <c r="U81">
        <v>6394214777.1099997</v>
      </c>
      <c r="V81">
        <v>51845</v>
      </c>
      <c r="W81" t="s">
        <v>25</v>
      </c>
    </row>
    <row r="82" spans="1:23" x14ac:dyDescent="0.25">
      <c r="A82">
        <v>0.98332311919551496</v>
      </c>
      <c r="B82" s="6">
        <v>18.274986447681499</v>
      </c>
      <c r="C82" s="6">
        <v>18.274986447681499</v>
      </c>
      <c r="D82">
        <v>0</v>
      </c>
      <c r="E82">
        <v>5.1263674902934602</v>
      </c>
      <c r="F82">
        <v>4.2474771880903903</v>
      </c>
      <c r="G82">
        <v>132.00012087118799</v>
      </c>
      <c r="H82">
        <v>79.788131619765494</v>
      </c>
      <c r="I82">
        <v>74.956945407871402</v>
      </c>
      <c r="J82">
        <v>51.361636355687899</v>
      </c>
      <c r="K82">
        <v>132432.68883229</v>
      </c>
      <c r="L82">
        <v>714.19175248506599</v>
      </c>
      <c r="M82">
        <v>0.15272140351798999</v>
      </c>
      <c r="N82">
        <v>7.5496772737984399E-2</v>
      </c>
      <c r="O82">
        <v>0.63340708944947799</v>
      </c>
      <c r="P82" s="6">
        <v>7.6944204862596899E-2</v>
      </c>
      <c r="Q82">
        <v>0.689608408494221</v>
      </c>
      <c r="R82">
        <v>0</v>
      </c>
      <c r="S82">
        <v>150</v>
      </c>
      <c r="T82">
        <v>8000</v>
      </c>
      <c r="U82">
        <v>5841870769.7700005</v>
      </c>
      <c r="V82">
        <v>44112</v>
      </c>
      <c r="W82" t="s">
        <v>25</v>
      </c>
    </row>
    <row r="83" spans="1:23" x14ac:dyDescent="0.25">
      <c r="A83">
        <v>0.98511419456146898</v>
      </c>
      <c r="B83" s="6">
        <v>16.4706844719441</v>
      </c>
      <c r="C83" s="6">
        <v>16.4706844719441</v>
      </c>
      <c r="D83">
        <v>0</v>
      </c>
      <c r="E83">
        <v>5.12167142952622</v>
      </c>
      <c r="F83">
        <v>4.2404951002168403</v>
      </c>
      <c r="G83">
        <v>133.024154074612</v>
      </c>
      <c r="H83">
        <v>90.037305950472103</v>
      </c>
      <c r="I83">
        <v>66.5905283304552</v>
      </c>
      <c r="J83">
        <v>42.892242624627698</v>
      </c>
      <c r="K83">
        <v>135222.80200277999</v>
      </c>
      <c r="L83">
        <v>756.68670395113895</v>
      </c>
      <c r="M83">
        <v>0.16150140374240499</v>
      </c>
      <c r="N83">
        <v>3.8798197561299597E-2</v>
      </c>
      <c r="O83">
        <v>0.68364642960784405</v>
      </c>
      <c r="P83" s="6">
        <v>0.11000481196480399</v>
      </c>
      <c r="Q83">
        <v>0.74947662879466104</v>
      </c>
      <c r="R83">
        <v>0</v>
      </c>
      <c r="S83">
        <v>150</v>
      </c>
      <c r="T83">
        <v>10000</v>
      </c>
      <c r="U83">
        <v>41143836296.980003</v>
      </c>
      <c r="V83">
        <v>304267</v>
      </c>
      <c r="W83" t="s">
        <v>25</v>
      </c>
    </row>
    <row r="84" spans="1:23" x14ac:dyDescent="0.25">
      <c r="A84">
        <v>0.98850387351397395</v>
      </c>
      <c r="B84" s="6">
        <v>12.955666234736301</v>
      </c>
      <c r="C84" s="6">
        <v>12.955666234736301</v>
      </c>
      <c r="D84">
        <v>0</v>
      </c>
      <c r="E84">
        <v>5.125</v>
      </c>
      <c r="F84">
        <v>4.2685719170557803</v>
      </c>
      <c r="G84">
        <v>132.165004501487</v>
      </c>
      <c r="H84">
        <v>87.172080246618904</v>
      </c>
      <c r="I84">
        <v>71.914837131754396</v>
      </c>
      <c r="J84">
        <v>50.223292241148002</v>
      </c>
      <c r="K84">
        <v>136704.82500000001</v>
      </c>
      <c r="L84">
        <v>777.20280721620395</v>
      </c>
      <c r="M84">
        <v>0</v>
      </c>
      <c r="N84">
        <v>0</v>
      </c>
      <c r="O84">
        <v>1</v>
      </c>
      <c r="P84" s="6">
        <v>0</v>
      </c>
      <c r="Q84">
        <v>0.37137844256777303</v>
      </c>
      <c r="R84">
        <v>0</v>
      </c>
      <c r="S84">
        <v>150</v>
      </c>
      <c r="T84">
        <v>12000</v>
      </c>
      <c r="U84">
        <v>273409.65000000002</v>
      </c>
      <c r="V84">
        <v>2</v>
      </c>
      <c r="W84" t="s">
        <v>25</v>
      </c>
    </row>
    <row r="85" spans="1:23" x14ac:dyDescent="0.25">
      <c r="A85">
        <v>0.98663101717017498</v>
      </c>
      <c r="B85" s="6">
        <v>14.9141829768354</v>
      </c>
      <c r="C85" s="6">
        <v>14.9141829768354</v>
      </c>
      <c r="D85">
        <v>0</v>
      </c>
      <c r="E85">
        <v>5.4438749976197904</v>
      </c>
      <c r="F85">
        <v>4.2421690929419897</v>
      </c>
      <c r="G85">
        <v>158.342136390815</v>
      </c>
      <c r="H85">
        <v>14.9047183851913</v>
      </c>
      <c r="I85">
        <v>58.336084082503397</v>
      </c>
      <c r="J85">
        <v>53.078604551954101</v>
      </c>
      <c r="K85">
        <v>103297.489154501</v>
      </c>
      <c r="L85">
        <v>724.56341804300303</v>
      </c>
      <c r="M85">
        <v>0.111383690305904</v>
      </c>
      <c r="N85">
        <v>3.4963805811190199E-2</v>
      </c>
      <c r="O85">
        <v>0.63709609100626596</v>
      </c>
      <c r="P85" s="6">
        <v>8.6323530717819202E-2</v>
      </c>
      <c r="Q85">
        <v>0.81054950737919296</v>
      </c>
      <c r="R85">
        <v>0</v>
      </c>
      <c r="S85">
        <v>175</v>
      </c>
      <c r="T85">
        <v>2000</v>
      </c>
      <c r="U85">
        <v>169821072.16999999</v>
      </c>
      <c r="V85">
        <v>1644</v>
      </c>
      <c r="W85" t="s">
        <v>25</v>
      </c>
    </row>
    <row r="86" spans="1:23" x14ac:dyDescent="0.25">
      <c r="A86">
        <v>0.98244148294804501</v>
      </c>
      <c r="B86" s="6">
        <v>19.1499479543604</v>
      </c>
      <c r="C86" s="6">
        <v>19.1499479543604</v>
      </c>
      <c r="D86">
        <v>0</v>
      </c>
      <c r="E86">
        <v>5.4010891663392204</v>
      </c>
      <c r="F86">
        <v>4.25175899914385</v>
      </c>
      <c r="G86">
        <v>156.734508669869</v>
      </c>
      <c r="H86">
        <v>39.414969592684699</v>
      </c>
      <c r="I86">
        <v>65.592163938151003</v>
      </c>
      <c r="J86">
        <v>51.813284763640901</v>
      </c>
      <c r="K86">
        <v>89620.580938123705</v>
      </c>
      <c r="L86">
        <v>709.20697171581503</v>
      </c>
      <c r="M86">
        <v>9.2518900880985105E-2</v>
      </c>
      <c r="N86">
        <v>0.16588032639320699</v>
      </c>
      <c r="O86">
        <v>0.769446274882987</v>
      </c>
      <c r="P86" s="6">
        <v>1.36176133916862E-2</v>
      </c>
      <c r="Q86">
        <v>0.86306569331165695</v>
      </c>
      <c r="R86">
        <v>0</v>
      </c>
      <c r="S86">
        <v>175</v>
      </c>
      <c r="T86">
        <v>4000</v>
      </c>
      <c r="U86">
        <v>44899911.049999997</v>
      </c>
      <c r="V86">
        <v>501</v>
      </c>
      <c r="W86" t="s">
        <v>25</v>
      </c>
    </row>
    <row r="87" spans="1:23" x14ac:dyDescent="0.25">
      <c r="A87">
        <v>0.981687984123915</v>
      </c>
      <c r="B87" s="6">
        <v>19.890927582653699</v>
      </c>
      <c r="C87" s="6">
        <v>19.890927582653699</v>
      </c>
      <c r="D87">
        <v>0</v>
      </c>
      <c r="E87">
        <v>5.3805341122592196</v>
      </c>
      <c r="F87">
        <v>4.2286828342587501</v>
      </c>
      <c r="G87">
        <v>156.22821455225599</v>
      </c>
      <c r="H87">
        <v>51.514783485275899</v>
      </c>
      <c r="I87">
        <v>74.703396700963694</v>
      </c>
      <c r="J87">
        <v>52.679859527010201</v>
      </c>
      <c r="K87">
        <v>116098.935796052</v>
      </c>
      <c r="L87">
        <v>688.23112389077903</v>
      </c>
      <c r="M87">
        <v>0.113079240153384</v>
      </c>
      <c r="N87">
        <v>0.116696132326922</v>
      </c>
      <c r="O87">
        <v>0.63465038294524301</v>
      </c>
      <c r="P87" s="6">
        <v>4.1143323093907197E-2</v>
      </c>
      <c r="Q87">
        <v>0.761013845643425</v>
      </c>
      <c r="R87">
        <v>0</v>
      </c>
      <c r="S87">
        <v>175</v>
      </c>
      <c r="T87">
        <v>6000</v>
      </c>
      <c r="U87">
        <v>705881529.63999999</v>
      </c>
      <c r="V87">
        <v>6080</v>
      </c>
      <c r="W87" t="s">
        <v>25</v>
      </c>
    </row>
    <row r="88" spans="1:23" x14ac:dyDescent="0.25">
      <c r="A88">
        <v>0.98420157940298003</v>
      </c>
      <c r="B88" s="6">
        <v>17.394551859646999</v>
      </c>
      <c r="C88" s="6">
        <v>17.394551859646999</v>
      </c>
      <c r="D88">
        <v>0</v>
      </c>
      <c r="E88">
        <v>5.3962829400567003</v>
      </c>
      <c r="F88">
        <v>4.2501571386986496</v>
      </c>
      <c r="G88">
        <v>158.74793325121399</v>
      </c>
      <c r="H88">
        <v>50.5458584209984</v>
      </c>
      <c r="I88">
        <v>66.711244429594799</v>
      </c>
      <c r="J88">
        <v>48.258505699110998</v>
      </c>
      <c r="K88" s="6">
        <v>92783.734925860699</v>
      </c>
      <c r="L88" s="6">
        <v>713.82822777408603</v>
      </c>
      <c r="M88">
        <v>0.227871641820694</v>
      </c>
      <c r="N88" s="6">
        <v>8.9210384361049194E-2</v>
      </c>
      <c r="O88">
        <v>0.76462181485879499</v>
      </c>
      <c r="P88" s="6">
        <v>5.8620087470571701E-2</v>
      </c>
      <c r="Q88">
        <v>0.88525035193794699</v>
      </c>
      <c r="R88">
        <v>0</v>
      </c>
      <c r="S88">
        <v>175</v>
      </c>
      <c r="T88">
        <v>8000</v>
      </c>
      <c r="U88">
        <v>738372962.53999996</v>
      </c>
      <c r="V88">
        <v>7958</v>
      </c>
      <c r="W88" t="s">
        <v>25</v>
      </c>
    </row>
    <row r="89" spans="1:23" x14ac:dyDescent="0.25">
      <c r="A89">
        <v>0.98472734526613404</v>
      </c>
      <c r="B89" s="6">
        <v>16.863453847441601</v>
      </c>
      <c r="C89" s="6">
        <v>16.863453847441601</v>
      </c>
      <c r="D89">
        <v>0</v>
      </c>
      <c r="E89">
        <v>5.3463583052534496</v>
      </c>
      <c r="F89">
        <v>4.2318458048076399</v>
      </c>
      <c r="G89">
        <v>156.72057313100001</v>
      </c>
      <c r="H89">
        <v>88.084377687589594</v>
      </c>
      <c r="I89">
        <v>68.141102366781595</v>
      </c>
      <c r="J89">
        <v>44.974352935613197</v>
      </c>
      <c r="K89">
        <v>126570.908833102</v>
      </c>
      <c r="L89">
        <v>740.282316796955</v>
      </c>
      <c r="M89">
        <v>0.212467121684184</v>
      </c>
      <c r="N89">
        <v>2.79433385344398E-2</v>
      </c>
      <c r="O89">
        <v>0.71995075344520398</v>
      </c>
      <c r="P89" s="6">
        <v>0.21831259924914601</v>
      </c>
      <c r="Q89">
        <v>0.79821479710850696</v>
      </c>
      <c r="R89">
        <v>0</v>
      </c>
      <c r="S89">
        <v>175</v>
      </c>
      <c r="T89">
        <v>10000</v>
      </c>
      <c r="U89">
        <v>2372191973.3499999</v>
      </c>
      <c r="V89">
        <v>18742</v>
      </c>
      <c r="W89" t="s">
        <v>25</v>
      </c>
    </row>
    <row r="90" spans="1:23" x14ac:dyDescent="0.25">
      <c r="A90">
        <v>0.98492339762375802</v>
      </c>
      <c r="B90" s="6">
        <v>16.664613319303601</v>
      </c>
      <c r="C90" s="6">
        <v>16.664613319303601</v>
      </c>
      <c r="D90">
        <v>0</v>
      </c>
      <c r="E90">
        <v>5.6326415029374903</v>
      </c>
      <c r="F90">
        <v>4.2461035336789097</v>
      </c>
      <c r="G90">
        <v>182.15171453175401</v>
      </c>
      <c r="H90">
        <v>34.026303168544203</v>
      </c>
      <c r="I90">
        <v>55.491247069495401</v>
      </c>
      <c r="J90">
        <v>42.8705074296672</v>
      </c>
      <c r="K90">
        <v>94084.563419354803</v>
      </c>
      <c r="L90">
        <v>727.80423015510996</v>
      </c>
      <c r="M90">
        <v>5.9944629098467997E-2</v>
      </c>
      <c r="N90">
        <v>4.38186029588798E-2</v>
      </c>
      <c r="O90">
        <v>0.722181384370295</v>
      </c>
      <c r="P90" s="6">
        <v>3.71612577303852E-2</v>
      </c>
      <c r="Q90">
        <v>0.83103029181367205</v>
      </c>
      <c r="R90">
        <v>0</v>
      </c>
      <c r="S90">
        <v>200</v>
      </c>
      <c r="T90">
        <v>2000</v>
      </c>
      <c r="U90">
        <v>14583107.33</v>
      </c>
      <c r="V90">
        <v>155</v>
      </c>
      <c r="W90" t="s">
        <v>25</v>
      </c>
    </row>
    <row r="91" spans="1:23" x14ac:dyDescent="0.25">
      <c r="A91">
        <v>0.98265484492939004</v>
      </c>
      <c r="B91" s="6">
        <v>18.938992524487698</v>
      </c>
      <c r="C91" s="6">
        <v>18.938992524487698</v>
      </c>
      <c r="D91">
        <v>0</v>
      </c>
      <c r="E91">
        <v>5.6574445913390301</v>
      </c>
      <c r="F91">
        <v>4.34595121773771</v>
      </c>
      <c r="G91">
        <v>184.05808441717201</v>
      </c>
      <c r="H91">
        <v>66.922779602365296</v>
      </c>
      <c r="I91">
        <v>64.332429765777306</v>
      </c>
      <c r="J91">
        <v>38.0888615768337</v>
      </c>
      <c r="K91">
        <v>119746.433488372</v>
      </c>
      <c r="L91">
        <v>732.31916476906497</v>
      </c>
      <c r="M91">
        <v>0.21341125382334999</v>
      </c>
      <c r="N91">
        <v>0.24941972151448999</v>
      </c>
      <c r="O91">
        <v>0.725831108114529</v>
      </c>
      <c r="P91" s="6">
        <v>0.108058247669633</v>
      </c>
      <c r="Q91">
        <v>0.97974615990116598</v>
      </c>
      <c r="R91">
        <v>0</v>
      </c>
      <c r="S91">
        <v>200</v>
      </c>
      <c r="T91">
        <v>4000</v>
      </c>
      <c r="U91">
        <v>5149096.6399999997</v>
      </c>
      <c r="V91">
        <v>43</v>
      </c>
      <c r="W91" t="s">
        <v>25</v>
      </c>
    </row>
    <row r="92" spans="1:23" x14ac:dyDescent="0.25">
      <c r="A92">
        <v>0.98338711360322095</v>
      </c>
      <c r="B92" s="6">
        <v>18.211139891372301</v>
      </c>
      <c r="C92" s="6">
        <v>18.211139891372301</v>
      </c>
      <c r="D92">
        <v>0</v>
      </c>
      <c r="E92">
        <v>5.6215651936878501</v>
      </c>
      <c r="F92">
        <v>4.2561916166635498</v>
      </c>
      <c r="G92">
        <v>182.39360014073901</v>
      </c>
      <c r="H92">
        <v>72.905397680305995</v>
      </c>
      <c r="I92">
        <v>71.704204248062695</v>
      </c>
      <c r="J92">
        <v>42.932737549421098</v>
      </c>
      <c r="K92">
        <v>93422.969896907205</v>
      </c>
      <c r="L92">
        <v>714.76736479887404</v>
      </c>
      <c r="M92">
        <v>6.4921657139689601E-2</v>
      </c>
      <c r="N92">
        <v>0.11119845067838199</v>
      </c>
      <c r="O92">
        <v>0.60598367457276703</v>
      </c>
      <c r="P92" s="6">
        <v>3.1535023669889098E-2</v>
      </c>
      <c r="Q92">
        <v>0.78475622037578097</v>
      </c>
      <c r="R92">
        <v>0</v>
      </c>
      <c r="S92">
        <v>200</v>
      </c>
      <c r="T92">
        <v>6000</v>
      </c>
      <c r="U92">
        <v>36248112.32</v>
      </c>
      <c r="V92">
        <v>388</v>
      </c>
      <c r="W92" t="s">
        <v>25</v>
      </c>
    </row>
    <row r="93" spans="1:23" x14ac:dyDescent="0.25">
      <c r="A93">
        <v>0.98386193655100096</v>
      </c>
      <c r="B93" s="6">
        <v>17.7359838618287</v>
      </c>
      <c r="C93" s="6">
        <v>17.7359838618287</v>
      </c>
      <c r="D93">
        <v>0</v>
      </c>
      <c r="E93">
        <v>5.5484370517799304</v>
      </c>
      <c r="F93">
        <v>4.2502323595030704</v>
      </c>
      <c r="G93">
        <v>182.74385073456901</v>
      </c>
      <c r="H93">
        <v>54.027598307785397</v>
      </c>
      <c r="I93">
        <v>70.582166524316406</v>
      </c>
      <c r="J93">
        <v>49.382274413280399</v>
      </c>
      <c r="K93">
        <v>94189.162651933701</v>
      </c>
      <c r="L93">
        <v>705.36635601865703</v>
      </c>
      <c r="M93">
        <v>0.16113354504834401</v>
      </c>
      <c r="N93">
        <v>5.5810595623430603E-2</v>
      </c>
      <c r="O93">
        <v>0.757210452100332</v>
      </c>
      <c r="P93" s="6">
        <v>6.6433781647648002E-2</v>
      </c>
      <c r="Q93">
        <v>0.87741130993159999</v>
      </c>
      <c r="R93">
        <v>0</v>
      </c>
      <c r="S93">
        <v>200</v>
      </c>
      <c r="T93">
        <v>8000</v>
      </c>
      <c r="U93">
        <v>102289430.64</v>
      </c>
      <c r="V93">
        <v>1086</v>
      </c>
      <c r="W93" t="s">
        <v>25</v>
      </c>
    </row>
    <row r="94" spans="1:23" x14ac:dyDescent="0.25">
      <c r="A94">
        <v>0.98468041177858701</v>
      </c>
      <c r="B94" s="6">
        <v>16.910990238943501</v>
      </c>
      <c r="C94" s="6">
        <v>16.910990238943501</v>
      </c>
      <c r="D94">
        <v>0</v>
      </c>
      <c r="E94">
        <v>5.4954718012674704</v>
      </c>
      <c r="F94">
        <v>4.2596412373910404</v>
      </c>
      <c r="G94">
        <v>182.02142921744601</v>
      </c>
      <c r="H94">
        <v>81.399551008418896</v>
      </c>
      <c r="I94">
        <v>69.156210815859794</v>
      </c>
      <c r="J94">
        <v>46.078694330495097</v>
      </c>
      <c r="K94">
        <v>99887.724191449801</v>
      </c>
      <c r="L94" s="6">
        <v>725.08566935575698</v>
      </c>
      <c r="M94">
        <v>0.19522709056395601</v>
      </c>
      <c r="N94">
        <v>3.03296924055203E-2</v>
      </c>
      <c r="O94">
        <v>0.73818941715160802</v>
      </c>
      <c r="P94" s="6">
        <v>0.176173788649749</v>
      </c>
      <c r="Q94">
        <v>0.84371283587300205</v>
      </c>
      <c r="R94">
        <v>0</v>
      </c>
      <c r="S94">
        <v>200</v>
      </c>
      <c r="T94">
        <v>10000</v>
      </c>
      <c r="U94">
        <v>107479191.23</v>
      </c>
      <c r="V94">
        <v>1076</v>
      </c>
      <c r="W94" t="s">
        <v>25</v>
      </c>
    </row>
    <row r="95" spans="1:23" x14ac:dyDescent="0.25">
      <c r="A95">
        <v>0.97931134732737501</v>
      </c>
      <c r="B95" s="6">
        <v>22.1874871108752</v>
      </c>
      <c r="C95" s="6">
        <v>22.1874871108752</v>
      </c>
      <c r="D95">
        <v>0</v>
      </c>
      <c r="E95">
        <v>5.9382316831216899</v>
      </c>
      <c r="F95">
        <v>4.2752365834870103</v>
      </c>
      <c r="G95">
        <v>207.59759561684299</v>
      </c>
      <c r="H95">
        <v>64.253183799995398</v>
      </c>
      <c r="I95">
        <v>63.253635542344199</v>
      </c>
      <c r="J95">
        <v>30.864359717122198</v>
      </c>
      <c r="K95" s="6">
        <v>135295.20000000001</v>
      </c>
      <c r="L95" s="6">
        <v>761.33633403106603</v>
      </c>
      <c r="M95">
        <v>0</v>
      </c>
      <c r="N95">
        <v>0</v>
      </c>
      <c r="O95">
        <v>0.46039517398146501</v>
      </c>
      <c r="P95" s="6">
        <v>0</v>
      </c>
      <c r="Q95">
        <v>1</v>
      </c>
      <c r="R95">
        <v>0</v>
      </c>
      <c r="S95">
        <v>225</v>
      </c>
      <c r="T95">
        <v>2000</v>
      </c>
      <c r="U95">
        <v>947066.4</v>
      </c>
      <c r="V95">
        <v>7</v>
      </c>
      <c r="W95" t="s">
        <v>25</v>
      </c>
    </row>
    <row r="96" spans="1:23" x14ac:dyDescent="0.25">
      <c r="A96">
        <v>0.97975307947282197</v>
      </c>
      <c r="B96">
        <v>21.765259520842498</v>
      </c>
      <c r="C96">
        <v>21.765259520842498</v>
      </c>
      <c r="D96">
        <v>0</v>
      </c>
      <c r="E96">
        <v>5.90583909083196</v>
      </c>
      <c r="F96">
        <v>4.2468892041425104</v>
      </c>
      <c r="G96">
        <v>211.712128955688</v>
      </c>
      <c r="H96">
        <v>78.3790068667643</v>
      </c>
      <c r="I96">
        <v>65.592442597982796</v>
      </c>
      <c r="J96">
        <v>29.496142583150299</v>
      </c>
      <c r="K96">
        <v>220311.24076923</v>
      </c>
      <c r="L96">
        <v>774.10954407357895</v>
      </c>
      <c r="M96">
        <v>0</v>
      </c>
      <c r="N96">
        <v>0</v>
      </c>
      <c r="O96">
        <v>0.70678376608410198</v>
      </c>
      <c r="P96">
        <v>0</v>
      </c>
      <c r="Q96">
        <v>1</v>
      </c>
      <c r="R96">
        <v>0</v>
      </c>
      <c r="S96">
        <v>225</v>
      </c>
      <c r="T96">
        <v>4000</v>
      </c>
      <c r="U96">
        <v>2864046.13</v>
      </c>
      <c r="V96">
        <v>13</v>
      </c>
      <c r="W96" t="s">
        <v>25</v>
      </c>
    </row>
    <row r="97" spans="1:23" x14ac:dyDescent="0.25">
      <c r="A97">
        <v>0.98261462944497402</v>
      </c>
      <c r="B97">
        <v>18.978792957316401</v>
      </c>
      <c r="C97">
        <v>18.978792957316401</v>
      </c>
      <c r="D97">
        <v>0</v>
      </c>
      <c r="E97">
        <v>5.87590372778042</v>
      </c>
      <c r="F97">
        <v>4.3255139738055597</v>
      </c>
      <c r="G97">
        <v>210.543398748584</v>
      </c>
      <c r="H97">
        <v>71.270581808844895</v>
      </c>
      <c r="I97">
        <v>73.356873023827205</v>
      </c>
      <c r="J97">
        <v>45.133089672640203</v>
      </c>
      <c r="K97">
        <v>116516.17724999999</v>
      </c>
      <c r="L97">
        <v>714.247823393982</v>
      </c>
      <c r="M97">
        <v>0.118920495222477</v>
      </c>
      <c r="N97">
        <v>0</v>
      </c>
      <c r="O97">
        <v>0.61059723361289697</v>
      </c>
      <c r="P97">
        <v>0.132552044398624</v>
      </c>
      <c r="Q97">
        <v>0.66451405570808797</v>
      </c>
      <c r="R97">
        <v>0</v>
      </c>
      <c r="S97">
        <v>225</v>
      </c>
      <c r="T97">
        <v>6000</v>
      </c>
      <c r="U97">
        <v>4660647.09</v>
      </c>
      <c r="V97">
        <v>40</v>
      </c>
      <c r="W97" t="s">
        <v>25</v>
      </c>
    </row>
    <row r="98" spans="1:23" x14ac:dyDescent="0.25">
      <c r="A98">
        <v>0.98315229243500202</v>
      </c>
      <c r="B98">
        <v>18.445194845642899</v>
      </c>
      <c r="C98">
        <v>18.445194845642899</v>
      </c>
      <c r="D98">
        <v>0</v>
      </c>
      <c r="E98">
        <v>5.6155638647318602</v>
      </c>
      <c r="F98">
        <v>4.27422718539973</v>
      </c>
      <c r="G98">
        <v>209.680316440762</v>
      </c>
      <c r="H98">
        <v>63.607255988470698</v>
      </c>
      <c r="I98">
        <v>74.452387761132599</v>
      </c>
      <c r="J98">
        <v>48.740329108671403</v>
      </c>
      <c r="K98">
        <v>111853.406142131</v>
      </c>
      <c r="L98">
        <v>694.33381830064195</v>
      </c>
      <c r="M98">
        <v>9.52178964230702E-2</v>
      </c>
      <c r="N98">
        <v>4.1448393207621399E-2</v>
      </c>
      <c r="O98">
        <v>0.73420249485618705</v>
      </c>
      <c r="P98">
        <v>1.7079424244105801E-2</v>
      </c>
      <c r="Q98">
        <v>0.85229694320612204</v>
      </c>
      <c r="R98">
        <v>0</v>
      </c>
      <c r="S98">
        <v>225</v>
      </c>
      <c r="T98">
        <v>8000</v>
      </c>
      <c r="U98">
        <v>22035121.010000002</v>
      </c>
      <c r="V98">
        <v>197</v>
      </c>
      <c r="W98" t="s">
        <v>25</v>
      </c>
    </row>
    <row r="99" spans="1:23" x14ac:dyDescent="0.25">
      <c r="A99">
        <v>0.98355540611491998</v>
      </c>
      <c r="B99">
        <v>18.043017910145799</v>
      </c>
      <c r="C99">
        <v>18.043017910145799</v>
      </c>
      <c r="D99">
        <v>0</v>
      </c>
      <c r="E99">
        <v>5.3844470056819498</v>
      </c>
      <c r="F99">
        <v>4.2944594602452399</v>
      </c>
      <c r="G99">
        <v>211.45110415584699</v>
      </c>
      <c r="H99">
        <v>67.891470325217</v>
      </c>
      <c r="I99">
        <v>73.781730786400701</v>
      </c>
      <c r="J99">
        <v>51.318171321920303</v>
      </c>
      <c r="K99">
        <v>109443.68668316799</v>
      </c>
      <c r="L99">
        <v>693.38890336174802</v>
      </c>
      <c r="M99">
        <v>0.19360101531233201</v>
      </c>
      <c r="N99">
        <v>4.6184378167870499E-3</v>
      </c>
      <c r="O99">
        <v>0.83586798954666996</v>
      </c>
      <c r="P99">
        <v>8.1510710609489001E-2</v>
      </c>
      <c r="Q99">
        <v>0.90068067018494202</v>
      </c>
      <c r="R99">
        <v>0</v>
      </c>
      <c r="S99">
        <v>225</v>
      </c>
      <c r="T99">
        <v>10000</v>
      </c>
      <c r="U99">
        <v>22107624.710000001</v>
      </c>
      <c r="V99">
        <v>202</v>
      </c>
      <c r="W99" t="s">
        <v>25</v>
      </c>
    </row>
    <row r="100" spans="1:23" x14ac:dyDescent="0.25">
      <c r="A100">
        <v>0.98121549462771795</v>
      </c>
      <c r="B100">
        <v>20.352385716018201</v>
      </c>
      <c r="C100">
        <v>20.352385716018201</v>
      </c>
      <c r="D100">
        <v>0</v>
      </c>
      <c r="E100">
        <v>6</v>
      </c>
      <c r="F100">
        <v>4.2036729130116903</v>
      </c>
      <c r="G100">
        <v>227.680687465738</v>
      </c>
      <c r="H100">
        <v>76.499312534261094</v>
      </c>
      <c r="I100">
        <v>72</v>
      </c>
      <c r="J100">
        <v>32.245103119860801</v>
      </c>
      <c r="K100">
        <v>168284.75</v>
      </c>
      <c r="L100">
        <v>734</v>
      </c>
      <c r="M100">
        <v>0</v>
      </c>
      <c r="N100">
        <v>0</v>
      </c>
      <c r="O100">
        <v>0</v>
      </c>
      <c r="P100">
        <v>0</v>
      </c>
      <c r="Q100">
        <v>1</v>
      </c>
      <c r="R100">
        <v>0</v>
      </c>
      <c r="S100">
        <v>250</v>
      </c>
      <c r="T100">
        <v>4000</v>
      </c>
      <c r="U100">
        <v>336569.5</v>
      </c>
      <c r="V100">
        <v>2</v>
      </c>
      <c r="W100" t="s">
        <v>25</v>
      </c>
    </row>
    <row r="101" spans="1:23" x14ac:dyDescent="0.25">
      <c r="A101">
        <v>0.98245229446556603</v>
      </c>
      <c r="B101">
        <v>19.1392704981088</v>
      </c>
      <c r="C101">
        <v>19.1392704981088</v>
      </c>
      <c r="D101">
        <v>0</v>
      </c>
      <c r="E101">
        <v>6.0073544326335897</v>
      </c>
      <c r="F101">
        <v>4.2772202235977197</v>
      </c>
      <c r="G101">
        <v>232.32591728408499</v>
      </c>
      <c r="H101">
        <v>80.690801947878199</v>
      </c>
      <c r="I101">
        <v>75.671462789651898</v>
      </c>
      <c r="J101">
        <v>44.3965589987451</v>
      </c>
      <c r="K101">
        <v>138497.10875000001</v>
      </c>
      <c r="L101">
        <v>727.18050419229405</v>
      </c>
      <c r="M101">
        <v>0</v>
      </c>
      <c r="N101">
        <v>0</v>
      </c>
      <c r="O101">
        <v>0.53475898824494394</v>
      </c>
      <c r="P101">
        <v>0</v>
      </c>
      <c r="Q101">
        <v>0.50129861465429304</v>
      </c>
      <c r="R101">
        <v>0</v>
      </c>
      <c r="S101">
        <v>250</v>
      </c>
      <c r="T101">
        <v>6000</v>
      </c>
      <c r="U101">
        <v>1107976.8700000001</v>
      </c>
      <c r="V101">
        <v>8</v>
      </c>
      <c r="W101" t="s">
        <v>25</v>
      </c>
    </row>
    <row r="102" spans="1:23" x14ac:dyDescent="0.25">
      <c r="A102">
        <v>0.98369734782325502</v>
      </c>
      <c r="B102">
        <v>17.900973828111901</v>
      </c>
      <c r="C102">
        <v>17.900973828111901</v>
      </c>
      <c r="D102">
        <v>0</v>
      </c>
      <c r="E102">
        <v>5.8510627179282704</v>
      </c>
      <c r="F102">
        <v>4.2372647287574798</v>
      </c>
      <c r="G102">
        <v>235.49606820415701</v>
      </c>
      <c r="H102">
        <v>74.546732657168107</v>
      </c>
      <c r="I102">
        <v>76.347681264096806</v>
      </c>
      <c r="J102">
        <v>46.242285575124001</v>
      </c>
      <c r="K102">
        <v>122064.119565217</v>
      </c>
      <c r="L102">
        <v>710.39797562916601</v>
      </c>
      <c r="M102">
        <v>0</v>
      </c>
      <c r="N102">
        <v>5.5047595708563303E-2</v>
      </c>
      <c r="O102">
        <v>0.56492897042083801</v>
      </c>
      <c r="P102">
        <v>0</v>
      </c>
      <c r="Q102">
        <v>0.65105716266904901</v>
      </c>
      <c r="R102">
        <v>0</v>
      </c>
      <c r="S102">
        <v>250</v>
      </c>
      <c r="T102">
        <v>8000</v>
      </c>
      <c r="U102">
        <v>5614949.5</v>
      </c>
      <c r="V102">
        <v>46</v>
      </c>
      <c r="W102" t="s">
        <v>25</v>
      </c>
    </row>
    <row r="103" spans="1:23" x14ac:dyDescent="0.25">
      <c r="A103">
        <v>0.98338571287725696</v>
      </c>
      <c r="B103">
        <v>18.212537870428299</v>
      </c>
      <c r="C103">
        <v>18.212537870428299</v>
      </c>
      <c r="D103">
        <v>0</v>
      </c>
      <c r="E103">
        <v>5.2971927099096199</v>
      </c>
      <c r="F103">
        <v>4.2438812712768801</v>
      </c>
      <c r="G103">
        <v>233.75961390507999</v>
      </c>
      <c r="H103">
        <v>56.042045040316097</v>
      </c>
      <c r="I103">
        <v>75.269810068317696</v>
      </c>
      <c r="J103">
        <v>53.929300864367001</v>
      </c>
      <c r="K103">
        <v>119886.104512195</v>
      </c>
      <c r="L103">
        <v>702.45781135946504</v>
      </c>
      <c r="M103">
        <v>0.15832263955381301</v>
      </c>
      <c r="N103">
        <v>4.17028161109625E-2</v>
      </c>
      <c r="O103">
        <v>0.90744615038620902</v>
      </c>
      <c r="P103">
        <v>0</v>
      </c>
      <c r="Q103">
        <v>1</v>
      </c>
      <c r="R103">
        <v>0</v>
      </c>
      <c r="S103">
        <v>250</v>
      </c>
      <c r="T103">
        <v>10000</v>
      </c>
      <c r="U103">
        <v>9830660.5700000003</v>
      </c>
      <c r="V103">
        <v>82</v>
      </c>
      <c r="W103" t="s">
        <v>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Sheet5</vt: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Lien Chen</dc:creator>
  <cp:lastModifiedBy>Lien Chen</cp:lastModifiedBy>
  <dcterms:created xsi:type="dcterms:W3CDTF">2018-05-16T14:33:49Z</dcterms:created>
  <dcterms:modified xsi:type="dcterms:W3CDTF">2018-05-17T22:42:31Z</dcterms:modified>
</cp:coreProperties>
</file>