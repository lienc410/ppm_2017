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45" windowWidth="35235" windowHeight="19695" activeTab="2"/>
  </bookViews>
  <sheets>
    <sheet name="Sheet1" sheetId="2" r:id="rId1"/>
    <sheet name="Tracking_aggData_by_incentive_n" sheetId="1" r:id="rId2"/>
    <sheet name="Sheet2" sheetId="3" r:id="rId3"/>
  </sheets>
  <calcPr calcId="145621"/>
  <pivotCaches>
    <pivotCache cacheId="40" r:id="rId4"/>
  </pivotCaches>
</workbook>
</file>

<file path=xl/calcChain.xml><?xml version="1.0" encoding="utf-8"?>
<calcChain xmlns="http://schemas.openxmlformats.org/spreadsheetml/2006/main">
  <c r="E18" i="3" l="1"/>
  <c r="E17" i="3"/>
  <c r="E16" i="3"/>
  <c r="E15" i="3"/>
  <c r="E14" i="3"/>
  <c r="E13" i="3"/>
  <c r="E12" i="3"/>
  <c r="K18" i="3"/>
  <c r="J18" i="3"/>
  <c r="I18" i="3"/>
  <c r="K17" i="3"/>
  <c r="J17" i="3"/>
  <c r="I17" i="3"/>
  <c r="K16" i="3"/>
  <c r="J16" i="3"/>
  <c r="I16" i="3"/>
  <c r="K15" i="3"/>
  <c r="J15" i="3"/>
  <c r="I15" i="3"/>
  <c r="K14" i="3"/>
  <c r="J14" i="3"/>
  <c r="I14" i="3"/>
  <c r="K13" i="3"/>
  <c r="J13" i="3"/>
  <c r="I13" i="3"/>
  <c r="K12" i="3"/>
  <c r="J12" i="3"/>
  <c r="I12" i="3"/>
  <c r="P13" i="3"/>
  <c r="P14" i="3"/>
  <c r="P15" i="3"/>
  <c r="P16" i="3"/>
  <c r="P17" i="3"/>
  <c r="P18" i="3"/>
  <c r="P12" i="3"/>
  <c r="C11" i="3" l="1"/>
  <c r="D11" i="3"/>
  <c r="I11" i="3"/>
  <c r="O11" i="3"/>
  <c r="C12" i="3"/>
  <c r="D12" i="3"/>
  <c r="O12" i="3"/>
  <c r="Q12" i="3"/>
  <c r="C13" i="3"/>
  <c r="D13" i="3"/>
  <c r="O13" i="3"/>
  <c r="Q13" i="3"/>
  <c r="C14" i="3"/>
  <c r="D14" i="3"/>
  <c r="O14" i="3"/>
  <c r="Q14" i="3"/>
  <c r="C15" i="3"/>
  <c r="D15" i="3"/>
  <c r="O15" i="3"/>
  <c r="Q15" i="3"/>
  <c r="C16" i="3"/>
  <c r="D16" i="3"/>
  <c r="O16" i="3"/>
  <c r="Q16" i="3"/>
  <c r="C17" i="3"/>
  <c r="D17" i="3"/>
  <c r="O17" i="3"/>
  <c r="Q17" i="3"/>
  <c r="C18" i="3"/>
  <c r="D18" i="3"/>
  <c r="O18" i="3"/>
  <c r="Q18" i="3"/>
  <c r="AL3" i="1" l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" i="1"/>
</calcChain>
</file>

<file path=xl/sharedStrings.xml><?xml version="1.0" encoding="utf-8"?>
<sst xmlns="http://schemas.openxmlformats.org/spreadsheetml/2006/main" count="113" uniqueCount="54">
  <si>
    <t>x</t>
  </si>
  <si>
    <t>actual.smm</t>
  </si>
  <si>
    <t>model.smm</t>
  </si>
  <si>
    <t>track.err</t>
  </si>
  <si>
    <t>curt.smm</t>
  </si>
  <si>
    <t>dflt.smm</t>
  </si>
  <si>
    <t>cout.smm</t>
  </si>
  <si>
    <t>turn.smm</t>
  </si>
  <si>
    <t>refi.smm</t>
  </si>
  <si>
    <t>pct_inv</t>
  </si>
  <si>
    <t>pct_2nd</t>
  </si>
  <si>
    <t>pct_owner</t>
  </si>
  <si>
    <t>pct_purchase</t>
  </si>
  <si>
    <t>pct_REFI_NCO</t>
  </si>
  <si>
    <t>pct_REFI_CO</t>
  </si>
  <si>
    <t>pct_REFI_other</t>
  </si>
  <si>
    <t>pct_REFI</t>
  </si>
  <si>
    <t>pct_dq</t>
  </si>
  <si>
    <t>incentive</t>
  </si>
  <si>
    <t>burnout</t>
  </si>
  <si>
    <t>refi_elig_pct</t>
  </si>
  <si>
    <t>cltv</t>
  </si>
  <si>
    <t>wacls</t>
  </si>
  <si>
    <t>wala</t>
  </si>
  <si>
    <t>wac</t>
  </si>
  <si>
    <t>fico</t>
  </si>
  <si>
    <t>pct_HARPed</t>
  </si>
  <si>
    <t>pct_tpo</t>
  </si>
  <si>
    <t>cai</t>
  </si>
  <si>
    <t>hpa2yr</t>
  </si>
  <si>
    <t>media_effect</t>
  </si>
  <si>
    <t>sato</t>
  </si>
  <si>
    <t>bal</t>
  </si>
  <si>
    <t>std</t>
  </si>
  <si>
    <t>n</t>
  </si>
  <si>
    <t>NA</t>
  </si>
  <si>
    <t>purpose</t>
  </si>
  <si>
    <t>REFI_NCO</t>
  </si>
  <si>
    <t>PURCH</t>
  </si>
  <si>
    <t>REFI_CO</t>
  </si>
  <si>
    <t>Row Labels</t>
  </si>
  <si>
    <t>Column Labels</t>
  </si>
  <si>
    <t>Ratio</t>
  </si>
  <si>
    <t>Ratio w/o refi</t>
  </si>
  <si>
    <t>'bal</t>
  </si>
  <si>
    <t>'actual.smm</t>
  </si>
  <si>
    <t>'model.smm</t>
  </si>
  <si>
    <t>'Ratio</t>
  </si>
  <si>
    <t>'Ratio w/o refi</t>
  </si>
  <si>
    <t>model w/o refi</t>
  </si>
  <si>
    <t>'model w/o refi</t>
  </si>
  <si>
    <t>actual</t>
  </si>
  <si>
    <t>model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</si>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</sst>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&quot;$&quot;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33" borderId="0" xfId="0" applyFill="1" applyAlignment="1">
      <alignment horizontal="left"/>
    </xf>
    <xf numFmtId="164" fontId="0" fillId="33" borderId="0" xfId="0" applyNumberFormat="1" applyFill="1"/>
    <xf numFmtId="0" fontId="0" fillId="0" borderId="0" xfId="0" applyBorder="1"/>
    <xf numFmtId="165" fontId="0" fillId="0" borderId="0" xfId="0" applyNumberFormat="1"/>
    <xf numFmtId="165" fontId="0" fillId="33" borderId="0" xfId="0" applyNumberFormat="1" applyFill="1"/>
    <xf numFmtId="2" fontId="0" fillId="0" borderId="0" xfId="0" applyNumberFormat="1"/>
    <xf numFmtId="2" fontId="0" fillId="33" borderId="0" xfId="0" applyNumberFormat="1" applyFill="1"/>
    <xf numFmtId="164" fontId="0" fillId="0" borderId="0" xfId="1" applyNumberFormat="1" applyFont="1"/>
    <xf numFmtId="0" fontId="0" fillId="33" borderId="0" xfId="0" applyFill="1"/>
    <xf numFmtId="166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8">
    <dxf>
      <numFmt numFmtId="167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167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2" formatCode="0.00"/>
    </dxf>
    <dxf>
      <numFmt numFmtId="164" formatCode="_(* #,##0_);_(* \(#,##0\);_(* &quot;-&quot;??_);_(@_)"/>
    </dxf>
    <dxf>
      <border>
        <left/>
      </border>
    </dxf>
    <dxf>
      <border>
        <left/>
      </border>
    </dxf>
    <dxf>
      <fill>
        <patternFill patternType="solid">
          <bgColor theme="0" tint="-4.9989318521683403E-2"/>
        </patternFill>
      </fill>
    </dxf>
    <dxf>
      <numFmt numFmtId="167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Purch</c:v>
          </c:tx>
          <c:marker>
            <c:symbol val="none"/>
          </c:marker>
          <c:val>
            <c:numRef>
              <c:f>Sheet2!$C$15:$C$18</c:f>
              <c:numCache>
                <c:formatCode>General</c:formatCode>
                <c:ptCount val="4"/>
                <c:pt idx="0">
                  <c:v>5.376477537399083</c:v>
                </c:pt>
                <c:pt idx="1">
                  <c:v>6.594895487241792</c:v>
                </c:pt>
                <c:pt idx="2">
                  <c:v>8.1393738639914055</c:v>
                </c:pt>
                <c:pt idx="3">
                  <c:v>8.7422646937193367</c:v>
                </c:pt>
              </c:numCache>
            </c:numRef>
          </c:val>
          <c:smooth val="0"/>
        </c:ser>
        <c:ser>
          <c:idx val="1"/>
          <c:order val="1"/>
          <c:tx>
            <c:v>NCO</c:v>
          </c:tx>
          <c:marker>
            <c:symbol val="none"/>
          </c:marker>
          <c:val>
            <c:numRef>
              <c:f>Sheet2!$O$15:$O$18</c:f>
              <c:numCache>
                <c:formatCode>General</c:formatCode>
                <c:ptCount val="4"/>
                <c:pt idx="0">
                  <c:v>4.5016258567328276</c:v>
                </c:pt>
                <c:pt idx="1">
                  <c:v>6.2480356658348501</c:v>
                </c:pt>
                <c:pt idx="2">
                  <c:v>7.2113519519093838</c:v>
                </c:pt>
                <c:pt idx="3">
                  <c:v>8.145783212516033</c:v>
                </c:pt>
              </c:numCache>
            </c:numRef>
          </c:val>
          <c:smooth val="0"/>
        </c:ser>
        <c:ser>
          <c:idx val="2"/>
          <c:order val="2"/>
          <c:tx>
            <c:v>NCO</c:v>
          </c:tx>
          <c:marker>
            <c:symbol val="none"/>
          </c:marker>
          <c:val>
            <c:numRef>
              <c:f>Sheet2!$I$15:$I$18</c:f>
              <c:numCache>
                <c:formatCode>General</c:formatCode>
                <c:ptCount val="4"/>
                <c:pt idx="0">
                  <c:v>3.8158271156958135</c:v>
                </c:pt>
                <c:pt idx="1">
                  <c:v>6.1835763087160096</c:v>
                </c:pt>
                <c:pt idx="2">
                  <c:v>7.3354698112626293</c:v>
                </c:pt>
                <c:pt idx="3">
                  <c:v>8.4227790229441055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833088"/>
        <c:axId val="199835008"/>
      </c:lineChart>
      <c:catAx>
        <c:axId val="199833088"/>
        <c:scaling>
          <c:orientation val="minMax"/>
        </c:scaling>
        <c:delete val="0"/>
        <c:axPos val="b"/>
        <c:majorTickMark val="out"/>
        <c:minorTickMark val="none"/>
        <c:tickLblPos val="nextTo"/>
        <c:crossAx val="199835008"/>
        <c:crosses val="autoZero"/>
        <c:auto val="1"/>
        <c:lblAlgn val="ctr"/>
        <c:lblOffset val="100"/>
        <c:noMultiLvlLbl val="0"/>
      </c:catAx>
      <c:valAx>
        <c:axId val="1998350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998330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Purch</c:v>
          </c:tx>
          <c:marker>
            <c:symbol val="none"/>
          </c:marker>
          <c:val>
            <c:numRef>
              <c:f>Sheet2!$C$15:$C$18</c:f>
              <c:numCache>
                <c:formatCode>General</c:formatCode>
                <c:ptCount val="4"/>
                <c:pt idx="0">
                  <c:v>5.376477537399083</c:v>
                </c:pt>
                <c:pt idx="1">
                  <c:v>6.594895487241792</c:v>
                </c:pt>
                <c:pt idx="2">
                  <c:v>8.1393738639914055</c:v>
                </c:pt>
                <c:pt idx="3">
                  <c:v>8.7422646937193367</c:v>
                </c:pt>
              </c:numCache>
            </c:numRef>
          </c:val>
          <c:smooth val="0"/>
        </c:ser>
        <c:ser>
          <c:idx val="1"/>
          <c:order val="1"/>
          <c:tx>
            <c:v>Purchase Model</c:v>
          </c:tx>
          <c:marker>
            <c:symbol val="none"/>
          </c:marker>
          <c:val>
            <c:numRef>
              <c:f>Sheet2!$D$15:$D$18</c:f>
              <c:numCache>
                <c:formatCode>General</c:formatCode>
                <c:ptCount val="4"/>
                <c:pt idx="0">
                  <c:v>5.3597058268678328</c:v>
                </c:pt>
                <c:pt idx="1">
                  <c:v>6.4698176663926743</c:v>
                </c:pt>
                <c:pt idx="2">
                  <c:v>7.9862929546487322</c:v>
                </c:pt>
                <c:pt idx="3">
                  <c:v>8.9253839445320615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170112"/>
        <c:axId val="200173440"/>
      </c:lineChart>
      <c:catAx>
        <c:axId val="200170112"/>
        <c:scaling>
          <c:orientation val="minMax"/>
        </c:scaling>
        <c:delete val="0"/>
        <c:axPos val="b"/>
        <c:majorTickMark val="out"/>
        <c:minorTickMark val="none"/>
        <c:tickLblPos val="nextTo"/>
        <c:crossAx val="200173440"/>
        <c:crosses val="autoZero"/>
        <c:auto val="1"/>
        <c:lblAlgn val="ctr"/>
        <c:lblOffset val="100"/>
        <c:noMultiLvlLbl val="0"/>
      </c:catAx>
      <c:valAx>
        <c:axId val="20017344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00170112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 - dial 0.87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Sheet2!$I$10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val>
            <c:numRef>
              <c:f>Sheet2!$I$15:$I$18</c:f>
              <c:numCache>
                <c:formatCode>General</c:formatCode>
                <c:ptCount val="4"/>
                <c:pt idx="0">
                  <c:v>3.8158271156958135</c:v>
                </c:pt>
                <c:pt idx="1">
                  <c:v>6.1835763087160096</c:v>
                </c:pt>
                <c:pt idx="2">
                  <c:v>7.3354698112626293</c:v>
                </c:pt>
                <c:pt idx="3">
                  <c:v>8.4227790229441055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Sheet2!$J$10</c:f>
              <c:strCache>
                <c:ptCount val="1"/>
                <c:pt idx="0">
                  <c:v>model</c:v>
                </c:pt>
              </c:strCache>
            </c:strRef>
          </c:tx>
          <c:marker>
            <c:symbol val="none"/>
          </c:marker>
          <c:val>
            <c:numRef>
              <c:f>Sheet2!$J$15:$J$18</c:f>
              <c:numCache>
                <c:formatCode>General</c:formatCode>
                <c:ptCount val="4"/>
                <c:pt idx="0">
                  <c:v>4.910120031560183</c:v>
                </c:pt>
                <c:pt idx="1">
                  <c:v>5.9884665497602523</c:v>
                </c:pt>
                <c:pt idx="2">
                  <c:v>7.4593368745609512</c:v>
                </c:pt>
                <c:pt idx="3">
                  <c:v>8.4098984753732111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7840512"/>
        <c:axId val="273771136"/>
      </c:lineChart>
      <c:catAx>
        <c:axId val="267840512"/>
        <c:scaling>
          <c:orientation val="minMax"/>
        </c:scaling>
        <c:delete val="0"/>
        <c:axPos val="b"/>
        <c:majorTickMark val="out"/>
        <c:minorTickMark val="none"/>
        <c:tickLblPos val="nextTo"/>
        <c:crossAx val="273771136"/>
        <c:crosses val="autoZero"/>
        <c:auto val="1"/>
        <c:lblAlgn val="ctr"/>
        <c:lblOffset val="100"/>
        <c:noMultiLvlLbl val="0"/>
      </c:catAx>
      <c:valAx>
        <c:axId val="2737711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67840512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NCO - dial 0.87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Sheet2!$O$10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val>
            <c:numRef>
              <c:f>Sheet2!$O$15:$O$18</c:f>
              <c:numCache>
                <c:formatCode>General</c:formatCode>
                <c:ptCount val="4"/>
                <c:pt idx="0">
                  <c:v>4.5016258567328276</c:v>
                </c:pt>
                <c:pt idx="1">
                  <c:v>6.2480356658348501</c:v>
                </c:pt>
                <c:pt idx="2">
                  <c:v>7.2113519519093838</c:v>
                </c:pt>
                <c:pt idx="3">
                  <c:v>8.145783212516033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Sheet2!$P$10</c:f>
              <c:strCache>
                <c:ptCount val="1"/>
                <c:pt idx="0">
                  <c:v>model</c:v>
                </c:pt>
              </c:strCache>
            </c:strRef>
          </c:tx>
          <c:marker>
            <c:symbol val="none"/>
          </c:marker>
          <c:val>
            <c:numRef>
              <c:f>Sheet2!$P$15:$P$18</c:f>
              <c:numCache>
                <c:formatCode>General</c:formatCode>
                <c:ptCount val="4"/>
                <c:pt idx="0">
                  <c:v>4.8177207974098524</c:v>
                </c:pt>
                <c:pt idx="1">
                  <c:v>5.8723109711754651</c:v>
                </c:pt>
                <c:pt idx="2">
                  <c:v>7.3331502029408968</c:v>
                </c:pt>
                <c:pt idx="3">
                  <c:v>8.2343404964237195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7628416"/>
        <c:axId val="277629952"/>
      </c:lineChart>
      <c:catAx>
        <c:axId val="277628416"/>
        <c:scaling>
          <c:orientation val="minMax"/>
        </c:scaling>
        <c:delete val="0"/>
        <c:axPos val="b"/>
        <c:majorTickMark val="out"/>
        <c:minorTickMark val="none"/>
        <c:tickLblPos val="nextTo"/>
        <c:crossAx val="277629952"/>
        <c:crosses val="autoZero"/>
        <c:auto val="1"/>
        <c:lblAlgn val="ctr"/>
        <c:lblOffset val="100"/>
        <c:noMultiLvlLbl val="0"/>
      </c:catAx>
      <c:valAx>
        <c:axId val="2776299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77628416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214312</xdr:colOff>
      <xdr:row>18</xdr:row>
      <xdr:rowOff>100012</xdr:rowOff>
    </xdr:from>
    <xdr:to>
      <xdr:col>7</xdr:col>
      <xdr:colOff>519112</xdr:colOff>
      <xdr:row>32</xdr:row>
      <xdr:rowOff>176212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190500</xdr:colOff>
      <xdr:row>35</xdr:row>
      <xdr:rowOff>57150</xdr:rowOff>
    </xdr:from>
    <xdr:to>
      <xdr:col>7</xdr:col>
      <xdr:colOff>495300</xdr:colOff>
      <xdr:row>49</xdr:row>
      <xdr:rowOff>133350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80961</xdr:colOff>
      <xdr:row>35</xdr:row>
      <xdr:rowOff>95250</xdr:rowOff>
    </xdr:from>
    <xdr:to>
      <xdr:col>15</xdr:col>
      <xdr:colOff>361949</xdr:colOff>
      <xdr:row>49</xdr:row>
      <xdr:rowOff>171450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157162</xdr:colOff>
      <xdr:row>35</xdr:row>
      <xdr:rowOff>57150</xdr:rowOff>
    </xdr:from>
    <xdr:to>
      <xdr:col>23</xdr:col>
      <xdr:colOff>461962</xdr:colOff>
      <xdr:row>49</xdr:row>
      <xdr:rowOff>133350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3215.521496180554" createdVersion="4" refreshedVersion="4" minRefreshableVersion="3" recordCount="22">
  <cacheSource type="worksheet">
    <worksheetSource ref="A1:AM23" sheet="Tracking_aggData_by_incentive_n"/>
  </cacheSource>
  <cacheFields count="39">
    <cacheField name="x" numFmtId="0">
      <sharedItems containsSemiMixedTypes="0" containsString="0" containsNumber="1" containsInteger="1" minValue="-175" maxValue="0" count="8">
        <n v="-150"/>
        <n v="-125"/>
        <n v="-100"/>
        <n v="-75"/>
        <n v="-50"/>
        <n v="-25"/>
        <n v="0"/>
        <n v="-175"/>
      </sharedItems>
    </cacheField>
    <cacheField name="actual.smm" numFmtId="0">
      <sharedItems containsSemiMixedTypes="0" containsString="0" containsNumber="1" minValue="2.5113324706669601E-5" maxValue="9.0465621560000002"/>
    </cacheField>
    <cacheField name="model.smm" numFmtId="0">
      <sharedItems containsSemiMixedTypes="0" containsString="0" containsNumber="1" minValue="0.33397688538980203" maxValue="0.77606509999999995"/>
    </cacheField>
    <cacheField name="track.err" numFmtId="0">
      <sharedItems containsSemiMixedTypes="0" containsString="0" containsNumber="1" minValue="-8.6023658090000001" maxValue="0.45521423"/>
    </cacheField>
    <cacheField name="curt.smm" numFmtId="0">
      <sharedItems containsSemiMixedTypes="0" containsString="0" containsNumber="1" minValue="4.6091366000000002E-2" maxValue="4.9867027633101801E-2"/>
    </cacheField>
    <cacheField name="dflt.smm" numFmtId="0">
      <sharedItems containsSemiMixedTypes="0" containsString="0" containsNumber="1" minValue="9.67946920556866E-4" maxValue="1.7049109999999999E-2"/>
    </cacheField>
    <cacheField name="cout.smm" numFmtId="0">
      <sharedItems containsSemiMixedTypes="0" containsString="0" containsNumber="1" minValue="4.6091366000000002E-2" maxValue="4.9867027633101801E-2"/>
    </cacheField>
    <cacheField name="turn.smm" numFmtId="0">
      <sharedItems containsSemiMixedTypes="0" containsString="0" containsNumber="1" minValue="0.23326366518175301" maxValue="0.485670459"/>
    </cacheField>
    <cacheField name="refi.smm" numFmtId="0">
      <sharedItems containsSemiMixedTypes="0" containsString="0" containsNumber="1" minValue="7.52E-6" maxValue="0.180955276"/>
    </cacheField>
    <cacheField name="pct_inv" numFmtId="0">
      <sharedItems containsSemiMixedTypes="0" containsString="0" containsNumber="1" containsInteger="1" minValue="0" maxValue="0"/>
    </cacheField>
    <cacheField name="pct_2nd" numFmtId="0">
      <sharedItems containsSemiMixedTypes="0" containsString="0" containsNumber="1" minValue="0" maxValue="9.3488894029999994"/>
    </cacheField>
    <cacheField name="pct_owner" numFmtId="0">
      <sharedItems containsSemiMixedTypes="0" containsString="0" containsNumber="1" minValue="90.5593279" maxValue="100"/>
    </cacheField>
    <cacheField name="pct_purchase" numFmtId="0">
      <sharedItems containsSemiMixedTypes="0" containsString="0" containsNumber="1" containsInteger="1" minValue="0" maxValue="100"/>
    </cacheField>
    <cacheField name="pct_REFI_NCO" numFmtId="0">
      <sharedItems containsSemiMixedTypes="0" containsString="0" containsNumber="1" containsInteger="1" minValue="0" maxValue="100"/>
    </cacheField>
    <cacheField name="pct_REFI_CO" numFmtId="0">
      <sharedItems containsSemiMixedTypes="0" containsString="0" containsNumber="1" containsInteger="1" minValue="0" maxValue="100"/>
    </cacheField>
    <cacheField name="pct_REFI_other" numFmtId="0">
      <sharedItems containsSemiMixedTypes="0" containsString="0" containsNumber="1" containsInteger="1" minValue="0" maxValue="0"/>
    </cacheField>
    <cacheField name="pct_REFI" numFmtId="0">
      <sharedItems containsSemiMixedTypes="0" containsString="0" containsNumber="1" containsInteger="1" minValue="0" maxValue="100"/>
    </cacheField>
    <cacheField name="pct_dq" numFmtId="0">
      <sharedItems containsSemiMixedTypes="0" containsString="0" containsNumber="1" minValue="0" maxValue="0.54333143900000003"/>
    </cacheField>
    <cacheField name="incentive" numFmtId="0">
      <sharedItems containsSemiMixedTypes="0" containsString="0" containsNumber="1" minValue="-183.75851370000001" maxValue="-14.3246144505926"/>
    </cacheField>
    <cacheField name="burnout" numFmtId="0">
      <sharedItems containsSemiMixedTypes="0" containsString="0" containsNumber="1" minValue="0" maxValue="553.37558408225595"/>
    </cacheField>
    <cacheField name="refi_elig_pct" numFmtId="0">
      <sharedItems containsSemiMixedTypes="0" containsString="0" containsNumber="1" minValue="99.961582320000005" maxValue="100"/>
    </cacheField>
    <cacheField name="cltv" numFmtId="0">
      <sharedItems containsSemiMixedTypes="0" containsString="0" containsNumber="1" minValue="40.441258664628798" maxValue="69.301904769999993"/>
    </cacheField>
    <cacheField name="wacls" numFmtId="0">
      <sharedItems containsSemiMixedTypes="0" containsString="0" containsNumber="1" minValue="198.04798310000001" maxValue="362"/>
    </cacheField>
    <cacheField name="wala" numFmtId="0">
      <sharedItems containsSemiMixedTypes="0" containsString="0" containsNumber="1" minValue="49.377419230000001" maxValue="58"/>
    </cacheField>
    <cacheField name="wac" numFmtId="0">
      <sharedItems containsSemiMixedTypes="0" containsString="0" containsNumber="1" minValue="2.6087929760000002" maxValue="3.7099847650700202"/>
    </cacheField>
    <cacheField name="fico" numFmtId="0">
      <sharedItems containsSemiMixedTypes="0" containsString="0" containsNumber="1" minValue="662.64918980000004" maxValue="774.62445133985602"/>
    </cacheField>
    <cacheField name="pct_HARPed" numFmtId="0">
      <sharedItems containsSemiMixedTypes="0" containsString="0" containsNumber="1" minValue="0" maxValue="12.2655025836265"/>
    </cacheField>
    <cacheField name="pct_tpo" numFmtId="0">
      <sharedItems containsSemiMixedTypes="0" containsString="0" containsNumber="1" containsInteger="1" minValue="0" maxValue="0"/>
    </cacheField>
    <cacheField name="cai" numFmtId="0">
      <sharedItems containsSemiMixedTypes="0" containsString="0" containsNumber="1" minValue="168.7675318" maxValue="179.2"/>
    </cacheField>
    <cacheField name="hpa2yr" numFmtId="0">
      <sharedItems containsSemiMixedTypes="0" containsString="0" containsNumber="1" minValue="111.746794033981" maxValue="112.2561925"/>
    </cacheField>
    <cacheField name="media_effect" numFmtId="0">
      <sharedItems containsSemiMixedTypes="0" containsString="0" containsNumber="1" minValue="20.9" maxValue="31.24138623"/>
    </cacheField>
    <cacheField name="sato" numFmtId="0">
      <sharedItems containsSemiMixedTypes="0" containsString="0" containsNumber="1" minValue="-123.2279989" maxValue="-11.927245127791799"/>
    </cacheField>
    <cacheField name="bal" numFmtId="0">
      <sharedItems containsSemiMixedTypes="0" containsString="0" containsNumber="1" minValue="362036.9" maxValue="250386439257.20001"/>
    </cacheField>
    <cacheField name="std" numFmtId="0">
      <sharedItems containsMixedTypes="1" containsNumber="1" minValue="4.9999999999999998E-7" maxValue="0.28867432100000001"/>
    </cacheField>
    <cacheField name="n" numFmtId="0">
      <sharedItems containsSemiMixedTypes="0" containsString="0" containsNumber="1" containsInteger="1" minValue="1" maxValue="16440"/>
    </cacheField>
    <cacheField name="purpose" numFmtId="0">
      <sharedItems count="3">
        <s v="REFI_NCO"/>
        <s v="PURCH"/>
        <s v="REFI_CO"/>
      </sharedItems>
    </cacheField>
    <cacheField name="Ratio" numFmtId="0">
      <sharedItems containsSemiMixedTypes="0" containsString="0" containsNumber="1" minValue="7.4783151870853925E-5" maxValue="20.366133572984712"/>
    </cacheField>
    <cacheField name="model w/o refi" numFmtId="11">
      <sharedItems containsSemiMixedTypes="0" containsString="0" containsNumber="1" minValue="0.33396566736851335" maxValue="0.5951098239999999"/>
    </cacheField>
    <cacheField name="Ratio w/o refi" numFmtId="11">
      <sharedItems containsSemiMixedTypes="0" containsString="0" containsNumber="1" minValue="7.4785212387364663E-5" maxValue="20.36652054922665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">
  <r>
    <x v="0"/>
    <n v="0.29680000000000001"/>
    <n v="0.33397688538980203"/>
    <n v="3.7176885389802003E-2"/>
    <n v="4.9867027633101801E-2"/>
    <n v="9.67946920556866E-4"/>
    <n v="4.9867027633101801E-2"/>
    <n v="0.23326366518175301"/>
    <n v="1.12180212886688E-5"/>
    <n v="0"/>
    <n v="0"/>
    <n v="100"/>
    <n v="0"/>
    <n v="100"/>
    <n v="0"/>
    <n v="0"/>
    <n v="100"/>
    <n v="0"/>
    <n v="-160.9"/>
    <n v="0"/>
    <n v="100"/>
    <n v="48.4"/>
    <n v="362"/>
    <n v="58"/>
    <n v="2.7"/>
    <n v="766"/>
    <n v="0"/>
    <n v="0"/>
    <n v="179.2"/>
    <n v="112.2"/>
    <n v="20.9"/>
    <n v="-106.7"/>
    <n v="362036.9"/>
    <s v="NA"/>
    <n v="1"/>
    <x v="0"/>
    <n v="0.88868425625800151"/>
    <n v="0.33396566736851335"/>
    <n v="0.88871410746691215"/>
  </r>
  <r>
    <x v="1"/>
    <n v="2.1811383899843099E-2"/>
    <n v="0.36291744502148598"/>
    <n v="0.34110606112164299"/>
    <n v="4.8074853360855402E-2"/>
    <n v="5.0261360408010297E-3"/>
    <n v="4.8074853360855402E-2"/>
    <n v="0.26173158140846697"/>
    <n v="1.00208505072852E-5"/>
    <n v="0"/>
    <n v="6.65667265185576"/>
    <n v="93.337694293411104"/>
    <n v="0"/>
    <n v="100"/>
    <n v="0"/>
    <n v="0"/>
    <n v="100"/>
    <n v="0.13922604959224"/>
    <n v="-131.70786940072799"/>
    <n v="0"/>
    <n v="100"/>
    <n v="50.302524047588399"/>
    <n v="346.850537246084"/>
    <n v="53.942323879993801"/>
    <n v="2.7852703316090701"/>
    <n v="753.93733413496705"/>
    <n v="5.4026760824804603"/>
    <n v="0"/>
    <n v="172.10973369582999"/>
    <n v="111.900461346916"/>
    <n v="24.4103103848019"/>
    <n v="-85.906183260787898"/>
    <n v="28153997.699999999"/>
    <n v="1.22270561564543E-3"/>
    <n v="81"/>
    <x v="0"/>
    <n v="6.010012524625756E-2"/>
    <n v="0.36290742417097871"/>
    <n v="6.0101784772435447E-2"/>
  </r>
  <r>
    <x v="2"/>
    <n v="0.33472617015295397"/>
    <n v="0.37270995345840202"/>
    <n v="3.7983783305447903E-2"/>
    <n v="4.79849510942357E-2"/>
    <n v="4.3263974475593204E-3"/>
    <n v="4.79849510942357E-2"/>
    <n v="0.27240423460007701"/>
    <n v="9.4192222936649402E-6"/>
    <n v="0"/>
    <n v="4.8943628165156303"/>
    <n v="95.060732763827502"/>
    <n v="0"/>
    <n v="100"/>
    <n v="0"/>
    <n v="0"/>
    <n v="100"/>
    <n v="0.141965264843043"/>
    <n v="-108.22552162020401"/>
    <n v="6.1312449256727402E-4"/>
    <n v="100"/>
    <n v="46.902140159704103"/>
    <n v="308.93730462689501"/>
    <n v="53.731005281561899"/>
    <n v="2.9374347162443399"/>
    <n v="774.037165165386"/>
    <n v="4.0258294496349398"/>
    <n v="0"/>
    <n v="171.39194580318301"/>
    <n v="111.886239924615"/>
    <n v="24.962466901838599"/>
    <n v="-66.519204815146296"/>
    <n v="783579364.10000002"/>
    <n v="4.3845838017128699E-2"/>
    <n v="599"/>
    <x v="0"/>
    <n v="0.89808755319520228"/>
    <n v="0.37270053423610838"/>
    <n v="0.89811025046962401"/>
  </r>
  <r>
    <x v="3"/>
    <n v="0.38310563172793699"/>
    <n v="0.41062465816499599"/>
    <n v="2.75190264370592E-2"/>
    <n v="4.81290575650015E-2"/>
    <n v="6.1320437898975703E-3"/>
    <n v="4.81290575650015E-2"/>
    <n v="0.30784859911882601"/>
    <n v="3.8590012626962101E-4"/>
    <n v="0"/>
    <n v="3.32785130593548"/>
    <n v="96.590363145392999"/>
    <n v="0"/>
    <n v="100"/>
    <n v="0"/>
    <n v="0"/>
    <n v="100"/>
    <n v="0.22501235252261401"/>
    <n v="-83.051213908793997"/>
    <n v="0.41058578775680099"/>
    <n v="99.997181476864"/>
    <n v="44.030801350856898"/>
    <n v="314.58602464194399"/>
    <n v="54.065876357297299"/>
    <n v="3.1823490578329299"/>
    <n v="774.62445133985602"/>
    <n v="2.1698088776595799"/>
    <n v="0"/>
    <n v="172.082944317456"/>
    <n v="111.92086949767101"/>
    <n v="24.975349132600002"/>
    <n v="-43.709836734973898"/>
    <n v="12959301108.4"/>
    <n v="3.9585380138725701E-2"/>
    <n v="1770"/>
    <x v="0"/>
    <n v="0.93298252822897598"/>
    <n v="0.41023875803872639"/>
    <n v="0.93386015879994444"/>
  </r>
  <r>
    <x v="4"/>
    <n v="0.53620367230599397"/>
    <n v="0.50304655790641895"/>
    <n v="-3.3157114399575E-2"/>
    <n v="4.8736643470771598E-2"/>
    <n v="7.1873120659749403E-3"/>
    <n v="4.8736643470771598E-2"/>
    <n v="0.357821551482783"/>
    <n v="4.0564407416117103E-2"/>
    <n v="0"/>
    <n v="3.1201845003481501"/>
    <n v="96.788148903961599"/>
    <n v="0"/>
    <n v="100"/>
    <n v="0"/>
    <n v="0"/>
    <n v="100"/>
    <n v="0.27060709603251398"/>
    <n v="-59.904226427928798"/>
    <n v="46.465330052361701"/>
    <n v="99.999606797868907"/>
    <n v="42.830999949682997"/>
    <n v="310.74632334559999"/>
    <n v="55.438230613298501"/>
    <n v="3.3596999269569898"/>
    <n v="774.18356524218598"/>
    <n v="3.1009375650570199"/>
    <n v="0"/>
    <n v="172.73483147842401"/>
    <n v="112.058848714067"/>
    <n v="26.2510632584804"/>
    <n v="-29.629900317133799"/>
    <n v="101606875540.89999"/>
    <n v="4.3309515332494802E-2"/>
    <n v="5095"/>
    <x v="0"/>
    <n v="1.0659126155987797"/>
    <n v="0.46248215049030184"/>
    <n v="1.1594040369720995"/>
  </r>
  <r>
    <x v="5"/>
    <n v="0.62177460436394905"/>
    <n v="0.63265181704639495"/>
    <n v="1.08772126824455E-2"/>
    <n v="4.9086033288118697E-2"/>
    <n v="7.6180535469321901E-3"/>
    <n v="4.9086033288118697E-2"/>
    <n v="0.41373107620000799"/>
    <n v="0.113130620723218"/>
    <n v="0"/>
    <n v="3.4500901000182602"/>
    <n v="96.458055177636894"/>
    <n v="0"/>
    <n v="100"/>
    <n v="0"/>
    <n v="0"/>
    <n v="100"/>
    <n v="0.28570473030732602"/>
    <n v="-36.485794442309199"/>
    <n v="171.758792226808"/>
    <n v="99.997262236309098"/>
    <n v="43.035907010713302"/>
    <n v="309.93307995559798"/>
    <n v="56.229995922511499"/>
    <n v="3.5068740203315998"/>
    <n v="771.51001300655105"/>
    <n v="6.2217985190939702"/>
    <n v="0"/>
    <n v="173.47828516426699"/>
    <n v="112.241983462365"/>
    <n v="29.638045577306901"/>
    <n v="-20.217383597172201"/>
    <n v="250386439257.20001"/>
    <n v="5.0207002595583798E-2"/>
    <n v="12375"/>
    <x v="0"/>
    <n v="0.98280695259324891"/>
    <n v="0.51952119632317695"/>
    <n v="1.1968223987095294"/>
  </r>
  <r>
    <x v="6"/>
    <n v="0.70556136119131896"/>
    <n v="0.71354242625617903"/>
    <n v="7.9810650648600105E-3"/>
    <n v="4.9683142179243002E-2"/>
    <n v="9.43410397386844E-3"/>
    <n v="4.9683142179243002E-2"/>
    <n v="0.42826337985993201"/>
    <n v="0.17647865806389201"/>
    <n v="0"/>
    <n v="3.8982601766158398"/>
    <n v="96.010604147875199"/>
    <n v="0"/>
    <n v="100"/>
    <n v="0"/>
    <n v="0"/>
    <n v="100"/>
    <n v="0.343638067852514"/>
    <n v="-14.627168247172699"/>
    <n v="553.37558408225595"/>
    <n v="99.990683789249601"/>
    <n v="43.8904092272019"/>
    <n v="296.937092294568"/>
    <n v="57.614393760136899"/>
    <n v="3.7054589912701998"/>
    <n v="767.74606293052898"/>
    <n v="12.2655025836265"/>
    <n v="0"/>
    <n v="172.40843890170299"/>
    <n v="112.165908478791"/>
    <n v="30.7874116700734"/>
    <n v="-12.681527014066999"/>
    <n v="244239356948.20001"/>
    <n v="5.9946280432342403E-2"/>
    <n v="16440"/>
    <x v="0"/>
    <n v="0.98881486962627407"/>
    <n v="0.53706376819228696"/>
    <n v="1.3137385222730278"/>
  </r>
  <r>
    <x v="7"/>
    <n v="2.79695E-4"/>
    <n v="0.45549392500000002"/>
    <n v="0.45521423"/>
    <n v="4.6091366000000002E-2"/>
    <n v="6.397921E-3"/>
    <n v="4.6091366000000002E-2"/>
    <n v="0.35690575299999999"/>
    <n v="7.52E-6"/>
    <n v="0"/>
    <n v="0"/>
    <n v="100"/>
    <n v="100"/>
    <n v="0"/>
    <n v="0"/>
    <n v="0"/>
    <n v="0"/>
    <n v="0"/>
    <n v="-183.75851370000001"/>
    <n v="0"/>
    <n v="100"/>
    <n v="69.301904769999993"/>
    <n v="198.04798310000001"/>
    <n v="49.377419230000001"/>
    <n v="2.6310772149999999"/>
    <n v="662.64918980000004"/>
    <n v="0"/>
    <n v="0"/>
    <n v="168.7675318"/>
    <n v="111.7863078"/>
    <n v="25.02559248"/>
    <n v="-100.8415633"/>
    <n v="777069.3"/>
    <n v="4.5000000000000001E-6"/>
    <n v="4"/>
    <x v="1"/>
    <n v="6.1404770656381413E-4"/>
    <n v="0.45548640500000004"/>
    <n v="6.1405784438286354E-4"/>
  </r>
  <r>
    <x v="0"/>
    <n v="9.0465621560000002"/>
    <n v="0.44419634800000002"/>
    <n v="-8.6023658090000001"/>
    <n v="4.7329824999999999E-2"/>
    <n v="1.7049109999999999E-2"/>
    <n v="4.7329824999999999E-2"/>
    <n v="0.33247914899999997"/>
    <n v="8.4400000000000005E-6"/>
    <n v="0"/>
    <n v="0"/>
    <n v="100"/>
    <n v="100"/>
    <n v="0"/>
    <n v="0"/>
    <n v="0"/>
    <n v="0"/>
    <n v="0.54333143900000003"/>
    <n v="-162.277163"/>
    <n v="0"/>
    <n v="100"/>
    <n v="67.435779319999995"/>
    <n v="231.58178609999999"/>
    <n v="52.199130150000002"/>
    <n v="2.6087929760000002"/>
    <n v="717.69028700000001"/>
    <n v="0"/>
    <n v="0"/>
    <n v="173.86387959999999"/>
    <n v="112.1953963"/>
    <n v="25.970317789999999"/>
    <n v="-123.2279989"/>
    <n v="2959049.4"/>
    <n v="0.28867432100000001"/>
    <n v="12"/>
    <x v="1"/>
    <n v="20.366133572984712"/>
    <n v="0.44418790800000002"/>
    <n v="20.366520549226657"/>
  </r>
  <r>
    <x v="1"/>
    <n v="1.31549761"/>
    <n v="0.41287460100000001"/>
    <n v="-0.90262300900000003"/>
    <n v="4.7898390999999998E-2"/>
    <n v="1.0825371E-2"/>
    <n v="4.7898390999999998E-2"/>
    <n v="0.30624356400000002"/>
    <n v="8.8799999999999997E-6"/>
    <n v="0"/>
    <n v="0"/>
    <n v="100"/>
    <n v="100"/>
    <n v="0"/>
    <n v="0"/>
    <n v="0"/>
    <n v="0"/>
    <n v="0.34296974400000002"/>
    <n v="-135.80190260000001"/>
    <n v="0"/>
    <n v="100"/>
    <n v="63.401481369999999"/>
    <n v="263.49753279999999"/>
    <n v="53.504127510000004"/>
    <n v="2.7517728950000002"/>
    <n v="750.32620139999995"/>
    <n v="0"/>
    <n v="0"/>
    <n v="173.33081720000001"/>
    <n v="112.033833"/>
    <n v="25.79449923"/>
    <n v="-103.8505001"/>
    <n v="30914483.5"/>
    <n v="5.3268995E-2"/>
    <n v="80"/>
    <x v="1"/>
    <n v="3.1861916591958148"/>
    <n v="0.41286572100000002"/>
    <n v="3.1862601884548316"/>
  </r>
  <r>
    <x v="2"/>
    <n v="0.22148896700000001"/>
    <n v="0.42095698500000001"/>
    <n v="0.199468017"/>
    <n v="4.8163325999999999E-2"/>
    <n v="9.2026480000000008E-3"/>
    <n v="4.8163325999999999E-2"/>
    <n v="0.31541811199999997"/>
    <n v="9.5699999999999999E-6"/>
    <n v="0"/>
    <n v="6.6874165510000001"/>
    <n v="93.278260110000005"/>
    <n v="100"/>
    <n v="0"/>
    <n v="0"/>
    <n v="0"/>
    <n v="0"/>
    <n v="0.31117393300000001"/>
    <n v="-108.2897146"/>
    <n v="0.98158143499999995"/>
    <n v="100"/>
    <n v="53.925991209999999"/>
    <n v="316.71757400000001"/>
    <n v="54.135533559999999"/>
    <n v="2.9829292180000002"/>
    <n v="767.89932339999996"/>
    <n v="0"/>
    <n v="0"/>
    <n v="171.62170309999999"/>
    <n v="111.91928009999999"/>
    <n v="25.75543601"/>
    <n v="-69.008845399999998"/>
    <n v="343658777.60000002"/>
    <n v="5.0579816999999999E-2"/>
    <n v="438"/>
    <x v="1"/>
    <n v="0.52615581850958004"/>
    <n v="0.42094741499999999"/>
    <n v="0.52616778036278"/>
  </r>
  <r>
    <x v="3"/>
    <n v="0.45947524299999998"/>
    <n v="0.45800509299999997"/>
    <n v="-1.470149E-3"/>
    <n v="4.8571537999999997E-2"/>
    <n v="7.6975610000000003E-3"/>
    <n v="4.8571537999999997E-2"/>
    <n v="0.35279094"/>
    <n v="3.7351799999999998E-4"/>
    <n v="0"/>
    <n v="7.2857762910000003"/>
    <n v="92.635839270000005"/>
    <n v="100"/>
    <n v="0"/>
    <n v="0"/>
    <n v="0"/>
    <n v="0"/>
    <n v="0.270866518"/>
    <n v="-83.215720320000003"/>
    <n v="0.29452031200000001"/>
    <n v="99.961582320000005"/>
    <n v="51.182327749999999"/>
    <n v="333.07652680000001"/>
    <n v="55.077665590000002"/>
    <n v="3.2098241120000002"/>
    <n v="770.04468550000001"/>
    <n v="0"/>
    <n v="0"/>
    <n v="172.75572439999999"/>
    <n v="111.96070690000001"/>
    <n v="24.469930359999999"/>
    <n v="-42.683567529999998"/>
    <n v="5750451076"/>
    <n v="6.2995923999999995E-2"/>
    <n v="1452"/>
    <x v="1"/>
    <n v="1.0032098988034617"/>
    <n v="0.45763157499999996"/>
    <n v="1.0040287167685054"/>
  </r>
  <r>
    <x v="4"/>
    <n v="0.56692181600000002"/>
    <n v="0.55583280199999996"/>
    <n v="-1.1089013999999999E-2"/>
    <n v="4.8832235000000002E-2"/>
    <n v="8.0895580000000002E-3"/>
    <n v="4.8832235000000002E-2"/>
    <n v="0.40925829200000002"/>
    <n v="4.0820480999999999E-2"/>
    <n v="0"/>
    <n v="8.5796462689999995"/>
    <n v="91.328020809999998"/>
    <n v="100"/>
    <n v="0"/>
    <n v="0"/>
    <n v="0"/>
    <n v="0"/>
    <n v="0.29101893699999998"/>
    <n v="-59.898005040000001"/>
    <n v="34.425223330000001"/>
    <n v="100"/>
    <n v="50.765858639999998"/>
    <n v="311.93835849999999"/>
    <n v="55.650649399999999"/>
    <n v="3.3620778480000002"/>
    <n v="770.60776239999996"/>
    <n v="0"/>
    <n v="0"/>
    <n v="173.1266354"/>
    <n v="112.0824247"/>
    <n v="26.334572590000001"/>
    <n v="-31.255841870000001"/>
    <n v="46164851522"/>
    <n v="4.7240253000000003E-2"/>
    <n v="4155"/>
    <x v="1"/>
    <n v="1.0199502691458646"/>
    <n v="0.51501232099999994"/>
    <n v="1.1007927245297886"/>
  </r>
  <r>
    <x v="5"/>
    <n v="0.70498400400000005"/>
    <n v="0.69120536399999999"/>
    <n v="-1.3778639000000001E-2"/>
    <n v="4.8953721999999998E-2"/>
    <n v="8.417028E-3"/>
    <n v="4.8953721999999998E-2"/>
    <n v="0.47038980699999999"/>
    <n v="0.11449108500000001"/>
    <n v="0"/>
    <n v="8.9518415420000004"/>
    <n v="90.954539760000003"/>
    <n v="100"/>
    <n v="0"/>
    <n v="0"/>
    <n v="0"/>
    <n v="0"/>
    <n v="0.30419867900000003"/>
    <n v="-36.336539690000002"/>
    <n v="132.3900222"/>
    <n v="99.999832369999993"/>
    <n v="50.67183567"/>
    <n v="307.19725510000001"/>
    <n v="55.918302449999999"/>
    <n v="3.4989205559999998"/>
    <n v="768.72594570000001"/>
    <n v="0"/>
    <n v="0"/>
    <n v="173.6066927"/>
    <n v="112.2561925"/>
    <n v="30.018876729999999"/>
    <n v="-23.595732739999999"/>
    <n v="120917000000"/>
    <n v="6.0827151000000003E-2"/>
    <n v="9683"/>
    <x v="1"/>
    <n v="1.0199342203021446"/>
    <n v="0.57671427899999994"/>
    <n v="1.2224146855222915"/>
  </r>
  <r>
    <x v="6"/>
    <n v="0.75945501100000001"/>
    <n v="0.77606509999999995"/>
    <n v="1.6610090000000001E-2"/>
    <n v="4.9701792000000002E-2"/>
    <n v="1.0035781000000001E-2"/>
    <n v="4.9701792000000002E-2"/>
    <n v="0.485670459"/>
    <n v="0.180955276"/>
    <n v="0"/>
    <n v="9.3488894029999994"/>
    <n v="90.5593279"/>
    <n v="100"/>
    <n v="0"/>
    <n v="0"/>
    <n v="0"/>
    <n v="0"/>
    <n v="0.35184065799999997"/>
    <n v="-14.960204170000001"/>
    <n v="475.46345730000002"/>
    <n v="99.999265820000005"/>
    <n v="50.631379690000003"/>
    <n v="295.60400420000002"/>
    <n v="57.652881049999998"/>
    <n v="3.6998885480000001"/>
    <n v="765.33560209999996"/>
    <n v="0"/>
    <n v="0"/>
    <n v="172.2802926"/>
    <n v="112.1643414"/>
    <n v="31.24138623"/>
    <n v="-17.240419729999999"/>
    <n v="113699000000"/>
    <n v="6.0044759000000003E-2"/>
    <n v="13183"/>
    <x v="1"/>
    <n v="0.97859704166570571"/>
    <n v="0.5951098239999999"/>
    <n v="1.2761594253231487"/>
  </r>
  <r>
    <x v="0"/>
    <n v="2.5113324706669601E-5"/>
    <n v="0.33581527494373098"/>
    <n v="0.33579016161902497"/>
    <n v="4.7193785389598002E-2"/>
    <n v="2.3749031424021398E-3"/>
    <n v="4.7193785389598002E-2"/>
    <n v="0.23904354848548201"/>
    <n v="9.2525366512007494E-6"/>
    <n v="0"/>
    <n v="0"/>
    <n v="100"/>
    <n v="0"/>
    <n v="0"/>
    <n v="100"/>
    <n v="0"/>
    <n v="0"/>
    <n v="7.3480311368991399E-2"/>
    <n v="-156.193811627587"/>
    <n v="0"/>
    <n v="100"/>
    <n v="40.441258664628798"/>
    <n v="269.412645203804"/>
    <n v="51.938102265120897"/>
    <n v="2.7"/>
    <n v="766"/>
    <n v="0"/>
    <n v="0"/>
    <n v="170.76704605491599"/>
    <n v="111.746794033981"/>
    <n v="23.819532573511399"/>
    <n v="-87"/>
    <n v="1077743.8"/>
    <n v="4.9999999999999998E-7"/>
    <n v="4"/>
    <x v="2"/>
    <n v="7.4783151870853925E-5"/>
    <n v="0.3358060224070798"/>
    <n v="7.4785212387364663E-5"/>
  </r>
  <r>
    <x v="1"/>
    <n v="2.3246377657199901E-2"/>
    <n v="0.38245310768600799"/>
    <n v="0.35920673002880799"/>
    <n v="4.7751852711960099E-2"/>
    <n v="3.9339271913568898E-3"/>
    <n v="4.7751852711960099E-2"/>
    <n v="0.28300615864428003"/>
    <n v="9.3164264501626501E-6"/>
    <n v="0"/>
    <n v="0"/>
    <n v="100"/>
    <n v="0"/>
    <n v="0"/>
    <n v="100"/>
    <n v="0"/>
    <n v="0"/>
    <n v="9.1323320258372198E-2"/>
    <n v="-132.19579295130501"/>
    <n v="0"/>
    <n v="100"/>
    <n v="42.907552578729899"/>
    <n v="284.59371598589598"/>
    <n v="53.1892641343387"/>
    <n v="2.8054180298914901"/>
    <n v="735.26019597493598"/>
    <n v="0"/>
    <n v="0"/>
    <n v="171.679206076345"/>
    <n v="111.918844074123"/>
    <n v="25.122190890707301"/>
    <n v="-80.554997605407095"/>
    <n v="13781048"/>
    <n v="4.3944162629130598E-4"/>
    <n v="44"/>
    <x v="2"/>
    <n v="6.0782295110241476E-2"/>
    <n v="0.3824437912595578"/>
    <n v="6.0783775782159315E-2"/>
  </r>
  <r>
    <x v="2"/>
    <n v="0.41783261723829801"/>
    <n v="0.38259069059886602"/>
    <n v="-3.5241926639432201E-2"/>
    <n v="4.8043250683187398E-2"/>
    <n v="6.6008693491242604E-3"/>
    <n v="4.8043250683187398E-2"/>
    <n v="0.27989397514483799"/>
    <n v="9.3447385283465801E-6"/>
    <n v="0"/>
    <n v="1.6684944488430999"/>
    <n v="98.3198549909348"/>
    <n v="0"/>
    <n v="0"/>
    <n v="100"/>
    <n v="0"/>
    <n v="0"/>
    <n v="0.21201974449109501"/>
    <n v="-108.385750293556"/>
    <n v="1.54340903719357E-2"/>
    <n v="100"/>
    <n v="44.674983772035901"/>
    <n v="293.724478050225"/>
    <n v="53.866982517562597"/>
    <n v="2.9534008807316798"/>
    <n v="769.54684663726005"/>
    <n v="0"/>
    <n v="0"/>
    <n v="171.601079741213"/>
    <n v="111.892438267919"/>
    <n v="24.824266029786902"/>
    <n v="-65.952528653580799"/>
    <n v="281392352.60000002"/>
    <n v="5.8771275156833801E-2"/>
    <n v="395"/>
    <x v="2"/>
    <n v="1.0921139157470563"/>
    <n v="0.38258134586033765"/>
    <n v="1.0921405911694109"/>
  </r>
  <r>
    <x v="3"/>
    <n v="0.32368637647867199"/>
    <n v="0.41868470085909598"/>
    <n v="9.4998324380424201E-2"/>
    <n v="4.8202770361085799E-2"/>
    <n v="6.8110846514980797E-3"/>
    <n v="4.8202770361085799E-2"/>
    <n v="0.31506061982425099"/>
    <n v="4.0745566117510602E-4"/>
    <n v="0"/>
    <n v="2.3600483871311702"/>
    <n v="97.582110329881402"/>
    <n v="0"/>
    <n v="0"/>
    <n v="100"/>
    <n v="0"/>
    <n v="0"/>
    <n v="0.248622025927587"/>
    <n v="-83.134520101516998"/>
    <n v="0.27779228455364702"/>
    <n v="100"/>
    <n v="42.147317394139698"/>
    <n v="309.56788386290702"/>
    <n v="54.232836626970602"/>
    <n v="3.1815273099826999"/>
    <n v="769.45587761162597"/>
    <n v="0"/>
    <n v="0"/>
    <n v="172.288225388721"/>
    <n v="111.936865116116"/>
    <n v="25.060920410891899"/>
    <n v="-43.843094606008599"/>
    <n v="3772554015.4000001"/>
    <n v="2.43005355375597E-2"/>
    <n v="1315"/>
    <x v="2"/>
    <n v="0.77310294790925571"/>
    <n v="0.41827724519792087"/>
    <n v="0.77385604929455276"/>
  </r>
  <r>
    <x v="4"/>
    <n v="0.53050658914147897"/>
    <n v="0.51328412995971195"/>
    <n v="-1.7222459181767201E-2"/>
    <n v="4.86900383779591E-2"/>
    <n v="7.6001266732029296E-3"/>
    <n v="4.86900383779591E-2"/>
    <n v="0.36851971994157701"/>
    <n v="3.9784206589013403E-2"/>
    <n v="0"/>
    <n v="2.5118534854610099"/>
    <n v="97.405721529927007"/>
    <n v="0"/>
    <n v="0"/>
    <n v="100"/>
    <n v="0"/>
    <n v="0"/>
    <n v="0.28562820008374701"/>
    <n v="-59.776179513573901"/>
    <n v="46.833717609698098"/>
    <n v="99.992258913234394"/>
    <n v="41.859288288115103"/>
    <n v="300.20269378959"/>
    <n v="55.329363920803097"/>
    <n v="3.36017399907661"/>
    <n v="768.70611834526801"/>
    <n v="0"/>
    <n v="0"/>
    <n v="172.84143645581901"/>
    <n v="112.065086077865"/>
    <n v="26.205670493956099"/>
    <n v="-29.386804527718599"/>
    <n v="30747889438"/>
    <n v="5.4110872622362999E-2"/>
    <n v="3700"/>
    <x v="2"/>
    <n v="1.0335534612829718"/>
    <n v="0.47349992337069857"/>
    <n v="1.1203942449767841"/>
  </r>
  <r>
    <x v="5"/>
    <n v="0.63285909718731304"/>
    <n v="0.64393476914752801"/>
    <n v="1.10756719602144E-2"/>
    <n v="4.8962475084876902E-2"/>
    <n v="8.1458060345674394E-3"/>
    <n v="4.8962475084876902E-2"/>
    <n v="0.42568387060075502"/>
    <n v="0.11218014234245199"/>
    <n v="0"/>
    <n v="2.5375988946930002"/>
    <n v="97.380204543752896"/>
    <n v="0"/>
    <n v="0"/>
    <n v="100"/>
    <n v="0"/>
    <n v="0"/>
    <n v="0.30631897688780002"/>
    <n v="-36.372317116478001"/>
    <n v="172.37560513770299"/>
    <n v="99.995431143325902"/>
    <n v="42.250051272134797"/>
    <n v="295.89538141550202"/>
    <n v="55.941981468253303"/>
    <n v="3.5081001582446598"/>
    <n v="765.88904839004101"/>
    <n v="0"/>
    <n v="0"/>
    <n v="173.49400218534399"/>
    <n v="112.23851298016299"/>
    <n v="29.503567331020601"/>
    <n v="-19.718310699619298"/>
    <n v="81614484016.5"/>
    <n v="4.7259863365358597E-2"/>
    <n v="8804"/>
    <x v="2"/>
    <n v="0.98280000942505796"/>
    <n v="0.53175462680507601"/>
    <n v="1.1901336919054184"/>
  </r>
  <r>
    <x v="6"/>
    <n v="0.73054862974155699"/>
    <n v="0.72938516494847805"/>
    <n v="-1.16346479307839E-3"/>
    <n v="4.9499340934927E-2"/>
    <n v="1.00860402673716E-2"/>
    <n v="4.9499340934927E-2"/>
    <n v="0.44061187203042201"/>
    <n v="0.179688570780831"/>
    <n v="0"/>
    <n v="2.5901102883787499"/>
    <n v="97.3305073439588"/>
    <n v="0"/>
    <n v="0"/>
    <n v="100"/>
    <n v="0"/>
    <n v="0"/>
    <n v="0.36556006300216198"/>
    <n v="-14.3246144505926"/>
    <n v="552.38303298514404"/>
    <n v="99.997434141134406"/>
    <n v="43.504131235104097"/>
    <n v="285.87705409010198"/>
    <n v="57.184045406201101"/>
    <n v="3.7099847650700202"/>
    <n v="761.26784178636899"/>
    <n v="0"/>
    <n v="0"/>
    <n v="172.14762326661599"/>
    <n v="112.142330607048"/>
    <n v="30.7281822166143"/>
    <n v="-11.927245127791799"/>
    <n v="88113178410.300003"/>
    <n v="5.55738540325608E-2"/>
    <n v="12305"/>
    <x v="2"/>
    <n v="1.0015951308704794"/>
    <n v="0.54969659416764705"/>
    <n v="1.32900337657677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0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A3:S13" firstHeaderRow="1" firstDataRow="3" firstDataCol="1"/>
  <pivotFields count="39">
    <pivotField axis="axisRow" showAll="0" defaultSubtotal="0">
      <items count="8">
        <item x="7"/>
        <item x="0"/>
        <item x="1"/>
        <item x="2"/>
        <item x="3"/>
        <item x="4"/>
        <item x="5"/>
        <item x="6"/>
      </items>
    </pivotField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axis="axisCol" showAll="0" defaultSubtotal="0">
      <items count="3">
        <item x="1"/>
        <item x="2"/>
        <item x="0"/>
      </items>
    </pivotField>
    <pivotField dataField="1" showAll="0" defaultSubtotal="0"/>
    <pivotField dataField="1" numFmtId="11" showAll="0" defaultSubtotal="0"/>
    <pivotField dataField="1" numFmtId="11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2">
    <field x="35"/>
    <field x="-2"/>
  </colFields>
  <colItems count="18">
    <i>
      <x/>
      <x/>
    </i>
    <i r="1" i="1">
      <x v="1"/>
    </i>
    <i r="1" i="2">
      <x v="2"/>
    </i>
    <i r="1" i="3">
      <x v="3"/>
    </i>
    <i r="1" i="4">
      <x v="4"/>
    </i>
    <i r="1" i="5">
      <x v="5"/>
    </i>
    <i>
      <x v="1"/>
      <x/>
    </i>
    <i r="1" i="1">
      <x v="1"/>
    </i>
    <i r="1" i="2">
      <x v="2"/>
    </i>
    <i r="1" i="3">
      <x v="3"/>
    </i>
    <i r="1" i="4">
      <x v="4"/>
    </i>
    <i r="1" i="5">
      <x v="5"/>
    </i>
    <i>
      <x v="2"/>
      <x/>
    </i>
    <i r="1" i="1">
      <x v="1"/>
    </i>
    <i r="1" i="2">
      <x v="2"/>
    </i>
    <i r="1" i="3">
      <x v="3"/>
    </i>
    <i r="1" i="4">
      <x v="4"/>
    </i>
    <i r="1" i="5">
      <x v="5"/>
    </i>
  </colItems>
  <dataFields count="6">
    <dataField name="'bal" fld="32" baseField="0" baseItem="0" numFmtId="164"/>
    <dataField name="'actual.smm" fld="1" subtotal="average" baseField="0" baseItem="0" numFmtId="2"/>
    <dataField name="'model.smm" fld="2" subtotal="average" baseField="0" baseItem="0" numFmtId="2"/>
    <dataField name="'model w/o refi" fld="37" subtotal="average" baseField="0" baseItem="0" numFmtId="2"/>
    <dataField name="'Ratio" fld="36" subtotal="average" baseField="0" baseItem="0" numFmtId="2"/>
    <dataField name="'Ratio w/o refi" fld="38" subtotal="average" baseField="0" baseItem="0" numFmtId="2"/>
  </dataFields>
  <formats count="6">
    <format dxfId="17">
      <pivotArea outline="0" collapsedLevelsAreSubtotals="1" fieldPosition="0"/>
    </format>
    <format dxfId="16">
      <pivotArea dataOnly="0" fieldPosition="0">
        <references count="1">
          <reference field="0" count="1">
            <x v="4"/>
          </reference>
        </references>
      </pivotArea>
    </format>
    <format dxfId="15">
      <pivotArea type="topRight" dataOnly="0" labelOnly="1" outline="0" offset="B1" fieldPosition="0"/>
    </format>
    <format dxfId="14">
      <pivotArea type="topRight" dataOnly="0" labelOnly="1" outline="0" offset="G1" fieldPosition="0"/>
    </format>
    <format dxfId="1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">
      <pivotArea outline="0" collapsedLevelsAreSubtotals="1" fieldPosition="0">
        <references count="1">
          <reference field="4294967294" count="5" selected="0">
            <x v="1"/>
            <x v="2"/>
            <x v="3"/>
            <x v="4"/>
            <x v="5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14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S44"/>
  <sheetViews>
    <sheetView workbookViewId="0">
      <selection activeCell="A5" sqref="A5:S13"/>
    </sheetView>
  </sheetViews>
  <sheetFormatPr defaultRowHeight="15" x14ac:dyDescent="0.25"/>
  <cols>
    <col min="1" max="1" width="13.140625" bestFit="1" customWidth="1"/>
    <col min="2" max="2" width="16.28515625" customWidth="1"/>
    <col min="3" max="3" width="11.7109375" bestFit="1" customWidth="1"/>
    <col min="4" max="4" width="12.140625" bestFit="1" customWidth="1"/>
    <col min="5" max="5" width="15" bestFit="1" customWidth="1"/>
    <col min="6" max="6" width="6.140625" customWidth="1"/>
    <col min="7" max="7" width="13.85546875" bestFit="1" customWidth="1"/>
    <col min="8" max="8" width="15.28515625" customWidth="1"/>
    <col min="9" max="9" width="11.7109375" customWidth="1"/>
    <col min="10" max="10" width="12.140625" customWidth="1"/>
    <col min="11" max="11" width="15" customWidth="1"/>
    <col min="12" max="12" width="6.140625" customWidth="1"/>
    <col min="13" max="13" width="13.85546875" customWidth="1"/>
    <col min="14" max="14" width="16.28515625" customWidth="1"/>
    <col min="15" max="15" width="11.7109375" customWidth="1"/>
    <col min="16" max="16" width="12.140625" customWidth="1"/>
    <col min="17" max="17" width="15" customWidth="1"/>
    <col min="18" max="18" width="6.140625" customWidth="1"/>
    <col min="19" max="19" width="13.85546875" customWidth="1"/>
    <col min="20" max="20" width="6.140625" customWidth="1"/>
    <col min="21" max="21" width="13.85546875" bestFit="1" customWidth="1"/>
    <col min="22" max="22" width="16" bestFit="1" customWidth="1"/>
  </cols>
  <sheetData>
    <row r="3" spans="1:19" x14ac:dyDescent="0.25">
      <c r="B3" s="2" t="s">
        <v>41</v>
      </c>
      <c r="E3" s="7"/>
      <c r="J3" s="7"/>
    </row>
    <row r="4" spans="1:19" x14ac:dyDescent="0.25">
      <c r="B4" t="s">
        <v>38</v>
      </c>
      <c r="H4" t="s">
        <v>39</v>
      </c>
      <c r="N4" t="s">
        <v>37</v>
      </c>
    </row>
    <row r="5" spans="1:19" x14ac:dyDescent="0.25">
      <c r="A5" s="2" t="s">
        <v>40</v>
      </c>
      <c r="B5" t="s">
        <v>44</v>
      </c>
      <c r="C5" t="s">
        <v>45</v>
      </c>
      <c r="D5" t="s">
        <v>46</v>
      </c>
      <c r="E5" t="s">
        <v>50</v>
      </c>
      <c r="F5" t="s">
        <v>47</v>
      </c>
      <c r="G5" t="s">
        <v>48</v>
      </c>
      <c r="H5" t="s">
        <v>44</v>
      </c>
      <c r="I5" t="s">
        <v>45</v>
      </c>
      <c r="J5" t="s">
        <v>46</v>
      </c>
      <c r="K5" t="s">
        <v>50</v>
      </c>
      <c r="L5" t="s">
        <v>47</v>
      </c>
      <c r="M5" t="s">
        <v>48</v>
      </c>
      <c r="N5" t="s">
        <v>44</v>
      </c>
      <c r="O5" t="s">
        <v>45</v>
      </c>
      <c r="P5" t="s">
        <v>46</v>
      </c>
      <c r="Q5" t="s">
        <v>50</v>
      </c>
      <c r="R5" t="s">
        <v>47</v>
      </c>
      <c r="S5" t="s">
        <v>48</v>
      </c>
    </row>
    <row r="6" spans="1:19" x14ac:dyDescent="0.25">
      <c r="A6" s="3">
        <v>-175</v>
      </c>
      <c r="B6" s="4">
        <v>777069.3</v>
      </c>
      <c r="C6" s="10">
        <v>2.79695E-4</v>
      </c>
      <c r="D6" s="10">
        <v>0.45549392500000002</v>
      </c>
      <c r="E6" s="10">
        <v>0.45548640500000004</v>
      </c>
      <c r="F6" s="10">
        <v>6.1404770656381413E-4</v>
      </c>
      <c r="G6" s="10">
        <v>6.1405784438286354E-4</v>
      </c>
      <c r="H6" s="4"/>
      <c r="I6" s="10"/>
      <c r="J6" s="10"/>
      <c r="K6" s="10"/>
      <c r="L6" s="10"/>
      <c r="M6" s="10"/>
      <c r="N6" s="4"/>
      <c r="O6" s="10"/>
      <c r="P6" s="10"/>
      <c r="Q6" s="10"/>
      <c r="R6" s="10"/>
      <c r="S6" s="10"/>
    </row>
    <row r="7" spans="1:19" x14ac:dyDescent="0.25">
      <c r="A7" s="3">
        <v>-150</v>
      </c>
      <c r="B7" s="4">
        <v>2959049.4</v>
      </c>
      <c r="C7" s="10">
        <v>9.0465621560000002</v>
      </c>
      <c r="D7" s="10">
        <v>0.44419634800000002</v>
      </c>
      <c r="E7" s="10">
        <v>0.44418790800000002</v>
      </c>
      <c r="F7" s="10">
        <v>20.366133572984712</v>
      </c>
      <c r="G7" s="10">
        <v>20.366520549226657</v>
      </c>
      <c r="H7" s="4">
        <v>1077743.8</v>
      </c>
      <c r="I7" s="10">
        <v>2.5113324706669601E-5</v>
      </c>
      <c r="J7" s="10">
        <v>0.33581527494373098</v>
      </c>
      <c r="K7" s="10">
        <v>0.3358060224070798</v>
      </c>
      <c r="L7" s="10">
        <v>7.4783151870853925E-5</v>
      </c>
      <c r="M7" s="10">
        <v>7.4785212387364663E-5</v>
      </c>
      <c r="N7" s="4">
        <v>362036.9</v>
      </c>
      <c r="O7" s="10">
        <v>0.29680000000000001</v>
      </c>
      <c r="P7" s="10">
        <v>0.33397688538980203</v>
      </c>
      <c r="Q7" s="10">
        <v>0.33396566736851335</v>
      </c>
      <c r="R7" s="10">
        <v>0.88868425625800151</v>
      </c>
      <c r="S7" s="10">
        <v>0.88871410746691215</v>
      </c>
    </row>
    <row r="8" spans="1:19" x14ac:dyDescent="0.25">
      <c r="A8" s="3">
        <v>-125</v>
      </c>
      <c r="B8" s="4">
        <v>30914483.5</v>
      </c>
      <c r="C8" s="10">
        <v>1.31549761</v>
      </c>
      <c r="D8" s="10">
        <v>0.41287460100000001</v>
      </c>
      <c r="E8" s="10">
        <v>0.41286572100000002</v>
      </c>
      <c r="F8" s="10">
        <v>3.1861916591958148</v>
      </c>
      <c r="G8" s="10">
        <v>3.1862601884548316</v>
      </c>
      <c r="H8" s="4">
        <v>13781048</v>
      </c>
      <c r="I8" s="10">
        <v>2.3246377657199901E-2</v>
      </c>
      <c r="J8" s="10">
        <v>0.38245310768600799</v>
      </c>
      <c r="K8" s="10">
        <v>0.3824437912595578</v>
      </c>
      <c r="L8" s="10">
        <v>6.0782295110241476E-2</v>
      </c>
      <c r="M8" s="10">
        <v>6.0783775782159315E-2</v>
      </c>
      <c r="N8" s="4">
        <v>28153997.699999999</v>
      </c>
      <c r="O8" s="10">
        <v>2.1811383899843099E-2</v>
      </c>
      <c r="P8" s="10">
        <v>0.36291744502148598</v>
      </c>
      <c r="Q8" s="10">
        <v>0.36290742417097871</v>
      </c>
      <c r="R8" s="10">
        <v>6.010012524625756E-2</v>
      </c>
      <c r="S8" s="10">
        <v>6.0101784772435447E-2</v>
      </c>
    </row>
    <row r="9" spans="1:19" x14ac:dyDescent="0.25">
      <c r="A9" s="3">
        <v>-100</v>
      </c>
      <c r="B9" s="4">
        <v>343658777.60000002</v>
      </c>
      <c r="C9" s="10">
        <v>0.22148896700000001</v>
      </c>
      <c r="D9" s="10">
        <v>0.42095698500000001</v>
      </c>
      <c r="E9" s="10">
        <v>0.42094741499999999</v>
      </c>
      <c r="F9" s="10">
        <v>0.52615581850958004</v>
      </c>
      <c r="G9" s="10">
        <v>0.52616778036278</v>
      </c>
      <c r="H9" s="4">
        <v>281392352.60000002</v>
      </c>
      <c r="I9" s="10">
        <v>0.41783261723829801</v>
      </c>
      <c r="J9" s="10">
        <v>0.38259069059886602</v>
      </c>
      <c r="K9" s="10">
        <v>0.38258134586033765</v>
      </c>
      <c r="L9" s="10">
        <v>1.0921139157470563</v>
      </c>
      <c r="M9" s="10">
        <v>1.0921405911694109</v>
      </c>
      <c r="N9" s="4">
        <v>783579364.10000002</v>
      </c>
      <c r="O9" s="10">
        <v>0.33472617015295397</v>
      </c>
      <c r="P9" s="10">
        <v>0.37270995345840202</v>
      </c>
      <c r="Q9" s="10">
        <v>0.37270053423610838</v>
      </c>
      <c r="R9" s="10">
        <v>0.89808755319520228</v>
      </c>
      <c r="S9" s="10">
        <v>0.89811025046962401</v>
      </c>
    </row>
    <row r="10" spans="1:19" x14ac:dyDescent="0.25">
      <c r="A10" s="5">
        <v>-75</v>
      </c>
      <c r="B10" s="6">
        <v>5750451076</v>
      </c>
      <c r="C10" s="11">
        <v>0.45947524299999998</v>
      </c>
      <c r="D10" s="11">
        <v>0.45800509299999997</v>
      </c>
      <c r="E10" s="11">
        <v>0.45763157499999996</v>
      </c>
      <c r="F10" s="11">
        <v>1.0032098988034617</v>
      </c>
      <c r="G10" s="11">
        <v>1.0040287167685054</v>
      </c>
      <c r="H10" s="6">
        <v>3772554015.4000001</v>
      </c>
      <c r="I10" s="11">
        <v>0.32368637647867199</v>
      </c>
      <c r="J10" s="11">
        <v>0.41868470085909598</v>
      </c>
      <c r="K10" s="11">
        <v>0.41827724519792087</v>
      </c>
      <c r="L10" s="11">
        <v>0.77310294790925571</v>
      </c>
      <c r="M10" s="11">
        <v>0.77385604929455276</v>
      </c>
      <c r="N10" s="6">
        <v>12959301108.4</v>
      </c>
      <c r="O10" s="11">
        <v>0.38310563172793699</v>
      </c>
      <c r="P10" s="11">
        <v>0.41062465816499599</v>
      </c>
      <c r="Q10" s="11">
        <v>0.41023875803872639</v>
      </c>
      <c r="R10" s="11">
        <v>0.93298252822897598</v>
      </c>
      <c r="S10" s="11">
        <v>0.93386015879994444</v>
      </c>
    </row>
    <row r="11" spans="1:19" x14ac:dyDescent="0.25">
      <c r="A11" s="3">
        <v>-50</v>
      </c>
      <c r="B11" s="4">
        <v>46164851522</v>
      </c>
      <c r="C11" s="10">
        <v>0.56692181600000002</v>
      </c>
      <c r="D11" s="10">
        <v>0.55583280199999996</v>
      </c>
      <c r="E11" s="10">
        <v>0.51501232099999994</v>
      </c>
      <c r="F11" s="10">
        <v>1.0199502691458646</v>
      </c>
      <c r="G11" s="10">
        <v>1.1007927245297886</v>
      </c>
      <c r="H11" s="4">
        <v>30747889438</v>
      </c>
      <c r="I11" s="10">
        <v>0.53050658914147897</v>
      </c>
      <c r="J11" s="10">
        <v>0.51328412995971195</v>
      </c>
      <c r="K11" s="10">
        <v>0.47349992337069857</v>
      </c>
      <c r="L11" s="10">
        <v>1.0335534612829718</v>
      </c>
      <c r="M11" s="10">
        <v>1.1203942449767841</v>
      </c>
      <c r="N11" s="4">
        <v>101606875540.89999</v>
      </c>
      <c r="O11" s="10">
        <v>0.53620367230599397</v>
      </c>
      <c r="P11" s="10">
        <v>0.50304655790641895</v>
      </c>
      <c r="Q11" s="10">
        <v>0.46248215049030184</v>
      </c>
      <c r="R11" s="10">
        <v>1.0659126155987797</v>
      </c>
      <c r="S11" s="10">
        <v>1.1594040369720995</v>
      </c>
    </row>
    <row r="12" spans="1:19" x14ac:dyDescent="0.25">
      <c r="A12" s="3">
        <v>-25</v>
      </c>
      <c r="B12" s="4">
        <v>120917000000</v>
      </c>
      <c r="C12" s="10">
        <v>0.70498400400000005</v>
      </c>
      <c r="D12" s="10">
        <v>0.69120536399999999</v>
      </c>
      <c r="E12" s="10">
        <v>0.57671427899999994</v>
      </c>
      <c r="F12" s="10">
        <v>1.0199342203021446</v>
      </c>
      <c r="G12" s="10">
        <v>1.2224146855222915</v>
      </c>
      <c r="H12" s="4">
        <v>81614484016.5</v>
      </c>
      <c r="I12" s="10">
        <v>0.63285909718731304</v>
      </c>
      <c r="J12" s="10">
        <v>0.64393476914752801</v>
      </c>
      <c r="K12" s="10">
        <v>0.53175462680507601</v>
      </c>
      <c r="L12" s="10">
        <v>0.98280000942505796</v>
      </c>
      <c r="M12" s="10">
        <v>1.1901336919054184</v>
      </c>
      <c r="N12" s="4">
        <v>250386439257.20001</v>
      </c>
      <c r="O12" s="10">
        <v>0.62177460436394905</v>
      </c>
      <c r="P12" s="10">
        <v>0.63265181704639495</v>
      </c>
      <c r="Q12" s="10">
        <v>0.51952119632317695</v>
      </c>
      <c r="R12" s="10">
        <v>0.98280695259324891</v>
      </c>
      <c r="S12" s="10">
        <v>1.1968223987095294</v>
      </c>
    </row>
    <row r="13" spans="1:19" x14ac:dyDescent="0.25">
      <c r="A13" s="3">
        <v>0</v>
      </c>
      <c r="B13" s="4">
        <v>113699000000</v>
      </c>
      <c r="C13" s="10">
        <v>0.75945501100000001</v>
      </c>
      <c r="D13" s="10">
        <v>0.77606509999999995</v>
      </c>
      <c r="E13" s="10">
        <v>0.5951098239999999</v>
      </c>
      <c r="F13" s="10">
        <v>0.97859704166570571</v>
      </c>
      <c r="G13" s="10">
        <v>1.2761594253231487</v>
      </c>
      <c r="H13" s="4">
        <v>88113178410.300003</v>
      </c>
      <c r="I13" s="10">
        <v>0.73054862974155699</v>
      </c>
      <c r="J13" s="10">
        <v>0.72938516494847805</v>
      </c>
      <c r="K13" s="10">
        <v>0.54969659416764705</v>
      </c>
      <c r="L13" s="10">
        <v>1.0015951308704794</v>
      </c>
      <c r="M13" s="10">
        <v>1.3290033765767766</v>
      </c>
      <c r="N13" s="4">
        <v>244239356948.20001</v>
      </c>
      <c r="O13" s="10">
        <v>0.70556136119131896</v>
      </c>
      <c r="P13" s="10">
        <v>0.71354242625617903</v>
      </c>
      <c r="Q13" s="10">
        <v>0.53706376819228696</v>
      </c>
      <c r="R13" s="10">
        <v>0.98881486962627407</v>
      </c>
      <c r="S13" s="10">
        <v>1.3137385222730278</v>
      </c>
    </row>
    <row r="37" spans="6:13" x14ac:dyDescent="0.25">
      <c r="F37" s="12"/>
    </row>
    <row r="38" spans="6:13" x14ac:dyDescent="0.25">
      <c r="F38" s="12"/>
      <c r="M38" s="8"/>
    </row>
    <row r="39" spans="6:13" x14ac:dyDescent="0.25">
      <c r="F39" s="12"/>
      <c r="M39" s="8"/>
    </row>
    <row r="40" spans="6:13" x14ac:dyDescent="0.25">
      <c r="F40" s="12"/>
      <c r="M40" s="8"/>
    </row>
    <row r="41" spans="6:13" x14ac:dyDescent="0.25">
      <c r="F41" s="12"/>
      <c r="L41" s="13"/>
      <c r="M41" s="9"/>
    </row>
    <row r="42" spans="6:13" x14ac:dyDescent="0.25">
      <c r="F42" s="12"/>
      <c r="M42" s="8"/>
    </row>
    <row r="43" spans="6:13" x14ac:dyDescent="0.25">
      <c r="F43" s="12"/>
      <c r="M43" s="8"/>
    </row>
    <row r="44" spans="6:13" x14ac:dyDescent="0.25">
      <c r="F44" s="12"/>
      <c r="M44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3"/>
  <sheetViews>
    <sheetView workbookViewId="0">
      <selection activeCell="L31" sqref="L31"/>
    </sheetView>
  </sheetViews>
  <sheetFormatPr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36</v>
      </c>
      <c r="AK1" t="s">
        <v>42</v>
      </c>
      <c r="AL1" t="s">
        <v>49</v>
      </c>
      <c r="AM1" t="s">
        <v>43</v>
      </c>
    </row>
    <row r="2" spans="1:39" x14ac:dyDescent="0.25">
      <c r="A2">
        <v>-150</v>
      </c>
      <c r="B2">
        <v>0.29680000000000001</v>
      </c>
      <c r="C2">
        <v>0.33397688538980203</v>
      </c>
      <c r="D2">
        <v>3.7176885389802003E-2</v>
      </c>
      <c r="E2">
        <v>4.9867027633101801E-2</v>
      </c>
      <c r="F2">
        <v>9.67946920556866E-4</v>
      </c>
      <c r="G2">
        <v>4.9867027633101801E-2</v>
      </c>
      <c r="H2">
        <v>0.23326366518175301</v>
      </c>
      <c r="I2" s="1">
        <v>1.12180212886688E-5</v>
      </c>
      <c r="J2">
        <v>0</v>
      </c>
      <c r="K2">
        <v>0</v>
      </c>
      <c r="L2">
        <v>100</v>
      </c>
      <c r="M2">
        <v>0</v>
      </c>
      <c r="N2">
        <v>100</v>
      </c>
      <c r="O2">
        <v>0</v>
      </c>
      <c r="P2">
        <v>0</v>
      </c>
      <c r="Q2">
        <v>100</v>
      </c>
      <c r="R2">
        <v>0</v>
      </c>
      <c r="S2">
        <v>-160.9</v>
      </c>
      <c r="T2">
        <v>0</v>
      </c>
      <c r="U2">
        <v>100</v>
      </c>
      <c r="V2">
        <v>48.4</v>
      </c>
      <c r="W2">
        <v>362</v>
      </c>
      <c r="X2">
        <v>58</v>
      </c>
      <c r="Y2">
        <v>2.7</v>
      </c>
      <c r="Z2">
        <v>766</v>
      </c>
      <c r="AA2">
        <v>0</v>
      </c>
      <c r="AB2">
        <v>0</v>
      </c>
      <c r="AC2">
        <v>179.2</v>
      </c>
      <c r="AD2">
        <v>112.2</v>
      </c>
      <c r="AE2">
        <v>20.9</v>
      </c>
      <c r="AF2">
        <v>-106.7</v>
      </c>
      <c r="AG2">
        <v>362036.9</v>
      </c>
      <c r="AH2" t="s">
        <v>35</v>
      </c>
      <c r="AI2">
        <v>1</v>
      </c>
      <c r="AJ2" t="s">
        <v>37</v>
      </c>
      <c r="AK2">
        <f>B2/C2</f>
        <v>0.88868425625800151</v>
      </c>
      <c r="AL2" s="1">
        <f>C2-I2</f>
        <v>0.33396566736851335</v>
      </c>
      <c r="AM2" s="1">
        <f>B2/(C2-I2)</f>
        <v>0.88871410746691215</v>
      </c>
    </row>
    <row r="3" spans="1:39" x14ac:dyDescent="0.25">
      <c r="A3">
        <v>-125</v>
      </c>
      <c r="B3">
        <v>2.1811383899843099E-2</v>
      </c>
      <c r="C3">
        <v>0.36291744502148598</v>
      </c>
      <c r="D3">
        <v>0.34110606112164299</v>
      </c>
      <c r="E3">
        <v>4.8074853360855402E-2</v>
      </c>
      <c r="F3">
        <v>5.0261360408010297E-3</v>
      </c>
      <c r="G3">
        <v>4.8074853360855402E-2</v>
      </c>
      <c r="H3">
        <v>0.26173158140846697</v>
      </c>
      <c r="I3" s="1">
        <v>1.00208505072852E-5</v>
      </c>
      <c r="J3">
        <v>0</v>
      </c>
      <c r="K3">
        <v>6.65667265185576</v>
      </c>
      <c r="L3">
        <v>93.337694293411104</v>
      </c>
      <c r="M3">
        <v>0</v>
      </c>
      <c r="N3">
        <v>100</v>
      </c>
      <c r="O3">
        <v>0</v>
      </c>
      <c r="P3">
        <v>0</v>
      </c>
      <c r="Q3">
        <v>100</v>
      </c>
      <c r="R3">
        <v>0.13922604959224</v>
      </c>
      <c r="S3">
        <v>-131.70786940072799</v>
      </c>
      <c r="T3">
        <v>0</v>
      </c>
      <c r="U3">
        <v>100</v>
      </c>
      <c r="V3">
        <v>50.302524047588399</v>
      </c>
      <c r="W3">
        <v>346.850537246084</v>
      </c>
      <c r="X3">
        <v>53.942323879993801</v>
      </c>
      <c r="Y3">
        <v>2.7852703316090701</v>
      </c>
      <c r="Z3">
        <v>753.93733413496705</v>
      </c>
      <c r="AA3">
        <v>5.4026760824804603</v>
      </c>
      <c r="AB3">
        <v>0</v>
      </c>
      <c r="AC3">
        <v>172.10973369582999</v>
      </c>
      <c r="AD3">
        <v>111.900461346916</v>
      </c>
      <c r="AE3">
        <v>24.4103103848019</v>
      </c>
      <c r="AF3">
        <v>-85.906183260787898</v>
      </c>
      <c r="AG3">
        <v>28153997.699999999</v>
      </c>
      <c r="AH3">
        <v>1.22270561564543E-3</v>
      </c>
      <c r="AI3">
        <v>81</v>
      </c>
      <c r="AJ3" t="s">
        <v>37</v>
      </c>
      <c r="AK3">
        <f t="shared" ref="AK3:AK23" si="0">B3/C3</f>
        <v>6.010012524625756E-2</v>
      </c>
      <c r="AL3" s="1">
        <f t="shared" ref="AL3:AL23" si="1">C3-I3</f>
        <v>0.36290742417097871</v>
      </c>
      <c r="AM3" s="1">
        <f t="shared" ref="AM3:AM23" si="2">B3/(C3-I3)</f>
        <v>6.0101784772435447E-2</v>
      </c>
    </row>
    <row r="4" spans="1:39" x14ac:dyDescent="0.25">
      <c r="A4">
        <v>-100</v>
      </c>
      <c r="B4">
        <v>0.33472617015295397</v>
      </c>
      <c r="C4">
        <v>0.37270995345840202</v>
      </c>
      <c r="D4">
        <v>3.7983783305447903E-2</v>
      </c>
      <c r="E4">
        <v>4.79849510942357E-2</v>
      </c>
      <c r="F4">
        <v>4.3263974475593204E-3</v>
      </c>
      <c r="G4">
        <v>4.79849510942357E-2</v>
      </c>
      <c r="H4">
        <v>0.27240423460007701</v>
      </c>
      <c r="I4" s="1">
        <v>9.4192222936649402E-6</v>
      </c>
      <c r="J4">
        <v>0</v>
      </c>
      <c r="K4">
        <v>4.8943628165156303</v>
      </c>
      <c r="L4">
        <v>95.060732763827502</v>
      </c>
      <c r="M4">
        <v>0</v>
      </c>
      <c r="N4">
        <v>100</v>
      </c>
      <c r="O4">
        <v>0</v>
      </c>
      <c r="P4">
        <v>0</v>
      </c>
      <c r="Q4">
        <v>100</v>
      </c>
      <c r="R4">
        <v>0.141965264843043</v>
      </c>
      <c r="S4">
        <v>-108.22552162020401</v>
      </c>
      <c r="T4">
        <v>6.1312449256727402E-4</v>
      </c>
      <c r="U4">
        <v>100</v>
      </c>
      <c r="V4">
        <v>46.902140159704103</v>
      </c>
      <c r="W4">
        <v>308.93730462689501</v>
      </c>
      <c r="X4">
        <v>53.731005281561899</v>
      </c>
      <c r="Y4">
        <v>2.9374347162443399</v>
      </c>
      <c r="Z4">
        <v>774.037165165386</v>
      </c>
      <c r="AA4">
        <v>4.0258294496349398</v>
      </c>
      <c r="AB4">
        <v>0</v>
      </c>
      <c r="AC4">
        <v>171.39194580318301</v>
      </c>
      <c r="AD4">
        <v>111.886239924615</v>
      </c>
      <c r="AE4">
        <v>24.962466901838599</v>
      </c>
      <c r="AF4">
        <v>-66.519204815146296</v>
      </c>
      <c r="AG4">
        <v>783579364.10000002</v>
      </c>
      <c r="AH4">
        <v>4.3845838017128699E-2</v>
      </c>
      <c r="AI4">
        <v>599</v>
      </c>
      <c r="AJ4" t="s">
        <v>37</v>
      </c>
      <c r="AK4">
        <f t="shared" si="0"/>
        <v>0.89808755319520228</v>
      </c>
      <c r="AL4" s="1">
        <f t="shared" si="1"/>
        <v>0.37270053423610838</v>
      </c>
      <c r="AM4" s="1">
        <f t="shared" si="2"/>
        <v>0.89811025046962401</v>
      </c>
    </row>
    <row r="5" spans="1:39" x14ac:dyDescent="0.25">
      <c r="A5">
        <v>-75</v>
      </c>
      <c r="B5">
        <v>0.38310563172793699</v>
      </c>
      <c r="C5">
        <v>0.41062465816499599</v>
      </c>
      <c r="D5">
        <v>2.75190264370592E-2</v>
      </c>
      <c r="E5">
        <v>4.81290575650015E-2</v>
      </c>
      <c r="F5">
        <v>6.1320437898975703E-3</v>
      </c>
      <c r="G5">
        <v>4.81290575650015E-2</v>
      </c>
      <c r="H5">
        <v>0.30784859911882601</v>
      </c>
      <c r="I5">
        <v>3.8590012626962101E-4</v>
      </c>
      <c r="J5">
        <v>0</v>
      </c>
      <c r="K5">
        <v>3.32785130593548</v>
      </c>
      <c r="L5">
        <v>96.590363145392999</v>
      </c>
      <c r="M5">
        <v>0</v>
      </c>
      <c r="N5">
        <v>100</v>
      </c>
      <c r="O5">
        <v>0</v>
      </c>
      <c r="P5">
        <v>0</v>
      </c>
      <c r="Q5">
        <v>100</v>
      </c>
      <c r="R5">
        <v>0.22501235252261401</v>
      </c>
      <c r="S5">
        <v>-83.051213908793997</v>
      </c>
      <c r="T5">
        <v>0.41058578775680099</v>
      </c>
      <c r="U5">
        <v>99.997181476864</v>
      </c>
      <c r="V5">
        <v>44.030801350856898</v>
      </c>
      <c r="W5">
        <v>314.58602464194399</v>
      </c>
      <c r="X5">
        <v>54.065876357297299</v>
      </c>
      <c r="Y5">
        <v>3.1823490578329299</v>
      </c>
      <c r="Z5">
        <v>774.62445133985602</v>
      </c>
      <c r="AA5">
        <v>2.1698088776595799</v>
      </c>
      <c r="AB5">
        <v>0</v>
      </c>
      <c r="AC5">
        <v>172.082944317456</v>
      </c>
      <c r="AD5">
        <v>111.92086949767101</v>
      </c>
      <c r="AE5">
        <v>24.975349132600002</v>
      </c>
      <c r="AF5">
        <v>-43.709836734973898</v>
      </c>
      <c r="AG5">
        <v>12959301108.4</v>
      </c>
      <c r="AH5">
        <v>3.9585380138725701E-2</v>
      </c>
      <c r="AI5">
        <v>1770</v>
      </c>
      <c r="AJ5" t="s">
        <v>37</v>
      </c>
      <c r="AK5">
        <f t="shared" si="0"/>
        <v>0.93298252822897598</v>
      </c>
      <c r="AL5" s="1">
        <f t="shared" si="1"/>
        <v>0.41023875803872639</v>
      </c>
      <c r="AM5" s="1">
        <f t="shared" si="2"/>
        <v>0.93386015879994444</v>
      </c>
    </row>
    <row r="6" spans="1:39" x14ac:dyDescent="0.25">
      <c r="A6">
        <v>-50</v>
      </c>
      <c r="B6">
        <v>0.53620367230599397</v>
      </c>
      <c r="C6">
        <v>0.50304655790641895</v>
      </c>
      <c r="D6">
        <v>-3.3157114399575E-2</v>
      </c>
      <c r="E6">
        <v>4.8736643470771598E-2</v>
      </c>
      <c r="F6">
        <v>7.1873120659749403E-3</v>
      </c>
      <c r="G6">
        <v>4.8736643470771598E-2</v>
      </c>
      <c r="H6">
        <v>0.357821551482783</v>
      </c>
      <c r="I6">
        <v>4.0564407416117103E-2</v>
      </c>
      <c r="J6">
        <v>0</v>
      </c>
      <c r="K6">
        <v>3.1201845003481501</v>
      </c>
      <c r="L6">
        <v>96.788148903961599</v>
      </c>
      <c r="M6">
        <v>0</v>
      </c>
      <c r="N6">
        <v>100</v>
      </c>
      <c r="O6">
        <v>0</v>
      </c>
      <c r="P6">
        <v>0</v>
      </c>
      <c r="Q6">
        <v>100</v>
      </c>
      <c r="R6">
        <v>0.27060709603251398</v>
      </c>
      <c r="S6">
        <v>-59.904226427928798</v>
      </c>
      <c r="T6">
        <v>46.465330052361701</v>
      </c>
      <c r="U6">
        <v>99.999606797868907</v>
      </c>
      <c r="V6">
        <v>42.830999949682997</v>
      </c>
      <c r="W6">
        <v>310.74632334559999</v>
      </c>
      <c r="X6">
        <v>55.438230613298501</v>
      </c>
      <c r="Y6">
        <v>3.3596999269569898</v>
      </c>
      <c r="Z6">
        <v>774.18356524218598</v>
      </c>
      <c r="AA6">
        <v>3.1009375650570199</v>
      </c>
      <c r="AB6">
        <v>0</v>
      </c>
      <c r="AC6">
        <v>172.73483147842401</v>
      </c>
      <c r="AD6">
        <v>112.058848714067</v>
      </c>
      <c r="AE6">
        <v>26.2510632584804</v>
      </c>
      <c r="AF6">
        <v>-29.629900317133799</v>
      </c>
      <c r="AG6">
        <v>101606875540.89999</v>
      </c>
      <c r="AH6">
        <v>4.3309515332494802E-2</v>
      </c>
      <c r="AI6">
        <v>5095</v>
      </c>
      <c r="AJ6" t="s">
        <v>37</v>
      </c>
      <c r="AK6">
        <f t="shared" si="0"/>
        <v>1.0659126155987797</v>
      </c>
      <c r="AL6" s="1">
        <f t="shared" si="1"/>
        <v>0.46248215049030184</v>
      </c>
      <c r="AM6" s="1">
        <f t="shared" si="2"/>
        <v>1.1594040369720995</v>
      </c>
    </row>
    <row r="7" spans="1:39" x14ac:dyDescent="0.25">
      <c r="A7">
        <v>-25</v>
      </c>
      <c r="B7">
        <v>0.62177460436394905</v>
      </c>
      <c r="C7">
        <v>0.63265181704639495</v>
      </c>
      <c r="D7">
        <v>1.08772126824455E-2</v>
      </c>
      <c r="E7">
        <v>4.9086033288118697E-2</v>
      </c>
      <c r="F7">
        <v>7.6180535469321901E-3</v>
      </c>
      <c r="G7">
        <v>4.9086033288118697E-2</v>
      </c>
      <c r="H7">
        <v>0.41373107620000799</v>
      </c>
      <c r="I7">
        <v>0.113130620723218</v>
      </c>
      <c r="J7">
        <v>0</v>
      </c>
      <c r="K7">
        <v>3.4500901000182602</v>
      </c>
      <c r="L7">
        <v>96.458055177636894</v>
      </c>
      <c r="M7">
        <v>0</v>
      </c>
      <c r="N7">
        <v>100</v>
      </c>
      <c r="O7">
        <v>0</v>
      </c>
      <c r="P7">
        <v>0</v>
      </c>
      <c r="Q7">
        <v>100</v>
      </c>
      <c r="R7">
        <v>0.28570473030732602</v>
      </c>
      <c r="S7">
        <v>-36.485794442309199</v>
      </c>
      <c r="T7">
        <v>171.758792226808</v>
      </c>
      <c r="U7">
        <v>99.997262236309098</v>
      </c>
      <c r="V7">
        <v>43.035907010713302</v>
      </c>
      <c r="W7">
        <v>309.93307995559798</v>
      </c>
      <c r="X7">
        <v>56.229995922511499</v>
      </c>
      <c r="Y7">
        <v>3.5068740203315998</v>
      </c>
      <c r="Z7">
        <v>771.51001300655105</v>
      </c>
      <c r="AA7">
        <v>6.2217985190939702</v>
      </c>
      <c r="AB7">
        <v>0</v>
      </c>
      <c r="AC7">
        <v>173.47828516426699</v>
      </c>
      <c r="AD7">
        <v>112.241983462365</v>
      </c>
      <c r="AE7">
        <v>29.638045577306901</v>
      </c>
      <c r="AF7">
        <v>-20.217383597172201</v>
      </c>
      <c r="AG7">
        <v>250386439257.20001</v>
      </c>
      <c r="AH7">
        <v>5.0207002595583798E-2</v>
      </c>
      <c r="AI7">
        <v>12375</v>
      </c>
      <c r="AJ7" t="s">
        <v>37</v>
      </c>
      <c r="AK7">
        <f t="shared" si="0"/>
        <v>0.98280695259324891</v>
      </c>
      <c r="AL7" s="1">
        <f t="shared" si="1"/>
        <v>0.51952119632317695</v>
      </c>
      <c r="AM7" s="1">
        <f t="shared" si="2"/>
        <v>1.1968223987095294</v>
      </c>
    </row>
    <row r="8" spans="1:39" x14ac:dyDescent="0.25">
      <c r="A8">
        <v>0</v>
      </c>
      <c r="B8">
        <v>0.70556136119131896</v>
      </c>
      <c r="C8">
        <v>0.71354242625617903</v>
      </c>
      <c r="D8">
        <v>7.9810650648600105E-3</v>
      </c>
      <c r="E8">
        <v>4.9683142179243002E-2</v>
      </c>
      <c r="F8">
        <v>9.43410397386844E-3</v>
      </c>
      <c r="G8">
        <v>4.9683142179243002E-2</v>
      </c>
      <c r="H8">
        <v>0.42826337985993201</v>
      </c>
      <c r="I8">
        <v>0.17647865806389201</v>
      </c>
      <c r="J8">
        <v>0</v>
      </c>
      <c r="K8">
        <v>3.8982601766158398</v>
      </c>
      <c r="L8">
        <v>96.010604147875199</v>
      </c>
      <c r="M8">
        <v>0</v>
      </c>
      <c r="N8">
        <v>100</v>
      </c>
      <c r="O8">
        <v>0</v>
      </c>
      <c r="P8">
        <v>0</v>
      </c>
      <c r="Q8">
        <v>100</v>
      </c>
      <c r="R8">
        <v>0.343638067852514</v>
      </c>
      <c r="S8">
        <v>-14.627168247172699</v>
      </c>
      <c r="T8">
        <v>553.37558408225595</v>
      </c>
      <c r="U8">
        <v>99.990683789249601</v>
      </c>
      <c r="V8">
        <v>43.8904092272019</v>
      </c>
      <c r="W8">
        <v>296.937092294568</v>
      </c>
      <c r="X8">
        <v>57.614393760136899</v>
      </c>
      <c r="Y8">
        <v>3.7054589912701998</v>
      </c>
      <c r="Z8">
        <v>767.74606293052898</v>
      </c>
      <c r="AA8">
        <v>12.2655025836265</v>
      </c>
      <c r="AB8">
        <v>0</v>
      </c>
      <c r="AC8">
        <v>172.40843890170299</v>
      </c>
      <c r="AD8">
        <v>112.165908478791</v>
      </c>
      <c r="AE8">
        <v>30.7874116700734</v>
      </c>
      <c r="AF8">
        <v>-12.681527014066999</v>
      </c>
      <c r="AG8">
        <v>244239356948.20001</v>
      </c>
      <c r="AH8">
        <v>5.9946280432342403E-2</v>
      </c>
      <c r="AI8">
        <v>16440</v>
      </c>
      <c r="AJ8" t="s">
        <v>37</v>
      </c>
      <c r="AK8">
        <f t="shared" si="0"/>
        <v>0.98881486962627407</v>
      </c>
      <c r="AL8" s="1">
        <f t="shared" si="1"/>
        <v>0.53706376819228696</v>
      </c>
      <c r="AM8" s="1">
        <f t="shared" si="2"/>
        <v>1.3137385222730278</v>
      </c>
    </row>
    <row r="9" spans="1:39" x14ac:dyDescent="0.25">
      <c r="A9">
        <v>-175</v>
      </c>
      <c r="B9">
        <v>2.79695E-4</v>
      </c>
      <c r="C9">
        <v>0.45549392500000002</v>
      </c>
      <c r="D9">
        <v>0.45521423</v>
      </c>
      <c r="E9">
        <v>4.6091366000000002E-2</v>
      </c>
      <c r="F9">
        <v>6.397921E-3</v>
      </c>
      <c r="G9">
        <v>4.6091366000000002E-2</v>
      </c>
      <c r="H9">
        <v>0.35690575299999999</v>
      </c>
      <c r="I9" s="1">
        <v>7.52E-6</v>
      </c>
      <c r="J9">
        <v>0</v>
      </c>
      <c r="K9">
        <v>0</v>
      </c>
      <c r="L9">
        <v>100</v>
      </c>
      <c r="M9">
        <v>100</v>
      </c>
      <c r="N9">
        <v>0</v>
      </c>
      <c r="O9">
        <v>0</v>
      </c>
      <c r="P9">
        <v>0</v>
      </c>
      <c r="Q9">
        <v>0</v>
      </c>
      <c r="R9">
        <v>0</v>
      </c>
      <c r="S9">
        <v>-183.75851370000001</v>
      </c>
      <c r="T9">
        <v>0</v>
      </c>
      <c r="U9">
        <v>100</v>
      </c>
      <c r="V9">
        <v>69.301904769999993</v>
      </c>
      <c r="W9">
        <v>198.04798310000001</v>
      </c>
      <c r="X9">
        <v>49.377419230000001</v>
      </c>
      <c r="Y9">
        <v>2.6310772149999999</v>
      </c>
      <c r="Z9">
        <v>662.64918980000004</v>
      </c>
      <c r="AA9">
        <v>0</v>
      </c>
      <c r="AB9">
        <v>0</v>
      </c>
      <c r="AC9">
        <v>168.7675318</v>
      </c>
      <c r="AD9">
        <v>111.7863078</v>
      </c>
      <c r="AE9">
        <v>25.02559248</v>
      </c>
      <c r="AF9">
        <v>-100.8415633</v>
      </c>
      <c r="AG9">
        <v>777069.3</v>
      </c>
      <c r="AH9" s="1">
        <v>4.5000000000000001E-6</v>
      </c>
      <c r="AI9">
        <v>4</v>
      </c>
      <c r="AJ9" t="s">
        <v>38</v>
      </c>
      <c r="AK9">
        <f t="shared" si="0"/>
        <v>6.1404770656381413E-4</v>
      </c>
      <c r="AL9" s="1">
        <f t="shared" si="1"/>
        <v>0.45548640500000004</v>
      </c>
      <c r="AM9" s="1">
        <f t="shared" si="2"/>
        <v>6.1405784438286354E-4</v>
      </c>
    </row>
    <row r="10" spans="1:39" x14ac:dyDescent="0.25">
      <c r="A10">
        <v>-150</v>
      </c>
      <c r="B10">
        <v>9.0465621560000002</v>
      </c>
      <c r="C10">
        <v>0.44419634800000002</v>
      </c>
      <c r="D10">
        <v>-8.6023658090000001</v>
      </c>
      <c r="E10">
        <v>4.7329824999999999E-2</v>
      </c>
      <c r="F10">
        <v>1.7049109999999999E-2</v>
      </c>
      <c r="G10">
        <v>4.7329824999999999E-2</v>
      </c>
      <c r="H10">
        <v>0.33247914899999997</v>
      </c>
      <c r="I10" s="1">
        <v>8.4400000000000005E-6</v>
      </c>
      <c r="J10">
        <v>0</v>
      </c>
      <c r="K10">
        <v>0</v>
      </c>
      <c r="L10">
        <v>100</v>
      </c>
      <c r="M10">
        <v>100</v>
      </c>
      <c r="N10">
        <v>0</v>
      </c>
      <c r="O10">
        <v>0</v>
      </c>
      <c r="P10">
        <v>0</v>
      </c>
      <c r="Q10">
        <v>0</v>
      </c>
      <c r="R10">
        <v>0.54333143900000003</v>
      </c>
      <c r="S10">
        <v>-162.277163</v>
      </c>
      <c r="T10">
        <v>0</v>
      </c>
      <c r="U10">
        <v>100</v>
      </c>
      <c r="V10">
        <v>67.435779319999995</v>
      </c>
      <c r="W10">
        <v>231.58178609999999</v>
      </c>
      <c r="X10">
        <v>52.199130150000002</v>
      </c>
      <c r="Y10">
        <v>2.6087929760000002</v>
      </c>
      <c r="Z10">
        <v>717.69028700000001</v>
      </c>
      <c r="AA10">
        <v>0</v>
      </c>
      <c r="AB10">
        <v>0</v>
      </c>
      <c r="AC10">
        <v>173.86387959999999</v>
      </c>
      <c r="AD10">
        <v>112.1953963</v>
      </c>
      <c r="AE10">
        <v>25.970317789999999</v>
      </c>
      <c r="AF10">
        <v>-123.2279989</v>
      </c>
      <c r="AG10">
        <v>2959049.4</v>
      </c>
      <c r="AH10">
        <v>0.28867432100000001</v>
      </c>
      <c r="AI10">
        <v>12</v>
      </c>
      <c r="AJ10" t="s">
        <v>38</v>
      </c>
      <c r="AK10">
        <f t="shared" si="0"/>
        <v>20.366133572984712</v>
      </c>
      <c r="AL10" s="1">
        <f t="shared" si="1"/>
        <v>0.44418790800000002</v>
      </c>
      <c r="AM10" s="1">
        <f t="shared" si="2"/>
        <v>20.366520549226657</v>
      </c>
    </row>
    <row r="11" spans="1:39" x14ac:dyDescent="0.25">
      <c r="A11">
        <v>-125</v>
      </c>
      <c r="B11">
        <v>1.31549761</v>
      </c>
      <c r="C11">
        <v>0.41287460100000001</v>
      </c>
      <c r="D11">
        <v>-0.90262300900000003</v>
      </c>
      <c r="E11">
        <v>4.7898390999999998E-2</v>
      </c>
      <c r="F11">
        <v>1.0825371E-2</v>
      </c>
      <c r="G11">
        <v>4.7898390999999998E-2</v>
      </c>
      <c r="H11">
        <v>0.30624356400000002</v>
      </c>
      <c r="I11" s="1">
        <v>8.8799999999999997E-6</v>
      </c>
      <c r="J11">
        <v>0</v>
      </c>
      <c r="K11">
        <v>0</v>
      </c>
      <c r="L11">
        <v>100</v>
      </c>
      <c r="M11">
        <v>100</v>
      </c>
      <c r="N11">
        <v>0</v>
      </c>
      <c r="O11">
        <v>0</v>
      </c>
      <c r="P11">
        <v>0</v>
      </c>
      <c r="Q11">
        <v>0</v>
      </c>
      <c r="R11">
        <v>0.34296974400000002</v>
      </c>
      <c r="S11">
        <v>-135.80190260000001</v>
      </c>
      <c r="T11">
        <v>0</v>
      </c>
      <c r="U11">
        <v>100</v>
      </c>
      <c r="V11">
        <v>63.401481369999999</v>
      </c>
      <c r="W11">
        <v>263.49753279999999</v>
      </c>
      <c r="X11">
        <v>53.504127510000004</v>
      </c>
      <c r="Y11">
        <v>2.7517728950000002</v>
      </c>
      <c r="Z11">
        <v>750.32620139999995</v>
      </c>
      <c r="AA11">
        <v>0</v>
      </c>
      <c r="AB11">
        <v>0</v>
      </c>
      <c r="AC11">
        <v>173.33081720000001</v>
      </c>
      <c r="AD11">
        <v>112.033833</v>
      </c>
      <c r="AE11">
        <v>25.79449923</v>
      </c>
      <c r="AF11">
        <v>-103.8505001</v>
      </c>
      <c r="AG11">
        <v>30914483.5</v>
      </c>
      <c r="AH11">
        <v>5.3268995E-2</v>
      </c>
      <c r="AI11">
        <v>80</v>
      </c>
      <c r="AJ11" t="s">
        <v>38</v>
      </c>
      <c r="AK11">
        <f t="shared" si="0"/>
        <v>3.1861916591958148</v>
      </c>
      <c r="AL11" s="1">
        <f t="shared" si="1"/>
        <v>0.41286572100000002</v>
      </c>
      <c r="AM11" s="1">
        <f t="shared" si="2"/>
        <v>3.1862601884548316</v>
      </c>
    </row>
    <row r="12" spans="1:39" x14ac:dyDescent="0.25">
      <c r="A12">
        <v>-100</v>
      </c>
      <c r="B12">
        <v>0.22148896700000001</v>
      </c>
      <c r="C12">
        <v>0.42095698500000001</v>
      </c>
      <c r="D12">
        <v>0.199468017</v>
      </c>
      <c r="E12">
        <v>4.8163325999999999E-2</v>
      </c>
      <c r="F12">
        <v>9.2026480000000008E-3</v>
      </c>
      <c r="G12">
        <v>4.8163325999999999E-2</v>
      </c>
      <c r="H12">
        <v>0.31541811199999997</v>
      </c>
      <c r="I12" s="1">
        <v>9.5699999999999999E-6</v>
      </c>
      <c r="J12">
        <v>0</v>
      </c>
      <c r="K12">
        <v>6.6874165510000001</v>
      </c>
      <c r="L12">
        <v>93.278260110000005</v>
      </c>
      <c r="M12">
        <v>100</v>
      </c>
      <c r="N12">
        <v>0</v>
      </c>
      <c r="O12">
        <v>0</v>
      </c>
      <c r="P12">
        <v>0</v>
      </c>
      <c r="Q12">
        <v>0</v>
      </c>
      <c r="R12">
        <v>0.31117393300000001</v>
      </c>
      <c r="S12">
        <v>-108.2897146</v>
      </c>
      <c r="T12">
        <v>0.98158143499999995</v>
      </c>
      <c r="U12">
        <v>100</v>
      </c>
      <c r="V12">
        <v>53.925991209999999</v>
      </c>
      <c r="W12">
        <v>316.71757400000001</v>
      </c>
      <c r="X12">
        <v>54.135533559999999</v>
      </c>
      <c r="Y12">
        <v>2.9829292180000002</v>
      </c>
      <c r="Z12">
        <v>767.89932339999996</v>
      </c>
      <c r="AA12">
        <v>0</v>
      </c>
      <c r="AB12">
        <v>0</v>
      </c>
      <c r="AC12">
        <v>171.62170309999999</v>
      </c>
      <c r="AD12">
        <v>111.91928009999999</v>
      </c>
      <c r="AE12">
        <v>25.75543601</v>
      </c>
      <c r="AF12">
        <v>-69.008845399999998</v>
      </c>
      <c r="AG12">
        <v>343658777.60000002</v>
      </c>
      <c r="AH12">
        <v>5.0579816999999999E-2</v>
      </c>
      <c r="AI12">
        <v>438</v>
      </c>
      <c r="AJ12" t="s">
        <v>38</v>
      </c>
      <c r="AK12">
        <f t="shared" si="0"/>
        <v>0.52615581850958004</v>
      </c>
      <c r="AL12" s="1">
        <f t="shared" si="1"/>
        <v>0.42094741499999999</v>
      </c>
      <c r="AM12" s="1">
        <f t="shared" si="2"/>
        <v>0.52616778036278</v>
      </c>
    </row>
    <row r="13" spans="1:39" x14ac:dyDescent="0.25">
      <c r="A13">
        <v>-75</v>
      </c>
      <c r="B13">
        <v>0.45947524299999998</v>
      </c>
      <c r="C13">
        <v>0.45800509299999997</v>
      </c>
      <c r="D13">
        <v>-1.470149E-3</v>
      </c>
      <c r="E13">
        <v>4.8571537999999997E-2</v>
      </c>
      <c r="F13">
        <v>7.6975610000000003E-3</v>
      </c>
      <c r="G13">
        <v>4.8571537999999997E-2</v>
      </c>
      <c r="H13">
        <v>0.35279094</v>
      </c>
      <c r="I13">
        <v>3.7351799999999998E-4</v>
      </c>
      <c r="J13">
        <v>0</v>
      </c>
      <c r="K13">
        <v>7.2857762910000003</v>
      </c>
      <c r="L13">
        <v>92.635839270000005</v>
      </c>
      <c r="M13">
        <v>100</v>
      </c>
      <c r="N13">
        <v>0</v>
      </c>
      <c r="O13">
        <v>0</v>
      </c>
      <c r="P13">
        <v>0</v>
      </c>
      <c r="Q13">
        <v>0</v>
      </c>
      <c r="R13">
        <v>0.270866518</v>
      </c>
      <c r="S13">
        <v>-83.215720320000003</v>
      </c>
      <c r="T13">
        <v>0.29452031200000001</v>
      </c>
      <c r="U13">
        <v>99.961582320000005</v>
      </c>
      <c r="V13">
        <v>51.182327749999999</v>
      </c>
      <c r="W13">
        <v>333.07652680000001</v>
      </c>
      <c r="X13">
        <v>55.077665590000002</v>
      </c>
      <c r="Y13">
        <v>3.2098241120000002</v>
      </c>
      <c r="Z13">
        <v>770.04468550000001</v>
      </c>
      <c r="AA13">
        <v>0</v>
      </c>
      <c r="AB13">
        <v>0</v>
      </c>
      <c r="AC13">
        <v>172.75572439999999</v>
      </c>
      <c r="AD13">
        <v>111.96070690000001</v>
      </c>
      <c r="AE13">
        <v>24.469930359999999</v>
      </c>
      <c r="AF13">
        <v>-42.683567529999998</v>
      </c>
      <c r="AG13">
        <v>5750451076</v>
      </c>
      <c r="AH13">
        <v>6.2995923999999995E-2</v>
      </c>
      <c r="AI13">
        <v>1452</v>
      </c>
      <c r="AJ13" t="s">
        <v>38</v>
      </c>
      <c r="AK13">
        <f t="shared" si="0"/>
        <v>1.0032098988034617</v>
      </c>
      <c r="AL13" s="1">
        <f t="shared" si="1"/>
        <v>0.45763157499999996</v>
      </c>
      <c r="AM13" s="1">
        <f t="shared" si="2"/>
        <v>1.0040287167685054</v>
      </c>
    </row>
    <row r="14" spans="1:39" x14ac:dyDescent="0.25">
      <c r="A14">
        <v>-50</v>
      </c>
      <c r="B14">
        <v>0.56692181600000002</v>
      </c>
      <c r="C14">
        <v>0.55583280199999996</v>
      </c>
      <c r="D14">
        <v>-1.1089013999999999E-2</v>
      </c>
      <c r="E14">
        <v>4.8832235000000002E-2</v>
      </c>
      <c r="F14">
        <v>8.0895580000000002E-3</v>
      </c>
      <c r="G14">
        <v>4.8832235000000002E-2</v>
      </c>
      <c r="H14">
        <v>0.40925829200000002</v>
      </c>
      <c r="I14">
        <v>4.0820480999999999E-2</v>
      </c>
      <c r="J14">
        <v>0</v>
      </c>
      <c r="K14">
        <v>8.5796462689999995</v>
      </c>
      <c r="L14">
        <v>91.328020809999998</v>
      </c>
      <c r="M14">
        <v>100</v>
      </c>
      <c r="N14">
        <v>0</v>
      </c>
      <c r="O14">
        <v>0</v>
      </c>
      <c r="P14">
        <v>0</v>
      </c>
      <c r="Q14">
        <v>0</v>
      </c>
      <c r="R14">
        <v>0.29101893699999998</v>
      </c>
      <c r="S14">
        <v>-59.898005040000001</v>
      </c>
      <c r="T14">
        <v>34.425223330000001</v>
      </c>
      <c r="U14">
        <v>100</v>
      </c>
      <c r="V14">
        <v>50.765858639999998</v>
      </c>
      <c r="W14">
        <v>311.93835849999999</v>
      </c>
      <c r="X14">
        <v>55.650649399999999</v>
      </c>
      <c r="Y14">
        <v>3.3620778480000002</v>
      </c>
      <c r="Z14">
        <v>770.60776239999996</v>
      </c>
      <c r="AA14">
        <v>0</v>
      </c>
      <c r="AB14">
        <v>0</v>
      </c>
      <c r="AC14">
        <v>173.1266354</v>
      </c>
      <c r="AD14">
        <v>112.0824247</v>
      </c>
      <c r="AE14">
        <v>26.334572590000001</v>
      </c>
      <c r="AF14">
        <v>-31.255841870000001</v>
      </c>
      <c r="AG14">
        <v>46164851522</v>
      </c>
      <c r="AH14">
        <v>4.7240253000000003E-2</v>
      </c>
      <c r="AI14">
        <v>4155</v>
      </c>
      <c r="AJ14" t="s">
        <v>38</v>
      </c>
      <c r="AK14">
        <f t="shared" si="0"/>
        <v>1.0199502691458646</v>
      </c>
      <c r="AL14" s="1">
        <f t="shared" si="1"/>
        <v>0.51501232099999994</v>
      </c>
      <c r="AM14" s="1">
        <f t="shared" si="2"/>
        <v>1.1007927245297886</v>
      </c>
    </row>
    <row r="15" spans="1:39" x14ac:dyDescent="0.25">
      <c r="A15">
        <v>-25</v>
      </c>
      <c r="B15">
        <v>0.70498400400000005</v>
      </c>
      <c r="C15">
        <v>0.69120536399999999</v>
      </c>
      <c r="D15">
        <v>-1.3778639000000001E-2</v>
      </c>
      <c r="E15">
        <v>4.8953721999999998E-2</v>
      </c>
      <c r="F15">
        <v>8.417028E-3</v>
      </c>
      <c r="G15">
        <v>4.8953721999999998E-2</v>
      </c>
      <c r="H15">
        <v>0.47038980699999999</v>
      </c>
      <c r="I15">
        <v>0.11449108500000001</v>
      </c>
      <c r="J15">
        <v>0</v>
      </c>
      <c r="K15">
        <v>8.9518415420000004</v>
      </c>
      <c r="L15">
        <v>90.954539760000003</v>
      </c>
      <c r="M15">
        <v>100</v>
      </c>
      <c r="N15">
        <v>0</v>
      </c>
      <c r="O15">
        <v>0</v>
      </c>
      <c r="P15">
        <v>0</v>
      </c>
      <c r="Q15">
        <v>0</v>
      </c>
      <c r="R15">
        <v>0.30419867900000003</v>
      </c>
      <c r="S15">
        <v>-36.336539690000002</v>
      </c>
      <c r="T15">
        <v>132.3900222</v>
      </c>
      <c r="U15">
        <v>99.999832369999993</v>
      </c>
      <c r="V15">
        <v>50.67183567</v>
      </c>
      <c r="W15">
        <v>307.19725510000001</v>
      </c>
      <c r="X15">
        <v>55.918302449999999</v>
      </c>
      <c r="Y15">
        <v>3.4989205559999998</v>
      </c>
      <c r="Z15">
        <v>768.72594570000001</v>
      </c>
      <c r="AA15">
        <v>0</v>
      </c>
      <c r="AB15">
        <v>0</v>
      </c>
      <c r="AC15">
        <v>173.6066927</v>
      </c>
      <c r="AD15">
        <v>112.2561925</v>
      </c>
      <c r="AE15">
        <v>30.018876729999999</v>
      </c>
      <c r="AF15">
        <v>-23.595732739999999</v>
      </c>
      <c r="AG15" s="1">
        <v>120917000000</v>
      </c>
      <c r="AH15">
        <v>6.0827151000000003E-2</v>
      </c>
      <c r="AI15">
        <v>9683</v>
      </c>
      <c r="AJ15" t="s">
        <v>38</v>
      </c>
      <c r="AK15">
        <f t="shared" si="0"/>
        <v>1.0199342203021446</v>
      </c>
      <c r="AL15" s="1">
        <f t="shared" si="1"/>
        <v>0.57671427899999994</v>
      </c>
      <c r="AM15" s="1">
        <f t="shared" si="2"/>
        <v>1.2224146855222915</v>
      </c>
    </row>
    <row r="16" spans="1:39" x14ac:dyDescent="0.25">
      <c r="A16">
        <v>0</v>
      </c>
      <c r="B16">
        <v>0.75945501100000001</v>
      </c>
      <c r="C16">
        <v>0.77606509999999995</v>
      </c>
      <c r="D16">
        <v>1.6610090000000001E-2</v>
      </c>
      <c r="E16">
        <v>4.9701792000000002E-2</v>
      </c>
      <c r="F16">
        <v>1.0035781000000001E-2</v>
      </c>
      <c r="G16">
        <v>4.9701792000000002E-2</v>
      </c>
      <c r="H16">
        <v>0.485670459</v>
      </c>
      <c r="I16">
        <v>0.180955276</v>
      </c>
      <c r="J16">
        <v>0</v>
      </c>
      <c r="K16">
        <v>9.3488894029999994</v>
      </c>
      <c r="L16">
        <v>90.5593279</v>
      </c>
      <c r="M16">
        <v>100</v>
      </c>
      <c r="N16">
        <v>0</v>
      </c>
      <c r="O16">
        <v>0</v>
      </c>
      <c r="P16">
        <v>0</v>
      </c>
      <c r="Q16">
        <v>0</v>
      </c>
      <c r="R16">
        <v>0.35184065799999997</v>
      </c>
      <c r="S16">
        <v>-14.960204170000001</v>
      </c>
      <c r="T16">
        <v>475.46345730000002</v>
      </c>
      <c r="U16">
        <v>99.999265820000005</v>
      </c>
      <c r="V16">
        <v>50.631379690000003</v>
      </c>
      <c r="W16">
        <v>295.60400420000002</v>
      </c>
      <c r="X16">
        <v>57.652881049999998</v>
      </c>
      <c r="Y16">
        <v>3.6998885480000001</v>
      </c>
      <c r="Z16">
        <v>765.33560209999996</v>
      </c>
      <c r="AA16">
        <v>0</v>
      </c>
      <c r="AB16">
        <v>0</v>
      </c>
      <c r="AC16">
        <v>172.2802926</v>
      </c>
      <c r="AD16">
        <v>112.1643414</v>
      </c>
      <c r="AE16">
        <v>31.24138623</v>
      </c>
      <c r="AF16">
        <v>-17.240419729999999</v>
      </c>
      <c r="AG16" s="1">
        <v>113699000000</v>
      </c>
      <c r="AH16">
        <v>6.0044759000000003E-2</v>
      </c>
      <c r="AI16">
        <v>13183</v>
      </c>
      <c r="AJ16" t="s">
        <v>38</v>
      </c>
      <c r="AK16">
        <f t="shared" si="0"/>
        <v>0.97859704166570571</v>
      </c>
      <c r="AL16" s="1">
        <f t="shared" si="1"/>
        <v>0.5951098239999999</v>
      </c>
      <c r="AM16" s="1">
        <f t="shared" si="2"/>
        <v>1.2761594253231487</v>
      </c>
    </row>
    <row r="17" spans="1:39" x14ac:dyDescent="0.25">
      <c r="A17">
        <v>-150</v>
      </c>
      <c r="B17" s="1">
        <v>2.5113324706669601E-5</v>
      </c>
      <c r="C17">
        <v>0.33581527494373098</v>
      </c>
      <c r="D17">
        <v>0.33579016161902497</v>
      </c>
      <c r="E17">
        <v>4.7193785389598002E-2</v>
      </c>
      <c r="F17">
        <v>2.3749031424021398E-3</v>
      </c>
      <c r="G17">
        <v>4.7193785389598002E-2</v>
      </c>
      <c r="H17">
        <v>0.23904354848548201</v>
      </c>
      <c r="I17" s="1">
        <v>9.2525366512007494E-6</v>
      </c>
      <c r="J17">
        <v>0</v>
      </c>
      <c r="K17">
        <v>0</v>
      </c>
      <c r="L17">
        <v>100</v>
      </c>
      <c r="M17">
        <v>0</v>
      </c>
      <c r="N17">
        <v>0</v>
      </c>
      <c r="O17">
        <v>100</v>
      </c>
      <c r="P17">
        <v>0</v>
      </c>
      <c r="Q17">
        <v>0</v>
      </c>
      <c r="R17">
        <v>7.3480311368991399E-2</v>
      </c>
      <c r="S17">
        <v>-156.193811627587</v>
      </c>
      <c r="T17">
        <v>0</v>
      </c>
      <c r="U17">
        <v>100</v>
      </c>
      <c r="V17">
        <v>40.441258664628798</v>
      </c>
      <c r="W17">
        <v>269.412645203804</v>
      </c>
      <c r="X17">
        <v>51.938102265120897</v>
      </c>
      <c r="Y17">
        <v>2.7</v>
      </c>
      <c r="Z17">
        <v>766</v>
      </c>
      <c r="AA17">
        <v>0</v>
      </c>
      <c r="AB17">
        <v>0</v>
      </c>
      <c r="AC17">
        <v>170.76704605491599</v>
      </c>
      <c r="AD17">
        <v>111.746794033981</v>
      </c>
      <c r="AE17">
        <v>23.819532573511399</v>
      </c>
      <c r="AF17">
        <v>-87</v>
      </c>
      <c r="AG17">
        <v>1077743.8</v>
      </c>
      <c r="AH17" s="1">
        <v>4.9999999999999998E-7</v>
      </c>
      <c r="AI17">
        <v>4</v>
      </c>
      <c r="AJ17" t="s">
        <v>39</v>
      </c>
      <c r="AK17">
        <f t="shared" si="0"/>
        <v>7.4783151870853925E-5</v>
      </c>
      <c r="AL17" s="1">
        <f t="shared" si="1"/>
        <v>0.3358060224070798</v>
      </c>
      <c r="AM17" s="1">
        <f t="shared" si="2"/>
        <v>7.4785212387364663E-5</v>
      </c>
    </row>
    <row r="18" spans="1:39" x14ac:dyDescent="0.25">
      <c r="A18">
        <v>-125</v>
      </c>
      <c r="B18">
        <v>2.3246377657199901E-2</v>
      </c>
      <c r="C18">
        <v>0.38245310768600799</v>
      </c>
      <c r="D18">
        <v>0.35920673002880799</v>
      </c>
      <c r="E18">
        <v>4.7751852711960099E-2</v>
      </c>
      <c r="F18">
        <v>3.9339271913568898E-3</v>
      </c>
      <c r="G18">
        <v>4.7751852711960099E-2</v>
      </c>
      <c r="H18">
        <v>0.28300615864428003</v>
      </c>
      <c r="I18" s="1">
        <v>9.3164264501626501E-6</v>
      </c>
      <c r="J18">
        <v>0</v>
      </c>
      <c r="K18">
        <v>0</v>
      </c>
      <c r="L18">
        <v>100</v>
      </c>
      <c r="M18">
        <v>0</v>
      </c>
      <c r="N18">
        <v>0</v>
      </c>
      <c r="O18">
        <v>100</v>
      </c>
      <c r="P18">
        <v>0</v>
      </c>
      <c r="Q18">
        <v>0</v>
      </c>
      <c r="R18">
        <v>9.1323320258372198E-2</v>
      </c>
      <c r="S18">
        <v>-132.19579295130501</v>
      </c>
      <c r="T18">
        <v>0</v>
      </c>
      <c r="U18">
        <v>100</v>
      </c>
      <c r="V18">
        <v>42.907552578729899</v>
      </c>
      <c r="W18">
        <v>284.59371598589598</v>
      </c>
      <c r="X18">
        <v>53.1892641343387</v>
      </c>
      <c r="Y18">
        <v>2.8054180298914901</v>
      </c>
      <c r="Z18">
        <v>735.26019597493598</v>
      </c>
      <c r="AA18">
        <v>0</v>
      </c>
      <c r="AB18">
        <v>0</v>
      </c>
      <c r="AC18">
        <v>171.679206076345</v>
      </c>
      <c r="AD18">
        <v>111.918844074123</v>
      </c>
      <c r="AE18">
        <v>25.122190890707301</v>
      </c>
      <c r="AF18">
        <v>-80.554997605407095</v>
      </c>
      <c r="AG18">
        <v>13781048</v>
      </c>
      <c r="AH18">
        <v>4.3944162629130598E-4</v>
      </c>
      <c r="AI18">
        <v>44</v>
      </c>
      <c r="AJ18" t="s">
        <v>39</v>
      </c>
      <c r="AK18">
        <f t="shared" si="0"/>
        <v>6.0782295110241476E-2</v>
      </c>
      <c r="AL18" s="1">
        <f t="shared" si="1"/>
        <v>0.3824437912595578</v>
      </c>
      <c r="AM18" s="1">
        <f t="shared" si="2"/>
        <v>6.0783775782159315E-2</v>
      </c>
    </row>
    <row r="19" spans="1:39" x14ac:dyDescent="0.25">
      <c r="A19">
        <v>-100</v>
      </c>
      <c r="B19">
        <v>0.41783261723829801</v>
      </c>
      <c r="C19">
        <v>0.38259069059886602</v>
      </c>
      <c r="D19">
        <v>-3.5241926639432201E-2</v>
      </c>
      <c r="E19">
        <v>4.8043250683187398E-2</v>
      </c>
      <c r="F19">
        <v>6.6008693491242604E-3</v>
      </c>
      <c r="G19">
        <v>4.8043250683187398E-2</v>
      </c>
      <c r="H19">
        <v>0.27989397514483799</v>
      </c>
      <c r="I19" s="1">
        <v>9.3447385283465801E-6</v>
      </c>
      <c r="J19">
        <v>0</v>
      </c>
      <c r="K19">
        <v>1.6684944488430999</v>
      </c>
      <c r="L19">
        <v>98.3198549909348</v>
      </c>
      <c r="M19">
        <v>0</v>
      </c>
      <c r="N19">
        <v>0</v>
      </c>
      <c r="O19">
        <v>100</v>
      </c>
      <c r="P19">
        <v>0</v>
      </c>
      <c r="Q19">
        <v>0</v>
      </c>
      <c r="R19">
        <v>0.21201974449109501</v>
      </c>
      <c r="S19">
        <v>-108.385750293556</v>
      </c>
      <c r="T19">
        <v>1.54340903719357E-2</v>
      </c>
      <c r="U19">
        <v>100</v>
      </c>
      <c r="V19">
        <v>44.674983772035901</v>
      </c>
      <c r="W19">
        <v>293.724478050225</v>
      </c>
      <c r="X19">
        <v>53.866982517562597</v>
      </c>
      <c r="Y19">
        <v>2.9534008807316798</v>
      </c>
      <c r="Z19">
        <v>769.54684663726005</v>
      </c>
      <c r="AA19">
        <v>0</v>
      </c>
      <c r="AB19">
        <v>0</v>
      </c>
      <c r="AC19">
        <v>171.601079741213</v>
      </c>
      <c r="AD19">
        <v>111.892438267919</v>
      </c>
      <c r="AE19">
        <v>24.824266029786902</v>
      </c>
      <c r="AF19">
        <v>-65.952528653580799</v>
      </c>
      <c r="AG19">
        <v>281392352.60000002</v>
      </c>
      <c r="AH19">
        <v>5.8771275156833801E-2</v>
      </c>
      <c r="AI19">
        <v>395</v>
      </c>
      <c r="AJ19" t="s">
        <v>39</v>
      </c>
      <c r="AK19">
        <f t="shared" si="0"/>
        <v>1.0921139157470563</v>
      </c>
      <c r="AL19" s="1">
        <f t="shared" si="1"/>
        <v>0.38258134586033765</v>
      </c>
      <c r="AM19" s="1">
        <f t="shared" si="2"/>
        <v>1.0921405911694109</v>
      </c>
    </row>
    <row r="20" spans="1:39" x14ac:dyDescent="0.25">
      <c r="A20">
        <v>-75</v>
      </c>
      <c r="B20">
        <v>0.32368637647867199</v>
      </c>
      <c r="C20">
        <v>0.41868470085909598</v>
      </c>
      <c r="D20">
        <v>9.4998324380424201E-2</v>
      </c>
      <c r="E20">
        <v>4.8202770361085799E-2</v>
      </c>
      <c r="F20">
        <v>6.8110846514980797E-3</v>
      </c>
      <c r="G20">
        <v>4.8202770361085799E-2</v>
      </c>
      <c r="H20">
        <v>0.31506061982425099</v>
      </c>
      <c r="I20">
        <v>4.0745566117510602E-4</v>
      </c>
      <c r="J20">
        <v>0</v>
      </c>
      <c r="K20">
        <v>2.3600483871311702</v>
      </c>
      <c r="L20">
        <v>97.582110329881402</v>
      </c>
      <c r="M20">
        <v>0</v>
      </c>
      <c r="N20">
        <v>0</v>
      </c>
      <c r="O20">
        <v>100</v>
      </c>
      <c r="P20">
        <v>0</v>
      </c>
      <c r="Q20">
        <v>0</v>
      </c>
      <c r="R20">
        <v>0.248622025927587</v>
      </c>
      <c r="S20">
        <v>-83.134520101516998</v>
      </c>
      <c r="T20">
        <v>0.27779228455364702</v>
      </c>
      <c r="U20">
        <v>100</v>
      </c>
      <c r="V20">
        <v>42.147317394139698</v>
      </c>
      <c r="W20">
        <v>309.56788386290702</v>
      </c>
      <c r="X20">
        <v>54.232836626970602</v>
      </c>
      <c r="Y20">
        <v>3.1815273099826999</v>
      </c>
      <c r="Z20">
        <v>769.45587761162597</v>
      </c>
      <c r="AA20">
        <v>0</v>
      </c>
      <c r="AB20">
        <v>0</v>
      </c>
      <c r="AC20">
        <v>172.288225388721</v>
      </c>
      <c r="AD20">
        <v>111.936865116116</v>
      </c>
      <c r="AE20">
        <v>25.060920410891899</v>
      </c>
      <c r="AF20">
        <v>-43.843094606008599</v>
      </c>
      <c r="AG20">
        <v>3772554015.4000001</v>
      </c>
      <c r="AH20">
        <v>2.43005355375597E-2</v>
      </c>
      <c r="AI20">
        <v>1315</v>
      </c>
      <c r="AJ20" t="s">
        <v>39</v>
      </c>
      <c r="AK20">
        <f t="shared" si="0"/>
        <v>0.77310294790925571</v>
      </c>
      <c r="AL20" s="1">
        <f t="shared" si="1"/>
        <v>0.41827724519792087</v>
      </c>
      <c r="AM20" s="1">
        <f t="shared" si="2"/>
        <v>0.77385604929455276</v>
      </c>
    </row>
    <row r="21" spans="1:39" x14ac:dyDescent="0.25">
      <c r="A21">
        <v>-50</v>
      </c>
      <c r="B21">
        <v>0.53050658914147897</v>
      </c>
      <c r="C21">
        <v>0.51328412995971195</v>
      </c>
      <c r="D21">
        <v>-1.7222459181767201E-2</v>
      </c>
      <c r="E21">
        <v>4.86900383779591E-2</v>
      </c>
      <c r="F21">
        <v>7.6001266732029296E-3</v>
      </c>
      <c r="G21">
        <v>4.86900383779591E-2</v>
      </c>
      <c r="H21">
        <v>0.36851971994157701</v>
      </c>
      <c r="I21">
        <v>3.9784206589013403E-2</v>
      </c>
      <c r="J21">
        <v>0</v>
      </c>
      <c r="K21">
        <v>2.5118534854610099</v>
      </c>
      <c r="L21">
        <v>97.405721529927007</v>
      </c>
      <c r="M21">
        <v>0</v>
      </c>
      <c r="N21">
        <v>0</v>
      </c>
      <c r="O21">
        <v>100</v>
      </c>
      <c r="P21">
        <v>0</v>
      </c>
      <c r="Q21">
        <v>0</v>
      </c>
      <c r="R21">
        <v>0.28562820008374701</v>
      </c>
      <c r="S21">
        <v>-59.776179513573901</v>
      </c>
      <c r="T21">
        <v>46.833717609698098</v>
      </c>
      <c r="U21">
        <v>99.992258913234394</v>
      </c>
      <c r="V21">
        <v>41.859288288115103</v>
      </c>
      <c r="W21">
        <v>300.20269378959</v>
      </c>
      <c r="X21">
        <v>55.329363920803097</v>
      </c>
      <c r="Y21">
        <v>3.36017399907661</v>
      </c>
      <c r="Z21">
        <v>768.70611834526801</v>
      </c>
      <c r="AA21">
        <v>0</v>
      </c>
      <c r="AB21">
        <v>0</v>
      </c>
      <c r="AC21">
        <v>172.84143645581901</v>
      </c>
      <c r="AD21">
        <v>112.065086077865</v>
      </c>
      <c r="AE21">
        <v>26.205670493956099</v>
      </c>
      <c r="AF21">
        <v>-29.386804527718599</v>
      </c>
      <c r="AG21">
        <v>30747889438</v>
      </c>
      <c r="AH21">
        <v>5.4110872622362999E-2</v>
      </c>
      <c r="AI21">
        <v>3700</v>
      </c>
      <c r="AJ21" t="s">
        <v>39</v>
      </c>
      <c r="AK21">
        <f t="shared" si="0"/>
        <v>1.0335534612829718</v>
      </c>
      <c r="AL21" s="1">
        <f t="shared" si="1"/>
        <v>0.47349992337069857</v>
      </c>
      <c r="AM21" s="1">
        <f t="shared" si="2"/>
        <v>1.1203942449767841</v>
      </c>
    </row>
    <row r="22" spans="1:39" x14ac:dyDescent="0.25">
      <c r="A22">
        <v>-25</v>
      </c>
      <c r="B22">
        <v>0.63285909718731304</v>
      </c>
      <c r="C22">
        <v>0.64393476914752801</v>
      </c>
      <c r="D22">
        <v>1.10756719602144E-2</v>
      </c>
      <c r="E22">
        <v>4.8962475084876902E-2</v>
      </c>
      <c r="F22">
        <v>8.1458060345674394E-3</v>
      </c>
      <c r="G22">
        <v>4.8962475084876902E-2</v>
      </c>
      <c r="H22">
        <v>0.42568387060075502</v>
      </c>
      <c r="I22">
        <v>0.11218014234245199</v>
      </c>
      <c r="J22">
        <v>0</v>
      </c>
      <c r="K22">
        <v>2.5375988946930002</v>
      </c>
      <c r="L22">
        <v>97.380204543752896</v>
      </c>
      <c r="M22">
        <v>0</v>
      </c>
      <c r="N22">
        <v>0</v>
      </c>
      <c r="O22">
        <v>100</v>
      </c>
      <c r="P22">
        <v>0</v>
      </c>
      <c r="Q22">
        <v>0</v>
      </c>
      <c r="R22">
        <v>0.30631897688780002</v>
      </c>
      <c r="S22">
        <v>-36.372317116478001</v>
      </c>
      <c r="T22">
        <v>172.37560513770299</v>
      </c>
      <c r="U22">
        <v>99.995431143325902</v>
      </c>
      <c r="V22">
        <v>42.250051272134797</v>
      </c>
      <c r="W22">
        <v>295.89538141550202</v>
      </c>
      <c r="X22">
        <v>55.941981468253303</v>
      </c>
      <c r="Y22">
        <v>3.5081001582446598</v>
      </c>
      <c r="Z22">
        <v>765.88904839004101</v>
      </c>
      <c r="AA22">
        <v>0</v>
      </c>
      <c r="AB22">
        <v>0</v>
      </c>
      <c r="AC22">
        <v>173.49400218534399</v>
      </c>
      <c r="AD22">
        <v>112.23851298016299</v>
      </c>
      <c r="AE22">
        <v>29.503567331020601</v>
      </c>
      <c r="AF22">
        <v>-19.718310699619298</v>
      </c>
      <c r="AG22">
        <v>81614484016.5</v>
      </c>
      <c r="AH22">
        <v>4.7259863365358597E-2</v>
      </c>
      <c r="AI22">
        <v>8804</v>
      </c>
      <c r="AJ22" t="s">
        <v>39</v>
      </c>
      <c r="AK22">
        <f t="shared" si="0"/>
        <v>0.98280000942505796</v>
      </c>
      <c r="AL22" s="1">
        <f t="shared" si="1"/>
        <v>0.53175462680507601</v>
      </c>
      <c r="AM22" s="1">
        <f t="shared" si="2"/>
        <v>1.1901336919054184</v>
      </c>
    </row>
    <row r="23" spans="1:39" x14ac:dyDescent="0.25">
      <c r="A23">
        <v>0</v>
      </c>
      <c r="B23">
        <v>0.73054862974155699</v>
      </c>
      <c r="C23">
        <v>0.72938516494847805</v>
      </c>
      <c r="D23">
        <v>-1.16346479307839E-3</v>
      </c>
      <c r="E23">
        <v>4.9499340934927E-2</v>
      </c>
      <c r="F23">
        <v>1.00860402673716E-2</v>
      </c>
      <c r="G23">
        <v>4.9499340934927E-2</v>
      </c>
      <c r="H23">
        <v>0.44061187203042201</v>
      </c>
      <c r="I23">
        <v>0.179688570780831</v>
      </c>
      <c r="J23">
        <v>0</v>
      </c>
      <c r="K23">
        <v>2.5901102883787499</v>
      </c>
      <c r="L23">
        <v>97.3305073439588</v>
      </c>
      <c r="M23">
        <v>0</v>
      </c>
      <c r="N23">
        <v>0</v>
      </c>
      <c r="O23">
        <v>100</v>
      </c>
      <c r="P23">
        <v>0</v>
      </c>
      <c r="Q23">
        <v>0</v>
      </c>
      <c r="R23">
        <v>0.36556006300216198</v>
      </c>
      <c r="S23">
        <v>-14.3246144505926</v>
      </c>
      <c r="T23">
        <v>552.38303298514404</v>
      </c>
      <c r="U23">
        <v>99.997434141134406</v>
      </c>
      <c r="V23">
        <v>43.504131235104097</v>
      </c>
      <c r="W23">
        <v>285.87705409010198</v>
      </c>
      <c r="X23">
        <v>57.184045406201101</v>
      </c>
      <c r="Y23">
        <v>3.7099847650700202</v>
      </c>
      <c r="Z23">
        <v>761.26784178636899</v>
      </c>
      <c r="AA23">
        <v>0</v>
      </c>
      <c r="AB23">
        <v>0</v>
      </c>
      <c r="AC23">
        <v>172.14762326661599</v>
      </c>
      <c r="AD23">
        <v>112.142330607048</v>
      </c>
      <c r="AE23">
        <v>30.7281822166143</v>
      </c>
      <c r="AF23">
        <v>-11.927245127791799</v>
      </c>
      <c r="AG23">
        <v>88113178410.300003</v>
      </c>
      <c r="AH23">
        <v>5.55738540325608E-2</v>
      </c>
      <c r="AI23">
        <v>12305</v>
      </c>
      <c r="AJ23" t="s">
        <v>39</v>
      </c>
      <c r="AK23">
        <f t="shared" si="0"/>
        <v>1.0015951308704794</v>
      </c>
      <c r="AL23" s="1">
        <f t="shared" si="1"/>
        <v>0.54969659416764705</v>
      </c>
      <c r="AM23" s="1">
        <f t="shared" si="2"/>
        <v>1.3290033765767766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"/>
  <sheetViews>
    <sheetView tabSelected="1" workbookViewId="0">
      <selection activeCell="N35" sqref="N35"/>
    </sheetView>
  </sheetViews>
  <sheetFormatPr defaultRowHeight="15" x14ac:dyDescent="0.25"/>
  <cols>
    <col min="2" max="2" width="15.85546875" style="14" bestFit="1" customWidth="1"/>
    <col min="8" max="8" width="15.85546875" style="14" bestFit="1" customWidth="1"/>
    <col min="14" max="14" width="15.85546875" style="14" bestFit="1" customWidth="1"/>
  </cols>
  <sheetData>
    <row r="1" spans="1:19" x14ac:dyDescent="0.25">
      <c r="A1" t="s">
        <v>40</v>
      </c>
      <c r="B1" s="14" t="s">
        <v>44</v>
      </c>
      <c r="C1" t="s">
        <v>45</v>
      </c>
      <c r="D1" t="s">
        <v>46</v>
      </c>
      <c r="E1" t="s">
        <v>50</v>
      </c>
      <c r="F1" t="s">
        <v>47</v>
      </c>
      <c r="G1" t="s">
        <v>48</v>
      </c>
      <c r="H1" s="14" t="s">
        <v>44</v>
      </c>
      <c r="I1" t="s">
        <v>45</v>
      </c>
      <c r="J1" t="s">
        <v>46</v>
      </c>
      <c r="K1" t="s">
        <v>50</v>
      </c>
      <c r="L1" t="s">
        <v>47</v>
      </c>
      <c r="M1" t="s">
        <v>48</v>
      </c>
      <c r="N1" s="14" t="s">
        <v>44</v>
      </c>
      <c r="O1" t="s">
        <v>45</v>
      </c>
      <c r="P1" t="s">
        <v>46</v>
      </c>
      <c r="Q1" t="s">
        <v>50</v>
      </c>
      <c r="R1" t="s">
        <v>47</v>
      </c>
      <c r="S1" t="s">
        <v>48</v>
      </c>
    </row>
    <row r="2" spans="1:19" x14ac:dyDescent="0.25">
      <c r="A2">
        <v>-175</v>
      </c>
      <c r="B2" s="14">
        <v>777069.3</v>
      </c>
      <c r="C2">
        <v>2.79695E-4</v>
      </c>
      <c r="D2">
        <v>0.45549392500000002</v>
      </c>
      <c r="E2">
        <v>0.45548640500000004</v>
      </c>
      <c r="F2">
        <v>6.1404770656381413E-4</v>
      </c>
      <c r="G2">
        <v>6.1405784438286354E-4</v>
      </c>
    </row>
    <row r="3" spans="1:19" x14ac:dyDescent="0.25">
      <c r="A3">
        <v>-150</v>
      </c>
      <c r="B3" s="14">
        <v>2959049.4</v>
      </c>
      <c r="C3">
        <v>9.0465621560000002</v>
      </c>
      <c r="D3">
        <v>0.44419634800000002</v>
      </c>
      <c r="E3">
        <v>0.44418790800000002</v>
      </c>
      <c r="F3">
        <v>20.366133572984712</v>
      </c>
      <c r="G3">
        <v>20.366520549226657</v>
      </c>
      <c r="H3" s="14">
        <v>1077743.8</v>
      </c>
      <c r="I3">
        <v>2.5113324706669601E-5</v>
      </c>
      <c r="J3">
        <v>0.33581527494373098</v>
      </c>
      <c r="K3">
        <v>0.3358060224070798</v>
      </c>
      <c r="L3">
        <v>7.4783151870853925E-5</v>
      </c>
      <c r="M3">
        <v>7.4785212387364663E-5</v>
      </c>
      <c r="N3" s="14">
        <v>362036.9</v>
      </c>
      <c r="O3">
        <v>0.29680000000000001</v>
      </c>
      <c r="P3">
        <v>0.33397688538980203</v>
      </c>
      <c r="Q3">
        <v>0.33396566736851335</v>
      </c>
      <c r="R3">
        <v>0.88868425625800151</v>
      </c>
      <c r="S3">
        <v>0.88871410746691215</v>
      </c>
    </row>
    <row r="4" spans="1:19" x14ac:dyDescent="0.25">
      <c r="A4">
        <v>-125</v>
      </c>
      <c r="B4" s="14">
        <v>30914483.5</v>
      </c>
      <c r="C4">
        <v>1.31549761</v>
      </c>
      <c r="D4">
        <v>0.41287460100000001</v>
      </c>
      <c r="E4">
        <v>0.41286572100000002</v>
      </c>
      <c r="F4">
        <v>3.1861916591958148</v>
      </c>
      <c r="G4">
        <v>3.1862601884548316</v>
      </c>
      <c r="H4" s="14">
        <v>13781048</v>
      </c>
      <c r="I4">
        <v>2.3246377657199901E-2</v>
      </c>
      <c r="J4">
        <v>0.38245310768600799</v>
      </c>
      <c r="K4">
        <v>0.3824437912595578</v>
      </c>
      <c r="L4">
        <v>6.0782295110241476E-2</v>
      </c>
      <c r="M4">
        <v>6.0783775782159315E-2</v>
      </c>
      <c r="N4" s="14">
        <v>28153997.699999999</v>
      </c>
      <c r="O4">
        <v>2.1811383899843099E-2</v>
      </c>
      <c r="P4">
        <v>0.36291744502148598</v>
      </c>
      <c r="Q4">
        <v>0.36290742417097871</v>
      </c>
      <c r="R4">
        <v>6.010012524625756E-2</v>
      </c>
      <c r="S4">
        <v>6.0101784772435447E-2</v>
      </c>
    </row>
    <row r="5" spans="1:19" x14ac:dyDescent="0.25">
      <c r="A5">
        <v>-100</v>
      </c>
      <c r="B5" s="14">
        <v>343658777.60000002</v>
      </c>
      <c r="C5">
        <v>0.22148896700000001</v>
      </c>
      <c r="D5">
        <v>0.42095698500000001</v>
      </c>
      <c r="E5">
        <v>0.42094741499999999</v>
      </c>
      <c r="F5">
        <v>0.52615581850958004</v>
      </c>
      <c r="G5">
        <v>0.52616778036278</v>
      </c>
      <c r="H5" s="14">
        <v>281392352.60000002</v>
      </c>
      <c r="I5">
        <v>0.41783261723829801</v>
      </c>
      <c r="J5">
        <v>0.38259069059886602</v>
      </c>
      <c r="K5">
        <v>0.38258134586033765</v>
      </c>
      <c r="L5">
        <v>1.0921139157470563</v>
      </c>
      <c r="M5">
        <v>1.0921405911694109</v>
      </c>
      <c r="N5" s="14">
        <v>783579364.10000002</v>
      </c>
      <c r="O5">
        <v>0.33472617015295397</v>
      </c>
      <c r="P5">
        <v>0.37270995345840202</v>
      </c>
      <c r="Q5">
        <v>0.37270053423610838</v>
      </c>
      <c r="R5">
        <v>0.89808755319520228</v>
      </c>
      <c r="S5">
        <v>0.89811025046962401</v>
      </c>
    </row>
    <row r="6" spans="1:19" x14ac:dyDescent="0.25">
      <c r="A6">
        <v>-75</v>
      </c>
      <c r="B6" s="14">
        <v>5750451076</v>
      </c>
      <c r="C6">
        <v>0.45947524299999998</v>
      </c>
      <c r="D6">
        <v>0.45800509299999997</v>
      </c>
      <c r="E6">
        <v>0.45763157499999996</v>
      </c>
      <c r="F6">
        <v>1.0032098988034617</v>
      </c>
      <c r="G6">
        <v>1.0040287167685054</v>
      </c>
      <c r="H6" s="14">
        <v>3772554015.4000001</v>
      </c>
      <c r="I6">
        <v>0.32368637647867199</v>
      </c>
      <c r="J6">
        <v>0.41868470085909598</v>
      </c>
      <c r="K6">
        <v>0.41827724519792087</v>
      </c>
      <c r="L6">
        <v>0.77310294790925571</v>
      </c>
      <c r="M6">
        <v>0.77385604929455276</v>
      </c>
      <c r="N6" s="14">
        <v>12959301108.4</v>
      </c>
      <c r="O6">
        <v>0.38310563172793699</v>
      </c>
      <c r="P6">
        <v>0.41062465816499599</v>
      </c>
      <c r="Q6">
        <v>0.41023875803872639</v>
      </c>
      <c r="R6">
        <v>0.93298252822897598</v>
      </c>
      <c r="S6">
        <v>0.93386015879994444</v>
      </c>
    </row>
    <row r="7" spans="1:19" x14ac:dyDescent="0.25">
      <c r="A7">
        <v>-50</v>
      </c>
      <c r="B7" s="14">
        <v>46164851522</v>
      </c>
      <c r="C7">
        <v>0.56692181600000002</v>
      </c>
      <c r="D7">
        <v>0.55583280199999996</v>
      </c>
      <c r="E7">
        <v>0.51501232099999994</v>
      </c>
      <c r="F7">
        <v>1.0199502691458646</v>
      </c>
      <c r="G7">
        <v>1.1007927245297886</v>
      </c>
      <c r="H7" s="14">
        <v>30747889438</v>
      </c>
      <c r="I7">
        <v>0.53050658914147897</v>
      </c>
      <c r="J7">
        <v>0.51328412995971195</v>
      </c>
      <c r="K7">
        <v>0.47349992337069857</v>
      </c>
      <c r="L7">
        <v>1.0335534612829718</v>
      </c>
      <c r="M7">
        <v>1.1203942449767841</v>
      </c>
      <c r="N7" s="14">
        <v>101606875540.89999</v>
      </c>
      <c r="O7">
        <v>0.53620367230599397</v>
      </c>
      <c r="P7">
        <v>0.50304655790641895</v>
      </c>
      <c r="Q7">
        <v>0.46248215049030184</v>
      </c>
      <c r="R7">
        <v>1.0659126155987797</v>
      </c>
      <c r="S7">
        <v>1.1594040369720995</v>
      </c>
    </row>
    <row r="8" spans="1:19" x14ac:dyDescent="0.25">
      <c r="A8">
        <v>-25</v>
      </c>
      <c r="B8" s="14">
        <v>120917000000</v>
      </c>
      <c r="C8">
        <v>0.70498400400000005</v>
      </c>
      <c r="D8">
        <v>0.69120536399999999</v>
      </c>
      <c r="E8">
        <v>0.57671427899999994</v>
      </c>
      <c r="F8">
        <v>1.0199342203021446</v>
      </c>
      <c r="G8">
        <v>1.2224146855222915</v>
      </c>
      <c r="H8" s="14">
        <v>81614484016.5</v>
      </c>
      <c r="I8">
        <v>0.63285909718731304</v>
      </c>
      <c r="J8">
        <v>0.64393476914752801</v>
      </c>
      <c r="K8">
        <v>0.53175462680507601</v>
      </c>
      <c r="L8">
        <v>0.98280000942505796</v>
      </c>
      <c r="M8">
        <v>1.1901336919054184</v>
      </c>
      <c r="N8" s="14">
        <v>250386439257.20001</v>
      </c>
      <c r="O8">
        <v>0.62177460436394905</v>
      </c>
      <c r="P8">
        <v>0.63265181704639495</v>
      </c>
      <c r="Q8">
        <v>0.51952119632317695</v>
      </c>
      <c r="R8">
        <v>0.98280695259324891</v>
      </c>
      <c r="S8">
        <v>1.1968223987095294</v>
      </c>
    </row>
    <row r="9" spans="1:19" x14ac:dyDescent="0.25">
      <c r="A9">
        <v>0</v>
      </c>
      <c r="B9" s="14">
        <v>113699000000</v>
      </c>
      <c r="C9">
        <v>0.75945501100000001</v>
      </c>
      <c r="D9">
        <v>0.77606509999999995</v>
      </c>
      <c r="E9">
        <v>0.5951098239999999</v>
      </c>
      <c r="F9">
        <v>0.97859704166570571</v>
      </c>
      <c r="G9">
        <v>1.2761594253231487</v>
      </c>
      <c r="H9" s="14">
        <v>88113178410.300003</v>
      </c>
      <c r="I9">
        <v>0.73054862974155699</v>
      </c>
      <c r="J9">
        <v>0.72938516494847805</v>
      </c>
      <c r="K9">
        <v>0.54969659416764705</v>
      </c>
      <c r="L9">
        <v>1.0015951308704794</v>
      </c>
      <c r="M9">
        <v>1.3290033765767766</v>
      </c>
      <c r="N9" s="14">
        <v>244239356948.20001</v>
      </c>
      <c r="O9">
        <v>0.70556136119131896</v>
      </c>
      <c r="P9">
        <v>0.71354242625617903</v>
      </c>
      <c r="Q9">
        <v>0.53706376819228696</v>
      </c>
      <c r="R9">
        <v>0.98881486962627407</v>
      </c>
      <c r="S9">
        <v>1.3137385222730278</v>
      </c>
    </row>
    <row r="10" spans="1:19" x14ac:dyDescent="0.25">
      <c r="C10" t="s">
        <v>51</v>
      </c>
      <c r="D10" t="s">
        <v>52</v>
      </c>
      <c r="E10" t="s">
        <v>53</v>
      </c>
      <c r="I10" t="s">
        <v>51</v>
      </c>
      <c r="J10" t="s">
        <v>52</v>
      </c>
      <c r="K10" t="s">
        <v>53</v>
      </c>
      <c r="O10" t="s">
        <v>51</v>
      </c>
      <c r="P10" t="s">
        <v>52</v>
      </c>
      <c r="Q10" t="s">
        <v>53</v>
      </c>
    </row>
    <row r="11" spans="1:19" x14ac:dyDescent="0.25">
      <c r="A11">
        <v>-175</v>
      </c>
      <c r="C11">
        <f t="shared" ref="C11:D18" si="0">100*(1-(1-C2/100)^12)</f>
        <v>3.3562883691939938E-3</v>
      </c>
      <c r="D11">
        <f t="shared" si="0"/>
        <v>5.3310517108432709</v>
      </c>
      <c r="I11">
        <f t="shared" ref="I11" si="1">100*(1-(1-I2/100)^12)</f>
        <v>0</v>
      </c>
      <c r="O11">
        <f t="shared" ref="O11:P18" si="2">100*(1-(1-O2/100)^12)</f>
        <v>0</v>
      </c>
    </row>
    <row r="12" spans="1:19" x14ac:dyDescent="0.25">
      <c r="A12">
        <v>-150</v>
      </c>
      <c r="C12">
        <f t="shared" si="0"/>
        <v>67.949897021475834</v>
      </c>
      <c r="D12">
        <f t="shared" si="0"/>
        <v>5.2020403603923349</v>
      </c>
      <c r="E12">
        <f t="shared" ref="E12:E18" si="3">C3/D3</f>
        <v>20.366133572984712</v>
      </c>
      <c r="I12">
        <f t="shared" ref="I12" si="4">100*(1-(1-I3/100)^12)</f>
        <v>3.0135948027032455E-4</v>
      </c>
      <c r="J12">
        <f>100*(1-(1-J3/100)^12)</f>
        <v>3.9561807361663259</v>
      </c>
      <c r="K12">
        <f t="shared" ref="K12:K18" si="5">I3/J3</f>
        <v>7.4783151870853925E-5</v>
      </c>
      <c r="O12">
        <f t="shared" si="2"/>
        <v>3.5040318126631664</v>
      </c>
      <c r="P12">
        <f>100*(1-(1-P3/100)^12)</f>
        <v>3.9349192727470061</v>
      </c>
      <c r="Q12">
        <f t="shared" ref="Q12:Q18" si="6">O3/P3</f>
        <v>0.88868425625800151</v>
      </c>
    </row>
    <row r="13" spans="1:19" x14ac:dyDescent="0.25">
      <c r="A13">
        <v>-125</v>
      </c>
      <c r="C13">
        <f t="shared" si="0"/>
        <v>14.692450525371347</v>
      </c>
      <c r="D13">
        <f t="shared" si="0"/>
        <v>4.8435221134409563</v>
      </c>
      <c r="E13">
        <f t="shared" si="3"/>
        <v>3.1861916591958148</v>
      </c>
      <c r="I13">
        <f t="shared" ref="I13:J13" si="7">100*(1-(1-I4/100)^12)</f>
        <v>0.27860014802152389</v>
      </c>
      <c r="J13">
        <f t="shared" si="7"/>
        <v>4.4941190300383571</v>
      </c>
      <c r="K13">
        <f t="shared" si="5"/>
        <v>6.0782295110241476E-2</v>
      </c>
      <c r="O13">
        <f t="shared" si="2"/>
        <v>0.26142284889978384</v>
      </c>
      <c r="P13">
        <f t="shared" si="2"/>
        <v>4.269124404987612</v>
      </c>
      <c r="Q13">
        <f t="shared" si="6"/>
        <v>6.010012524625756E-2</v>
      </c>
    </row>
    <row r="14" spans="1:19" x14ac:dyDescent="0.25">
      <c r="A14">
        <v>-100</v>
      </c>
      <c r="C14">
        <f t="shared" si="0"/>
        <v>2.6257276022997766</v>
      </c>
      <c r="D14">
        <f t="shared" si="0"/>
        <v>4.9361543265023844</v>
      </c>
      <c r="E14">
        <f t="shared" si="3"/>
        <v>0.52615581850958004</v>
      </c>
      <c r="I14">
        <f t="shared" ref="I14:J14" si="8">100*(1-(1-I5/100)^12)</f>
        <v>4.9003557489049721</v>
      </c>
      <c r="J14">
        <f t="shared" si="8"/>
        <v>4.4957018689533168</v>
      </c>
      <c r="K14">
        <f t="shared" si="5"/>
        <v>1.0921139157470563</v>
      </c>
      <c r="O14">
        <f t="shared" si="2"/>
        <v>3.9435854708512186</v>
      </c>
      <c r="P14">
        <f t="shared" si="2"/>
        <v>4.3819665894080924</v>
      </c>
      <c r="Q14">
        <f t="shared" si="6"/>
        <v>0.89808755319520228</v>
      </c>
    </row>
    <row r="15" spans="1:19" x14ac:dyDescent="0.25">
      <c r="A15">
        <v>-75</v>
      </c>
      <c r="C15">
        <f t="shared" si="0"/>
        <v>5.376477537399083</v>
      </c>
      <c r="D15">
        <f t="shared" si="0"/>
        <v>5.3597058268678328</v>
      </c>
      <c r="E15">
        <f t="shared" si="3"/>
        <v>1.0032098988034617</v>
      </c>
      <c r="I15">
        <f t="shared" ref="I15:J15" si="9">100*(1-(1-I6/100)^12)</f>
        <v>3.8158271156958135</v>
      </c>
      <c r="J15">
        <f t="shared" si="9"/>
        <v>4.910120031560183</v>
      </c>
      <c r="K15">
        <f t="shared" si="5"/>
        <v>0.77310294790925571</v>
      </c>
      <c r="O15">
        <f t="shared" si="2"/>
        <v>4.5016258567328276</v>
      </c>
      <c r="P15">
        <f t="shared" si="2"/>
        <v>4.8177207974098524</v>
      </c>
      <c r="Q15">
        <f t="shared" si="6"/>
        <v>0.93298252822897598</v>
      </c>
    </row>
    <row r="16" spans="1:19" x14ac:dyDescent="0.25">
      <c r="A16">
        <v>-50</v>
      </c>
      <c r="C16">
        <f t="shared" si="0"/>
        <v>6.594895487241792</v>
      </c>
      <c r="D16">
        <f t="shared" si="0"/>
        <v>6.4698176663926743</v>
      </c>
      <c r="E16">
        <f t="shared" si="3"/>
        <v>1.0199502691458646</v>
      </c>
      <c r="I16">
        <f t="shared" ref="I16:J16" si="10">100*(1-(1-I7/100)^12)</f>
        <v>6.1835763087160096</v>
      </c>
      <c r="J16">
        <f t="shared" si="10"/>
        <v>5.9884665497602523</v>
      </c>
      <c r="K16">
        <f t="shared" si="5"/>
        <v>1.0335534612829718</v>
      </c>
      <c r="O16">
        <f t="shared" si="2"/>
        <v>6.2480356658348501</v>
      </c>
      <c r="P16">
        <f t="shared" si="2"/>
        <v>5.8723109711754651</v>
      </c>
      <c r="Q16">
        <f t="shared" si="6"/>
        <v>1.0659126155987797</v>
      </c>
    </row>
    <row r="17" spans="1:17" x14ac:dyDescent="0.25">
      <c r="A17">
        <v>-25</v>
      </c>
      <c r="C17">
        <f t="shared" si="0"/>
        <v>8.1393738639914055</v>
      </c>
      <c r="D17">
        <f t="shared" si="0"/>
        <v>7.9862929546487322</v>
      </c>
      <c r="E17">
        <f t="shared" si="3"/>
        <v>1.0199342203021446</v>
      </c>
      <c r="I17">
        <f t="shared" ref="I17:J17" si="11">100*(1-(1-I8/100)^12)</f>
        <v>7.3354698112626293</v>
      </c>
      <c r="J17">
        <f t="shared" si="11"/>
        <v>7.4593368745609512</v>
      </c>
      <c r="K17">
        <f t="shared" si="5"/>
        <v>0.98280000942505796</v>
      </c>
      <c r="O17">
        <f t="shared" si="2"/>
        <v>7.2113519519093838</v>
      </c>
      <c r="P17">
        <f t="shared" si="2"/>
        <v>7.3331502029408968</v>
      </c>
      <c r="Q17">
        <f t="shared" si="6"/>
        <v>0.98280695259324891</v>
      </c>
    </row>
    <row r="18" spans="1:17" x14ac:dyDescent="0.25">
      <c r="A18">
        <v>0</v>
      </c>
      <c r="C18">
        <f t="shared" si="0"/>
        <v>8.7422646937193367</v>
      </c>
      <c r="D18">
        <f t="shared" si="0"/>
        <v>8.9253839445320615</v>
      </c>
      <c r="E18">
        <f t="shared" si="3"/>
        <v>0.97859704166570571</v>
      </c>
      <c r="I18">
        <f t="shared" ref="I18:J18" si="12">100*(1-(1-I9/100)^12)</f>
        <v>8.4227790229441055</v>
      </c>
      <c r="J18">
        <f t="shared" si="12"/>
        <v>8.4098984753732111</v>
      </c>
      <c r="K18">
        <f t="shared" si="5"/>
        <v>1.0015951308704794</v>
      </c>
      <c r="O18">
        <f t="shared" si="2"/>
        <v>8.145783212516033</v>
      </c>
      <c r="P18">
        <f t="shared" si="2"/>
        <v>8.2343404964237195</v>
      </c>
      <c r="Q18">
        <f t="shared" si="6"/>
        <v>0.98881486962627407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Tracking_aggData_by_incentive_n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2018-04-24T17:00:00Z</dcterms:created>
  <dcterms:modified xsi:type="dcterms:W3CDTF">2018-04-25T16:35:36Z</dcterms:modified>
</cp:coreProperties>
</file>