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2265" windowWidth="26745" windowHeight="14415" activeTab="2"/>
  </bookViews>
  <sheets>
    <sheet name="Sheet1" sheetId="2" r:id="rId1"/>
    <sheet name="Tracking_aggData_by_incentive_n" sheetId="1" r:id="rId2"/>
    <sheet name="Sheet2" sheetId="3" r:id="rId3"/>
  </sheet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P18" i="3" l="1"/>
  <c r="P17" i="3"/>
  <c r="P16" i="3"/>
  <c r="P15" i="3"/>
  <c r="P14" i="3"/>
  <c r="P13" i="3"/>
  <c r="P12" i="3"/>
  <c r="D18" i="3"/>
  <c r="D17" i="3"/>
  <c r="D16" i="3"/>
  <c r="D15" i="3"/>
  <c r="D14" i="3"/>
  <c r="D13" i="3"/>
  <c r="D12" i="3"/>
  <c r="D11" i="3"/>
  <c r="I18" i="3"/>
  <c r="I17" i="3"/>
  <c r="I16" i="3"/>
  <c r="I15" i="3"/>
  <c r="I14" i="3"/>
  <c r="I13" i="3"/>
  <c r="I12" i="3"/>
  <c r="I11" i="3"/>
  <c r="O18" i="3"/>
  <c r="O17" i="3"/>
  <c r="O16" i="3"/>
  <c r="O15" i="3"/>
  <c r="O14" i="3"/>
  <c r="O13" i="3"/>
  <c r="O12" i="3"/>
  <c r="O11" i="3"/>
  <c r="C12" i="3"/>
  <c r="C13" i="3"/>
  <c r="C14" i="3"/>
  <c r="C15" i="3"/>
  <c r="C16" i="3"/>
  <c r="C17" i="3"/>
  <c r="C18" i="3"/>
  <c r="C11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<sst xmlns="http://schemas.openxmlformats.org/spreadsheetml/2006/main" count="104" uniqueCount="51">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</sst>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73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7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6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5.3764775333525634</c:v>
                </c:pt>
                <c:pt idx="1">
                  <c:v>6.5948954829083029</c:v>
                </c:pt>
                <c:pt idx="2">
                  <c:v>8.1393738606490018</c:v>
                </c:pt>
                <c:pt idx="3">
                  <c:v>8.877224598738664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8.2403690016582658</c:v>
                </c:pt>
              </c:numCache>
            </c:numRef>
          </c:val>
          <c:smooth val="0"/>
        </c:ser>
        <c:ser>
          <c:idx val="2"/>
          <c:order val="2"/>
          <c:tx>
            <c:v>NCO</c:v>
          </c:tx>
          <c:marker>
            <c:symbol val="none"/>
          </c:marker>
          <c:val>
            <c:numRef>
              <c:f>Sheet2!$I$15:$I$18</c:f>
              <c:numCache>
                <c:formatCode>General</c:formatCode>
                <c:ptCount val="4"/>
                <c:pt idx="0">
                  <c:v>3.8158271156958135</c:v>
                </c:pt>
                <c:pt idx="1">
                  <c:v>6.1835763087160096</c:v>
                </c:pt>
                <c:pt idx="2">
                  <c:v>7.3354698112626293</c:v>
                </c:pt>
                <c:pt idx="3">
                  <c:v>8.4730527410898375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276480"/>
        <c:axId val="438278016"/>
      </c:lineChart>
      <c:catAx>
        <c:axId val="438276480"/>
        <c:scaling>
          <c:orientation val="minMax"/>
        </c:scaling>
        <c:delete val="0"/>
        <c:axPos val="b"/>
        <c:majorTickMark val="out"/>
        <c:minorTickMark val="none"/>
        <c:tickLblPos val="nextTo"/>
        <c:crossAx val="438278016"/>
        <c:crosses val="autoZero"/>
        <c:auto val="1"/>
        <c:lblAlgn val="ctr"/>
        <c:lblOffset val="100"/>
        <c:noMultiLvlLbl val="0"/>
      </c:catAx>
      <c:valAx>
        <c:axId val="438278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827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Sheet2!$C$15:$C$18</c:f>
              <c:numCache>
                <c:formatCode>General</c:formatCode>
                <c:ptCount val="4"/>
                <c:pt idx="0">
                  <c:v>5.3764775333525634</c:v>
                </c:pt>
                <c:pt idx="1">
                  <c:v>6.5948954829083029</c:v>
                </c:pt>
                <c:pt idx="2">
                  <c:v>8.1393738606490018</c:v>
                </c:pt>
                <c:pt idx="3">
                  <c:v>8.877224598738664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Sheet2!$D$15:$D$18</c:f>
              <c:numCache>
                <c:formatCode>General</c:formatCode>
                <c:ptCount val="4"/>
                <c:pt idx="0">
                  <c:v>5.3597058324512776</c:v>
                </c:pt>
                <c:pt idx="1">
                  <c:v>6.4698176653095523</c:v>
                </c:pt>
                <c:pt idx="2">
                  <c:v>7.9862929591732907</c:v>
                </c:pt>
                <c:pt idx="3">
                  <c:v>9.0241334823126564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702464"/>
        <c:axId val="438704000"/>
      </c:lineChart>
      <c:catAx>
        <c:axId val="438702464"/>
        <c:scaling>
          <c:orientation val="minMax"/>
        </c:scaling>
        <c:delete val="0"/>
        <c:axPos val="b"/>
        <c:majorTickMark val="out"/>
        <c:minorTickMark val="none"/>
        <c:tickLblPos val="nextTo"/>
        <c:crossAx val="438704000"/>
        <c:crosses val="autoZero"/>
        <c:auto val="1"/>
        <c:lblAlgn val="ctr"/>
        <c:lblOffset val="100"/>
        <c:noMultiLvlLbl val="0"/>
      </c:catAx>
      <c:valAx>
        <c:axId val="43870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87024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NCO</c:v>
          </c:tx>
          <c:marker>
            <c:symbol val="none"/>
          </c:marker>
          <c:val>
            <c:numRef>
              <c:f>Sheet2!$O$15:$O$18</c:f>
              <c:numCache>
                <c:formatCode>General</c:formatCode>
                <c:ptCount val="4"/>
                <c:pt idx="0">
                  <c:v>4.5016258567328276</c:v>
                </c:pt>
                <c:pt idx="1">
                  <c:v>6.2480356658348501</c:v>
                </c:pt>
                <c:pt idx="2">
                  <c:v>7.2113519519093838</c:v>
                </c:pt>
                <c:pt idx="3">
                  <c:v>8.2403690016582658</c:v>
                </c:pt>
              </c:numCache>
            </c:numRef>
          </c:val>
          <c:smooth val="0"/>
        </c:ser>
        <c:ser>
          <c:idx val="0"/>
          <c:order val="1"/>
          <c:marker>
            <c:symbol val="none"/>
          </c:marker>
          <c:val>
            <c:numRef>
              <c:f>Sheet2!$P$15:$P$18</c:f>
              <c:numCache>
                <c:formatCode>General</c:formatCode>
                <c:ptCount val="4"/>
                <c:pt idx="0">
                  <c:v>5.8233304973974835</c:v>
                </c:pt>
                <c:pt idx="1">
                  <c:v>7.0283655798290106</c:v>
                </c:pt>
                <c:pt idx="2">
                  <c:v>8.6496346352607176</c:v>
                </c:pt>
                <c:pt idx="3">
                  <c:v>9.669459511069622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662656"/>
        <c:axId val="438664192"/>
      </c:lineChart>
      <c:catAx>
        <c:axId val="438662656"/>
        <c:scaling>
          <c:orientation val="minMax"/>
        </c:scaling>
        <c:delete val="0"/>
        <c:axPos val="b"/>
        <c:majorTickMark val="out"/>
        <c:minorTickMark val="none"/>
        <c:tickLblPos val="nextTo"/>
        <c:crossAx val="438664192"/>
        <c:crosses val="autoZero"/>
        <c:auto val="1"/>
        <c:lblAlgn val="ctr"/>
        <c:lblOffset val="100"/>
        <c:noMultiLvlLbl val="0"/>
      </c:catAx>
      <c:valAx>
        <c:axId val="43866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8662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18</xdr:row>
      <xdr:rowOff>100012</xdr:rowOff>
    </xdr:from>
    <xdr:to>
      <xdr:col>7</xdr:col>
      <xdr:colOff>519112</xdr:colOff>
      <xdr:row>32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19</xdr:row>
      <xdr:rowOff>38100</xdr:rowOff>
    </xdr:from>
    <xdr:to>
      <xdr:col>15</xdr:col>
      <xdr:colOff>371475</xdr:colOff>
      <xdr:row>33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24</xdr:col>
      <xdr:colOff>142875</xdr:colOff>
      <xdr:row>33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4.551748611113" createdVersion="4" refreshedVersion="4" minRefreshableVersion="3" recordCount="22">
  <cacheSource type="worksheet">
    <worksheetSource ref="A1:AM23" sheet="Tracking_aggData_by_incentive_n"/>
  </cacheSource>
  <cacheFields count="39">
    <cacheField name="x" numFmtId="0">
      <sharedItems containsSemiMixedTypes="0" containsString="0" containsNumber="1" containsInteger="1" minValue="-175" maxValue="0" count="8">
        <n v="-150"/>
        <n v="-125"/>
        <n v="-100"/>
        <n v="-75"/>
        <n v="-50"/>
        <n v="-25"/>
        <n v="0"/>
        <n v="-175"/>
      </sharedItems>
    </cacheField>
    <cacheField name="actual.smm" numFmtId="0">
      <sharedItems containsSemiMixedTypes="0" containsString="0" containsNumber="1" minValue="2.5113324706669601E-5" maxValue="9.0465621563938807"/>
    </cacheField>
    <cacheField name="model.smm" numFmtId="0">
      <sharedItems containsSemiMixedTypes="0" containsString="0" containsNumber="1" minValue="0.366238999296429" maxValue="0.84387398568814298"/>
    </cacheField>
    <cacheField name="track.err" numFmtId="0">
      <sharedItems containsSemiMixedTypes="0" containsString="0" containsNumber="1" minValue="-8.6023658087708199" maxValue="0.45521423036534198"/>
    </cacheField>
    <cacheField name="curt.smm" numFmtId="0">
      <sharedItems containsSemiMixedTypes="0" containsString="0" containsNumber="1" minValue="4.6091365919374599E-2" maxValue="4.9867027633101801E-2"/>
    </cacheField>
    <cacheField name="dflt.smm" numFmtId="0">
      <sharedItems containsSemiMixedTypes="0" containsString="0" containsNumber="1" minValue="9.67946920556866E-4" maxValue="1.70491095617172E-2"/>
    </cacheField>
    <cacheField name="cout.smm" numFmtId="0">
      <sharedItems containsSemiMixedTypes="0" containsString="0" containsNumber="1" minValue="4.6091365919374599E-2" maxValue="4.9867027633101801E-2"/>
    </cacheField>
    <cacheField name="turn.smm" numFmtId="0">
      <sharedItems containsSemiMixedTypes="0" containsString="0" containsNumber="1" minValue="0.26946727283818001" maxValue="0.54641760041940401"/>
    </cacheField>
    <cacheField name="refi.smm" numFmtId="0">
      <sharedItems containsSemiMixedTypes="0" containsString="0" containsNumber="1" minValue="7.5194071717600997E-6" maxValue="0.19287581785528801"/>
    </cacheField>
    <cacheField name="pct_inv" numFmtId="0">
      <sharedItems containsSemiMixedTypes="0" containsString="0" containsNumber="1" containsInteger="1" minValue="0" maxValue="0"/>
    </cacheField>
    <cacheField name="pct_2nd" numFmtId="0">
      <sharedItems containsSemiMixedTypes="0" containsString="0" containsNumber="1" minValue="0" maxValue="9.1725146584290904"/>
    </cacheField>
    <cacheField name="pct_owner" numFmtId="0">
      <sharedItems containsSemiMixedTypes="0" containsString="0" containsNumber="1" minValue="90.737688039169996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4333143948188201"/>
    </cacheField>
    <cacheField name="incentive" numFmtId="0">
      <sharedItems containsSemiMixedTypes="0" containsString="0" containsNumber="1" minValue="-183.758513712998" maxValue="-12.492403065568899"/>
    </cacheField>
    <cacheField name="burnout" numFmtId="0">
      <sharedItems containsSemiMixedTypes="0" containsString="0" containsNumber="1" minValue="0" maxValue="587.96389222578603"/>
    </cacheField>
    <cacheField name="refi_elig_pct" numFmtId="0">
      <sharedItems containsSemiMixedTypes="0" containsString="0" containsNumber="1" minValue="99.961582316976205" maxValue="100"/>
    </cacheField>
    <cacheField name="cltv" numFmtId="0">
      <sharedItems containsSemiMixedTypes="0" containsString="0" containsNumber="1" minValue="40.441258664628798" maxValue="69.301904772199805"/>
    </cacheField>
    <cacheField name="wacls" numFmtId="0">
      <sharedItems containsSemiMixedTypes="0" containsString="0" containsNumber="1" minValue="198.04798305633699" maxValue="362"/>
    </cacheField>
    <cacheField name="wala" numFmtId="0">
      <sharedItems containsSemiMixedTypes="0" containsString="0" containsNumber="1" minValue="49.377419234037397" maxValue="58"/>
    </cacheField>
    <cacheField name="wac" numFmtId="0">
      <sharedItems containsSemiMixedTypes="0" containsString="0" containsNumber="1" minValue="2.60879297587935" maxValue="3.72106408552958"/>
    </cacheField>
    <cacheField name="fico" numFmtId="0">
      <sharedItems containsSemiMixedTypes="0" containsString="0" containsNumber="1" minValue="662.64918984703195" maxValue="774.62445133985602"/>
    </cacheField>
    <cacheField name="pct_HARPed" numFmtId="0">
      <sharedItems containsSemiMixedTypes="0" containsString="0" containsNumber="1" minValue="0" maxValue="12.0456733433544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767531840468" maxValue="179.2"/>
    </cacheField>
    <cacheField name="hpa2yr" numFmtId="0">
      <sharedItems containsSemiMixedTypes="0" containsString="0" containsNumber="1" minValue="111.746794033981" maxValue="112.25619246535"/>
    </cacheField>
    <cacheField name="media_effect" numFmtId="0">
      <sharedItems containsSemiMixedTypes="0" containsString="0" containsNumber="1" minValue="20.9" maxValue="31.4765044967683"/>
    </cacheField>
    <cacheField name="sato" numFmtId="0">
      <sharedItems containsSemiMixedTypes="0" containsString="0" containsNumber="1" minValue="-123.22799887693699" maxValue="-11.9428068198632"/>
    </cacheField>
    <cacheField name="bal" numFmtId="0">
      <sharedItems containsSemiMixedTypes="0" containsString="0" containsNumber="1" minValue="362036.9" maxValue="299146480857.5"/>
    </cacheField>
    <cacheField name="std" numFmtId="0">
      <sharedItems containsMixedTypes="1" containsNumber="1" minValue="4.9999999999999998E-7" maxValue="0.28867432108691699"/>
    </cacheField>
    <cacheField name="n" numFmtId="0">
      <sharedItems containsSemiMixedTypes="0" containsString="0" containsNumber="1" containsInteger="1" minValue="1" maxValue="23246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6.8570864257804526E-5" maxValue="20.366133591154185"/>
    </cacheField>
    <cacheField name="model w/o refi" numFmtId="11">
      <sharedItems containsSemiMixedTypes="0" containsString="0" containsNumber="1" minValue="0.36622974675977782" maxValue="0.65566739932026896"/>
    </cacheField>
    <cacheField name="Ratio w/o refi" numFmtId="11">
      <sharedItems containsSemiMixedTypes="0" containsString="0" containsNumber="1" minValue="6.857259665240208E-5" maxValue="20.366520491430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n v="0.29680000000000001"/>
    <n v="0.40073855507975198"/>
    <n v="0.103938555079752"/>
    <n v="4.9867027633101801E-2"/>
    <n v="9.67946920556866E-4"/>
    <n v="4.9867027633101801E-2"/>
    <n v="0.30002533487170302"/>
    <n v="1.12180212886688E-5"/>
    <n v="0"/>
    <n v="0"/>
    <n v="100"/>
    <n v="0"/>
    <n v="100"/>
    <n v="0"/>
    <n v="0"/>
    <n v="100"/>
    <n v="0"/>
    <n v="-160.9"/>
    <n v="0"/>
    <n v="100"/>
    <n v="48.4"/>
    <n v="362"/>
    <n v="58"/>
    <n v="2.7"/>
    <n v="766"/>
    <n v="0"/>
    <n v="0"/>
    <n v="179.2"/>
    <n v="112.2"/>
    <n v="20.9"/>
    <n v="-106.7"/>
    <n v="362036.9"/>
    <s v="NA"/>
    <n v="1"/>
    <x v="0"/>
    <n v="0.74063250525254076"/>
    <n v="0.40072733705846331"/>
    <n v="0.74065323863018351"/>
  </r>
  <r>
    <x v="1"/>
    <n v="2.1811383899843099E-2"/>
    <n v="0.437826828665978"/>
    <n v="0.416015444766135"/>
    <n v="4.8074853360855402E-2"/>
    <n v="5.0261360408010297E-3"/>
    <n v="4.8074853360855402E-2"/>
    <n v="0.33664096505295898"/>
    <n v="1.00208505072852E-5"/>
    <n v="0"/>
    <n v="6.65667265185576"/>
    <n v="93.337694293411104"/>
    <n v="0"/>
    <n v="100"/>
    <n v="0"/>
    <n v="0"/>
    <n v="100"/>
    <n v="0.13922604959224"/>
    <n v="-131.70786940072799"/>
    <n v="0"/>
    <n v="100"/>
    <n v="50.302524047588399"/>
    <n v="346.850537246084"/>
    <n v="53.942323879993801"/>
    <n v="2.7852703316090701"/>
    <n v="753.93733413496705"/>
    <n v="5.4026760824804603"/>
    <n v="0"/>
    <n v="172.10973369582999"/>
    <n v="111.900461346916"/>
    <n v="24.4103103848019"/>
    <n v="-85.906183260787898"/>
    <n v="28153997.699999999"/>
    <n v="1.22270561564543E-3"/>
    <n v="81"/>
    <x v="0"/>
    <n v="4.9817376350144132E-2"/>
    <n v="0.43781680781547072"/>
    <n v="4.981851658156549E-2"/>
  </r>
  <r>
    <x v="2"/>
    <n v="0.33472617015295397"/>
    <n v="0.450673924050838"/>
    <n v="0.115947753897884"/>
    <n v="4.79849510942357E-2"/>
    <n v="4.3263974475593204E-3"/>
    <n v="4.79849510942357E-2"/>
    <n v="0.35036820519251299"/>
    <n v="9.4192222936649402E-6"/>
    <n v="0"/>
    <n v="4.8943628165156303"/>
    <n v="95.060732763827502"/>
    <n v="0"/>
    <n v="100"/>
    <n v="0"/>
    <n v="0"/>
    <n v="100"/>
    <n v="0.141965264843043"/>
    <n v="-108.22552162020401"/>
    <n v="6.1312449256727402E-4"/>
    <n v="100"/>
    <n v="46.902140159704103"/>
    <n v="308.93730462689501"/>
    <n v="53.731005281561899"/>
    <n v="2.9374347162443399"/>
    <n v="774.037165165386"/>
    <n v="4.0258294496349398"/>
    <n v="0"/>
    <n v="171.39194580318301"/>
    <n v="111.886239924615"/>
    <n v="24.962466901838599"/>
    <n v="-66.519204815146296"/>
    <n v="783579364.10000002"/>
    <n v="4.3845838017128699E-2"/>
    <n v="599"/>
    <x v="0"/>
    <n v="0.74272362408790127"/>
    <n v="0.45066450482854437"/>
    <n v="0.74273914756233306"/>
  </r>
  <r>
    <x v="3"/>
    <n v="0.38310563172793699"/>
    <n v="0.49873305032659099"/>
    <n v="0.115627418598654"/>
    <n v="4.81290575650015E-2"/>
    <n v="6.1320437898975703E-3"/>
    <n v="4.81290575650015E-2"/>
    <n v="0.395956991280421"/>
    <n v="3.8590012626962101E-4"/>
    <n v="0"/>
    <n v="3.32785130593548"/>
    <n v="96.590363145392999"/>
    <n v="0"/>
    <n v="100"/>
    <n v="0"/>
    <n v="0"/>
    <n v="100"/>
    <n v="0.22501235252261401"/>
    <n v="-83.051213908793997"/>
    <n v="0.41058578775680099"/>
    <n v="99.997181476864"/>
    <n v="44.030801350856898"/>
    <n v="314.58602464194399"/>
    <n v="54.065876357297299"/>
    <n v="3.1823490578329299"/>
    <n v="774.62445133985602"/>
    <n v="2.1698088776595799"/>
    <n v="0"/>
    <n v="172.082944317456"/>
    <n v="111.92086949767101"/>
    <n v="24.975349132600002"/>
    <n v="-43.709836734973898"/>
    <n v="12959301108.4"/>
    <n v="3.9585380138725701E-2"/>
    <n v="1770"/>
    <x v="0"/>
    <n v="0.76815769774444187"/>
    <n v="0.49834715020032139"/>
    <n v="0.76875252838094776"/>
  </r>
  <r>
    <x v="4"/>
    <n v="0.53620367230599397"/>
    <n v="0.60545755367562903"/>
    <n v="6.9253881369635395E-2"/>
    <n v="4.8736643470771598E-2"/>
    <n v="7.1873120659749403E-3"/>
    <n v="4.8736643470771598E-2"/>
    <n v="0.46023254725199397"/>
    <n v="4.0564407416117103E-2"/>
    <n v="0"/>
    <n v="3.1201845003481501"/>
    <n v="96.788148903961599"/>
    <n v="0"/>
    <n v="100"/>
    <n v="0"/>
    <n v="0"/>
    <n v="100"/>
    <n v="0.27060709603251398"/>
    <n v="-59.904226427928798"/>
    <n v="46.465330052361701"/>
    <n v="99.999606797868907"/>
    <n v="42.830999949682997"/>
    <n v="310.74632334559999"/>
    <n v="55.438230613298501"/>
    <n v="3.3596999269569898"/>
    <n v="774.18356524218598"/>
    <n v="3.1009375650570199"/>
    <n v="0"/>
    <n v="172.73483147842401"/>
    <n v="112.058848714067"/>
    <n v="26.2510632584804"/>
    <n v="-29.629900317133799"/>
    <n v="101606875540.89999"/>
    <n v="4.3309515332494802E-2"/>
    <n v="5095"/>
    <x v="0"/>
    <n v="0.8856172807669066"/>
    <n v="0.56489314625951192"/>
    <n v="0.94921256498952455"/>
  </r>
  <r>
    <x v="5"/>
    <n v="0.62177460436394905"/>
    <n v="0.75106450437260397"/>
    <n v="0.12928990000865501"/>
    <n v="4.9086033288118697E-2"/>
    <n v="7.6180535469321901E-3"/>
    <n v="4.9086033288118697E-2"/>
    <n v="0.53214376352621695"/>
    <n v="0.113130620723218"/>
    <n v="0"/>
    <n v="3.4500901000182602"/>
    <n v="96.458055177636894"/>
    <n v="0"/>
    <n v="100"/>
    <n v="0"/>
    <n v="0"/>
    <n v="100"/>
    <n v="0.28570473030732602"/>
    <n v="-36.485794442309199"/>
    <n v="171.758792226808"/>
    <n v="99.997262236309098"/>
    <n v="43.035907010713302"/>
    <n v="309.93307995559798"/>
    <n v="56.229995922511499"/>
    <n v="3.5068740203315998"/>
    <n v="771.51001300655105"/>
    <n v="6.2217985190939702"/>
    <n v="0"/>
    <n v="173.47828516426699"/>
    <n v="112.241983462365"/>
    <n v="29.638045577306901"/>
    <n v="-20.217383597172201"/>
    <n v="250386439257.20001"/>
    <n v="5.0207002595583798E-2"/>
    <n v="12375"/>
    <x v="0"/>
    <n v="0.82785779482861299"/>
    <n v="0.63793388364938597"/>
    <n v="0.97466935101017738"/>
  </r>
  <r>
    <x v="6"/>
    <n v="0.71408599102349501"/>
    <n v="0.84387398568814298"/>
    <n v="0.12978799466464899"/>
    <n v="4.9821146630339E-2"/>
    <n v="9.6075056401873898E-3"/>
    <n v="4.9821146630339E-2"/>
    <n v="0.54641760041940401"/>
    <n v="0.18820658636787399"/>
    <n v="0"/>
    <n v="3.8662047485798201"/>
    <n v="96.044398829224093"/>
    <n v="0"/>
    <n v="100"/>
    <n v="0"/>
    <n v="0"/>
    <n v="100"/>
    <n v="0.34956214124117502"/>
    <n v="-12.680698828763401"/>
    <n v="587.96389222578603"/>
    <n v="99.991567158988502"/>
    <n v="43.632453601914797"/>
    <n v="307.23589186167101"/>
    <n v="57.937982674727998"/>
    <n v="3.7165006402544698"/>
    <n v="767.67219475872298"/>
    <n v="12.0456733433544"/>
    <n v="0"/>
    <n v="172.21901802097901"/>
    <n v="112.15506005175899"/>
    <n v="31.156562883691901"/>
    <n v="-12.7042738861667"/>
    <n v="299146480857.5"/>
    <n v="6.1445334059235301E-2"/>
    <n v="23246"/>
    <x v="0"/>
    <n v="0.84619979183407168"/>
    <n v="0.65566739932026896"/>
    <n v="1.08909790507167"/>
  </r>
  <r>
    <x v="7"/>
    <n v="2.79694938405108E-4"/>
    <n v="0.45549392530374699"/>
    <n v="0.45521423036534198"/>
    <n v="4.6091365919374599E-2"/>
    <n v="6.3979205994080099E-3"/>
    <n v="4.6091365919374599E-2"/>
    <n v="0.35690575345841802"/>
    <n v="7.5194071717600997E-6"/>
    <n v="0"/>
    <n v="0"/>
    <n v="100"/>
    <n v="100"/>
    <n v="0"/>
    <n v="0"/>
    <n v="0"/>
    <n v="0"/>
    <n v="0"/>
    <n v="-183.758513712998"/>
    <n v="0"/>
    <n v="100"/>
    <n v="69.301904772199805"/>
    <n v="198.04798305633699"/>
    <n v="49.377419234037397"/>
    <n v="2.6310772153783502"/>
    <n v="662.64918984703195"/>
    <n v="0"/>
    <n v="0"/>
    <n v="168.767531840468"/>
    <n v="111.786307772035"/>
    <n v="25.0255924793323"/>
    <n v="-100.84156330715901"/>
    <n v="777069.3"/>
    <n v="4.5000000000000001E-6"/>
    <n v="4"/>
    <x v="1"/>
    <n v="6.1404757092774155E-4"/>
    <n v="0.45548640589657524"/>
    <n v="6.1405770794533169E-4"/>
  </r>
  <r>
    <x v="0"/>
    <n v="9.0465621563938807"/>
    <n v="0.44419634762305399"/>
    <n v="-8.6023658087708199"/>
    <n v="4.7329825462320702E-2"/>
    <n v="1.70491095617172E-2"/>
    <n v="4.7329825462320702E-2"/>
    <n v="0.332479148793492"/>
    <n v="8.4383432027009299E-6"/>
    <n v="0"/>
    <n v="0"/>
    <n v="100"/>
    <n v="100"/>
    <n v="0"/>
    <n v="0"/>
    <n v="0"/>
    <n v="0"/>
    <n v="0.54333143948188201"/>
    <n v="-162.27716300038799"/>
    <n v="0"/>
    <n v="100"/>
    <n v="67.435779318182398"/>
    <n v="231.58178612361101"/>
    <n v="52.199130153082301"/>
    <n v="2.60879297587935"/>
    <n v="717.69028702258197"/>
    <n v="0"/>
    <n v="0"/>
    <n v="173.86387959930599"/>
    <n v="112.195396281657"/>
    <n v="25.9703177919233"/>
    <n v="-123.22799887693699"/>
    <n v="2959049.4"/>
    <n v="0.28867432108691699"/>
    <n v="12"/>
    <x v="1"/>
    <n v="20.366133591154185"/>
    <n v="0.4441879092798513"/>
    <n v="20.366520491430762"/>
  </r>
  <r>
    <x v="1"/>
    <n v="1.3154976098497699"/>
    <n v="0.41287460127780701"/>
    <n v="-0.90262300857195799"/>
    <n v="4.7898391306464498E-2"/>
    <n v="1.0825371240505199E-2"/>
    <n v="4.7898391306464498E-2"/>
    <n v="0.30624356424365101"/>
    <n v="8.8831807216297603E-6"/>
    <n v="0"/>
    <n v="0"/>
    <n v="100"/>
    <n v="100"/>
    <n v="0"/>
    <n v="0"/>
    <n v="0"/>
    <n v="0"/>
    <n v="0.34296974361547999"/>
    <n v="-135.80190264314101"/>
    <n v="0"/>
    <n v="100"/>
    <n v="63.401481370374498"/>
    <n v="263.49753277974099"/>
    <n v="53.504127514858901"/>
    <n v="2.7517728947339499"/>
    <n v="750.32620140038898"/>
    <n v="0"/>
    <n v="0"/>
    <n v="173.33081723717001"/>
    <n v="112.033833009049"/>
    <n v="25.7944992343152"/>
    <n v="-103.85050006932801"/>
    <n v="30914483.5"/>
    <n v="5.3268995132294598E-2"/>
    <n v="80"/>
    <x v="1"/>
    <n v="3.1861916566880888"/>
    <n v="0.41286571809708539"/>
    <n v="3.1862602104939861"/>
  </r>
  <r>
    <x v="2"/>
    <n v="0.22148896749826499"/>
    <n v="0.420956984739358"/>
    <n v="0.199468017241092"/>
    <n v="4.8163326231623498E-2"/>
    <n v="9.2026479858434897E-3"/>
    <n v="4.8163326231623498E-2"/>
    <n v="0.31541811194293601"/>
    <n v="9.5723473308683707E-6"/>
    <n v="0"/>
    <n v="6.6874165505383001"/>
    <n v="93.278260112539002"/>
    <n v="100"/>
    <n v="0"/>
    <n v="0"/>
    <n v="0"/>
    <n v="0"/>
    <n v="0.31117393333241"/>
    <n v="-108.289714556181"/>
    <n v="0.98158143492156802"/>
    <n v="100"/>
    <n v="53.925991205207602"/>
    <n v="316.71757404461499"/>
    <n v="54.135533557371303"/>
    <n v="2.98292921760657"/>
    <n v="767.89932335512697"/>
    <n v="0"/>
    <n v="0"/>
    <n v="171.621703102688"/>
    <n v="111.91928010634901"/>
    <n v="25.755436008569401"/>
    <n v="-69.008845401916503"/>
    <n v="343658777.60000002"/>
    <n v="5.0579817071948002E-2"/>
    <n v="438"/>
    <x v="1"/>
    <n v="0.52615582001900574"/>
    <n v="0.42094741239202715"/>
    <n v="0.52616778480631909"/>
  </r>
  <r>
    <x v="3"/>
    <n v="0.45947524264527201"/>
    <n v="0.45800509348938401"/>
    <n v="-1.4701491558875501E-3"/>
    <n v="4.8571537556393103E-2"/>
    <n v="7.6975613503068203E-3"/>
    <n v="4.8571537556393103E-2"/>
    <n v="0.35279093951607998"/>
    <n v="3.7351751021059602E-4"/>
    <n v="0"/>
    <n v="7.2857762906834198"/>
    <n v="92.635839269223794"/>
    <n v="100"/>
    <n v="0"/>
    <n v="0"/>
    <n v="0"/>
    <n v="0"/>
    <n v="0.27086651759060398"/>
    <n v="-83.215720324541493"/>
    <n v="0.29452031223025998"/>
    <n v="99.961582316976205"/>
    <n v="51.1823277483971"/>
    <n v="333.07652684717698"/>
    <n v="55.077665585186402"/>
    <n v="3.2098241119429298"/>
    <n v="770.04468551375999"/>
    <n v="0"/>
    <n v="0"/>
    <n v="172.75572440488099"/>
    <n v="111.960706904731"/>
    <n v="24.469930361431899"/>
    <n v="-42.683567530267403"/>
    <n v="5750451075.6999998"/>
    <n v="6.2995923904147696E-2"/>
    <n v="1452"/>
    <x v="1"/>
    <n v="1.0032098969570129"/>
    <n v="0.45763157597917342"/>
    <n v="1.0040287138450921"/>
  </r>
  <r>
    <x v="4"/>
    <n v="0.56692181561557498"/>
    <n v="0.55583280190403195"/>
    <n v="-1.10890137115428E-2"/>
    <n v="4.8832235239825897E-2"/>
    <n v="8.0895584165339898E-3"/>
    <n v="4.8832235239825897E-2"/>
    <n v="0.40925829206761799"/>
    <n v="4.08204809402282E-2"/>
    <n v="0"/>
    <n v="8.5796462692814597"/>
    <n v="91.328020810149596"/>
    <n v="100"/>
    <n v="0"/>
    <n v="0"/>
    <n v="0"/>
    <n v="0"/>
    <n v="0.29101893663890799"/>
    <n v="-59.898005039706703"/>
    <n v="34.425223328223403"/>
    <n v="100"/>
    <n v="50.765858641887199"/>
    <n v="311.938358540585"/>
    <n v="55.650649402392197"/>
    <n v="3.3620778484606499"/>
    <n v="770.60776244854605"/>
    <n v="0"/>
    <n v="0"/>
    <n v="173.12663538463499"/>
    <n v="112.082424681966"/>
    <n v="26.3345725877723"/>
    <n v="-31.255841868631801"/>
    <n v="46164851521.5"/>
    <n v="4.7240253167486403E-2"/>
    <n v="4155"/>
    <x v="1"/>
    <n v="1.0199502686303454"/>
    <n v="0.51501232096380378"/>
    <n v="1.1007927238607162"/>
  </r>
  <r>
    <x v="5"/>
    <n v="0.70498400369891601"/>
    <n v="0.69120536440694702"/>
    <n v="-1.3778639291968899E-2"/>
    <n v="4.8953722179459799E-2"/>
    <n v="8.4170281196609305E-3"/>
    <n v="4.8953722179459799E-2"/>
    <n v="0.47038980697815203"/>
    <n v="0.114491084950215"/>
    <n v="0"/>
    <n v="8.95184154242882"/>
    <n v="90.954539755754297"/>
    <n v="100"/>
    <n v="0"/>
    <n v="0"/>
    <n v="0"/>
    <n v="0"/>
    <n v="0.30419867866580902"/>
    <n v="-36.336539692449001"/>
    <n v="132.39002223478201"/>
    <n v="99.999832372906994"/>
    <n v="50.671835669996398"/>
    <n v="307.19725505410401"/>
    <n v="55.918302453256402"/>
    <n v="3.4989205555851899"/>
    <n v="768.72594574812001"/>
    <n v="0"/>
    <n v="0"/>
    <n v="173.60669272663699"/>
    <n v="112.25619246535"/>
    <n v="30.018876732274599"/>
    <n v="-23.595732739614899"/>
    <n v="120916551384.2"/>
    <n v="6.0827151386408998E-2"/>
    <n v="9683"/>
    <x v="1"/>
    <n v="1.0199342192660659"/>
    <n v="0.57671427945673204"/>
    <n v="1.2224146840321255"/>
  </r>
  <r>
    <x v="6"/>
    <n v="0.77169377400365702"/>
    <n v="0.78503502566377603"/>
    <n v="1.33412516601193E-2"/>
    <n v="4.9835405443002002E-2"/>
    <n v="1.02927119487127E-2"/>
    <n v="4.9835405443002002E-2"/>
    <n v="0.48219568497377102"/>
    <n v="0.19287581785528801"/>
    <n v="0"/>
    <n v="9.1725146584290904"/>
    <n v="90.737688039169996"/>
    <n v="100"/>
    <n v="0"/>
    <n v="0"/>
    <n v="0"/>
    <n v="0"/>
    <n v="0.36148229175733998"/>
    <n v="-13.137182385926099"/>
    <n v="511.496046355663"/>
    <n v="99.999389288628905"/>
    <n v="50.395248376418699"/>
    <n v="306.806222824521"/>
    <n v="57.9647923028595"/>
    <n v="3.7131855276843502"/>
    <n v="765.20231731116996"/>
    <n v="0"/>
    <n v="0"/>
    <n v="172.12084517811499"/>
    <n v="112.15485684084901"/>
    <n v="31.4765044967683"/>
    <n v="-17.384335093833499"/>
    <n v="136686288682.89999"/>
    <n v="5.9949339951539102E-2"/>
    <n v="18326"/>
    <x v="1"/>
    <n v="0.98300553322593665"/>
    <n v="0.59215920780848808"/>
    <n v="1.3031863117684268"/>
  </r>
  <r>
    <x v="0"/>
    <n v="2.5113324706669601E-5"/>
    <n v="0.366238999296429"/>
    <n v="0.366213885971722"/>
    <n v="4.7193785389598002E-2"/>
    <n v="2.3749031424021398E-3"/>
    <n v="4.7193785389598002E-2"/>
    <n v="0.26946727283818001"/>
    <n v="9.2525366512007494E-6"/>
    <n v="0"/>
    <n v="0"/>
    <n v="100"/>
    <n v="0"/>
    <n v="0"/>
    <n v="100"/>
    <n v="0"/>
    <n v="0"/>
    <n v="7.3480311368991399E-2"/>
    <n v="-156.193811627587"/>
    <n v="0"/>
    <n v="100"/>
    <n v="40.441258664628798"/>
    <n v="269.412645203804"/>
    <n v="51.938102265120897"/>
    <n v="2.7"/>
    <n v="766"/>
    <n v="0"/>
    <n v="0"/>
    <n v="170.76704605491599"/>
    <n v="111.746794033981"/>
    <n v="23.819532573511399"/>
    <n v="-87"/>
    <n v="1077743.8"/>
    <n v="4.9999999999999998E-7"/>
    <n v="4"/>
    <x v="2"/>
    <n v="6.8570864257804526E-5"/>
    <n v="0.36622974675977782"/>
    <n v="6.857259665240208E-5"/>
  </r>
  <r>
    <x v="1"/>
    <n v="2.3246377657199901E-2"/>
    <n v="0.41847207333164299"/>
    <n v="0.39522569567444299"/>
    <n v="4.7751852711960099E-2"/>
    <n v="3.9339271913568898E-3"/>
    <n v="4.7751852711960099E-2"/>
    <n v="0.31902512428991597"/>
    <n v="9.3164264501626501E-6"/>
    <n v="0"/>
    <n v="0"/>
    <n v="100"/>
    <n v="0"/>
    <n v="0"/>
    <n v="100"/>
    <n v="0"/>
    <n v="0"/>
    <n v="9.1323320258372198E-2"/>
    <n v="-132.19579295130501"/>
    <n v="0"/>
    <n v="100"/>
    <n v="42.907552578729899"/>
    <n v="284.59371598589598"/>
    <n v="53.1892641343387"/>
    <n v="2.8054180298914901"/>
    <n v="735.26019597493598"/>
    <n v="0"/>
    <n v="0"/>
    <n v="171.679206076345"/>
    <n v="111.918844074123"/>
    <n v="25.122190890707301"/>
    <n v="-80.554997605407095"/>
    <n v="13781048"/>
    <n v="4.3944162629130598E-4"/>
    <n v="44"/>
    <x v="2"/>
    <n v="5.5550606930888147E-2"/>
    <n v="0.4184627569051928"/>
    <n v="5.5551843679284979E-2"/>
  </r>
  <r>
    <x v="2"/>
    <n v="0.41783261723829801"/>
    <n v="0.41821356016275402"/>
    <n v="3.8094292445625899E-4"/>
    <n v="4.8043250683187398E-2"/>
    <n v="6.6008693491242604E-3"/>
    <n v="4.8043250683187398E-2"/>
    <n v="0.31551684470872698"/>
    <n v="9.3447385283465801E-6"/>
    <n v="0"/>
    <n v="1.6684944488430999"/>
    <n v="98.3198549909348"/>
    <n v="0"/>
    <n v="0"/>
    <n v="100"/>
    <n v="0"/>
    <n v="0"/>
    <n v="0.21201974449109501"/>
    <n v="-108.385750293556"/>
    <n v="1.54340903719357E-2"/>
    <n v="100"/>
    <n v="44.674983772035901"/>
    <n v="293.724478050225"/>
    <n v="53.866982517562597"/>
    <n v="2.9534008807316798"/>
    <n v="769.54684663726005"/>
    <n v="0"/>
    <n v="0"/>
    <n v="171.601079741213"/>
    <n v="111.892438267919"/>
    <n v="24.824266029786902"/>
    <n v="-65.952528653580799"/>
    <n v="281392352.60000002"/>
    <n v="5.8771275156833801E-2"/>
    <n v="395"/>
    <x v="2"/>
    <n v="0.99908911866868266"/>
    <n v="0.41820421542422564"/>
    <n v="0.99911144323222401"/>
  </r>
  <r>
    <x v="3"/>
    <n v="0.32368637647867199"/>
    <n v="0.45878332520036402"/>
    <n v="0.13509694872169301"/>
    <n v="4.8202770361085799E-2"/>
    <n v="6.8110846514980797E-3"/>
    <n v="4.8202770361085799E-2"/>
    <n v="0.35515924416552003"/>
    <n v="4.0745566117510602E-4"/>
    <n v="0"/>
    <n v="2.3600483871311702"/>
    <n v="97.582110329881402"/>
    <n v="0"/>
    <n v="0"/>
    <n v="100"/>
    <n v="0"/>
    <n v="0"/>
    <n v="0.248622025927587"/>
    <n v="-83.134520101516998"/>
    <n v="0.27779228455364702"/>
    <n v="100"/>
    <n v="42.147317394139698"/>
    <n v="309.56788386290702"/>
    <n v="54.232836626970602"/>
    <n v="3.1815273099826999"/>
    <n v="769.45587761162597"/>
    <n v="0"/>
    <n v="0"/>
    <n v="172.288225388721"/>
    <n v="111.936865116116"/>
    <n v="25.060920410891899"/>
    <n v="-43.843094606008599"/>
    <n v="3772554015.4000001"/>
    <n v="2.43005355375597E-2"/>
    <n v="1315"/>
    <x v="2"/>
    <n v="0.7055321296546877"/>
    <n v="0.45837586953918891"/>
    <n v="0.70615928540059936"/>
  </r>
  <r>
    <x v="4"/>
    <n v="0.53050658914147897"/>
    <n v="0.56018663977045802"/>
    <n v="2.9680050628979E-2"/>
    <n v="4.86900383779591E-2"/>
    <n v="7.6001266732029296E-3"/>
    <n v="4.86900383779591E-2"/>
    <n v="0.41542222975232401"/>
    <n v="3.9784206589013403E-2"/>
    <n v="0"/>
    <n v="2.5118534854610099"/>
    <n v="97.405721529927007"/>
    <n v="0"/>
    <n v="0"/>
    <n v="100"/>
    <n v="0"/>
    <n v="0"/>
    <n v="0.28562820008374701"/>
    <n v="-59.776179513573901"/>
    <n v="46.833717609698098"/>
    <n v="99.992258913234394"/>
    <n v="41.859288288115103"/>
    <n v="300.20269378959"/>
    <n v="55.329363920803097"/>
    <n v="3.36017399907661"/>
    <n v="768.70611834526801"/>
    <n v="0"/>
    <n v="0"/>
    <n v="172.84143645581901"/>
    <n v="112.065086077865"/>
    <n v="26.205670493956099"/>
    <n v="-29.386804527718599"/>
    <n v="30747889438"/>
    <n v="5.4110872622362999E-2"/>
    <n v="3700"/>
    <x v="2"/>
    <n v="0.94701756785713287"/>
    <n v="0.52040243318144463"/>
    <n v="1.019416042884856"/>
  </r>
  <r>
    <x v="5"/>
    <n v="0.63285909718731304"/>
    <n v="0.69811271631489702"/>
    <n v="6.5253619127583207E-2"/>
    <n v="4.8962475084876902E-2"/>
    <n v="8.1458060345674394E-3"/>
    <n v="4.8962475084876902E-2"/>
    <n v="0.47986181776812298"/>
    <n v="0.11218014234245199"/>
    <n v="0"/>
    <n v="2.5375988946930002"/>
    <n v="97.380204543752896"/>
    <n v="0"/>
    <n v="0"/>
    <n v="100"/>
    <n v="0"/>
    <n v="0"/>
    <n v="0.30631897688780002"/>
    <n v="-36.372317116478001"/>
    <n v="172.37560513770299"/>
    <n v="99.995431143325902"/>
    <n v="42.250051272134797"/>
    <n v="295.89538141550202"/>
    <n v="55.941981468253303"/>
    <n v="3.5081001582446598"/>
    <n v="765.88904839004101"/>
    <n v="0"/>
    <n v="0"/>
    <n v="173.49400218534399"/>
    <n v="112.23851298016299"/>
    <n v="29.503567331020601"/>
    <n v="-19.718310699619298"/>
    <n v="81614484016.5"/>
    <n v="4.7259863365358597E-2"/>
    <n v="8804"/>
    <x v="2"/>
    <n v="0.90652853385620025"/>
    <n v="0.58593257397244503"/>
    <n v="1.0800886062652575"/>
  </r>
  <r>
    <x v="6"/>
    <n v="0.73509115363792399"/>
    <n v="0.79309724402443904"/>
    <n v="5.80060903865149E-2"/>
    <n v="4.9622150158552501E-2"/>
    <n v="1.03153192102701E-2"/>
    <n v="4.9622150158552501E-2"/>
    <n v="0.492990562686145"/>
    <n v="0.19054706181091899"/>
    <n v="0"/>
    <n v="2.6335054842933299"/>
    <n v="97.288978923989802"/>
    <n v="0"/>
    <n v="0"/>
    <n v="100"/>
    <n v="0"/>
    <n v="0"/>
    <n v="0.37361820158551001"/>
    <n v="-12.492403065568899"/>
    <n v="584.97331443213704"/>
    <n v="99.997188415572495"/>
    <n v="43.289939777788"/>
    <n v="294.928956787034"/>
    <n v="57.471751676186997"/>
    <n v="3.72106408552958"/>
    <n v="761.02252286569205"/>
    <n v="0"/>
    <n v="0"/>
    <n v="171.93106686288999"/>
    <n v="112.128378052968"/>
    <n v="31.044752815364799"/>
    <n v="-11.9428068198632"/>
    <n v="106887371782.10001"/>
    <n v="5.5471277433522502E-2"/>
    <n v="16949"/>
    <x v="2"/>
    <n v="0.92686131388860604"/>
    <n v="0.60255018221352008"/>
    <n v="1.219966693790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3" firstHeaderRow="1" firstDataRow="3" firstDataCol="1"/>
  <pivotFields count="39">
    <pivotField axis="axisRow" showAll="0" defaultSubtotal="0">
      <items count="8">
        <item x="7"/>
        <item x="0"/>
        <item x="1"/>
        <item x="2"/>
        <item x="3"/>
        <item x="4"/>
        <item x="5"/>
        <item x="6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0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A5" sqref="A5:S1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6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t="s">
        <v>38</v>
      </c>
      <c r="H4" t="s">
        <v>39</v>
      </c>
      <c r="N4" t="s">
        <v>37</v>
      </c>
    </row>
    <row r="5" spans="1:19" x14ac:dyDescent="0.25">
      <c r="A5" s="2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47</v>
      </c>
      <c r="G5" t="s">
        <v>48</v>
      </c>
      <c r="H5" t="s">
        <v>44</v>
      </c>
      <c r="I5" t="s">
        <v>45</v>
      </c>
      <c r="J5" t="s">
        <v>46</v>
      </c>
      <c r="K5" t="s">
        <v>50</v>
      </c>
      <c r="L5" t="s">
        <v>47</v>
      </c>
      <c r="M5" t="s">
        <v>48</v>
      </c>
      <c r="N5" t="s">
        <v>44</v>
      </c>
      <c r="O5" t="s">
        <v>45</v>
      </c>
      <c r="P5" t="s">
        <v>46</v>
      </c>
      <c r="Q5" t="s">
        <v>50</v>
      </c>
      <c r="R5" t="s">
        <v>47</v>
      </c>
      <c r="S5" t="s">
        <v>48</v>
      </c>
    </row>
    <row r="6" spans="1:19" x14ac:dyDescent="0.25">
      <c r="A6" s="3">
        <v>-175</v>
      </c>
      <c r="B6" s="4">
        <v>777069.3</v>
      </c>
      <c r="C6" s="10">
        <v>2.79694938405108E-4</v>
      </c>
      <c r="D6" s="10">
        <v>0.45549392530374699</v>
      </c>
      <c r="E6" s="10">
        <v>0.45548640589657524</v>
      </c>
      <c r="F6" s="10">
        <v>6.1404757092774155E-4</v>
      </c>
      <c r="G6" s="10">
        <v>6.1405770794533169E-4</v>
      </c>
      <c r="H6" s="4"/>
      <c r="I6" s="10"/>
      <c r="J6" s="10"/>
      <c r="K6" s="10"/>
      <c r="L6" s="10"/>
      <c r="M6" s="10"/>
      <c r="N6" s="4"/>
      <c r="O6" s="10"/>
      <c r="P6" s="10"/>
      <c r="Q6" s="10"/>
      <c r="R6" s="10"/>
      <c r="S6" s="10"/>
    </row>
    <row r="7" spans="1:19" x14ac:dyDescent="0.25">
      <c r="A7" s="3">
        <v>-150</v>
      </c>
      <c r="B7" s="4">
        <v>2959049.4</v>
      </c>
      <c r="C7" s="10">
        <v>9.0465621563938807</v>
      </c>
      <c r="D7" s="10">
        <v>0.44419634762305399</v>
      </c>
      <c r="E7" s="10">
        <v>0.4441879092798513</v>
      </c>
      <c r="F7" s="10">
        <v>20.366133591154185</v>
      </c>
      <c r="G7" s="10">
        <v>20.366520491430762</v>
      </c>
      <c r="H7" s="4">
        <v>1077743.8</v>
      </c>
      <c r="I7" s="10">
        <v>2.5113324706669601E-5</v>
      </c>
      <c r="J7" s="10">
        <v>0.366238999296429</v>
      </c>
      <c r="K7" s="10">
        <v>0.36622974675977782</v>
      </c>
      <c r="L7" s="10">
        <v>6.8570864257804526E-5</v>
      </c>
      <c r="M7" s="10">
        <v>6.857259665240208E-5</v>
      </c>
      <c r="N7" s="4">
        <v>362036.9</v>
      </c>
      <c r="O7" s="10">
        <v>0.29680000000000001</v>
      </c>
      <c r="P7" s="10">
        <v>0.40073855507975198</v>
      </c>
      <c r="Q7" s="10">
        <v>0.40072733705846331</v>
      </c>
      <c r="R7" s="10">
        <v>0.74063250525254076</v>
      </c>
      <c r="S7" s="10">
        <v>0.74065323863018351</v>
      </c>
    </row>
    <row r="8" spans="1:19" x14ac:dyDescent="0.25">
      <c r="A8" s="3">
        <v>-125</v>
      </c>
      <c r="B8" s="4">
        <v>30914483.5</v>
      </c>
      <c r="C8" s="10">
        <v>1.3154976098497699</v>
      </c>
      <c r="D8" s="10">
        <v>0.41287460127780701</v>
      </c>
      <c r="E8" s="10">
        <v>0.41286571809708539</v>
      </c>
      <c r="F8" s="10">
        <v>3.1861916566880888</v>
      </c>
      <c r="G8" s="10">
        <v>3.1862602104939861</v>
      </c>
      <c r="H8" s="4">
        <v>13781048</v>
      </c>
      <c r="I8" s="10">
        <v>2.3246377657199901E-2</v>
      </c>
      <c r="J8" s="10">
        <v>0.41847207333164299</v>
      </c>
      <c r="K8" s="10">
        <v>0.4184627569051928</v>
      </c>
      <c r="L8" s="10">
        <v>5.5550606930888147E-2</v>
      </c>
      <c r="M8" s="10">
        <v>5.5551843679284979E-2</v>
      </c>
      <c r="N8" s="4">
        <v>28153997.699999999</v>
      </c>
      <c r="O8" s="10">
        <v>2.1811383899843099E-2</v>
      </c>
      <c r="P8" s="10">
        <v>0.437826828665978</v>
      </c>
      <c r="Q8" s="10">
        <v>0.43781680781547072</v>
      </c>
      <c r="R8" s="10">
        <v>4.9817376350144132E-2</v>
      </c>
      <c r="S8" s="10">
        <v>4.981851658156549E-2</v>
      </c>
    </row>
    <row r="9" spans="1:19" x14ac:dyDescent="0.25">
      <c r="A9" s="3">
        <v>-100</v>
      </c>
      <c r="B9" s="4">
        <v>343658777.60000002</v>
      </c>
      <c r="C9" s="10">
        <v>0.22148896749826499</v>
      </c>
      <c r="D9" s="10">
        <v>0.420956984739358</v>
      </c>
      <c r="E9" s="10">
        <v>0.42094741239202715</v>
      </c>
      <c r="F9" s="10">
        <v>0.52615582001900574</v>
      </c>
      <c r="G9" s="10">
        <v>0.52616778480631909</v>
      </c>
      <c r="H9" s="4">
        <v>281392352.60000002</v>
      </c>
      <c r="I9" s="10">
        <v>0.41783261723829801</v>
      </c>
      <c r="J9" s="10">
        <v>0.41821356016275402</v>
      </c>
      <c r="K9" s="10">
        <v>0.41820421542422564</v>
      </c>
      <c r="L9" s="10">
        <v>0.99908911866868266</v>
      </c>
      <c r="M9" s="10">
        <v>0.99911144323222401</v>
      </c>
      <c r="N9" s="4">
        <v>783579364.10000002</v>
      </c>
      <c r="O9" s="10">
        <v>0.33472617015295397</v>
      </c>
      <c r="P9" s="10">
        <v>0.450673924050838</v>
      </c>
      <c r="Q9" s="10">
        <v>0.45066450482854437</v>
      </c>
      <c r="R9" s="10">
        <v>0.74272362408790127</v>
      </c>
      <c r="S9" s="10">
        <v>0.74273914756233306</v>
      </c>
    </row>
    <row r="10" spans="1:19" x14ac:dyDescent="0.25">
      <c r="A10" s="5">
        <v>-75</v>
      </c>
      <c r="B10" s="6">
        <v>5750451075.6999998</v>
      </c>
      <c r="C10" s="11">
        <v>0.45947524264527201</v>
      </c>
      <c r="D10" s="11">
        <v>0.45800509348938401</v>
      </c>
      <c r="E10" s="11">
        <v>0.45763157597917342</v>
      </c>
      <c r="F10" s="11">
        <v>1.0032098969570129</v>
      </c>
      <c r="G10" s="11">
        <v>1.0040287138450921</v>
      </c>
      <c r="H10" s="6">
        <v>3772554015.4000001</v>
      </c>
      <c r="I10" s="11">
        <v>0.32368637647867199</v>
      </c>
      <c r="J10" s="11">
        <v>0.45878332520036402</v>
      </c>
      <c r="K10" s="11">
        <v>0.45837586953918891</v>
      </c>
      <c r="L10" s="11">
        <v>0.7055321296546877</v>
      </c>
      <c r="M10" s="11">
        <v>0.70615928540059936</v>
      </c>
      <c r="N10" s="6">
        <v>12959301108.4</v>
      </c>
      <c r="O10" s="11">
        <v>0.38310563172793699</v>
      </c>
      <c r="P10" s="11">
        <v>0.49873305032659099</v>
      </c>
      <c r="Q10" s="11">
        <v>0.49834715020032139</v>
      </c>
      <c r="R10" s="11">
        <v>0.76815769774444187</v>
      </c>
      <c r="S10" s="11">
        <v>0.76875252838094776</v>
      </c>
    </row>
    <row r="11" spans="1:19" x14ac:dyDescent="0.25">
      <c r="A11" s="3">
        <v>-50</v>
      </c>
      <c r="B11" s="4">
        <v>46164851521.5</v>
      </c>
      <c r="C11" s="10">
        <v>0.56692181561557498</v>
      </c>
      <c r="D11" s="10">
        <v>0.55583280190403195</v>
      </c>
      <c r="E11" s="10">
        <v>0.51501232096380378</v>
      </c>
      <c r="F11" s="10">
        <v>1.0199502686303454</v>
      </c>
      <c r="G11" s="10">
        <v>1.1007927238607162</v>
      </c>
      <c r="H11" s="4">
        <v>30747889438</v>
      </c>
      <c r="I11" s="10">
        <v>0.53050658914147897</v>
      </c>
      <c r="J11" s="10">
        <v>0.56018663977045802</v>
      </c>
      <c r="K11" s="10">
        <v>0.52040243318144463</v>
      </c>
      <c r="L11" s="10">
        <v>0.94701756785713287</v>
      </c>
      <c r="M11" s="10">
        <v>1.019416042884856</v>
      </c>
      <c r="N11" s="4">
        <v>101606875540.89999</v>
      </c>
      <c r="O11" s="10">
        <v>0.53620367230599397</v>
      </c>
      <c r="P11" s="10">
        <v>0.60545755367562903</v>
      </c>
      <c r="Q11" s="10">
        <v>0.56489314625951192</v>
      </c>
      <c r="R11" s="10">
        <v>0.8856172807669066</v>
      </c>
      <c r="S11" s="10">
        <v>0.94921256498952455</v>
      </c>
    </row>
    <row r="12" spans="1:19" x14ac:dyDescent="0.25">
      <c r="A12" s="3">
        <v>-25</v>
      </c>
      <c r="B12" s="4">
        <v>120916551384.2</v>
      </c>
      <c r="C12" s="10">
        <v>0.70498400369891601</v>
      </c>
      <c r="D12" s="10">
        <v>0.69120536440694702</v>
      </c>
      <c r="E12" s="10">
        <v>0.57671427945673204</v>
      </c>
      <c r="F12" s="10">
        <v>1.0199342192660659</v>
      </c>
      <c r="G12" s="10">
        <v>1.2224146840321255</v>
      </c>
      <c r="H12" s="4">
        <v>81614484016.5</v>
      </c>
      <c r="I12" s="10">
        <v>0.63285909718731304</v>
      </c>
      <c r="J12" s="10">
        <v>0.69811271631489702</v>
      </c>
      <c r="K12" s="10">
        <v>0.58593257397244503</v>
      </c>
      <c r="L12" s="10">
        <v>0.90652853385620025</v>
      </c>
      <c r="M12" s="10">
        <v>1.0800886062652575</v>
      </c>
      <c r="N12" s="4">
        <v>250386439257.20001</v>
      </c>
      <c r="O12" s="10">
        <v>0.62177460436394905</v>
      </c>
      <c r="P12" s="10">
        <v>0.75106450437260397</v>
      </c>
      <c r="Q12" s="10">
        <v>0.63793388364938597</v>
      </c>
      <c r="R12" s="10">
        <v>0.82785779482861299</v>
      </c>
      <c r="S12" s="10">
        <v>0.97466935101017738</v>
      </c>
    </row>
    <row r="13" spans="1:19" x14ac:dyDescent="0.25">
      <c r="A13" s="3">
        <v>0</v>
      </c>
      <c r="B13" s="4">
        <v>136686288682.89999</v>
      </c>
      <c r="C13" s="10">
        <v>0.77169377400365702</v>
      </c>
      <c r="D13" s="10">
        <v>0.78503502566377603</v>
      </c>
      <c r="E13" s="10">
        <v>0.59215920780848808</v>
      </c>
      <c r="F13" s="10">
        <v>0.98300553322593665</v>
      </c>
      <c r="G13" s="10">
        <v>1.3031863117684268</v>
      </c>
      <c r="H13" s="4">
        <v>106887371782.10001</v>
      </c>
      <c r="I13" s="10">
        <v>0.73509115363792399</v>
      </c>
      <c r="J13" s="10">
        <v>0.79309724402443904</v>
      </c>
      <c r="K13" s="10">
        <v>0.60255018221352008</v>
      </c>
      <c r="L13" s="10">
        <v>0.92686131388860604</v>
      </c>
      <c r="M13" s="10">
        <v>1.219966693790554</v>
      </c>
      <c r="N13" s="4">
        <v>299146480857.5</v>
      </c>
      <c r="O13" s="10">
        <v>0.71408599102349501</v>
      </c>
      <c r="P13" s="10">
        <v>0.84387398568814298</v>
      </c>
      <c r="Q13" s="10">
        <v>0.65566739932026896</v>
      </c>
      <c r="R13" s="10">
        <v>0.84619979183407168</v>
      </c>
      <c r="S13" s="10">
        <v>1.08909790507167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"/>
  <sheetViews>
    <sheetView workbookViewId="0">
      <selection activeCell="I6" sqref="I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>
        <v>-150</v>
      </c>
      <c r="B2">
        <v>0.29680000000000001</v>
      </c>
      <c r="C2">
        <v>0.40073855507975198</v>
      </c>
      <c r="D2">
        <v>0.103938555079752</v>
      </c>
      <c r="E2">
        <v>4.9867027633101801E-2</v>
      </c>
      <c r="F2">
        <v>9.67946920556866E-4</v>
      </c>
      <c r="G2">
        <v>4.9867027633101801E-2</v>
      </c>
      <c r="H2">
        <v>0.30002533487170302</v>
      </c>
      <c r="I2" s="1">
        <v>1.12180212886688E-5</v>
      </c>
      <c r="J2">
        <v>0</v>
      </c>
      <c r="K2">
        <v>0</v>
      </c>
      <c r="L2">
        <v>100</v>
      </c>
      <c r="M2">
        <v>0</v>
      </c>
      <c r="N2">
        <v>100</v>
      </c>
      <c r="O2">
        <v>0</v>
      </c>
      <c r="P2">
        <v>0</v>
      </c>
      <c r="Q2">
        <v>100</v>
      </c>
      <c r="R2">
        <v>0</v>
      </c>
      <c r="S2">
        <v>-160.9</v>
      </c>
      <c r="T2">
        <v>0</v>
      </c>
      <c r="U2">
        <v>100</v>
      </c>
      <c r="V2">
        <v>48.4</v>
      </c>
      <c r="W2">
        <v>362</v>
      </c>
      <c r="X2">
        <v>58</v>
      </c>
      <c r="Y2">
        <v>2.7</v>
      </c>
      <c r="Z2">
        <v>766</v>
      </c>
      <c r="AA2">
        <v>0</v>
      </c>
      <c r="AB2">
        <v>0</v>
      </c>
      <c r="AC2">
        <v>179.2</v>
      </c>
      <c r="AD2">
        <v>112.2</v>
      </c>
      <c r="AE2">
        <v>20.9</v>
      </c>
      <c r="AF2">
        <v>-106.7</v>
      </c>
      <c r="AG2">
        <v>362036.9</v>
      </c>
      <c r="AH2" t="s">
        <v>35</v>
      </c>
      <c r="AI2">
        <v>1</v>
      </c>
      <c r="AJ2" t="s">
        <v>37</v>
      </c>
      <c r="AK2">
        <f>B2/C2</f>
        <v>0.74063250525254076</v>
      </c>
      <c r="AL2" s="1">
        <f>C2-I2</f>
        <v>0.40072733705846331</v>
      </c>
      <c r="AM2" s="1">
        <f>B2/(C2-I2)</f>
        <v>0.74065323863018351</v>
      </c>
    </row>
    <row r="3" spans="1:39" x14ac:dyDescent="0.25">
      <c r="A3">
        <v>-125</v>
      </c>
      <c r="B3">
        <v>2.1811383899843099E-2</v>
      </c>
      <c r="C3">
        <v>0.437826828665978</v>
      </c>
      <c r="D3">
        <v>0.416015444766135</v>
      </c>
      <c r="E3">
        <v>4.8074853360855402E-2</v>
      </c>
      <c r="F3">
        <v>5.0261360408010297E-3</v>
      </c>
      <c r="G3">
        <v>4.8074853360855402E-2</v>
      </c>
      <c r="H3">
        <v>0.33664096505295898</v>
      </c>
      <c r="I3" s="1">
        <v>1.00208505072852E-5</v>
      </c>
      <c r="J3">
        <v>0</v>
      </c>
      <c r="K3">
        <v>6.65667265185576</v>
      </c>
      <c r="L3">
        <v>93.337694293411104</v>
      </c>
      <c r="M3">
        <v>0</v>
      </c>
      <c r="N3">
        <v>100</v>
      </c>
      <c r="O3">
        <v>0</v>
      </c>
      <c r="P3">
        <v>0</v>
      </c>
      <c r="Q3">
        <v>100</v>
      </c>
      <c r="R3">
        <v>0.13922604959224</v>
      </c>
      <c r="S3">
        <v>-131.70786940072799</v>
      </c>
      <c r="T3">
        <v>0</v>
      </c>
      <c r="U3">
        <v>100</v>
      </c>
      <c r="V3">
        <v>50.302524047588399</v>
      </c>
      <c r="W3">
        <v>346.850537246084</v>
      </c>
      <c r="X3">
        <v>53.942323879993801</v>
      </c>
      <c r="Y3">
        <v>2.7852703316090701</v>
      </c>
      <c r="Z3">
        <v>753.93733413496705</v>
      </c>
      <c r="AA3">
        <v>5.4026760824804603</v>
      </c>
      <c r="AB3">
        <v>0</v>
      </c>
      <c r="AC3">
        <v>172.10973369582999</v>
      </c>
      <c r="AD3">
        <v>111.900461346916</v>
      </c>
      <c r="AE3">
        <v>24.4103103848019</v>
      </c>
      <c r="AF3">
        <v>-85.906183260787898</v>
      </c>
      <c r="AG3">
        <v>28153997.699999999</v>
      </c>
      <c r="AH3">
        <v>1.22270561564543E-3</v>
      </c>
      <c r="AI3">
        <v>81</v>
      </c>
      <c r="AJ3" t="s">
        <v>37</v>
      </c>
      <c r="AK3">
        <f t="shared" ref="AK3:AK23" si="0">B3/C3</f>
        <v>4.9817376350144132E-2</v>
      </c>
      <c r="AL3" s="1">
        <f t="shared" ref="AL3:AL23" si="1">C3-I3</f>
        <v>0.43781680781547072</v>
      </c>
      <c r="AM3" s="1">
        <f t="shared" ref="AM3:AM23" si="2">B3/(C3-I3)</f>
        <v>4.981851658156549E-2</v>
      </c>
    </row>
    <row r="4" spans="1:39" x14ac:dyDescent="0.25">
      <c r="A4">
        <v>-100</v>
      </c>
      <c r="B4">
        <v>0.33472617015295397</v>
      </c>
      <c r="C4">
        <v>0.450673924050838</v>
      </c>
      <c r="D4">
        <v>0.115947753897884</v>
      </c>
      <c r="E4">
        <v>4.79849510942357E-2</v>
      </c>
      <c r="F4">
        <v>4.3263974475593204E-3</v>
      </c>
      <c r="G4">
        <v>4.79849510942357E-2</v>
      </c>
      <c r="H4">
        <v>0.35036820519251299</v>
      </c>
      <c r="I4" s="1">
        <v>9.4192222936649402E-6</v>
      </c>
      <c r="J4">
        <v>0</v>
      </c>
      <c r="K4">
        <v>4.8943628165156303</v>
      </c>
      <c r="L4">
        <v>95.060732763827502</v>
      </c>
      <c r="M4">
        <v>0</v>
      </c>
      <c r="N4">
        <v>100</v>
      </c>
      <c r="O4">
        <v>0</v>
      </c>
      <c r="P4">
        <v>0</v>
      </c>
      <c r="Q4">
        <v>100</v>
      </c>
      <c r="R4">
        <v>0.141965264843043</v>
      </c>
      <c r="S4">
        <v>-108.22552162020401</v>
      </c>
      <c r="T4">
        <v>6.1312449256727402E-4</v>
      </c>
      <c r="U4">
        <v>100</v>
      </c>
      <c r="V4">
        <v>46.902140159704103</v>
      </c>
      <c r="W4">
        <v>308.93730462689501</v>
      </c>
      <c r="X4">
        <v>53.731005281561899</v>
      </c>
      <c r="Y4">
        <v>2.9374347162443399</v>
      </c>
      <c r="Z4">
        <v>774.037165165386</v>
      </c>
      <c r="AA4">
        <v>4.0258294496349398</v>
      </c>
      <c r="AB4">
        <v>0</v>
      </c>
      <c r="AC4">
        <v>171.39194580318301</v>
      </c>
      <c r="AD4">
        <v>111.886239924615</v>
      </c>
      <c r="AE4">
        <v>24.962466901838599</v>
      </c>
      <c r="AF4">
        <v>-66.519204815146296</v>
      </c>
      <c r="AG4">
        <v>783579364.10000002</v>
      </c>
      <c r="AH4">
        <v>4.3845838017128699E-2</v>
      </c>
      <c r="AI4">
        <v>599</v>
      </c>
      <c r="AJ4" t="s">
        <v>37</v>
      </c>
      <c r="AK4">
        <f t="shared" si="0"/>
        <v>0.74272362408790127</v>
      </c>
      <c r="AL4" s="1">
        <f t="shared" si="1"/>
        <v>0.45066450482854437</v>
      </c>
      <c r="AM4" s="1">
        <f t="shared" si="2"/>
        <v>0.74273914756233306</v>
      </c>
    </row>
    <row r="5" spans="1:39" x14ac:dyDescent="0.25">
      <c r="A5">
        <v>-75</v>
      </c>
      <c r="B5">
        <v>0.38310563172793699</v>
      </c>
      <c r="C5">
        <v>0.49873305032659099</v>
      </c>
      <c r="D5">
        <v>0.115627418598654</v>
      </c>
      <c r="E5">
        <v>4.81290575650015E-2</v>
      </c>
      <c r="F5">
        <v>6.1320437898975703E-3</v>
      </c>
      <c r="G5">
        <v>4.81290575650015E-2</v>
      </c>
      <c r="H5">
        <v>0.395956991280421</v>
      </c>
      <c r="I5">
        <v>3.8590012626962101E-4</v>
      </c>
      <c r="J5">
        <v>0</v>
      </c>
      <c r="K5">
        <v>3.32785130593548</v>
      </c>
      <c r="L5">
        <v>96.590363145392999</v>
      </c>
      <c r="M5">
        <v>0</v>
      </c>
      <c r="N5">
        <v>100</v>
      </c>
      <c r="O5">
        <v>0</v>
      </c>
      <c r="P5">
        <v>0</v>
      </c>
      <c r="Q5">
        <v>100</v>
      </c>
      <c r="R5">
        <v>0.22501235252261401</v>
      </c>
      <c r="S5">
        <v>-83.051213908793997</v>
      </c>
      <c r="T5">
        <v>0.41058578775680099</v>
      </c>
      <c r="U5">
        <v>99.997181476864</v>
      </c>
      <c r="V5">
        <v>44.030801350856898</v>
      </c>
      <c r="W5">
        <v>314.58602464194399</v>
      </c>
      <c r="X5">
        <v>54.065876357297299</v>
      </c>
      <c r="Y5">
        <v>3.1823490578329299</v>
      </c>
      <c r="Z5">
        <v>774.62445133985602</v>
      </c>
      <c r="AA5">
        <v>2.1698088776595799</v>
      </c>
      <c r="AB5">
        <v>0</v>
      </c>
      <c r="AC5">
        <v>172.082944317456</v>
      </c>
      <c r="AD5">
        <v>111.92086949767101</v>
      </c>
      <c r="AE5">
        <v>24.975349132600002</v>
      </c>
      <c r="AF5">
        <v>-43.709836734973898</v>
      </c>
      <c r="AG5">
        <v>12959301108.4</v>
      </c>
      <c r="AH5">
        <v>3.9585380138725701E-2</v>
      </c>
      <c r="AI5">
        <v>1770</v>
      </c>
      <c r="AJ5" t="s">
        <v>37</v>
      </c>
      <c r="AK5">
        <f t="shared" si="0"/>
        <v>0.76815769774444187</v>
      </c>
      <c r="AL5" s="1">
        <f t="shared" si="1"/>
        <v>0.49834715020032139</v>
      </c>
      <c r="AM5" s="1">
        <f t="shared" si="2"/>
        <v>0.76875252838094776</v>
      </c>
    </row>
    <row r="6" spans="1:39" x14ac:dyDescent="0.25">
      <c r="A6">
        <v>-50</v>
      </c>
      <c r="B6">
        <v>0.53620367230599397</v>
      </c>
      <c r="C6">
        <v>0.60545755367562903</v>
      </c>
      <c r="D6">
        <v>6.9253881369635395E-2</v>
      </c>
      <c r="E6">
        <v>4.8736643470771598E-2</v>
      </c>
      <c r="F6">
        <v>7.1873120659749403E-3</v>
      </c>
      <c r="G6">
        <v>4.8736643470771598E-2</v>
      </c>
      <c r="H6">
        <v>0.46023254725199397</v>
      </c>
      <c r="I6">
        <v>4.0564407416117103E-2</v>
      </c>
      <c r="J6">
        <v>0</v>
      </c>
      <c r="K6">
        <v>3.1201845003481501</v>
      </c>
      <c r="L6">
        <v>96.788148903961599</v>
      </c>
      <c r="M6">
        <v>0</v>
      </c>
      <c r="N6">
        <v>100</v>
      </c>
      <c r="O6">
        <v>0</v>
      </c>
      <c r="P6">
        <v>0</v>
      </c>
      <c r="Q6">
        <v>100</v>
      </c>
      <c r="R6">
        <v>0.27060709603251398</v>
      </c>
      <c r="S6">
        <v>-59.904226427928798</v>
      </c>
      <c r="T6">
        <v>46.465330052361701</v>
      </c>
      <c r="U6">
        <v>99.999606797868907</v>
      </c>
      <c r="V6">
        <v>42.830999949682997</v>
      </c>
      <c r="W6">
        <v>310.74632334559999</v>
      </c>
      <c r="X6">
        <v>55.438230613298501</v>
      </c>
      <c r="Y6">
        <v>3.3596999269569898</v>
      </c>
      <c r="Z6">
        <v>774.18356524218598</v>
      </c>
      <c r="AA6">
        <v>3.1009375650570199</v>
      </c>
      <c r="AB6">
        <v>0</v>
      </c>
      <c r="AC6">
        <v>172.73483147842401</v>
      </c>
      <c r="AD6">
        <v>112.058848714067</v>
      </c>
      <c r="AE6">
        <v>26.2510632584804</v>
      </c>
      <c r="AF6">
        <v>-29.629900317133799</v>
      </c>
      <c r="AG6">
        <v>101606875540.89999</v>
      </c>
      <c r="AH6">
        <v>4.3309515332494802E-2</v>
      </c>
      <c r="AI6">
        <v>5095</v>
      </c>
      <c r="AJ6" t="s">
        <v>37</v>
      </c>
      <c r="AK6">
        <f t="shared" si="0"/>
        <v>0.8856172807669066</v>
      </c>
      <c r="AL6" s="1">
        <f t="shared" si="1"/>
        <v>0.56489314625951192</v>
      </c>
      <c r="AM6" s="1">
        <f t="shared" si="2"/>
        <v>0.94921256498952455</v>
      </c>
    </row>
    <row r="7" spans="1:39" x14ac:dyDescent="0.25">
      <c r="A7">
        <v>-25</v>
      </c>
      <c r="B7">
        <v>0.62177460436394905</v>
      </c>
      <c r="C7">
        <v>0.75106450437260397</v>
      </c>
      <c r="D7">
        <v>0.12928990000865501</v>
      </c>
      <c r="E7">
        <v>4.9086033288118697E-2</v>
      </c>
      <c r="F7">
        <v>7.6180535469321901E-3</v>
      </c>
      <c r="G7">
        <v>4.9086033288118697E-2</v>
      </c>
      <c r="H7">
        <v>0.53214376352621695</v>
      </c>
      <c r="I7">
        <v>0.113130620723218</v>
      </c>
      <c r="J7">
        <v>0</v>
      </c>
      <c r="K7">
        <v>3.4500901000182602</v>
      </c>
      <c r="L7">
        <v>96.458055177636894</v>
      </c>
      <c r="M7">
        <v>0</v>
      </c>
      <c r="N7">
        <v>100</v>
      </c>
      <c r="O7">
        <v>0</v>
      </c>
      <c r="P7">
        <v>0</v>
      </c>
      <c r="Q7">
        <v>100</v>
      </c>
      <c r="R7">
        <v>0.28570473030732602</v>
      </c>
      <c r="S7">
        <v>-36.485794442309199</v>
      </c>
      <c r="T7">
        <v>171.758792226808</v>
      </c>
      <c r="U7">
        <v>99.997262236309098</v>
      </c>
      <c r="V7">
        <v>43.035907010713302</v>
      </c>
      <c r="W7">
        <v>309.93307995559798</v>
      </c>
      <c r="X7">
        <v>56.229995922511499</v>
      </c>
      <c r="Y7">
        <v>3.5068740203315998</v>
      </c>
      <c r="Z7">
        <v>771.51001300655105</v>
      </c>
      <c r="AA7">
        <v>6.2217985190939702</v>
      </c>
      <c r="AB7">
        <v>0</v>
      </c>
      <c r="AC7">
        <v>173.47828516426699</v>
      </c>
      <c r="AD7">
        <v>112.241983462365</v>
      </c>
      <c r="AE7">
        <v>29.638045577306901</v>
      </c>
      <c r="AF7">
        <v>-20.217383597172201</v>
      </c>
      <c r="AG7">
        <v>250386439257.20001</v>
      </c>
      <c r="AH7">
        <v>5.0207002595583798E-2</v>
      </c>
      <c r="AI7">
        <v>12375</v>
      </c>
      <c r="AJ7" t="s">
        <v>37</v>
      </c>
      <c r="AK7">
        <f t="shared" si="0"/>
        <v>0.82785779482861299</v>
      </c>
      <c r="AL7" s="1">
        <f t="shared" si="1"/>
        <v>0.63793388364938597</v>
      </c>
      <c r="AM7" s="1">
        <f t="shared" si="2"/>
        <v>0.97466935101017738</v>
      </c>
    </row>
    <row r="8" spans="1:39" x14ac:dyDescent="0.25">
      <c r="A8">
        <v>0</v>
      </c>
      <c r="B8">
        <v>0.71408599102349501</v>
      </c>
      <c r="C8">
        <v>0.84387398568814298</v>
      </c>
      <c r="D8">
        <v>0.12978799466464899</v>
      </c>
      <c r="E8">
        <v>4.9821146630339E-2</v>
      </c>
      <c r="F8">
        <v>9.6075056401873898E-3</v>
      </c>
      <c r="G8">
        <v>4.9821146630339E-2</v>
      </c>
      <c r="H8">
        <v>0.54641760041940401</v>
      </c>
      <c r="I8">
        <v>0.18820658636787399</v>
      </c>
      <c r="J8">
        <v>0</v>
      </c>
      <c r="K8">
        <v>3.8662047485798201</v>
      </c>
      <c r="L8">
        <v>96.044398829224093</v>
      </c>
      <c r="M8">
        <v>0</v>
      </c>
      <c r="N8">
        <v>100</v>
      </c>
      <c r="O8">
        <v>0</v>
      </c>
      <c r="P8">
        <v>0</v>
      </c>
      <c r="Q8">
        <v>100</v>
      </c>
      <c r="R8">
        <v>0.34956214124117502</v>
      </c>
      <c r="S8">
        <v>-12.680698828763401</v>
      </c>
      <c r="T8">
        <v>587.96389222578603</v>
      </c>
      <c r="U8">
        <v>99.991567158988502</v>
      </c>
      <c r="V8">
        <v>43.632453601914797</v>
      </c>
      <c r="W8">
        <v>307.23589186167101</v>
      </c>
      <c r="X8">
        <v>57.937982674727998</v>
      </c>
      <c r="Y8">
        <v>3.7165006402544698</v>
      </c>
      <c r="Z8">
        <v>767.67219475872298</v>
      </c>
      <c r="AA8">
        <v>12.0456733433544</v>
      </c>
      <c r="AB8">
        <v>0</v>
      </c>
      <c r="AC8">
        <v>172.21901802097901</v>
      </c>
      <c r="AD8">
        <v>112.15506005175899</v>
      </c>
      <c r="AE8">
        <v>31.156562883691901</v>
      </c>
      <c r="AF8">
        <v>-12.7042738861667</v>
      </c>
      <c r="AG8">
        <v>299146480857.5</v>
      </c>
      <c r="AH8">
        <v>6.1445334059235301E-2</v>
      </c>
      <c r="AI8">
        <v>23246</v>
      </c>
      <c r="AJ8" t="s">
        <v>37</v>
      </c>
      <c r="AK8">
        <f t="shared" si="0"/>
        <v>0.84619979183407168</v>
      </c>
      <c r="AL8" s="1">
        <f t="shared" si="1"/>
        <v>0.65566739932026896</v>
      </c>
      <c r="AM8" s="1">
        <f t="shared" si="2"/>
        <v>1.08909790507167</v>
      </c>
    </row>
    <row r="9" spans="1:39" x14ac:dyDescent="0.25">
      <c r="A9">
        <v>-175</v>
      </c>
      <c r="B9">
        <v>2.79694938405108E-4</v>
      </c>
      <c r="C9">
        <v>0.45549392530374699</v>
      </c>
      <c r="D9">
        <v>0.45521423036534198</v>
      </c>
      <c r="E9">
        <v>4.6091365919374599E-2</v>
      </c>
      <c r="F9">
        <v>6.3979205994080099E-3</v>
      </c>
      <c r="G9">
        <v>4.6091365919374599E-2</v>
      </c>
      <c r="H9">
        <v>0.35690575345841802</v>
      </c>
      <c r="I9" s="1">
        <v>7.5194071717600997E-6</v>
      </c>
      <c r="J9">
        <v>0</v>
      </c>
      <c r="K9">
        <v>0</v>
      </c>
      <c r="L9">
        <v>100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-183.758513712998</v>
      </c>
      <c r="T9">
        <v>0</v>
      </c>
      <c r="U9">
        <v>100</v>
      </c>
      <c r="V9">
        <v>69.301904772199805</v>
      </c>
      <c r="W9">
        <v>198.04798305633699</v>
      </c>
      <c r="X9">
        <v>49.377419234037397</v>
      </c>
      <c r="Y9">
        <v>2.6310772153783502</v>
      </c>
      <c r="Z9">
        <v>662.64918984703195</v>
      </c>
      <c r="AA9">
        <v>0</v>
      </c>
      <c r="AB9">
        <v>0</v>
      </c>
      <c r="AC9">
        <v>168.767531840468</v>
      </c>
      <c r="AD9">
        <v>111.786307772035</v>
      </c>
      <c r="AE9">
        <v>25.0255924793323</v>
      </c>
      <c r="AF9">
        <v>-100.84156330715901</v>
      </c>
      <c r="AG9">
        <v>777069.3</v>
      </c>
      <c r="AH9" s="1">
        <v>4.5000000000000001E-6</v>
      </c>
      <c r="AI9">
        <v>4</v>
      </c>
      <c r="AJ9" t="s">
        <v>38</v>
      </c>
      <c r="AK9">
        <f t="shared" si="0"/>
        <v>6.1404757092774155E-4</v>
      </c>
      <c r="AL9" s="1">
        <f t="shared" si="1"/>
        <v>0.45548640589657524</v>
      </c>
      <c r="AM9" s="1">
        <f t="shared" si="2"/>
        <v>6.1405770794533169E-4</v>
      </c>
    </row>
    <row r="10" spans="1:39" x14ac:dyDescent="0.25">
      <c r="A10">
        <v>-150</v>
      </c>
      <c r="B10">
        <v>9.0465621563938807</v>
      </c>
      <c r="C10">
        <v>0.44419634762305399</v>
      </c>
      <c r="D10">
        <v>-8.6023658087708199</v>
      </c>
      <c r="E10">
        <v>4.7329825462320702E-2</v>
      </c>
      <c r="F10">
        <v>1.70491095617172E-2</v>
      </c>
      <c r="G10">
        <v>4.7329825462320702E-2</v>
      </c>
      <c r="H10">
        <v>0.332479148793492</v>
      </c>
      <c r="I10" s="1">
        <v>8.4383432027009299E-6</v>
      </c>
      <c r="J10">
        <v>0</v>
      </c>
      <c r="K10">
        <v>0</v>
      </c>
      <c r="L10">
        <v>100</v>
      </c>
      <c r="M10">
        <v>100</v>
      </c>
      <c r="N10">
        <v>0</v>
      </c>
      <c r="O10">
        <v>0</v>
      </c>
      <c r="P10">
        <v>0</v>
      </c>
      <c r="Q10">
        <v>0</v>
      </c>
      <c r="R10">
        <v>0.54333143948188201</v>
      </c>
      <c r="S10">
        <v>-162.27716300038799</v>
      </c>
      <c r="T10">
        <v>0</v>
      </c>
      <c r="U10">
        <v>100</v>
      </c>
      <c r="V10">
        <v>67.435779318182398</v>
      </c>
      <c r="W10">
        <v>231.58178612361101</v>
      </c>
      <c r="X10">
        <v>52.199130153082301</v>
      </c>
      <c r="Y10">
        <v>2.60879297587935</v>
      </c>
      <c r="Z10">
        <v>717.69028702258197</v>
      </c>
      <c r="AA10">
        <v>0</v>
      </c>
      <c r="AB10">
        <v>0</v>
      </c>
      <c r="AC10">
        <v>173.86387959930599</v>
      </c>
      <c r="AD10">
        <v>112.195396281657</v>
      </c>
      <c r="AE10">
        <v>25.9703177919233</v>
      </c>
      <c r="AF10">
        <v>-123.22799887693699</v>
      </c>
      <c r="AG10">
        <v>2959049.4</v>
      </c>
      <c r="AH10">
        <v>0.28867432108691699</v>
      </c>
      <c r="AI10">
        <v>12</v>
      </c>
      <c r="AJ10" t="s">
        <v>38</v>
      </c>
      <c r="AK10">
        <f t="shared" si="0"/>
        <v>20.366133591154185</v>
      </c>
      <c r="AL10" s="1">
        <f t="shared" si="1"/>
        <v>0.4441879092798513</v>
      </c>
      <c r="AM10" s="1">
        <f t="shared" si="2"/>
        <v>20.366520491430762</v>
      </c>
    </row>
    <row r="11" spans="1:39" x14ac:dyDescent="0.25">
      <c r="A11">
        <v>-125</v>
      </c>
      <c r="B11">
        <v>1.3154976098497699</v>
      </c>
      <c r="C11">
        <v>0.41287460127780701</v>
      </c>
      <c r="D11">
        <v>-0.90262300857195799</v>
      </c>
      <c r="E11">
        <v>4.7898391306464498E-2</v>
      </c>
      <c r="F11">
        <v>1.0825371240505199E-2</v>
      </c>
      <c r="G11">
        <v>4.7898391306464498E-2</v>
      </c>
      <c r="H11">
        <v>0.30624356424365101</v>
      </c>
      <c r="I11" s="1">
        <v>8.8831807216297603E-6</v>
      </c>
      <c r="J11">
        <v>0</v>
      </c>
      <c r="K11">
        <v>0</v>
      </c>
      <c r="L11">
        <v>100</v>
      </c>
      <c r="M11">
        <v>100</v>
      </c>
      <c r="N11">
        <v>0</v>
      </c>
      <c r="O11">
        <v>0</v>
      </c>
      <c r="P11">
        <v>0</v>
      </c>
      <c r="Q11">
        <v>0</v>
      </c>
      <c r="R11">
        <v>0.34296974361547999</v>
      </c>
      <c r="S11">
        <v>-135.80190264314101</v>
      </c>
      <c r="T11">
        <v>0</v>
      </c>
      <c r="U11">
        <v>100</v>
      </c>
      <c r="V11">
        <v>63.401481370374498</v>
      </c>
      <c r="W11">
        <v>263.49753277974099</v>
      </c>
      <c r="X11">
        <v>53.504127514858901</v>
      </c>
      <c r="Y11">
        <v>2.7517728947339499</v>
      </c>
      <c r="Z11">
        <v>750.32620140038898</v>
      </c>
      <c r="AA11">
        <v>0</v>
      </c>
      <c r="AB11">
        <v>0</v>
      </c>
      <c r="AC11">
        <v>173.33081723717001</v>
      </c>
      <c r="AD11">
        <v>112.033833009049</v>
      </c>
      <c r="AE11">
        <v>25.7944992343152</v>
      </c>
      <c r="AF11">
        <v>-103.85050006932801</v>
      </c>
      <c r="AG11">
        <v>30914483.5</v>
      </c>
      <c r="AH11">
        <v>5.3268995132294598E-2</v>
      </c>
      <c r="AI11">
        <v>80</v>
      </c>
      <c r="AJ11" t="s">
        <v>38</v>
      </c>
      <c r="AK11">
        <f t="shared" si="0"/>
        <v>3.1861916566880888</v>
      </c>
      <c r="AL11" s="1">
        <f t="shared" si="1"/>
        <v>0.41286571809708539</v>
      </c>
      <c r="AM11" s="1">
        <f t="shared" si="2"/>
        <v>3.1862602104939861</v>
      </c>
    </row>
    <row r="12" spans="1:39" x14ac:dyDescent="0.25">
      <c r="A12">
        <v>-100</v>
      </c>
      <c r="B12">
        <v>0.22148896749826499</v>
      </c>
      <c r="C12">
        <v>0.420956984739358</v>
      </c>
      <c r="D12">
        <v>0.199468017241092</v>
      </c>
      <c r="E12">
        <v>4.8163326231623498E-2</v>
      </c>
      <c r="F12">
        <v>9.2026479858434897E-3</v>
      </c>
      <c r="G12">
        <v>4.8163326231623498E-2</v>
      </c>
      <c r="H12">
        <v>0.31541811194293601</v>
      </c>
      <c r="I12" s="1">
        <v>9.5723473308683707E-6</v>
      </c>
      <c r="J12">
        <v>0</v>
      </c>
      <c r="K12">
        <v>6.6874165505383001</v>
      </c>
      <c r="L12">
        <v>93.278260112539002</v>
      </c>
      <c r="M12">
        <v>100</v>
      </c>
      <c r="N12">
        <v>0</v>
      </c>
      <c r="O12">
        <v>0</v>
      </c>
      <c r="P12">
        <v>0</v>
      </c>
      <c r="Q12">
        <v>0</v>
      </c>
      <c r="R12">
        <v>0.31117393333241</v>
      </c>
      <c r="S12">
        <v>-108.289714556181</v>
      </c>
      <c r="T12">
        <v>0.98158143492156802</v>
      </c>
      <c r="U12">
        <v>100</v>
      </c>
      <c r="V12">
        <v>53.925991205207602</v>
      </c>
      <c r="W12">
        <v>316.71757404461499</v>
      </c>
      <c r="X12">
        <v>54.135533557371303</v>
      </c>
      <c r="Y12">
        <v>2.98292921760657</v>
      </c>
      <c r="Z12">
        <v>767.89932335512697</v>
      </c>
      <c r="AA12">
        <v>0</v>
      </c>
      <c r="AB12">
        <v>0</v>
      </c>
      <c r="AC12">
        <v>171.621703102688</v>
      </c>
      <c r="AD12">
        <v>111.91928010634901</v>
      </c>
      <c r="AE12">
        <v>25.755436008569401</v>
      </c>
      <c r="AF12">
        <v>-69.008845401916503</v>
      </c>
      <c r="AG12">
        <v>343658777.60000002</v>
      </c>
      <c r="AH12">
        <v>5.0579817071948002E-2</v>
      </c>
      <c r="AI12">
        <v>438</v>
      </c>
      <c r="AJ12" t="s">
        <v>38</v>
      </c>
      <c r="AK12">
        <f t="shared" si="0"/>
        <v>0.52615582001900574</v>
      </c>
      <c r="AL12" s="1">
        <f t="shared" si="1"/>
        <v>0.42094741239202715</v>
      </c>
      <c r="AM12" s="1">
        <f t="shared" si="2"/>
        <v>0.52616778480631909</v>
      </c>
    </row>
    <row r="13" spans="1:39" x14ac:dyDescent="0.25">
      <c r="A13">
        <v>-75</v>
      </c>
      <c r="B13">
        <v>0.45947524264527201</v>
      </c>
      <c r="C13">
        <v>0.45800509348938401</v>
      </c>
      <c r="D13">
        <v>-1.4701491558875501E-3</v>
      </c>
      <c r="E13">
        <v>4.8571537556393103E-2</v>
      </c>
      <c r="F13">
        <v>7.6975613503068203E-3</v>
      </c>
      <c r="G13">
        <v>4.8571537556393103E-2</v>
      </c>
      <c r="H13">
        <v>0.35279093951607998</v>
      </c>
      <c r="I13">
        <v>3.7351751021059602E-4</v>
      </c>
      <c r="J13">
        <v>0</v>
      </c>
      <c r="K13">
        <v>7.2857762906834198</v>
      </c>
      <c r="L13">
        <v>92.635839269223794</v>
      </c>
      <c r="M13">
        <v>100</v>
      </c>
      <c r="N13">
        <v>0</v>
      </c>
      <c r="O13">
        <v>0</v>
      </c>
      <c r="P13">
        <v>0</v>
      </c>
      <c r="Q13">
        <v>0</v>
      </c>
      <c r="R13">
        <v>0.27086651759060398</v>
      </c>
      <c r="S13">
        <v>-83.215720324541493</v>
      </c>
      <c r="T13">
        <v>0.29452031223025998</v>
      </c>
      <c r="U13">
        <v>99.961582316976205</v>
      </c>
      <c r="V13">
        <v>51.1823277483971</v>
      </c>
      <c r="W13">
        <v>333.07652684717698</v>
      </c>
      <c r="X13">
        <v>55.077665585186402</v>
      </c>
      <c r="Y13">
        <v>3.2098241119429298</v>
      </c>
      <c r="Z13">
        <v>770.04468551375999</v>
      </c>
      <c r="AA13">
        <v>0</v>
      </c>
      <c r="AB13">
        <v>0</v>
      </c>
      <c r="AC13">
        <v>172.75572440488099</v>
      </c>
      <c r="AD13">
        <v>111.960706904731</v>
      </c>
      <c r="AE13">
        <v>24.469930361431899</v>
      </c>
      <c r="AF13">
        <v>-42.683567530267403</v>
      </c>
      <c r="AG13">
        <v>5750451075.6999998</v>
      </c>
      <c r="AH13">
        <v>6.2995923904147696E-2</v>
      </c>
      <c r="AI13">
        <v>1452</v>
      </c>
      <c r="AJ13" t="s">
        <v>38</v>
      </c>
      <c r="AK13">
        <f t="shared" si="0"/>
        <v>1.0032098969570129</v>
      </c>
      <c r="AL13" s="1">
        <f t="shared" si="1"/>
        <v>0.45763157597917342</v>
      </c>
      <c r="AM13" s="1">
        <f t="shared" si="2"/>
        <v>1.0040287138450921</v>
      </c>
    </row>
    <row r="14" spans="1:39" x14ac:dyDescent="0.25">
      <c r="A14">
        <v>-50</v>
      </c>
      <c r="B14">
        <v>0.56692181561557498</v>
      </c>
      <c r="C14">
        <v>0.55583280190403195</v>
      </c>
      <c r="D14">
        <v>-1.10890137115428E-2</v>
      </c>
      <c r="E14">
        <v>4.8832235239825897E-2</v>
      </c>
      <c r="F14">
        <v>8.0895584165339898E-3</v>
      </c>
      <c r="G14">
        <v>4.8832235239825897E-2</v>
      </c>
      <c r="H14">
        <v>0.40925829206761799</v>
      </c>
      <c r="I14">
        <v>4.08204809402282E-2</v>
      </c>
      <c r="J14">
        <v>0</v>
      </c>
      <c r="K14">
        <v>8.5796462692814597</v>
      </c>
      <c r="L14">
        <v>91.328020810149596</v>
      </c>
      <c r="M14">
        <v>100</v>
      </c>
      <c r="N14">
        <v>0</v>
      </c>
      <c r="O14">
        <v>0</v>
      </c>
      <c r="P14">
        <v>0</v>
      </c>
      <c r="Q14">
        <v>0</v>
      </c>
      <c r="R14">
        <v>0.29101893663890799</v>
      </c>
      <c r="S14">
        <v>-59.898005039706703</v>
      </c>
      <c r="T14">
        <v>34.425223328223403</v>
      </c>
      <c r="U14">
        <v>100</v>
      </c>
      <c r="V14">
        <v>50.765858641887199</v>
      </c>
      <c r="W14">
        <v>311.938358540585</v>
      </c>
      <c r="X14">
        <v>55.650649402392197</v>
      </c>
      <c r="Y14">
        <v>3.3620778484606499</v>
      </c>
      <c r="Z14">
        <v>770.60776244854605</v>
      </c>
      <c r="AA14">
        <v>0</v>
      </c>
      <c r="AB14">
        <v>0</v>
      </c>
      <c r="AC14">
        <v>173.12663538463499</v>
      </c>
      <c r="AD14">
        <v>112.082424681966</v>
      </c>
      <c r="AE14">
        <v>26.3345725877723</v>
      </c>
      <c r="AF14">
        <v>-31.255841868631801</v>
      </c>
      <c r="AG14">
        <v>46164851521.5</v>
      </c>
      <c r="AH14">
        <v>4.7240253167486403E-2</v>
      </c>
      <c r="AI14">
        <v>4155</v>
      </c>
      <c r="AJ14" t="s">
        <v>38</v>
      </c>
      <c r="AK14">
        <f t="shared" si="0"/>
        <v>1.0199502686303454</v>
      </c>
      <c r="AL14" s="1">
        <f t="shared" si="1"/>
        <v>0.51501232096380378</v>
      </c>
      <c r="AM14" s="1">
        <f t="shared" si="2"/>
        <v>1.1007927238607162</v>
      </c>
    </row>
    <row r="15" spans="1:39" x14ac:dyDescent="0.25">
      <c r="A15">
        <v>-25</v>
      </c>
      <c r="B15">
        <v>0.70498400369891601</v>
      </c>
      <c r="C15">
        <v>0.69120536440694702</v>
      </c>
      <c r="D15">
        <v>-1.3778639291968899E-2</v>
      </c>
      <c r="E15">
        <v>4.8953722179459799E-2</v>
      </c>
      <c r="F15">
        <v>8.4170281196609305E-3</v>
      </c>
      <c r="G15">
        <v>4.8953722179459799E-2</v>
      </c>
      <c r="H15">
        <v>0.47038980697815203</v>
      </c>
      <c r="I15">
        <v>0.114491084950215</v>
      </c>
      <c r="J15">
        <v>0</v>
      </c>
      <c r="K15">
        <v>8.95184154242882</v>
      </c>
      <c r="L15">
        <v>90.954539755754297</v>
      </c>
      <c r="M15">
        <v>100</v>
      </c>
      <c r="N15">
        <v>0</v>
      </c>
      <c r="O15">
        <v>0</v>
      </c>
      <c r="P15">
        <v>0</v>
      </c>
      <c r="Q15">
        <v>0</v>
      </c>
      <c r="R15">
        <v>0.30419867866580902</v>
      </c>
      <c r="S15">
        <v>-36.336539692449001</v>
      </c>
      <c r="T15">
        <v>132.39002223478201</v>
      </c>
      <c r="U15">
        <v>99.999832372906994</v>
      </c>
      <c r="V15">
        <v>50.671835669996398</v>
      </c>
      <c r="W15">
        <v>307.19725505410401</v>
      </c>
      <c r="X15">
        <v>55.918302453256402</v>
      </c>
      <c r="Y15">
        <v>3.4989205555851899</v>
      </c>
      <c r="Z15">
        <v>768.72594574812001</v>
      </c>
      <c r="AA15">
        <v>0</v>
      </c>
      <c r="AB15">
        <v>0</v>
      </c>
      <c r="AC15">
        <v>173.60669272663699</v>
      </c>
      <c r="AD15">
        <v>112.25619246535</v>
      </c>
      <c r="AE15">
        <v>30.018876732274599</v>
      </c>
      <c r="AF15">
        <v>-23.595732739614899</v>
      </c>
      <c r="AG15">
        <v>120916551384.2</v>
      </c>
      <c r="AH15">
        <v>6.0827151386408998E-2</v>
      </c>
      <c r="AI15">
        <v>9683</v>
      </c>
      <c r="AJ15" t="s">
        <v>38</v>
      </c>
      <c r="AK15">
        <f t="shared" si="0"/>
        <v>1.0199342192660659</v>
      </c>
      <c r="AL15" s="1">
        <f t="shared" si="1"/>
        <v>0.57671427945673204</v>
      </c>
      <c r="AM15" s="1">
        <f t="shared" si="2"/>
        <v>1.2224146840321255</v>
      </c>
    </row>
    <row r="16" spans="1:39" x14ac:dyDescent="0.25">
      <c r="A16">
        <v>0</v>
      </c>
      <c r="B16">
        <v>0.77169377400365702</v>
      </c>
      <c r="C16">
        <v>0.78503502566377603</v>
      </c>
      <c r="D16">
        <v>1.33412516601193E-2</v>
      </c>
      <c r="E16">
        <v>4.9835405443002002E-2</v>
      </c>
      <c r="F16">
        <v>1.02927119487127E-2</v>
      </c>
      <c r="G16">
        <v>4.9835405443002002E-2</v>
      </c>
      <c r="H16">
        <v>0.48219568497377102</v>
      </c>
      <c r="I16">
        <v>0.19287581785528801</v>
      </c>
      <c r="J16">
        <v>0</v>
      </c>
      <c r="K16">
        <v>9.1725146584290904</v>
      </c>
      <c r="L16">
        <v>90.737688039169996</v>
      </c>
      <c r="M16">
        <v>100</v>
      </c>
      <c r="N16">
        <v>0</v>
      </c>
      <c r="O16">
        <v>0</v>
      </c>
      <c r="P16">
        <v>0</v>
      </c>
      <c r="Q16">
        <v>0</v>
      </c>
      <c r="R16">
        <v>0.36148229175733998</v>
      </c>
      <c r="S16">
        <v>-13.137182385926099</v>
      </c>
      <c r="T16">
        <v>511.496046355663</v>
      </c>
      <c r="U16">
        <v>99.999389288628905</v>
      </c>
      <c r="V16">
        <v>50.395248376418699</v>
      </c>
      <c r="W16">
        <v>306.806222824521</v>
      </c>
      <c r="X16">
        <v>57.9647923028595</v>
      </c>
      <c r="Y16">
        <v>3.7131855276843502</v>
      </c>
      <c r="Z16">
        <v>765.20231731116996</v>
      </c>
      <c r="AA16">
        <v>0</v>
      </c>
      <c r="AB16">
        <v>0</v>
      </c>
      <c r="AC16">
        <v>172.12084517811499</v>
      </c>
      <c r="AD16">
        <v>112.15485684084901</v>
      </c>
      <c r="AE16">
        <v>31.4765044967683</v>
      </c>
      <c r="AF16">
        <v>-17.384335093833499</v>
      </c>
      <c r="AG16">
        <v>136686288682.89999</v>
      </c>
      <c r="AH16">
        <v>5.9949339951539102E-2</v>
      </c>
      <c r="AI16">
        <v>18326</v>
      </c>
      <c r="AJ16" t="s">
        <v>38</v>
      </c>
      <c r="AK16">
        <f t="shared" si="0"/>
        <v>0.98300553322593665</v>
      </c>
      <c r="AL16" s="1">
        <f t="shared" si="1"/>
        <v>0.59215920780848808</v>
      </c>
      <c r="AM16" s="1">
        <f t="shared" si="2"/>
        <v>1.3031863117684268</v>
      </c>
    </row>
    <row r="17" spans="1:39" x14ac:dyDescent="0.25">
      <c r="A17">
        <v>-150</v>
      </c>
      <c r="B17" s="1">
        <v>2.5113324706669601E-5</v>
      </c>
      <c r="C17">
        <v>0.366238999296429</v>
      </c>
      <c r="D17">
        <v>0.366213885971722</v>
      </c>
      <c r="E17">
        <v>4.7193785389598002E-2</v>
      </c>
      <c r="F17">
        <v>2.3749031424021398E-3</v>
      </c>
      <c r="G17">
        <v>4.7193785389598002E-2</v>
      </c>
      <c r="H17">
        <v>0.26946727283818001</v>
      </c>
      <c r="I17" s="1">
        <v>9.2525366512007494E-6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0</v>
      </c>
      <c r="Q17">
        <v>0</v>
      </c>
      <c r="R17">
        <v>7.3480311368991399E-2</v>
      </c>
      <c r="S17">
        <v>-156.193811627587</v>
      </c>
      <c r="T17">
        <v>0</v>
      </c>
      <c r="U17">
        <v>100</v>
      </c>
      <c r="V17">
        <v>40.441258664628798</v>
      </c>
      <c r="W17">
        <v>269.412645203804</v>
      </c>
      <c r="X17">
        <v>51.938102265120897</v>
      </c>
      <c r="Y17">
        <v>2.7</v>
      </c>
      <c r="Z17">
        <v>766</v>
      </c>
      <c r="AA17">
        <v>0</v>
      </c>
      <c r="AB17">
        <v>0</v>
      </c>
      <c r="AC17">
        <v>170.76704605491599</v>
      </c>
      <c r="AD17">
        <v>111.746794033981</v>
      </c>
      <c r="AE17">
        <v>23.819532573511399</v>
      </c>
      <c r="AF17">
        <v>-87</v>
      </c>
      <c r="AG17">
        <v>1077743.8</v>
      </c>
      <c r="AH17" s="1">
        <v>4.9999999999999998E-7</v>
      </c>
      <c r="AI17">
        <v>4</v>
      </c>
      <c r="AJ17" t="s">
        <v>39</v>
      </c>
      <c r="AK17">
        <f t="shared" si="0"/>
        <v>6.8570864257804526E-5</v>
      </c>
      <c r="AL17" s="1">
        <f t="shared" si="1"/>
        <v>0.36622974675977782</v>
      </c>
      <c r="AM17" s="1">
        <f t="shared" si="2"/>
        <v>6.857259665240208E-5</v>
      </c>
    </row>
    <row r="18" spans="1:39" x14ac:dyDescent="0.25">
      <c r="A18">
        <v>-125</v>
      </c>
      <c r="B18">
        <v>2.3246377657199901E-2</v>
      </c>
      <c r="C18">
        <v>0.41847207333164299</v>
      </c>
      <c r="D18">
        <v>0.39522569567444299</v>
      </c>
      <c r="E18">
        <v>4.7751852711960099E-2</v>
      </c>
      <c r="F18">
        <v>3.9339271913568898E-3</v>
      </c>
      <c r="G18">
        <v>4.7751852711960099E-2</v>
      </c>
      <c r="H18">
        <v>0.31902512428991597</v>
      </c>
      <c r="I18" s="1">
        <v>9.3164264501626501E-6</v>
      </c>
      <c r="J18">
        <v>0</v>
      </c>
      <c r="K18">
        <v>0</v>
      </c>
      <c r="L18">
        <v>100</v>
      </c>
      <c r="M18">
        <v>0</v>
      </c>
      <c r="N18">
        <v>0</v>
      </c>
      <c r="O18">
        <v>100</v>
      </c>
      <c r="P18">
        <v>0</v>
      </c>
      <c r="Q18">
        <v>0</v>
      </c>
      <c r="R18">
        <v>9.1323320258372198E-2</v>
      </c>
      <c r="S18">
        <v>-132.19579295130501</v>
      </c>
      <c r="T18">
        <v>0</v>
      </c>
      <c r="U18">
        <v>100</v>
      </c>
      <c r="V18">
        <v>42.907552578729899</v>
      </c>
      <c r="W18">
        <v>284.59371598589598</v>
      </c>
      <c r="X18">
        <v>53.1892641343387</v>
      </c>
      <c r="Y18">
        <v>2.8054180298914901</v>
      </c>
      <c r="Z18">
        <v>735.26019597493598</v>
      </c>
      <c r="AA18">
        <v>0</v>
      </c>
      <c r="AB18">
        <v>0</v>
      </c>
      <c r="AC18">
        <v>171.679206076345</v>
      </c>
      <c r="AD18">
        <v>111.918844074123</v>
      </c>
      <c r="AE18">
        <v>25.122190890707301</v>
      </c>
      <c r="AF18">
        <v>-80.554997605407095</v>
      </c>
      <c r="AG18">
        <v>13781048</v>
      </c>
      <c r="AH18">
        <v>4.3944162629130598E-4</v>
      </c>
      <c r="AI18">
        <v>44</v>
      </c>
      <c r="AJ18" t="s">
        <v>39</v>
      </c>
      <c r="AK18">
        <f t="shared" si="0"/>
        <v>5.5550606930888147E-2</v>
      </c>
      <c r="AL18" s="1">
        <f t="shared" si="1"/>
        <v>0.4184627569051928</v>
      </c>
      <c r="AM18" s="1">
        <f t="shared" si="2"/>
        <v>5.5551843679284979E-2</v>
      </c>
    </row>
    <row r="19" spans="1:39" x14ac:dyDescent="0.25">
      <c r="A19">
        <v>-100</v>
      </c>
      <c r="B19">
        <v>0.41783261723829801</v>
      </c>
      <c r="C19">
        <v>0.41821356016275402</v>
      </c>
      <c r="D19">
        <v>3.8094292445625899E-4</v>
      </c>
      <c r="E19">
        <v>4.8043250683187398E-2</v>
      </c>
      <c r="F19">
        <v>6.6008693491242604E-3</v>
      </c>
      <c r="G19">
        <v>4.8043250683187398E-2</v>
      </c>
      <c r="H19">
        <v>0.31551684470872698</v>
      </c>
      <c r="I19" s="1">
        <v>9.3447385283465801E-6</v>
      </c>
      <c r="J19">
        <v>0</v>
      </c>
      <c r="K19">
        <v>1.6684944488430999</v>
      </c>
      <c r="L19">
        <v>98.3198549909348</v>
      </c>
      <c r="M19">
        <v>0</v>
      </c>
      <c r="N19">
        <v>0</v>
      </c>
      <c r="O19">
        <v>100</v>
      </c>
      <c r="P19">
        <v>0</v>
      </c>
      <c r="Q19">
        <v>0</v>
      </c>
      <c r="R19">
        <v>0.21201974449109501</v>
      </c>
      <c r="S19">
        <v>-108.385750293556</v>
      </c>
      <c r="T19">
        <v>1.54340903719357E-2</v>
      </c>
      <c r="U19">
        <v>100</v>
      </c>
      <c r="V19">
        <v>44.674983772035901</v>
      </c>
      <c r="W19">
        <v>293.724478050225</v>
      </c>
      <c r="X19">
        <v>53.866982517562597</v>
      </c>
      <c r="Y19">
        <v>2.9534008807316798</v>
      </c>
      <c r="Z19">
        <v>769.54684663726005</v>
      </c>
      <c r="AA19">
        <v>0</v>
      </c>
      <c r="AB19">
        <v>0</v>
      </c>
      <c r="AC19">
        <v>171.601079741213</v>
      </c>
      <c r="AD19">
        <v>111.892438267919</v>
      </c>
      <c r="AE19">
        <v>24.824266029786902</v>
      </c>
      <c r="AF19">
        <v>-65.952528653580799</v>
      </c>
      <c r="AG19">
        <v>281392352.60000002</v>
      </c>
      <c r="AH19">
        <v>5.8771275156833801E-2</v>
      </c>
      <c r="AI19">
        <v>395</v>
      </c>
      <c r="AJ19" t="s">
        <v>39</v>
      </c>
      <c r="AK19">
        <f t="shared" si="0"/>
        <v>0.99908911866868266</v>
      </c>
      <c r="AL19" s="1">
        <f t="shared" si="1"/>
        <v>0.41820421542422564</v>
      </c>
      <c r="AM19" s="1">
        <f t="shared" si="2"/>
        <v>0.99911144323222401</v>
      </c>
    </row>
    <row r="20" spans="1:39" x14ac:dyDescent="0.25">
      <c r="A20">
        <v>-75</v>
      </c>
      <c r="B20">
        <v>0.32368637647867199</v>
      </c>
      <c r="C20">
        <v>0.45878332520036402</v>
      </c>
      <c r="D20">
        <v>0.13509694872169301</v>
      </c>
      <c r="E20">
        <v>4.8202770361085799E-2</v>
      </c>
      <c r="F20">
        <v>6.8110846514980797E-3</v>
      </c>
      <c r="G20">
        <v>4.8202770361085799E-2</v>
      </c>
      <c r="H20">
        <v>0.35515924416552003</v>
      </c>
      <c r="I20">
        <v>4.0745566117510602E-4</v>
      </c>
      <c r="J20">
        <v>0</v>
      </c>
      <c r="K20">
        <v>2.3600483871311702</v>
      </c>
      <c r="L20">
        <v>97.582110329881402</v>
      </c>
      <c r="M20">
        <v>0</v>
      </c>
      <c r="N20">
        <v>0</v>
      </c>
      <c r="O20">
        <v>100</v>
      </c>
      <c r="P20">
        <v>0</v>
      </c>
      <c r="Q20">
        <v>0</v>
      </c>
      <c r="R20">
        <v>0.248622025927587</v>
      </c>
      <c r="S20">
        <v>-83.134520101516998</v>
      </c>
      <c r="T20">
        <v>0.27779228455364702</v>
      </c>
      <c r="U20">
        <v>100</v>
      </c>
      <c r="V20">
        <v>42.147317394139698</v>
      </c>
      <c r="W20">
        <v>309.56788386290702</v>
      </c>
      <c r="X20">
        <v>54.232836626970602</v>
      </c>
      <c r="Y20">
        <v>3.1815273099826999</v>
      </c>
      <c r="Z20">
        <v>769.45587761162597</v>
      </c>
      <c r="AA20">
        <v>0</v>
      </c>
      <c r="AB20">
        <v>0</v>
      </c>
      <c r="AC20">
        <v>172.288225388721</v>
      </c>
      <c r="AD20">
        <v>111.936865116116</v>
      </c>
      <c r="AE20">
        <v>25.060920410891899</v>
      </c>
      <c r="AF20">
        <v>-43.843094606008599</v>
      </c>
      <c r="AG20">
        <v>3772554015.4000001</v>
      </c>
      <c r="AH20">
        <v>2.43005355375597E-2</v>
      </c>
      <c r="AI20">
        <v>1315</v>
      </c>
      <c r="AJ20" t="s">
        <v>39</v>
      </c>
      <c r="AK20">
        <f t="shared" si="0"/>
        <v>0.7055321296546877</v>
      </c>
      <c r="AL20" s="1">
        <f t="shared" si="1"/>
        <v>0.45837586953918891</v>
      </c>
      <c r="AM20" s="1">
        <f t="shared" si="2"/>
        <v>0.70615928540059936</v>
      </c>
    </row>
    <row r="21" spans="1:39" x14ac:dyDescent="0.25">
      <c r="A21">
        <v>-50</v>
      </c>
      <c r="B21">
        <v>0.53050658914147897</v>
      </c>
      <c r="C21">
        <v>0.56018663977045802</v>
      </c>
      <c r="D21">
        <v>2.9680050628979E-2</v>
      </c>
      <c r="E21">
        <v>4.86900383779591E-2</v>
      </c>
      <c r="F21">
        <v>7.6001266732029296E-3</v>
      </c>
      <c r="G21">
        <v>4.86900383779591E-2</v>
      </c>
      <c r="H21">
        <v>0.41542222975232401</v>
      </c>
      <c r="I21">
        <v>3.9784206589013403E-2</v>
      </c>
      <c r="J21">
        <v>0</v>
      </c>
      <c r="K21">
        <v>2.5118534854610099</v>
      </c>
      <c r="L21">
        <v>97.405721529927007</v>
      </c>
      <c r="M21">
        <v>0</v>
      </c>
      <c r="N21">
        <v>0</v>
      </c>
      <c r="O21">
        <v>100</v>
      </c>
      <c r="P21">
        <v>0</v>
      </c>
      <c r="Q21">
        <v>0</v>
      </c>
      <c r="R21">
        <v>0.28562820008374701</v>
      </c>
      <c r="S21">
        <v>-59.776179513573901</v>
      </c>
      <c r="T21">
        <v>46.833717609698098</v>
      </c>
      <c r="U21">
        <v>99.992258913234394</v>
      </c>
      <c r="V21">
        <v>41.859288288115103</v>
      </c>
      <c r="W21">
        <v>300.20269378959</v>
      </c>
      <c r="X21">
        <v>55.329363920803097</v>
      </c>
      <c r="Y21">
        <v>3.36017399907661</v>
      </c>
      <c r="Z21">
        <v>768.70611834526801</v>
      </c>
      <c r="AA21">
        <v>0</v>
      </c>
      <c r="AB21">
        <v>0</v>
      </c>
      <c r="AC21">
        <v>172.84143645581901</v>
      </c>
      <c r="AD21">
        <v>112.065086077865</v>
      </c>
      <c r="AE21">
        <v>26.205670493956099</v>
      </c>
      <c r="AF21">
        <v>-29.386804527718599</v>
      </c>
      <c r="AG21">
        <v>30747889438</v>
      </c>
      <c r="AH21">
        <v>5.4110872622362999E-2</v>
      </c>
      <c r="AI21">
        <v>3700</v>
      </c>
      <c r="AJ21" t="s">
        <v>39</v>
      </c>
      <c r="AK21">
        <f t="shared" si="0"/>
        <v>0.94701756785713287</v>
      </c>
      <c r="AL21" s="1">
        <f t="shared" si="1"/>
        <v>0.52040243318144463</v>
      </c>
      <c r="AM21" s="1">
        <f t="shared" si="2"/>
        <v>1.019416042884856</v>
      </c>
    </row>
    <row r="22" spans="1:39" x14ac:dyDescent="0.25">
      <c r="A22">
        <v>-25</v>
      </c>
      <c r="B22">
        <v>0.63285909718731304</v>
      </c>
      <c r="C22">
        <v>0.69811271631489702</v>
      </c>
      <c r="D22">
        <v>6.5253619127583207E-2</v>
      </c>
      <c r="E22">
        <v>4.8962475084876902E-2</v>
      </c>
      <c r="F22">
        <v>8.1458060345674394E-3</v>
      </c>
      <c r="G22">
        <v>4.8962475084876902E-2</v>
      </c>
      <c r="H22">
        <v>0.47986181776812298</v>
      </c>
      <c r="I22">
        <v>0.11218014234245199</v>
      </c>
      <c r="J22">
        <v>0</v>
      </c>
      <c r="K22">
        <v>2.5375988946930002</v>
      </c>
      <c r="L22">
        <v>97.380204543752896</v>
      </c>
      <c r="M22">
        <v>0</v>
      </c>
      <c r="N22">
        <v>0</v>
      </c>
      <c r="O22">
        <v>100</v>
      </c>
      <c r="P22">
        <v>0</v>
      </c>
      <c r="Q22">
        <v>0</v>
      </c>
      <c r="R22">
        <v>0.30631897688780002</v>
      </c>
      <c r="S22">
        <v>-36.372317116478001</v>
      </c>
      <c r="T22">
        <v>172.37560513770299</v>
      </c>
      <c r="U22">
        <v>99.995431143325902</v>
      </c>
      <c r="V22">
        <v>42.250051272134797</v>
      </c>
      <c r="W22">
        <v>295.89538141550202</v>
      </c>
      <c r="X22">
        <v>55.941981468253303</v>
      </c>
      <c r="Y22">
        <v>3.5081001582446598</v>
      </c>
      <c r="Z22">
        <v>765.88904839004101</v>
      </c>
      <c r="AA22">
        <v>0</v>
      </c>
      <c r="AB22">
        <v>0</v>
      </c>
      <c r="AC22">
        <v>173.49400218534399</v>
      </c>
      <c r="AD22">
        <v>112.23851298016299</v>
      </c>
      <c r="AE22">
        <v>29.503567331020601</v>
      </c>
      <c r="AF22">
        <v>-19.718310699619298</v>
      </c>
      <c r="AG22">
        <v>81614484016.5</v>
      </c>
      <c r="AH22">
        <v>4.7259863365358597E-2</v>
      </c>
      <c r="AI22">
        <v>8804</v>
      </c>
      <c r="AJ22" t="s">
        <v>39</v>
      </c>
      <c r="AK22">
        <f t="shared" si="0"/>
        <v>0.90652853385620025</v>
      </c>
      <c r="AL22" s="1">
        <f t="shared" si="1"/>
        <v>0.58593257397244503</v>
      </c>
      <c r="AM22" s="1">
        <f t="shared" si="2"/>
        <v>1.0800886062652575</v>
      </c>
    </row>
    <row r="23" spans="1:39" x14ac:dyDescent="0.25">
      <c r="A23">
        <v>0</v>
      </c>
      <c r="B23">
        <v>0.73509115363792399</v>
      </c>
      <c r="C23">
        <v>0.79309724402443904</v>
      </c>
      <c r="D23">
        <v>5.80060903865149E-2</v>
      </c>
      <c r="E23">
        <v>4.9622150158552501E-2</v>
      </c>
      <c r="F23">
        <v>1.03153192102701E-2</v>
      </c>
      <c r="G23">
        <v>4.9622150158552501E-2</v>
      </c>
      <c r="H23">
        <v>0.492990562686145</v>
      </c>
      <c r="I23">
        <v>0.19054706181091899</v>
      </c>
      <c r="J23">
        <v>0</v>
      </c>
      <c r="K23">
        <v>2.6335054842933299</v>
      </c>
      <c r="L23">
        <v>97.288978923989802</v>
      </c>
      <c r="M23">
        <v>0</v>
      </c>
      <c r="N23">
        <v>0</v>
      </c>
      <c r="O23">
        <v>100</v>
      </c>
      <c r="P23">
        <v>0</v>
      </c>
      <c r="Q23">
        <v>0</v>
      </c>
      <c r="R23">
        <v>0.37361820158551001</v>
      </c>
      <c r="S23">
        <v>-12.492403065568899</v>
      </c>
      <c r="T23">
        <v>584.97331443213704</v>
      </c>
      <c r="U23">
        <v>99.997188415572495</v>
      </c>
      <c r="V23">
        <v>43.289939777788</v>
      </c>
      <c r="W23">
        <v>294.928956787034</v>
      </c>
      <c r="X23">
        <v>57.471751676186997</v>
      </c>
      <c r="Y23">
        <v>3.72106408552958</v>
      </c>
      <c r="Z23">
        <v>761.02252286569205</v>
      </c>
      <c r="AA23">
        <v>0</v>
      </c>
      <c r="AB23">
        <v>0</v>
      </c>
      <c r="AC23">
        <v>171.93106686288999</v>
      </c>
      <c r="AD23">
        <v>112.128378052968</v>
      </c>
      <c r="AE23">
        <v>31.044752815364799</v>
      </c>
      <c r="AF23">
        <v>-11.9428068198632</v>
      </c>
      <c r="AG23">
        <v>106887371782.10001</v>
      </c>
      <c r="AH23">
        <v>5.5471277433522502E-2</v>
      </c>
      <c r="AI23">
        <v>16949</v>
      </c>
      <c r="AJ23" t="s">
        <v>39</v>
      </c>
      <c r="AK23">
        <f t="shared" si="0"/>
        <v>0.92686131388860604</v>
      </c>
      <c r="AL23" s="1">
        <f t="shared" si="1"/>
        <v>0.60255018221352008</v>
      </c>
      <c r="AM23" s="1">
        <f t="shared" si="2"/>
        <v>1.219966693790554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R15" sqref="R15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</cols>
  <sheetData>
    <row r="1" spans="1:19" x14ac:dyDescent="0.25">
      <c r="A1" t="s">
        <v>40</v>
      </c>
      <c r="B1" s="14" t="s">
        <v>44</v>
      </c>
      <c r="C1" t="s">
        <v>45</v>
      </c>
      <c r="D1" t="s">
        <v>46</v>
      </c>
      <c r="E1" t="s">
        <v>50</v>
      </c>
      <c r="F1" t="s">
        <v>47</v>
      </c>
      <c r="G1" t="s">
        <v>48</v>
      </c>
      <c r="H1" s="14" t="s">
        <v>44</v>
      </c>
      <c r="I1" t="s">
        <v>45</v>
      </c>
      <c r="J1" t="s">
        <v>46</v>
      </c>
      <c r="K1" t="s">
        <v>50</v>
      </c>
      <c r="L1" t="s">
        <v>47</v>
      </c>
      <c r="M1" t="s">
        <v>48</v>
      </c>
      <c r="N1" s="14" t="s">
        <v>44</v>
      </c>
      <c r="O1" t="s">
        <v>45</v>
      </c>
      <c r="P1" t="s">
        <v>46</v>
      </c>
      <c r="Q1" t="s">
        <v>50</v>
      </c>
      <c r="R1" t="s">
        <v>47</v>
      </c>
      <c r="S1" t="s">
        <v>48</v>
      </c>
    </row>
    <row r="2" spans="1:19" x14ac:dyDescent="0.25">
      <c r="A2">
        <v>-175</v>
      </c>
      <c r="B2" s="14">
        <v>777069.3</v>
      </c>
      <c r="C2">
        <v>2.79694938405108E-4</v>
      </c>
      <c r="D2">
        <v>0.45549392530374699</v>
      </c>
      <c r="E2">
        <v>0.45548640589657524</v>
      </c>
      <c r="F2">
        <v>6.1404757092774155E-4</v>
      </c>
      <c r="G2">
        <v>6.1405770794533169E-4</v>
      </c>
    </row>
    <row r="3" spans="1:19" x14ac:dyDescent="0.25">
      <c r="A3">
        <v>-150</v>
      </c>
      <c r="B3" s="14">
        <v>2959049.4</v>
      </c>
      <c r="C3">
        <v>9.0465621563938807</v>
      </c>
      <c r="D3">
        <v>0.44419634762305399</v>
      </c>
      <c r="E3">
        <v>0.4441879092798513</v>
      </c>
      <c r="F3">
        <v>20.366133591154185</v>
      </c>
      <c r="G3">
        <v>20.366520491430762</v>
      </c>
      <c r="H3" s="14">
        <v>1077743.8</v>
      </c>
      <c r="I3">
        <v>2.5113324706669601E-5</v>
      </c>
      <c r="J3">
        <v>0.366238999296429</v>
      </c>
      <c r="K3">
        <v>0.36622974675977782</v>
      </c>
      <c r="L3">
        <v>6.8570864257804526E-5</v>
      </c>
      <c r="M3">
        <v>6.857259665240208E-5</v>
      </c>
      <c r="N3" s="14">
        <v>362036.9</v>
      </c>
      <c r="O3">
        <v>0.29680000000000001</v>
      </c>
      <c r="P3">
        <v>0.40073855507975198</v>
      </c>
      <c r="Q3">
        <v>0.40072733705846331</v>
      </c>
      <c r="R3">
        <v>0.74063250525254076</v>
      </c>
      <c r="S3">
        <v>0.74065323863018351</v>
      </c>
    </row>
    <row r="4" spans="1:19" x14ac:dyDescent="0.25">
      <c r="A4">
        <v>-125</v>
      </c>
      <c r="B4" s="14">
        <v>30914483.5</v>
      </c>
      <c r="C4">
        <v>1.3154976098497699</v>
      </c>
      <c r="D4">
        <v>0.41287460127780701</v>
      </c>
      <c r="E4">
        <v>0.41286571809708539</v>
      </c>
      <c r="F4">
        <v>3.1861916566880888</v>
      </c>
      <c r="G4">
        <v>3.1862602104939861</v>
      </c>
      <c r="H4" s="14">
        <v>13781048</v>
      </c>
      <c r="I4">
        <v>2.3246377657199901E-2</v>
      </c>
      <c r="J4">
        <v>0.41847207333164299</v>
      </c>
      <c r="K4">
        <v>0.4184627569051928</v>
      </c>
      <c r="L4">
        <v>5.5550606930888147E-2</v>
      </c>
      <c r="M4">
        <v>5.5551843679284979E-2</v>
      </c>
      <c r="N4" s="14">
        <v>28153997.699999999</v>
      </c>
      <c r="O4">
        <v>2.1811383899843099E-2</v>
      </c>
      <c r="P4">
        <v>0.437826828665978</v>
      </c>
      <c r="Q4">
        <v>0.43781680781547072</v>
      </c>
      <c r="R4">
        <v>4.9817376350144132E-2</v>
      </c>
      <c r="S4">
        <v>4.981851658156549E-2</v>
      </c>
    </row>
    <row r="5" spans="1:19" x14ac:dyDescent="0.25">
      <c r="A5">
        <v>-100</v>
      </c>
      <c r="B5" s="14">
        <v>343658777.60000002</v>
      </c>
      <c r="C5">
        <v>0.22148896749826499</v>
      </c>
      <c r="D5">
        <v>0.420956984739358</v>
      </c>
      <c r="E5">
        <v>0.42094741239202715</v>
      </c>
      <c r="F5">
        <v>0.52615582001900574</v>
      </c>
      <c r="G5">
        <v>0.52616778480631909</v>
      </c>
      <c r="H5" s="14">
        <v>281392352.60000002</v>
      </c>
      <c r="I5">
        <v>0.41783261723829801</v>
      </c>
      <c r="J5">
        <v>0.41821356016275402</v>
      </c>
      <c r="K5">
        <v>0.41820421542422564</v>
      </c>
      <c r="L5">
        <v>0.99908911866868266</v>
      </c>
      <c r="M5">
        <v>0.99911144323222401</v>
      </c>
      <c r="N5" s="14">
        <v>783579364.10000002</v>
      </c>
      <c r="O5">
        <v>0.33472617015295397</v>
      </c>
      <c r="P5">
        <v>0.450673924050838</v>
      </c>
      <c r="Q5">
        <v>0.45066450482854437</v>
      </c>
      <c r="R5">
        <v>0.74272362408790127</v>
      </c>
      <c r="S5">
        <v>0.74273914756233306</v>
      </c>
    </row>
    <row r="6" spans="1:19" x14ac:dyDescent="0.25">
      <c r="A6">
        <v>-75</v>
      </c>
      <c r="B6" s="14">
        <v>5750451075.6999998</v>
      </c>
      <c r="C6">
        <v>0.45947524264527201</v>
      </c>
      <c r="D6">
        <v>0.45800509348938401</v>
      </c>
      <c r="E6">
        <v>0.45763157597917342</v>
      </c>
      <c r="F6">
        <v>1.0032098969570129</v>
      </c>
      <c r="G6">
        <v>1.0040287138450921</v>
      </c>
      <c r="H6" s="14">
        <v>3772554015.4000001</v>
      </c>
      <c r="I6">
        <v>0.32368637647867199</v>
      </c>
      <c r="J6">
        <v>0.45878332520036402</v>
      </c>
      <c r="K6">
        <v>0.45837586953918891</v>
      </c>
      <c r="L6">
        <v>0.7055321296546877</v>
      </c>
      <c r="M6">
        <v>0.70615928540059936</v>
      </c>
      <c r="N6" s="14">
        <v>12959301108.4</v>
      </c>
      <c r="O6">
        <v>0.38310563172793699</v>
      </c>
      <c r="P6">
        <v>0.49873305032659099</v>
      </c>
      <c r="Q6">
        <v>0.49834715020032139</v>
      </c>
      <c r="R6">
        <v>0.76815769774444187</v>
      </c>
      <c r="S6">
        <v>0.76875252838094776</v>
      </c>
    </row>
    <row r="7" spans="1:19" x14ac:dyDescent="0.25">
      <c r="A7">
        <v>-50</v>
      </c>
      <c r="B7" s="14">
        <v>46164851521.5</v>
      </c>
      <c r="C7">
        <v>0.56692181561557498</v>
      </c>
      <c r="D7">
        <v>0.55583280190403195</v>
      </c>
      <c r="E7">
        <v>0.51501232096380378</v>
      </c>
      <c r="F7">
        <v>1.0199502686303454</v>
      </c>
      <c r="G7">
        <v>1.1007927238607162</v>
      </c>
      <c r="H7" s="14">
        <v>30747889438</v>
      </c>
      <c r="I7">
        <v>0.53050658914147897</v>
      </c>
      <c r="J7">
        <v>0.56018663977045802</v>
      </c>
      <c r="K7">
        <v>0.52040243318144463</v>
      </c>
      <c r="L7">
        <v>0.94701756785713287</v>
      </c>
      <c r="M7">
        <v>1.019416042884856</v>
      </c>
      <c r="N7" s="14">
        <v>101606875540.89999</v>
      </c>
      <c r="O7">
        <v>0.53620367230599397</v>
      </c>
      <c r="P7">
        <v>0.60545755367562903</v>
      </c>
      <c r="Q7">
        <v>0.56489314625951192</v>
      </c>
      <c r="R7">
        <v>0.8856172807669066</v>
      </c>
      <c r="S7">
        <v>0.94921256498952455</v>
      </c>
    </row>
    <row r="8" spans="1:19" x14ac:dyDescent="0.25">
      <c r="A8">
        <v>-25</v>
      </c>
      <c r="B8" s="14">
        <v>120916551384.2</v>
      </c>
      <c r="C8">
        <v>0.70498400369891601</v>
      </c>
      <c r="D8">
        <v>0.69120536440694702</v>
      </c>
      <c r="E8">
        <v>0.57671427945673204</v>
      </c>
      <c r="F8">
        <v>1.0199342192660659</v>
      </c>
      <c r="G8">
        <v>1.2224146840321255</v>
      </c>
      <c r="H8" s="14">
        <v>81614484016.5</v>
      </c>
      <c r="I8">
        <v>0.63285909718731304</v>
      </c>
      <c r="J8">
        <v>0.69811271631489702</v>
      </c>
      <c r="K8">
        <v>0.58593257397244503</v>
      </c>
      <c r="L8">
        <v>0.90652853385620025</v>
      </c>
      <c r="M8">
        <v>1.0800886062652575</v>
      </c>
      <c r="N8" s="14">
        <v>250386439257.20001</v>
      </c>
      <c r="O8">
        <v>0.62177460436394905</v>
      </c>
      <c r="P8">
        <v>0.75106450437260397</v>
      </c>
      <c r="Q8">
        <v>0.63793388364938597</v>
      </c>
      <c r="R8">
        <v>0.82785779482861299</v>
      </c>
      <c r="S8">
        <v>0.97466935101017738</v>
      </c>
    </row>
    <row r="9" spans="1:19" x14ac:dyDescent="0.25">
      <c r="A9">
        <v>0</v>
      </c>
      <c r="B9" s="14">
        <v>136686288682.89999</v>
      </c>
      <c r="C9">
        <v>0.77169377400365702</v>
      </c>
      <c r="D9">
        <v>0.78503502566377603</v>
      </c>
      <c r="E9">
        <v>0.59215920780848808</v>
      </c>
      <c r="F9">
        <v>0.98300553322593665</v>
      </c>
      <c r="G9">
        <v>1.3031863117684268</v>
      </c>
      <c r="H9" s="14">
        <v>106887371782.10001</v>
      </c>
      <c r="I9">
        <v>0.73509115363792399</v>
      </c>
      <c r="J9">
        <v>0.79309724402443904</v>
      </c>
      <c r="K9">
        <v>0.60255018221352008</v>
      </c>
      <c r="L9">
        <v>0.92686131388860604</v>
      </c>
      <c r="M9">
        <v>1.219966693790554</v>
      </c>
      <c r="N9" s="14">
        <v>299146480857.5</v>
      </c>
      <c r="O9">
        <v>0.71408599102349501</v>
      </c>
      <c r="P9">
        <v>0.84387398568814298</v>
      </c>
      <c r="Q9">
        <v>0.65566739932026896</v>
      </c>
      <c r="R9">
        <v>0.84619979183407168</v>
      </c>
      <c r="S9">
        <v>1.08909790507167</v>
      </c>
    </row>
    <row r="11" spans="1:19" x14ac:dyDescent="0.25">
      <c r="A11">
        <v>-175</v>
      </c>
      <c r="C11">
        <f>100*(1-(1-C2/100)^12)</f>
        <v>3.3562876300630151E-3</v>
      </c>
      <c r="D11">
        <f>100*(1-(1-D2/100)^12)</f>
        <v>5.3310517143098091</v>
      </c>
      <c r="I11">
        <f>100*(1-(1-I2/100)^12)</f>
        <v>0</v>
      </c>
      <c r="O11">
        <f>100*(1-(1-O2/100)^12)</f>
        <v>0</v>
      </c>
    </row>
    <row r="12" spans="1:19" x14ac:dyDescent="0.25">
      <c r="A12">
        <v>-150</v>
      </c>
      <c r="C12">
        <f t="shared" ref="C12:D23" si="0">100*(1-(1-C3/100)^12)</f>
        <v>67.949897023141332</v>
      </c>
      <c r="D12">
        <f t="shared" si="0"/>
        <v>5.2020403560850914</v>
      </c>
      <c r="I12">
        <f t="shared" ref="I12:I18" si="1">100*(1-(1-I3/100)^12)</f>
        <v>3.0135948027032455E-4</v>
      </c>
      <c r="O12">
        <f t="shared" ref="O12:P18" si="2">100*(1-(1-O3/100)^12)</f>
        <v>3.5040318126631664</v>
      </c>
      <c r="P12">
        <f t="shared" si="2"/>
        <v>4.7042754730413305</v>
      </c>
    </row>
    <row r="13" spans="1:19" x14ac:dyDescent="0.25">
      <c r="A13">
        <v>-125</v>
      </c>
      <c r="C13">
        <f t="shared" si="0"/>
        <v>14.692450523812894</v>
      </c>
      <c r="D13">
        <f t="shared" si="0"/>
        <v>4.8435221166262981</v>
      </c>
      <c r="I13">
        <f t="shared" si="1"/>
        <v>0.27860014802152389</v>
      </c>
      <c r="O13">
        <f t="shared" si="2"/>
        <v>0.26142284889978384</v>
      </c>
      <c r="P13">
        <f t="shared" si="2"/>
        <v>5.1292333594706196</v>
      </c>
    </row>
    <row r="14" spans="1:19" x14ac:dyDescent="0.25">
      <c r="A14">
        <v>-100</v>
      </c>
      <c r="C14">
        <f t="shared" si="0"/>
        <v>2.625727608134798</v>
      </c>
      <c r="D14">
        <f t="shared" si="0"/>
        <v>4.9361543235166057</v>
      </c>
      <c r="I14">
        <f t="shared" si="1"/>
        <v>4.9003557489049721</v>
      </c>
      <c r="O14">
        <f t="shared" si="2"/>
        <v>3.9435854708512186</v>
      </c>
      <c r="P14">
        <f t="shared" si="2"/>
        <v>5.2760299749709301</v>
      </c>
    </row>
    <row r="15" spans="1:19" x14ac:dyDescent="0.25">
      <c r="A15">
        <v>-75</v>
      </c>
      <c r="C15">
        <f t="shared" si="0"/>
        <v>5.3764775333525634</v>
      </c>
      <c r="D15">
        <f t="shared" si="0"/>
        <v>5.3597058324512776</v>
      </c>
      <c r="I15">
        <f t="shared" si="1"/>
        <v>3.8158271156958135</v>
      </c>
      <c r="O15">
        <f t="shared" si="2"/>
        <v>4.5016258567328276</v>
      </c>
      <c r="P15">
        <f t="shared" si="2"/>
        <v>5.8233304973974835</v>
      </c>
    </row>
    <row r="16" spans="1:19" x14ac:dyDescent="0.25">
      <c r="A16">
        <v>-50</v>
      </c>
      <c r="C16">
        <f t="shared" si="0"/>
        <v>6.5948954829083029</v>
      </c>
      <c r="D16">
        <f t="shared" si="0"/>
        <v>6.4698176653095523</v>
      </c>
      <c r="I16">
        <f t="shared" si="1"/>
        <v>6.1835763087160096</v>
      </c>
      <c r="O16">
        <f t="shared" si="2"/>
        <v>6.2480356658348501</v>
      </c>
      <c r="P16">
        <f t="shared" si="2"/>
        <v>7.0283655798290106</v>
      </c>
    </row>
    <row r="17" spans="1:16" x14ac:dyDescent="0.25">
      <c r="A17">
        <v>-25</v>
      </c>
      <c r="C17">
        <f t="shared" si="0"/>
        <v>8.1393738606490018</v>
      </c>
      <c r="D17">
        <f t="shared" si="0"/>
        <v>7.9862929591732907</v>
      </c>
      <c r="I17">
        <f t="shared" si="1"/>
        <v>7.3354698112626293</v>
      </c>
      <c r="O17">
        <f t="shared" si="2"/>
        <v>7.2113519519093838</v>
      </c>
      <c r="P17">
        <f t="shared" si="2"/>
        <v>8.6496346352607176</v>
      </c>
    </row>
    <row r="18" spans="1:16" x14ac:dyDescent="0.25">
      <c r="A18">
        <v>0</v>
      </c>
      <c r="C18">
        <f t="shared" si="0"/>
        <v>8.877224598738664</v>
      </c>
      <c r="D18">
        <f t="shared" si="0"/>
        <v>9.0241334823126564</v>
      </c>
      <c r="I18">
        <f t="shared" si="1"/>
        <v>8.4730527410898375</v>
      </c>
      <c r="O18">
        <f t="shared" si="2"/>
        <v>8.2403690016582658</v>
      </c>
      <c r="P18">
        <f t="shared" si="2"/>
        <v>9.669459511069622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Tracking_aggData_by_incentive_n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Chunnip Lee</cp:lastModifiedBy>
  <dcterms:created xsi:type="dcterms:W3CDTF">2018-04-24T17:00:00Z</dcterms:created>
  <dcterms:modified xsi:type="dcterms:W3CDTF">2018-04-24T18:34:19Z</dcterms:modified>
</cp:coreProperties>
</file>