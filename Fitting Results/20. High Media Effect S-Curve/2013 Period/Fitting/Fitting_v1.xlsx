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75" windowWidth="33315" windowHeight="19185"/>
  </bookViews>
  <sheets>
    <sheet name="grp_by_ones_plot_by_incentive_0" sheetId="1" r:id="rId1"/>
  </sheets>
  <calcPr calcId="0"/>
</workbook>
</file>

<file path=xl/calcChain.xml><?xml version="1.0" encoding="utf-8"?>
<calcChain xmlns="http://schemas.openxmlformats.org/spreadsheetml/2006/main">
  <c r="N24" i="1" l="1"/>
  <c r="N27" i="1"/>
  <c r="N30" i="1"/>
  <c r="N34" i="1"/>
  <c r="N36" i="1"/>
  <c r="N22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1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22" i="1"/>
  <c r="J23" i="1"/>
  <c r="J26" i="1"/>
  <c r="J27" i="1"/>
  <c r="J28" i="1"/>
  <c r="J31" i="1"/>
  <c r="J34" i="1"/>
  <c r="J35" i="1"/>
  <c r="J36" i="1"/>
  <c r="I23" i="1"/>
  <c r="I24" i="1"/>
  <c r="J24" i="1" s="1"/>
  <c r="I25" i="1"/>
  <c r="J25" i="1" s="1"/>
  <c r="I26" i="1"/>
  <c r="I27" i="1"/>
  <c r="I28" i="1"/>
  <c r="I29" i="1"/>
  <c r="J29" i="1" s="1"/>
  <c r="I30" i="1"/>
  <c r="J30" i="1" s="1"/>
  <c r="I31" i="1"/>
  <c r="I32" i="1"/>
  <c r="J32" i="1" s="1"/>
  <c r="I33" i="1"/>
  <c r="J33" i="1" s="1"/>
  <c r="I34" i="1"/>
  <c r="I35" i="1"/>
  <c r="I36" i="1"/>
  <c r="I22" i="1"/>
  <c r="J22" i="1" s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22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21" i="1"/>
</calcChain>
</file>

<file path=xl/sharedStrings.xml><?xml version="1.0" encoding="utf-8"?>
<sst xmlns="http://schemas.openxmlformats.org/spreadsheetml/2006/main" count="65" uniqueCount="62">
  <si>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</si>
  <si>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</si>
  <si>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</si>
  <si>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</si>
  <si>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</si>
  <si>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</si>
  <si>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</si>
  <si>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</si>
  <si>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</si>
  <si>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</si>
  <si>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</si>
  <si>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</si>
  <si>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</si>
  <si>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</si>
  <si>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</si>
  <si>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</si>
  <si>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</si>
  <si>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</si>
  <si>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</si>
  <si>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</si>
  <si>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</si>
  <si>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</si>
  <si>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</si>
  <si>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</si>
  <si>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</si>
  <si>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</si>
  <si>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</si>
  <si>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</si>
  <si>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</si>
  <si>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</si>
  <si>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</si>
  <si>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</si>
  <si>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</si>
  <si>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</si>
  <si>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</si>
  <si>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media_effect</t>
  </si>
  <si>
    <t>sato</t>
  </si>
  <si>
    <t>hpa_annual</t>
  </si>
  <si>
    <t>hpa_cum</t>
  </si>
  <si>
    <t>turn_cai_mult</t>
  </si>
  <si>
    <t>turn_hpa_annual_mult</t>
  </si>
  <si>
    <t>turn_lohpa_wala_mult</t>
  </si>
  <si>
    <t>turn_hihpa_wala_mult</t>
  </si>
  <si>
    <t>turn_pct_hihpa_wala_mult</t>
  </si>
  <si>
    <t>turn_incentive_mult</t>
  </si>
  <si>
    <t>turn_cltv_mult</t>
  </si>
  <si>
    <t>turn_acls_mult</t>
  </si>
  <si>
    <t>turn_fico_mult</t>
  </si>
  <si>
    <t>turn_tax_mult</t>
  </si>
  <si>
    <t>turn_sato_mult</t>
  </si>
  <si>
    <t>turn_pct_HARPed_mult</t>
  </si>
  <si>
    <t>turn_HARP_eligible_mult</t>
  </si>
  <si>
    <t>turn_pct_purchase_mult</t>
  </si>
  <si>
    <t>turn_pct_inv_mult</t>
  </si>
  <si>
    <t>turn_pct_second_lien_mult</t>
  </si>
  <si>
    <t>bal</t>
  </si>
  <si>
    <t>std</t>
  </si>
  <si>
    <t>n</t>
  </si>
  <si>
    <t>adj</t>
  </si>
  <si>
    <t>mdl</t>
  </si>
  <si>
    <t>Knot</t>
  </si>
  <si>
    <t>Dev Knot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</si>
</sst>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43" fontId="0" fillId="0" borderId="0" xfId="1" applyFont="1"/>
    <xf numFmtId="43" fontId="0" fillId="0" borderId="0" xfId="0" applyNumberFormat="1"/>
    <xf numFmtId="2" fontId="0" fillId="0" borderId="0" xfId="1" applyNumberFormat="1" applyFont="1"/>
    <xf numFmtId="0" fontId="16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6"/>
  <sheetViews>
    <sheetView tabSelected="1" workbookViewId="0">
      <selection activeCell="N36" sqref="N36"/>
    </sheetView>
  </sheetViews>
  <sheetFormatPr defaultRowHeight="15" x14ac:dyDescent="0.25"/>
  <sheetData>
    <row r="1" spans="1:5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 spans="1:59" x14ac:dyDescent="0.25">
      <c r="A2">
        <v>1</v>
      </c>
      <c r="B2">
        <v>1</v>
      </c>
      <c r="C2">
        <v>-100</v>
      </c>
      <c r="D2">
        <v>0</v>
      </c>
      <c r="E2">
        <v>0.215504541144384</v>
      </c>
      <c r="F2">
        <v>0</v>
      </c>
      <c r="G2">
        <v>2.55562176010665</v>
      </c>
      <c r="H2">
        <v>0</v>
      </c>
      <c r="I2">
        <v>0.215504541144384</v>
      </c>
      <c r="J2">
        <v>3.7851565921123598E-2</v>
      </c>
      <c r="K2">
        <v>5.7078105955786296E-3</v>
      </c>
      <c r="L2">
        <v>0</v>
      </c>
      <c r="M2">
        <v>0.16840135093029401</v>
      </c>
      <c r="N2">
        <v>3.54381369738819E-3</v>
      </c>
      <c r="O2">
        <v>0</v>
      </c>
      <c r="P2">
        <v>73.545875092653702</v>
      </c>
      <c r="Q2">
        <v>26.454124907346301</v>
      </c>
      <c r="R2">
        <v>100</v>
      </c>
      <c r="S2">
        <v>0</v>
      </c>
      <c r="T2">
        <v>0</v>
      </c>
      <c r="U2">
        <v>0</v>
      </c>
      <c r="V2">
        <v>0</v>
      </c>
      <c r="W2">
        <v>5.2908249814692603E-2</v>
      </c>
      <c r="X2">
        <v>-100.840654683422</v>
      </c>
      <c r="Y2">
        <v>0</v>
      </c>
      <c r="Z2">
        <v>100</v>
      </c>
      <c r="AA2">
        <v>92.5085056868527</v>
      </c>
      <c r="AB2">
        <v>324.29577765802998</v>
      </c>
      <c r="AC2">
        <v>324.29577765802998</v>
      </c>
      <c r="AD2">
        <v>25.6901315509119</v>
      </c>
      <c r="AE2">
        <v>331.92899720742702</v>
      </c>
      <c r="AF2">
        <v>3.8</v>
      </c>
      <c r="AG2">
        <v>795.86298380651897</v>
      </c>
      <c r="AH2">
        <v>0</v>
      </c>
      <c r="AI2">
        <v>73.545875092653702</v>
      </c>
      <c r="AJ2">
        <v>101.18977240833701</v>
      </c>
      <c r="AK2">
        <v>88.073485061108897</v>
      </c>
      <c r="AL2">
        <v>-117.61370161934801</v>
      </c>
      <c r="AM2">
        <v>-8.4763922487676098</v>
      </c>
      <c r="AN2">
        <v>-17.289954491449599</v>
      </c>
      <c r="AO2">
        <v>0.9</v>
      </c>
      <c r="AP2">
        <v>0.89337</v>
      </c>
      <c r="AQ2">
        <v>1.03211310608026</v>
      </c>
      <c r="AR2">
        <v>1.25</v>
      </c>
      <c r="AS2">
        <v>0</v>
      </c>
      <c r="AT2">
        <v>1.0421754662141101</v>
      </c>
      <c r="AU2">
        <v>0.98780000000000001</v>
      </c>
      <c r="AV2">
        <v>0.84345956089903695</v>
      </c>
      <c r="AW2">
        <v>0.80857402216341201</v>
      </c>
      <c r="AX2">
        <v>1</v>
      </c>
      <c r="AY2">
        <v>0.92280482850206802</v>
      </c>
      <c r="AZ2">
        <v>1</v>
      </c>
      <c r="BA2">
        <v>1</v>
      </c>
      <c r="BB2">
        <v>1</v>
      </c>
      <c r="BC2">
        <v>1</v>
      </c>
      <c r="BD2">
        <v>0.97</v>
      </c>
      <c r="BE2">
        <v>952741.4</v>
      </c>
      <c r="BF2">
        <v>0</v>
      </c>
      <c r="BG2">
        <v>3</v>
      </c>
    </row>
    <row r="3" spans="1:59" x14ac:dyDescent="0.25">
      <c r="A3">
        <v>2</v>
      </c>
      <c r="B3">
        <v>1</v>
      </c>
      <c r="C3">
        <v>-75</v>
      </c>
      <c r="D3">
        <v>3.37000044120793E-2</v>
      </c>
      <c r="E3">
        <v>0.242953952199919</v>
      </c>
      <c r="F3">
        <v>0.40365133871143</v>
      </c>
      <c r="G3">
        <v>2.8768036338556802</v>
      </c>
      <c r="H3">
        <v>0.138709430766323</v>
      </c>
      <c r="I3">
        <v>0.20925394778784001</v>
      </c>
      <c r="J3">
        <v>3.6631983631319802E-2</v>
      </c>
      <c r="K3">
        <v>5.0378435494296703E-3</v>
      </c>
      <c r="L3">
        <v>0</v>
      </c>
      <c r="M3">
        <v>0.18779199901319599</v>
      </c>
      <c r="N3">
        <v>1.34921260059733E-2</v>
      </c>
      <c r="O3">
        <v>0</v>
      </c>
      <c r="P3">
        <v>26.051708155516199</v>
      </c>
      <c r="Q3">
        <v>73.948291844483805</v>
      </c>
      <c r="R3">
        <v>88.041113664727803</v>
      </c>
      <c r="S3">
        <v>9.3003865522560591</v>
      </c>
      <c r="T3">
        <v>2.6584997830161701</v>
      </c>
      <c r="U3">
        <v>0</v>
      </c>
      <c r="V3">
        <v>11.958886335272201</v>
      </c>
      <c r="W3">
        <v>5.1285921599802803E-2</v>
      </c>
      <c r="X3">
        <v>-80.785860014224596</v>
      </c>
      <c r="Y3">
        <v>0</v>
      </c>
      <c r="Z3">
        <v>100</v>
      </c>
      <c r="AA3">
        <v>87.501547158118001</v>
      </c>
      <c r="AB3">
        <v>306.86992640566302</v>
      </c>
      <c r="AC3">
        <v>306.02292870021398</v>
      </c>
      <c r="AD3">
        <v>21.490640948676202</v>
      </c>
      <c r="AE3">
        <v>337.53856497694699</v>
      </c>
      <c r="AF3">
        <v>3.7603285250779699</v>
      </c>
      <c r="AG3">
        <v>778.17807902521804</v>
      </c>
      <c r="AH3">
        <v>0</v>
      </c>
      <c r="AI3">
        <v>51.560734451531602</v>
      </c>
      <c r="AJ3">
        <v>101.040795566772</v>
      </c>
      <c r="AK3">
        <v>87.797171807189002</v>
      </c>
      <c r="AL3">
        <v>-102.287382073836</v>
      </c>
      <c r="AM3">
        <v>-6.73209030511316</v>
      </c>
      <c r="AN3">
        <v>-11.675466543776</v>
      </c>
      <c r="AO3">
        <v>0.9</v>
      </c>
      <c r="AP3">
        <v>0.89337</v>
      </c>
      <c r="AQ3">
        <v>0.93112596338897702</v>
      </c>
      <c r="AR3">
        <v>1.21107546776499</v>
      </c>
      <c r="AS3">
        <v>0</v>
      </c>
      <c r="AT3">
        <v>1.1508528022076201</v>
      </c>
      <c r="AU3">
        <v>0.98780000000000001</v>
      </c>
      <c r="AV3">
        <v>0.86109583695381897</v>
      </c>
      <c r="AW3">
        <v>0.84376287685122697</v>
      </c>
      <c r="AX3">
        <v>1</v>
      </c>
      <c r="AY3">
        <v>0.92621189330931897</v>
      </c>
      <c r="AZ3">
        <v>1</v>
      </c>
      <c r="BA3">
        <v>1</v>
      </c>
      <c r="BB3">
        <v>0.98445344776414601</v>
      </c>
      <c r="BC3">
        <v>1</v>
      </c>
      <c r="BD3">
        <v>0.97</v>
      </c>
      <c r="BE3">
        <v>17816996</v>
      </c>
      <c r="BF3">
        <v>9.0473714466947201E-4</v>
      </c>
      <c r="BG3">
        <v>39</v>
      </c>
    </row>
    <row r="4" spans="1:59" x14ac:dyDescent="0.25">
      <c r="A4">
        <v>3</v>
      </c>
      <c r="B4">
        <v>1</v>
      </c>
      <c r="C4">
        <v>-50</v>
      </c>
      <c r="D4">
        <v>0.211131681131143</v>
      </c>
      <c r="E4">
        <v>0.29239542505079602</v>
      </c>
      <c r="F4">
        <v>2.5043656996680199</v>
      </c>
      <c r="G4">
        <v>3.45286470766654</v>
      </c>
      <c r="H4">
        <v>0.72207587069621504</v>
      </c>
      <c r="I4">
        <v>8.1263743919652506E-2</v>
      </c>
      <c r="J4">
        <v>3.6219523000997997E-2</v>
      </c>
      <c r="K4">
        <v>5.86844395338497E-3</v>
      </c>
      <c r="L4">
        <v>0</v>
      </c>
      <c r="M4">
        <v>0.22185043618478201</v>
      </c>
      <c r="N4">
        <v>2.8457021911630399E-2</v>
      </c>
      <c r="O4">
        <v>0</v>
      </c>
      <c r="P4">
        <v>25.412142135097099</v>
      </c>
      <c r="Q4">
        <v>74.587857864902901</v>
      </c>
      <c r="R4">
        <v>80.488508816457596</v>
      </c>
      <c r="S4">
        <v>12.182819687998199</v>
      </c>
      <c r="T4">
        <v>7.32867149554421</v>
      </c>
      <c r="U4">
        <v>0</v>
      </c>
      <c r="V4">
        <v>19.5114911835424</v>
      </c>
      <c r="W4">
        <v>9.7037391987008906E-2</v>
      </c>
      <c r="X4">
        <v>-61.623707303360902</v>
      </c>
      <c r="Y4">
        <v>0</v>
      </c>
      <c r="Z4">
        <v>100</v>
      </c>
      <c r="AA4">
        <v>84.892783828598994</v>
      </c>
      <c r="AB4">
        <v>298.97431160153201</v>
      </c>
      <c r="AC4">
        <v>297.15336755647002</v>
      </c>
      <c r="AD4">
        <v>18.8257104024689</v>
      </c>
      <c r="AE4">
        <v>339.62870581932799</v>
      </c>
      <c r="AF4">
        <v>3.8317503415587999</v>
      </c>
      <c r="AG4">
        <v>779.428530586232</v>
      </c>
      <c r="AH4">
        <v>0.40868833523596299</v>
      </c>
      <c r="AI4">
        <v>62.634408103054902</v>
      </c>
      <c r="AJ4">
        <v>100.677595508774</v>
      </c>
      <c r="AK4">
        <v>87.028796408438296</v>
      </c>
      <c r="AL4">
        <v>-78.535836013483504</v>
      </c>
      <c r="AM4">
        <v>-5.63046661386075</v>
      </c>
      <c r="AN4">
        <v>-8.7893383844271504</v>
      </c>
      <c r="AO4">
        <v>0.9</v>
      </c>
      <c r="AP4">
        <v>0.89337</v>
      </c>
      <c r="AQ4">
        <v>0.86858675891058901</v>
      </c>
      <c r="AR4">
        <v>1.2007958115356301</v>
      </c>
      <c r="AS4">
        <v>0</v>
      </c>
      <c r="AT4">
        <v>1.25390449359154</v>
      </c>
      <c r="AU4">
        <v>0.98780004233490604</v>
      </c>
      <c r="AV4">
        <v>0.86963188541441605</v>
      </c>
      <c r="AW4">
        <v>0.84075152664959096</v>
      </c>
      <c r="AX4">
        <v>1</v>
      </c>
      <c r="AY4">
        <v>0.93270515642289797</v>
      </c>
      <c r="AZ4">
        <v>1</v>
      </c>
      <c r="BA4">
        <v>1</v>
      </c>
      <c r="BB4">
        <v>0.974635061461395</v>
      </c>
      <c r="BC4">
        <v>1</v>
      </c>
      <c r="BD4">
        <v>0.97</v>
      </c>
      <c r="BE4">
        <v>126322027.2</v>
      </c>
      <c r="BF4">
        <v>3.4755933622426502E-2</v>
      </c>
      <c r="BG4">
        <v>165</v>
      </c>
    </row>
    <row r="5" spans="1:59" x14ac:dyDescent="0.25">
      <c r="A5">
        <v>4</v>
      </c>
      <c r="B5">
        <v>1</v>
      </c>
      <c r="C5">
        <v>-25</v>
      </c>
      <c r="D5">
        <v>0.48848569151264598</v>
      </c>
      <c r="E5">
        <v>0.32698427501899002</v>
      </c>
      <c r="F5">
        <v>5.7068766292463398</v>
      </c>
      <c r="G5">
        <v>3.8540084546948701</v>
      </c>
      <c r="H5">
        <v>1.4939118753777301</v>
      </c>
      <c r="I5">
        <v>-0.16150141649365601</v>
      </c>
      <c r="J5">
        <v>3.5842088609377203E-2</v>
      </c>
      <c r="K5">
        <v>6.8018193915749701E-3</v>
      </c>
      <c r="L5" s="1">
        <v>2.2606215153879501E-5</v>
      </c>
      <c r="M5">
        <v>0.20807895885493299</v>
      </c>
      <c r="N5">
        <v>7.6238801947950893E-2</v>
      </c>
      <c r="O5">
        <v>0</v>
      </c>
      <c r="P5">
        <v>24.976960837785001</v>
      </c>
      <c r="Q5">
        <v>75.023039162214999</v>
      </c>
      <c r="R5">
        <v>69.347520195012194</v>
      </c>
      <c r="S5">
        <v>22.1002069236193</v>
      </c>
      <c r="T5">
        <v>8.5522728813684701</v>
      </c>
      <c r="U5">
        <v>0</v>
      </c>
      <c r="V5">
        <v>30.652479804987799</v>
      </c>
      <c r="W5">
        <v>0.137289269059862</v>
      </c>
      <c r="X5">
        <v>-39.926050467864599</v>
      </c>
      <c r="Y5">
        <v>2.5362715480115402E-4</v>
      </c>
      <c r="Z5">
        <v>99.919308114538097</v>
      </c>
      <c r="AA5">
        <v>83.475925295053102</v>
      </c>
      <c r="AB5">
        <v>283.41295142306097</v>
      </c>
      <c r="AC5">
        <v>281.40639008897801</v>
      </c>
      <c r="AD5">
        <v>16.982534446513199</v>
      </c>
      <c r="AE5">
        <v>341.32394911237299</v>
      </c>
      <c r="AF5">
        <v>3.9938521120456199</v>
      </c>
      <c r="AG5">
        <v>780.62950700559804</v>
      </c>
      <c r="AH5">
        <v>0.71644139695391496</v>
      </c>
      <c r="AI5">
        <v>63.240161334875303</v>
      </c>
      <c r="AJ5">
        <v>100.823204787815</v>
      </c>
      <c r="AK5">
        <v>87.428389739386603</v>
      </c>
      <c r="AL5">
        <v>-53.8780952586403</v>
      </c>
      <c r="AM5">
        <v>-4.9155952533957104</v>
      </c>
      <c r="AN5">
        <v>-7.08529771314711</v>
      </c>
      <c r="AO5">
        <v>0.9</v>
      </c>
      <c r="AP5">
        <v>0.89479550716248901</v>
      </c>
      <c r="AQ5">
        <v>0.82637827947276099</v>
      </c>
      <c r="AR5">
        <v>1.1855660640096399</v>
      </c>
      <c r="AS5">
        <v>1.6141707808347799E-3</v>
      </c>
      <c r="AT5">
        <v>1.2869999999999999</v>
      </c>
      <c r="AU5">
        <v>0.98790426798975095</v>
      </c>
      <c r="AV5">
        <v>0.88519642947927402</v>
      </c>
      <c r="AW5">
        <v>0.83858242968379504</v>
      </c>
      <c r="AX5">
        <v>1</v>
      </c>
      <c r="AY5">
        <v>0.95120548199422705</v>
      </c>
      <c r="AZ5">
        <v>1</v>
      </c>
      <c r="BA5">
        <v>1</v>
      </c>
      <c r="BB5">
        <v>0.960151776253516</v>
      </c>
      <c r="BC5">
        <v>1</v>
      </c>
      <c r="BD5">
        <v>0.97</v>
      </c>
      <c r="BE5">
        <v>1107625996.2</v>
      </c>
      <c r="BF5">
        <v>7.1900970203153294E-2</v>
      </c>
      <c r="BG5">
        <v>592</v>
      </c>
    </row>
    <row r="6" spans="1:59" x14ac:dyDescent="0.25">
      <c r="A6">
        <v>5</v>
      </c>
      <c r="B6">
        <v>1</v>
      </c>
      <c r="C6">
        <v>0</v>
      </c>
      <c r="D6">
        <v>1.05231433515303</v>
      </c>
      <c r="E6">
        <v>0.55514644971701799</v>
      </c>
      <c r="F6">
        <v>11.921950440162</v>
      </c>
      <c r="G6">
        <v>6.4620709567093604</v>
      </c>
      <c r="H6">
        <v>1.89556167690425</v>
      </c>
      <c r="I6">
        <v>-0.49716788543601498</v>
      </c>
      <c r="J6">
        <v>3.57639448318645E-2</v>
      </c>
      <c r="K6">
        <v>8.2795699369715495E-3</v>
      </c>
      <c r="L6">
        <v>1.27096513884286E-4</v>
      </c>
      <c r="M6">
        <v>0.21107707735349099</v>
      </c>
      <c r="N6">
        <v>0.29989876108080599</v>
      </c>
      <c r="O6">
        <v>0</v>
      </c>
      <c r="P6">
        <v>11.1419973888889</v>
      </c>
      <c r="Q6">
        <v>88.858002611111104</v>
      </c>
      <c r="R6">
        <v>51.805164968331802</v>
      </c>
      <c r="S6">
        <v>34.5604946069394</v>
      </c>
      <c r="T6">
        <v>13.6343404247288</v>
      </c>
      <c r="U6">
        <v>0</v>
      </c>
      <c r="V6">
        <v>48.194835031668198</v>
      </c>
      <c r="W6">
        <v>0.19232100627145399</v>
      </c>
      <c r="X6">
        <v>-11.498000932987299</v>
      </c>
      <c r="Y6">
        <v>4.1021946930205097E-2</v>
      </c>
      <c r="Z6">
        <v>99.984812081349702</v>
      </c>
      <c r="AA6">
        <v>80.970730087444096</v>
      </c>
      <c r="AB6">
        <v>306.47549234323799</v>
      </c>
      <c r="AC6">
        <v>304.31526740863097</v>
      </c>
      <c r="AD6">
        <v>16.6961337198981</v>
      </c>
      <c r="AE6">
        <v>341.17685377014197</v>
      </c>
      <c r="AF6">
        <v>4.1765401740766199</v>
      </c>
      <c r="AG6">
        <v>779.493526942274</v>
      </c>
      <c r="AH6">
        <v>3.1294167510972999</v>
      </c>
      <c r="AI6">
        <v>64.476083267286896</v>
      </c>
      <c r="AJ6">
        <v>100.725138042007</v>
      </c>
      <c r="AK6">
        <v>87.159413472569398</v>
      </c>
      <c r="AL6">
        <v>-35.812893228125397</v>
      </c>
      <c r="AM6">
        <v>-4.11845433509506</v>
      </c>
      <c r="AN6">
        <v>-5.80600035837326</v>
      </c>
      <c r="AO6">
        <v>0.9</v>
      </c>
      <c r="AP6">
        <v>0.89553204434088596</v>
      </c>
      <c r="AQ6">
        <v>0.81997111266638201</v>
      </c>
      <c r="AR6">
        <v>1.1986188874594099</v>
      </c>
      <c r="AS6">
        <v>3.3182050507093198E-3</v>
      </c>
      <c r="AT6">
        <v>1.2869999999999999</v>
      </c>
      <c r="AU6">
        <v>0.98867184486138704</v>
      </c>
      <c r="AV6">
        <v>0.86230230244920503</v>
      </c>
      <c r="AW6">
        <v>0.84092451035383198</v>
      </c>
      <c r="AX6">
        <v>1</v>
      </c>
      <c r="AY6">
        <v>0.98167862806220496</v>
      </c>
      <c r="AZ6">
        <v>1</v>
      </c>
      <c r="BA6">
        <v>1</v>
      </c>
      <c r="BB6">
        <v>0.937346714458831</v>
      </c>
      <c r="BC6">
        <v>1</v>
      </c>
      <c r="BD6">
        <v>0.97</v>
      </c>
      <c r="BE6">
        <v>13043725314.9</v>
      </c>
      <c r="BF6">
        <v>5.2534317856162201E-2</v>
      </c>
      <c r="BG6">
        <v>1988</v>
      </c>
    </row>
    <row r="7" spans="1:59" x14ac:dyDescent="0.25">
      <c r="A7">
        <v>6</v>
      </c>
      <c r="B7">
        <v>1</v>
      </c>
      <c r="C7">
        <v>25</v>
      </c>
      <c r="D7">
        <v>1.2837920063927699</v>
      </c>
      <c r="E7">
        <v>0.90176409888286801</v>
      </c>
      <c r="F7">
        <v>14.3629748565296</v>
      </c>
      <c r="G7">
        <v>10.300281226933601</v>
      </c>
      <c r="H7">
        <v>1.4236450619215899</v>
      </c>
      <c r="I7">
        <v>-0.38202790750990201</v>
      </c>
      <c r="J7">
        <v>3.6245028141397399E-2</v>
      </c>
      <c r="K7">
        <v>9.1058016418568005E-3</v>
      </c>
      <c r="L7">
        <v>4.9315599995961002E-4</v>
      </c>
      <c r="M7">
        <v>0.24826816348151001</v>
      </c>
      <c r="N7">
        <v>0.60765194961814395</v>
      </c>
      <c r="O7">
        <v>0</v>
      </c>
      <c r="P7">
        <v>8.0260137190766301</v>
      </c>
      <c r="Q7">
        <v>91.973986280923398</v>
      </c>
      <c r="R7">
        <v>40.127787197462702</v>
      </c>
      <c r="S7">
        <v>42.923667803238303</v>
      </c>
      <c r="T7">
        <v>16.948544999299099</v>
      </c>
      <c r="U7">
        <v>0</v>
      </c>
      <c r="V7">
        <v>59.872212802537298</v>
      </c>
      <c r="W7">
        <v>0.20571227095528</v>
      </c>
      <c r="X7">
        <v>10.9167427783336</v>
      </c>
      <c r="Y7">
        <v>7.3809398115878597</v>
      </c>
      <c r="Z7">
        <v>99.992431779172094</v>
      </c>
      <c r="AA7">
        <v>76.842167023964606</v>
      </c>
      <c r="AB7">
        <v>295.82861961995701</v>
      </c>
      <c r="AC7">
        <v>293.59501689169201</v>
      </c>
      <c r="AD7">
        <v>17.933532209314901</v>
      </c>
      <c r="AE7">
        <v>338.75989154977799</v>
      </c>
      <c r="AF7">
        <v>4.2397199568863497</v>
      </c>
      <c r="AG7">
        <v>780.93384128454102</v>
      </c>
      <c r="AH7">
        <v>7.3296047158846998</v>
      </c>
      <c r="AI7">
        <v>60.3312406965142</v>
      </c>
      <c r="AJ7">
        <v>100.2634536628</v>
      </c>
      <c r="AK7">
        <v>86.425091869432293</v>
      </c>
      <c r="AL7">
        <v>-32.032405079093401</v>
      </c>
      <c r="AM7">
        <v>-2.8020610219439201</v>
      </c>
      <c r="AN7">
        <v>-4.4541766687881896</v>
      </c>
      <c r="AO7">
        <v>0.9</v>
      </c>
      <c r="AP7">
        <v>0.90351007616776302</v>
      </c>
      <c r="AQ7">
        <v>0.84865593370362202</v>
      </c>
      <c r="AR7">
        <v>1.21634694174606</v>
      </c>
      <c r="AS7">
        <v>1.38866485755738E-2</v>
      </c>
      <c r="AT7">
        <v>1.2869999999999999</v>
      </c>
      <c r="AU7">
        <v>0.99033351362939304</v>
      </c>
      <c r="AV7">
        <v>0.87292985127706102</v>
      </c>
      <c r="AW7">
        <v>0.83808030902104902</v>
      </c>
      <c r="AX7">
        <v>1</v>
      </c>
      <c r="AY7">
        <v>0.98712584205465104</v>
      </c>
      <c r="AZ7">
        <v>1</v>
      </c>
      <c r="BA7">
        <v>1</v>
      </c>
      <c r="BB7">
        <v>0.92216612335670101</v>
      </c>
      <c r="BC7">
        <v>1</v>
      </c>
      <c r="BD7">
        <v>0.97</v>
      </c>
      <c r="BE7">
        <v>38127662526</v>
      </c>
      <c r="BF7">
        <v>6.6747756260000499E-2</v>
      </c>
      <c r="BG7">
        <v>5058</v>
      </c>
    </row>
    <row r="8" spans="1:59" x14ac:dyDescent="0.25">
      <c r="A8">
        <v>7</v>
      </c>
      <c r="B8">
        <v>1</v>
      </c>
      <c r="C8">
        <v>50</v>
      </c>
      <c r="D8">
        <v>2.02837608700148</v>
      </c>
      <c r="E8">
        <v>1.5863553831441299</v>
      </c>
      <c r="F8">
        <v>21.8005532951452</v>
      </c>
      <c r="G8">
        <v>17.4601286951536</v>
      </c>
      <c r="H8">
        <v>1.2786391426246999</v>
      </c>
      <c r="I8">
        <v>-0.44202070385735698</v>
      </c>
      <c r="J8">
        <v>3.6715476646832799E-2</v>
      </c>
      <c r="K8">
        <v>9.6539557873822693E-3</v>
      </c>
      <c r="L8">
        <v>6.6110218255828997E-3</v>
      </c>
      <c r="M8">
        <v>0.31008688267883899</v>
      </c>
      <c r="N8">
        <v>1.22328804620549</v>
      </c>
      <c r="O8">
        <v>0</v>
      </c>
      <c r="P8">
        <v>6.2921294348486896</v>
      </c>
      <c r="Q8">
        <v>93.707870565151296</v>
      </c>
      <c r="R8">
        <v>27.667666357015701</v>
      </c>
      <c r="S8">
        <v>51.875346493832303</v>
      </c>
      <c r="T8">
        <v>20.456987149151999</v>
      </c>
      <c r="U8">
        <v>0</v>
      </c>
      <c r="V8">
        <v>72.332333642984295</v>
      </c>
      <c r="W8">
        <v>0.23268180765212401</v>
      </c>
      <c r="X8">
        <v>38.052523254969401</v>
      </c>
      <c r="Y8">
        <v>125.37997785014799</v>
      </c>
      <c r="Z8">
        <v>99.996552665540804</v>
      </c>
      <c r="AA8">
        <v>68.695040032733104</v>
      </c>
      <c r="AB8">
        <v>304.95445950074202</v>
      </c>
      <c r="AC8">
        <v>302.69656874963903</v>
      </c>
      <c r="AD8">
        <v>18.475142335289299</v>
      </c>
      <c r="AE8">
        <v>336.99945291971301</v>
      </c>
      <c r="AF8">
        <v>4.2401168726087901</v>
      </c>
      <c r="AG8">
        <v>781.95245870272299</v>
      </c>
      <c r="AH8">
        <v>9.4355284316223607</v>
      </c>
      <c r="AI8">
        <v>58.676735881750702</v>
      </c>
      <c r="AJ8">
        <v>99.709948877108204</v>
      </c>
      <c r="AK8">
        <v>84.164490858682797</v>
      </c>
      <c r="AL8">
        <v>-27.490694471752999</v>
      </c>
      <c r="AM8">
        <v>0.405887035286358</v>
      </c>
      <c r="AN8">
        <v>-0.18600776747174899</v>
      </c>
      <c r="AO8">
        <v>0.9</v>
      </c>
      <c r="AP8">
        <v>0.98670669471610595</v>
      </c>
      <c r="AQ8">
        <v>0.862048745951427</v>
      </c>
      <c r="AR8">
        <v>1.2173377272225301</v>
      </c>
      <c r="AS8">
        <v>0.14136446051767801</v>
      </c>
      <c r="AT8">
        <v>1.2869999999999999</v>
      </c>
      <c r="AU8">
        <v>0.99441083961173404</v>
      </c>
      <c r="AV8">
        <v>0.863718105137954</v>
      </c>
      <c r="AW8">
        <v>0.83606180329598601</v>
      </c>
      <c r="AX8">
        <v>1</v>
      </c>
      <c r="AY8">
        <v>0.99571892989793398</v>
      </c>
      <c r="AZ8">
        <v>1</v>
      </c>
      <c r="BA8">
        <v>1</v>
      </c>
      <c r="BB8">
        <v>0.90596796626412002</v>
      </c>
      <c r="BC8">
        <v>1</v>
      </c>
      <c r="BD8">
        <v>0.97</v>
      </c>
      <c r="BE8">
        <v>182876627859.39999</v>
      </c>
      <c r="BF8">
        <v>9.0010592945401993E-2</v>
      </c>
      <c r="BG8">
        <v>17824</v>
      </c>
    </row>
    <row r="9" spans="1:59" x14ac:dyDescent="0.25">
      <c r="A9">
        <v>8</v>
      </c>
      <c r="B9">
        <v>1</v>
      </c>
      <c r="C9">
        <v>75</v>
      </c>
      <c r="D9">
        <v>2.69665916538644</v>
      </c>
      <c r="E9">
        <v>2.2601590919336898</v>
      </c>
      <c r="F9">
        <v>27.966748255874801</v>
      </c>
      <c r="G9">
        <v>23.991960031259801</v>
      </c>
      <c r="H9">
        <v>1.1931280302393701</v>
      </c>
      <c r="I9">
        <v>-0.43650007345275499</v>
      </c>
      <c r="J9">
        <v>3.76589181259947E-2</v>
      </c>
      <c r="K9">
        <v>1.2851328663977301E-2</v>
      </c>
      <c r="L9">
        <v>3.07443884458332E-3</v>
      </c>
      <c r="M9">
        <v>0.32027664395678501</v>
      </c>
      <c r="N9">
        <v>1.88629776234235</v>
      </c>
      <c r="O9">
        <v>0</v>
      </c>
      <c r="P9">
        <v>6.6934103996883998</v>
      </c>
      <c r="Q9">
        <v>93.306589600311597</v>
      </c>
      <c r="R9">
        <v>29.5544034897183</v>
      </c>
      <c r="S9">
        <v>49.090252730486597</v>
      </c>
      <c r="T9">
        <v>21.3550875060787</v>
      </c>
      <c r="U9">
        <v>2.5627371643072101E-4</v>
      </c>
      <c r="V9">
        <v>70.445596510281703</v>
      </c>
      <c r="W9">
        <v>0.29493507779349998</v>
      </c>
      <c r="X9">
        <v>60.166749302806501</v>
      </c>
      <c r="Y9">
        <v>230.589342388338</v>
      </c>
      <c r="Z9">
        <v>99.998240300349906</v>
      </c>
      <c r="AA9">
        <v>68.423450376735502</v>
      </c>
      <c r="AB9">
        <v>284.84888746046198</v>
      </c>
      <c r="AC9">
        <v>282.47635661546798</v>
      </c>
      <c r="AD9">
        <v>21.144525139828499</v>
      </c>
      <c r="AE9">
        <v>333.65141393941599</v>
      </c>
      <c r="AF9">
        <v>4.3796609315769803</v>
      </c>
      <c r="AG9">
        <v>781.82728514482199</v>
      </c>
      <c r="AH9">
        <v>12.4275008844302</v>
      </c>
      <c r="AI9">
        <v>52.979895672092603</v>
      </c>
      <c r="AJ9">
        <v>99.116273560335301</v>
      </c>
      <c r="AK9">
        <v>86.327210691104099</v>
      </c>
      <c r="AL9">
        <v>-22.563730853502602</v>
      </c>
      <c r="AM9">
        <v>-3.3219090480355401E-2</v>
      </c>
      <c r="AN9">
        <v>-0.826283926568815</v>
      </c>
      <c r="AO9">
        <v>0.9</v>
      </c>
      <c r="AP9">
        <v>0.95485084861438896</v>
      </c>
      <c r="AQ9">
        <v>0.92452246855980003</v>
      </c>
      <c r="AR9">
        <v>1.2306698176398101</v>
      </c>
      <c r="AS9">
        <v>8.7626170095783995E-2</v>
      </c>
      <c r="AT9">
        <v>1.2869999999999999</v>
      </c>
      <c r="AU9">
        <v>0.99437933606554996</v>
      </c>
      <c r="AV9">
        <v>0.88420367908556796</v>
      </c>
      <c r="AW9">
        <v>0.836322833585876</v>
      </c>
      <c r="AX9">
        <v>1</v>
      </c>
      <c r="AY9">
        <v>1.00525918188343</v>
      </c>
      <c r="AZ9">
        <v>1</v>
      </c>
      <c r="BA9">
        <v>1</v>
      </c>
      <c r="BB9">
        <v>0.90842072453663403</v>
      </c>
      <c r="BC9">
        <v>1</v>
      </c>
      <c r="BD9">
        <v>0.97</v>
      </c>
      <c r="BE9">
        <v>219664898859.10001</v>
      </c>
      <c r="BF9">
        <v>0.10758593750605799</v>
      </c>
      <c r="BG9">
        <v>23501</v>
      </c>
    </row>
    <row r="10" spans="1:59" x14ac:dyDescent="0.25">
      <c r="A10">
        <v>9</v>
      </c>
      <c r="B10">
        <v>1</v>
      </c>
      <c r="C10">
        <v>100</v>
      </c>
      <c r="D10">
        <v>3.4955187476610101</v>
      </c>
      <c r="E10">
        <v>3.0999782538959799</v>
      </c>
      <c r="F10">
        <v>34.751614962803998</v>
      </c>
      <c r="G10">
        <v>31.469090716711801</v>
      </c>
      <c r="H10">
        <v>1.12759460272598</v>
      </c>
      <c r="I10">
        <v>-0.39554049376503803</v>
      </c>
      <c r="J10">
        <v>3.91824999942052E-2</v>
      </c>
      <c r="K10">
        <v>1.8014274153819902E-2</v>
      </c>
      <c r="L10">
        <v>3.0941290437627501E-3</v>
      </c>
      <c r="M10">
        <v>0.33461905988318502</v>
      </c>
      <c r="N10">
        <v>2.705068290821</v>
      </c>
      <c r="O10">
        <v>0</v>
      </c>
      <c r="P10">
        <v>6.6796073446693702</v>
      </c>
      <c r="Q10">
        <v>93.320392655330593</v>
      </c>
      <c r="R10">
        <v>26.9227715928956</v>
      </c>
      <c r="S10">
        <v>47.522114385568401</v>
      </c>
      <c r="T10">
        <v>25.5551140215359</v>
      </c>
      <c r="U10">
        <v>0</v>
      </c>
      <c r="V10">
        <v>73.0772284071044</v>
      </c>
      <c r="W10">
        <v>0.41590095328323701</v>
      </c>
      <c r="X10">
        <v>85.9020154310831</v>
      </c>
      <c r="Y10">
        <v>506.32058468610398</v>
      </c>
      <c r="Z10">
        <v>99.999629912299</v>
      </c>
      <c r="AA10">
        <v>66.226144844535199</v>
      </c>
      <c r="AB10">
        <v>286.37720179556402</v>
      </c>
      <c r="AC10">
        <v>283.99515899990502</v>
      </c>
      <c r="AD10">
        <v>24.4871703878072</v>
      </c>
      <c r="AE10">
        <v>329.13353399462699</v>
      </c>
      <c r="AF10">
        <v>4.54911252733819</v>
      </c>
      <c r="AG10">
        <v>781.39066336010399</v>
      </c>
      <c r="AH10">
        <v>12.8752825486956</v>
      </c>
      <c r="AI10">
        <v>51.090907102255599</v>
      </c>
      <c r="AJ10">
        <v>99.004379956863204</v>
      </c>
      <c r="AK10">
        <v>86.393742046175007</v>
      </c>
      <c r="AL10">
        <v>-17.697799311340599</v>
      </c>
      <c r="AM10">
        <v>-7.4765289753653097E-2</v>
      </c>
      <c r="AN10">
        <v>-0.63095347992176798</v>
      </c>
      <c r="AO10">
        <v>0.9</v>
      </c>
      <c r="AP10">
        <v>0.94332358875394595</v>
      </c>
      <c r="AQ10">
        <v>0.99912742444415603</v>
      </c>
      <c r="AR10">
        <v>1.24010745883591</v>
      </c>
      <c r="AS10">
        <v>6.07928442954127E-2</v>
      </c>
      <c r="AT10">
        <v>1.2869999999999999</v>
      </c>
      <c r="AU10">
        <v>0.99536210908996203</v>
      </c>
      <c r="AV10">
        <v>0.88261689288842504</v>
      </c>
      <c r="AW10">
        <v>0.83718181073145204</v>
      </c>
      <c r="AX10">
        <v>1</v>
      </c>
      <c r="AY10">
        <v>1.0141872254277799</v>
      </c>
      <c r="AZ10">
        <v>1</v>
      </c>
      <c r="BA10">
        <v>1</v>
      </c>
      <c r="BB10">
        <v>0.90499960307076399</v>
      </c>
      <c r="BC10">
        <v>1</v>
      </c>
      <c r="BD10">
        <v>0.97</v>
      </c>
      <c r="BE10">
        <v>382377654166.79999</v>
      </c>
      <c r="BF10">
        <v>0.12153999015346199</v>
      </c>
      <c r="BG10">
        <v>35832</v>
      </c>
    </row>
    <row r="11" spans="1:59" x14ac:dyDescent="0.25">
      <c r="A11">
        <v>10</v>
      </c>
      <c r="B11">
        <v>1</v>
      </c>
      <c r="C11">
        <v>125</v>
      </c>
      <c r="D11">
        <v>3.8895696231216998</v>
      </c>
      <c r="E11">
        <v>3.55268934121248</v>
      </c>
      <c r="F11">
        <v>37.877880597770798</v>
      </c>
      <c r="G11">
        <v>35.2139551787171</v>
      </c>
      <c r="H11">
        <v>1.09482401908922</v>
      </c>
      <c r="I11">
        <v>-0.33688028190921399</v>
      </c>
      <c r="J11">
        <v>4.0323652002043298E-2</v>
      </c>
      <c r="K11">
        <v>2.2997229298988599E-2</v>
      </c>
      <c r="L11">
        <v>1.92990760108513E-3</v>
      </c>
      <c r="M11">
        <v>0.36157369547247598</v>
      </c>
      <c r="N11">
        <v>3.1258648568378899</v>
      </c>
      <c r="O11">
        <v>0</v>
      </c>
      <c r="P11">
        <v>7.1916798294306297</v>
      </c>
      <c r="Q11">
        <v>92.808320170569402</v>
      </c>
      <c r="R11">
        <v>29.418896980851699</v>
      </c>
      <c r="S11">
        <v>44.198707649173301</v>
      </c>
      <c r="T11">
        <v>26.382395369974901</v>
      </c>
      <c r="U11">
        <v>0</v>
      </c>
      <c r="V11">
        <v>70.581103019148202</v>
      </c>
      <c r="W11">
        <v>0.51202151419730602</v>
      </c>
      <c r="X11">
        <v>109.170895929282</v>
      </c>
      <c r="Y11">
        <v>781.86014327165799</v>
      </c>
      <c r="Z11">
        <v>100</v>
      </c>
      <c r="AA11">
        <v>65.0928866057221</v>
      </c>
      <c r="AB11">
        <v>270.74029975581999</v>
      </c>
      <c r="AC11">
        <v>268.35429109598101</v>
      </c>
      <c r="AD11">
        <v>26.549383965801798</v>
      </c>
      <c r="AE11">
        <v>326.24097710075199</v>
      </c>
      <c r="AF11">
        <v>4.7163075428348202</v>
      </c>
      <c r="AG11">
        <v>781.16417743435295</v>
      </c>
      <c r="AH11">
        <v>14.520857729297999</v>
      </c>
      <c r="AI11">
        <v>47.036628367840599</v>
      </c>
      <c r="AJ11">
        <v>98.532147955702797</v>
      </c>
      <c r="AK11">
        <v>87.646866860679694</v>
      </c>
      <c r="AL11">
        <v>-12.6172465737972</v>
      </c>
      <c r="AM11">
        <v>-2.87187413935154E-2</v>
      </c>
      <c r="AN11">
        <v>-0.73037913776932795</v>
      </c>
      <c r="AO11">
        <v>0.9</v>
      </c>
      <c r="AP11">
        <v>0.94089794955731598</v>
      </c>
      <c r="AQ11">
        <v>1.0406040273955599</v>
      </c>
      <c r="AR11">
        <v>1.2411269397034099</v>
      </c>
      <c r="AS11">
        <v>4.92352590825713E-2</v>
      </c>
      <c r="AT11">
        <v>1.2869999999999999</v>
      </c>
      <c r="AU11">
        <v>0.99591497577652999</v>
      </c>
      <c r="AV11">
        <v>0.89829299862638101</v>
      </c>
      <c r="AW11">
        <v>0.83762858281818697</v>
      </c>
      <c r="AX11">
        <v>1</v>
      </c>
      <c r="AY11">
        <v>1.02439381356513</v>
      </c>
      <c r="AZ11">
        <v>1</v>
      </c>
      <c r="BA11">
        <v>1</v>
      </c>
      <c r="BB11">
        <v>0.90824456607510695</v>
      </c>
      <c r="BC11">
        <v>1</v>
      </c>
      <c r="BD11">
        <v>0.97</v>
      </c>
      <c r="BE11">
        <v>312508233863.90002</v>
      </c>
      <c r="BF11">
        <v>0.12819201660177801</v>
      </c>
      <c r="BG11">
        <v>31759</v>
      </c>
    </row>
    <row r="12" spans="1:59" x14ac:dyDescent="0.25">
      <c r="A12">
        <v>11</v>
      </c>
      <c r="B12">
        <v>1</v>
      </c>
      <c r="C12">
        <v>150</v>
      </c>
      <c r="D12">
        <v>4.2395198196199102</v>
      </c>
      <c r="E12">
        <v>3.8644667083114599</v>
      </c>
      <c r="F12">
        <v>40.538510842116402</v>
      </c>
      <c r="G12">
        <v>37.682893841437199</v>
      </c>
      <c r="H12">
        <v>1.0970517123363499</v>
      </c>
      <c r="I12">
        <v>-0.37505311130844998</v>
      </c>
      <c r="J12">
        <v>4.1988447634899E-2</v>
      </c>
      <c r="K12">
        <v>3.3132549151518399E-2</v>
      </c>
      <c r="L12">
        <v>3.0613343539499199E-3</v>
      </c>
      <c r="M12">
        <v>0.38476994377183499</v>
      </c>
      <c r="N12">
        <v>3.4015144333992602</v>
      </c>
      <c r="O12">
        <v>0</v>
      </c>
      <c r="P12">
        <v>7.9182633542521303</v>
      </c>
      <c r="Q12">
        <v>92.081736645747895</v>
      </c>
      <c r="R12">
        <v>30.464558957785101</v>
      </c>
      <c r="S12">
        <v>40.481438339193303</v>
      </c>
      <c r="T12">
        <v>29.054002703021499</v>
      </c>
      <c r="U12">
        <v>0</v>
      </c>
      <c r="V12">
        <v>69.535441042214899</v>
      </c>
      <c r="W12">
        <v>0.71054833559066899</v>
      </c>
      <c r="X12">
        <v>134.64746671617701</v>
      </c>
      <c r="Y12">
        <v>1288.0731265704801</v>
      </c>
      <c r="Z12">
        <v>100</v>
      </c>
      <c r="AA12">
        <v>64.5175128687561</v>
      </c>
      <c r="AB12">
        <v>270.50929247628301</v>
      </c>
      <c r="AC12">
        <v>268.11904635182901</v>
      </c>
      <c r="AD12">
        <v>30.155180377319802</v>
      </c>
      <c r="AE12">
        <v>322.15335730111502</v>
      </c>
      <c r="AF12">
        <v>4.85798604555404</v>
      </c>
      <c r="AG12">
        <v>780.187546513028</v>
      </c>
      <c r="AH12">
        <v>12.8149786330317</v>
      </c>
      <c r="AI12">
        <v>47.452267107172901</v>
      </c>
      <c r="AJ12">
        <v>98.302030784191999</v>
      </c>
      <c r="AK12">
        <v>87.116767505136593</v>
      </c>
      <c r="AL12">
        <v>-7.86028825135456</v>
      </c>
      <c r="AM12">
        <v>0.45339230294459298</v>
      </c>
      <c r="AN12">
        <v>0.53920343170054696</v>
      </c>
      <c r="AO12">
        <v>0.9</v>
      </c>
      <c r="AP12">
        <v>0.95014938341288802</v>
      </c>
      <c r="AQ12">
        <v>1.1071663188074099</v>
      </c>
      <c r="AR12">
        <v>1.2470141379762401</v>
      </c>
      <c r="AS12">
        <v>5.6463125562712997E-2</v>
      </c>
      <c r="AT12">
        <v>1.2869999999999999</v>
      </c>
      <c r="AU12">
        <v>0.99614527636306904</v>
      </c>
      <c r="AV12">
        <v>0.89852228211534602</v>
      </c>
      <c r="AW12">
        <v>0.83956111546437195</v>
      </c>
      <c r="AX12">
        <v>1</v>
      </c>
      <c r="AY12">
        <v>1.03215626402025</v>
      </c>
      <c r="AZ12">
        <v>1</v>
      </c>
      <c r="BA12">
        <v>1</v>
      </c>
      <c r="BB12">
        <v>0.90960392664512102</v>
      </c>
      <c r="BC12">
        <v>1</v>
      </c>
      <c r="BD12">
        <v>0.97</v>
      </c>
      <c r="BE12">
        <v>351215010884.5</v>
      </c>
      <c r="BF12">
        <v>0.13651087345611301</v>
      </c>
      <c r="BG12">
        <v>42282</v>
      </c>
    </row>
    <row r="13" spans="1:59" x14ac:dyDescent="0.25">
      <c r="A13">
        <v>12</v>
      </c>
      <c r="B13">
        <v>1</v>
      </c>
      <c r="C13">
        <v>175</v>
      </c>
      <c r="D13">
        <v>4.2918617280337399</v>
      </c>
      <c r="E13">
        <v>3.8983497149508102</v>
      </c>
      <c r="F13">
        <v>40.927354555505701</v>
      </c>
      <c r="G13">
        <v>37.945947791728599</v>
      </c>
      <c r="H13">
        <v>1.1009432303042901</v>
      </c>
      <c r="I13">
        <v>-0.39351201308293499</v>
      </c>
      <c r="J13">
        <v>4.3578818911333403E-2</v>
      </c>
      <c r="K13">
        <v>4.6314717193854001E-2</v>
      </c>
      <c r="L13">
        <v>1.51770150294547E-3</v>
      </c>
      <c r="M13">
        <v>0.38453920943326297</v>
      </c>
      <c r="N13">
        <v>3.4223992679094102</v>
      </c>
      <c r="O13">
        <v>0</v>
      </c>
      <c r="P13">
        <v>8.8028804515086208</v>
      </c>
      <c r="Q13">
        <v>91.197119548491401</v>
      </c>
      <c r="R13">
        <v>29.1308301749648</v>
      </c>
      <c r="S13">
        <v>39.731218158851597</v>
      </c>
      <c r="T13">
        <v>31.1379516661836</v>
      </c>
      <c r="U13">
        <v>0</v>
      </c>
      <c r="V13">
        <v>70.8691698250352</v>
      </c>
      <c r="W13">
        <v>0.95226676426446499</v>
      </c>
      <c r="X13">
        <v>158.089981675704</v>
      </c>
      <c r="Y13">
        <v>1730.8999007411101</v>
      </c>
      <c r="Z13">
        <v>100</v>
      </c>
      <c r="AA13">
        <v>64.181190868066693</v>
      </c>
      <c r="AB13">
        <v>256.05565542838701</v>
      </c>
      <c r="AC13">
        <v>253.71742078085299</v>
      </c>
      <c r="AD13">
        <v>32.708857729364702</v>
      </c>
      <c r="AE13">
        <v>318.52171669195297</v>
      </c>
      <c r="AF13">
        <v>5.0202739242851298</v>
      </c>
      <c r="AG13">
        <v>779.74660185592302</v>
      </c>
      <c r="AH13">
        <v>14.9749360950176</v>
      </c>
      <c r="AI13">
        <v>43.163673341503198</v>
      </c>
      <c r="AJ13">
        <v>98.020951850224904</v>
      </c>
      <c r="AK13">
        <v>88.914575925659506</v>
      </c>
      <c r="AL13">
        <v>1.8177897968027901</v>
      </c>
      <c r="AM13">
        <v>0.21174734497209499</v>
      </c>
      <c r="AN13">
        <v>0.127883081258265</v>
      </c>
      <c r="AO13">
        <v>0.9</v>
      </c>
      <c r="AP13">
        <v>0.92818665258085897</v>
      </c>
      <c r="AQ13">
        <v>1.16343006408883</v>
      </c>
      <c r="AR13">
        <v>1.2490868102232</v>
      </c>
      <c r="AS13">
        <v>3.2994538237847301E-2</v>
      </c>
      <c r="AT13">
        <v>1.2869999999999999</v>
      </c>
      <c r="AU13">
        <v>0.99632440864684402</v>
      </c>
      <c r="AV13">
        <v>0.91280264620582896</v>
      </c>
      <c r="AW13">
        <v>0.84042713086618903</v>
      </c>
      <c r="AX13">
        <v>1</v>
      </c>
      <c r="AY13">
        <v>1.0468712949875101</v>
      </c>
      <c r="AZ13">
        <v>1</v>
      </c>
      <c r="BA13">
        <v>1</v>
      </c>
      <c r="BB13">
        <v>0.907870079227454</v>
      </c>
      <c r="BC13">
        <v>1</v>
      </c>
      <c r="BD13">
        <v>0.97</v>
      </c>
      <c r="BE13">
        <v>159258409672</v>
      </c>
      <c r="BF13">
        <v>0.14437641501891299</v>
      </c>
      <c r="BG13">
        <v>28313</v>
      </c>
    </row>
    <row r="14" spans="1:59" x14ac:dyDescent="0.25">
      <c r="A14">
        <v>13</v>
      </c>
      <c r="B14">
        <v>1</v>
      </c>
      <c r="C14">
        <v>200</v>
      </c>
      <c r="D14">
        <v>4.2627541673664702</v>
      </c>
      <c r="E14">
        <v>3.7050285851565801</v>
      </c>
      <c r="F14">
        <v>40.7114055615653</v>
      </c>
      <c r="G14">
        <v>36.431303966377001</v>
      </c>
      <c r="H14">
        <v>1.15053205917069</v>
      </c>
      <c r="I14">
        <v>-0.55772558220988899</v>
      </c>
      <c r="J14">
        <v>4.5166686033812499E-2</v>
      </c>
      <c r="K14">
        <v>7.4498899242854993E-2</v>
      </c>
      <c r="L14">
        <v>1.65378708263956E-3</v>
      </c>
      <c r="M14">
        <v>0.39762720101638499</v>
      </c>
      <c r="N14">
        <v>3.1860820117808899</v>
      </c>
      <c r="O14">
        <v>0</v>
      </c>
      <c r="P14">
        <v>9.6247255869666102</v>
      </c>
      <c r="Q14">
        <v>90.375274413033395</v>
      </c>
      <c r="R14">
        <v>27.812109918462198</v>
      </c>
      <c r="S14">
        <v>36.973708665037599</v>
      </c>
      <c r="T14">
        <v>35.214181416500203</v>
      </c>
      <c r="U14">
        <v>0</v>
      </c>
      <c r="V14">
        <v>72.187890081537802</v>
      </c>
      <c r="W14">
        <v>1.4971248833017701</v>
      </c>
      <c r="X14">
        <v>183.17375088448199</v>
      </c>
      <c r="Y14">
        <v>2485.5041025043201</v>
      </c>
      <c r="Z14">
        <v>100</v>
      </c>
      <c r="AA14">
        <v>64.092234435586803</v>
      </c>
      <c r="AB14">
        <v>253.53366587303901</v>
      </c>
      <c r="AC14">
        <v>251.27660772787701</v>
      </c>
      <c r="AD14">
        <v>35.586207681686403</v>
      </c>
      <c r="AE14">
        <v>314.98242985641599</v>
      </c>
      <c r="AF14">
        <v>5.2289773116925096</v>
      </c>
      <c r="AG14">
        <v>778.59270775668301</v>
      </c>
      <c r="AH14">
        <v>16.316375097422299</v>
      </c>
      <c r="AI14">
        <v>39.134076352511997</v>
      </c>
      <c r="AJ14">
        <v>98.039268896405304</v>
      </c>
      <c r="AK14">
        <v>88.554448290295994</v>
      </c>
      <c r="AL14">
        <v>18.492722016970099</v>
      </c>
      <c r="AM14">
        <v>0.117676551039996</v>
      </c>
      <c r="AN14">
        <v>0.17979014904062801</v>
      </c>
      <c r="AO14">
        <v>0.9</v>
      </c>
      <c r="AP14">
        <v>0.92203586485295896</v>
      </c>
      <c r="AQ14">
        <v>1.2088904853186</v>
      </c>
      <c r="AR14">
        <v>1.2498338283197401</v>
      </c>
      <c r="AS14">
        <v>2.25561792930675E-2</v>
      </c>
      <c r="AT14">
        <v>1.2869999999999999</v>
      </c>
      <c r="AU14">
        <v>0.99638277217155902</v>
      </c>
      <c r="AV14">
        <v>0.91511569744672405</v>
      </c>
      <c r="AW14">
        <v>0.84264266608221905</v>
      </c>
      <c r="AX14">
        <v>1</v>
      </c>
      <c r="AY14">
        <v>1.06645838242885</v>
      </c>
      <c r="AZ14">
        <v>1</v>
      </c>
      <c r="BA14">
        <v>1</v>
      </c>
      <c r="BB14">
        <v>0.90615574289400103</v>
      </c>
      <c r="BC14">
        <v>1</v>
      </c>
      <c r="BD14">
        <v>0.97</v>
      </c>
      <c r="BE14">
        <v>66136191813.300003</v>
      </c>
      <c r="BF14">
        <v>0.14740333075250001</v>
      </c>
      <c r="BG14">
        <v>18325</v>
      </c>
    </row>
    <row r="15" spans="1:59" x14ac:dyDescent="0.25">
      <c r="A15">
        <v>14</v>
      </c>
      <c r="B15">
        <v>1</v>
      </c>
      <c r="C15">
        <v>225</v>
      </c>
      <c r="D15">
        <v>3.9783569410966302</v>
      </c>
      <c r="E15">
        <v>3.3464555464095098</v>
      </c>
      <c r="F15">
        <v>38.563057156703401</v>
      </c>
      <c r="G15">
        <v>33.531876230783702</v>
      </c>
      <c r="H15">
        <v>1.1888270696932199</v>
      </c>
      <c r="I15">
        <v>-0.63190139468712603</v>
      </c>
      <c r="J15">
        <v>4.7417489471647999E-2</v>
      </c>
      <c r="K15">
        <v>9.3780577950791005E-2</v>
      </c>
      <c r="L15">
        <v>9.6973257571331497E-4</v>
      </c>
      <c r="M15">
        <v>0.39149321737349202</v>
      </c>
      <c r="N15">
        <v>2.81279452903786</v>
      </c>
      <c r="O15">
        <v>0</v>
      </c>
      <c r="P15">
        <v>10.2084178429498</v>
      </c>
      <c r="Q15">
        <v>89.7915821570502</v>
      </c>
      <c r="R15">
        <v>26.0084678326049</v>
      </c>
      <c r="S15">
        <v>37.692333894673602</v>
      </c>
      <c r="T15">
        <v>36.299198272721497</v>
      </c>
      <c r="U15">
        <v>0</v>
      </c>
      <c r="V15">
        <v>73.991532167395107</v>
      </c>
      <c r="W15">
        <v>1.82844480263251</v>
      </c>
      <c r="X15">
        <v>206.179051675213</v>
      </c>
      <c r="Y15">
        <v>3182.2560371269801</v>
      </c>
      <c r="Z15">
        <v>100</v>
      </c>
      <c r="AA15">
        <v>63.9966272535112</v>
      </c>
      <c r="AB15">
        <v>237.414596716304</v>
      </c>
      <c r="AC15">
        <v>235.47299077946599</v>
      </c>
      <c r="AD15">
        <v>38.095413983946401</v>
      </c>
      <c r="AE15">
        <v>310.84082630386598</v>
      </c>
      <c r="AF15">
        <v>5.4448881284513497</v>
      </c>
      <c r="AG15">
        <v>778.29818804766899</v>
      </c>
      <c r="AH15">
        <v>18.185789469842899</v>
      </c>
      <c r="AI15">
        <v>36.7567909416886</v>
      </c>
      <c r="AJ15">
        <v>97.935591243104099</v>
      </c>
      <c r="AK15">
        <v>89.954919969929094</v>
      </c>
      <c r="AL15">
        <v>37.942536856722498</v>
      </c>
      <c r="AM15">
        <v>-0.203156512953409</v>
      </c>
      <c r="AN15">
        <v>-0.59603668261696896</v>
      </c>
      <c r="AO15">
        <v>0.9</v>
      </c>
      <c r="AP15">
        <v>0.90772409040745705</v>
      </c>
      <c r="AQ15">
        <v>1.2366887101090001</v>
      </c>
      <c r="AR15">
        <v>1.24991673192529</v>
      </c>
      <c r="AS15">
        <v>8.4106996973022097E-3</v>
      </c>
      <c r="AT15">
        <v>1.2869999999999999</v>
      </c>
      <c r="AU15">
        <v>0.99633939455496201</v>
      </c>
      <c r="AV15">
        <v>0.93046353950948302</v>
      </c>
      <c r="AW15">
        <v>0.84319232108350495</v>
      </c>
      <c r="AX15">
        <v>1</v>
      </c>
      <c r="AY15">
        <v>1.07666293385639</v>
      </c>
      <c r="AZ15">
        <v>1</v>
      </c>
      <c r="BA15">
        <v>1</v>
      </c>
      <c r="BB15">
        <v>0.90381100818238602</v>
      </c>
      <c r="BC15">
        <v>1</v>
      </c>
      <c r="BD15">
        <v>0.97</v>
      </c>
      <c r="BE15">
        <v>11678540261</v>
      </c>
      <c r="BF15">
        <v>0.15669990031525499</v>
      </c>
      <c r="BG15">
        <v>6442</v>
      </c>
    </row>
    <row r="16" spans="1:59" x14ac:dyDescent="0.25">
      <c r="A16">
        <v>15</v>
      </c>
      <c r="B16">
        <v>1</v>
      </c>
      <c r="C16">
        <v>250</v>
      </c>
      <c r="D16">
        <v>3.6397958866545999</v>
      </c>
      <c r="E16">
        <v>2.89811175654398</v>
      </c>
      <c r="F16">
        <v>35.912617356807203</v>
      </c>
      <c r="G16">
        <v>29.736123989895098</v>
      </c>
      <c r="H16">
        <v>1.2559197824017201</v>
      </c>
      <c r="I16">
        <v>-0.74168413011061296</v>
      </c>
      <c r="J16">
        <v>4.8852510602509801E-2</v>
      </c>
      <c r="K16">
        <v>0.14011348139007501</v>
      </c>
      <c r="L16">
        <v>9.5351315488059003E-4</v>
      </c>
      <c r="M16">
        <v>0.40230072515543402</v>
      </c>
      <c r="N16">
        <v>2.30589152624108</v>
      </c>
      <c r="O16">
        <v>0</v>
      </c>
      <c r="P16">
        <v>10.3897812763727</v>
      </c>
      <c r="Q16">
        <v>89.610218723627298</v>
      </c>
      <c r="R16">
        <v>20.6564852551668</v>
      </c>
      <c r="S16">
        <v>39.309102081074798</v>
      </c>
      <c r="T16">
        <v>40.034412663758502</v>
      </c>
      <c r="U16">
        <v>0</v>
      </c>
      <c r="V16">
        <v>79.3435147448332</v>
      </c>
      <c r="W16">
        <v>2.6588584003451801</v>
      </c>
      <c r="X16">
        <v>236.21659825607699</v>
      </c>
      <c r="Y16">
        <v>4344.2046173948002</v>
      </c>
      <c r="Z16">
        <v>100</v>
      </c>
      <c r="AA16">
        <v>64.426469044053604</v>
      </c>
      <c r="AB16">
        <v>237.058331913964</v>
      </c>
      <c r="AC16">
        <v>235.720767847102</v>
      </c>
      <c r="AD16">
        <v>39.837940362678602</v>
      </c>
      <c r="AE16">
        <v>308.40645073693003</v>
      </c>
      <c r="AF16">
        <v>5.7469533981375198</v>
      </c>
      <c r="AG16">
        <v>776.69055909640201</v>
      </c>
      <c r="AH16">
        <v>20.559426628079599</v>
      </c>
      <c r="AI16">
        <v>32.30007901351</v>
      </c>
      <c r="AJ16">
        <v>97.996293694238901</v>
      </c>
      <c r="AK16">
        <v>88.881274599458905</v>
      </c>
      <c r="AL16">
        <v>68.628199401354905</v>
      </c>
      <c r="AM16">
        <v>-0.28303928033902398</v>
      </c>
      <c r="AN16">
        <v>-0.77048512781760103</v>
      </c>
      <c r="AO16">
        <v>0.9</v>
      </c>
      <c r="AP16">
        <v>0.90894256450886302</v>
      </c>
      <c r="AQ16">
        <v>1.24490849341539</v>
      </c>
      <c r="AR16">
        <v>1.24997118870718</v>
      </c>
      <c r="AS16">
        <v>4.9913108054333299E-3</v>
      </c>
      <c r="AT16">
        <v>1.2869999999999999</v>
      </c>
      <c r="AU16">
        <v>0.99620555125647203</v>
      </c>
      <c r="AV16">
        <v>0.92969294202492503</v>
      </c>
      <c r="AW16">
        <v>0.84618477537385794</v>
      </c>
      <c r="AX16">
        <v>1</v>
      </c>
      <c r="AY16">
        <v>1.0799661095952</v>
      </c>
      <c r="AZ16">
        <v>1</v>
      </c>
      <c r="BA16">
        <v>1</v>
      </c>
      <c r="BB16">
        <v>0.89685343083171698</v>
      </c>
      <c r="BC16">
        <v>1</v>
      </c>
      <c r="BD16">
        <v>0.97</v>
      </c>
      <c r="BE16">
        <v>2130798897.5999999</v>
      </c>
      <c r="BF16">
        <v>0.14994130628176899</v>
      </c>
      <c r="BG16">
        <v>3288</v>
      </c>
    </row>
    <row r="21" spans="1:14" x14ac:dyDescent="0.25">
      <c r="A21" s="4" t="str">
        <f>X1</f>
        <v>incentive</v>
      </c>
      <c r="B21" t="s">
        <v>55</v>
      </c>
      <c r="C21" t="str">
        <f>C1</f>
        <v>x</v>
      </c>
      <c r="D21" t="str">
        <f t="shared" ref="D21:E21" si="0">D1</f>
        <v>actual.smm</v>
      </c>
      <c r="E21" t="str">
        <f t="shared" si="0"/>
        <v>model.smm</v>
      </c>
      <c r="F21" t="s">
        <v>6</v>
      </c>
      <c r="H21" t="s">
        <v>58</v>
      </c>
      <c r="I21" t="s">
        <v>59</v>
      </c>
      <c r="J21" t="s">
        <v>6</v>
      </c>
      <c r="M21" t="s">
        <v>60</v>
      </c>
      <c r="N21" t="s">
        <v>61</v>
      </c>
    </row>
    <row r="22" spans="1:14" x14ac:dyDescent="0.25">
      <c r="A22" s="4">
        <f t="shared" ref="A22:A36" si="1">X2</f>
        <v>-100.840654683422</v>
      </c>
      <c r="B22" s="2">
        <f>BE2/1000000000</f>
        <v>9.5274140000000003E-4</v>
      </c>
      <c r="C22" s="5">
        <f t="shared" ref="C22:E36" si="2">C2</f>
        <v>-100</v>
      </c>
      <c r="D22" s="2">
        <f t="shared" si="2"/>
        <v>0</v>
      </c>
      <c r="E22" s="2">
        <f t="shared" si="2"/>
        <v>0.215504541144384</v>
      </c>
      <c r="F22" s="2">
        <f>D22/E22</f>
        <v>0</v>
      </c>
      <c r="H22" s="4">
        <v>0</v>
      </c>
      <c r="I22">
        <f>J2+K2+L2+M2+N2*H22</f>
        <v>0.21196072744699623</v>
      </c>
      <c r="J22" s="3">
        <f>D22/I22</f>
        <v>0</v>
      </c>
      <c r="L22">
        <v>-116</v>
      </c>
      <c r="M22">
        <v>0</v>
      </c>
      <c r="N22">
        <f>H22*M22</f>
        <v>0</v>
      </c>
    </row>
    <row r="23" spans="1:14" x14ac:dyDescent="0.25">
      <c r="A23" s="4">
        <f t="shared" si="1"/>
        <v>-80.785860014224596</v>
      </c>
      <c r="B23" s="2">
        <f t="shared" ref="B23:B36" si="3">BE3/1000000000</f>
        <v>1.7816996000000002E-2</v>
      </c>
      <c r="C23" s="5">
        <f t="shared" si="2"/>
        <v>-75</v>
      </c>
      <c r="D23" s="2">
        <f t="shared" si="2"/>
        <v>3.37000044120793E-2</v>
      </c>
      <c r="E23" s="2">
        <f t="shared" si="2"/>
        <v>0.242953952199919</v>
      </c>
      <c r="F23" s="2">
        <f t="shared" ref="F23:F36" si="4">D23/E23</f>
        <v>0.13870943076632336</v>
      </c>
      <c r="H23" s="4">
        <v>0.13870943076632336</v>
      </c>
      <c r="I23">
        <f t="shared" ref="I23:I36" si="5">J3+K3+L3+M3+N3*H23</f>
        <v>0.2313333113120615</v>
      </c>
      <c r="J23" s="3">
        <f t="shared" ref="J23:J36" si="6">D23/I23</f>
        <v>0.14567726636921319</v>
      </c>
    </row>
    <row r="24" spans="1:14" x14ac:dyDescent="0.25">
      <c r="A24" s="4">
        <f t="shared" si="1"/>
        <v>-61.623707303360902</v>
      </c>
      <c r="B24" s="2">
        <f t="shared" si="3"/>
        <v>0.12632202719999999</v>
      </c>
      <c r="C24" s="5">
        <f t="shared" si="2"/>
        <v>-50</v>
      </c>
      <c r="D24" s="2">
        <f t="shared" si="2"/>
        <v>0.211131681131143</v>
      </c>
      <c r="E24" s="2">
        <f t="shared" si="2"/>
        <v>0.29239542505079602</v>
      </c>
      <c r="F24" s="2">
        <f t="shared" si="4"/>
        <v>0.7220758706962136</v>
      </c>
      <c r="H24" s="4">
        <v>0.7220758706962136</v>
      </c>
      <c r="I24">
        <f t="shared" si="5"/>
        <v>0.28448653201342672</v>
      </c>
      <c r="J24" s="3">
        <f t="shared" si="6"/>
        <v>0.7421500049119315</v>
      </c>
      <c r="L24">
        <v>-51</v>
      </c>
      <c r="M24">
        <v>0.1018</v>
      </c>
      <c r="N24">
        <f t="shared" ref="N23:N36" si="7">H24*M24</f>
        <v>7.3507323636874539E-2</v>
      </c>
    </row>
    <row r="25" spans="1:14" x14ac:dyDescent="0.25">
      <c r="A25" s="4">
        <f t="shared" si="1"/>
        <v>-39.926050467864599</v>
      </c>
      <c r="B25" s="2">
        <f t="shared" si="3"/>
        <v>1.1076259962000001</v>
      </c>
      <c r="C25" s="5">
        <f t="shared" si="2"/>
        <v>-25</v>
      </c>
      <c r="D25" s="2">
        <f t="shared" si="2"/>
        <v>0.48848569151264598</v>
      </c>
      <c r="E25" s="2">
        <f t="shared" si="2"/>
        <v>0.32698427501899002</v>
      </c>
      <c r="F25" s="2">
        <f t="shared" si="4"/>
        <v>1.4939118753777274</v>
      </c>
      <c r="H25" s="4">
        <v>1.4939118753777274</v>
      </c>
      <c r="I25">
        <f t="shared" si="5"/>
        <v>0.36463952466565352</v>
      </c>
      <c r="J25" s="3">
        <f t="shared" si="6"/>
        <v>1.3396399964061765</v>
      </c>
    </row>
    <row r="26" spans="1:14" x14ac:dyDescent="0.25">
      <c r="A26" s="4">
        <f t="shared" si="1"/>
        <v>-11.498000932987299</v>
      </c>
      <c r="B26" s="2">
        <f t="shared" si="3"/>
        <v>13.0437253149</v>
      </c>
      <c r="C26" s="5">
        <f t="shared" si="2"/>
        <v>0</v>
      </c>
      <c r="D26" s="2">
        <f t="shared" si="2"/>
        <v>1.05231433515303</v>
      </c>
      <c r="E26" s="2">
        <f t="shared" si="2"/>
        <v>0.55514644971701799</v>
      </c>
      <c r="F26" s="2">
        <f t="shared" si="4"/>
        <v>1.8955616769042472</v>
      </c>
      <c r="H26" s="4">
        <v>1.8955616769042472</v>
      </c>
      <c r="I26">
        <f t="shared" si="5"/>
        <v>0.82372428709205003</v>
      </c>
      <c r="J26" s="3">
        <f t="shared" si="6"/>
        <v>1.277507961878797</v>
      </c>
    </row>
    <row r="27" spans="1:14" x14ac:dyDescent="0.25">
      <c r="A27" s="4">
        <f t="shared" si="1"/>
        <v>10.9167427783336</v>
      </c>
      <c r="B27" s="2">
        <f t="shared" si="3"/>
        <v>38.127662526000002</v>
      </c>
      <c r="C27" s="5">
        <f t="shared" si="2"/>
        <v>25</v>
      </c>
      <c r="D27" s="2">
        <f t="shared" si="2"/>
        <v>1.2837920063927699</v>
      </c>
      <c r="E27" s="2">
        <f t="shared" si="2"/>
        <v>0.90176409888286801</v>
      </c>
      <c r="F27" s="2">
        <f t="shared" si="4"/>
        <v>1.4236450619215928</v>
      </c>
      <c r="H27" s="4">
        <v>1.4236450619215928</v>
      </c>
      <c r="I27">
        <f t="shared" si="5"/>
        <v>1.1591928467056229</v>
      </c>
      <c r="J27" s="3">
        <f t="shared" si="6"/>
        <v>1.1074878610933914</v>
      </c>
      <c r="L27">
        <v>19</v>
      </c>
      <c r="M27">
        <v>1.1716</v>
      </c>
      <c r="N27">
        <f t="shared" si="7"/>
        <v>1.6679425545473381</v>
      </c>
    </row>
    <row r="28" spans="1:14" x14ac:dyDescent="0.25">
      <c r="A28" s="4">
        <f t="shared" si="1"/>
        <v>38.052523254969401</v>
      </c>
      <c r="B28" s="2">
        <f t="shared" si="3"/>
        <v>182.8766278594</v>
      </c>
      <c r="C28" s="5">
        <f t="shared" si="2"/>
        <v>50</v>
      </c>
      <c r="D28" s="2">
        <f t="shared" si="2"/>
        <v>2.02837608700148</v>
      </c>
      <c r="E28" s="2">
        <f t="shared" si="2"/>
        <v>1.5863553831441299</v>
      </c>
      <c r="F28" s="2">
        <f t="shared" si="4"/>
        <v>1.278639142624695</v>
      </c>
      <c r="H28" s="4">
        <v>1.278639142624695</v>
      </c>
      <c r="I28">
        <f t="shared" si="5"/>
        <v>1.9272113155218631</v>
      </c>
      <c r="J28" s="3">
        <f t="shared" si="6"/>
        <v>1.0524928276753205</v>
      </c>
    </row>
    <row r="29" spans="1:14" x14ac:dyDescent="0.25">
      <c r="A29" s="4">
        <f t="shared" si="1"/>
        <v>60.166749302806501</v>
      </c>
      <c r="B29" s="2">
        <f t="shared" si="3"/>
        <v>219.66489885909999</v>
      </c>
      <c r="C29" s="5">
        <f t="shared" si="2"/>
        <v>75</v>
      </c>
      <c r="D29" s="2">
        <f t="shared" si="2"/>
        <v>2.69665916538644</v>
      </c>
      <c r="E29" s="2">
        <f t="shared" si="2"/>
        <v>2.2601590919336898</v>
      </c>
      <c r="F29" s="2">
        <f t="shared" si="4"/>
        <v>1.1931280302393672</v>
      </c>
      <c r="H29" s="4">
        <v>1.1931280302393672</v>
      </c>
      <c r="I29">
        <f t="shared" si="5"/>
        <v>2.6244560632197942</v>
      </c>
      <c r="J29" s="3">
        <f t="shared" si="6"/>
        <v>1.0275116444807477</v>
      </c>
    </row>
    <row r="30" spans="1:14" x14ac:dyDescent="0.25">
      <c r="A30" s="4">
        <f t="shared" si="1"/>
        <v>85.9020154310831</v>
      </c>
      <c r="B30" s="2">
        <f t="shared" si="3"/>
        <v>382.37765416679997</v>
      </c>
      <c r="C30" s="5">
        <f t="shared" si="2"/>
        <v>100</v>
      </c>
      <c r="D30" s="2">
        <f t="shared" si="2"/>
        <v>3.4955187476610101</v>
      </c>
      <c r="E30" s="2">
        <f t="shared" si="2"/>
        <v>3.0999782538959799</v>
      </c>
      <c r="F30" s="2">
        <f t="shared" si="4"/>
        <v>1.1275946027259784</v>
      </c>
      <c r="H30" s="4">
        <v>1.1275946027259784</v>
      </c>
      <c r="I30">
        <f t="shared" si="5"/>
        <v>3.4451303678099197</v>
      </c>
      <c r="J30" s="3">
        <f t="shared" si="6"/>
        <v>1.0146259718708766</v>
      </c>
      <c r="L30">
        <v>84</v>
      </c>
      <c r="M30">
        <v>3.6196000000000002</v>
      </c>
      <c r="N30">
        <f t="shared" si="7"/>
        <v>4.0814414240269521</v>
      </c>
    </row>
    <row r="31" spans="1:14" x14ac:dyDescent="0.25">
      <c r="A31" s="4">
        <f t="shared" si="1"/>
        <v>109.170895929282</v>
      </c>
      <c r="B31" s="2">
        <f t="shared" si="3"/>
        <v>312.50823386390005</v>
      </c>
      <c r="C31" s="5">
        <f t="shared" si="2"/>
        <v>125</v>
      </c>
      <c r="D31" s="2">
        <f t="shared" si="2"/>
        <v>3.8895696231216998</v>
      </c>
      <c r="E31" s="2">
        <f t="shared" si="2"/>
        <v>3.55268934121248</v>
      </c>
      <c r="F31" s="2">
        <f t="shared" si="4"/>
        <v>1.0948240190892253</v>
      </c>
      <c r="H31" s="4">
        <v>1.0948240190892253</v>
      </c>
      <c r="I31">
        <f t="shared" si="5"/>
        <v>3.8490964100676175</v>
      </c>
      <c r="J31" s="3">
        <f t="shared" si="6"/>
        <v>1.010514990725673</v>
      </c>
    </row>
    <row r="32" spans="1:14" x14ac:dyDescent="0.25">
      <c r="A32" s="4">
        <f t="shared" si="1"/>
        <v>134.64746671617701</v>
      </c>
      <c r="B32" s="2">
        <f t="shared" si="3"/>
        <v>351.21501088449997</v>
      </c>
      <c r="C32" s="5">
        <f t="shared" si="2"/>
        <v>150</v>
      </c>
      <c r="D32" s="2">
        <f t="shared" si="2"/>
        <v>4.2395198196199102</v>
      </c>
      <c r="E32" s="2">
        <f t="shared" si="2"/>
        <v>3.8644667083114599</v>
      </c>
      <c r="F32" s="2">
        <f t="shared" si="4"/>
        <v>1.0970517123363512</v>
      </c>
      <c r="H32" s="4">
        <v>1.0970517123363512</v>
      </c>
      <c r="I32">
        <f t="shared" si="5"/>
        <v>4.1945895086096741</v>
      </c>
      <c r="J32" s="3">
        <f t="shared" si="6"/>
        <v>1.01071149177244</v>
      </c>
    </row>
    <row r="33" spans="1:14" x14ac:dyDescent="0.25">
      <c r="A33" s="4">
        <f t="shared" si="1"/>
        <v>158.089981675704</v>
      </c>
      <c r="B33" s="2">
        <f t="shared" si="3"/>
        <v>159.258409672</v>
      </c>
      <c r="C33" s="5">
        <f t="shared" si="2"/>
        <v>175</v>
      </c>
      <c r="D33" s="2">
        <f t="shared" si="2"/>
        <v>4.2918617280337399</v>
      </c>
      <c r="E33" s="2">
        <f t="shared" si="2"/>
        <v>3.8983497149508102</v>
      </c>
      <c r="F33" s="2">
        <f t="shared" si="4"/>
        <v>1.1009432303042865</v>
      </c>
      <c r="H33" s="4">
        <v>1.1009432303042865</v>
      </c>
      <c r="I33">
        <f t="shared" si="5"/>
        <v>4.243817752444607</v>
      </c>
      <c r="J33" s="3">
        <f t="shared" si="6"/>
        <v>1.01132093279959</v>
      </c>
    </row>
    <row r="34" spans="1:14" x14ac:dyDescent="0.25">
      <c r="A34" s="4">
        <f t="shared" si="1"/>
        <v>183.17375088448199</v>
      </c>
      <c r="B34" s="2">
        <f t="shared" si="3"/>
        <v>66.136191813300002</v>
      </c>
      <c r="C34" s="5">
        <f t="shared" si="2"/>
        <v>200</v>
      </c>
      <c r="D34" s="2">
        <f t="shared" si="2"/>
        <v>4.2627541673664702</v>
      </c>
      <c r="E34" s="2">
        <f t="shared" si="2"/>
        <v>3.7050285851565801</v>
      </c>
      <c r="F34" s="2">
        <f t="shared" si="4"/>
        <v>1.1505320591706905</v>
      </c>
      <c r="H34" s="4">
        <v>1.1505320591706905</v>
      </c>
      <c r="I34">
        <f t="shared" si="5"/>
        <v>4.1846360710766559</v>
      </c>
      <c r="J34" s="3">
        <f t="shared" si="6"/>
        <v>1.0186678351385801</v>
      </c>
      <c r="L34">
        <v>184</v>
      </c>
      <c r="M34">
        <v>5.0366999999999997</v>
      </c>
      <c r="N34">
        <f t="shared" si="7"/>
        <v>5.7948848224250167</v>
      </c>
    </row>
    <row r="35" spans="1:14" x14ac:dyDescent="0.25">
      <c r="A35" s="4">
        <f t="shared" si="1"/>
        <v>206.179051675213</v>
      </c>
      <c r="B35" s="2">
        <f t="shared" si="3"/>
        <v>11.678540261</v>
      </c>
      <c r="C35" s="5">
        <f t="shared" si="2"/>
        <v>225</v>
      </c>
      <c r="D35" s="2">
        <f t="shared" si="2"/>
        <v>3.9783569410966302</v>
      </c>
      <c r="E35" s="2">
        <f t="shared" si="2"/>
        <v>3.3464555464095098</v>
      </c>
      <c r="F35" s="2">
        <f t="shared" si="4"/>
        <v>1.1888270696932168</v>
      </c>
      <c r="H35" s="4">
        <v>1.1888270696932168</v>
      </c>
      <c r="I35">
        <f t="shared" si="5"/>
        <v>3.8775872949768351</v>
      </c>
      <c r="J35" s="3">
        <f t="shared" si="6"/>
        <v>1.0259877182521038</v>
      </c>
    </row>
    <row r="36" spans="1:14" x14ac:dyDescent="0.25">
      <c r="A36" s="4">
        <f t="shared" si="1"/>
        <v>236.21659825607699</v>
      </c>
      <c r="B36" s="2">
        <f t="shared" si="3"/>
        <v>2.1307988976000001</v>
      </c>
      <c r="C36" s="5">
        <f t="shared" si="2"/>
        <v>250</v>
      </c>
      <c r="D36" s="2">
        <f t="shared" si="2"/>
        <v>3.6397958866545999</v>
      </c>
      <c r="E36" s="2">
        <f t="shared" si="2"/>
        <v>2.89811175654398</v>
      </c>
      <c r="F36" s="2">
        <f t="shared" si="4"/>
        <v>1.2559197824017263</v>
      </c>
      <c r="H36" s="4">
        <v>1.2559197824017263</v>
      </c>
      <c r="I36">
        <f t="shared" si="5"/>
        <v>3.4882350141815808</v>
      </c>
      <c r="J36" s="3">
        <f t="shared" si="6"/>
        <v>1.0434491574841835</v>
      </c>
      <c r="L36">
        <v>284</v>
      </c>
      <c r="M36">
        <v>5.1254</v>
      </c>
      <c r="N36">
        <f t="shared" si="7"/>
        <v>6.4370912527218076</v>
      </c>
    </row>
  </sheetData>
  <conditionalFormatting sqref="B22:B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{6CA8CF0D-7DD6-4E57-898A-A32531B25AE9}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A8CF0D-7DD6-4E57-898A-A32531B25A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B22:B36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grp_by_ones_plot_by_incentive_0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2018-07-24T17:32:13Z</dcterms:created>
  <dcterms:modified xsi:type="dcterms:W3CDTF">2018-07-24T18:10:57Z</dcterms:modified>
</cp:coreProperties>
</file>