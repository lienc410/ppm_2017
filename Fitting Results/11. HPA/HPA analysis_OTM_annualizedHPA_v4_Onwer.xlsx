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31635" windowHeight="19470"/>
  </bookViews>
  <sheets>
    <sheet name="Sheet1" sheetId="1" r:id="rId1"/>
    <sheet name="Sheet2" sheetId="2" r:id="rId2"/>
    <sheet name="Sheet3" sheetId="3" r:id="rId3"/>
  </sheets>
  <calcPr calcId="145621"/>
  <pivotCaches>
    <pivotCache cacheId="190" r:id="rId4"/>
  </pivotCaches>
</workbook>
</file>

<file path=xl/sharedStrings.xml><?xml version="1.0" encoding="utf-8"?>
<sst xmlns="http://schemas.openxmlformats.org/spreadsheetml/2006/main" count="17" uniqueCount="12">
  <si>
    <t>incentiveBucket</t>
  </si>
  <si>
    <t>hpaBucket</t>
  </si>
  <si>
    <t>smm</t>
  </si>
  <si>
    <t>cpr</t>
  </si>
  <si>
    <t>hpa_</t>
  </si>
  <si>
    <t>bal</t>
  </si>
  <si>
    <t>Row Labels</t>
  </si>
  <si>
    <t>Grand Total</t>
  </si>
  <si>
    <t>Column Labels</t>
  </si>
  <si>
    <t>Sum of cpr</t>
  </si>
  <si>
    <t>Sum of hpa_</t>
  </si>
  <si>
    <t>Sum of 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</si>
</sst>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3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22">
    <dxf>
      <numFmt numFmtId="35" formatCode="_(* #,##0.00_);_(* \(#,##0.00\);_(* &quot;-&quot;??_);_(@_)"/>
    </dxf>
    <dxf>
      <alignment horizontal="center" readingOrder="0"/>
    </dxf>
    <dxf>
      <alignment horizontal="center" readingOrder="0"/>
    </dxf>
    <dxf>
      <numFmt numFmtId="35" formatCode="_(* #,##0.00_);_(* \(#,##0.00\);_(* &quot;-&quot;??_);_(@_)"/>
    </dxf>
    <dxf>
      <alignment horizontal="center" readingOrder="0"/>
    </dxf>
    <dxf>
      <alignment horizontal="center" readingOrder="0"/>
    </dxf>
    <dxf>
      <numFmt numFmtId="35" formatCode="_(* #,##0.00_);_(* \(#,##0.00\);_(* &quot;-&quot;??_);_(@_)"/>
    </dxf>
    <dxf>
      <alignment horizontal="center" readingOrder="0"/>
    </dxf>
    <dxf>
      <alignment horizontal="center" readingOrder="0"/>
    </dxf>
    <dxf>
      <numFmt numFmtId="35" formatCode="_(* #,##0.00_);_(* \(#,##0.00\);_(* &quot;-&quot;??_);_(@_)"/>
    </dxf>
    <dxf>
      <alignment horizontal="center" readingOrder="0"/>
    </dxf>
    <dxf>
      <alignment horizontal="center" readingOrder="0"/>
    </dxf>
    <dxf>
      <numFmt numFmtId="35" formatCode="_(* #,##0.00_);_(* \(#,##0.00\);_(* &quot;-&quot;??_);_(@_)"/>
    </dxf>
    <dxf>
      <alignment horizontal="center" readingOrder="0"/>
    </dxf>
    <dxf>
      <alignment horizontal="center" readingOrder="0"/>
    </dxf>
    <dxf>
      <alignment horizontal="right" readingOrder="0"/>
    </dxf>
    <dxf>
      <alignment horizontal="center" readingOrder="0"/>
    </dxf>
    <dxf>
      <alignment horizontal="right" readingOrder="0"/>
    </dxf>
    <dxf>
      <alignment horizontal="center" readingOrder="0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[HPA analysis_OTM_annualizedHPA_v4_Onwer.xlsx]Sheet1!PivotTable22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Sheet1!$L$1:$L$2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strRef>
              <c:f>Sheet1!$K$3:$K$4</c:f>
              <c:strCache>
                <c:ptCount val="2"/>
                <c:pt idx="0">
                  <c:v>-75</c:v>
                </c:pt>
                <c:pt idx="1">
                  <c:v>-50</c:v>
                </c:pt>
              </c:strCache>
            </c:strRef>
          </c:cat>
          <c:val>
            <c:numRef>
              <c:f>Sheet1!$L$3:$L$4</c:f>
              <c:numCache>
                <c:formatCode>General</c:formatCode>
                <c:ptCount val="2"/>
                <c:pt idx="0">
                  <c:v>4.7892074601690204</c:v>
                </c:pt>
                <c:pt idx="1">
                  <c:v>5.9133590984038102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Sheet1!$M$1:$M$2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strRef>
              <c:f>Sheet1!$K$3:$K$4</c:f>
              <c:strCache>
                <c:ptCount val="2"/>
                <c:pt idx="0">
                  <c:v>-75</c:v>
                </c:pt>
                <c:pt idx="1">
                  <c:v>-50</c:v>
                </c:pt>
              </c:strCache>
            </c:strRef>
          </c:cat>
          <c:val>
            <c:numRef>
              <c:f>Sheet1!$M$3:$M$4</c:f>
              <c:numCache>
                <c:formatCode>General</c:formatCode>
                <c:ptCount val="2"/>
                <c:pt idx="0">
                  <c:v>6.0056333511668001</c:v>
                </c:pt>
                <c:pt idx="1">
                  <c:v>6.6521867317478103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Sheet1!$N$1:$N$2</c:f>
              <c:strCache>
                <c:ptCount val="1"/>
                <c:pt idx="0">
                  <c:v>7</c:v>
                </c:pt>
              </c:strCache>
            </c:strRef>
          </c:tx>
          <c:marker>
            <c:symbol val="none"/>
          </c:marker>
          <c:cat>
            <c:strRef>
              <c:f>Sheet1!$K$3:$K$4</c:f>
              <c:strCache>
                <c:ptCount val="2"/>
                <c:pt idx="0">
                  <c:v>-75</c:v>
                </c:pt>
                <c:pt idx="1">
                  <c:v>-50</c:v>
                </c:pt>
              </c:strCache>
            </c:strRef>
          </c:cat>
          <c:val>
            <c:numRef>
              <c:f>Sheet1!$N$3:$N$4</c:f>
              <c:numCache>
                <c:formatCode>General</c:formatCode>
                <c:ptCount val="2"/>
                <c:pt idx="0">
                  <c:v>6.7624935542311402</c:v>
                </c:pt>
                <c:pt idx="1">
                  <c:v>6.9943468796759998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259136"/>
        <c:axId val="101267712"/>
      </c:lineChart>
      <c:catAx>
        <c:axId val="101259136"/>
        <c:scaling>
          <c:orientation val="minMax"/>
        </c:scaling>
        <c:delete val="0"/>
        <c:axPos val="b"/>
        <c:majorTickMark val="out"/>
        <c:minorTickMark val="none"/>
        <c:tickLblPos val="nextTo"/>
        <c:crossAx val="101267712"/>
        <c:crosses val="autoZero"/>
        <c:auto val="1"/>
        <c:lblAlgn val="ctr"/>
        <c:lblOffset val="100"/>
        <c:noMultiLvlLbl val="0"/>
      </c:catAx>
      <c:valAx>
        <c:axId val="101267712"/>
        <c:scaling>
          <c:orientation val="minMax"/>
          <c:min val="4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12591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400050</xdr:colOff>
      <xdr:row>1</xdr:row>
      <xdr:rowOff>4762</xdr:rowOff>
    </xdr:from>
    <xdr:to>
      <xdr:col>25</xdr:col>
      <xdr:colOff>428625</xdr:colOff>
      <xdr:row>15</xdr:row>
      <xdr:rowOff>80962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3244.80575983796" createdVersion="4" refreshedVersion="4" minRefreshableVersion="3" recordCount="6">
  <cacheSource type="worksheet">
    <worksheetSource ref="A1:F7" sheet="Sheet1"/>
  </cacheSource>
  <cacheFields count="6">
    <cacheField name="incentiveBucket" numFmtId="0">
      <sharedItems containsSemiMixedTypes="0" containsString="0" containsNumber="1" containsInteger="1" minValue="-75" maxValue="-50" count="2">
        <n v="-50"/>
        <n v="-75"/>
      </sharedItems>
    </cacheField>
    <cacheField name="hpaBucket" numFmtId="0">
      <sharedItems containsSemiMixedTypes="0" containsString="0" containsNumber="1" containsInteger="1" minValue="3" maxValue="7" count="4">
        <n v="3"/>
        <n v="4"/>
        <n v="7"/>
        <n v="5" u="1"/>
      </sharedItems>
    </cacheField>
    <cacheField name="smm" numFmtId="0">
      <sharedItems containsSemiMixedTypes="0" containsString="0" containsNumber="1" minValue="4.0813887014159098E-3" maxValue="6.0242732279749403E-3"/>
    </cacheField>
    <cacheField name="cpr" numFmtId="0">
      <sharedItems containsSemiMixedTypes="0" containsString="0" containsNumber="1" minValue="4.7892074601690204" maxValue="6.9943468796759998"/>
    </cacheField>
    <cacheField name="hpa_" numFmtId="0">
      <sharedItems containsSemiMixedTypes="0" containsString="0" containsNumber="1" minValue="2.1609085383023601" maxValue="7.6645623237951002"/>
    </cacheField>
    <cacheField name="bal" numFmtId="0">
      <sharedItems containsSemiMixedTypes="0" containsString="0" containsNumber="1" minValue="4107291379.5700002" maxValue="158741414667.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0"/>
    <x v="0"/>
    <n v="5.0666308154710196E-3"/>
    <n v="5.9133590984038102"/>
    <n v="2.17437328635725"/>
    <n v="17512023447.43"/>
  </r>
  <r>
    <x v="0"/>
    <x v="1"/>
    <n v="5.7200562710403502E-3"/>
    <n v="6.6521867317478103"/>
    <n v="3.4776257555532601"/>
    <n v="36003597965.050003"/>
  </r>
  <r>
    <x v="0"/>
    <x v="2"/>
    <n v="6.0242732279749403E-3"/>
    <n v="6.9943468796759998"/>
    <n v="7.6645623237951002"/>
    <n v="158741414667.12"/>
  </r>
  <r>
    <x v="1"/>
    <x v="0"/>
    <n v="4.0813887014159098E-3"/>
    <n v="4.7892074601690204"/>
    <n v="2.1609085383023601"/>
    <n v="4107291379.5700002"/>
  </r>
  <r>
    <x v="1"/>
    <x v="1"/>
    <n v="5.1479813891935804E-3"/>
    <n v="6.0056333511668001"/>
    <n v="3.4975568471969498"/>
    <n v="9875986897.8400002"/>
  </r>
  <r>
    <x v="1"/>
    <x v="2"/>
    <n v="5.81801902531615E-3"/>
    <n v="6.7624935542311402"/>
    <n v="7.3223152400361498"/>
    <n v="38358719134.27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4" cacheId="19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K9:O13" firstHeaderRow="1" firstDataRow="2" firstDataCol="1"/>
  <pivotFields count="6">
    <pivotField axis="axisRow" showAll="0" defaultSubtotal="0">
      <items count="2">
        <item x="1"/>
        <item x="0"/>
      </items>
    </pivotField>
    <pivotField axis="axisCol" showAll="0" sortType="ascending" defaultSubtotal="0">
      <items count="4">
        <item x="0"/>
        <item x="1"/>
        <item m="1" x="3"/>
        <item x="2"/>
      </items>
    </pivotField>
    <pivotField showAll="0" defaultSubtotal="0"/>
    <pivotField showAll="0" defaultSubtotal="0"/>
    <pivotField showAll="0" defaultSubtotal="0"/>
    <pivotField dataField="1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3"/>
    </i>
    <i t="grand">
      <x/>
    </i>
  </colItems>
  <dataFields count="1">
    <dataField name="Sum of bal" fld="5" showDataAs="percentOfTotal" baseField="0" baseItem="0" numFmtId="10"/>
  </dataFields>
  <formats count="2">
    <format dxfId="18">
      <pivotArea outline="0" collapsedLevelsAreSubtotals="1" fieldPosition="0">
        <references count="1">
          <reference field="1" count="0" selected="0"/>
        </references>
      </pivotArea>
    </format>
    <format dxfId="16">
      <pivotArea dataOnly="0" labelOnly="1" fieldPosition="0">
        <references count="1">
          <reference field="1" count="0"/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3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3" cacheId="190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K21:N24" firstHeaderRow="1" firstDataRow="2" firstDataCol="1"/>
  <pivotFields count="6">
    <pivotField axis="axisRow" showAll="0">
      <items count="3">
        <item x="1"/>
        <item x="0"/>
        <item t="default"/>
      </items>
    </pivotField>
    <pivotField axis="axisCol" showAll="0" sortType="ascending">
      <items count="5">
        <item x="0"/>
        <item x="1"/>
        <item m="1" x="3"/>
        <item x="2"/>
        <item t="default"/>
      </items>
    </pivotField>
    <pivotField showAll="0"/>
    <pivotField showAll="0"/>
    <pivotField dataField="1" showAll="0"/>
    <pivotField showAll="0"/>
  </pivotFields>
  <rowFields count="1">
    <field x="0"/>
  </rowFields>
  <rowItems count="2">
    <i>
      <x/>
    </i>
    <i>
      <x v="1"/>
    </i>
  </rowItems>
  <colFields count="1">
    <field x="1"/>
  </colFields>
  <colItems count="3">
    <i>
      <x/>
    </i>
    <i>
      <x v="1"/>
    </i>
    <i>
      <x v="3"/>
    </i>
  </colItems>
  <dataFields count="1">
    <dataField name="Sum of hpa_" fld="4" baseField="0" baseItem="0"/>
  </dataFields>
  <formats count="1">
    <format dxfId="21">
      <pivotArea collapsedLevelsAreSubtotals="1" fieldPosition="0">
        <references count="1">
          <reference field="0" count="0"/>
        </references>
      </pivotArea>
    </format>
  </formats>
  <chartFormats count="3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2" cacheId="190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K1:N4" firstHeaderRow="1" firstDataRow="2" firstDataCol="1"/>
  <pivotFields count="6">
    <pivotField axis="axisRow" showAll="0" defaultSubtotal="0">
      <items count="2">
        <item x="1"/>
        <item x="0"/>
      </items>
    </pivotField>
    <pivotField axis="axisCol" showAll="0" sortType="ascending" defaultSubtotal="0">
      <items count="4">
        <item x="0"/>
        <item x="1"/>
        <item m="1" x="3"/>
        <item x="2"/>
      </items>
    </pivotField>
    <pivotField showAll="0" defaultSubtotal="0"/>
    <pivotField dataField="1" showAll="0" defaultSubtotal="0"/>
    <pivotField showAll="0" defaultSubtotal="0"/>
    <pivotField showAll="0" defaultSubtotal="0"/>
  </pivotFields>
  <rowFields count="1">
    <field x="0"/>
  </rowFields>
  <rowItems count="2">
    <i>
      <x/>
    </i>
    <i>
      <x v="1"/>
    </i>
  </rowItems>
  <colFields count="1">
    <field x="1"/>
  </colFields>
  <colItems count="3">
    <i>
      <x/>
    </i>
    <i>
      <x v="1"/>
    </i>
    <i>
      <x v="3"/>
    </i>
  </colItems>
  <dataFields count="1">
    <dataField name="Sum of cpr" fld="3" baseField="0" baseItem="0"/>
  </dataFields>
  <chartFormats count="7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tabSelected="1" workbookViewId="0">
      <selection activeCell="Y24" sqref="Y24"/>
    </sheetView>
  </sheetViews>
  <sheetFormatPr defaultRowHeight="15" x14ac:dyDescent="0.25"/>
  <cols>
    <col min="11" max="11" width="13.140625" bestFit="1" customWidth="1"/>
    <col min="12" max="12" width="16.28515625" customWidth="1"/>
    <col min="13" max="15" width="11.7109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K1" s="1" t="s">
        <v>9</v>
      </c>
      <c r="L1" s="1" t="s">
        <v>8</v>
      </c>
    </row>
    <row r="2" spans="1:15" x14ac:dyDescent="0.25">
      <c r="A2">
        <v>-50</v>
      </c>
      <c r="B2">
        <v>3</v>
      </c>
      <c r="C2">
        <v>5.0666308154710196E-3</v>
      </c>
      <c r="D2">
        <v>5.9133590984038102</v>
      </c>
      <c r="E2">
        <v>2.17437328635725</v>
      </c>
      <c r="F2">
        <v>17512023447.43</v>
      </c>
      <c r="K2" s="1" t="s">
        <v>6</v>
      </c>
      <c r="L2">
        <v>3</v>
      </c>
      <c r="M2">
        <v>4</v>
      </c>
      <c r="N2">
        <v>7</v>
      </c>
    </row>
    <row r="3" spans="1:15" x14ac:dyDescent="0.25">
      <c r="A3">
        <v>-50</v>
      </c>
      <c r="B3">
        <v>4</v>
      </c>
      <c r="C3">
        <v>5.7200562710403502E-3</v>
      </c>
      <c r="D3">
        <v>6.6521867317478103</v>
      </c>
      <c r="E3">
        <v>3.4776257555532601</v>
      </c>
      <c r="F3">
        <v>36003597965.050003</v>
      </c>
      <c r="K3" s="2">
        <v>-75</v>
      </c>
      <c r="L3" s="3">
        <v>4.7892074601690204</v>
      </c>
      <c r="M3" s="3">
        <v>6.0056333511668001</v>
      </c>
      <c r="N3" s="3">
        <v>6.7624935542311402</v>
      </c>
    </row>
    <row r="4" spans="1:15" x14ac:dyDescent="0.25">
      <c r="A4">
        <v>-50</v>
      </c>
      <c r="B4">
        <v>7</v>
      </c>
      <c r="C4">
        <v>6.0242732279749403E-3</v>
      </c>
      <c r="D4">
        <v>6.9943468796759998</v>
      </c>
      <c r="E4">
        <v>7.6645623237951002</v>
      </c>
      <c r="F4">
        <v>158741414667.12</v>
      </c>
      <c r="K4" s="2">
        <v>-50</v>
      </c>
      <c r="L4" s="3">
        <v>5.9133590984038102</v>
      </c>
      <c r="M4" s="3">
        <v>6.6521867317478103</v>
      </c>
      <c r="N4" s="3">
        <v>6.9943468796759998</v>
      </c>
    </row>
    <row r="5" spans="1:15" x14ac:dyDescent="0.25">
      <c r="A5">
        <v>-75</v>
      </c>
      <c r="B5">
        <v>3</v>
      </c>
      <c r="C5">
        <v>4.0813887014159098E-3</v>
      </c>
      <c r="D5">
        <v>4.7892074601690204</v>
      </c>
      <c r="E5">
        <v>2.1609085383023601</v>
      </c>
      <c r="F5">
        <v>4107291379.5700002</v>
      </c>
    </row>
    <row r="6" spans="1:15" x14ac:dyDescent="0.25">
      <c r="A6">
        <v>-75</v>
      </c>
      <c r="B6">
        <v>4</v>
      </c>
      <c r="C6">
        <v>5.1479813891935804E-3</v>
      </c>
      <c r="D6">
        <v>6.0056333511668001</v>
      </c>
      <c r="E6">
        <v>3.4975568471969498</v>
      </c>
      <c r="F6">
        <v>9875986897.8400002</v>
      </c>
    </row>
    <row r="7" spans="1:15" x14ac:dyDescent="0.25">
      <c r="A7">
        <v>-75</v>
      </c>
      <c r="B7">
        <v>7</v>
      </c>
      <c r="C7">
        <v>5.81801902531615E-3</v>
      </c>
      <c r="D7">
        <v>6.7624935542311402</v>
      </c>
      <c r="E7">
        <v>7.3223152400361498</v>
      </c>
      <c r="F7">
        <v>38358719134.279999</v>
      </c>
    </row>
    <row r="9" spans="1:15" x14ac:dyDescent="0.25">
      <c r="K9" s="1" t="s">
        <v>11</v>
      </c>
      <c r="L9" s="1" t="s">
        <v>8</v>
      </c>
    </row>
    <row r="10" spans="1:15" x14ac:dyDescent="0.25">
      <c r="K10" s="1" t="s">
        <v>6</v>
      </c>
      <c r="L10" s="6">
        <v>3</v>
      </c>
      <c r="M10" s="6">
        <v>4</v>
      </c>
      <c r="N10" s="6">
        <v>7</v>
      </c>
      <c r="O10" t="s">
        <v>7</v>
      </c>
    </row>
    <row r="11" spans="1:15" x14ac:dyDescent="0.25">
      <c r="K11" s="2">
        <v>-75</v>
      </c>
      <c r="L11" s="7">
        <v>1.5522699857878365E-2</v>
      </c>
      <c r="M11" s="7">
        <v>3.7324349856950989E-2</v>
      </c>
      <c r="N11" s="7">
        <v>0.14496923374265719</v>
      </c>
      <c r="O11" s="5">
        <v>0.19781628345748656</v>
      </c>
    </row>
    <row r="12" spans="1:15" x14ac:dyDescent="0.25">
      <c r="K12" s="2">
        <v>-50</v>
      </c>
      <c r="L12" s="7">
        <v>6.6183247974737805E-2</v>
      </c>
      <c r="M12" s="7">
        <v>0.13606851653989568</v>
      </c>
      <c r="N12" s="7">
        <v>0.59993195202787997</v>
      </c>
      <c r="O12" s="5">
        <v>0.80218371654251341</v>
      </c>
    </row>
    <row r="13" spans="1:15" x14ac:dyDescent="0.25">
      <c r="K13" s="2" t="s">
        <v>7</v>
      </c>
      <c r="L13" s="7">
        <v>8.1705947832616171E-2</v>
      </c>
      <c r="M13" s="7">
        <v>0.17339286639684665</v>
      </c>
      <c r="N13" s="7">
        <v>0.7449011857705371</v>
      </c>
      <c r="O13" s="5">
        <v>1</v>
      </c>
    </row>
    <row r="21" spans="11:14" x14ac:dyDescent="0.25">
      <c r="K21" s="1" t="s">
        <v>10</v>
      </c>
      <c r="L21" s="1" t="s">
        <v>8</v>
      </c>
    </row>
    <row r="22" spans="11:14" x14ac:dyDescent="0.25">
      <c r="K22" s="1" t="s">
        <v>6</v>
      </c>
      <c r="L22">
        <v>3</v>
      </c>
      <c r="M22">
        <v>4</v>
      </c>
      <c r="N22">
        <v>7</v>
      </c>
    </row>
    <row r="23" spans="11:14" x14ac:dyDescent="0.25">
      <c r="K23" s="2">
        <v>-75</v>
      </c>
      <c r="L23" s="4">
        <v>2.1609085383023601</v>
      </c>
      <c r="M23" s="4">
        <v>3.4975568471969498</v>
      </c>
      <c r="N23" s="4">
        <v>7.3223152400361498</v>
      </c>
    </row>
    <row r="24" spans="11:14" x14ac:dyDescent="0.25">
      <c r="K24" s="2">
        <v>-50</v>
      </c>
      <c r="L24" s="4">
        <v>2.17437328635725</v>
      </c>
      <c r="M24" s="4">
        <v>3.4776257555532601</v>
      </c>
      <c r="N24" s="4">
        <v>7.6645623237951002</v>
      </c>
    </row>
  </sheetData>
  <conditionalFormatting pivot="1" sqref="L11:O13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{A4692119-8DAD-4E34-A8EB-36D4B3C85BCE}</x14:id>
        </ext>
      </extLst>
    </cfRule>
  </conditionalFormatting>
  <pageMargins left="0.7" right="0.7" top="0.75" bottom="0.75" header="0.3" footer="0.3"/>
  <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A4692119-8DAD-4E34-A8EB-36D4B3C85BC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L11:O13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2018-05-24T21:57:37Z</dcterms:created>
  <dcterms:modified xsi:type="dcterms:W3CDTF">2018-05-25T00:44:19Z</dcterms:modified>
</cp:coreProperties>
</file>