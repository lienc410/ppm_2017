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heet7" sheetId="7" r:id="rId1"/>
    <sheet name="Sheet1" sheetId="1" r:id="rId2"/>
    <sheet name="Sheet2" sheetId="2" r:id="rId3"/>
    <sheet name="Sheet3" sheetId="3" r:id="rId4"/>
  </sheets>
  <calcPr calcId="145621"/>
  <pivotCaches>
    <pivotCache cacheId="140" r:id="rId5"/>
  </pivotCaches>
</workbook>
</file>

<file path=xl/sharedStrings.xml><?xml version="1.0" encoding="utf-8"?>
<sst xmlns="http://schemas.openxmlformats.org/spreadsheetml/2006/main" count="15" uniqueCount="11">
  <si>
    <t>incentiveBucket</t>
  </si>
  <si>
    <t>hpaBucket</t>
  </si>
  <si>
    <t>smm</t>
  </si>
  <si>
    <t>hpa_</t>
  </si>
  <si>
    <t>Row Labels</t>
  </si>
  <si>
    <t>Column Labels</t>
  </si>
  <si>
    <t>cpr</t>
  </si>
  <si>
    <t>bal</t>
  </si>
  <si>
    <t>Sum of cpr</t>
  </si>
  <si>
    <t>Sum of bal</t>
  </si>
  <si>
    <t>Sum of hpa_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</si>
</sst>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3"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analysis_OTM_annualizedHPA.xlsx]Sheet7!PivotTable15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Sheet7!$A$5:$A$8</c:f>
              <c:strCach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strCache>
            </c:strRef>
          </c:cat>
          <c:val>
            <c:numRef>
              <c:f>Sheet7!$B$5:$B$8</c:f>
              <c:numCache>
                <c:formatCode>_(* #,##0.00_);_(* \(#,##0.00\);_(* "-"??_);_(@_)</c:formatCode>
                <c:ptCount val="4"/>
                <c:pt idx="0">
                  <c:v>0.39336540634211697</c:v>
                </c:pt>
                <c:pt idx="1">
                  <c:v>3.4178713372685698</c:v>
                </c:pt>
                <c:pt idx="2">
                  <c:v>4.6853722777169802</c:v>
                </c:pt>
                <c:pt idx="3">
                  <c:v>6.6086638571453404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Sheet7!$A$5:$A$8</c:f>
              <c:strCach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strCache>
            </c:strRef>
          </c:cat>
          <c:val>
            <c:numRef>
              <c:f>Sheet7!$C$5:$C$8</c:f>
              <c:numCache>
                <c:formatCode>_(* #,##0.00_);_(* \(#,##0.00\);_(* "-"??_);_(@_)</c:formatCode>
                <c:ptCount val="4"/>
                <c:pt idx="0">
                  <c:v>5.9213444934211399</c:v>
                </c:pt>
                <c:pt idx="1">
                  <c:v>7.41853440203273</c:v>
                </c:pt>
                <c:pt idx="2">
                  <c:v>7.4319717438611299</c:v>
                </c:pt>
                <c:pt idx="3">
                  <c:v>8.3653595391341309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Sheet7!$A$5:$A$8</c:f>
              <c:strCach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strCache>
            </c:strRef>
          </c:cat>
          <c:val>
            <c:numRef>
              <c:f>Sheet7!$D$5:$D$8</c:f>
              <c:numCache>
                <c:formatCode>_(* #,##0.00_);_(* \(#,##0.00\);_(* "-"??_);_(@_)</c:formatCode>
                <c:ptCount val="4"/>
                <c:pt idx="0">
                  <c:v>7.7562909863622602</c:v>
                </c:pt>
                <c:pt idx="1">
                  <c:v>8.4154490571406697</c:v>
                </c:pt>
                <c:pt idx="2">
                  <c:v>8.3923395775252505</c:v>
                </c:pt>
                <c:pt idx="3">
                  <c:v>9.5141968670189208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82912"/>
        <c:axId val="65784448"/>
      </c:lineChart>
      <c:catAx>
        <c:axId val="65782912"/>
        <c:scaling>
          <c:orientation val="minMax"/>
        </c:scaling>
        <c:delete val="0"/>
        <c:axPos val="b"/>
        <c:majorTickMark val="out"/>
        <c:minorTickMark val="none"/>
        <c:tickLblPos val="nextTo"/>
        <c:crossAx val="65784448"/>
        <c:crosses val="autoZero"/>
        <c:auto val="1"/>
        <c:lblAlgn val="ctr"/>
        <c:lblOffset val="100"/>
        <c:noMultiLvlLbl val="0"/>
      </c:catAx>
      <c:valAx>
        <c:axId val="657844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65782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</xdr:row>
      <xdr:rowOff>100012</xdr:rowOff>
    </xdr:from>
    <xdr:to>
      <xdr:col>13</xdr:col>
      <xdr:colOff>600075</xdr:colOff>
      <xdr:row>16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19</xdr:row>
      <xdr:rowOff>47625</xdr:rowOff>
    </xdr:from>
    <xdr:to>
      <xdr:col>14</xdr:col>
      <xdr:colOff>114300</xdr:colOff>
      <xdr:row>31</xdr:row>
      <xdr:rowOff>57150</xdr:rowOff>
    </xdr:to>
    <xdr:sp macro="" textlink="">
      <xdr:nvSpPr>
        <xdr:cNvPr id="3" name="TextBox 2"/>
        <xdr:cNvSpPr txBox="1"/>
      </xdr:nvSpPr>
      <xdr:spPr>
        <a:xfrm>
          <a:off x="7372350" y="3667125"/>
          <a:ext cx="4876800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refi_incentive &lt;= -25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loanPurposeType = 'PURCH'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  <xdr:twoCellAnchor editAs="oneCell">
    <xdr:from>
      <xdr:col>0</xdr:col>
      <xdr:colOff>228600</xdr:colOff>
      <xdr:row>33</xdr:row>
      <xdr:rowOff>95250</xdr:rowOff>
    </xdr:from>
    <xdr:to>
      <xdr:col>21</xdr:col>
      <xdr:colOff>588306</xdr:colOff>
      <xdr:row>80</xdr:row>
      <xdr:rowOff>36989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381750"/>
          <a:ext cx="17961906" cy="88952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4.663355902776" createdVersion="4" refreshedVersion="4" minRefreshableVersion="3" recordCount="20">
  <cacheSource type="worksheet">
    <worksheetSource ref="A1:F21" sheet="Sheet1"/>
  </cacheSource>
  <cacheFields count="6">
    <cacheField name="incentiveBucket" numFmtId="0">
      <sharedItems containsSemiMixedTypes="0" containsString="0" containsNumber="1" containsInteger="1" minValue="-175" maxValue="-25" count="7">
        <n v="-100"/>
        <n v="-125"/>
        <n v="-150"/>
        <n v="-175"/>
        <n v="-25"/>
        <n v="-50"/>
        <n v="-75"/>
      </sharedItems>
    </cacheField>
    <cacheField name="hpaBucket" numFmtId="0">
      <sharedItems containsSemiMixedTypes="0" containsString="0" containsNumber="1" containsInteger="1" minValue="2" maxValue="10" count="3">
        <n v="2"/>
        <n v="6"/>
        <n v="10"/>
      </sharedItems>
    </cacheField>
    <cacheField name="smm" numFmtId="43">
      <sharedItems containsSemiMixedTypes="0" containsString="0" containsNumber="1" minValue="4.9689922461360402E-8" maxValue="3.3534783495621799E-2"/>
    </cacheField>
    <cacheField name="cpr" numFmtId="43">
      <sharedItems containsSemiMixedTypes="0" containsString="0" containsNumber="1" minValue="5.9627890581000002E-5" maxValue="33.589807604597198"/>
    </cacheField>
    <cacheField name="hpa_" numFmtId="0">
      <sharedItems containsSemiMixedTypes="0" containsString="0" containsNumber="1" minValue="1.08970844083018" maxValue="8.6803127699634608"/>
    </cacheField>
    <cacheField name="bal" numFmtId="0">
      <sharedItems containsSemiMixedTypes="0" containsString="0" containsNumber="1" minValue="201248.05" maxValue="57597126560.55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n v="3.28397001723258E-4"/>
    <n v="0.39336540634211697"/>
    <n v="1.1214607607519"/>
    <n v="118301293.23999999"/>
  </r>
  <r>
    <x v="0"/>
    <x v="1"/>
    <n v="5.0736679861821199E-3"/>
    <n v="5.9213444934211399"/>
    <n v="4.3213531072939499"/>
    <n v="755070402.79999995"/>
  </r>
  <r>
    <x v="0"/>
    <x v="2"/>
    <n v="6.70542598882563E-3"/>
    <n v="7.7562909863622602"/>
    <n v="8.3258675211348194"/>
    <n v="567565393.50999999"/>
  </r>
  <r>
    <x v="1"/>
    <x v="0"/>
    <n v="1.2030053510959E-2"/>
    <n v="13.518183045300599"/>
    <n v="1.08970844083018"/>
    <n v="34569036.590000004"/>
  </r>
  <r>
    <x v="1"/>
    <x v="1"/>
    <n v="9.4616803721038598E-4"/>
    <n v="1.1295116958590601"/>
    <n v="4.1914171969340197"/>
    <n v="22971564.399999999"/>
  </r>
  <r>
    <x v="1"/>
    <x v="2"/>
    <n v="3.2276645885134098E-4"/>
    <n v="0.38663291380577303"/>
    <n v="8.2105229451662698"/>
    <n v="19369453.760000002"/>
  </r>
  <r>
    <x v="2"/>
    <x v="0"/>
    <n v="3.3534783495621799E-2"/>
    <n v="33.589807604597198"/>
    <n v="1.26001152828133"/>
    <n v="13288395.02"/>
  </r>
  <r>
    <x v="2"/>
    <x v="1"/>
    <n v="1.78390969754244E-6"/>
    <n v="2.1406706336099999E-3"/>
    <n v="4.2876526895346299"/>
    <n v="969780.03"/>
  </r>
  <r>
    <x v="2"/>
    <x v="2"/>
    <n v="1.5373644416265299E-4"/>
    <n v="0.18432782260345801"/>
    <n v="7.6908344284430399"/>
    <n v="510353.94"/>
  </r>
  <r>
    <x v="3"/>
    <x v="0"/>
    <n v="1.09030341303871E-6"/>
    <n v="1.308356249796E-3"/>
    <n v="1.2264757004864799"/>
    <n v="2760699.42"/>
  </r>
  <r>
    <x v="3"/>
    <x v="1"/>
    <n v="4.9689922461360402E-8"/>
    <n v="5.9627890581000002E-5"/>
    <n v="2.03782422393268"/>
    <n v="201248.05"/>
  </r>
  <r>
    <x v="4"/>
    <x v="0"/>
    <n v="5.6814330875592997E-3"/>
    <n v="6.6086638571453404"/>
    <n v="1.2318364660301899"/>
    <n v="3428114950.9000001"/>
  </r>
  <r>
    <x v="4"/>
    <x v="1"/>
    <n v="7.2536323975318203E-3"/>
    <n v="8.3653595391341309"/>
    <n v="4.1477973052842501"/>
    <n v="53946468863.400002"/>
  </r>
  <r>
    <x v="4"/>
    <x v="2"/>
    <n v="8.2968247009257302E-3"/>
    <n v="9.5141968670189208"/>
    <n v="8.6803127699634608"/>
    <n v="57597126560.559998"/>
  </r>
  <r>
    <x v="5"/>
    <x v="0"/>
    <n v="3.99092299741843E-3"/>
    <n v="4.6853722777169802"/>
    <n v="1.28056593869849"/>
    <n v="1737319889.28"/>
  </r>
  <r>
    <x v="5"/>
    <x v="1"/>
    <n v="6.4148672523904396E-3"/>
    <n v="7.4319717438611299"/>
    <n v="4.1278789054262903"/>
    <n v="26515662120.150002"/>
  </r>
  <r>
    <x v="5"/>
    <x v="2"/>
    <n v="7.2779935908266003E-3"/>
    <n v="8.3923395775252505"/>
    <n v="8.6021917902761196"/>
    <n v="24696970490.130001"/>
  </r>
  <r>
    <x v="6"/>
    <x v="0"/>
    <n v="2.8938435206214098E-3"/>
    <n v="3.4178713372685698"/>
    <n v="1.28027866240947"/>
    <n v="480098353.66000003"/>
  </r>
  <r>
    <x v="6"/>
    <x v="1"/>
    <n v="6.40284883459071E-3"/>
    <n v="7.41853440203273"/>
    <n v="4.1547040782428404"/>
    <n v="7532657472.6300001"/>
  </r>
  <r>
    <x v="6"/>
    <x v="2"/>
    <n v="7.2988651549572301E-3"/>
    <n v="8.4154490571406697"/>
    <n v="8.3862918231431802"/>
    <n v="5921402762.27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14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5:D30" firstHeaderRow="1" firstDataRow="2" firstDataCol="1"/>
  <pivotFields count="6">
    <pivotField axis="axisRow" showAll="0">
      <items count="8">
        <item h="1" x="3"/>
        <item h="1" x="2"/>
        <item h="1" x="1"/>
        <item x="0"/>
        <item x="6"/>
        <item x="5"/>
        <item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43" showAll="0"/>
    <pivotField numFmtId="43" showAll="0"/>
    <pivotField dataField="1" showAll="0"/>
    <pivotField showAll="0"/>
  </pivotFields>
  <rowFields count="1">
    <field x="0"/>
  </rowFields>
  <rowItems count="4"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1"/>
    </i>
    <i>
      <x v="2"/>
    </i>
  </colItems>
  <dataFields count="1">
    <dataField name="Sum of hpa_" fld="4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14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4:D19" firstHeaderRow="1" firstDataRow="2" firstDataCol="1"/>
  <pivotFields count="6">
    <pivotField axis="axisRow" showAll="0">
      <items count="8">
        <item h="1" x="3"/>
        <item h="1" x="2"/>
        <item h="1" x="1"/>
        <item x="0"/>
        <item x="6"/>
        <item x="5"/>
        <item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43" showAll="0"/>
    <pivotField numFmtId="43" showAll="0"/>
    <pivotField showAll="0"/>
    <pivotField dataField="1" showAll="0"/>
  </pivotFields>
  <rowFields count="1">
    <field x="0"/>
  </rowFields>
  <rowItems count="4"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1"/>
    </i>
    <i>
      <x v="2"/>
    </i>
  </colItems>
  <dataFields count="1">
    <dataField name="Sum of bal" fld="5" baseField="0" baseItem="0" numFmtId="165"/>
  </dataFields>
  <formats count="1">
    <format dxfId="1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14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D8" firstHeaderRow="1" firstDataRow="2" firstDataCol="1"/>
  <pivotFields count="6">
    <pivotField axis="axisRow" showAll="0">
      <items count="8">
        <item h="1" x="3"/>
        <item h="1" x="2"/>
        <item h="1" x="1"/>
        <item x="0"/>
        <item x="6"/>
        <item x="5"/>
        <item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43" showAll="0"/>
    <pivotField dataField="1" numFmtId="43" showAll="0"/>
    <pivotField showAll="0"/>
    <pivotField showAll="0"/>
  </pivotFields>
  <rowFields count="1">
    <field x="0"/>
  </rowFields>
  <rowItems count="4"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1"/>
    </i>
    <i>
      <x v="2"/>
    </i>
  </colItems>
  <dataFields count="1">
    <dataField name="Sum of cpr" fld="3" baseField="0" baseItem="0" numFmtId="43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4"/>
  <sheetViews>
    <sheetView tabSelected="1" workbookViewId="0">
      <selection activeCell="R31" sqref="R31"/>
    </sheetView>
  </sheetViews>
  <sheetFormatPr defaultRowHeight="15" x14ac:dyDescent="0.25"/>
  <cols>
    <col min="1" max="1" width="13.140625" bestFit="1" customWidth="1"/>
    <col min="2" max="2" width="16.28515625" customWidth="1"/>
    <col min="3" max="4" width="15.28515625" bestFit="1" customWidth="1"/>
    <col min="5" max="23" width="12" bestFit="1" customWidth="1"/>
  </cols>
  <sheetData>
    <row r="3" spans="1:4" x14ac:dyDescent="0.25">
      <c r="A3" s="2" t="s">
        <v>8</v>
      </c>
      <c r="B3" s="2" t="s">
        <v>5</v>
      </c>
    </row>
    <row r="4" spans="1:4" x14ac:dyDescent="0.25">
      <c r="A4" s="2" t="s">
        <v>4</v>
      </c>
      <c r="B4">
        <v>2</v>
      </c>
      <c r="C4">
        <v>6</v>
      </c>
      <c r="D4">
        <v>10</v>
      </c>
    </row>
    <row r="5" spans="1:4" x14ac:dyDescent="0.25">
      <c r="A5" s="3">
        <v>-100</v>
      </c>
      <c r="B5" s="5">
        <v>0.39336540634211697</v>
      </c>
      <c r="C5" s="5">
        <v>5.9213444934211399</v>
      </c>
      <c r="D5" s="5">
        <v>7.7562909863622602</v>
      </c>
    </row>
    <row r="6" spans="1:4" x14ac:dyDescent="0.25">
      <c r="A6" s="3">
        <v>-75</v>
      </c>
      <c r="B6" s="5">
        <v>3.4178713372685698</v>
      </c>
      <c r="C6" s="5">
        <v>7.41853440203273</v>
      </c>
      <c r="D6" s="5">
        <v>8.4154490571406697</v>
      </c>
    </row>
    <row r="7" spans="1:4" x14ac:dyDescent="0.25">
      <c r="A7" s="3">
        <v>-50</v>
      </c>
      <c r="B7" s="5">
        <v>4.6853722777169802</v>
      </c>
      <c r="C7" s="5">
        <v>7.4319717438611299</v>
      </c>
      <c r="D7" s="5">
        <v>8.3923395775252505</v>
      </c>
    </row>
    <row r="8" spans="1:4" x14ac:dyDescent="0.25">
      <c r="A8" s="3">
        <v>-25</v>
      </c>
      <c r="B8" s="5">
        <v>6.6086638571453404</v>
      </c>
      <c r="C8" s="5">
        <v>8.3653595391341309</v>
      </c>
      <c r="D8" s="5">
        <v>9.5141968670189208</v>
      </c>
    </row>
    <row r="14" spans="1:4" x14ac:dyDescent="0.25">
      <c r="A14" s="2" t="s">
        <v>9</v>
      </c>
      <c r="B14" s="2" t="s">
        <v>5</v>
      </c>
    </row>
    <row r="15" spans="1:4" x14ac:dyDescent="0.25">
      <c r="A15" s="2" t="s">
        <v>4</v>
      </c>
      <c r="B15">
        <v>2</v>
      </c>
      <c r="C15">
        <v>6</v>
      </c>
      <c r="D15">
        <v>10</v>
      </c>
    </row>
    <row r="16" spans="1:4" x14ac:dyDescent="0.25">
      <c r="A16" s="3">
        <v>-100</v>
      </c>
      <c r="B16" s="7">
        <v>118301293.23999999</v>
      </c>
      <c r="C16" s="7">
        <v>755070402.79999995</v>
      </c>
      <c r="D16" s="7">
        <v>567565393.50999999</v>
      </c>
    </row>
    <row r="17" spans="1:4" x14ac:dyDescent="0.25">
      <c r="A17" s="3">
        <v>-75</v>
      </c>
      <c r="B17" s="7">
        <v>480098353.66000003</v>
      </c>
      <c r="C17" s="7">
        <v>7532657472.6300001</v>
      </c>
      <c r="D17" s="7">
        <v>5921402762.2700005</v>
      </c>
    </row>
    <row r="18" spans="1:4" x14ac:dyDescent="0.25">
      <c r="A18" s="3">
        <v>-50</v>
      </c>
      <c r="B18" s="7">
        <v>1737319889.28</v>
      </c>
      <c r="C18" s="7">
        <v>26515662120.150002</v>
      </c>
      <c r="D18" s="7">
        <v>24696970490.130001</v>
      </c>
    </row>
    <row r="19" spans="1:4" x14ac:dyDescent="0.25">
      <c r="A19" s="3">
        <v>-25</v>
      </c>
      <c r="B19" s="7">
        <v>3428114950.9000001</v>
      </c>
      <c r="C19" s="7">
        <v>53946468863.400002</v>
      </c>
      <c r="D19" s="7">
        <v>57597126560.559998</v>
      </c>
    </row>
    <row r="25" spans="1:4" x14ac:dyDescent="0.25">
      <c r="A25" s="2" t="s">
        <v>10</v>
      </c>
      <c r="B25" s="2" t="s">
        <v>5</v>
      </c>
    </row>
    <row r="26" spans="1:4" x14ac:dyDescent="0.25">
      <c r="A26" s="2" t="s">
        <v>4</v>
      </c>
      <c r="B26">
        <v>2</v>
      </c>
      <c r="C26">
        <v>6</v>
      </c>
      <c r="D26">
        <v>10</v>
      </c>
    </row>
    <row r="27" spans="1:4" x14ac:dyDescent="0.25">
      <c r="A27" s="3">
        <v>-100</v>
      </c>
      <c r="B27" s="6">
        <v>1.1214607607519</v>
      </c>
      <c r="C27" s="6">
        <v>4.3213531072939499</v>
      </c>
      <c r="D27" s="6">
        <v>8.3258675211348194</v>
      </c>
    </row>
    <row r="28" spans="1:4" x14ac:dyDescent="0.25">
      <c r="A28" s="3">
        <v>-75</v>
      </c>
      <c r="B28" s="6">
        <v>1.28027866240947</v>
      </c>
      <c r="C28" s="6">
        <v>4.1547040782428404</v>
      </c>
      <c r="D28" s="6">
        <v>8.3862918231431802</v>
      </c>
    </row>
    <row r="29" spans="1:4" x14ac:dyDescent="0.25">
      <c r="A29" s="3">
        <v>-50</v>
      </c>
      <c r="B29" s="6">
        <v>1.28056593869849</v>
      </c>
      <c r="C29" s="6">
        <v>4.1278789054262903</v>
      </c>
      <c r="D29" s="6">
        <v>8.6021917902761196</v>
      </c>
    </row>
    <row r="30" spans="1:4" x14ac:dyDescent="0.25">
      <c r="A30" s="3">
        <v>-25</v>
      </c>
      <c r="B30" s="6">
        <v>1.2318364660301899</v>
      </c>
      <c r="C30" s="6">
        <v>4.1477973052842501</v>
      </c>
      <c r="D30" s="6">
        <v>8.6803127699634608</v>
      </c>
    </row>
    <row r="34" spans="9:9" x14ac:dyDescent="0.25">
      <c r="I34" s="8"/>
    </row>
  </sheetData>
  <conditionalFormatting pivot="1" sqref="B16:D1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{85368260-2481-4A27-B785-086ACDF9B391}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5368260-2481-4A27-B785-086ACDF9B3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B16:D19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"/>
  <sheetViews>
    <sheetView workbookViewId="0">
      <selection sqref="A1:F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7</v>
      </c>
    </row>
    <row r="2" spans="1:6" x14ac:dyDescent="0.25">
      <c r="A2">
        <v>-100</v>
      </c>
      <c r="B2">
        <v>2</v>
      </c>
      <c r="C2" s="4">
        <v>3.28397001723258E-4</v>
      </c>
      <c r="D2" s="4">
        <v>0.39336540634211697</v>
      </c>
      <c r="E2">
        <v>1.1214607607519</v>
      </c>
      <c r="F2">
        <v>118301293.23999999</v>
      </c>
    </row>
    <row r="3" spans="1:6" x14ac:dyDescent="0.25">
      <c r="A3">
        <v>-100</v>
      </c>
      <c r="B3">
        <v>6</v>
      </c>
      <c r="C3" s="4">
        <v>5.0736679861821199E-3</v>
      </c>
      <c r="D3" s="4">
        <v>5.9213444934211399</v>
      </c>
      <c r="E3">
        <v>4.3213531072939499</v>
      </c>
      <c r="F3">
        <v>755070402.79999995</v>
      </c>
    </row>
    <row r="4" spans="1:6" x14ac:dyDescent="0.25">
      <c r="A4">
        <v>-100</v>
      </c>
      <c r="B4">
        <v>10</v>
      </c>
      <c r="C4" s="4">
        <v>6.70542598882563E-3</v>
      </c>
      <c r="D4" s="4">
        <v>7.7562909863622602</v>
      </c>
      <c r="E4">
        <v>8.3258675211348194</v>
      </c>
      <c r="F4">
        <v>567565393.50999999</v>
      </c>
    </row>
    <row r="5" spans="1:6" x14ac:dyDescent="0.25">
      <c r="A5">
        <v>-125</v>
      </c>
      <c r="B5">
        <v>2</v>
      </c>
      <c r="C5" s="4">
        <v>1.2030053510959E-2</v>
      </c>
      <c r="D5" s="4">
        <v>13.518183045300599</v>
      </c>
      <c r="E5">
        <v>1.08970844083018</v>
      </c>
      <c r="F5">
        <v>34569036.590000004</v>
      </c>
    </row>
    <row r="6" spans="1:6" x14ac:dyDescent="0.25">
      <c r="A6">
        <v>-125</v>
      </c>
      <c r="B6">
        <v>6</v>
      </c>
      <c r="C6" s="4">
        <v>9.4616803721038598E-4</v>
      </c>
      <c r="D6" s="4">
        <v>1.1295116958590601</v>
      </c>
      <c r="E6">
        <v>4.1914171969340197</v>
      </c>
      <c r="F6">
        <v>22971564.399999999</v>
      </c>
    </row>
    <row r="7" spans="1:6" x14ac:dyDescent="0.25">
      <c r="A7">
        <v>-125</v>
      </c>
      <c r="B7">
        <v>10</v>
      </c>
      <c r="C7" s="4">
        <v>3.2276645885134098E-4</v>
      </c>
      <c r="D7" s="4">
        <v>0.38663291380577303</v>
      </c>
      <c r="E7">
        <v>8.2105229451662698</v>
      </c>
      <c r="F7">
        <v>19369453.760000002</v>
      </c>
    </row>
    <row r="8" spans="1:6" x14ac:dyDescent="0.25">
      <c r="A8">
        <v>-150</v>
      </c>
      <c r="B8">
        <v>2</v>
      </c>
      <c r="C8" s="4">
        <v>3.3534783495621799E-2</v>
      </c>
      <c r="D8" s="4">
        <v>33.589807604597198</v>
      </c>
      <c r="E8">
        <v>1.26001152828133</v>
      </c>
      <c r="F8">
        <v>13288395.02</v>
      </c>
    </row>
    <row r="9" spans="1:6" x14ac:dyDescent="0.25">
      <c r="A9">
        <v>-150</v>
      </c>
      <c r="B9">
        <v>6</v>
      </c>
      <c r="C9" s="4">
        <v>1.78390969754244E-6</v>
      </c>
      <c r="D9" s="4">
        <v>2.1406706336099999E-3</v>
      </c>
      <c r="E9">
        <v>4.2876526895346299</v>
      </c>
      <c r="F9">
        <v>969780.03</v>
      </c>
    </row>
    <row r="10" spans="1:6" x14ac:dyDescent="0.25">
      <c r="A10">
        <v>-150</v>
      </c>
      <c r="B10">
        <v>10</v>
      </c>
      <c r="C10" s="4">
        <v>1.5373644416265299E-4</v>
      </c>
      <c r="D10" s="4">
        <v>0.18432782260345801</v>
      </c>
      <c r="E10">
        <v>7.6908344284430399</v>
      </c>
      <c r="F10">
        <v>510353.94</v>
      </c>
    </row>
    <row r="11" spans="1:6" x14ac:dyDescent="0.25">
      <c r="A11">
        <v>-175</v>
      </c>
      <c r="B11">
        <v>2</v>
      </c>
      <c r="C11" s="4">
        <v>1.09030341303871E-6</v>
      </c>
      <c r="D11" s="4">
        <v>1.308356249796E-3</v>
      </c>
      <c r="E11">
        <v>1.2264757004864799</v>
      </c>
      <c r="F11">
        <v>2760699.42</v>
      </c>
    </row>
    <row r="12" spans="1:6" x14ac:dyDescent="0.25">
      <c r="A12">
        <v>-175</v>
      </c>
      <c r="B12">
        <v>6</v>
      </c>
      <c r="C12" s="4">
        <v>4.9689922461360402E-8</v>
      </c>
      <c r="D12" s="4">
        <v>5.9627890581000002E-5</v>
      </c>
      <c r="E12">
        <v>2.03782422393268</v>
      </c>
      <c r="F12">
        <v>201248.05</v>
      </c>
    </row>
    <row r="13" spans="1:6" x14ac:dyDescent="0.25">
      <c r="A13">
        <v>-25</v>
      </c>
      <c r="B13">
        <v>2</v>
      </c>
      <c r="C13" s="4">
        <v>5.6814330875592997E-3</v>
      </c>
      <c r="D13" s="4">
        <v>6.6086638571453404</v>
      </c>
      <c r="E13">
        <v>1.2318364660301899</v>
      </c>
      <c r="F13">
        <v>3428114950.9000001</v>
      </c>
    </row>
    <row r="14" spans="1:6" x14ac:dyDescent="0.25">
      <c r="A14">
        <v>-25</v>
      </c>
      <c r="B14">
        <v>6</v>
      </c>
      <c r="C14" s="4">
        <v>7.2536323975318203E-3</v>
      </c>
      <c r="D14" s="4">
        <v>8.3653595391341309</v>
      </c>
      <c r="E14">
        <v>4.1477973052842501</v>
      </c>
      <c r="F14">
        <v>53946468863.400002</v>
      </c>
    </row>
    <row r="15" spans="1:6" x14ac:dyDescent="0.25">
      <c r="A15">
        <v>-25</v>
      </c>
      <c r="B15">
        <v>10</v>
      </c>
      <c r="C15" s="4">
        <v>8.2968247009257302E-3</v>
      </c>
      <c r="D15" s="4">
        <v>9.5141968670189208</v>
      </c>
      <c r="E15">
        <v>8.6803127699634608</v>
      </c>
      <c r="F15">
        <v>57597126560.559998</v>
      </c>
    </row>
    <row r="16" spans="1:6" x14ac:dyDescent="0.25">
      <c r="A16">
        <v>-50</v>
      </c>
      <c r="B16">
        <v>2</v>
      </c>
      <c r="C16" s="4">
        <v>3.99092299741843E-3</v>
      </c>
      <c r="D16" s="4">
        <v>4.6853722777169802</v>
      </c>
      <c r="E16">
        <v>1.28056593869849</v>
      </c>
      <c r="F16">
        <v>1737319889.28</v>
      </c>
    </row>
    <row r="17" spans="1:6" x14ac:dyDescent="0.25">
      <c r="A17">
        <v>-50</v>
      </c>
      <c r="B17">
        <v>6</v>
      </c>
      <c r="C17" s="4">
        <v>6.4148672523904396E-3</v>
      </c>
      <c r="D17" s="4">
        <v>7.4319717438611299</v>
      </c>
      <c r="E17">
        <v>4.1278789054262903</v>
      </c>
      <c r="F17">
        <v>26515662120.150002</v>
      </c>
    </row>
    <row r="18" spans="1:6" x14ac:dyDescent="0.25">
      <c r="A18">
        <v>-50</v>
      </c>
      <c r="B18">
        <v>10</v>
      </c>
      <c r="C18" s="4">
        <v>7.2779935908266003E-3</v>
      </c>
      <c r="D18" s="4">
        <v>8.3923395775252505</v>
      </c>
      <c r="E18">
        <v>8.6021917902761196</v>
      </c>
      <c r="F18">
        <v>24696970490.130001</v>
      </c>
    </row>
    <row r="19" spans="1:6" x14ac:dyDescent="0.25">
      <c r="A19">
        <v>-75</v>
      </c>
      <c r="B19">
        <v>2</v>
      </c>
      <c r="C19" s="4">
        <v>2.8938435206214098E-3</v>
      </c>
      <c r="D19" s="4">
        <v>3.4178713372685698</v>
      </c>
      <c r="E19">
        <v>1.28027866240947</v>
      </c>
      <c r="F19">
        <v>480098353.66000003</v>
      </c>
    </row>
    <row r="20" spans="1:6" x14ac:dyDescent="0.25">
      <c r="A20">
        <v>-75</v>
      </c>
      <c r="B20">
        <v>6</v>
      </c>
      <c r="C20" s="4">
        <v>6.40284883459071E-3</v>
      </c>
      <c r="D20" s="4">
        <v>7.41853440203273</v>
      </c>
      <c r="E20">
        <v>4.1547040782428404</v>
      </c>
      <c r="F20">
        <v>7532657472.6300001</v>
      </c>
    </row>
    <row r="21" spans="1:6" x14ac:dyDescent="0.25">
      <c r="A21">
        <v>-75</v>
      </c>
      <c r="B21">
        <v>10</v>
      </c>
      <c r="C21" s="4">
        <v>7.2988651549572301E-3</v>
      </c>
      <c r="D21" s="4">
        <v>8.4154490571406697</v>
      </c>
      <c r="E21">
        <v>8.3862918231431802</v>
      </c>
      <c r="F21">
        <v>5921402762.2700005</v>
      </c>
    </row>
    <row r="22" spans="1:6" x14ac:dyDescent="0.25">
      <c r="C22" s="4"/>
      <c r="D22" s="4"/>
    </row>
    <row r="23" spans="1:6" x14ac:dyDescent="0.25">
      <c r="C23" s="4"/>
      <c r="D23" s="4"/>
    </row>
    <row r="24" spans="1:6" x14ac:dyDescent="0.25">
      <c r="C24" s="4"/>
      <c r="D24" s="4"/>
    </row>
    <row r="25" spans="1:6" x14ac:dyDescent="0.25">
      <c r="C25" s="4"/>
      <c r="D25" s="4"/>
    </row>
    <row r="26" spans="1:6" x14ac:dyDescent="0.25">
      <c r="C26" s="4"/>
      <c r="D26" s="4"/>
    </row>
    <row r="27" spans="1:6" x14ac:dyDescent="0.25">
      <c r="C27" s="4"/>
      <c r="D27" s="4"/>
    </row>
    <row r="28" spans="1:6" x14ac:dyDescent="0.25">
      <c r="C28" s="1"/>
    </row>
    <row r="29" spans="1:6" x14ac:dyDescent="0.25">
      <c r="C29" s="1"/>
    </row>
    <row r="30" spans="1:6" x14ac:dyDescent="0.25">
      <c r="C30" s="1"/>
    </row>
    <row r="31" spans="1:6" x14ac:dyDescent="0.25">
      <c r="C31" s="1"/>
    </row>
    <row r="32" spans="1:6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</sheetData>
  <sortState ref="A2:G360">
    <sortCondition ref="C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Sheet7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2018-05-24T19:06:43Z</dcterms:created>
  <dcterms:modified xsi:type="dcterms:W3CDTF">2018-05-24T20:02:36Z</dcterms:modified>
</cp:coreProperties>
</file>