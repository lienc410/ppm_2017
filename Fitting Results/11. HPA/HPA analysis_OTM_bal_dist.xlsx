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Sheet1" sheetId="1" r:id="rId1"/>
    <sheet name="Sheet2" sheetId="2" r:id="rId2"/>
    <sheet name="Sheet3" sheetId="3" r:id="rId3"/>
  </sheets>
  <calcPr calcId="145621"/>
  <pivotCaches>
    <pivotCache cacheId="146" r:id="rId4"/>
  </pivotCaches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" i="1"/>
</calcChain>
</file>

<file path=xl/sharedStrings.xml><?xml version="1.0" encoding="utf-8"?>
<sst xmlns="http://schemas.openxmlformats.org/spreadsheetml/2006/main" count="10" uniqueCount="10">
  <si>
    <t>hpaBucket</t>
  </si>
  <si>
    <t>smm</t>
  </si>
  <si>
    <t>cpr</t>
  </si>
  <si>
    <t>hpa_</t>
  </si>
  <si>
    <t>bal</t>
  </si>
  <si>
    <t>Row Labels</t>
  </si>
  <si>
    <t>Grand Total</t>
  </si>
  <si>
    <t>Sum of bal</t>
  </si>
  <si>
    <t>bal_bb</t>
  </si>
  <si>
    <t>Sum of bal_bb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</si>
</sst>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3">
    <dxf>
      <numFmt numFmtId="14" formatCode="0.00%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4" formatCode="0.00%"/>
    </dxf>
    <dxf>
      <numFmt numFmtId="14" formatCode="0.00%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4" formatCode="0.00%"/>
    </dxf>
    <dxf>
      <numFmt numFmtId="35" formatCode="_(* #,##0.00_);_(* \(#,##0.00\);_(* &quot;-&quot;??_);_(@_)"/>
    </dxf>
    <dxf>
      <numFmt numFmtId="165" formatCode="_(* #,##0_);_(* \(#,##0\);_(* &quot;-&quot;??_);_(@_)"/>
    </dxf>
    <dxf>
      <numFmt numFmtId="164" formatCode="_(* #,##0.0_);_(* \(#,##0.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[HPA analysis_OTM_bal_dist.xlsx]Sheet1!PivotTable18</c:name>
    <c:fmtId val="2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Sum of bal_bb</c:v>
                </c:pt>
              </c:strCache>
            </c:strRef>
          </c:tx>
          <c:invertIfNegative val="0"/>
          <c:cat>
            <c:strRef>
              <c:f>Sheet1!$I$2:$I$23</c:f>
              <c:strCach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strCache>
            </c:strRef>
          </c:cat>
          <c:val>
            <c:numRef>
              <c:f>Sheet1!$J$2:$J$23</c:f>
              <c:numCache>
                <c:formatCode>_(* #,##0.00_);_(* \(#,##0.00\);_(* "-"??_);_(@_)</c:formatCode>
                <c:ptCount val="21"/>
                <c:pt idx="0">
                  <c:v>2.5939154799999998E-3</c:v>
                </c:pt>
                <c:pt idx="1">
                  <c:v>1.0435428029999999E-2</c:v>
                </c:pt>
                <c:pt idx="2">
                  <c:v>4.0043559469999997E-2</c:v>
                </c:pt>
                <c:pt idx="3">
                  <c:v>2.9716913460000001E-2</c:v>
                </c:pt>
                <c:pt idx="4">
                  <c:v>2.7419147389999999E-2</c:v>
                </c:pt>
                <c:pt idx="5">
                  <c:v>6.9456741209999992E-2</c:v>
                </c:pt>
                <c:pt idx="6">
                  <c:v>1.41774853172</c:v>
                </c:pt>
                <c:pt idx="7">
                  <c:v>6.5323962801499995</c:v>
                </c:pt>
                <c:pt idx="8">
                  <c:v>15.78709046</c:v>
                </c:pt>
                <c:pt idx="9">
                  <c:v>51.598208722039999</c:v>
                </c:pt>
                <c:pt idx="10">
                  <c:v>32.189872141519999</c:v>
                </c:pt>
                <c:pt idx="11">
                  <c:v>40.118209319239995</c:v>
                </c:pt>
                <c:pt idx="12">
                  <c:v>12.88787738509</c:v>
                </c:pt>
                <c:pt idx="13">
                  <c:v>25.341052476000002</c:v>
                </c:pt>
                <c:pt idx="14">
                  <c:v>24.566426850080003</c:v>
                </c:pt>
                <c:pt idx="15">
                  <c:v>72.339942838309994</c:v>
                </c:pt>
                <c:pt idx="16">
                  <c:v>25.691033803740002</c:v>
                </c:pt>
                <c:pt idx="17">
                  <c:v>0.20987822338000001</c:v>
                </c:pt>
                <c:pt idx="18">
                  <c:v>0.51677369959999997</c:v>
                </c:pt>
                <c:pt idx="19">
                  <c:v>9.8859318099999999E-3</c:v>
                </c:pt>
                <c:pt idx="20">
                  <c:v>2.27209445E-3</c:v>
                </c:pt>
              </c:numCache>
            </c:numRef>
          </c:val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Sum of bal</c:v>
                </c:pt>
              </c:strCache>
            </c:strRef>
          </c:tx>
          <c:invertIfNegative val="0"/>
          <c:cat>
            <c:strRef>
              <c:f>Sheet1!$I$2:$I$23</c:f>
              <c:strCache>
                <c:ptCount val="21"/>
                <c:pt idx="0">
                  <c:v>-5</c:v>
                </c:pt>
                <c:pt idx="1">
                  <c:v>-4</c:v>
                </c:pt>
                <c:pt idx="2">
                  <c:v>-3</c:v>
                </c:pt>
                <c:pt idx="3">
                  <c:v>-2</c:v>
                </c:pt>
                <c:pt idx="4">
                  <c:v>-1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10</c:v>
                </c:pt>
                <c:pt idx="16">
                  <c:v>11</c:v>
                </c:pt>
                <c:pt idx="17">
                  <c:v>12</c:v>
                </c:pt>
                <c:pt idx="18">
                  <c:v>13</c:v>
                </c:pt>
                <c:pt idx="19">
                  <c:v>14</c:v>
                </c:pt>
                <c:pt idx="20">
                  <c:v>15</c:v>
                </c:pt>
              </c:strCache>
            </c:strRef>
          </c:cat>
          <c:val>
            <c:numRef>
              <c:f>Sheet1!$K$2:$K$23</c:f>
              <c:numCache>
                <c:formatCode>0.00%</c:formatCode>
                <c:ptCount val="21"/>
                <c:pt idx="0">
                  <c:v>8.3840119069426878E-6</c:v>
                </c:pt>
                <c:pt idx="1">
                  <c:v>3.3729222687534708E-5</c:v>
                </c:pt>
                <c:pt idx="2">
                  <c:v>1.2942814905937013E-4</c:v>
                </c:pt>
                <c:pt idx="3">
                  <c:v>9.6050529867775582E-5</c:v>
                </c:pt>
                <c:pt idx="4">
                  <c:v>8.862372732205467E-5</c:v>
                </c:pt>
                <c:pt idx="5">
                  <c:v>2.2449696214545773E-4</c:v>
                </c:pt>
                <c:pt idx="6">
                  <c:v>4.582424008276088E-3</c:v>
                </c:pt>
                <c:pt idx="7">
                  <c:v>2.1113906222436255E-2</c:v>
                </c:pt>
                <c:pt idx="8">
                  <c:v>5.1026779944511269E-2</c:v>
                </c:pt>
                <c:pt idx="9">
                  <c:v>0.16677490058484767</c:v>
                </c:pt>
                <c:pt idx="10">
                  <c:v>0.10404358715553308</c:v>
                </c:pt>
                <c:pt idx="11">
                  <c:v>0.12966943110179027</c:v>
                </c:pt>
                <c:pt idx="12">
                  <c:v>4.1655990060174189E-2</c:v>
                </c:pt>
                <c:pt idx="13">
                  <c:v>8.1906942354668971E-2</c:v>
                </c:pt>
                <c:pt idx="14">
                  <c:v>7.9403209861759763E-2</c:v>
                </c:pt>
                <c:pt idx="15">
                  <c:v>0.23381600008954204</c:v>
                </c:pt>
                <c:pt idx="16">
                  <c:v>8.3038146374847674E-2</c:v>
                </c:pt>
                <c:pt idx="17">
                  <c:v>6.7836501898122653E-4</c:v>
                </c:pt>
                <c:pt idx="18">
                  <c:v>1.6703076426535009E-3</c:v>
                </c:pt>
                <c:pt idx="19">
                  <c:v>3.1953149840589057E-5</c:v>
                </c:pt>
                <c:pt idx="20">
                  <c:v>7.3438271483303688E-6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183104"/>
        <c:axId val="123185792"/>
      </c:barChart>
      <c:catAx>
        <c:axId val="123183104"/>
        <c:scaling>
          <c:orientation val="minMax"/>
        </c:scaling>
        <c:delete val="0"/>
        <c:axPos val="b"/>
        <c:majorTickMark val="out"/>
        <c:minorTickMark val="none"/>
        <c:tickLblPos val="nextTo"/>
        <c:crossAx val="123185792"/>
        <c:crosses val="autoZero"/>
        <c:auto val="1"/>
        <c:lblAlgn val="ctr"/>
        <c:lblOffset val="100"/>
        <c:noMultiLvlLbl val="0"/>
      </c:catAx>
      <c:valAx>
        <c:axId val="12318579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12318310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457199</xdr:colOff>
      <xdr:row>3</xdr:row>
      <xdr:rowOff>138111</xdr:rowOff>
    </xdr:from>
    <xdr:to>
      <xdr:col>21</xdr:col>
      <xdr:colOff>371474</xdr:colOff>
      <xdr:row>26</xdr:row>
      <xdr:rowOff>47624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419100</xdr:colOff>
      <xdr:row>27</xdr:row>
      <xdr:rowOff>57150</xdr:rowOff>
    </xdr:from>
    <xdr:to>
      <xdr:col>18</xdr:col>
      <xdr:colOff>551034</xdr:colOff>
      <xdr:row>71</xdr:row>
      <xdr:rowOff>75151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5200650"/>
          <a:ext cx="11333334" cy="84000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4.686551967592" createdVersion="4" refreshedVersion="4" minRefreshableVersion="3" recordCount="21">
  <cacheSource type="worksheet">
    <worksheetSource ref="A1:F22" sheet="Sheet1"/>
  </cacheSource>
  <cacheFields count="6">
    <cacheField name="hpaBucket" numFmtId="0">
      <sharedItems containsSemiMixedTypes="0" containsString="0" containsNumber="1" containsInteger="1" minValue="-5" maxValue="15" count="21"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smm" numFmtId="0">
      <sharedItems containsSemiMixedTypes="0" containsString="0" containsNumber="1" minValue="2.28825917912135E-7" maxValue="4.6720039028875303E-2"/>
    </cacheField>
    <cacheField name="cpr" numFmtId="0">
      <sharedItems containsSemiMixedTypes="0" containsString="0" containsNumber="1" minValue="2.74590755744E-4" maxValue="43.6822150585567"/>
    </cacheField>
    <cacheField name="hpa_" numFmtId="0">
      <sharedItems containsSemiMixedTypes="0" containsString="0" containsNumber="1" minValue="-6.1926320060532802" maxValue="14.2770388346082"/>
    </cacheField>
    <cacheField name="bal" numFmtId="0">
      <sharedItems containsSemiMixedTypes="0" containsString="0" containsNumber="1" minValue="2272094.4500000002" maxValue="72339942838.309998"/>
    </cacheField>
    <cacheField name="bal_bb" numFmtId="0">
      <sharedItems containsSemiMixedTypes="0" containsString="0" containsNumber="1" minValue="2.27209445E-3" maxValue="72.33994283830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n v="3.7433756322700198E-6"/>
    <n v="4.491958274833E-3"/>
    <n v="-6.1926320060532802"/>
    <n v="2593915.48"/>
    <n v="2.5939154799999998E-3"/>
  </r>
  <r>
    <x v="1"/>
    <n v="3.5072830644590198E-7"/>
    <n v="4.2087315580400001E-4"/>
    <n v="-5.3301388118137796"/>
    <n v="10435428.029999999"/>
    <n v="1.0435428029999999E-2"/>
  </r>
  <r>
    <x v="2"/>
    <n v="1.4842577879353501E-2"/>
    <n v="16.426689897320699"/>
    <n v="-4.3756219668989402"/>
    <n v="40043559.469999999"/>
    <n v="4.0043559469999997E-2"/>
  </r>
  <r>
    <x v="3"/>
    <n v="2.28825917912135E-7"/>
    <n v="2.74590755744E-4"/>
    <n v="-3.6028149716951199"/>
    <n v="29716913.460000001"/>
    <n v="2.9716913460000001E-2"/>
  </r>
  <r>
    <x v="4"/>
    <n v="6.81335846599422E-3"/>
    <n v="7.87649875931604"/>
    <n v="-2.37720014384925"/>
    <n v="27419147.390000001"/>
    <n v="2.7419147389999999E-2"/>
  </r>
  <r>
    <x v="5"/>
    <n v="4.6538607249466098E-5"/>
    <n v="5.5832036359516002E-2"/>
    <n v="-1.5640045659138699"/>
    <n v="69456741.209999993"/>
    <n v="6.9456741209999992E-2"/>
  </r>
  <r>
    <x v="6"/>
    <n v="4.1087870519131301E-3"/>
    <n v="4.8206344137246298"/>
    <n v="0.67238567738041999"/>
    <n v="1417748531.72"/>
    <n v="1.41774853172"/>
  </r>
  <r>
    <x v="7"/>
    <n v="5.3690984985979096E-3"/>
    <n v="6.2560228471096302"/>
    <n v="1.55511320395917"/>
    <n v="6532396280.1499996"/>
    <n v="6.5323962801499995"/>
  </r>
  <r>
    <x v="8"/>
    <n v="4.8170318446379501E-3"/>
    <n v="5.6297257293103096"/>
    <n v="2.6156393498652002"/>
    <n v="15787090460"/>
    <n v="15.78709046"/>
  </r>
  <r>
    <x v="9"/>
    <n v="5.6384650313592802E-3"/>
    <n v="6.5602230672145403"/>
    <n v="3.4863331177240999"/>
    <n v="51598208722.040001"/>
    <n v="51.598208722039999"/>
  </r>
  <r>
    <x v="10"/>
    <n v="6.2601566674158398E-3"/>
    <n v="7.2588589492388502"/>
    <n v="4.5726787177552497"/>
    <n v="32189872141.52"/>
    <n v="32.189872141519999"/>
  </r>
  <r>
    <x v="11"/>
    <n v="5.6319967232844603E-3"/>
    <n v="6.55292891272458"/>
    <n v="5.4146415214457901"/>
    <n v="40118209319.239998"/>
    <n v="40.118209319239995"/>
  </r>
  <r>
    <x v="12"/>
    <n v="7.3770097533664598E-3"/>
    <n v="8.5019251163405407"/>
    <n v="6.5076971210227397"/>
    <n v="12887877385.09"/>
    <n v="12.88787738509"/>
  </r>
  <r>
    <x v="13"/>
    <n v="6.6511450631195103E-3"/>
    <n v="7.6957823004251198"/>
    <n v="7.5056447951167398"/>
    <n v="25341052476"/>
    <n v="25.341052476000002"/>
  </r>
  <r>
    <x v="14"/>
    <n v="6.3841636900276002E-3"/>
    <n v="7.3976396923160896"/>
    <n v="8.6149369189784792"/>
    <n v="24566426850.080002"/>
    <n v="24.566426850080003"/>
  </r>
  <r>
    <x v="15"/>
    <n v="5.7935344813135397E-3"/>
    <n v="6.7349349729517698"/>
    <n v="9.5337482673492495"/>
    <n v="72339942838.309998"/>
    <n v="72.339942838309994"/>
  </r>
  <r>
    <x v="16"/>
    <n v="5.61122493439769E-3"/>
    <n v="6.52950153950757"/>
    <n v="10.20354055684"/>
    <n v="25691033803.740002"/>
    <n v="25.691033803740002"/>
  </r>
  <r>
    <x v="17"/>
    <n v="5.0495127266309298E-3"/>
    <n v="5.8939318369119604"/>
    <n v="11.627398882167"/>
    <n v="209878223.38"/>
    <n v="0.20987822338000001"/>
  </r>
  <r>
    <x v="18"/>
    <n v="7.9360813121380405E-3"/>
    <n v="9.1184227028050504"/>
    <n v="12.3943158132536"/>
    <n v="516773699.60000002"/>
    <n v="0.51677369959999997"/>
  </r>
  <r>
    <x v="19"/>
    <n v="4.6720039028875303E-2"/>
    <n v="43.6822150585567"/>
    <n v="13.383372368369599"/>
    <n v="9885931.8100000005"/>
    <n v="9.8859318099999999E-3"/>
  </r>
  <r>
    <x v="20"/>
    <n v="3.4989742613912898E-6"/>
    <n v="4.1986883117849996E-3"/>
    <n v="14.2770388346082"/>
    <n v="2272094.4500000002"/>
    <n v="2.27209445E-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8" cacheId="14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3">
  <location ref="I1:K23" firstHeaderRow="0" firstDataRow="1" firstDataCol="1"/>
  <pivotFields count="6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showAll="0"/>
    <pivotField showAll="0"/>
    <pivotField showAll="0"/>
    <pivotField dataField="1" showAll="0"/>
    <pivotField dataField="1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l_bb" fld="5" baseField="0" baseItem="0"/>
    <dataField name="Sum of bal" fld="4" showDataAs="percentOfTotal" baseField="0" baseItem="0" numFmtId="10"/>
  </dataFields>
  <formats count="2">
    <format dxfId="3">
      <pivotArea collapsedLevelsAreSubtotals="1" fieldPosition="0">
        <references count="1">
          <reference field="0" count="0"/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V49" sqref="V49"/>
    </sheetView>
  </sheetViews>
  <sheetFormatPr defaultRowHeight="15" x14ac:dyDescent="0.25"/>
  <cols>
    <col min="5" max="5" width="12" bestFit="1" customWidth="1"/>
    <col min="9" max="9" width="13.140625" bestFit="1" customWidth="1"/>
    <col min="10" max="10" width="13.7109375" bestFit="1" customWidth="1"/>
    <col min="11" max="11" width="10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I1" s="1" t="s">
        <v>5</v>
      </c>
      <c r="J1" t="s">
        <v>9</v>
      </c>
      <c r="K1" t="s">
        <v>7</v>
      </c>
    </row>
    <row r="2" spans="1:11" x14ac:dyDescent="0.25">
      <c r="A2">
        <v>-5</v>
      </c>
      <c r="B2">
        <v>3.7433756322700198E-6</v>
      </c>
      <c r="C2">
        <v>4.491958274833E-3</v>
      </c>
      <c r="D2">
        <v>-6.1926320060532802</v>
      </c>
      <c r="E2">
        <v>2593915.48</v>
      </c>
      <c r="F2">
        <f>E2/10^9</f>
        <v>2.5939154799999998E-3</v>
      </c>
      <c r="I2" s="2">
        <v>-5</v>
      </c>
      <c r="J2" s="4">
        <v>2.5939154799999998E-3</v>
      </c>
      <c r="K2" s="5">
        <v>8.3840119069426878E-6</v>
      </c>
    </row>
    <row r="3" spans="1:11" x14ac:dyDescent="0.25">
      <c r="A3">
        <v>-4</v>
      </c>
      <c r="B3">
        <v>3.5072830644590198E-7</v>
      </c>
      <c r="C3">
        <v>4.2087315580400001E-4</v>
      </c>
      <c r="D3">
        <v>-5.3301388118137796</v>
      </c>
      <c r="E3">
        <v>10435428.029999999</v>
      </c>
      <c r="F3">
        <f t="shared" ref="F3:F22" si="0">E3/10^9</f>
        <v>1.0435428029999999E-2</v>
      </c>
      <c r="I3" s="2">
        <v>-4</v>
      </c>
      <c r="J3" s="4">
        <v>1.0435428029999999E-2</v>
      </c>
      <c r="K3" s="5">
        <v>3.3729222687534708E-5</v>
      </c>
    </row>
    <row r="4" spans="1:11" x14ac:dyDescent="0.25">
      <c r="A4">
        <v>-3</v>
      </c>
      <c r="B4">
        <v>1.4842577879353501E-2</v>
      </c>
      <c r="C4">
        <v>16.426689897320699</v>
      </c>
      <c r="D4">
        <v>-4.3756219668989402</v>
      </c>
      <c r="E4">
        <v>40043559.469999999</v>
      </c>
      <c r="F4">
        <f t="shared" si="0"/>
        <v>4.0043559469999997E-2</v>
      </c>
      <c r="I4" s="2">
        <v>-3</v>
      </c>
      <c r="J4" s="4">
        <v>4.0043559469999997E-2</v>
      </c>
      <c r="K4" s="5">
        <v>1.2942814905937013E-4</v>
      </c>
    </row>
    <row r="5" spans="1:11" x14ac:dyDescent="0.25">
      <c r="A5">
        <v>-2</v>
      </c>
      <c r="B5">
        <v>2.28825917912135E-7</v>
      </c>
      <c r="C5">
        <v>2.74590755744E-4</v>
      </c>
      <c r="D5">
        <v>-3.6028149716951199</v>
      </c>
      <c r="E5">
        <v>29716913.460000001</v>
      </c>
      <c r="F5">
        <f t="shared" si="0"/>
        <v>2.9716913460000001E-2</v>
      </c>
      <c r="I5" s="2">
        <v>-2</v>
      </c>
      <c r="J5" s="4">
        <v>2.9716913460000001E-2</v>
      </c>
      <c r="K5" s="5">
        <v>9.6050529867775582E-5</v>
      </c>
    </row>
    <row r="6" spans="1:11" x14ac:dyDescent="0.25">
      <c r="A6">
        <v>-1</v>
      </c>
      <c r="B6">
        <v>6.81335846599422E-3</v>
      </c>
      <c r="C6">
        <v>7.87649875931604</v>
      </c>
      <c r="D6">
        <v>-2.37720014384925</v>
      </c>
      <c r="E6">
        <v>27419147.390000001</v>
      </c>
      <c r="F6">
        <f t="shared" si="0"/>
        <v>2.7419147389999999E-2</v>
      </c>
      <c r="I6" s="2">
        <v>-1</v>
      </c>
      <c r="J6" s="4">
        <v>2.7419147389999999E-2</v>
      </c>
      <c r="K6" s="5">
        <v>8.862372732205467E-5</v>
      </c>
    </row>
    <row r="7" spans="1:11" x14ac:dyDescent="0.25">
      <c r="A7">
        <v>0</v>
      </c>
      <c r="B7">
        <v>4.6538607249466098E-5</v>
      </c>
      <c r="C7">
        <v>5.5832036359516002E-2</v>
      </c>
      <c r="D7">
        <v>-1.5640045659138699</v>
      </c>
      <c r="E7">
        <v>69456741.209999993</v>
      </c>
      <c r="F7">
        <f t="shared" si="0"/>
        <v>6.9456741209999992E-2</v>
      </c>
      <c r="I7" s="2">
        <v>0</v>
      </c>
      <c r="J7" s="4">
        <v>6.9456741209999992E-2</v>
      </c>
      <c r="K7" s="5">
        <v>2.2449696214545773E-4</v>
      </c>
    </row>
    <row r="8" spans="1:11" x14ac:dyDescent="0.25">
      <c r="A8">
        <v>1</v>
      </c>
      <c r="B8">
        <v>4.1087870519131301E-3</v>
      </c>
      <c r="C8">
        <v>4.8206344137246298</v>
      </c>
      <c r="D8">
        <v>0.67238567738041999</v>
      </c>
      <c r="E8">
        <v>1417748531.72</v>
      </c>
      <c r="F8">
        <f t="shared" si="0"/>
        <v>1.41774853172</v>
      </c>
      <c r="I8" s="2">
        <v>1</v>
      </c>
      <c r="J8" s="4">
        <v>1.41774853172</v>
      </c>
      <c r="K8" s="5">
        <v>4.582424008276088E-3</v>
      </c>
    </row>
    <row r="9" spans="1:11" x14ac:dyDescent="0.25">
      <c r="A9">
        <v>2</v>
      </c>
      <c r="B9">
        <v>5.3690984985979096E-3</v>
      </c>
      <c r="C9">
        <v>6.2560228471096302</v>
      </c>
      <c r="D9">
        <v>1.55511320395917</v>
      </c>
      <c r="E9">
        <v>6532396280.1499996</v>
      </c>
      <c r="F9">
        <f t="shared" si="0"/>
        <v>6.5323962801499995</v>
      </c>
      <c r="I9" s="2">
        <v>2</v>
      </c>
      <c r="J9" s="4">
        <v>6.5323962801499995</v>
      </c>
      <c r="K9" s="5">
        <v>2.1113906222436255E-2</v>
      </c>
    </row>
    <row r="10" spans="1:11" x14ac:dyDescent="0.25">
      <c r="A10">
        <v>3</v>
      </c>
      <c r="B10">
        <v>4.8170318446379501E-3</v>
      </c>
      <c r="C10">
        <v>5.6297257293103096</v>
      </c>
      <c r="D10">
        <v>2.6156393498652002</v>
      </c>
      <c r="E10">
        <v>15787090460</v>
      </c>
      <c r="F10">
        <f t="shared" si="0"/>
        <v>15.78709046</v>
      </c>
      <c r="I10" s="2">
        <v>3</v>
      </c>
      <c r="J10" s="4">
        <v>15.78709046</v>
      </c>
      <c r="K10" s="5">
        <v>5.1026779944511269E-2</v>
      </c>
    </row>
    <row r="11" spans="1:11" x14ac:dyDescent="0.25">
      <c r="A11">
        <v>4</v>
      </c>
      <c r="B11">
        <v>5.6384650313592802E-3</v>
      </c>
      <c r="C11">
        <v>6.5602230672145403</v>
      </c>
      <c r="D11">
        <v>3.4863331177240999</v>
      </c>
      <c r="E11">
        <v>51598208722.040001</v>
      </c>
      <c r="F11">
        <f t="shared" si="0"/>
        <v>51.598208722039999</v>
      </c>
      <c r="I11" s="2">
        <v>4</v>
      </c>
      <c r="J11" s="4">
        <v>51.598208722039999</v>
      </c>
      <c r="K11" s="5">
        <v>0.16677490058484767</v>
      </c>
    </row>
    <row r="12" spans="1:11" x14ac:dyDescent="0.25">
      <c r="A12">
        <v>5</v>
      </c>
      <c r="B12">
        <v>6.2601566674158398E-3</v>
      </c>
      <c r="C12">
        <v>7.2588589492388502</v>
      </c>
      <c r="D12">
        <v>4.5726787177552497</v>
      </c>
      <c r="E12">
        <v>32189872141.52</v>
      </c>
      <c r="F12">
        <f t="shared" si="0"/>
        <v>32.189872141519999</v>
      </c>
      <c r="I12" s="2">
        <v>5</v>
      </c>
      <c r="J12" s="4">
        <v>32.189872141519999</v>
      </c>
      <c r="K12" s="5">
        <v>0.10404358715553308</v>
      </c>
    </row>
    <row r="13" spans="1:11" x14ac:dyDescent="0.25">
      <c r="A13">
        <v>6</v>
      </c>
      <c r="B13">
        <v>5.6319967232844603E-3</v>
      </c>
      <c r="C13">
        <v>6.55292891272458</v>
      </c>
      <c r="D13">
        <v>5.4146415214457901</v>
      </c>
      <c r="E13">
        <v>40118209319.239998</v>
      </c>
      <c r="F13">
        <f t="shared" si="0"/>
        <v>40.118209319239995</v>
      </c>
      <c r="I13" s="2">
        <v>6</v>
      </c>
      <c r="J13" s="4">
        <v>40.118209319239995</v>
      </c>
      <c r="K13" s="5">
        <v>0.12966943110179027</v>
      </c>
    </row>
    <row r="14" spans="1:11" x14ac:dyDescent="0.25">
      <c r="A14">
        <v>7</v>
      </c>
      <c r="B14">
        <v>7.3770097533664598E-3</v>
      </c>
      <c r="C14">
        <v>8.5019251163405407</v>
      </c>
      <c r="D14">
        <v>6.5076971210227397</v>
      </c>
      <c r="E14">
        <v>12887877385.09</v>
      </c>
      <c r="F14">
        <f t="shared" si="0"/>
        <v>12.88787738509</v>
      </c>
      <c r="I14" s="2">
        <v>7</v>
      </c>
      <c r="J14" s="4">
        <v>12.88787738509</v>
      </c>
      <c r="K14" s="5">
        <v>4.1655990060174189E-2</v>
      </c>
    </row>
    <row r="15" spans="1:11" x14ac:dyDescent="0.25">
      <c r="A15">
        <v>8</v>
      </c>
      <c r="B15">
        <v>6.6511450631195103E-3</v>
      </c>
      <c r="C15">
        <v>7.6957823004251198</v>
      </c>
      <c r="D15">
        <v>7.5056447951167398</v>
      </c>
      <c r="E15">
        <v>25341052476</v>
      </c>
      <c r="F15">
        <f t="shared" si="0"/>
        <v>25.341052476000002</v>
      </c>
      <c r="I15" s="2">
        <v>8</v>
      </c>
      <c r="J15" s="4">
        <v>25.341052476000002</v>
      </c>
      <c r="K15" s="5">
        <v>8.1906942354668971E-2</v>
      </c>
    </row>
    <row r="16" spans="1:11" x14ac:dyDescent="0.25">
      <c r="A16">
        <v>9</v>
      </c>
      <c r="B16">
        <v>6.3841636900276002E-3</v>
      </c>
      <c r="C16">
        <v>7.3976396923160896</v>
      </c>
      <c r="D16">
        <v>8.6149369189784792</v>
      </c>
      <c r="E16">
        <v>24566426850.080002</v>
      </c>
      <c r="F16">
        <f t="shared" si="0"/>
        <v>24.566426850080003</v>
      </c>
      <c r="I16" s="2">
        <v>9</v>
      </c>
      <c r="J16" s="4">
        <v>24.566426850080003</v>
      </c>
      <c r="K16" s="5">
        <v>7.9403209861759763E-2</v>
      </c>
    </row>
    <row r="17" spans="1:11" x14ac:dyDescent="0.25">
      <c r="A17">
        <v>10</v>
      </c>
      <c r="B17">
        <v>5.7935344813135397E-3</v>
      </c>
      <c r="C17">
        <v>6.7349349729517698</v>
      </c>
      <c r="D17">
        <v>9.5337482673492495</v>
      </c>
      <c r="E17">
        <v>72339942838.309998</v>
      </c>
      <c r="F17">
        <f t="shared" si="0"/>
        <v>72.339942838309994</v>
      </c>
      <c r="I17" s="2">
        <v>10</v>
      </c>
      <c r="J17" s="4">
        <v>72.339942838309994</v>
      </c>
      <c r="K17" s="5">
        <v>0.23381600008954204</v>
      </c>
    </row>
    <row r="18" spans="1:11" x14ac:dyDescent="0.25">
      <c r="A18">
        <v>11</v>
      </c>
      <c r="B18">
        <v>5.61122493439769E-3</v>
      </c>
      <c r="C18">
        <v>6.52950153950757</v>
      </c>
      <c r="D18">
        <v>10.20354055684</v>
      </c>
      <c r="E18">
        <v>25691033803.740002</v>
      </c>
      <c r="F18">
        <f t="shared" si="0"/>
        <v>25.691033803740002</v>
      </c>
      <c r="I18" s="2">
        <v>11</v>
      </c>
      <c r="J18" s="4">
        <v>25.691033803740002</v>
      </c>
      <c r="K18" s="5">
        <v>8.3038146374847674E-2</v>
      </c>
    </row>
    <row r="19" spans="1:11" x14ac:dyDescent="0.25">
      <c r="A19">
        <v>12</v>
      </c>
      <c r="B19">
        <v>5.0495127266309298E-3</v>
      </c>
      <c r="C19">
        <v>5.8939318369119604</v>
      </c>
      <c r="D19">
        <v>11.627398882167</v>
      </c>
      <c r="E19">
        <v>209878223.38</v>
      </c>
      <c r="F19">
        <f t="shared" si="0"/>
        <v>0.20987822338000001</v>
      </c>
      <c r="I19" s="2">
        <v>12</v>
      </c>
      <c r="J19" s="4">
        <v>0.20987822338000001</v>
      </c>
      <c r="K19" s="5">
        <v>6.7836501898122653E-4</v>
      </c>
    </row>
    <row r="20" spans="1:11" x14ac:dyDescent="0.25">
      <c r="A20">
        <v>13</v>
      </c>
      <c r="B20">
        <v>7.9360813121380405E-3</v>
      </c>
      <c r="C20">
        <v>9.1184227028050504</v>
      </c>
      <c r="D20">
        <v>12.3943158132536</v>
      </c>
      <c r="E20">
        <v>516773699.60000002</v>
      </c>
      <c r="F20">
        <f t="shared" si="0"/>
        <v>0.51677369959999997</v>
      </c>
      <c r="I20" s="2">
        <v>13</v>
      </c>
      <c r="J20" s="4">
        <v>0.51677369959999997</v>
      </c>
      <c r="K20" s="5">
        <v>1.6703076426535009E-3</v>
      </c>
    </row>
    <row r="21" spans="1:11" x14ac:dyDescent="0.25">
      <c r="A21">
        <v>14</v>
      </c>
      <c r="B21">
        <v>4.6720039028875303E-2</v>
      </c>
      <c r="C21">
        <v>43.6822150585567</v>
      </c>
      <c r="D21">
        <v>13.383372368369599</v>
      </c>
      <c r="E21">
        <v>9885931.8100000005</v>
      </c>
      <c r="F21">
        <f t="shared" si="0"/>
        <v>9.8859318099999999E-3</v>
      </c>
      <c r="I21" s="2">
        <v>14</v>
      </c>
      <c r="J21" s="4">
        <v>9.8859318099999999E-3</v>
      </c>
      <c r="K21" s="5">
        <v>3.1953149840589057E-5</v>
      </c>
    </row>
    <row r="22" spans="1:11" x14ac:dyDescent="0.25">
      <c r="A22">
        <v>15</v>
      </c>
      <c r="B22">
        <v>3.4989742613912898E-6</v>
      </c>
      <c r="C22">
        <v>4.1986883117849996E-3</v>
      </c>
      <c r="D22">
        <v>14.2770388346082</v>
      </c>
      <c r="E22">
        <v>2272094.4500000002</v>
      </c>
      <c r="F22">
        <f t="shared" si="0"/>
        <v>2.27209445E-3</v>
      </c>
      <c r="I22" s="2">
        <v>15</v>
      </c>
      <c r="J22" s="4">
        <v>2.27209445E-3</v>
      </c>
      <c r="K22" s="5">
        <v>7.3438271483303688E-6</v>
      </c>
    </row>
    <row r="23" spans="1:11" x14ac:dyDescent="0.25">
      <c r="I23" s="2" t="s">
        <v>6</v>
      </c>
      <c r="J23" s="3">
        <v>309.38833446217001</v>
      </c>
      <c r="K23" s="5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2018-05-24T20:24:58Z</dcterms:created>
  <dcterms:modified xsi:type="dcterms:W3CDTF">2018-05-24T20:32:02Z</dcterms:modified>
</cp:coreProperties>
</file>