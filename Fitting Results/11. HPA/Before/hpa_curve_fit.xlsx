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1635" windowHeight="19470"/>
  </bookViews>
  <sheets>
    <sheet name="hpa curve fit" sheetId="1" r:id="rId1"/>
  </sheets>
  <calcPr calcId="145621"/>
</workbook>
</file>

<file path=xl/calcChain.xml><?xml version="1.0" encoding="utf-8"?>
<calcChain xmlns="http://schemas.openxmlformats.org/spreadsheetml/2006/main">
  <c r="I28" i="1" l="1"/>
  <c r="I27" i="1"/>
  <c r="I25" i="1"/>
  <c r="I24" i="1"/>
  <c r="I22" i="1"/>
  <c r="I21" i="1"/>
  <c r="K21" i="1" s="1"/>
  <c r="I19" i="1"/>
  <c r="K19" i="1" s="1"/>
  <c r="K27" i="1"/>
  <c r="I18" i="1"/>
  <c r="A19" i="1"/>
  <c r="A20" i="1"/>
  <c r="A21" i="1"/>
  <c r="A22" i="1"/>
  <c r="A23" i="1"/>
  <c r="A24" i="1"/>
  <c r="A25" i="1"/>
  <c r="A26" i="1"/>
  <c r="A27" i="1"/>
  <c r="A28" i="1"/>
  <c r="A18" i="1"/>
  <c r="F18" i="1"/>
  <c r="I17" i="1"/>
  <c r="G21" i="1"/>
  <c r="F19" i="1"/>
  <c r="G19" i="1" s="1"/>
  <c r="F20" i="1"/>
  <c r="F21" i="1"/>
  <c r="F22" i="1"/>
  <c r="F23" i="1"/>
  <c r="F24" i="1"/>
  <c r="F25" i="1"/>
  <c r="F26" i="1"/>
  <c r="F27" i="1"/>
  <c r="G27" i="1" s="1"/>
  <c r="F28" i="1"/>
  <c r="F17" i="1"/>
  <c r="E18" i="1"/>
  <c r="G18" i="1" s="1"/>
  <c r="E19" i="1"/>
  <c r="E20" i="1"/>
  <c r="E21" i="1"/>
  <c r="E22" i="1"/>
  <c r="G22" i="1" s="1"/>
  <c r="E23" i="1"/>
  <c r="E24" i="1"/>
  <c r="G24" i="1" s="1"/>
  <c r="E25" i="1"/>
  <c r="G25" i="1" s="1"/>
  <c r="E26" i="1"/>
  <c r="E27" i="1"/>
  <c r="E28" i="1"/>
  <c r="G28" i="1" s="1"/>
  <c r="E17" i="1"/>
  <c r="D19" i="1"/>
  <c r="D20" i="1"/>
  <c r="D21" i="1"/>
  <c r="D22" i="1"/>
  <c r="D23" i="1"/>
  <c r="D24" i="1"/>
  <c r="D25" i="1"/>
  <c r="D26" i="1"/>
  <c r="D27" i="1"/>
  <c r="D28" i="1"/>
  <c r="D18" i="1"/>
  <c r="C18" i="1"/>
  <c r="C19" i="1"/>
  <c r="C20" i="1"/>
  <c r="C21" i="1"/>
  <c r="C22" i="1"/>
  <c r="C23" i="1"/>
  <c r="C24" i="1"/>
  <c r="C25" i="1"/>
  <c r="C26" i="1"/>
  <c r="C27" i="1"/>
  <c r="C28" i="1"/>
  <c r="B19" i="1"/>
  <c r="B20" i="1"/>
  <c r="B21" i="1"/>
  <c r="B22" i="1"/>
  <c r="B23" i="1"/>
  <c r="B24" i="1"/>
  <c r="B25" i="1"/>
  <c r="B26" i="1"/>
  <c r="B27" i="1"/>
  <c r="B28" i="1"/>
  <c r="B18" i="1"/>
  <c r="K22" i="1" l="1"/>
  <c r="K24" i="1"/>
  <c r="K25" i="1"/>
  <c r="K18" i="1"/>
  <c r="K28" i="1"/>
</calcChain>
</file>

<file path=xl/sharedStrings.xml><?xml version="1.0" encoding="utf-8"?>
<sst xmlns="http://schemas.openxmlformats.org/spreadsheetml/2006/main" count="64" uniqueCount="59">
  <si>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</si>
  <si>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</si>
  <si>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</si>
  <si>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</si>
  <si>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</si>
  <si>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</si>
  <si>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</si>
  <si>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</si>
  <si>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</si>
  <si>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</si>
  <si>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</si>
  <si>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</si>
  <si>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</si>
  <si>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</si>
  <si>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</si>
  <si>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</si>
  <si>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</si>
  <si>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</si>
  <si>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</si>
  <si>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</si>
  <si>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</si>
  <si>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</si>
  <si>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</si>
  <si>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</si>
  <si>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</si>
  <si>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</si>
  <si>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</si>
  <si>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</si>
  <si>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</si>
  <si>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</si>
  <si>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</si>
  <si>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</si>
  <si>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</si>
  <si>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</si>
  <si>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</si>
  <si>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</si>
  <si>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</si>
  <si>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</si>
  <si>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hpa</t>
  </si>
  <si>
    <t>turn_cai_mult</t>
  </si>
  <si>
    <t>turn_hpa2yr_mult</t>
  </si>
  <si>
    <t>turn_hpa_mult</t>
  </si>
  <si>
    <t>turn_wala_mult</t>
  </si>
  <si>
    <t>turn_incentive_mult</t>
  </si>
  <si>
    <t>turn_cltv_mult</t>
  </si>
  <si>
    <t>turn_acls_mult</t>
  </si>
  <si>
    <t>turn_fico_mult</t>
  </si>
  <si>
    <t>turn_pct_REFI_mult</t>
  </si>
  <si>
    <t>turn_tax_mult</t>
  </si>
  <si>
    <t>turn_sato_mult</t>
  </si>
  <si>
    <t>turn_pct_HARPed_mult</t>
  </si>
  <si>
    <t>turn_HARP_eligible_mult</t>
  </si>
  <si>
    <t>bal</t>
  </si>
  <si>
    <t>std</t>
  </si>
  <si>
    <t>n</t>
  </si>
  <si>
    <t>NA</t>
  </si>
  <si>
    <t>hpaBucket</t>
  </si>
  <si>
    <t>bal(bb)</t>
  </si>
  <si>
    <t>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</si>
</sst>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43" fontId="0" fillId="0" borderId="0" xfId="1" applyFont="1"/>
    <xf numFmtId="164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8"/>
  <sheetViews>
    <sheetView tabSelected="1" workbookViewId="0">
      <selection activeCell="J22" sqref="J22"/>
    </sheetView>
  </sheetViews>
  <sheetFormatPr defaultRowHeight="15" x14ac:dyDescent="0.25"/>
  <cols>
    <col min="1" max="1" width="19" bestFit="1" customWidth="1"/>
  </cols>
  <sheetData>
    <row r="1" spans="1:5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25">
      <c r="A2">
        <v>1</v>
      </c>
      <c r="B2">
        <v>1</v>
      </c>
      <c r="C2">
        <v>-75</v>
      </c>
      <c r="D2">
        <v>4.8990532227696101E-2</v>
      </c>
      <c r="E2">
        <v>0.405620883352102</v>
      </c>
      <c r="F2">
        <v>0.546969783026375</v>
      </c>
      <c r="G2">
        <v>4.75543283933699</v>
      </c>
      <c r="H2">
        <v>0.12077911724572001</v>
      </c>
      <c r="I2">
        <v>0.356630351124406</v>
      </c>
      <c r="J2">
        <v>5.1533038279089199E-2</v>
      </c>
      <c r="K2">
        <v>1.8242103770461301E-2</v>
      </c>
      <c r="L2">
        <v>0</v>
      </c>
      <c r="M2">
        <v>0.33584574130255201</v>
      </c>
      <c r="N2">
        <v>0</v>
      </c>
      <c r="O2">
        <v>0</v>
      </c>
      <c r="P2">
        <v>3.5733189900444602</v>
      </c>
      <c r="Q2">
        <v>96.426681009955502</v>
      </c>
      <c r="R2">
        <v>40.283019335921203</v>
      </c>
      <c r="S2">
        <v>40.302918197214296</v>
      </c>
      <c r="T2">
        <v>19.4140624668645</v>
      </c>
      <c r="U2">
        <v>0</v>
      </c>
      <c r="V2">
        <v>59.716980664078797</v>
      </c>
      <c r="W2">
        <v>0.46345102850896203</v>
      </c>
      <c r="X2">
        <v>-82.173339970106994</v>
      </c>
      <c r="Y2">
        <v>16.106961147079002</v>
      </c>
      <c r="Z2">
        <v>99.390072058904707</v>
      </c>
      <c r="AA2">
        <v>62.736836019718702</v>
      </c>
      <c r="AB2">
        <v>273.33206030048399</v>
      </c>
      <c r="AC2">
        <v>272.43845914502702</v>
      </c>
      <c r="AD2">
        <v>53.2897708208503</v>
      </c>
      <c r="AE2">
        <v>298.66136331602598</v>
      </c>
      <c r="AF2">
        <v>3.3544370752972901</v>
      </c>
      <c r="AG2">
        <v>754.49525427692197</v>
      </c>
      <c r="AH2">
        <v>2.7969323571303599</v>
      </c>
      <c r="AI2">
        <v>44.154812376451702</v>
      </c>
      <c r="AJ2">
        <v>164.85021396019599</v>
      </c>
      <c r="AK2">
        <v>102.762068540203</v>
      </c>
      <c r="AL2">
        <v>25.355384996111201</v>
      </c>
      <c r="AM2">
        <v>-46.208214452699501</v>
      </c>
      <c r="AN2">
        <v>0.38668620739959902</v>
      </c>
      <c r="AO2">
        <v>0.9</v>
      </c>
      <c r="AP2">
        <v>1</v>
      </c>
      <c r="AQ2">
        <v>1</v>
      </c>
      <c r="AR2">
        <v>1.24233533129531</v>
      </c>
      <c r="AS2">
        <v>1.14154527742151</v>
      </c>
      <c r="AT2">
        <v>1.0039763778133799</v>
      </c>
      <c r="AU2">
        <v>0.88652230895219297</v>
      </c>
      <c r="AV2">
        <v>0.85843066191276596</v>
      </c>
      <c r="AW2">
        <v>1</v>
      </c>
      <c r="AX2">
        <v>1</v>
      </c>
      <c r="AY2">
        <v>0.96695908194956404</v>
      </c>
      <c r="AZ2">
        <v>1</v>
      </c>
      <c r="BA2">
        <v>1</v>
      </c>
      <c r="BB2">
        <v>227404469.69999999</v>
      </c>
      <c r="BC2">
        <v>5.0056163894819303E-3</v>
      </c>
      <c r="BD2">
        <v>548</v>
      </c>
    </row>
    <row r="3" spans="1:56" x14ac:dyDescent="0.25">
      <c r="A3">
        <v>2</v>
      </c>
      <c r="B3">
        <v>1</v>
      </c>
      <c r="C3">
        <v>-50</v>
      </c>
      <c r="D3">
        <v>0.46803302962812998</v>
      </c>
      <c r="E3">
        <v>0.45028264581048899</v>
      </c>
      <c r="F3">
        <v>2.6824474163318301</v>
      </c>
      <c r="G3">
        <v>5.2641472519826102</v>
      </c>
      <c r="H3">
        <v>1.0394205372620799</v>
      </c>
      <c r="I3">
        <v>-1.7750383817641099E-2</v>
      </c>
      <c r="J3">
        <v>5.2400462793682802E-2</v>
      </c>
      <c r="K3">
        <v>1.6890541565190601E-2</v>
      </c>
      <c r="L3">
        <v>0</v>
      </c>
      <c r="M3">
        <v>0.38099164145161601</v>
      </c>
      <c r="N3">
        <v>0</v>
      </c>
      <c r="O3">
        <v>0</v>
      </c>
      <c r="P3">
        <v>3.3948806945811301</v>
      </c>
      <c r="Q3">
        <v>96.605119305418896</v>
      </c>
      <c r="R3">
        <v>33.835949471422801</v>
      </c>
      <c r="S3">
        <v>44.809662992426396</v>
      </c>
      <c r="T3">
        <v>21.354387536150799</v>
      </c>
      <c r="U3">
        <v>0</v>
      </c>
      <c r="V3">
        <v>66.164050528577206</v>
      </c>
      <c r="W3">
        <v>0.51099659583052104</v>
      </c>
      <c r="X3">
        <v>-60.312999536273402</v>
      </c>
      <c r="Y3">
        <v>76.173546797863096</v>
      </c>
      <c r="Z3">
        <v>99.800001925674096</v>
      </c>
      <c r="AA3">
        <v>60.025475439858504</v>
      </c>
      <c r="AB3">
        <v>277.83128222171001</v>
      </c>
      <c r="AC3">
        <v>276.45145865075699</v>
      </c>
      <c r="AD3">
        <v>54.166761201518099</v>
      </c>
      <c r="AE3">
        <v>296.86648102694699</v>
      </c>
      <c r="AF3">
        <v>3.4918215922315001</v>
      </c>
      <c r="AG3">
        <v>762.32122254728802</v>
      </c>
      <c r="AH3">
        <v>3.1890963307646998</v>
      </c>
      <c r="AI3">
        <v>54.922405268513302</v>
      </c>
      <c r="AJ3">
        <v>167.02886142456401</v>
      </c>
      <c r="AK3">
        <v>103.154960500722</v>
      </c>
      <c r="AL3">
        <v>25.441284466104602</v>
      </c>
      <c r="AM3">
        <v>-31.616079101256702</v>
      </c>
      <c r="AN3">
        <v>0.53768159911547297</v>
      </c>
      <c r="AO3">
        <v>0.9</v>
      </c>
      <c r="AP3">
        <v>1</v>
      </c>
      <c r="AQ3">
        <v>1</v>
      </c>
      <c r="AR3">
        <v>1.2439180638393501</v>
      </c>
      <c r="AS3">
        <v>1.2616010551249499</v>
      </c>
      <c r="AT3">
        <v>1.0051807335749201</v>
      </c>
      <c r="AU3">
        <v>0.88196848903019398</v>
      </c>
      <c r="AV3">
        <v>0.85515955210861405</v>
      </c>
      <c r="AW3">
        <v>1</v>
      </c>
      <c r="AX3">
        <v>1</v>
      </c>
      <c r="AY3">
        <v>0.99025934411993</v>
      </c>
      <c r="AZ3">
        <v>1</v>
      </c>
      <c r="BA3">
        <v>1</v>
      </c>
      <c r="BB3">
        <v>1477768228.5</v>
      </c>
      <c r="BC3">
        <v>6.11895048124051E-2</v>
      </c>
      <c r="BD3">
        <v>2234</v>
      </c>
    </row>
    <row r="4" spans="1:56" x14ac:dyDescent="0.25">
      <c r="A4">
        <v>3</v>
      </c>
      <c r="B4">
        <v>3</v>
      </c>
      <c r="C4">
        <v>-100</v>
      </c>
      <c r="D4">
        <v>0</v>
      </c>
      <c r="E4">
        <v>0.39056014273892797</v>
      </c>
      <c r="F4">
        <v>0</v>
      </c>
      <c r="G4">
        <v>4.5838443581753401</v>
      </c>
      <c r="H4">
        <v>0</v>
      </c>
      <c r="I4">
        <v>0.39056014273892797</v>
      </c>
      <c r="J4">
        <v>4.8445735463187999E-2</v>
      </c>
      <c r="K4">
        <v>4.2289851280769997E-3</v>
      </c>
      <c r="L4">
        <v>0</v>
      </c>
      <c r="M4">
        <v>0.33788542214766298</v>
      </c>
      <c r="N4">
        <v>0</v>
      </c>
      <c r="O4">
        <v>0</v>
      </c>
      <c r="P4">
        <v>0</v>
      </c>
      <c r="Q4">
        <v>100</v>
      </c>
      <c r="R4">
        <v>38.379433850077298</v>
      </c>
      <c r="S4">
        <v>28.264537473613899</v>
      </c>
      <c r="T4">
        <v>33.356028676308803</v>
      </c>
      <c r="U4">
        <v>0</v>
      </c>
      <c r="V4">
        <v>61.620566149922702</v>
      </c>
      <c r="W4">
        <v>0.10509149120269499</v>
      </c>
      <c r="X4">
        <v>-100</v>
      </c>
      <c r="Y4">
        <v>0</v>
      </c>
      <c r="Z4">
        <v>100</v>
      </c>
      <c r="AA4">
        <v>62.349871605079201</v>
      </c>
      <c r="AB4">
        <v>211.024639878465</v>
      </c>
      <c r="AC4">
        <v>211.024639878465</v>
      </c>
      <c r="AD4">
        <v>54.821227030185497</v>
      </c>
      <c r="AE4">
        <v>305.17877296981402</v>
      </c>
      <c r="AF4">
        <v>3.1</v>
      </c>
      <c r="AG4">
        <v>774.96289263317499</v>
      </c>
      <c r="AH4">
        <v>0</v>
      </c>
      <c r="AI4">
        <v>0</v>
      </c>
      <c r="AJ4">
        <v>171.89563340211399</v>
      </c>
      <c r="AK4">
        <v>108.226715556263</v>
      </c>
      <c r="AL4">
        <v>22.937698573560802</v>
      </c>
      <c r="AM4">
        <v>-49.491238325474903</v>
      </c>
      <c r="AN4">
        <v>2.7587448850651399</v>
      </c>
      <c r="AO4">
        <v>0.9</v>
      </c>
      <c r="AP4">
        <v>1</v>
      </c>
      <c r="AQ4">
        <v>1</v>
      </c>
      <c r="AR4">
        <v>1.2439409732009099</v>
      </c>
      <c r="AS4">
        <v>1.0449999999999999</v>
      </c>
      <c r="AT4">
        <v>1.0059647917387999</v>
      </c>
      <c r="AU4">
        <v>0.95333022155026104</v>
      </c>
      <c r="AV4">
        <v>0.83495038432714097</v>
      </c>
      <c r="AW4">
        <v>1</v>
      </c>
      <c r="AX4">
        <v>1</v>
      </c>
      <c r="AY4">
        <v>0.95067528995284001</v>
      </c>
      <c r="AZ4">
        <v>1</v>
      </c>
      <c r="BA4">
        <v>1</v>
      </c>
      <c r="BB4">
        <v>623622.80000000005</v>
      </c>
      <c r="BC4">
        <v>0</v>
      </c>
      <c r="BD4">
        <v>3</v>
      </c>
    </row>
    <row r="5" spans="1:56" x14ac:dyDescent="0.25">
      <c r="A5">
        <v>4</v>
      </c>
      <c r="B5">
        <v>3</v>
      </c>
      <c r="C5">
        <v>-75</v>
      </c>
      <c r="D5">
        <v>0.43717831929991302</v>
      </c>
      <c r="E5">
        <v>0.43716212019536899</v>
      </c>
      <c r="F5">
        <v>3.3757086687440601</v>
      </c>
      <c r="G5">
        <v>5.1183822115307702</v>
      </c>
      <c r="H5">
        <v>1.00003705514224</v>
      </c>
      <c r="I5" s="1">
        <v>-1.6199104543901499E-5</v>
      </c>
      <c r="J5">
        <v>5.4227111309436103E-2</v>
      </c>
      <c r="K5">
        <v>9.2662860838978803E-3</v>
      </c>
      <c r="L5">
        <v>0</v>
      </c>
      <c r="M5">
        <v>0.373668722802035</v>
      </c>
      <c r="N5">
        <v>0</v>
      </c>
      <c r="O5">
        <v>0</v>
      </c>
      <c r="P5">
        <v>4.9375254555110004</v>
      </c>
      <c r="Q5">
        <v>95.062474544489007</v>
      </c>
      <c r="R5">
        <v>32.559890400379601</v>
      </c>
      <c r="S5">
        <v>47.709520249228099</v>
      </c>
      <c r="T5">
        <v>19.7305893503923</v>
      </c>
      <c r="U5">
        <v>0</v>
      </c>
      <c r="V5">
        <v>67.440109599620399</v>
      </c>
      <c r="W5">
        <v>0.332542145855306</v>
      </c>
      <c r="X5">
        <v>-83.968541956234802</v>
      </c>
      <c r="Y5">
        <v>22.021832554516699</v>
      </c>
      <c r="Z5">
        <v>100</v>
      </c>
      <c r="AA5">
        <v>54.524827991564798</v>
      </c>
      <c r="AB5">
        <v>274.38232795200599</v>
      </c>
      <c r="AC5">
        <v>272.66131888312299</v>
      </c>
      <c r="AD5">
        <v>57.686232467456399</v>
      </c>
      <c r="AE5">
        <v>293.00867276941102</v>
      </c>
      <c r="AF5">
        <v>3.3127916143715099</v>
      </c>
      <c r="AG5">
        <v>767.85513739926705</v>
      </c>
      <c r="AH5">
        <v>1.87514353976776</v>
      </c>
      <c r="AI5">
        <v>58.634197430564903</v>
      </c>
      <c r="AJ5">
        <v>175.65760795735801</v>
      </c>
      <c r="AK5">
        <v>106.599599519275</v>
      </c>
      <c r="AL5">
        <v>19.652847645846698</v>
      </c>
      <c r="AM5">
        <v>-37.045744147030398</v>
      </c>
      <c r="AN5">
        <v>2.3006944321093799</v>
      </c>
      <c r="AO5">
        <v>0.9</v>
      </c>
      <c r="AP5">
        <v>1</v>
      </c>
      <c r="AQ5">
        <v>1</v>
      </c>
      <c r="AR5">
        <v>1.24742607363619</v>
      </c>
      <c r="AS5">
        <v>1.12950367773477</v>
      </c>
      <c r="AT5">
        <v>1.0065082890496899</v>
      </c>
      <c r="AU5">
        <v>0.88631573055287804</v>
      </c>
      <c r="AV5">
        <v>0.85046569898635604</v>
      </c>
      <c r="AW5">
        <v>1</v>
      </c>
      <c r="AX5">
        <v>1</v>
      </c>
      <c r="AY5">
        <v>0.97567359501635198</v>
      </c>
      <c r="AZ5">
        <v>1</v>
      </c>
      <c r="BA5">
        <v>1</v>
      </c>
      <c r="BB5">
        <v>4311321574.3000002</v>
      </c>
      <c r="BC5">
        <v>7.1585321482188893E-2</v>
      </c>
      <c r="BD5">
        <v>3112</v>
      </c>
    </row>
    <row r="6" spans="1:56" x14ac:dyDescent="0.25">
      <c r="A6">
        <v>5</v>
      </c>
      <c r="B6">
        <v>3</v>
      </c>
      <c r="C6">
        <v>-50</v>
      </c>
      <c r="D6">
        <v>0.52447039142763596</v>
      </c>
      <c r="E6">
        <v>0.47447685721638</v>
      </c>
      <c r="F6">
        <v>4.4403937340340001</v>
      </c>
      <c r="G6">
        <v>5.5428673484217503</v>
      </c>
      <c r="H6">
        <v>1.1053655904411299</v>
      </c>
      <c r="I6">
        <v>-4.9993534211255498E-2</v>
      </c>
      <c r="J6">
        <v>5.3179087008945997E-2</v>
      </c>
      <c r="K6">
        <v>8.8983670491761292E-3</v>
      </c>
      <c r="L6">
        <v>0</v>
      </c>
      <c r="M6">
        <v>0.41239940315825802</v>
      </c>
      <c r="N6">
        <v>0</v>
      </c>
      <c r="O6">
        <v>0</v>
      </c>
      <c r="P6">
        <v>6.1107343768837197</v>
      </c>
      <c r="Q6">
        <v>93.889265623116302</v>
      </c>
      <c r="R6">
        <v>30.378673883924801</v>
      </c>
      <c r="S6">
        <v>48.714184847687903</v>
      </c>
      <c r="T6">
        <v>20.907141268387299</v>
      </c>
      <c r="U6">
        <v>0</v>
      </c>
      <c r="V6">
        <v>69.621326116075196</v>
      </c>
      <c r="W6">
        <v>0.30990684421755998</v>
      </c>
      <c r="X6">
        <v>-60.5855227799616</v>
      </c>
      <c r="Y6">
        <v>73.400068946138603</v>
      </c>
      <c r="Z6">
        <v>100</v>
      </c>
      <c r="AA6">
        <v>54.820968980076103</v>
      </c>
      <c r="AB6">
        <v>274.20268875311803</v>
      </c>
      <c r="AC6">
        <v>272.37984141341099</v>
      </c>
      <c r="AD6">
        <v>55.538762597206897</v>
      </c>
      <c r="AE6">
        <v>295.25050880557899</v>
      </c>
      <c r="AF6">
        <v>3.4222699808399799</v>
      </c>
      <c r="AG6">
        <v>766.44194336227395</v>
      </c>
      <c r="AH6">
        <v>3.0916587524949501</v>
      </c>
      <c r="AI6">
        <v>58.692495644792501</v>
      </c>
      <c r="AJ6">
        <v>173.111887133549</v>
      </c>
      <c r="AK6">
        <v>106.503255199889</v>
      </c>
      <c r="AL6">
        <v>24.3422157757375</v>
      </c>
      <c r="AM6">
        <v>-28.061690536521699</v>
      </c>
      <c r="AN6">
        <v>2.3462023485598098</v>
      </c>
      <c r="AO6">
        <v>0.9</v>
      </c>
      <c r="AP6">
        <v>1</v>
      </c>
      <c r="AQ6">
        <v>1</v>
      </c>
      <c r="AR6">
        <v>1.2450785853776001</v>
      </c>
      <c r="AS6">
        <v>1.26124232626843</v>
      </c>
      <c r="AT6">
        <v>1.00646999450693</v>
      </c>
      <c r="AU6">
        <v>0.88641673970483703</v>
      </c>
      <c r="AV6">
        <v>0.85228189349250805</v>
      </c>
      <c r="AW6">
        <v>1</v>
      </c>
      <c r="AX6">
        <v>1</v>
      </c>
      <c r="AY6">
        <v>0.99373920216052303</v>
      </c>
      <c r="AZ6">
        <v>1</v>
      </c>
      <c r="BA6">
        <v>1</v>
      </c>
      <c r="BB6">
        <v>17062381350.5</v>
      </c>
      <c r="BC6">
        <v>6.2918939486542397E-2</v>
      </c>
      <c r="BD6">
        <v>9465</v>
      </c>
    </row>
    <row r="7" spans="1:56" x14ac:dyDescent="0.25">
      <c r="A7">
        <v>6</v>
      </c>
      <c r="B7">
        <v>4</v>
      </c>
      <c r="C7">
        <v>-100</v>
      </c>
      <c r="D7">
        <v>0</v>
      </c>
      <c r="E7">
        <v>0.381294016061348</v>
      </c>
      <c r="F7">
        <v>0</v>
      </c>
      <c r="G7">
        <v>4.4807831684725699</v>
      </c>
      <c r="H7">
        <v>0</v>
      </c>
      <c r="I7">
        <v>0.381294016061348</v>
      </c>
      <c r="J7">
        <v>4.5923206832320602E-2</v>
      </c>
      <c r="K7">
        <v>3.1556062004267E-3</v>
      </c>
      <c r="L7">
        <v>0</v>
      </c>
      <c r="M7">
        <v>0.33221520302860102</v>
      </c>
      <c r="N7">
        <v>0</v>
      </c>
      <c r="O7">
        <v>0</v>
      </c>
      <c r="P7">
        <v>0</v>
      </c>
      <c r="Q7">
        <v>100</v>
      </c>
      <c r="R7">
        <v>0</v>
      </c>
      <c r="S7">
        <v>0</v>
      </c>
      <c r="T7">
        <v>100</v>
      </c>
      <c r="U7">
        <v>0</v>
      </c>
      <c r="V7">
        <v>100</v>
      </c>
      <c r="W7">
        <v>0</v>
      </c>
      <c r="X7">
        <v>-100</v>
      </c>
      <c r="Y7">
        <v>0</v>
      </c>
      <c r="Z7">
        <v>100</v>
      </c>
      <c r="AA7">
        <v>63.4</v>
      </c>
      <c r="AB7">
        <v>328.4</v>
      </c>
      <c r="AC7">
        <v>328.4</v>
      </c>
      <c r="AD7">
        <v>49</v>
      </c>
      <c r="AE7">
        <v>311</v>
      </c>
      <c r="AF7">
        <v>3.1</v>
      </c>
      <c r="AG7">
        <v>721</v>
      </c>
      <c r="AH7">
        <v>0</v>
      </c>
      <c r="AI7">
        <v>100</v>
      </c>
      <c r="AJ7">
        <v>169.3</v>
      </c>
      <c r="AK7">
        <v>108.1</v>
      </c>
      <c r="AL7">
        <v>24</v>
      </c>
      <c r="AM7">
        <v>-56.9</v>
      </c>
      <c r="AN7">
        <v>3.4767999999999999</v>
      </c>
      <c r="AO7">
        <v>0.9</v>
      </c>
      <c r="AP7">
        <v>1</v>
      </c>
      <c r="AQ7">
        <v>1</v>
      </c>
      <c r="AR7">
        <v>1.2341397569444399</v>
      </c>
      <c r="AS7">
        <v>1.0449999999999999</v>
      </c>
      <c r="AT7">
        <v>1.00590338179697</v>
      </c>
      <c r="AU7">
        <v>0.82415856995563797</v>
      </c>
      <c r="AV7">
        <v>0.90925911999999998</v>
      </c>
      <c r="AW7">
        <v>1</v>
      </c>
      <c r="AX7">
        <v>1</v>
      </c>
      <c r="AY7">
        <v>0.94241746855999997</v>
      </c>
      <c r="AZ7">
        <v>1</v>
      </c>
      <c r="BA7">
        <v>1</v>
      </c>
      <c r="BB7">
        <v>328442.5</v>
      </c>
      <c r="BC7" t="s">
        <v>55</v>
      </c>
      <c r="BD7">
        <v>1</v>
      </c>
    </row>
    <row r="8" spans="1:56" x14ac:dyDescent="0.25">
      <c r="A8">
        <v>7</v>
      </c>
      <c r="B8">
        <v>4</v>
      </c>
      <c r="C8">
        <v>-75</v>
      </c>
      <c r="D8">
        <v>0.51915625202905202</v>
      </c>
      <c r="E8">
        <v>0.43584067542767202</v>
      </c>
      <c r="F8">
        <v>4.6778930772419596</v>
      </c>
      <c r="G8">
        <v>5.1035024150488599</v>
      </c>
      <c r="H8">
        <v>1.1911606265744401</v>
      </c>
      <c r="I8">
        <v>-8.3315576601379698E-2</v>
      </c>
      <c r="J8">
        <v>5.4420473852534998E-2</v>
      </c>
      <c r="K8">
        <v>8.2922141419350098E-3</v>
      </c>
      <c r="L8">
        <v>0</v>
      </c>
      <c r="M8">
        <v>0.37312798743320202</v>
      </c>
      <c r="N8">
        <v>0</v>
      </c>
      <c r="O8">
        <v>0</v>
      </c>
      <c r="P8">
        <v>3.8984319013058002</v>
      </c>
      <c r="Q8">
        <v>96.101568098694202</v>
      </c>
      <c r="R8">
        <v>28.453889376012199</v>
      </c>
      <c r="S8">
        <v>51.906825799780897</v>
      </c>
      <c r="T8">
        <v>19.6392848242069</v>
      </c>
      <c r="U8">
        <v>0</v>
      </c>
      <c r="V8">
        <v>71.546110623987801</v>
      </c>
      <c r="W8">
        <v>0.30794606875539299</v>
      </c>
      <c r="X8">
        <v>-83.894247674735396</v>
      </c>
      <c r="Y8">
        <v>26.026158314498499</v>
      </c>
      <c r="Z8">
        <v>100</v>
      </c>
      <c r="AA8">
        <v>50.248989187845197</v>
      </c>
      <c r="AB8">
        <v>278.92853611013402</v>
      </c>
      <c r="AC8">
        <v>277.12106205858498</v>
      </c>
      <c r="AD8">
        <v>58.397167948461302</v>
      </c>
      <c r="AE8">
        <v>292.34457719478098</v>
      </c>
      <c r="AF8">
        <v>3.3019455601941599</v>
      </c>
      <c r="AG8">
        <v>771.256656692202</v>
      </c>
      <c r="AH8">
        <v>1.61388334877246</v>
      </c>
      <c r="AI8">
        <v>66.518124110670001</v>
      </c>
      <c r="AJ8">
        <v>175.967871271783</v>
      </c>
      <c r="AK8">
        <v>108.75329845703401</v>
      </c>
      <c r="AL8">
        <v>19.302902777674198</v>
      </c>
      <c r="AM8">
        <v>-35.374541808035502</v>
      </c>
      <c r="AN8">
        <v>3.50376618273462</v>
      </c>
      <c r="AO8">
        <v>0.9</v>
      </c>
      <c r="AP8">
        <v>1</v>
      </c>
      <c r="AQ8">
        <v>1</v>
      </c>
      <c r="AR8">
        <v>1.2483106891626099</v>
      </c>
      <c r="AS8">
        <v>1.1298213950382301</v>
      </c>
      <c r="AT8">
        <v>1.00688745549648</v>
      </c>
      <c r="AU8">
        <v>0.88162835319278299</v>
      </c>
      <c r="AV8">
        <v>0.84685331642914297</v>
      </c>
      <c r="AW8">
        <v>1</v>
      </c>
      <c r="AX8">
        <v>1</v>
      </c>
      <c r="AY8">
        <v>0.97853317062584899</v>
      </c>
      <c r="AZ8">
        <v>1</v>
      </c>
      <c r="BA8">
        <v>1</v>
      </c>
      <c r="BB8">
        <v>9799901898.2999992</v>
      </c>
      <c r="BC8">
        <v>6.57829565103938E-2</v>
      </c>
      <c r="BD8">
        <v>4008</v>
      </c>
    </row>
    <row r="9" spans="1:56" x14ac:dyDescent="0.25">
      <c r="A9">
        <v>8</v>
      </c>
      <c r="B9">
        <v>4</v>
      </c>
      <c r="C9">
        <v>-50</v>
      </c>
      <c r="D9">
        <v>0.576498631906051</v>
      </c>
      <c r="E9">
        <v>0.47280808490890802</v>
      </c>
      <c r="F9">
        <v>5.4167946608807096</v>
      </c>
      <c r="G9">
        <v>5.5239337436629299</v>
      </c>
      <c r="H9">
        <v>1.21930789744663</v>
      </c>
      <c r="I9">
        <v>-0.103690546997142</v>
      </c>
      <c r="J9">
        <v>5.3360549603370298E-2</v>
      </c>
      <c r="K9">
        <v>8.1230126386439803E-3</v>
      </c>
      <c r="L9">
        <v>0</v>
      </c>
      <c r="M9">
        <v>0.41132452266689401</v>
      </c>
      <c r="N9">
        <v>0</v>
      </c>
      <c r="O9">
        <v>0</v>
      </c>
      <c r="P9">
        <v>3.6986996567750401</v>
      </c>
      <c r="Q9">
        <v>96.301300343224995</v>
      </c>
      <c r="R9">
        <v>26.656674941618501</v>
      </c>
      <c r="S9">
        <v>52.6059244405347</v>
      </c>
      <c r="T9">
        <v>20.737400617846799</v>
      </c>
      <c r="U9">
        <v>0</v>
      </c>
      <c r="V9">
        <v>73.343325058381495</v>
      </c>
      <c r="W9">
        <v>0.29208738977188797</v>
      </c>
      <c r="X9">
        <v>-60.360314020290303</v>
      </c>
      <c r="Y9">
        <v>69.594366751068407</v>
      </c>
      <c r="Z9">
        <v>99.999075400778196</v>
      </c>
      <c r="AA9">
        <v>51.268565567233601</v>
      </c>
      <c r="AB9">
        <v>278.33878770359303</v>
      </c>
      <c r="AC9">
        <v>276.46370394186101</v>
      </c>
      <c r="AD9">
        <v>55.808360030750102</v>
      </c>
      <c r="AE9">
        <v>294.78925228013401</v>
      </c>
      <c r="AF9">
        <v>3.3923165717992001</v>
      </c>
      <c r="AG9">
        <v>769.62377181312104</v>
      </c>
      <c r="AH9">
        <v>2.6999032029836898</v>
      </c>
      <c r="AI9">
        <v>65.243421104134796</v>
      </c>
      <c r="AJ9">
        <v>173.30454085712299</v>
      </c>
      <c r="AK9">
        <v>108.72566021357299</v>
      </c>
      <c r="AL9">
        <v>24.779585668368799</v>
      </c>
      <c r="AM9">
        <v>-27.9945126973839</v>
      </c>
      <c r="AN9">
        <v>3.4810256599712899</v>
      </c>
      <c r="AO9">
        <v>0.9</v>
      </c>
      <c r="AP9">
        <v>1</v>
      </c>
      <c r="AQ9">
        <v>1</v>
      </c>
      <c r="AR9">
        <v>1.2454284061713401</v>
      </c>
      <c r="AS9">
        <v>1.26272442419223</v>
      </c>
      <c r="AT9">
        <v>1.0068226314333499</v>
      </c>
      <c r="AU9">
        <v>0.88230172132066498</v>
      </c>
      <c r="AV9">
        <v>0.848468207394666</v>
      </c>
      <c r="AW9">
        <v>1</v>
      </c>
      <c r="AX9">
        <v>1</v>
      </c>
      <c r="AY9">
        <v>0.99319663684851001</v>
      </c>
      <c r="AZ9">
        <v>1</v>
      </c>
      <c r="BA9">
        <v>1</v>
      </c>
      <c r="BB9">
        <v>35770547088.800003</v>
      </c>
      <c r="BC9">
        <v>6.5804324741070494E-2</v>
      </c>
      <c r="BD9">
        <v>11330</v>
      </c>
    </row>
    <row r="10" spans="1:56" x14ac:dyDescent="0.25">
      <c r="A10">
        <v>9</v>
      </c>
      <c r="B10">
        <v>8</v>
      </c>
      <c r="C10">
        <v>-100</v>
      </c>
      <c r="D10">
        <v>0</v>
      </c>
      <c r="E10">
        <v>0.34218101065885698</v>
      </c>
      <c r="F10">
        <v>0</v>
      </c>
      <c r="G10">
        <v>4.0297688368118303</v>
      </c>
      <c r="H10">
        <v>0</v>
      </c>
      <c r="I10">
        <v>0.34218101065885698</v>
      </c>
      <c r="J10">
        <v>4.6813908691406197E-2</v>
      </c>
      <c r="K10">
        <v>3.5909468540394002E-3</v>
      </c>
      <c r="L10">
        <v>0</v>
      </c>
      <c r="M10">
        <v>0.29177615511341098</v>
      </c>
      <c r="N10">
        <v>0</v>
      </c>
      <c r="O10">
        <v>0</v>
      </c>
      <c r="P10">
        <v>0</v>
      </c>
      <c r="Q10">
        <v>100</v>
      </c>
      <c r="R10">
        <v>0</v>
      </c>
      <c r="S10">
        <v>0</v>
      </c>
      <c r="T10">
        <v>100</v>
      </c>
      <c r="U10">
        <v>0</v>
      </c>
      <c r="V10">
        <v>100</v>
      </c>
      <c r="W10">
        <v>0</v>
      </c>
      <c r="X10">
        <v>-100</v>
      </c>
      <c r="Y10">
        <v>0</v>
      </c>
      <c r="Z10">
        <v>100</v>
      </c>
      <c r="AA10">
        <v>61.1</v>
      </c>
      <c r="AB10">
        <v>196.2</v>
      </c>
      <c r="AC10">
        <v>196.2</v>
      </c>
      <c r="AD10">
        <v>51</v>
      </c>
      <c r="AE10">
        <v>309</v>
      </c>
      <c r="AF10">
        <v>3.1</v>
      </c>
      <c r="AG10">
        <v>710</v>
      </c>
      <c r="AH10">
        <v>0</v>
      </c>
      <c r="AI10">
        <v>0</v>
      </c>
      <c r="AJ10">
        <v>166.8</v>
      </c>
      <c r="AK10">
        <v>110.6</v>
      </c>
      <c r="AL10">
        <v>23.9</v>
      </c>
      <c r="AM10">
        <v>-57</v>
      </c>
      <c r="AN10">
        <v>4.1318000000000001</v>
      </c>
      <c r="AO10">
        <v>0.9</v>
      </c>
      <c r="AP10">
        <v>1</v>
      </c>
      <c r="AQ10">
        <v>1</v>
      </c>
      <c r="AR10">
        <v>1.2400859375</v>
      </c>
      <c r="AS10">
        <v>1.0449999999999999</v>
      </c>
      <c r="AT10">
        <v>1.0063133057972</v>
      </c>
      <c r="AU10">
        <v>0.97195844432373002</v>
      </c>
      <c r="AV10">
        <v>0.90991999999999995</v>
      </c>
      <c r="AW10">
        <v>1</v>
      </c>
      <c r="AX10">
        <v>1</v>
      </c>
      <c r="AY10">
        <v>0.94232212000000004</v>
      </c>
      <c r="AZ10">
        <v>1</v>
      </c>
      <c r="BA10">
        <v>1</v>
      </c>
      <c r="BB10">
        <v>196202</v>
      </c>
      <c r="BC10" t="s">
        <v>55</v>
      </c>
      <c r="BD10">
        <v>1</v>
      </c>
    </row>
    <row r="11" spans="1:56" x14ac:dyDescent="0.25">
      <c r="A11">
        <v>10</v>
      </c>
      <c r="B11">
        <v>8</v>
      </c>
      <c r="C11">
        <v>-75</v>
      </c>
      <c r="D11">
        <v>0.58166595566928903</v>
      </c>
      <c r="E11">
        <v>0.43712298777504299</v>
      </c>
      <c r="F11">
        <v>5.9510784263436101</v>
      </c>
      <c r="G11">
        <v>5.1181775028685896</v>
      </c>
      <c r="H11">
        <v>1.3306688779511899</v>
      </c>
      <c r="I11">
        <v>-0.14454296789424601</v>
      </c>
      <c r="J11">
        <v>5.50449296786596E-2</v>
      </c>
      <c r="K11">
        <v>7.98939087907608E-3</v>
      </c>
      <c r="L11">
        <v>0</v>
      </c>
      <c r="M11">
        <v>0.37408866721730699</v>
      </c>
      <c r="N11">
        <v>0</v>
      </c>
      <c r="O11">
        <v>0</v>
      </c>
      <c r="P11">
        <v>5.4243413982091901</v>
      </c>
      <c r="Q11">
        <v>94.575658601790806</v>
      </c>
      <c r="R11">
        <v>25.386145244410798</v>
      </c>
      <c r="S11">
        <v>56.773255537238498</v>
      </c>
      <c r="T11">
        <v>17.8405992183507</v>
      </c>
      <c r="U11">
        <v>0</v>
      </c>
      <c r="V11">
        <v>74.613854755589102</v>
      </c>
      <c r="W11">
        <v>0.31748486799324799</v>
      </c>
      <c r="X11">
        <v>-83.710841136351704</v>
      </c>
      <c r="Y11">
        <v>36.551616726303898</v>
      </c>
      <c r="Z11">
        <v>99.994207088504993</v>
      </c>
      <c r="AA11">
        <v>40.440957704587397</v>
      </c>
      <c r="AB11">
        <v>280.00655442364399</v>
      </c>
      <c r="AC11">
        <v>278.17634778494499</v>
      </c>
      <c r="AD11">
        <v>58.7476219558664</v>
      </c>
      <c r="AE11">
        <v>291.074245633359</v>
      </c>
      <c r="AF11">
        <v>3.3151524386862001</v>
      </c>
      <c r="AG11">
        <v>773.25612367449003</v>
      </c>
      <c r="AH11">
        <v>1.9593851998621601</v>
      </c>
      <c r="AI11">
        <v>58.491615476998298</v>
      </c>
      <c r="AJ11">
        <v>176.23221502193101</v>
      </c>
      <c r="AK11">
        <v>115.87306882704701</v>
      </c>
      <c r="AL11">
        <v>18.762471389767001</v>
      </c>
      <c r="AM11">
        <v>-34.435573503925099</v>
      </c>
      <c r="AN11">
        <v>7.5488001284201696</v>
      </c>
      <c r="AO11">
        <v>0.9</v>
      </c>
      <c r="AP11">
        <v>1</v>
      </c>
      <c r="AQ11">
        <v>1</v>
      </c>
      <c r="AR11">
        <v>1.24880610633996</v>
      </c>
      <c r="AS11">
        <v>1.1310097101627401</v>
      </c>
      <c r="AT11">
        <v>1.00723527911402</v>
      </c>
      <c r="AU11">
        <v>0.88095139879304096</v>
      </c>
      <c r="AV11">
        <v>0.844417919056758</v>
      </c>
      <c r="AW11">
        <v>1</v>
      </c>
      <c r="AX11">
        <v>1</v>
      </c>
      <c r="AY11">
        <v>0.98044620006768901</v>
      </c>
      <c r="AZ11">
        <v>1</v>
      </c>
      <c r="BA11">
        <v>1</v>
      </c>
      <c r="BB11">
        <v>38117138539.300003</v>
      </c>
      <c r="BC11">
        <v>7.1083508179374894E-2</v>
      </c>
      <c r="BD11">
        <v>7378</v>
      </c>
    </row>
    <row r="12" spans="1:56" x14ac:dyDescent="0.25">
      <c r="A12">
        <v>11</v>
      </c>
      <c r="B12">
        <v>8</v>
      </c>
      <c r="C12">
        <v>-50</v>
      </c>
      <c r="D12">
        <v>0.60074783989249803</v>
      </c>
      <c r="E12">
        <v>0.468716914594212</v>
      </c>
      <c r="F12">
        <v>6.31858250034671</v>
      </c>
      <c r="G12">
        <v>5.4773966641023</v>
      </c>
      <c r="H12">
        <v>1.2816858559768201</v>
      </c>
      <c r="I12">
        <v>-0.132030925298286</v>
      </c>
      <c r="J12">
        <v>5.3473384203965101E-2</v>
      </c>
      <c r="K12">
        <v>7.73824890017867E-3</v>
      </c>
      <c r="L12">
        <v>0</v>
      </c>
      <c r="M12">
        <v>0.40750528149006798</v>
      </c>
      <c r="N12">
        <v>0</v>
      </c>
      <c r="O12">
        <v>0</v>
      </c>
      <c r="P12">
        <v>5.2351416487718803</v>
      </c>
      <c r="Q12">
        <v>94.764858351228099</v>
      </c>
      <c r="R12">
        <v>23.890327850692898</v>
      </c>
      <c r="S12">
        <v>57.492126111788799</v>
      </c>
      <c r="T12">
        <v>18.617546037518199</v>
      </c>
      <c r="U12">
        <v>0</v>
      </c>
      <c r="V12">
        <v>76.109672149307102</v>
      </c>
      <c r="W12">
        <v>0.29983643980925401</v>
      </c>
      <c r="X12">
        <v>-60.206785490159803</v>
      </c>
      <c r="Y12">
        <v>85.420864133582995</v>
      </c>
      <c r="Z12">
        <v>99.999520477222802</v>
      </c>
      <c r="AA12">
        <v>41.2984298033154</v>
      </c>
      <c r="AB12">
        <v>281.60244733204098</v>
      </c>
      <c r="AC12">
        <v>279.707230726207</v>
      </c>
      <c r="AD12">
        <v>55.747340564469198</v>
      </c>
      <c r="AE12">
        <v>294.53586605219999</v>
      </c>
      <c r="AF12">
        <v>3.3964305330995201</v>
      </c>
      <c r="AG12">
        <v>772.00433764490401</v>
      </c>
      <c r="AH12">
        <v>2.7406124343381801</v>
      </c>
      <c r="AI12">
        <v>60.109852124168199</v>
      </c>
      <c r="AJ12">
        <v>173.31897898198301</v>
      </c>
      <c r="AK12">
        <v>115.854570266205</v>
      </c>
      <c r="AL12">
        <v>24.406370453006001</v>
      </c>
      <c r="AM12">
        <v>-27.3937385670468</v>
      </c>
      <c r="AN12">
        <v>7.7730448079701402</v>
      </c>
      <c r="AO12">
        <v>0.9</v>
      </c>
      <c r="AP12">
        <v>1</v>
      </c>
      <c r="AQ12">
        <v>1</v>
      </c>
      <c r="AR12">
        <v>1.2453339111730899</v>
      </c>
      <c r="AS12">
        <v>1.2629642693994101</v>
      </c>
      <c r="AT12">
        <v>1.00721242076244</v>
      </c>
      <c r="AU12">
        <v>0.87901383064030303</v>
      </c>
      <c r="AV12">
        <v>0.84580872188313805</v>
      </c>
      <c r="AW12">
        <v>1</v>
      </c>
      <c r="AX12">
        <v>1</v>
      </c>
      <c r="AY12">
        <v>0.99440356724934498</v>
      </c>
      <c r="AZ12">
        <v>1</v>
      </c>
      <c r="BA12">
        <v>1</v>
      </c>
      <c r="BB12">
        <v>158262191319</v>
      </c>
      <c r="BC12">
        <v>7.2893310411657294E-2</v>
      </c>
      <c r="BD12">
        <v>20025</v>
      </c>
    </row>
    <row r="16" spans="1:56" x14ac:dyDescent="0.25">
      <c r="F16">
        <v>1</v>
      </c>
    </row>
    <row r="17" spans="1:11" x14ac:dyDescent="0.25">
      <c r="A17" t="s">
        <v>57</v>
      </c>
      <c r="B17" t="s">
        <v>56</v>
      </c>
      <c r="C17" t="s">
        <v>22</v>
      </c>
      <c r="D17" t="s">
        <v>38</v>
      </c>
      <c r="E17" s="2" t="str">
        <f>D1</f>
        <v>actual.smm</v>
      </c>
      <c r="F17" t="str">
        <f>E1</f>
        <v>model.smm</v>
      </c>
      <c r="G17" t="s">
        <v>6</v>
      </c>
      <c r="I17" t="str">
        <f>E1</f>
        <v>model.smm</v>
      </c>
      <c r="J17" t="s">
        <v>58</v>
      </c>
      <c r="K17" t="s">
        <v>6</v>
      </c>
    </row>
    <row r="18" spans="1:11" x14ac:dyDescent="0.25">
      <c r="A18" s="3">
        <f>BB2/1000000000</f>
        <v>0.2274044697</v>
      </c>
      <c r="B18">
        <f>B2</f>
        <v>1</v>
      </c>
      <c r="C18">
        <f>C2</f>
        <v>-75</v>
      </c>
      <c r="D18" s="2">
        <f>AN2</f>
        <v>0.38668620739959902</v>
      </c>
      <c r="E18" s="2">
        <f t="shared" ref="E18:E28" si="0">D2</f>
        <v>4.8990532227696101E-2</v>
      </c>
      <c r="F18" s="2">
        <f>J2+K2+M2*$F$16</f>
        <v>0.4056208833521025</v>
      </c>
      <c r="G18" s="2">
        <f>E18/F18</f>
        <v>0.12077911724571999</v>
      </c>
      <c r="I18" s="2">
        <f>J2+K2+M2*$J$18</f>
        <v>0.37875322404789835</v>
      </c>
      <c r="J18">
        <v>0.92</v>
      </c>
      <c r="K18" s="2">
        <f>E18/I18</f>
        <v>0.12934683883113454</v>
      </c>
    </row>
    <row r="19" spans="1:11" x14ac:dyDescent="0.25">
      <c r="A19" s="3">
        <f t="shared" ref="A19:A28" si="1">BB3/1000000000</f>
        <v>1.4777682285</v>
      </c>
      <c r="B19">
        <f t="shared" ref="B19:C28" si="2">B3</f>
        <v>1</v>
      </c>
      <c r="C19">
        <f t="shared" si="2"/>
        <v>-50</v>
      </c>
      <c r="D19" s="2">
        <f t="shared" ref="D19:D28" si="3">AN3</f>
        <v>0.53768159911547297</v>
      </c>
      <c r="E19" s="2">
        <f t="shared" si="0"/>
        <v>0.46803302962812998</v>
      </c>
      <c r="F19" s="2">
        <f t="shared" ref="F19:F28" si="4">J3+K3+M3*$F$16</f>
        <v>0.45028264581048943</v>
      </c>
      <c r="G19" s="2">
        <f t="shared" ref="G19:G28" si="5">E19/F19</f>
        <v>1.0394205372620804</v>
      </c>
      <c r="I19" s="2">
        <f t="shared" ref="I19" si="6">J3+K3+M3*$J$18</f>
        <v>0.41980331449436015</v>
      </c>
      <c r="K19" s="2">
        <f>E19/I19</f>
        <v>1.1148864562726499</v>
      </c>
    </row>
    <row r="20" spans="1:11" x14ac:dyDescent="0.25">
      <c r="A20" s="3">
        <f t="shared" si="1"/>
        <v>6.2362280000000006E-4</v>
      </c>
      <c r="B20">
        <f t="shared" si="2"/>
        <v>3</v>
      </c>
      <c r="C20">
        <f t="shared" si="2"/>
        <v>-100</v>
      </c>
      <c r="D20" s="2">
        <f t="shared" si="3"/>
        <v>2.7587448850651399</v>
      </c>
      <c r="E20" s="2">
        <f t="shared" si="0"/>
        <v>0</v>
      </c>
      <c r="F20" s="2">
        <f t="shared" si="4"/>
        <v>0.39056014273892797</v>
      </c>
      <c r="G20" s="2"/>
      <c r="I20" s="2"/>
      <c r="K20" s="2"/>
    </row>
    <row r="21" spans="1:11" x14ac:dyDescent="0.25">
      <c r="A21" s="3">
        <f t="shared" si="1"/>
        <v>4.3113215743</v>
      </c>
      <c r="B21">
        <f t="shared" si="2"/>
        <v>3</v>
      </c>
      <c r="C21">
        <f t="shared" si="2"/>
        <v>-75</v>
      </c>
      <c r="D21" s="2">
        <f t="shared" si="3"/>
        <v>2.3006944321093799</v>
      </c>
      <c r="E21" s="2">
        <f t="shared" si="0"/>
        <v>0.43717831929991302</v>
      </c>
      <c r="F21" s="2">
        <f t="shared" si="4"/>
        <v>0.43716212019536899</v>
      </c>
      <c r="G21" s="2">
        <f t="shared" si="5"/>
        <v>1.000037055142236</v>
      </c>
      <c r="I21" s="2">
        <f>J5+K5+M5*$J$21</f>
        <v>0.47452899247557251</v>
      </c>
      <c r="J21">
        <v>1.1000000000000001</v>
      </c>
      <c r="K21" s="2">
        <f>E21/I21</f>
        <v>0.92128895437809899</v>
      </c>
    </row>
    <row r="22" spans="1:11" x14ac:dyDescent="0.25">
      <c r="A22" s="3">
        <f t="shared" si="1"/>
        <v>17.062381350500001</v>
      </c>
      <c r="B22">
        <f t="shared" si="2"/>
        <v>3</v>
      </c>
      <c r="C22">
        <f t="shared" si="2"/>
        <v>-50</v>
      </c>
      <c r="D22" s="2">
        <f t="shared" si="3"/>
        <v>2.3462023485598098</v>
      </c>
      <c r="E22" s="2">
        <f t="shared" si="0"/>
        <v>0.52447039142763596</v>
      </c>
      <c r="F22" s="2">
        <f t="shared" si="4"/>
        <v>0.47447685721638011</v>
      </c>
      <c r="G22" s="2">
        <f t="shared" si="5"/>
        <v>1.1053655904411306</v>
      </c>
      <c r="I22" s="2">
        <f t="shared" ref="I22" si="7">J6+K6+M6*$J$21</f>
        <v>0.51571679753220601</v>
      </c>
      <c r="K22" s="2">
        <f>E22/I22</f>
        <v>1.0169736451038969</v>
      </c>
    </row>
    <row r="23" spans="1:11" x14ac:dyDescent="0.25">
      <c r="A23" s="3">
        <f t="shared" si="1"/>
        <v>3.2844249999999998E-4</v>
      </c>
      <c r="B23">
        <f t="shared" si="2"/>
        <v>4</v>
      </c>
      <c r="C23">
        <f t="shared" si="2"/>
        <v>-100</v>
      </c>
      <c r="D23" s="2">
        <f t="shared" si="3"/>
        <v>3.4767999999999999</v>
      </c>
      <c r="E23" s="2">
        <f t="shared" si="0"/>
        <v>0</v>
      </c>
      <c r="F23" s="2">
        <f t="shared" si="4"/>
        <v>0.38129401606134833</v>
      </c>
      <c r="G23" s="2"/>
      <c r="I23" s="2"/>
      <c r="K23" s="2"/>
    </row>
    <row r="24" spans="1:11" x14ac:dyDescent="0.25">
      <c r="A24" s="3">
        <f t="shared" si="1"/>
        <v>9.7999018982999999</v>
      </c>
      <c r="B24">
        <f t="shared" si="2"/>
        <v>4</v>
      </c>
      <c r="C24">
        <f t="shared" si="2"/>
        <v>-75</v>
      </c>
      <c r="D24" s="2">
        <f t="shared" si="3"/>
        <v>3.50376618273462</v>
      </c>
      <c r="E24" s="2">
        <f t="shared" si="0"/>
        <v>0.51915625202905202</v>
      </c>
      <c r="F24" s="2">
        <f t="shared" si="4"/>
        <v>0.43584067542767202</v>
      </c>
      <c r="G24" s="2">
        <f t="shared" si="5"/>
        <v>1.1911606265744379</v>
      </c>
      <c r="I24" s="2">
        <f>J8+K8+M8*$J$24</f>
        <v>0.52912267228597254</v>
      </c>
      <c r="J24">
        <v>1.25</v>
      </c>
      <c r="K24" s="2">
        <f>E24/I24</f>
        <v>0.98116425400207763</v>
      </c>
    </row>
    <row r="25" spans="1:11" x14ac:dyDescent="0.25">
      <c r="A25" s="3">
        <f t="shared" si="1"/>
        <v>35.770547088800001</v>
      </c>
      <c r="B25">
        <f t="shared" si="2"/>
        <v>4</v>
      </c>
      <c r="C25">
        <f t="shared" si="2"/>
        <v>-50</v>
      </c>
      <c r="D25" s="2">
        <f t="shared" si="3"/>
        <v>3.4810256599712899</v>
      </c>
      <c r="E25" s="2">
        <f t="shared" si="0"/>
        <v>0.576498631906051</v>
      </c>
      <c r="F25" s="2">
        <f t="shared" si="4"/>
        <v>0.4728080849089083</v>
      </c>
      <c r="G25" s="2">
        <f t="shared" si="5"/>
        <v>1.2193078974466349</v>
      </c>
      <c r="I25" s="2">
        <f>J9+K9+M9*$J$24</f>
        <v>0.5756392155756318</v>
      </c>
      <c r="K25" s="2">
        <f>E25/I25</f>
        <v>1.0014929773843844</v>
      </c>
    </row>
    <row r="26" spans="1:11" x14ac:dyDescent="0.25">
      <c r="A26" s="3">
        <f t="shared" si="1"/>
        <v>1.96202E-4</v>
      </c>
      <c r="B26">
        <f t="shared" si="2"/>
        <v>8</v>
      </c>
      <c r="C26">
        <f t="shared" si="2"/>
        <v>-100</v>
      </c>
      <c r="D26" s="2">
        <f t="shared" si="3"/>
        <v>4.1318000000000001</v>
      </c>
      <c r="E26" s="2">
        <f t="shared" si="0"/>
        <v>0</v>
      </c>
      <c r="F26" s="2">
        <f t="shared" si="4"/>
        <v>0.34218101065885659</v>
      </c>
      <c r="G26" s="2"/>
      <c r="I26" s="2"/>
      <c r="K26" s="2"/>
    </row>
    <row r="27" spans="1:11" x14ac:dyDescent="0.25">
      <c r="A27" s="3">
        <f t="shared" si="1"/>
        <v>38.117138539300001</v>
      </c>
      <c r="B27">
        <f t="shared" si="2"/>
        <v>8</v>
      </c>
      <c r="C27">
        <f t="shared" si="2"/>
        <v>-75</v>
      </c>
      <c r="D27" s="2">
        <f t="shared" si="3"/>
        <v>7.5488001284201696</v>
      </c>
      <c r="E27" s="2">
        <f t="shared" si="0"/>
        <v>0.58166595566928903</v>
      </c>
      <c r="F27" s="2">
        <f t="shared" si="4"/>
        <v>0.43712298777504266</v>
      </c>
      <c r="G27" s="2">
        <f t="shared" si="5"/>
        <v>1.3306688779511928</v>
      </c>
      <c r="I27" s="2">
        <f>J11+K11+M11*$J$27</f>
        <v>0.56057224795675398</v>
      </c>
      <c r="J27">
        <v>1.33</v>
      </c>
      <c r="K27" s="2">
        <f>E27/I27</f>
        <v>1.0376288833231044</v>
      </c>
    </row>
    <row r="28" spans="1:11" x14ac:dyDescent="0.25">
      <c r="A28" s="3">
        <f t="shared" si="1"/>
        <v>158.26219131900001</v>
      </c>
      <c r="B28">
        <f t="shared" si="2"/>
        <v>8</v>
      </c>
      <c r="C28">
        <f t="shared" si="2"/>
        <v>-50</v>
      </c>
      <c r="D28" s="2">
        <f t="shared" si="3"/>
        <v>7.7730448079701402</v>
      </c>
      <c r="E28" s="2">
        <f t="shared" si="0"/>
        <v>0.60074783989249803</v>
      </c>
      <c r="F28" s="2">
        <f t="shared" si="4"/>
        <v>0.46871691459421178</v>
      </c>
      <c r="G28" s="2">
        <f t="shared" si="5"/>
        <v>1.2816858559768236</v>
      </c>
      <c r="I28" s="2">
        <f>J12+K12+M12*$J$27</f>
        <v>0.60319365748593423</v>
      </c>
      <c r="K28" s="2">
        <f>E28/I28</f>
        <v>0.99594521997523944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hpa curve fit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2018-05-29T14:41:21Z</dcterms:created>
  <dcterms:modified xsi:type="dcterms:W3CDTF">2018-05-29T15:00:39Z</dcterms:modified>
</cp:coreProperties>
</file>