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455" yWindow="1065" windowWidth="41430" windowHeight="15255" activeTab="1"/>
  </bookViews>
  <sheets>
    <sheet name="2m bucket" sheetId="4" r:id="rId1"/>
    <sheet name="1m bucket" sheetId="3" r:id="rId2"/>
  </sheets>
  <calcPr calcId="145621"/>
  <pivotCaches>
    <pivotCache cacheId="24" r:id="rId3"/>
    <pivotCache cacheId="25" r:id="rId4"/>
  </pivotCaches>
</workbook>
</file>

<file path=xl/calcChain.xml><?xml version="1.0" encoding="utf-8"?>
<calcChain xmlns="http://schemas.openxmlformats.org/spreadsheetml/2006/main">
  <c r="K17" i="4" l="1"/>
  <c r="J17" i="4"/>
  <c r="N17" i="4"/>
  <c r="M17" i="4"/>
  <c r="L17" i="4"/>
  <c r="N9" i="4"/>
  <c r="M9" i="4"/>
  <c r="L9" i="4"/>
  <c r="N10" i="4"/>
  <c r="M10" i="4"/>
  <c r="L10" i="4"/>
  <c r="N2" i="4"/>
  <c r="M2" i="4"/>
  <c r="K2" i="4"/>
  <c r="L2" i="4"/>
  <c r="J2" i="4"/>
  <c r="N4" i="4"/>
  <c r="N5" i="4"/>
  <c r="N6" i="4"/>
  <c r="N7" i="4"/>
  <c r="N8" i="4"/>
  <c r="N12" i="4"/>
  <c r="N13" i="4"/>
  <c r="N14" i="4"/>
  <c r="N15" i="4"/>
  <c r="N16" i="4"/>
  <c r="L7" i="4"/>
  <c r="M7" i="4" s="1"/>
  <c r="K4" i="4"/>
  <c r="L4" i="4" s="1"/>
  <c r="M4" i="4" s="1"/>
  <c r="K5" i="4"/>
  <c r="L5" i="4" s="1"/>
  <c r="M5" i="4" s="1"/>
  <c r="K6" i="4"/>
  <c r="K7" i="4"/>
  <c r="K8" i="4"/>
  <c r="K9" i="4"/>
  <c r="K10" i="4"/>
  <c r="K11" i="4"/>
  <c r="K12" i="4"/>
  <c r="K13" i="4"/>
  <c r="K14" i="4"/>
  <c r="K15" i="4"/>
  <c r="K16" i="4"/>
  <c r="J4" i="4"/>
  <c r="J5" i="4"/>
  <c r="J6" i="4"/>
  <c r="L6" i="4" s="1"/>
  <c r="M6" i="4" s="1"/>
  <c r="J7" i="4"/>
  <c r="J8" i="4"/>
  <c r="L8" i="4" s="1"/>
  <c r="M8" i="4" s="1"/>
  <c r="J9" i="4"/>
  <c r="J10" i="4"/>
  <c r="J11" i="4"/>
  <c r="J12" i="4"/>
  <c r="L12" i="4" s="1"/>
  <c r="M12" i="4" s="1"/>
  <c r="J13" i="4"/>
  <c r="L13" i="4" s="1"/>
  <c r="M13" i="4" s="1"/>
  <c r="J14" i="4"/>
  <c r="L14" i="4" s="1"/>
  <c r="M14" i="4" s="1"/>
  <c r="J15" i="4"/>
  <c r="L15" i="4" s="1"/>
  <c r="M15" i="4" s="1"/>
  <c r="J16" i="4"/>
  <c r="L16" i="4" s="1"/>
  <c r="M16" i="4" s="1"/>
</calcChain>
</file>

<file path=xl/sharedStrings.xml><?xml version="1.0" encoding="utf-8"?>
<sst xmlns="http://schemas.openxmlformats.org/spreadsheetml/2006/main" count="75" uniqueCount="29">
  <si>
    <t>incentiveBucket</t>
  </si>
  <si>
    <t>hpaBucket</t>
  </si>
  <si>
    <t>smm</t>
  </si>
  <si>
    <t>cpr</t>
  </si>
  <si>
    <t>hpa_annual_</t>
  </si>
  <si>
    <t>hpa_2yr_</t>
  </si>
  <si>
    <t>bal</t>
  </si>
  <si>
    <t>Row Labels</t>
  </si>
  <si>
    <t>Column Labels</t>
  </si>
  <si>
    <t>Sum of cpr</t>
  </si>
  <si>
    <t>Sum of bal</t>
  </si>
  <si>
    <t>Sum of hpa_annual_</t>
  </si>
  <si>
    <t>prepayAmount_</t>
  </si>
  <si>
    <t>calcScham_</t>
  </si>
  <si>
    <t>prepayAmount_rec</t>
  </si>
  <si>
    <t>calcScham__rec</t>
  </si>
  <si>
    <t>smm_rec</t>
  </si>
  <si>
    <t>cpr_rec</t>
  </si>
  <si>
    <t>tag</t>
  </si>
  <si>
    <t>&lt;= 1</t>
  </si>
  <si>
    <t>1-3</t>
  </si>
  <si>
    <t>2-4</t>
  </si>
  <si>
    <t>3-5</t>
  </si>
  <si>
    <t>4-6</t>
  </si>
  <si>
    <t>5-7</t>
  </si>
  <si>
    <t>Average of cpr_rec</t>
  </si>
  <si>
    <t>&gt;7</t>
  </si>
  <si>
    <t>Average of calcScham__rec</t>
  </si>
  <si>
    <t>Average of hpa_annual_2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</si>
</sst>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  <xf numFmtId="164" fontId="0" fillId="0" borderId="0" xfId="0" applyNumberFormat="1"/>
    <xf numFmtId="0" fontId="0" fillId="0" borderId="0" xfId="0" quotePrefix="1"/>
    <xf numFmtId="16" fontId="0" fillId="0" borderId="0" xfId="0" quotePrefix="1" applyNumberFormat="1"/>
    <xf numFmtId="2" fontId="0" fillId="0" borderId="0" xfId="0" pivotButton="1" applyNumberFormat="1"/>
    <xf numFmtId="2" fontId="0" fillId="0" borderId="0" xfId="0" applyNumberFormat="1"/>
    <xf numFmtId="1" fontId="0" fillId="0" borderId="0" xfId="0" applyNumberFormat="1" applyAlignment="1">
      <alignment horizontal="left"/>
    </xf>
    <xf numFmtId="43" fontId="0" fillId="2" borderId="0" xfId="0" applyNumberFormat="1" applyFill="1"/>
    <xf numFmtId="43" fontId="0" fillId="3" borderId="0" xfId="0" applyNumberFormat="1" applyFill="1"/>
    <xf numFmtId="43" fontId="0" fillId="4" borderId="0" xfId="0" applyNumberFormat="1" applyFill="1"/>
  </cellXfs>
  <cellStyles count="1">
    <cellStyle name="Normal" xfId="0" builtinId="0"/>
  </cellStyles>
  <dxfs count="13">
    <dxf>
      <fill>
        <patternFill patternType="solid">
          <bgColor theme="6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rgb="FFFFFF00"/>
        </patternFill>
      </fill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" formatCode="0"/>
    </dxf>
    <dxf>
      <numFmt numFmtId="2" formatCode="0.00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[HPA analysis_OTM_annualizedHPA_v5_Onwer.xlsx]2m bucket!PivotTable37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'2m bucket'!$S$1:$S$2</c:f>
              <c:strCache>
                <c:ptCount val="1"/>
                <c:pt idx="0">
                  <c:v>&lt;= 1</c:v>
                </c:pt>
              </c:strCache>
            </c:strRef>
          </c:tx>
          <c:marker>
            <c:symbol val="none"/>
          </c:marker>
          <c:cat>
            <c:strRef>
              <c:f>'2m bucket'!$R$3:$R$4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'2m bucket'!$S$3:$S$4</c:f>
              <c:numCache>
                <c:formatCode>General</c:formatCode>
                <c:ptCount val="2"/>
                <c:pt idx="0">
                  <c:v>0.49774205001432698</c:v>
                </c:pt>
                <c:pt idx="1">
                  <c:v>5.2999719170597697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'2m bucket'!$T$1:$T$2</c:f>
              <c:strCache>
                <c:ptCount val="1"/>
                <c:pt idx="0">
                  <c:v>1-3</c:v>
                </c:pt>
              </c:strCache>
            </c:strRef>
          </c:tx>
          <c:marker>
            <c:symbol val="none"/>
          </c:marker>
          <c:cat>
            <c:strRef>
              <c:f>'2m bucket'!$R$3:$R$4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'2m bucket'!$T$3:$T$4</c:f>
              <c:numCache>
                <c:formatCode>General</c:formatCode>
                <c:ptCount val="2"/>
                <c:pt idx="0">
                  <c:v>5.0018431665205032</c:v>
                </c:pt>
                <c:pt idx="1">
                  <c:v>5.9592372766095636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'2m bucket'!$U$1:$U$2</c:f>
              <c:strCache>
                <c:ptCount val="1"/>
                <c:pt idx="0">
                  <c:v>2-4</c:v>
                </c:pt>
              </c:strCache>
            </c:strRef>
          </c:tx>
          <c:marker>
            <c:symbol val="none"/>
          </c:marker>
          <c:cat>
            <c:strRef>
              <c:f>'2m bucket'!$R$3:$R$4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'2m bucket'!$U$3:$U$4</c:f>
              <c:numCache>
                <c:formatCode>General</c:formatCode>
                <c:ptCount val="2"/>
                <c:pt idx="0">
                  <c:v>5.8493186465189524</c:v>
                </c:pt>
                <c:pt idx="1">
                  <c:v>6.4367899624321652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'2m bucket'!$V$1:$V$2</c:f>
              <c:strCache>
                <c:ptCount val="1"/>
                <c:pt idx="0">
                  <c:v>3-5</c:v>
                </c:pt>
              </c:strCache>
            </c:strRef>
          </c:tx>
          <c:marker>
            <c:symbol val="none"/>
          </c:marker>
          <c:cat>
            <c:strRef>
              <c:f>'2m bucket'!$R$3:$R$4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'2m bucket'!$V$3:$V$4</c:f>
              <c:numCache>
                <c:formatCode>General</c:formatCode>
                <c:ptCount val="2"/>
                <c:pt idx="0">
                  <c:v>6.4086331197304229</c:v>
                </c:pt>
                <c:pt idx="1">
                  <c:v>6.8278919932621251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'2m bucket'!$W$1:$W$2</c:f>
              <c:strCache>
                <c:ptCount val="1"/>
                <c:pt idx="0">
                  <c:v>4-6</c:v>
                </c:pt>
              </c:strCache>
            </c:strRef>
          </c:tx>
          <c:marker>
            <c:symbol val="none"/>
          </c:marker>
          <c:cat>
            <c:strRef>
              <c:f>'2m bucket'!$R$3:$R$4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'2m bucket'!$W$3:$W$4</c:f>
              <c:numCache>
                <c:formatCode>General</c:formatCode>
                <c:ptCount val="2"/>
                <c:pt idx="0">
                  <c:v>6.5126814084245366</c:v>
                </c:pt>
                <c:pt idx="1">
                  <c:v>6.7526741550242413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'2m bucket'!$X$1:$X$2</c:f>
              <c:strCache>
                <c:ptCount val="1"/>
                <c:pt idx="0">
                  <c:v>5-7</c:v>
                </c:pt>
              </c:strCache>
            </c:strRef>
          </c:tx>
          <c:marker>
            <c:symbol val="none"/>
          </c:marker>
          <c:cat>
            <c:strRef>
              <c:f>'2m bucket'!$R$3:$R$4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'2m bucket'!$X$3:$X$4</c:f>
              <c:numCache>
                <c:formatCode>General</c:formatCode>
                <c:ptCount val="2"/>
                <c:pt idx="0">
                  <c:v>6.688263328909871</c:v>
                </c:pt>
                <c:pt idx="1">
                  <c:v>6.8836786790103961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'2m bucket'!$Y$1:$Y$2</c:f>
              <c:strCache>
                <c:ptCount val="1"/>
                <c:pt idx="0">
                  <c:v>&gt;7</c:v>
                </c:pt>
              </c:strCache>
            </c:strRef>
          </c:tx>
          <c:marker>
            <c:symbol val="none"/>
          </c:marker>
          <c:cat>
            <c:strRef>
              <c:f>'2m bucket'!$R$3:$R$4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'2m bucket'!$Y$3:$Y$4</c:f>
              <c:numCache>
                <c:formatCode>General</c:formatCode>
                <c:ptCount val="2"/>
                <c:pt idx="0">
                  <c:v>6.7233817093098898</c:v>
                </c:pt>
                <c:pt idx="1">
                  <c:v>7.0124310557990004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439808"/>
        <c:axId val="532441344"/>
      </c:lineChart>
      <c:catAx>
        <c:axId val="532439808"/>
        <c:scaling>
          <c:orientation val="minMax"/>
        </c:scaling>
        <c:delete val="0"/>
        <c:axPos val="b"/>
        <c:majorTickMark val="out"/>
        <c:minorTickMark val="none"/>
        <c:tickLblPos val="nextTo"/>
        <c:crossAx val="532441344"/>
        <c:crosses val="autoZero"/>
        <c:auto val="1"/>
        <c:lblAlgn val="ctr"/>
        <c:lblOffset val="100"/>
        <c:noMultiLvlLbl val="0"/>
      </c:catAx>
      <c:valAx>
        <c:axId val="532441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2439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[HPA analysis_OTM_annualizedHPA_v5_Onwer.xlsx]1m bucket!PivotTable33</c:name>
    <c:fmtId val="1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'1m bucket'!$L$1:$L$2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strRef>
              <c:f>'1m bucket'!$K$3:$K$4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'1m bucket'!$L$3:$L$4</c:f>
              <c:numCache>
                <c:formatCode>_(* #,##0.00_);_(* \(#,##0.00\);_(* "-"??_);_(@_)</c:formatCode>
                <c:ptCount val="2"/>
                <c:pt idx="0">
                  <c:v>0.49774205001432698</c:v>
                </c:pt>
                <c:pt idx="1">
                  <c:v>5.2999719170597697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'1m bucket'!$M$1:$M$2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strRef>
              <c:f>'1m bucket'!$K$3:$K$4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'1m bucket'!$M$3:$M$4</c:f>
              <c:numCache>
                <c:formatCode>_(* #,##0.00_);_(* \(#,##0.00\);_(* "-"??_);_(@_)</c:formatCode>
                <c:ptCount val="2"/>
                <c:pt idx="0">
                  <c:v>4.4614594230915703</c:v>
                </c:pt>
                <c:pt idx="1">
                  <c:v>6.4372593015208199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'1m bucket'!$N$1:$N$2</c:f>
              <c:strCache>
                <c:ptCount val="1"/>
                <c:pt idx="0">
                  <c:v>3</c:v>
                </c:pt>
              </c:strCache>
            </c:strRef>
          </c:tx>
          <c:marker>
            <c:symbol val="none"/>
          </c:marker>
          <c:cat>
            <c:strRef>
              <c:f>'1m bucket'!$K$3:$K$4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'1m bucket'!$N$3:$N$4</c:f>
              <c:numCache>
                <c:formatCode>_(* #,##0.00_);_(* \(#,##0.00\);_(* "-"??_);_(@_)</c:formatCode>
                <c:ptCount val="2"/>
                <c:pt idx="0">
                  <c:v>5.2616954107945499</c:v>
                </c:pt>
                <c:pt idx="1">
                  <c:v>5.7667195665997397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'1m bucket'!$O$1:$O$2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strRef>
              <c:f>'1m bucket'!$K$3:$K$4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'1m bucket'!$O$3:$O$4</c:f>
              <c:numCache>
                <c:formatCode>_(* #,##0.00_);_(* \(#,##0.00\);_(* "-"??_);_(@_)</c:formatCode>
                <c:ptCount val="2"/>
                <c:pt idx="0">
                  <c:v>6.0056333511668001</c:v>
                </c:pt>
                <c:pt idx="1">
                  <c:v>6.6521867317478103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'1m bucket'!$P$1:$P$2</c:f>
              <c:strCache>
                <c:ptCount val="1"/>
                <c:pt idx="0">
                  <c:v>5</c:v>
                </c:pt>
              </c:strCache>
            </c:strRef>
          </c:tx>
          <c:marker>
            <c:symbol val="none"/>
          </c:marker>
          <c:cat>
            <c:strRef>
              <c:f>'1m bucket'!$K$3:$K$4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'1m bucket'!$P$3:$P$4</c:f>
              <c:numCache>
                <c:formatCode>_(* #,##0.00_);_(* \(#,##0.00\);_(* "-"??_);_(@_)</c:formatCode>
                <c:ptCount val="2"/>
                <c:pt idx="0">
                  <c:v>6.9987981260553997</c:v>
                </c:pt>
                <c:pt idx="1">
                  <c:v>7.0996779725308103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'1m bucket'!$Q$1:$Q$2</c:f>
              <c:strCache>
                <c:ptCount val="1"/>
                <c:pt idx="0">
                  <c:v>6</c:v>
                </c:pt>
              </c:strCache>
            </c:strRef>
          </c:tx>
          <c:marker>
            <c:symbol val="none"/>
          </c:marker>
          <c:cat>
            <c:strRef>
              <c:f>'1m bucket'!$K$3:$K$4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'1m bucket'!$Q$3:$Q$4</c:f>
              <c:numCache>
                <c:formatCode>_(* #,##0.00_);_(* \(#,##0.00\);_(* "-"??_);_(@_)</c:formatCode>
                <c:ptCount val="2"/>
                <c:pt idx="0">
                  <c:v>6.0833372642271</c:v>
                </c:pt>
                <c:pt idx="1">
                  <c:v>6.4725417551864703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'1m bucket'!$R$1:$R$2</c:f>
              <c:strCache>
                <c:ptCount val="1"/>
                <c:pt idx="0">
                  <c:v>7</c:v>
                </c:pt>
              </c:strCache>
            </c:strRef>
          </c:tx>
          <c:marker>
            <c:symbol val="none"/>
          </c:marker>
          <c:cat>
            <c:strRef>
              <c:f>'1m bucket'!$K$3:$K$4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'1m bucket'!$R$3:$R$4</c:f>
              <c:numCache>
                <c:formatCode>_(* #,##0.00_);_(* \(#,##0.00\);_(* "-"??_);_(@_)</c:formatCode>
                <c:ptCount val="2"/>
                <c:pt idx="0">
                  <c:v>8.63355469764692</c:v>
                </c:pt>
                <c:pt idx="1">
                  <c:v>8.1617852354488392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'1m bucket'!$S$1:$S$2</c:f>
              <c:strCache>
                <c:ptCount val="1"/>
                <c:pt idx="0">
                  <c:v>8</c:v>
                </c:pt>
              </c:strCache>
            </c:strRef>
          </c:tx>
          <c:marker>
            <c:symbol val="none"/>
          </c:marker>
          <c:cat>
            <c:strRef>
              <c:f>'1m bucket'!$K$3:$K$4</c:f>
              <c:strCache>
                <c:ptCount val="2"/>
                <c:pt idx="0">
                  <c:v>-75</c:v>
                </c:pt>
                <c:pt idx="1">
                  <c:v>-50</c:v>
                </c:pt>
              </c:strCache>
            </c:strRef>
          </c:cat>
          <c:val>
            <c:numRef>
              <c:f>'1m bucket'!$S$3:$S$4</c:f>
              <c:numCache>
                <c:formatCode>_(* #,##0.00_);_(* \(#,##0.00\);_(* "-"??_);_(@_)</c:formatCode>
                <c:ptCount val="2"/>
                <c:pt idx="0">
                  <c:v>6.7233817093098898</c:v>
                </c:pt>
                <c:pt idx="1">
                  <c:v>7.0124310557990004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843776"/>
        <c:axId val="598845312"/>
      </c:lineChart>
      <c:catAx>
        <c:axId val="598843776"/>
        <c:scaling>
          <c:orientation val="minMax"/>
        </c:scaling>
        <c:delete val="0"/>
        <c:axPos val="b"/>
        <c:majorTickMark val="out"/>
        <c:minorTickMark val="none"/>
        <c:tickLblPos val="nextTo"/>
        <c:crossAx val="598845312"/>
        <c:crosses val="autoZero"/>
        <c:auto val="1"/>
        <c:lblAlgn val="ctr"/>
        <c:lblOffset val="100"/>
        <c:noMultiLvlLbl val="0"/>
      </c:catAx>
      <c:valAx>
        <c:axId val="59884531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598843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20</xdr:row>
      <xdr:rowOff>161925</xdr:rowOff>
    </xdr:from>
    <xdr:to>
      <xdr:col>21</xdr:col>
      <xdr:colOff>571501</xdr:colOff>
      <xdr:row>53</xdr:row>
      <xdr:rowOff>28574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857250</xdr:colOff>
      <xdr:row>22</xdr:row>
      <xdr:rowOff>142875</xdr:rowOff>
    </xdr:from>
    <xdr:to>
      <xdr:col>22</xdr:col>
      <xdr:colOff>295275</xdr:colOff>
      <xdr:row>41</xdr:row>
      <xdr:rowOff>95249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45.551258101848" createdVersion="4" refreshedVersion="4" minRefreshableVersion="3" recordCount="45">
  <cacheSource type="worksheet">
    <worksheetSource ref="A1:G46" sheet="1m bucket"/>
  </cacheSource>
  <cacheFields count="7">
    <cacheField name="incentiveBucket" numFmtId="0">
      <sharedItems containsSemiMixedTypes="0" containsString="0" containsNumber="1" containsInteger="1" minValue="-175" maxValue="-50" count="6">
        <n v="-100"/>
        <n v="-125"/>
        <n v="-150"/>
        <n v="-175"/>
        <n v="-50"/>
        <n v="-75"/>
      </sharedItems>
    </cacheField>
    <cacheField name="hpaBucket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smm" numFmtId="0">
      <sharedItems containsSemiMixedTypes="0" containsString="0" containsNumber="1" minValue="0" maxValue="4.0373850016871403E-2"/>
    </cacheField>
    <cacheField name="cpr" numFmtId="0">
      <sharedItems containsSemiMixedTypes="0" containsString="0" containsNumber="1" minValue="0" maxValue="39.014738734709702"/>
    </cacheField>
    <cacheField name="hpa_annual_" numFmtId="0">
      <sharedItems containsSemiMixedTypes="0" containsString="0" containsNumber="1" minValue="-1.9885856484247001E-2" maxValue="9.1772958792341406"/>
    </cacheField>
    <cacheField name="hpa_2yr_" numFmtId="0">
      <sharedItems containsSemiMixedTypes="0" containsString="0" containsNumber="1" minValue="101.47821703135099" maxValue="116.891623476699"/>
    </cacheField>
    <cacheField name="bal" numFmtId="0">
      <sharedItems containsSemiMixedTypes="0" containsString="0" containsNumber="1" minValue="142457.1" maxValue="97453876324.69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3245.562855555552" createdVersion="4" refreshedVersion="4" minRefreshableVersion="3" recordCount="46">
  <cacheSource type="worksheet">
    <worksheetSource ref="A1:O1048576" sheet="2m bucket"/>
  </cacheSource>
  <cacheFields count="15">
    <cacheField name="incentiveBucket" numFmtId="0">
      <sharedItems containsString="0" containsBlank="1" containsNumber="1" containsInteger="1" minValue="-75" maxValue="-50" count="3">
        <n v="-75"/>
        <n v="-50"/>
        <m/>
      </sharedItems>
    </cacheField>
    <cacheField name="hpaBucket" numFmtId="0">
      <sharedItems containsString="0" containsBlank="1" containsNumber="1" containsInteger="1" minValue="1" maxValue="8"/>
    </cacheField>
    <cacheField name="prepayAmount_" numFmtId="0">
      <sharedItems containsString="0" containsBlank="1" containsNumber="1" minValue="82264.7" maxValue="588658496.47000003"/>
    </cacheField>
    <cacheField name="calcScham_" numFmtId="0">
      <sharedItems containsString="0" containsBlank="1" containsNumber="1" minValue="197878059.12" maxValue="97453876324.690002"/>
    </cacheField>
    <cacheField name="smm" numFmtId="0">
      <sharedItems containsString="0" containsBlank="1" containsNumber="1" minValue="4.1573431822530598E-4" maxValue="7.4960876493866298E-3"/>
    </cacheField>
    <cacheField name="cpr" numFmtId="0">
      <sharedItems containsString="0" containsBlank="1" containsNumber="1" minValue="0.49774205001432698" maxValue="8.63355469764692"/>
    </cacheField>
    <cacheField name="hpa_annual_" numFmtId="0">
      <sharedItems containsString="0" containsBlank="1" containsNumber="1" minValue="-1.1463553367876999E-2" maxValue="9.1772958792342099"/>
    </cacheField>
    <cacheField name="hpa_2yr_" numFmtId="0">
      <sharedItems containsString="0" containsBlank="1" containsNumber="1" minValue="101.47821703135099" maxValue="116.891623476699"/>
    </cacheField>
    <cacheField name="bal" numFmtId="0">
      <sharedItems containsString="0" containsBlank="1" containsNumber="1" minValue="197878059.12" maxValue="97453876324.690002"/>
    </cacheField>
    <cacheField name="prepayAmount_rec" numFmtId="0">
      <sharedItems containsString="0" containsBlank="1" containsNumber="1" minValue="82264.7" maxValue="588658496.47000003"/>
    </cacheField>
    <cacheField name="calcScham__rec" numFmtId="0">
      <sharedItems containsString="0" containsBlank="1" containsNumber="1" minValue="197878059.12" maxValue="97453876324.690002"/>
    </cacheField>
    <cacheField name="smm_rec" numFmtId="0">
      <sharedItems containsString="0" containsBlank="1" containsNumber="1" minValue="4.1573431822530598E-4" maxValue="6.0403805232820901E-3"/>
    </cacheField>
    <cacheField name="cpr_rec" numFmtId="0">
      <sharedItems containsString="0" containsBlank="1" containsNumber="1" minValue="0.49774205001432698" maxValue="7.0124310557990004"/>
    </cacheField>
    <cacheField name="hpa_annual_2" numFmtId="0">
      <sharedItems containsString="0" containsBlank="1" containsNumber="1" minValue="-1.1463553367876999E-2" maxValue="9.1772958792342099"/>
    </cacheField>
    <cacheField name="tag" numFmtId="0">
      <sharedItems containsBlank="1" count="8">
        <s v="&lt;= 1"/>
        <m/>
        <s v="1-3"/>
        <s v="2-4"/>
        <s v="3-5"/>
        <s v="4-6"/>
        <s v="5-7"/>
        <s v="&gt;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x v="0"/>
    <x v="0"/>
    <n v="1.39552824003616E-4"/>
    <n v="0.16733491363849501"/>
    <n v="-1.9885856484247001E-2"/>
    <n v="102.52710513103"/>
    <n v="41439003.770000003"/>
  </r>
  <r>
    <x v="0"/>
    <x v="1"/>
    <n v="3.0891219258130302E-3"/>
    <n v="3.6446087020307698"/>
    <n v="1.5654965173520801"/>
    <n v="105.314858357397"/>
    <n v="174896032.91"/>
  </r>
  <r>
    <x v="0"/>
    <x v="2"/>
    <n v="3.40582580272692E-3"/>
    <n v="4.0112957935499596"/>
    <n v="2.53049487309932"/>
    <n v="107.22021684538601"/>
    <n v="176720280.15000001"/>
  </r>
  <r>
    <x v="0"/>
    <x v="3"/>
    <n v="2.5814743777395899E-3"/>
    <n v="3.05416306369905"/>
    <n v="3.5848455264312502"/>
    <n v="108.967153857588"/>
    <n v="1223380629.78"/>
  </r>
  <r>
    <x v="0"/>
    <x v="4"/>
    <n v="6.9168790908144201E-3"/>
    <n v="7.9916579870623297"/>
    <n v="4.5939544792330098"/>
    <n v="111.424751163832"/>
    <n v="800728990.24000001"/>
  </r>
  <r>
    <x v="0"/>
    <x v="5"/>
    <n v="4.8981477053407201E-3"/>
    <n v="5.7219881034210403"/>
    <n v="5.42058432875886"/>
    <n v="112.518424141582"/>
    <n v="953915014.63"/>
  </r>
  <r>
    <x v="0"/>
    <x v="6"/>
    <n v="8.0137766470891394E-3"/>
    <n v="9.2037966438568706"/>
    <n v="6.5211849391971599"/>
    <n v="114.456324450849"/>
    <n v="237715547.09999999"/>
  </r>
  <r>
    <x v="0"/>
    <x v="7"/>
    <n v="3.4744980769622902E-3"/>
    <n v="4.0906371964479398"/>
    <n v="8.7920425892850194"/>
    <n v="116.04439798187499"/>
    <n v="2137392381.72"/>
  </r>
  <r>
    <x v="1"/>
    <x v="0"/>
    <n v="2.8491723486371901E-2"/>
    <n v="29.3099876177262"/>
    <n v="0.37488572993610098"/>
    <n v="102.815096636495"/>
    <n v="8843626.4700000007"/>
  </r>
  <r>
    <x v="1"/>
    <x v="1"/>
    <n v="5.1878643247696603E-3"/>
    <n v="6.0508414191654403"/>
    <n v="1.3993479037833501"/>
    <n v="104.99545039373101"/>
    <n v="31807738.149999999"/>
  </r>
  <r>
    <x v="1"/>
    <x v="2"/>
    <n v="2.27770432637497E-4"/>
    <n v="0.27298237515462898"/>
    <n v="2.5503680886809699"/>
    <n v="106.438796314763"/>
    <n v="12169489.99"/>
  </r>
  <r>
    <x v="1"/>
    <x v="3"/>
    <n v="4.42639209537783E-4"/>
    <n v="0.52987582301910996"/>
    <n v="3.69864292772098"/>
    <n v="109.41095675000101"/>
    <n v="53148545.119999997"/>
  </r>
  <r>
    <x v="1"/>
    <x v="4"/>
    <n v="6.1667336008405498E-3"/>
    <n v="7.1541799246697604"/>
    <n v="4.5919264820410604"/>
    <n v="111.51344485870401"/>
    <n v="44808999.039999999"/>
  </r>
  <r>
    <x v="1"/>
    <x v="5"/>
    <n v="1.22838174992458E-2"/>
    <n v="13.7843651621522"/>
    <n v="5.46370012805078"/>
    <n v="112.381843624845"/>
    <n v="37817703.659999996"/>
  </r>
  <r>
    <x v="1"/>
    <x v="6"/>
    <n v="1.58175112109474E-4"/>
    <n v="0.18964509374802499"/>
    <n v="6.5319741374478104"/>
    <n v="114.132443556312"/>
    <n v="14251609.939999999"/>
  </r>
  <r>
    <x v="1"/>
    <x v="7"/>
    <n v="3.5582326118688899E-3"/>
    <n v="4.1872996355382996"/>
    <n v="8.6485661555915598"/>
    <n v="115.885638602619"/>
    <n v="80647228.920000002"/>
  </r>
  <r>
    <x v="2"/>
    <x v="0"/>
    <n v="1.00398782631886E-6"/>
    <n v="1.2047787387280001E-3"/>
    <n v="0.79053714050902502"/>
    <n v="103.540233743344"/>
    <n v="2251023.31"/>
  </r>
  <r>
    <x v="2"/>
    <x v="1"/>
    <n v="4.0373850016871403E-2"/>
    <n v="39.014738734709702"/>
    <n v="1.35575407645557"/>
    <n v="105.556838827127"/>
    <n v="11037371.710000001"/>
  </r>
  <r>
    <x v="2"/>
    <x v="2"/>
    <n v="8.5230724329475298E-8"/>
    <n v="1.02276821301E-4"/>
    <n v="2.3132540571882401"/>
    <n v="105.29532409890599"/>
    <n v="703971.49"/>
  </r>
  <r>
    <x v="2"/>
    <x v="3"/>
    <n v="1.6748311818248101E-4"/>
    <n v="0.20079471120988401"/>
    <n v="3.63936317124235"/>
    <n v="109.26633837333399"/>
    <n v="1786627.83"/>
  </r>
  <r>
    <x v="2"/>
    <x v="4"/>
    <n v="1.1758087469718799E-4"/>
    <n v="0.141005838660335"/>
    <n v="4.6307560836377597"/>
    <n v="111.71124741001501"/>
    <n v="1593966.71"/>
  </r>
  <r>
    <x v="2"/>
    <x v="5"/>
    <n v="4.9481762361530896E-4"/>
    <n v="0.59216783717509502"/>
    <n v="5.4329899017119603"/>
    <n v="112.44050026225401"/>
    <n v="1981275.43"/>
  </r>
  <r>
    <x v="2"/>
    <x v="6"/>
    <n v="1.18022406894481E-4"/>
    <n v="0.14153499112682399"/>
    <n v="6.7314770042781298"/>
    <n v="114.89283049929701"/>
    <n v="1159949.23"/>
  </r>
  <r>
    <x v="2"/>
    <x v="7"/>
    <n v="9.8933813312518701E-5"/>
    <n v="0.118655997137762"/>
    <n v="8.8928466465859994"/>
    <n v="115.98341806446101"/>
    <n v="2081795.83"/>
  </r>
  <r>
    <x v="3"/>
    <x v="0"/>
    <n v="0"/>
    <n v="0"/>
    <n v="0.96826077009396605"/>
    <n v="102.212709044866"/>
    <n v="356649.4"/>
  </r>
  <r>
    <x v="3"/>
    <x v="1"/>
    <n v="1.25205381541936E-6"/>
    <n v="1.5024542321160001E-3"/>
    <n v="1.2647817146051401"/>
    <n v="105.2766453349"/>
    <n v="2404050.02"/>
  </r>
  <r>
    <x v="3"/>
    <x v="2"/>
    <n v="4.9689922461360402E-8"/>
    <n v="5.9627890581000002E-5"/>
    <n v="2.03782422393268"/>
    <n v="106.225017491803"/>
    <n v="201248.05"/>
  </r>
  <r>
    <x v="3"/>
    <x v="5"/>
    <n v="0"/>
    <n v="0"/>
    <n v="5.3830545877573099"/>
    <n v="112.21639294643199"/>
    <n v="262743.75"/>
  </r>
  <r>
    <x v="3"/>
    <x v="7"/>
    <n v="5.1313693736570497E-5"/>
    <n v="6.1559057027948998E-2"/>
    <n v="8.5988991786493703"/>
    <n v="115.127212875016"/>
    <n v="142457.1"/>
  </r>
  <r>
    <x v="4"/>
    <x v="0"/>
    <n v="4.5277096484529497E-3"/>
    <n v="5.2999719170597697"/>
    <n v="0.36130271753375498"/>
    <n v="102.376952242093"/>
    <n v="1222296569.28"/>
  </r>
  <r>
    <x v="4"/>
    <x v="1"/>
    <n v="5.5294850755960899E-3"/>
    <n v="6.4372593015208199"/>
    <n v="1.55898914048923"/>
    <n v="104.465210427288"/>
    <n v="4666018171.1800003"/>
  </r>
  <r>
    <x v="4"/>
    <x v="2"/>
    <n v="4.9375012121205004E-3"/>
    <n v="5.7667195665997397"/>
    <n v="2.61204684942832"/>
    <n v="107.350683360193"/>
    <n v="11623708706.969999"/>
  </r>
  <r>
    <x v="4"/>
    <x v="3"/>
    <n v="5.7200562710403502E-3"/>
    <n v="6.6521867317478103"/>
    <n v="3.47762575555321"/>
    <n v="108.81585252627499"/>
    <n v="36003597965.050003"/>
  </r>
  <r>
    <x v="4"/>
    <x v="4"/>
    <n v="6.1181303669361796E-3"/>
    <n v="7.0996779725308103"/>
    <n v="4.5695448504713303"/>
    <n v="111.575834116807"/>
    <n v="23224544319.599998"/>
  </r>
  <r>
    <x v="4"/>
    <x v="5"/>
    <n v="5.5607416647274503E-3"/>
    <n v="6.4725417551864703"/>
    <n v="5.4179584237736202"/>
    <n v="112.86847316981699"/>
    <n v="28857402317.009998"/>
  </r>
  <r>
    <x v="4"/>
    <x v="6"/>
    <n v="7.0700299231012398E-3"/>
    <n v="8.1617852354488392"/>
    <n v="6.5012153517624096"/>
    <n v="114.269609132658"/>
    <n v="9205591705.8199997"/>
  </r>
  <r>
    <x v="4"/>
    <x v="7"/>
    <n v="6.0403805232820901E-3"/>
    <n v="7.0124310557990004"/>
    <n v="9.1772958792341406"/>
    <n v="116.891623476699"/>
    <n v="97453876324.690002"/>
  </r>
  <r>
    <x v="5"/>
    <x v="0"/>
    <n v="4.1573431822530598E-4"/>
    <n v="0.49774205001432698"/>
    <n v="-1.1463553367876999E-2"/>
    <n v="101.47821703135099"/>
    <n v="197878059.12"/>
  </r>
  <r>
    <x v="5"/>
    <x v="1"/>
    <n v="3.7961474834746498E-3"/>
    <n v="4.4614594230915703"/>
    <n v="1.5409489489589101"/>
    <n v="105.032934406999"/>
    <n v="1272770755.3599999"/>
  </r>
  <r>
    <x v="5"/>
    <x v="2"/>
    <n v="4.4941861240093799E-3"/>
    <n v="5.2616954107945499"/>
    <n v="2.6231902618945702"/>
    <n v="107.472221845249"/>
    <n v="2636642565.0900002"/>
  </r>
  <r>
    <x v="5"/>
    <x v="3"/>
    <n v="5.1479813891935804E-3"/>
    <n v="6.0056333511668001"/>
    <n v="3.4975568471969698"/>
    <n v="108.87811522613001"/>
    <n v="9875986897.8400002"/>
  </r>
  <r>
    <x v="5"/>
    <x v="4"/>
    <n v="6.0282376177395701E-3"/>
    <n v="6.9987981260553997"/>
    <n v="4.5839506718662699"/>
    <n v="111.55518517439199"/>
    <n v="6711163533.2600002"/>
  </r>
  <r>
    <x v="5"/>
    <x v="5"/>
    <n v="5.2165432999609698E-3"/>
    <n v="6.0833372642271"/>
    <n v="5.3820555624838402"/>
    <n v="112.701819638418"/>
    <n v="7632775957.2700005"/>
  </r>
  <r>
    <x v="5"/>
    <x v="6"/>
    <n v="7.4960876493866298E-3"/>
    <n v="8.63355469764692"/>
    <n v="6.5533528899797204"/>
    <n v="114.459987328587"/>
    <n v="2343837939.4400001"/>
  </r>
  <r>
    <x v="5"/>
    <x v="7"/>
    <n v="5.7832719057646703E-3"/>
    <n v="6.7233817093098898"/>
    <n v="8.9368856155338108"/>
    <n v="116.29844341959399"/>
    <n v="21670941704.31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6">
  <r>
    <x v="0"/>
    <n v="1"/>
    <n v="82264.7"/>
    <n v="197878059.12"/>
    <n v="4.1573431822530598E-4"/>
    <n v="0.49774205001432698"/>
    <n v="-1.1463553367876999E-2"/>
    <n v="101.47821703135099"/>
    <n v="197878059.12"/>
    <n v="82264.7"/>
    <n v="197878059.12"/>
    <n v="4.1573431822530598E-4"/>
    <n v="0.49774205001432698"/>
    <n v="-1.1463553367876999E-2"/>
    <x v="0"/>
  </r>
  <r>
    <x v="0"/>
    <n v="2"/>
    <n v="4831625.5"/>
    <n v="1272770755.3599999"/>
    <n v="3.7961474834746498E-3"/>
    <n v="4.4614594230915703"/>
    <n v="1.5409489489589101"/>
    <n v="105.032934406999"/>
    <n v="1272770755.3599999"/>
    <m/>
    <m/>
    <m/>
    <m/>
    <m/>
    <x v="1"/>
  </r>
  <r>
    <x v="0"/>
    <n v="3"/>
    <n v="11849562.43"/>
    <n v="2636642565.0900002"/>
    <n v="4.4941861240093799E-3"/>
    <n v="5.2616954107945499"/>
    <n v="2.6231902618945799"/>
    <n v="107.472221845249"/>
    <n v="2636642565.0900002"/>
    <n v="16681187.93"/>
    <n v="3909413320.4499998"/>
    <n v="4.2669287083924607E-3"/>
    <n v="5.0018431665205032"/>
    <n v="2.2708496469635455"/>
    <x v="2"/>
  </r>
  <r>
    <x v="0"/>
    <n v="4"/>
    <n v="50841396.75"/>
    <n v="9875986897.8400002"/>
    <n v="5.1479813891935804E-3"/>
    <n v="6.0056333511668001"/>
    <n v="3.4975568471969698"/>
    <n v="108.87811522613001"/>
    <n v="9875986897.8400002"/>
    <n v="62690959.18"/>
    <n v="12512629462.93"/>
    <n v="5.0102146288059316E-3"/>
    <n v="5.8493186465189524"/>
    <n v="3.3133116281460384"/>
    <x v="3"/>
  </r>
  <r>
    <x v="0"/>
    <n v="5"/>
    <n v="40456488.469999999"/>
    <n v="6711163533.2600002"/>
    <n v="6.0282376177395701E-3"/>
    <n v="6.9987981260553997"/>
    <n v="4.5839506718662699"/>
    <n v="111.55518517439199"/>
    <n v="6711163533.2600002"/>
    <n v="91297885.219999999"/>
    <n v="16587150431.1"/>
    <n v="5.5041331902809208E-3"/>
    <n v="6.4086331197304229"/>
    <n v="3.9371119503573837"/>
    <x v="4"/>
  </r>
  <r>
    <x v="0"/>
    <n v="6"/>
    <n v="39816706.280000001"/>
    <n v="7632775957.2700005"/>
    <n v="5.2165432999609698E-3"/>
    <n v="6.0833372642271"/>
    <n v="5.3820555624838002"/>
    <n v="112.701819638418"/>
    <n v="7632775957.2700005"/>
    <n v="80273194.75"/>
    <n v="14343939490.530001"/>
    <n v="5.5963143739554324E-3"/>
    <n v="6.5126814084245366"/>
    <n v="5.0086426349428654"/>
    <x v="5"/>
  </r>
  <r>
    <x v="0"/>
    <n v="7"/>
    <n v="17569614.629999999"/>
    <n v="2343837939.4400001"/>
    <n v="7.4960876493866298E-3"/>
    <n v="8.63355469764692"/>
    <n v="6.55335288997974"/>
    <n v="114.459987328587"/>
    <n v="2343837939.4400001"/>
    <n v="57386320.909999996"/>
    <n v="9976613896.710001"/>
    <n v="5.7520839739948586E-3"/>
    <n v="6.688263328909871"/>
    <n v="5.6572322048769657"/>
    <x v="6"/>
  </r>
  <r>
    <x v="0"/>
    <n v="8"/>
    <n v="125328948.33"/>
    <n v="21670941704.310001"/>
    <n v="5.7832719057646703E-3"/>
    <n v="6.7233817093098898"/>
    <n v="8.9368856155338907"/>
    <n v="116.29844341959399"/>
    <n v="21670941704.310001"/>
    <n v="142898562.96000001"/>
    <n v="24014779643.75"/>
    <n v="5.7832719057646703E-3"/>
    <n v="6.7233817093098898"/>
    <n v="8.9368856155338907"/>
    <x v="7"/>
  </r>
  <r>
    <x v="1"/>
    <n v="1"/>
    <n v="5534203.9699999997"/>
    <n v="1222296569.28"/>
    <n v="4.5277096484529497E-3"/>
    <n v="5.2999719170597697"/>
    <n v="0.36130271753375398"/>
    <n v="102.376952242093"/>
    <n v="1222296569.28"/>
    <n v="130863152.3"/>
    <n v="22893238273.59"/>
    <n v="4.5277096484529497E-3"/>
    <n v="5.2999719170597697"/>
    <n v="0.36130271753375398"/>
    <x v="0"/>
  </r>
  <r>
    <x v="1"/>
    <n v="2"/>
    <n v="25800677.84"/>
    <n v="4666018171.1800003"/>
    <n v="5.5294850755960899E-3"/>
    <n v="6.4372593015208199"/>
    <n v="1.55898914048923"/>
    <n v="104.465210427288"/>
    <n v="4666018171.1800003"/>
    <n v="31334881.809999999"/>
    <n v="5888314740.46"/>
    <m/>
    <m/>
    <m/>
    <x v="1"/>
  </r>
  <r>
    <x v="1"/>
    <n v="3"/>
    <n v="57392075.829999998"/>
    <n v="11623708706.969999"/>
    <n v="4.9375012121205004E-3"/>
    <n v="5.7667195665997397"/>
    <n v="2.6120468494283"/>
    <n v="107.350683360193"/>
    <n v="11623708706.969999"/>
    <n v="83192753.670000002"/>
    <n v="16289726878.15"/>
    <n v="5.1070686631087383E-3"/>
    <n v="5.9592372766095636"/>
    <n v="2.3104097230378233"/>
    <x v="2"/>
  </r>
  <r>
    <x v="1"/>
    <n v="4"/>
    <n v="205942606.31999999"/>
    <n v="36003597965.050003"/>
    <n v="5.7200562710403502E-3"/>
    <n v="6.6521867317478103"/>
    <n v="3.4776257555532202"/>
    <n v="108.81585252627499"/>
    <n v="36003597965.050003"/>
    <n v="263334682.14999998"/>
    <n v="47627306672.020004"/>
    <n v="5.5290693627381478E-3"/>
    <n v="6.4367899624321652"/>
    <n v="3.2663764162408091"/>
    <x v="3"/>
  </r>
  <r>
    <x v="1"/>
    <n v="5"/>
    <n v="142090789.86000001"/>
    <n v="23224544319.599998"/>
    <n v="6.1181303669361796E-3"/>
    <n v="7.0996779725308103"/>
    <n v="4.5695448504713303"/>
    <n v="111.575834116807"/>
    <n v="23224544319.599998"/>
    <n v="348033396.18000001"/>
    <n v="59228142284.650002"/>
    <n v="5.8761491202502037E-3"/>
    <n v="6.8278919932621251"/>
    <n v="3.9057891663093174"/>
    <x v="4"/>
  </r>
  <r>
    <x v="1"/>
    <n v="6"/>
    <n v="160468559.40000001"/>
    <n v="28857402317.009998"/>
    <n v="5.5607416647274503E-3"/>
    <n v="6.4725417551864703"/>
    <n v="5.4179584237737002"/>
    <n v="112.86847316981699"/>
    <n v="28857402317.009998"/>
    <n v="302559349.25999999"/>
    <n v="52081946636.610001"/>
    <n v="5.8092941757926101E-3"/>
    <n v="6.7526741550242413"/>
    <n v="5.0396311931885718"/>
    <x v="5"/>
  </r>
  <r>
    <x v="1"/>
    <n v="7"/>
    <n v="65083808.82"/>
    <n v="9205591705.8199997"/>
    <n v="7.0700299231012398E-3"/>
    <n v="8.1617852354488392"/>
    <n v="6.5012153517623696"/>
    <n v="114.269609132658"/>
    <n v="9205591705.8199997"/>
    <n v="225552368.22"/>
    <n v="38062994022.830002"/>
    <n v="5.9257652743952499E-3"/>
    <n v="6.8836786790103961"/>
    <n v="5.6799457226599452"/>
    <x v="6"/>
  </r>
  <r>
    <x v="1"/>
    <n v="8"/>
    <n v="588658496.47000003"/>
    <n v="97453876324.690002"/>
    <n v="6.0403805232820901E-3"/>
    <n v="7.0124310557990004"/>
    <n v="9.1772958792342099"/>
    <n v="116.891623476699"/>
    <n v="97453876324.690002"/>
    <n v="588658496.47000003"/>
    <n v="97453876324.690002"/>
    <n v="6.0403805232820901E-3"/>
    <n v="7.0124310557990004"/>
    <n v="9.1772958792342099"/>
    <x v="7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  <r>
    <x v="2"/>
    <m/>
    <m/>
    <m/>
    <m/>
    <m/>
    <m/>
    <m/>
    <m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9" cacheId="25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R14:Y17" firstHeaderRow="1" firstDataRow="2" firstDataCol="1"/>
  <pivotFields count="15"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9">
        <item x="0"/>
        <item x="2"/>
        <item x="3"/>
        <item x="4"/>
        <item x="5"/>
        <item x="6"/>
        <item h="1" x="1"/>
        <item x="7"/>
        <item t="default"/>
      </items>
    </pivotField>
  </pivotFields>
  <rowFields count="1">
    <field x="0"/>
  </rowFields>
  <rowItems count="2">
    <i>
      <x/>
    </i>
    <i>
      <x v="1"/>
    </i>
  </rowItems>
  <colFields count="1">
    <field x="14"/>
  </colFields>
  <colItems count="7">
    <i>
      <x/>
    </i>
    <i>
      <x v="1"/>
    </i>
    <i>
      <x v="2"/>
    </i>
    <i>
      <x v="3"/>
    </i>
    <i>
      <x v="4"/>
    </i>
    <i>
      <x v="5"/>
    </i>
    <i>
      <x v="7"/>
    </i>
  </colItems>
  <dataFields count="1">
    <dataField name="Average of hpa_annual_2" fld="13" subtotal="average" baseField="0" baseItem="0"/>
  </dataFields>
  <formats count="2">
    <format dxfId="11">
      <pivotArea type="all" dataOnly="0" outline="0" fieldPosition="0"/>
    </format>
    <format dxfId="10">
      <pivotArea dataOnly="0" labelOnly="1" fieldPosition="0">
        <references count="1">
          <reference field="0" count="0"/>
        </references>
      </pivotArea>
    </format>
  </formats>
  <chartFormats count="7">
    <chartFormat chart="0" format="0" series="1">
      <pivotArea type="data" outline="0" fieldPosition="0">
        <references count="1"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8" cacheId="25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R8:Y11" firstHeaderRow="1" firstDataRow="2" firstDataCol="1"/>
  <pivotFields count="15"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9">
        <item x="0"/>
        <item x="2"/>
        <item x="3"/>
        <item x="4"/>
        <item x="5"/>
        <item x="6"/>
        <item h="1" x="1"/>
        <item x="7"/>
        <item t="default"/>
      </items>
    </pivotField>
  </pivotFields>
  <rowFields count="1">
    <field x="0"/>
  </rowFields>
  <rowItems count="2">
    <i>
      <x/>
    </i>
    <i>
      <x v="1"/>
    </i>
  </rowItems>
  <colFields count="1">
    <field x="14"/>
  </colFields>
  <colItems count="7">
    <i>
      <x/>
    </i>
    <i>
      <x v="1"/>
    </i>
    <i>
      <x v="2"/>
    </i>
    <i>
      <x v="3"/>
    </i>
    <i>
      <x v="4"/>
    </i>
    <i>
      <x v="5"/>
    </i>
    <i>
      <x v="7"/>
    </i>
  </colItems>
  <dataFields count="1">
    <dataField name="Average of calcScham__rec" fld="10" subtotal="average" baseField="0" baseItem="0"/>
  </dataFields>
  <formats count="1">
    <format dxfId="12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7">
    <chartFormat chart="0" format="0" series="1">
      <pivotArea type="data" outline="0" fieldPosition="0">
        <references count="1"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7" cacheId="25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R1:Y4" firstHeaderRow="1" firstDataRow="2" firstDataCol="1"/>
  <pivotFields count="15"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9">
        <item x="0"/>
        <item x="2"/>
        <item x="3"/>
        <item x="4"/>
        <item x="5"/>
        <item x="6"/>
        <item h="1" x="1"/>
        <item x="7"/>
        <item t="default"/>
      </items>
    </pivotField>
  </pivotFields>
  <rowFields count="1">
    <field x="0"/>
  </rowFields>
  <rowItems count="2">
    <i>
      <x/>
    </i>
    <i>
      <x v="1"/>
    </i>
  </rowItems>
  <colFields count="1">
    <field x="14"/>
  </colFields>
  <colItems count="7">
    <i>
      <x/>
    </i>
    <i>
      <x v="1"/>
    </i>
    <i>
      <x v="2"/>
    </i>
    <i>
      <x v="3"/>
    </i>
    <i>
      <x v="4"/>
    </i>
    <i>
      <x v="5"/>
    </i>
    <i>
      <x v="7"/>
    </i>
  </colItems>
  <dataFields count="1">
    <dataField name="Average of cpr_rec" fld="12" subtotal="average" baseField="0" baseItem="0"/>
  </dataFields>
  <chartFormats count="15">
    <chartFormat chart="0" format="0" series="1">
      <pivotArea type="data" outline="0" fieldPosition="0">
        <references count="1"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5" cacheId="24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K18:S21" firstHeaderRow="1" firstDataRow="2" firstDataCol="1"/>
  <pivotFields count="7">
    <pivotField axis="axisRow" showAll="0">
      <items count="7">
        <item h="1" x="3"/>
        <item h="1" x="2"/>
        <item h="1" x="1"/>
        <item h="1" x="0"/>
        <item x="5"/>
        <item x="4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2">
    <i>
      <x v="4"/>
    </i>
    <i>
      <x v="5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hpa_annual_" fld="4" baseField="0" baseItem="0" numFmtId="43"/>
  </dataFields>
  <formats count="6">
    <format dxfId="5">
      <pivotArea collapsedLevelsAreSubtotals="1" fieldPosition="0">
        <references count="1">
          <reference field="0" count="0"/>
        </references>
      </pivotArea>
    </format>
    <format dxfId="4">
      <pivotArea collapsedLevelsAreSubtotals="1" fieldPosition="0">
        <references count="2">
          <reference field="0" count="1">
            <x v="2"/>
          </reference>
          <reference field="1" count="1" selected="0">
            <x v="1"/>
          </reference>
        </references>
      </pivotArea>
    </format>
    <format dxfId="3">
      <pivotArea outline="0" collapsedLevelsAreSubtotals="1" fieldPosition="0"/>
    </format>
    <format dxfId="2">
      <pivotArea outline="0" collapsedLevelsAreSubtotals="1" fieldPosition="0">
        <references count="1">
          <reference field="1" count="2" selected="0">
            <x v="1"/>
            <x v="2"/>
          </reference>
        </references>
      </pivotArea>
    </format>
    <format dxfId="1">
      <pivotArea outline="0" collapsedLevelsAreSubtotals="1" fieldPosition="0">
        <references count="1">
          <reference field="1" count="1" selected="0">
            <x v="3"/>
          </reference>
        </references>
      </pivotArea>
    </format>
    <format dxfId="0">
      <pivotArea outline="0" collapsedLevelsAreSubtotals="1" fieldPosition="0">
        <references count="1">
          <reference field="1" count="4" selected="0">
            <x v="4"/>
            <x v="5"/>
            <x v="6"/>
            <x v="7"/>
          </reference>
        </references>
      </pivotArea>
    </format>
  </formats>
  <chartFormats count="8">
    <chartFormat chart="0" format="2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9" series="1">
      <pivotArea type="data" outline="0" fieldPosition="0">
        <references count="1"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4" cacheId="24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K11:S14" firstHeaderRow="1" firstDataRow="2" firstDataCol="1"/>
  <pivotFields count="7">
    <pivotField axis="axisRow" showAll="0">
      <items count="7">
        <item h="1" x="3"/>
        <item h="1" x="2"/>
        <item h="1" x="1"/>
        <item h="1" x="0"/>
        <item x="5"/>
        <item x="4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2">
    <i>
      <x v="4"/>
    </i>
    <i>
      <x v="5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bal" fld="6" baseField="0" baseItem="0" numFmtId="164"/>
  </dataFields>
  <formats count="3">
    <format dxfId="8">
      <pivotArea collapsedLevelsAreSubtotals="1" fieldPosition="0">
        <references count="1">
          <reference field="0" count="0"/>
        </references>
      </pivotArea>
    </format>
    <format dxfId="7">
      <pivotArea collapsedLevelsAreSubtotals="1" fieldPosition="0">
        <references count="2">
          <reference field="0" count="1">
            <x v="2"/>
          </reference>
          <reference field="1" count="1" selected="0">
            <x v="1"/>
          </reference>
        </references>
      </pivotArea>
    </format>
    <format dxfId="6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8">
    <chartFormat chart="0" format="2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9" series="1">
      <pivotArea type="data" outline="0" fieldPosition="0">
        <references count="1"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3" cacheId="24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2">
  <location ref="K1:S4" firstHeaderRow="1" firstDataRow="2" firstDataCol="1"/>
  <pivotFields count="7">
    <pivotField axis="axisRow" showAll="0">
      <items count="7">
        <item h="1" x="3"/>
        <item h="1" x="2"/>
        <item h="1" x="1"/>
        <item h="1" x="0"/>
        <item x="5"/>
        <item x="4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0"/>
  </rowFields>
  <rowItems count="2">
    <i>
      <x v="4"/>
    </i>
    <i>
      <x v="5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cpr" fld="3" baseField="0" baseItem="0"/>
  </dataFields>
  <formats count="1">
    <format dxfId="9">
      <pivotArea collapsedLevelsAreSubtotals="1" fieldPosition="0">
        <references count="1">
          <reference field="0" count="0"/>
        </references>
      </pivotArea>
    </format>
  </format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topLeftCell="D1" workbookViewId="0">
      <selection activeCell="U16" sqref="U16:U17"/>
    </sheetView>
  </sheetViews>
  <sheetFormatPr defaultRowHeight="15" x14ac:dyDescent="0.25"/>
  <cols>
    <col min="18" max="18" width="23.7109375" customWidth="1"/>
    <col min="19" max="19" width="16.28515625" customWidth="1"/>
    <col min="20" max="25" width="15.28515625" bestFit="1" customWidth="1"/>
    <col min="26" max="26" width="12" bestFit="1" customWidth="1"/>
  </cols>
  <sheetData>
    <row r="1" spans="1:25" x14ac:dyDescent="0.25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14</v>
      </c>
      <c r="K1" t="s">
        <v>15</v>
      </c>
      <c r="L1" t="s">
        <v>16</v>
      </c>
      <c r="M1" t="s">
        <v>17</v>
      </c>
      <c r="N1" t="s">
        <v>4</v>
      </c>
      <c r="O1" t="s">
        <v>18</v>
      </c>
      <c r="R1" s="1" t="s">
        <v>25</v>
      </c>
      <c r="S1" s="1" t="s">
        <v>8</v>
      </c>
    </row>
    <row r="2" spans="1:25" x14ac:dyDescent="0.25">
      <c r="A2">
        <v>-75</v>
      </c>
      <c r="B2">
        <v>1</v>
      </c>
      <c r="C2">
        <v>82264.7</v>
      </c>
      <c r="D2">
        <v>197878059.12</v>
      </c>
      <c r="E2">
        <v>4.1573431822530598E-4</v>
      </c>
      <c r="F2">
        <v>0.49774205001432698</v>
      </c>
      <c r="G2">
        <v>-1.1463553367876999E-2</v>
      </c>
      <c r="H2">
        <v>101.47821703135099</v>
      </c>
      <c r="I2">
        <v>197878059.12</v>
      </c>
      <c r="J2">
        <f>C2</f>
        <v>82264.7</v>
      </c>
      <c r="K2">
        <f t="shared" ref="K2:L2" si="0">D2</f>
        <v>197878059.12</v>
      </c>
      <c r="L2">
        <f t="shared" si="0"/>
        <v>4.1573431822530598E-4</v>
      </c>
      <c r="M2">
        <f>F2</f>
        <v>0.49774205001432698</v>
      </c>
      <c r="N2">
        <f>G2</f>
        <v>-1.1463553367876999E-2</v>
      </c>
      <c r="O2" s="6" t="s">
        <v>19</v>
      </c>
      <c r="R2" s="1" t="s">
        <v>7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26</v>
      </c>
    </row>
    <row r="3" spans="1:25" x14ac:dyDescent="0.25">
      <c r="A3">
        <v>-75</v>
      </c>
      <c r="B3">
        <v>2</v>
      </c>
      <c r="C3">
        <v>4831625.5</v>
      </c>
      <c r="D3">
        <v>1272770755.3599999</v>
      </c>
      <c r="E3">
        <v>3.7961474834746498E-3</v>
      </c>
      <c r="F3">
        <v>4.4614594230915703</v>
      </c>
      <c r="G3">
        <v>1.5409489489589101</v>
      </c>
      <c r="H3">
        <v>105.032934406999</v>
      </c>
      <c r="I3">
        <v>1272770755.3599999</v>
      </c>
      <c r="R3" s="2">
        <v>-75</v>
      </c>
      <c r="S3" s="3">
        <v>0.49774205001432698</v>
      </c>
      <c r="T3" s="3">
        <v>5.0018431665205032</v>
      </c>
      <c r="U3" s="3">
        <v>5.8493186465189524</v>
      </c>
      <c r="V3" s="3">
        <v>6.4086331197304229</v>
      </c>
      <c r="W3" s="3">
        <v>6.5126814084245366</v>
      </c>
      <c r="X3" s="3">
        <v>6.688263328909871</v>
      </c>
      <c r="Y3" s="3">
        <v>6.7233817093098898</v>
      </c>
    </row>
    <row r="4" spans="1:25" x14ac:dyDescent="0.25">
      <c r="A4">
        <v>-75</v>
      </c>
      <c r="B4">
        <v>3</v>
      </c>
      <c r="C4">
        <v>11849562.43</v>
      </c>
      <c r="D4">
        <v>2636642565.0900002</v>
      </c>
      <c r="E4">
        <v>4.4941861240093799E-3</v>
      </c>
      <c r="F4">
        <v>5.2616954107945499</v>
      </c>
      <c r="G4">
        <v>2.6231902618945799</v>
      </c>
      <c r="H4">
        <v>107.472221845249</v>
      </c>
      <c r="I4">
        <v>2636642565.0900002</v>
      </c>
      <c r="J4">
        <f t="shared" ref="J4:J16" si="1">C4+C3</f>
        <v>16681187.93</v>
      </c>
      <c r="K4">
        <f t="shared" ref="K4:K16" si="2">D4+D3</f>
        <v>3909413320.4499998</v>
      </c>
      <c r="L4">
        <f t="shared" ref="L4:L16" si="3">J4/K4</f>
        <v>4.2669287083924607E-3</v>
      </c>
      <c r="M4">
        <f t="shared" ref="M4:M16" si="4">100*(1-(1-L4)^12)</f>
        <v>5.0018431665205032</v>
      </c>
      <c r="N4">
        <f t="shared" ref="N4:N16" si="5">(G4*I4+G3*I3)/(I4+I3)</f>
        <v>2.2708496469635455</v>
      </c>
      <c r="O4" s="6" t="s">
        <v>20</v>
      </c>
      <c r="R4" s="2">
        <v>-50</v>
      </c>
      <c r="S4" s="3">
        <v>5.2999719170597697</v>
      </c>
      <c r="T4" s="3">
        <v>5.9592372766095636</v>
      </c>
      <c r="U4" s="3">
        <v>6.4367899624321652</v>
      </c>
      <c r="V4" s="3">
        <v>6.8278919932621251</v>
      </c>
      <c r="W4" s="3">
        <v>6.7526741550242413</v>
      </c>
      <c r="X4" s="3">
        <v>6.8836786790103961</v>
      </c>
      <c r="Y4" s="3">
        <v>7.0124310557990004</v>
      </c>
    </row>
    <row r="5" spans="1:25" x14ac:dyDescent="0.25">
      <c r="A5">
        <v>-75</v>
      </c>
      <c r="B5">
        <v>4</v>
      </c>
      <c r="C5">
        <v>50841396.75</v>
      </c>
      <c r="D5">
        <v>9875986897.8400002</v>
      </c>
      <c r="E5">
        <v>5.1479813891935804E-3</v>
      </c>
      <c r="F5">
        <v>6.0056333511668001</v>
      </c>
      <c r="G5">
        <v>3.4975568471969698</v>
      </c>
      <c r="H5">
        <v>108.87811522613001</v>
      </c>
      <c r="I5">
        <v>9875986897.8400002</v>
      </c>
      <c r="J5">
        <f t="shared" si="1"/>
        <v>62690959.18</v>
      </c>
      <c r="K5">
        <f t="shared" si="2"/>
        <v>12512629462.93</v>
      </c>
      <c r="L5">
        <f t="shared" si="3"/>
        <v>5.0102146288059316E-3</v>
      </c>
      <c r="M5">
        <f t="shared" si="4"/>
        <v>5.8493186465189524</v>
      </c>
      <c r="N5">
        <f t="shared" si="5"/>
        <v>3.3133116281460384</v>
      </c>
      <c r="O5" s="6" t="s">
        <v>21</v>
      </c>
    </row>
    <row r="6" spans="1:25" x14ac:dyDescent="0.25">
      <c r="A6">
        <v>-75</v>
      </c>
      <c r="B6">
        <v>5</v>
      </c>
      <c r="C6">
        <v>40456488.469999999</v>
      </c>
      <c r="D6">
        <v>6711163533.2600002</v>
      </c>
      <c r="E6">
        <v>6.0282376177395701E-3</v>
      </c>
      <c r="F6">
        <v>6.9987981260553997</v>
      </c>
      <c r="G6">
        <v>4.5839506718662699</v>
      </c>
      <c r="H6">
        <v>111.55518517439199</v>
      </c>
      <c r="I6">
        <v>6711163533.2600002</v>
      </c>
      <c r="J6">
        <f t="shared" si="1"/>
        <v>91297885.219999999</v>
      </c>
      <c r="K6">
        <f t="shared" si="2"/>
        <v>16587150431.1</v>
      </c>
      <c r="L6">
        <f t="shared" si="3"/>
        <v>5.5041331902809208E-3</v>
      </c>
      <c r="M6">
        <f t="shared" si="4"/>
        <v>6.4086331197304229</v>
      </c>
      <c r="N6">
        <f t="shared" si="5"/>
        <v>3.9371119503573837</v>
      </c>
      <c r="O6" s="6" t="s">
        <v>22</v>
      </c>
    </row>
    <row r="7" spans="1:25" x14ac:dyDescent="0.25">
      <c r="A7">
        <v>-75</v>
      </c>
      <c r="B7">
        <v>6</v>
      </c>
      <c r="C7">
        <v>39816706.280000001</v>
      </c>
      <c r="D7">
        <v>7632775957.2700005</v>
      </c>
      <c r="E7">
        <v>5.2165432999609698E-3</v>
      </c>
      <c r="F7">
        <v>6.0833372642271</v>
      </c>
      <c r="G7">
        <v>5.3820555624838002</v>
      </c>
      <c r="H7">
        <v>112.701819638418</v>
      </c>
      <c r="I7">
        <v>7632775957.2700005</v>
      </c>
      <c r="J7">
        <f t="shared" si="1"/>
        <v>80273194.75</v>
      </c>
      <c r="K7">
        <f t="shared" si="2"/>
        <v>14343939490.530001</v>
      </c>
      <c r="L7">
        <f t="shared" si="3"/>
        <v>5.5963143739554324E-3</v>
      </c>
      <c r="M7">
        <f t="shared" si="4"/>
        <v>6.5126814084245366</v>
      </c>
      <c r="N7">
        <f t="shared" si="5"/>
        <v>5.0086426349428654</v>
      </c>
      <c r="O7" s="7" t="s">
        <v>23</v>
      </c>
    </row>
    <row r="8" spans="1:25" x14ac:dyDescent="0.25">
      <c r="A8">
        <v>-75</v>
      </c>
      <c r="B8">
        <v>7</v>
      </c>
      <c r="C8">
        <v>17569614.629999999</v>
      </c>
      <c r="D8">
        <v>2343837939.4400001</v>
      </c>
      <c r="E8">
        <v>7.4960876493866298E-3</v>
      </c>
      <c r="F8">
        <v>8.63355469764692</v>
      </c>
      <c r="G8">
        <v>6.55335288997974</v>
      </c>
      <c r="H8">
        <v>114.459987328587</v>
      </c>
      <c r="I8">
        <v>2343837939.4400001</v>
      </c>
      <c r="J8">
        <f t="shared" si="1"/>
        <v>57386320.909999996</v>
      </c>
      <c r="K8">
        <f t="shared" si="2"/>
        <v>9976613896.710001</v>
      </c>
      <c r="L8">
        <f t="shared" si="3"/>
        <v>5.7520839739948586E-3</v>
      </c>
      <c r="M8">
        <f t="shared" si="4"/>
        <v>6.688263328909871</v>
      </c>
      <c r="N8">
        <f t="shared" si="5"/>
        <v>5.6572322048769657</v>
      </c>
      <c r="O8" s="6" t="s">
        <v>24</v>
      </c>
      <c r="R8" s="1" t="s">
        <v>27</v>
      </c>
      <c r="S8" s="1" t="s">
        <v>8</v>
      </c>
    </row>
    <row r="9" spans="1:25" x14ac:dyDescent="0.25">
      <c r="A9">
        <v>-75</v>
      </c>
      <c r="B9">
        <v>8</v>
      </c>
      <c r="C9">
        <v>125328948.33</v>
      </c>
      <c r="D9">
        <v>21670941704.310001</v>
      </c>
      <c r="E9">
        <v>5.7832719057646703E-3</v>
      </c>
      <c r="F9">
        <v>6.7233817093098898</v>
      </c>
      <c r="G9">
        <v>8.9368856155338907</v>
      </c>
      <c r="H9">
        <v>116.29844341959399</v>
      </c>
      <c r="I9">
        <v>21670941704.310001</v>
      </c>
      <c r="J9">
        <f t="shared" si="1"/>
        <v>142898562.96000001</v>
      </c>
      <c r="K9">
        <f t="shared" si="2"/>
        <v>24014779643.75</v>
      </c>
      <c r="L9">
        <f t="shared" ref="L9" si="6">E9</f>
        <v>5.7832719057646703E-3</v>
      </c>
      <c r="M9">
        <f>F9</f>
        <v>6.7233817093098898</v>
      </c>
      <c r="N9">
        <f>G9</f>
        <v>8.9368856155338907</v>
      </c>
      <c r="O9" s="6" t="s">
        <v>26</v>
      </c>
      <c r="R9" s="1" t="s">
        <v>7</v>
      </c>
      <c r="S9" t="s">
        <v>19</v>
      </c>
      <c r="T9" t="s">
        <v>20</v>
      </c>
      <c r="U9" t="s">
        <v>21</v>
      </c>
      <c r="V9" t="s">
        <v>22</v>
      </c>
      <c r="W9" t="s">
        <v>23</v>
      </c>
      <c r="X9" t="s">
        <v>24</v>
      </c>
      <c r="Y9" t="s">
        <v>26</v>
      </c>
    </row>
    <row r="10" spans="1:25" x14ac:dyDescent="0.25">
      <c r="A10">
        <v>-50</v>
      </c>
      <c r="B10">
        <v>1</v>
      </c>
      <c r="C10">
        <v>5534203.9699999997</v>
      </c>
      <c r="D10">
        <v>1222296569.28</v>
      </c>
      <c r="E10">
        <v>4.5277096484529497E-3</v>
      </c>
      <c r="F10">
        <v>5.2999719170597697</v>
      </c>
      <c r="G10">
        <v>0.36130271753375398</v>
      </c>
      <c r="H10">
        <v>102.376952242093</v>
      </c>
      <c r="I10">
        <v>1222296569.28</v>
      </c>
      <c r="J10">
        <f t="shared" si="1"/>
        <v>130863152.3</v>
      </c>
      <c r="K10">
        <f t="shared" si="2"/>
        <v>22893238273.59</v>
      </c>
      <c r="L10">
        <f t="shared" ref="L10" si="7">E10</f>
        <v>4.5277096484529497E-3</v>
      </c>
      <c r="M10">
        <f>F10</f>
        <v>5.2999719170597697</v>
      </c>
      <c r="N10">
        <f>G10</f>
        <v>0.36130271753375398</v>
      </c>
      <c r="O10" s="6" t="s">
        <v>19</v>
      </c>
      <c r="R10" s="2">
        <v>-75</v>
      </c>
      <c r="S10" s="5">
        <v>197878059.12</v>
      </c>
      <c r="T10" s="5">
        <v>3909413320.4499998</v>
      </c>
      <c r="U10" s="5">
        <v>12512629462.93</v>
      </c>
      <c r="V10" s="5">
        <v>16587150431.1</v>
      </c>
      <c r="W10" s="5">
        <v>14343939490.530001</v>
      </c>
      <c r="X10" s="5">
        <v>9976613896.710001</v>
      </c>
      <c r="Y10" s="5">
        <v>24014779643.75</v>
      </c>
    </row>
    <row r="11" spans="1:25" x14ac:dyDescent="0.25">
      <c r="A11">
        <v>-50</v>
      </c>
      <c r="B11">
        <v>2</v>
      </c>
      <c r="C11">
        <v>25800677.84</v>
      </c>
      <c r="D11">
        <v>4666018171.1800003</v>
      </c>
      <c r="E11">
        <v>5.5294850755960899E-3</v>
      </c>
      <c r="F11">
        <v>6.4372593015208199</v>
      </c>
      <c r="G11">
        <v>1.55898914048923</v>
      </c>
      <c r="H11">
        <v>104.465210427288</v>
      </c>
      <c r="I11">
        <v>4666018171.1800003</v>
      </c>
      <c r="J11">
        <f t="shared" si="1"/>
        <v>31334881.809999999</v>
      </c>
      <c r="K11">
        <f t="shared" si="2"/>
        <v>5888314740.46</v>
      </c>
      <c r="R11" s="2">
        <v>-50</v>
      </c>
      <c r="S11" s="5">
        <v>22893238273.59</v>
      </c>
      <c r="T11" s="5">
        <v>16289726878.15</v>
      </c>
      <c r="U11" s="5">
        <v>47627306672.020004</v>
      </c>
      <c r="V11" s="5">
        <v>59228142284.650002</v>
      </c>
      <c r="W11" s="5">
        <v>52081946636.610001</v>
      </c>
      <c r="X11" s="5">
        <v>38062994022.830002</v>
      </c>
      <c r="Y11" s="5">
        <v>97453876324.690002</v>
      </c>
    </row>
    <row r="12" spans="1:25" x14ac:dyDescent="0.25">
      <c r="A12">
        <v>-50</v>
      </c>
      <c r="B12">
        <v>3</v>
      </c>
      <c r="C12">
        <v>57392075.829999998</v>
      </c>
      <c r="D12">
        <v>11623708706.969999</v>
      </c>
      <c r="E12">
        <v>4.9375012121205004E-3</v>
      </c>
      <c r="F12">
        <v>5.7667195665997397</v>
      </c>
      <c r="G12">
        <v>2.6120468494283</v>
      </c>
      <c r="H12">
        <v>107.350683360193</v>
      </c>
      <c r="I12">
        <v>11623708706.969999</v>
      </c>
      <c r="J12">
        <f t="shared" si="1"/>
        <v>83192753.670000002</v>
      </c>
      <c r="K12">
        <f t="shared" si="2"/>
        <v>16289726878.15</v>
      </c>
      <c r="L12">
        <f t="shared" si="3"/>
        <v>5.1070686631087383E-3</v>
      </c>
      <c r="M12">
        <f t="shared" si="4"/>
        <v>5.9592372766095636</v>
      </c>
      <c r="N12">
        <f t="shared" si="5"/>
        <v>2.3104097230378233</v>
      </c>
      <c r="O12" s="6" t="s">
        <v>20</v>
      </c>
    </row>
    <row r="13" spans="1:25" x14ac:dyDescent="0.25">
      <c r="A13">
        <v>-50</v>
      </c>
      <c r="B13">
        <v>4</v>
      </c>
      <c r="C13">
        <v>205942606.31999999</v>
      </c>
      <c r="D13">
        <v>36003597965.050003</v>
      </c>
      <c r="E13">
        <v>5.7200562710403502E-3</v>
      </c>
      <c r="F13">
        <v>6.6521867317478103</v>
      </c>
      <c r="G13">
        <v>3.4776257555532202</v>
      </c>
      <c r="H13">
        <v>108.81585252627499</v>
      </c>
      <c r="I13">
        <v>36003597965.050003</v>
      </c>
      <c r="J13">
        <f t="shared" si="1"/>
        <v>263334682.14999998</v>
      </c>
      <c r="K13">
        <f t="shared" si="2"/>
        <v>47627306672.020004</v>
      </c>
      <c r="L13">
        <f t="shared" si="3"/>
        <v>5.5290693627381478E-3</v>
      </c>
      <c r="M13">
        <f t="shared" si="4"/>
        <v>6.4367899624321652</v>
      </c>
      <c r="N13">
        <f t="shared" si="5"/>
        <v>3.2663764162408091</v>
      </c>
      <c r="O13" s="6" t="s">
        <v>21</v>
      </c>
    </row>
    <row r="14" spans="1:25" x14ac:dyDescent="0.25">
      <c r="A14">
        <v>-50</v>
      </c>
      <c r="B14">
        <v>5</v>
      </c>
      <c r="C14">
        <v>142090789.86000001</v>
      </c>
      <c r="D14">
        <v>23224544319.599998</v>
      </c>
      <c r="E14">
        <v>6.1181303669361796E-3</v>
      </c>
      <c r="F14">
        <v>7.0996779725308103</v>
      </c>
      <c r="G14">
        <v>4.5695448504713303</v>
      </c>
      <c r="H14">
        <v>111.575834116807</v>
      </c>
      <c r="I14">
        <v>23224544319.599998</v>
      </c>
      <c r="J14">
        <f t="shared" si="1"/>
        <v>348033396.18000001</v>
      </c>
      <c r="K14">
        <f t="shared" si="2"/>
        <v>59228142284.650002</v>
      </c>
      <c r="L14">
        <f t="shared" si="3"/>
        <v>5.8761491202502037E-3</v>
      </c>
      <c r="M14">
        <f t="shared" si="4"/>
        <v>6.8278919932621251</v>
      </c>
      <c r="N14">
        <f t="shared" si="5"/>
        <v>3.9057891663093174</v>
      </c>
      <c r="O14" s="6" t="s">
        <v>22</v>
      </c>
      <c r="R14" s="8" t="s">
        <v>28</v>
      </c>
      <c r="S14" s="8" t="s">
        <v>8</v>
      </c>
      <c r="T14" s="9"/>
      <c r="U14" s="9"/>
      <c r="V14" s="9"/>
      <c r="W14" s="9"/>
      <c r="X14" s="9"/>
      <c r="Y14" s="9"/>
    </row>
    <row r="15" spans="1:25" x14ac:dyDescent="0.25">
      <c r="A15">
        <v>-50</v>
      </c>
      <c r="B15">
        <v>6</v>
      </c>
      <c r="C15">
        <v>160468559.40000001</v>
      </c>
      <c r="D15">
        <v>28857402317.009998</v>
      </c>
      <c r="E15">
        <v>5.5607416647274503E-3</v>
      </c>
      <c r="F15">
        <v>6.4725417551864703</v>
      </c>
      <c r="G15">
        <v>5.4179584237737002</v>
      </c>
      <c r="H15">
        <v>112.86847316981699</v>
      </c>
      <c r="I15">
        <v>28857402317.009998</v>
      </c>
      <c r="J15">
        <f t="shared" si="1"/>
        <v>302559349.25999999</v>
      </c>
      <c r="K15">
        <f t="shared" si="2"/>
        <v>52081946636.610001</v>
      </c>
      <c r="L15">
        <f t="shared" si="3"/>
        <v>5.8092941757926101E-3</v>
      </c>
      <c r="M15">
        <f t="shared" si="4"/>
        <v>6.7526741550242413</v>
      </c>
      <c r="N15">
        <f t="shared" si="5"/>
        <v>5.0396311931885718</v>
      </c>
      <c r="O15" s="7" t="s">
        <v>23</v>
      </c>
      <c r="R15" s="8" t="s">
        <v>7</v>
      </c>
      <c r="S15" s="9" t="s">
        <v>19</v>
      </c>
      <c r="T15" s="9" t="s">
        <v>20</v>
      </c>
      <c r="U15" s="9" t="s">
        <v>21</v>
      </c>
      <c r="V15" s="9" t="s">
        <v>22</v>
      </c>
      <c r="W15" s="9" t="s">
        <v>23</v>
      </c>
      <c r="X15" s="9" t="s">
        <v>24</v>
      </c>
      <c r="Y15" s="9" t="s">
        <v>26</v>
      </c>
    </row>
    <row r="16" spans="1:25" x14ac:dyDescent="0.25">
      <c r="A16">
        <v>-50</v>
      </c>
      <c r="B16">
        <v>7</v>
      </c>
      <c r="C16">
        <v>65083808.82</v>
      </c>
      <c r="D16">
        <v>9205591705.8199997</v>
      </c>
      <c r="E16">
        <v>7.0700299231012398E-3</v>
      </c>
      <c r="F16">
        <v>8.1617852354488392</v>
      </c>
      <c r="G16">
        <v>6.5012153517623696</v>
      </c>
      <c r="H16">
        <v>114.269609132658</v>
      </c>
      <c r="I16">
        <v>9205591705.8199997</v>
      </c>
      <c r="J16">
        <f t="shared" si="1"/>
        <v>225552368.22</v>
      </c>
      <c r="K16">
        <f t="shared" si="2"/>
        <v>38062994022.830002</v>
      </c>
      <c r="L16">
        <f t="shared" si="3"/>
        <v>5.9257652743952499E-3</v>
      </c>
      <c r="M16">
        <f t="shared" si="4"/>
        <v>6.8836786790103961</v>
      </c>
      <c r="N16">
        <f t="shared" si="5"/>
        <v>5.6799457226599452</v>
      </c>
      <c r="O16" s="6" t="s">
        <v>24</v>
      </c>
      <c r="R16" s="10">
        <v>-75</v>
      </c>
      <c r="S16" s="9">
        <v>-1.1463553367876999E-2</v>
      </c>
      <c r="T16" s="9">
        <v>2.2708496469635455</v>
      </c>
      <c r="U16" s="9">
        <v>3.3133116281460384</v>
      </c>
      <c r="V16" s="9">
        <v>3.9371119503573837</v>
      </c>
      <c r="W16" s="9">
        <v>5.0086426349428654</v>
      </c>
      <c r="X16" s="9">
        <v>5.6572322048769657</v>
      </c>
      <c r="Y16" s="9">
        <v>8.9368856155338907</v>
      </c>
    </row>
    <row r="17" spans="1:25" x14ac:dyDescent="0.25">
      <c r="A17">
        <v>-50</v>
      </c>
      <c r="B17">
        <v>8</v>
      </c>
      <c r="C17">
        <v>588658496.47000003</v>
      </c>
      <c r="D17">
        <v>97453876324.690002</v>
      </c>
      <c r="E17">
        <v>6.0403805232820901E-3</v>
      </c>
      <c r="F17">
        <v>7.0124310557990004</v>
      </c>
      <c r="G17">
        <v>9.1772958792342099</v>
      </c>
      <c r="H17">
        <v>116.891623476699</v>
      </c>
      <c r="I17">
        <v>97453876324.690002</v>
      </c>
      <c r="J17">
        <f>C17</f>
        <v>588658496.47000003</v>
      </c>
      <c r="K17">
        <f t="shared" ref="K17" si="8">D17</f>
        <v>97453876324.690002</v>
      </c>
      <c r="L17">
        <f t="shared" ref="L17" si="9">E17</f>
        <v>6.0403805232820901E-3</v>
      </c>
      <c r="M17">
        <f>F17</f>
        <v>7.0124310557990004</v>
      </c>
      <c r="N17">
        <f>G17</f>
        <v>9.1772958792342099</v>
      </c>
      <c r="O17" s="6" t="s">
        <v>26</v>
      </c>
      <c r="R17" s="10">
        <v>-50</v>
      </c>
      <c r="S17" s="9">
        <v>0.36130271753375398</v>
      </c>
      <c r="T17" s="9">
        <v>2.3104097230378233</v>
      </c>
      <c r="U17" s="9">
        <v>3.2663764162408091</v>
      </c>
      <c r="V17" s="9">
        <v>3.9057891663093174</v>
      </c>
      <c r="W17" s="9">
        <v>5.0396311931885718</v>
      </c>
      <c r="X17" s="9">
        <v>5.6799457226599452</v>
      </c>
      <c r="Y17" s="9">
        <v>9.1772958792342099</v>
      </c>
    </row>
  </sheetData>
  <sortState ref="A2:I46">
    <sortCondition ref="A1"/>
  </sortState>
  <conditionalFormatting pivot="1" sqref="S10:Y1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{28589CA5-5062-441D-A18A-89E8A63EB04E}</x14:id>
        </ext>
      </extLst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28589CA5-5062-441D-A18A-89E8A63EB0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S10:Y11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abSelected="1" workbookViewId="0">
      <selection activeCell="P20" sqref="P20:S21"/>
    </sheetView>
  </sheetViews>
  <sheetFormatPr defaultRowHeight="15" x14ac:dyDescent="0.25"/>
  <cols>
    <col min="11" max="11" width="19.140625" bestFit="1" customWidth="1"/>
    <col min="12" max="12" width="16.28515625" customWidth="1"/>
    <col min="13" max="13" width="14.28515625" bestFit="1" customWidth="1"/>
    <col min="14" max="17" width="15.28515625" bestFit="1" customWidth="1"/>
    <col min="18" max="18" width="14.28515625" bestFit="1" customWidth="1"/>
    <col min="19" max="19" width="15.28515625" bestFit="1" customWidth="1"/>
    <col min="20" max="20" width="12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K1" s="1" t="s">
        <v>9</v>
      </c>
      <c r="L1" s="1" t="s">
        <v>8</v>
      </c>
    </row>
    <row r="2" spans="1:19" x14ac:dyDescent="0.25">
      <c r="A2">
        <v>-100</v>
      </c>
      <c r="B2">
        <v>1</v>
      </c>
      <c r="C2">
        <v>1.39552824003616E-4</v>
      </c>
      <c r="D2">
        <v>0.16733491363849501</v>
      </c>
      <c r="E2">
        <v>-1.9885856484247001E-2</v>
      </c>
      <c r="F2">
        <v>102.52710513103</v>
      </c>
      <c r="G2">
        <v>41439003.770000003</v>
      </c>
      <c r="K2" s="1" t="s">
        <v>7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</row>
    <row r="3" spans="1:19" x14ac:dyDescent="0.25">
      <c r="A3">
        <v>-100</v>
      </c>
      <c r="B3">
        <v>2</v>
      </c>
      <c r="C3">
        <v>3.0891219258130302E-3</v>
      </c>
      <c r="D3">
        <v>3.6446087020307698</v>
      </c>
      <c r="E3">
        <v>1.5654965173520801</v>
      </c>
      <c r="F3">
        <v>105.314858357397</v>
      </c>
      <c r="G3">
        <v>174896032.91</v>
      </c>
      <c r="K3" s="2">
        <v>-75</v>
      </c>
      <c r="L3" s="4">
        <v>0.49774205001432698</v>
      </c>
      <c r="M3" s="4">
        <v>4.4614594230915703</v>
      </c>
      <c r="N3" s="4">
        <v>5.2616954107945499</v>
      </c>
      <c r="O3" s="4">
        <v>6.0056333511668001</v>
      </c>
      <c r="P3" s="4">
        <v>6.9987981260553997</v>
      </c>
      <c r="Q3" s="4">
        <v>6.0833372642271</v>
      </c>
      <c r="R3" s="4">
        <v>8.63355469764692</v>
      </c>
      <c r="S3" s="4">
        <v>6.7233817093098898</v>
      </c>
    </row>
    <row r="4" spans="1:19" x14ac:dyDescent="0.25">
      <c r="A4">
        <v>-100</v>
      </c>
      <c r="B4">
        <v>3</v>
      </c>
      <c r="C4">
        <v>3.40582580272692E-3</v>
      </c>
      <c r="D4">
        <v>4.0112957935499596</v>
      </c>
      <c r="E4">
        <v>2.53049487309932</v>
      </c>
      <c r="F4">
        <v>107.22021684538601</v>
      </c>
      <c r="G4">
        <v>176720280.15000001</v>
      </c>
      <c r="K4" s="2">
        <v>-50</v>
      </c>
      <c r="L4" s="4">
        <v>5.2999719170597697</v>
      </c>
      <c r="M4" s="4">
        <v>6.4372593015208199</v>
      </c>
      <c r="N4" s="4">
        <v>5.7667195665997397</v>
      </c>
      <c r="O4" s="4">
        <v>6.6521867317478103</v>
      </c>
      <c r="P4" s="4">
        <v>7.0996779725308103</v>
      </c>
      <c r="Q4" s="4">
        <v>6.4725417551864703</v>
      </c>
      <c r="R4" s="4">
        <v>8.1617852354488392</v>
      </c>
      <c r="S4" s="4">
        <v>7.0124310557990004</v>
      </c>
    </row>
    <row r="5" spans="1:19" x14ac:dyDescent="0.25">
      <c r="A5">
        <v>-100</v>
      </c>
      <c r="B5">
        <v>4</v>
      </c>
      <c r="C5">
        <v>2.5814743777395899E-3</v>
      </c>
      <c r="D5">
        <v>3.05416306369905</v>
      </c>
      <c r="E5">
        <v>3.5848455264312502</v>
      </c>
      <c r="F5">
        <v>108.967153857588</v>
      </c>
      <c r="G5">
        <v>1223380629.78</v>
      </c>
    </row>
    <row r="6" spans="1:19" x14ac:dyDescent="0.25">
      <c r="A6">
        <v>-100</v>
      </c>
      <c r="B6">
        <v>5</v>
      </c>
      <c r="C6">
        <v>6.9168790908144201E-3</v>
      </c>
      <c r="D6">
        <v>7.9916579870623297</v>
      </c>
      <c r="E6">
        <v>4.5939544792330098</v>
      </c>
      <c r="F6">
        <v>111.424751163832</v>
      </c>
      <c r="G6">
        <v>800728990.24000001</v>
      </c>
    </row>
    <row r="7" spans="1:19" x14ac:dyDescent="0.25">
      <c r="A7">
        <v>-100</v>
      </c>
      <c r="B7">
        <v>6</v>
      </c>
      <c r="C7">
        <v>4.8981477053407201E-3</v>
      </c>
      <c r="D7">
        <v>5.7219881034210403</v>
      </c>
      <c r="E7">
        <v>5.42058432875886</v>
      </c>
      <c r="F7">
        <v>112.518424141582</v>
      </c>
      <c r="G7">
        <v>953915014.63</v>
      </c>
    </row>
    <row r="8" spans="1:19" x14ac:dyDescent="0.25">
      <c r="A8">
        <v>-100</v>
      </c>
      <c r="B8">
        <v>7</v>
      </c>
      <c r="C8">
        <v>8.0137766470891394E-3</v>
      </c>
      <c r="D8">
        <v>9.2037966438568706</v>
      </c>
      <c r="E8">
        <v>6.5211849391971599</v>
      </c>
      <c r="F8">
        <v>114.456324450849</v>
      </c>
      <c r="G8">
        <v>237715547.09999999</v>
      </c>
    </row>
    <row r="9" spans="1:19" x14ac:dyDescent="0.25">
      <c r="A9">
        <v>-100</v>
      </c>
      <c r="B9">
        <v>8</v>
      </c>
      <c r="C9">
        <v>3.4744980769622902E-3</v>
      </c>
      <c r="D9">
        <v>4.0906371964479398</v>
      </c>
      <c r="E9">
        <v>8.7920425892850194</v>
      </c>
      <c r="F9">
        <v>116.04439798187499</v>
      </c>
      <c r="G9">
        <v>2137392381.72</v>
      </c>
    </row>
    <row r="10" spans="1:19" x14ac:dyDescent="0.25">
      <c r="A10">
        <v>-125</v>
      </c>
      <c r="B10">
        <v>1</v>
      </c>
      <c r="C10">
        <v>2.8491723486371901E-2</v>
      </c>
      <c r="D10">
        <v>29.3099876177262</v>
      </c>
      <c r="E10">
        <v>0.37488572993610098</v>
      </c>
      <c r="F10">
        <v>102.815096636495</v>
      </c>
      <c r="G10">
        <v>8843626.4700000007</v>
      </c>
    </row>
    <row r="11" spans="1:19" x14ac:dyDescent="0.25">
      <c r="A11">
        <v>-125</v>
      </c>
      <c r="B11">
        <v>2</v>
      </c>
      <c r="C11">
        <v>5.1878643247696603E-3</v>
      </c>
      <c r="D11">
        <v>6.0508414191654403</v>
      </c>
      <c r="E11">
        <v>1.3993479037833501</v>
      </c>
      <c r="F11">
        <v>104.99545039373101</v>
      </c>
      <c r="G11">
        <v>31807738.149999999</v>
      </c>
      <c r="K11" s="1" t="s">
        <v>10</v>
      </c>
      <c r="L11" s="1" t="s">
        <v>8</v>
      </c>
    </row>
    <row r="12" spans="1:19" x14ac:dyDescent="0.25">
      <c r="A12">
        <v>-125</v>
      </c>
      <c r="B12">
        <v>3</v>
      </c>
      <c r="C12">
        <v>2.27770432637497E-4</v>
      </c>
      <c r="D12">
        <v>0.27298237515462898</v>
      </c>
      <c r="E12">
        <v>2.5503680886809699</v>
      </c>
      <c r="F12">
        <v>106.438796314763</v>
      </c>
      <c r="G12">
        <v>12169489.99</v>
      </c>
      <c r="K12" s="1" t="s">
        <v>7</v>
      </c>
      <c r="L12">
        <v>1</v>
      </c>
      <c r="M12">
        <v>2</v>
      </c>
      <c r="N12">
        <v>3</v>
      </c>
      <c r="O12">
        <v>4</v>
      </c>
      <c r="P12">
        <v>5</v>
      </c>
      <c r="Q12">
        <v>6</v>
      </c>
      <c r="R12">
        <v>7</v>
      </c>
      <c r="S12">
        <v>8</v>
      </c>
    </row>
    <row r="13" spans="1:19" x14ac:dyDescent="0.25">
      <c r="A13">
        <v>-125</v>
      </c>
      <c r="B13">
        <v>4</v>
      </c>
      <c r="C13">
        <v>4.42639209537783E-4</v>
      </c>
      <c r="D13">
        <v>0.52987582301910996</v>
      </c>
      <c r="E13">
        <v>3.69864292772098</v>
      </c>
      <c r="F13">
        <v>109.41095675000101</v>
      </c>
      <c r="G13">
        <v>53148545.119999997</v>
      </c>
      <c r="K13" s="2">
        <v>-75</v>
      </c>
      <c r="L13" s="5">
        <v>197878059.12</v>
      </c>
      <c r="M13" s="5">
        <v>1272770755.3599999</v>
      </c>
      <c r="N13" s="5">
        <v>2636642565.0900002</v>
      </c>
      <c r="O13" s="5">
        <v>9875986897.8400002</v>
      </c>
      <c r="P13" s="5">
        <v>6711163533.2600002</v>
      </c>
      <c r="Q13" s="5">
        <v>7632775957.2700005</v>
      </c>
      <c r="R13" s="5">
        <v>2343837939.4400001</v>
      </c>
      <c r="S13" s="5">
        <v>21670941704.310001</v>
      </c>
    </row>
    <row r="14" spans="1:19" x14ac:dyDescent="0.25">
      <c r="A14">
        <v>-125</v>
      </c>
      <c r="B14">
        <v>5</v>
      </c>
      <c r="C14">
        <v>6.1667336008405498E-3</v>
      </c>
      <c r="D14">
        <v>7.1541799246697604</v>
      </c>
      <c r="E14">
        <v>4.5919264820410604</v>
      </c>
      <c r="F14">
        <v>111.51344485870401</v>
      </c>
      <c r="G14">
        <v>44808999.039999999</v>
      </c>
      <c r="K14" s="2">
        <v>-50</v>
      </c>
      <c r="L14" s="5">
        <v>1222296569.28</v>
      </c>
      <c r="M14" s="5">
        <v>4666018171.1800003</v>
      </c>
      <c r="N14" s="5">
        <v>11623708706.969999</v>
      </c>
      <c r="O14" s="5">
        <v>36003597965.050003</v>
      </c>
      <c r="P14" s="5">
        <v>23224544319.599998</v>
      </c>
      <c r="Q14" s="5">
        <v>28857402317.009998</v>
      </c>
      <c r="R14" s="5">
        <v>9205591705.8199997</v>
      </c>
      <c r="S14" s="5">
        <v>97453876324.690002</v>
      </c>
    </row>
    <row r="15" spans="1:19" x14ac:dyDescent="0.25">
      <c r="A15">
        <v>-125</v>
      </c>
      <c r="B15">
        <v>6</v>
      </c>
      <c r="C15">
        <v>1.22838174992458E-2</v>
      </c>
      <c r="D15">
        <v>13.7843651621522</v>
      </c>
      <c r="E15">
        <v>5.46370012805078</v>
      </c>
      <c r="F15">
        <v>112.381843624845</v>
      </c>
      <c r="G15">
        <v>37817703.659999996</v>
      </c>
    </row>
    <row r="16" spans="1:19" x14ac:dyDescent="0.25">
      <c r="A16">
        <v>-125</v>
      </c>
      <c r="B16">
        <v>7</v>
      </c>
      <c r="C16">
        <v>1.58175112109474E-4</v>
      </c>
      <c r="D16">
        <v>0.18964509374802499</v>
      </c>
      <c r="E16">
        <v>6.5319741374478104</v>
      </c>
      <c r="F16">
        <v>114.132443556312</v>
      </c>
      <c r="G16">
        <v>14251609.939999999</v>
      </c>
    </row>
    <row r="17" spans="1:19" x14ac:dyDescent="0.25">
      <c r="A17">
        <v>-125</v>
      </c>
      <c r="B17">
        <v>8</v>
      </c>
      <c r="C17">
        <v>3.5582326118688899E-3</v>
      </c>
      <c r="D17">
        <v>4.1872996355382996</v>
      </c>
      <c r="E17">
        <v>8.6485661555915598</v>
      </c>
      <c r="F17">
        <v>115.885638602619</v>
      </c>
      <c r="G17">
        <v>80647228.920000002</v>
      </c>
    </row>
    <row r="18" spans="1:19" x14ac:dyDescent="0.25">
      <c r="A18">
        <v>-150</v>
      </c>
      <c r="B18">
        <v>1</v>
      </c>
      <c r="C18">
        <v>1.00398782631886E-6</v>
      </c>
      <c r="D18">
        <v>1.2047787387280001E-3</v>
      </c>
      <c r="E18">
        <v>0.79053714050902502</v>
      </c>
      <c r="F18">
        <v>103.540233743344</v>
      </c>
      <c r="G18">
        <v>2251023.31</v>
      </c>
      <c r="K18" s="1" t="s">
        <v>11</v>
      </c>
      <c r="L18" s="1" t="s">
        <v>8</v>
      </c>
    </row>
    <row r="19" spans="1:19" x14ac:dyDescent="0.25">
      <c r="A19">
        <v>-150</v>
      </c>
      <c r="B19">
        <v>2</v>
      </c>
      <c r="C19">
        <v>4.0373850016871403E-2</v>
      </c>
      <c r="D19">
        <v>39.014738734709702</v>
      </c>
      <c r="E19">
        <v>1.35575407645557</v>
      </c>
      <c r="F19">
        <v>105.556838827127</v>
      </c>
      <c r="G19">
        <v>11037371.710000001</v>
      </c>
      <c r="K19" s="1" t="s">
        <v>7</v>
      </c>
      <c r="L19">
        <v>1</v>
      </c>
      <c r="M19">
        <v>2</v>
      </c>
      <c r="N19">
        <v>3</v>
      </c>
      <c r="O19">
        <v>4</v>
      </c>
      <c r="P19">
        <v>5</v>
      </c>
      <c r="Q19">
        <v>6</v>
      </c>
      <c r="R19">
        <v>7</v>
      </c>
      <c r="S19">
        <v>8</v>
      </c>
    </row>
    <row r="20" spans="1:19" x14ac:dyDescent="0.25">
      <c r="A20">
        <v>-150</v>
      </c>
      <c r="B20">
        <v>3</v>
      </c>
      <c r="C20">
        <v>8.5230724329475298E-8</v>
      </c>
      <c r="D20">
        <v>1.02276821301E-4</v>
      </c>
      <c r="E20">
        <v>2.3132540571882401</v>
      </c>
      <c r="F20">
        <v>105.29532409890599</v>
      </c>
      <c r="G20">
        <v>703971.49</v>
      </c>
      <c r="K20" s="2">
        <v>-75</v>
      </c>
      <c r="L20" s="4">
        <v>-1.1463553367876999E-2</v>
      </c>
      <c r="M20" s="11">
        <v>1.5409489489589101</v>
      </c>
      <c r="N20" s="11">
        <v>2.6231902618945702</v>
      </c>
      <c r="O20" s="12">
        <v>3.4975568471969698</v>
      </c>
      <c r="P20" s="13">
        <v>4.5839506718662699</v>
      </c>
      <c r="Q20" s="13">
        <v>5.3820555624838402</v>
      </c>
      <c r="R20" s="13">
        <v>6.5533528899797204</v>
      </c>
      <c r="S20" s="13">
        <v>8.9368856155338108</v>
      </c>
    </row>
    <row r="21" spans="1:19" x14ac:dyDescent="0.25">
      <c r="A21">
        <v>-150</v>
      </c>
      <c r="B21">
        <v>4</v>
      </c>
      <c r="C21">
        <v>1.6748311818248101E-4</v>
      </c>
      <c r="D21">
        <v>0.20079471120988401</v>
      </c>
      <c r="E21">
        <v>3.63936317124235</v>
      </c>
      <c r="F21">
        <v>109.26633837333399</v>
      </c>
      <c r="G21">
        <v>1786627.83</v>
      </c>
      <c r="K21" s="2">
        <v>-50</v>
      </c>
      <c r="L21" s="4">
        <v>0.36130271753375498</v>
      </c>
      <c r="M21" s="11">
        <v>1.55898914048923</v>
      </c>
      <c r="N21" s="11">
        <v>2.61204684942832</v>
      </c>
      <c r="O21" s="12">
        <v>3.47762575555321</v>
      </c>
      <c r="P21" s="13">
        <v>4.5695448504713303</v>
      </c>
      <c r="Q21" s="13">
        <v>5.4179584237736202</v>
      </c>
      <c r="R21" s="13">
        <v>6.5012153517624096</v>
      </c>
      <c r="S21" s="13">
        <v>9.1772958792341406</v>
      </c>
    </row>
    <row r="22" spans="1:19" x14ac:dyDescent="0.25">
      <c r="A22">
        <v>-150</v>
      </c>
      <c r="B22">
        <v>5</v>
      </c>
      <c r="C22">
        <v>1.1758087469718799E-4</v>
      </c>
      <c r="D22">
        <v>0.141005838660335</v>
      </c>
      <c r="E22">
        <v>4.6307560836377597</v>
      </c>
      <c r="F22">
        <v>111.71124741001501</v>
      </c>
      <c r="G22">
        <v>1593966.71</v>
      </c>
    </row>
    <row r="23" spans="1:19" x14ac:dyDescent="0.25">
      <c r="A23">
        <v>-150</v>
      </c>
      <c r="B23">
        <v>6</v>
      </c>
      <c r="C23">
        <v>4.9481762361530896E-4</v>
      </c>
      <c r="D23">
        <v>0.59216783717509502</v>
      </c>
      <c r="E23">
        <v>5.4329899017119603</v>
      </c>
      <c r="F23">
        <v>112.44050026225401</v>
      </c>
      <c r="G23">
        <v>1981275.43</v>
      </c>
    </row>
    <row r="24" spans="1:19" x14ac:dyDescent="0.25">
      <c r="A24">
        <v>-150</v>
      </c>
      <c r="B24">
        <v>7</v>
      </c>
      <c r="C24">
        <v>1.18022406894481E-4</v>
      </c>
      <c r="D24">
        <v>0.14153499112682399</v>
      </c>
      <c r="E24">
        <v>6.7314770042781298</v>
      </c>
      <c r="F24">
        <v>114.89283049929701</v>
      </c>
      <c r="G24">
        <v>1159949.23</v>
      </c>
    </row>
    <row r="25" spans="1:19" x14ac:dyDescent="0.25">
      <c r="A25">
        <v>-150</v>
      </c>
      <c r="B25">
        <v>8</v>
      </c>
      <c r="C25">
        <v>9.8933813312518701E-5</v>
      </c>
      <c r="D25">
        <v>0.118655997137762</v>
      </c>
      <c r="E25">
        <v>8.8928466465859994</v>
      </c>
      <c r="F25">
        <v>115.98341806446101</v>
      </c>
      <c r="G25">
        <v>2081795.83</v>
      </c>
    </row>
    <row r="26" spans="1:19" x14ac:dyDescent="0.25">
      <c r="A26">
        <v>-175</v>
      </c>
      <c r="B26">
        <v>1</v>
      </c>
      <c r="C26">
        <v>0</v>
      </c>
      <c r="D26">
        <v>0</v>
      </c>
      <c r="E26">
        <v>0.96826077009396605</v>
      </c>
      <c r="F26">
        <v>102.212709044866</v>
      </c>
      <c r="G26">
        <v>356649.4</v>
      </c>
    </row>
    <row r="27" spans="1:19" x14ac:dyDescent="0.25">
      <c r="A27">
        <v>-175</v>
      </c>
      <c r="B27">
        <v>2</v>
      </c>
      <c r="C27">
        <v>1.25205381541936E-6</v>
      </c>
      <c r="D27">
        <v>1.5024542321160001E-3</v>
      </c>
      <c r="E27">
        <v>1.2647817146051401</v>
      </c>
      <c r="F27">
        <v>105.2766453349</v>
      </c>
      <c r="G27">
        <v>2404050.02</v>
      </c>
    </row>
    <row r="28" spans="1:19" x14ac:dyDescent="0.25">
      <c r="A28">
        <v>-175</v>
      </c>
      <c r="B28">
        <v>3</v>
      </c>
      <c r="C28">
        <v>4.9689922461360402E-8</v>
      </c>
      <c r="D28">
        <v>5.9627890581000002E-5</v>
      </c>
      <c r="E28">
        <v>2.03782422393268</v>
      </c>
      <c r="F28">
        <v>106.225017491803</v>
      </c>
      <c r="G28">
        <v>201248.05</v>
      </c>
    </row>
    <row r="29" spans="1:19" x14ac:dyDescent="0.25">
      <c r="A29">
        <v>-175</v>
      </c>
      <c r="B29">
        <v>6</v>
      </c>
      <c r="C29">
        <v>0</v>
      </c>
      <c r="D29">
        <v>0</v>
      </c>
      <c r="E29">
        <v>5.3830545877573099</v>
      </c>
      <c r="F29">
        <v>112.21639294643199</v>
      </c>
      <c r="G29">
        <v>262743.75</v>
      </c>
    </row>
    <row r="30" spans="1:19" x14ac:dyDescent="0.25">
      <c r="A30">
        <v>-175</v>
      </c>
      <c r="B30">
        <v>8</v>
      </c>
      <c r="C30">
        <v>5.1313693736570497E-5</v>
      </c>
      <c r="D30">
        <v>6.1559057027948998E-2</v>
      </c>
      <c r="E30">
        <v>8.5988991786493703</v>
      </c>
      <c r="F30">
        <v>115.127212875016</v>
      </c>
      <c r="G30">
        <v>142457.1</v>
      </c>
    </row>
    <row r="31" spans="1:19" x14ac:dyDescent="0.25">
      <c r="A31">
        <v>-50</v>
      </c>
      <c r="B31">
        <v>1</v>
      </c>
      <c r="C31">
        <v>4.5277096484529497E-3</v>
      </c>
      <c r="D31">
        <v>5.2999719170597697</v>
      </c>
      <c r="E31">
        <v>0.36130271753375498</v>
      </c>
      <c r="F31">
        <v>102.376952242093</v>
      </c>
      <c r="G31">
        <v>1222296569.28</v>
      </c>
    </row>
    <row r="32" spans="1:19" x14ac:dyDescent="0.25">
      <c r="A32">
        <v>-50</v>
      </c>
      <c r="B32">
        <v>2</v>
      </c>
      <c r="C32">
        <v>5.5294850755960899E-3</v>
      </c>
      <c r="D32">
        <v>6.4372593015208199</v>
      </c>
      <c r="E32">
        <v>1.55898914048923</v>
      </c>
      <c r="F32">
        <v>104.465210427288</v>
      </c>
      <c r="G32">
        <v>4666018171.1800003</v>
      </c>
    </row>
    <row r="33" spans="1:7" x14ac:dyDescent="0.25">
      <c r="A33">
        <v>-50</v>
      </c>
      <c r="B33">
        <v>3</v>
      </c>
      <c r="C33">
        <v>4.9375012121205004E-3</v>
      </c>
      <c r="D33">
        <v>5.7667195665997397</v>
      </c>
      <c r="E33">
        <v>2.61204684942832</v>
      </c>
      <c r="F33">
        <v>107.350683360193</v>
      </c>
      <c r="G33">
        <v>11623708706.969999</v>
      </c>
    </row>
    <row r="34" spans="1:7" x14ac:dyDescent="0.25">
      <c r="A34">
        <v>-50</v>
      </c>
      <c r="B34">
        <v>4</v>
      </c>
      <c r="C34">
        <v>5.7200562710403502E-3</v>
      </c>
      <c r="D34">
        <v>6.6521867317478103</v>
      </c>
      <c r="E34">
        <v>3.47762575555321</v>
      </c>
      <c r="F34">
        <v>108.81585252627499</v>
      </c>
      <c r="G34">
        <v>36003597965.050003</v>
      </c>
    </row>
    <row r="35" spans="1:7" x14ac:dyDescent="0.25">
      <c r="A35">
        <v>-50</v>
      </c>
      <c r="B35">
        <v>5</v>
      </c>
      <c r="C35">
        <v>6.1181303669361796E-3</v>
      </c>
      <c r="D35">
        <v>7.0996779725308103</v>
      </c>
      <c r="E35">
        <v>4.5695448504713303</v>
      </c>
      <c r="F35">
        <v>111.575834116807</v>
      </c>
      <c r="G35">
        <v>23224544319.599998</v>
      </c>
    </row>
    <row r="36" spans="1:7" x14ac:dyDescent="0.25">
      <c r="A36">
        <v>-50</v>
      </c>
      <c r="B36">
        <v>6</v>
      </c>
      <c r="C36">
        <v>5.5607416647274503E-3</v>
      </c>
      <c r="D36">
        <v>6.4725417551864703</v>
      </c>
      <c r="E36">
        <v>5.4179584237736202</v>
      </c>
      <c r="F36">
        <v>112.86847316981699</v>
      </c>
      <c r="G36">
        <v>28857402317.009998</v>
      </c>
    </row>
    <row r="37" spans="1:7" x14ac:dyDescent="0.25">
      <c r="A37">
        <v>-50</v>
      </c>
      <c r="B37">
        <v>7</v>
      </c>
      <c r="C37">
        <v>7.0700299231012398E-3</v>
      </c>
      <c r="D37">
        <v>8.1617852354488392</v>
      </c>
      <c r="E37">
        <v>6.5012153517624096</v>
      </c>
      <c r="F37">
        <v>114.269609132658</v>
      </c>
      <c r="G37">
        <v>9205591705.8199997</v>
      </c>
    </row>
    <row r="38" spans="1:7" x14ac:dyDescent="0.25">
      <c r="A38">
        <v>-50</v>
      </c>
      <c r="B38">
        <v>8</v>
      </c>
      <c r="C38">
        <v>6.0403805232820901E-3</v>
      </c>
      <c r="D38">
        <v>7.0124310557990004</v>
      </c>
      <c r="E38">
        <v>9.1772958792341406</v>
      </c>
      <c r="F38">
        <v>116.891623476699</v>
      </c>
      <c r="G38">
        <v>97453876324.690002</v>
      </c>
    </row>
    <row r="39" spans="1:7" x14ac:dyDescent="0.25">
      <c r="A39">
        <v>-75</v>
      </c>
      <c r="B39">
        <v>1</v>
      </c>
      <c r="C39">
        <v>4.1573431822530598E-4</v>
      </c>
      <c r="D39">
        <v>0.49774205001432698</v>
      </c>
      <c r="E39">
        <v>-1.1463553367876999E-2</v>
      </c>
      <c r="F39">
        <v>101.47821703135099</v>
      </c>
      <c r="G39">
        <v>197878059.12</v>
      </c>
    </row>
    <row r="40" spans="1:7" x14ac:dyDescent="0.25">
      <c r="A40">
        <v>-75</v>
      </c>
      <c r="B40">
        <v>2</v>
      </c>
      <c r="C40">
        <v>3.7961474834746498E-3</v>
      </c>
      <c r="D40">
        <v>4.4614594230915703</v>
      </c>
      <c r="E40">
        <v>1.5409489489589101</v>
      </c>
      <c r="F40">
        <v>105.032934406999</v>
      </c>
      <c r="G40">
        <v>1272770755.3599999</v>
      </c>
    </row>
    <row r="41" spans="1:7" x14ac:dyDescent="0.25">
      <c r="A41">
        <v>-75</v>
      </c>
      <c r="B41">
        <v>3</v>
      </c>
      <c r="C41">
        <v>4.4941861240093799E-3</v>
      </c>
      <c r="D41">
        <v>5.2616954107945499</v>
      </c>
      <c r="E41">
        <v>2.6231902618945702</v>
      </c>
      <c r="F41">
        <v>107.472221845249</v>
      </c>
      <c r="G41">
        <v>2636642565.0900002</v>
      </c>
    </row>
    <row r="42" spans="1:7" x14ac:dyDescent="0.25">
      <c r="A42">
        <v>-75</v>
      </c>
      <c r="B42">
        <v>4</v>
      </c>
      <c r="C42">
        <v>5.1479813891935804E-3</v>
      </c>
      <c r="D42">
        <v>6.0056333511668001</v>
      </c>
      <c r="E42">
        <v>3.4975568471969698</v>
      </c>
      <c r="F42">
        <v>108.87811522613001</v>
      </c>
      <c r="G42">
        <v>9875986897.8400002</v>
      </c>
    </row>
    <row r="43" spans="1:7" x14ac:dyDescent="0.25">
      <c r="A43">
        <v>-75</v>
      </c>
      <c r="B43">
        <v>5</v>
      </c>
      <c r="C43">
        <v>6.0282376177395701E-3</v>
      </c>
      <c r="D43">
        <v>6.9987981260553997</v>
      </c>
      <c r="E43">
        <v>4.5839506718662699</v>
      </c>
      <c r="F43">
        <v>111.55518517439199</v>
      </c>
      <c r="G43">
        <v>6711163533.2600002</v>
      </c>
    </row>
    <row r="44" spans="1:7" x14ac:dyDescent="0.25">
      <c r="A44">
        <v>-75</v>
      </c>
      <c r="B44">
        <v>6</v>
      </c>
      <c r="C44">
        <v>5.2165432999609698E-3</v>
      </c>
      <c r="D44">
        <v>6.0833372642271</v>
      </c>
      <c r="E44">
        <v>5.3820555624838402</v>
      </c>
      <c r="F44">
        <v>112.701819638418</v>
      </c>
      <c r="G44">
        <v>7632775957.2700005</v>
      </c>
    </row>
    <row r="45" spans="1:7" x14ac:dyDescent="0.25">
      <c r="A45">
        <v>-75</v>
      </c>
      <c r="B45">
        <v>7</v>
      </c>
      <c r="C45">
        <v>7.4960876493866298E-3</v>
      </c>
      <c r="D45">
        <v>8.63355469764692</v>
      </c>
      <c r="E45">
        <v>6.5533528899797204</v>
      </c>
      <c r="F45">
        <v>114.459987328587</v>
      </c>
      <c r="G45">
        <v>2343837939.4400001</v>
      </c>
    </row>
    <row r="46" spans="1:7" x14ac:dyDescent="0.25">
      <c r="A46">
        <v>-75</v>
      </c>
      <c r="B46">
        <v>8</v>
      </c>
      <c r="C46">
        <v>5.7832719057646703E-3</v>
      </c>
      <c r="D46">
        <v>6.7233817093098898</v>
      </c>
      <c r="E46">
        <v>8.9368856155338108</v>
      </c>
      <c r="F46">
        <v>116.29844341959399</v>
      </c>
      <c r="G46">
        <v>21670941704.310001</v>
      </c>
    </row>
  </sheetData>
  <conditionalFormatting pivot="1" sqref="L13:S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{44F0932D-2DCE-42D1-BEEF-733565F01A61}</x14:id>
        </ext>
      </extLst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4F0932D-2DCE-42D1-BEEF-733565F01A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L13:S14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2m bucket</vt:lpstr>
      <vt:lpstr>1m bucket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Chunnip Lee</cp:lastModifiedBy>
  <dcterms:created xsi:type="dcterms:W3CDTF">2018-05-22T23:28:54Z</dcterms:created>
  <dcterms:modified xsi:type="dcterms:W3CDTF">2018-05-25T17:42:09Z</dcterms:modified>
</cp:coreProperties>
</file>