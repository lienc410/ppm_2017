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-curve 3-buckets" sheetId="4" r:id="rId1"/>
    <sheet name="S-curve 5-buckets" sheetId="2" r:id="rId2"/>
    <sheet name="Distribution" sheetId="1" r:id="rId3"/>
    <sheet name="Sheet3" sheetId="3" r:id="rId4"/>
  </sheets>
  <calcPr calcId="145621"/>
  <pivotCaches>
    <pivotCache cacheId="193" r:id="rId5"/>
    <pivotCache cacheId="220" r:id="rId6"/>
    <pivotCache cacheId="228" r:id="rId7"/>
    <pivotCache cacheId="231" r:id="rId8"/>
    <pivotCache cacheId="234" r:id="rId9"/>
  </pivotCaches>
</workbook>
</file>

<file path=xl/calcChain.xml><?xml version="1.0" encoding="utf-8"?>
<calcChain xmlns="http://schemas.openxmlformats.org/spreadsheetml/2006/main">
  <c r="L4" i="1" l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3" i="1"/>
  <c r="L2" i="1"/>
  <c r="O23" i="1"/>
  <c r="O24" i="1"/>
  <c r="O25" i="1"/>
  <c r="O26" i="1"/>
  <c r="O27" i="1"/>
  <c r="O28" i="1"/>
  <c r="O29" i="1"/>
  <c r="O30" i="1"/>
  <c r="O31" i="1"/>
  <c r="O22" i="1"/>
</calcChain>
</file>

<file path=xl/sharedStrings.xml><?xml version="1.0" encoding="utf-8"?>
<sst xmlns="http://schemas.openxmlformats.org/spreadsheetml/2006/main" count="49" uniqueCount="19">
  <si>
    <t>hpaBucket</t>
  </si>
  <si>
    <t>smm</t>
  </si>
  <si>
    <t>cpr</t>
  </si>
  <si>
    <t>hpa_</t>
  </si>
  <si>
    <t>bal</t>
  </si>
  <si>
    <t>Column Labels</t>
  </si>
  <si>
    <t>Grand Total</t>
  </si>
  <si>
    <t>Row Labels</t>
  </si>
  <si>
    <t>Sum of bal</t>
  </si>
  <si>
    <t>Annualized</t>
  </si>
  <si>
    <t>2Yr</t>
  </si>
  <si>
    <t>CumBal</t>
  </si>
  <si>
    <t>incentiveBucket</t>
  </si>
  <si>
    <t>Sum of cpr</t>
  </si>
  <si>
    <t>hpa_annual_</t>
  </si>
  <si>
    <t>hpa_2yr_</t>
  </si>
  <si>
    <t>Sum of hpa_2yr_</t>
  </si>
  <si>
    <t>Sum of hpa_annual_</t>
  </si>
  <si>
    <t>Average of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</si>
</sst>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4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6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4" formatCode="0.00%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4" formatCode="0.00%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35" formatCode="_(* #,##0.00_);_(* \(#,##0.0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analysis_OTM_HPA2Yr_v1_Onwer.xlsx]S-curve 3-buckets!PivotTable26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'S-curve 3-buckets'!$J$1:$J$2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'S-curve 3-buckets'!$I$3:$I$5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3-buckets'!$J$3:$J$5</c:f>
              <c:numCache>
                <c:formatCode>General</c:formatCode>
                <c:ptCount val="3"/>
                <c:pt idx="0">
                  <c:v>0.64902504558378404</c:v>
                </c:pt>
                <c:pt idx="1">
                  <c:v>4.3682487638210796</c:v>
                </c:pt>
                <c:pt idx="2">
                  <c:v>6.7538732531066401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'S-curve 3-buckets'!$K$1:$K$2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'S-curve 3-buckets'!$I$3:$I$5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3-buckets'!$K$3:$K$5</c:f>
              <c:numCache>
                <c:formatCode>General</c:formatCode>
                <c:ptCount val="3"/>
                <c:pt idx="0">
                  <c:v>3.6501972403948302</c:v>
                </c:pt>
                <c:pt idx="1">
                  <c:v>5.5761233650301598</c:v>
                </c:pt>
                <c:pt idx="2">
                  <c:v>6.4379216757025999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'S-curve 3-buckets'!$L$1:$L$2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strRef>
              <c:f>'S-curve 3-buckets'!$I$3:$I$5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3-buckets'!$L$3:$L$5</c:f>
              <c:numCache>
                <c:formatCode>General</c:formatCode>
                <c:ptCount val="3"/>
                <c:pt idx="0">
                  <c:v>5.4388769108866901</c:v>
                </c:pt>
                <c:pt idx="1">
                  <c:v>6.8176411959525796</c:v>
                </c:pt>
                <c:pt idx="2">
                  <c:v>6.9676210840951098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804928"/>
        <c:axId val="297806464"/>
      </c:lineChart>
      <c:catAx>
        <c:axId val="297804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97806464"/>
        <c:crosses val="autoZero"/>
        <c:auto val="1"/>
        <c:lblAlgn val="ctr"/>
        <c:lblOffset val="100"/>
        <c:noMultiLvlLbl val="0"/>
      </c:catAx>
      <c:valAx>
        <c:axId val="29780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7804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analysis_OTM_HPA2Yr_v1_Onwer.xlsx]S-curve 5-buckets!PivotTable26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'S-curve 5-buckets'!$J$1:$J$2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'S-curve 5-buckets'!$I$3:$I$5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5-buckets'!$J$3:$J$5</c:f>
              <c:numCache>
                <c:formatCode>General</c:formatCode>
                <c:ptCount val="3"/>
                <c:pt idx="0">
                  <c:v>0.64902504558378404</c:v>
                </c:pt>
                <c:pt idx="1">
                  <c:v>4.3682487638210796</c:v>
                </c:pt>
                <c:pt idx="2">
                  <c:v>6.7538732531066401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'S-curve 5-buckets'!$K$1:$K$2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'S-curve 5-buckets'!$I$3:$I$5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5-buckets'!$K$3:$K$5</c:f>
              <c:numCache>
                <c:formatCode>General</c:formatCode>
                <c:ptCount val="3"/>
                <c:pt idx="0">
                  <c:v>3.6501972403948302</c:v>
                </c:pt>
                <c:pt idx="1">
                  <c:v>5.5761233650301598</c:v>
                </c:pt>
                <c:pt idx="2">
                  <c:v>6.4379216757025999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'S-curve 5-buckets'!$L$1:$L$2</c:f>
              <c:strCache>
                <c:ptCount val="1"/>
                <c:pt idx="0">
                  <c:v>14</c:v>
                </c:pt>
              </c:strCache>
            </c:strRef>
          </c:tx>
          <c:marker>
            <c:symbol val="none"/>
          </c:marker>
          <c:cat>
            <c:strRef>
              <c:f>'S-curve 5-buckets'!$I$3:$I$5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5-buckets'!$L$3:$L$5</c:f>
              <c:numCache>
                <c:formatCode>General</c:formatCode>
                <c:ptCount val="3"/>
                <c:pt idx="0">
                  <c:v>6.9023427604306997</c:v>
                </c:pt>
                <c:pt idx="1">
                  <c:v>6.9423976262796803</c:v>
                </c:pt>
                <c:pt idx="2">
                  <c:v>6.8574126404699003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'S-curve 5-buckets'!$M$1:$M$2</c:f>
              <c:strCache>
                <c:ptCount val="1"/>
                <c:pt idx="0">
                  <c:v>18</c:v>
                </c:pt>
              </c:strCache>
            </c:strRef>
          </c:tx>
          <c:marker>
            <c:symbol val="none"/>
          </c:marker>
          <c:cat>
            <c:strRef>
              <c:f>'S-curve 5-buckets'!$I$3:$I$5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5-buckets'!$M$3:$M$5</c:f>
              <c:numCache>
                <c:formatCode>General</c:formatCode>
                <c:ptCount val="3"/>
                <c:pt idx="0">
                  <c:v>4.1830755885077702</c:v>
                </c:pt>
                <c:pt idx="1">
                  <c:v>6.7311143274332501</c:v>
                </c:pt>
                <c:pt idx="2">
                  <c:v>6.9158880330525898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'S-curve 5-buckets'!$N$1:$N$2</c:f>
              <c:strCache>
                <c:ptCount val="1"/>
                <c:pt idx="0">
                  <c:v>22</c:v>
                </c:pt>
              </c:strCache>
            </c:strRef>
          </c:tx>
          <c:marker>
            <c:symbol val="none"/>
          </c:marker>
          <c:cat>
            <c:strRef>
              <c:f>'S-curve 5-buckets'!$I$3:$I$5</c:f>
              <c:strCache>
                <c:ptCount val="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</c:strCache>
            </c:strRef>
          </c:cat>
          <c:val>
            <c:numRef>
              <c:f>'S-curve 5-buckets'!$N$3:$N$5</c:f>
              <c:numCache>
                <c:formatCode>General</c:formatCode>
                <c:ptCount val="3"/>
                <c:pt idx="0">
                  <c:v>2.7504277379751501</c:v>
                </c:pt>
                <c:pt idx="1">
                  <c:v>6.6960265147762197</c:v>
                </c:pt>
                <c:pt idx="2">
                  <c:v>7.4898091367596704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422400"/>
        <c:axId val="462424704"/>
      </c:lineChart>
      <c:catAx>
        <c:axId val="462422400"/>
        <c:scaling>
          <c:orientation val="minMax"/>
        </c:scaling>
        <c:delete val="0"/>
        <c:axPos val="b"/>
        <c:majorTickMark val="out"/>
        <c:minorTickMark val="none"/>
        <c:tickLblPos val="nextTo"/>
        <c:crossAx val="462424704"/>
        <c:crosses val="autoZero"/>
        <c:auto val="1"/>
        <c:lblAlgn val="ctr"/>
        <c:lblOffset val="100"/>
        <c:noMultiLvlLbl val="0"/>
      </c:catAx>
      <c:valAx>
        <c:axId val="462424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2422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analysis_OTM_HPA2Yr_v1_Onwer.xlsx]Distribution!PivotTable25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Distribution!$J$1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Distribution!$I$2:$I$58</c:f>
              <c:strCache>
                <c:ptCount val="56"/>
                <c:pt idx="0">
                  <c:v>-10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  <c:pt idx="50">
                  <c:v>41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48</c:v>
                </c:pt>
              </c:strCache>
            </c:strRef>
          </c:cat>
          <c:val>
            <c:numRef>
              <c:f>Distribution!$J$2:$J$58</c:f>
              <c:numCache>
                <c:formatCode>0.00%</c:formatCode>
                <c:ptCount val="56"/>
                <c:pt idx="0">
                  <c:v>6.3102439556033847E-3</c:v>
                </c:pt>
                <c:pt idx="1">
                  <c:v>2.7596847317716427E-7</c:v>
                </c:pt>
                <c:pt idx="2">
                  <c:v>1.5040595189413186E-3</c:v>
                </c:pt>
                <c:pt idx="3">
                  <c:v>1.5527599659933778E-7</c:v>
                </c:pt>
                <c:pt idx="4">
                  <c:v>8.5704827806302985E-6</c:v>
                </c:pt>
                <c:pt idx="5">
                  <c:v>8.3388933571054742E-9</c:v>
                </c:pt>
                <c:pt idx="6">
                  <c:v>3.3646492490691535E-4</c:v>
                </c:pt>
                <c:pt idx="7">
                  <c:v>1.8660726018271483E-6</c:v>
                </c:pt>
                <c:pt idx="8">
                  <c:v>2.036843384806358E-6</c:v>
                </c:pt>
                <c:pt idx="9">
                  <c:v>3.25992982505129E-4</c:v>
                </c:pt>
                <c:pt idx="10">
                  <c:v>3.8974197056998081E-4</c:v>
                </c:pt>
                <c:pt idx="11">
                  <c:v>3.3782524357493893E-3</c:v>
                </c:pt>
                <c:pt idx="12">
                  <c:v>1.6852467238695115E-2</c:v>
                </c:pt>
                <c:pt idx="13">
                  <c:v>3.422887362319673E-2</c:v>
                </c:pt>
                <c:pt idx="14">
                  <c:v>2.2972819494377895E-2</c:v>
                </c:pt>
                <c:pt idx="15">
                  <c:v>3.1535787218374314E-2</c:v>
                </c:pt>
                <c:pt idx="16">
                  <c:v>3.8909842438096413E-2</c:v>
                </c:pt>
                <c:pt idx="17">
                  <c:v>4.1569342718385395E-2</c:v>
                </c:pt>
                <c:pt idx="18">
                  <c:v>5.6096473681773368E-2</c:v>
                </c:pt>
                <c:pt idx="19">
                  <c:v>8.2776832184204494E-2</c:v>
                </c:pt>
                <c:pt idx="20">
                  <c:v>6.8805798776571905E-2</c:v>
                </c:pt>
                <c:pt idx="21">
                  <c:v>8.5500473644853123E-2</c:v>
                </c:pt>
                <c:pt idx="22">
                  <c:v>0.15111677179293481</c:v>
                </c:pt>
                <c:pt idx="23">
                  <c:v>0.1071755290179424</c:v>
                </c:pt>
                <c:pt idx="24">
                  <c:v>4.5706468807173287E-2</c:v>
                </c:pt>
                <c:pt idx="25">
                  <c:v>5.6316250902146155E-2</c:v>
                </c:pt>
                <c:pt idx="26">
                  <c:v>2.477602042021974E-2</c:v>
                </c:pt>
                <c:pt idx="27">
                  <c:v>2.6306308075704863E-2</c:v>
                </c:pt>
                <c:pt idx="28">
                  <c:v>1.1443276440221138E-2</c:v>
                </c:pt>
                <c:pt idx="29">
                  <c:v>1.4477537468859427E-2</c:v>
                </c:pt>
                <c:pt idx="30">
                  <c:v>3.2297835415498417E-2</c:v>
                </c:pt>
                <c:pt idx="31">
                  <c:v>2.0710164284134153E-2</c:v>
                </c:pt>
                <c:pt idx="32">
                  <c:v>6.1736568811399765E-3</c:v>
                </c:pt>
                <c:pt idx="33">
                  <c:v>7.2981092898485173E-3</c:v>
                </c:pt>
                <c:pt idx="34">
                  <c:v>3.6999989658897349E-3</c:v>
                </c:pt>
                <c:pt idx="35">
                  <c:v>6.4573371395526483E-7</c:v>
                </c:pt>
                <c:pt idx="36">
                  <c:v>1.6547937553194379E-6</c:v>
                </c:pt>
                <c:pt idx="37">
                  <c:v>9.6798074127278752E-4</c:v>
                </c:pt>
                <c:pt idx="38">
                  <c:v>8.1381770285676725E-7</c:v>
                </c:pt>
                <c:pt idx="39">
                  <c:v>2.2693962713063993E-6</c:v>
                </c:pt>
                <c:pt idx="40">
                  <c:v>7.3115397193851556E-7</c:v>
                </c:pt>
                <c:pt idx="41">
                  <c:v>2.991675629409834E-6</c:v>
                </c:pt>
                <c:pt idx="42">
                  <c:v>1.0215333774491502E-6</c:v>
                </c:pt>
                <c:pt idx="43">
                  <c:v>5.8603466922850368E-6</c:v>
                </c:pt>
                <c:pt idx="44">
                  <c:v>1.2497014358733137E-6</c:v>
                </c:pt>
                <c:pt idx="45">
                  <c:v>1.55069276811299E-6</c:v>
                </c:pt>
                <c:pt idx="46">
                  <c:v>1.1735930723003104E-6</c:v>
                </c:pt>
                <c:pt idx="47">
                  <c:v>4.5628968329819253E-7</c:v>
                </c:pt>
                <c:pt idx="48">
                  <c:v>8.1922968129050977E-7</c:v>
                </c:pt>
                <c:pt idx="49">
                  <c:v>4.8845869566014418E-7</c:v>
                </c:pt>
                <c:pt idx="50">
                  <c:v>8.2710035465428531E-7</c:v>
                </c:pt>
                <c:pt idx="51">
                  <c:v>5.9768030498861316E-7</c:v>
                </c:pt>
                <c:pt idx="52">
                  <c:v>3.0060881028902931E-7</c:v>
                </c:pt>
                <c:pt idx="53">
                  <c:v>1.3318289152722877E-6</c:v>
                </c:pt>
                <c:pt idx="54">
                  <c:v>1.0620006409741664E-6</c:v>
                </c:pt>
                <c:pt idx="55">
                  <c:v>1.8660726018271483E-6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28448"/>
        <c:axId val="78407936"/>
      </c:barChart>
      <c:catAx>
        <c:axId val="77528448"/>
        <c:scaling>
          <c:orientation val="minMax"/>
        </c:scaling>
        <c:delete val="0"/>
        <c:axPos val="b"/>
        <c:majorTickMark val="out"/>
        <c:minorTickMark val="none"/>
        <c:tickLblPos val="nextTo"/>
        <c:crossAx val="78407936"/>
        <c:crosses val="autoZero"/>
        <c:auto val="1"/>
        <c:lblAlgn val="ctr"/>
        <c:lblOffset val="100"/>
        <c:noMultiLvlLbl val="0"/>
      </c:catAx>
      <c:valAx>
        <c:axId val="784079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7752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609601</xdr:colOff>
      <xdr:row>4</xdr:row>
      <xdr:rowOff>157162</xdr:rowOff>
    </xdr:from>
    <xdr:to>
      <xdr:col>20</xdr:col>
      <xdr:colOff>504826</xdr:colOff>
      <xdr:row>29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609600</xdr:colOff>
      <xdr:row>34</xdr:row>
      <xdr:rowOff>123826</xdr:rowOff>
    </xdr:from>
    <xdr:to>
      <xdr:col>21</xdr:col>
      <xdr:colOff>0</xdr:colOff>
      <xdr:row>46</xdr:row>
      <xdr:rowOff>161926</xdr:rowOff>
    </xdr:to>
    <xdr:sp macro="" textlink="">
      <xdr:nvSpPr>
        <xdr:cNvPr id="3" name="TextBox 2"/>
        <xdr:cNvSpPr txBox="1"/>
      </xdr:nvSpPr>
      <xdr:spPr>
        <a:xfrm>
          <a:off x="11925300" y="6600826"/>
          <a:ext cx="5324475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refi_incentive &lt;= -50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  <xdr:twoCellAnchor editAs="oneCell">
    <xdr:from>
      <xdr:col>14</xdr:col>
      <xdr:colOff>0</xdr:colOff>
      <xdr:row>49</xdr:row>
      <xdr:rowOff>0</xdr:rowOff>
    </xdr:from>
    <xdr:to>
      <xdr:col>30</xdr:col>
      <xdr:colOff>408097</xdr:colOff>
      <xdr:row>75</xdr:row>
      <xdr:rowOff>113667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9334500"/>
          <a:ext cx="11828572" cy="50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4</xdr:row>
      <xdr:rowOff>157162</xdr:rowOff>
    </xdr:from>
    <xdr:to>
      <xdr:col>20</xdr:col>
      <xdr:colOff>504825</xdr:colOff>
      <xdr:row>29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609600</xdr:colOff>
      <xdr:row>34</xdr:row>
      <xdr:rowOff>123826</xdr:rowOff>
    </xdr:from>
    <xdr:to>
      <xdr:col>21</xdr:col>
      <xdr:colOff>0</xdr:colOff>
      <xdr:row>46</xdr:row>
      <xdr:rowOff>161926</xdr:rowOff>
    </xdr:to>
    <xdr:sp macro="" textlink="">
      <xdr:nvSpPr>
        <xdr:cNvPr id="3" name="TextBox 2"/>
        <xdr:cNvSpPr txBox="1"/>
      </xdr:nvSpPr>
      <xdr:spPr>
        <a:xfrm>
          <a:off x="13620750" y="6600826"/>
          <a:ext cx="535305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refi_incentive &lt;= -50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  <xdr:twoCellAnchor editAs="oneCell">
    <xdr:from>
      <xdr:col>14</xdr:col>
      <xdr:colOff>0</xdr:colOff>
      <xdr:row>49</xdr:row>
      <xdr:rowOff>0</xdr:rowOff>
    </xdr:from>
    <xdr:to>
      <xdr:col>30</xdr:col>
      <xdr:colOff>408097</xdr:colOff>
      <xdr:row>75</xdr:row>
      <xdr:rowOff>113667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9334500"/>
          <a:ext cx="11828572" cy="50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0</xdr:row>
      <xdr:rowOff>185737</xdr:rowOff>
    </xdr:from>
    <xdr:to>
      <xdr:col>20</xdr:col>
      <xdr:colOff>514350</xdr:colOff>
      <xdr:row>15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5.417204050929" createdVersion="4" refreshedVersion="4" minRefreshableVersion="3" recordCount="56">
  <cacheSource type="worksheet">
    <worksheetSource ref="A1:E57" sheet="Distribution"/>
  </cacheSource>
  <cacheFields count="5">
    <cacheField name="hpaBucket" numFmtId="0">
      <sharedItems containsSemiMixedTypes="0" containsString="0" containsNumber="1" containsInteger="1" minValue="-10" maxValue="48" count="56">
        <n v="-10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3"/>
        <n v="44"/>
        <n v="45"/>
        <n v="46"/>
        <n v="48"/>
      </sharedItems>
    </cacheField>
    <cacheField name="smm" numFmtId="0">
      <sharedItems containsSemiMixedTypes="0" containsString="0" containsNumber="1" minValue="0" maxValue="3.8923599114706199E-2"/>
    </cacheField>
    <cacheField name="cpr" numFmtId="0">
      <sharedItems containsSemiMixedTypes="0" containsString="0" containsNumber="1" minValue="0" maxValue="37.899519574917001"/>
    </cacheField>
    <cacheField name="hpa_" numFmtId="0">
      <sharedItems containsSemiMixedTypes="0" containsString="0" containsNumber="1" minValue="-1.7262320105009801" maxValue="6.73590316114859"/>
    </cacheField>
    <cacheField name="bal" numFmtId="0">
      <sharedItems containsSemiMixedTypes="0" containsString="0" containsNumber="1" minValue="133160.67000000001" maxValue="2413127224254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3245.464308449074" createdVersion="4" refreshedVersion="4" minRefreshableVersion="3" recordCount="30">
  <cacheSource type="worksheet">
    <worksheetSource ref="A1:F31" sheet="S-curve 5-buckets"/>
  </cacheSource>
  <cacheFields count="6">
    <cacheField name="incentiveBucket" numFmtId="0">
      <sharedItems containsString="0" containsBlank="1" containsNumber="1" containsInteger="1" minValue="-175" maxValue="-50" count="7">
        <n v="-100"/>
        <n v="-125"/>
        <n v="-150"/>
        <n v="-175"/>
        <n v="-50"/>
        <n v="-75"/>
        <m/>
      </sharedItems>
    </cacheField>
    <cacheField name="hpaBucket" numFmtId="0">
      <sharedItems containsString="0" containsBlank="1" containsNumber="1" containsInteger="1" minValue="6" maxValue="22" count="6">
        <n v="6"/>
        <n v="10"/>
        <n v="14"/>
        <n v="18"/>
        <n v="22"/>
        <m/>
      </sharedItems>
    </cacheField>
    <cacheField name="smm" numFmtId="0">
      <sharedItems containsString="0" containsBlank="1" containsNumber="1" minValue="0" maxValue="9.4628211032615303E-2"/>
    </cacheField>
    <cacheField name="cpr" numFmtId="0">
      <sharedItems containsString="0" containsBlank="1" containsNumber="1" minValue="0" maxValue="69.666432162665302"/>
    </cacheField>
    <cacheField name="hpa_annual_" numFmtId="0">
      <sharedItems containsString="0" containsBlank="1" containsNumber="1" minValue="1.0557929175607299" maxValue="9.3836026929620004"/>
    </cacheField>
    <cacheField name="hpa_2yr_" numFmtId="0">
      <sharedItems containsString="0" containsBlank="1" containsNumber="1" minValue="102.370428044698" maxValue="121.32893418965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3245.465327430553" createdVersion="4" refreshedVersion="4" minRefreshableVersion="3" recordCount="30">
  <cacheSource type="worksheet">
    <worksheetSource ref="A1:G31" sheet="S-curve 5-buckets"/>
  </cacheSource>
  <cacheFields count="7">
    <cacheField name="incentiveBucket" numFmtId="0">
      <sharedItems containsString="0" containsBlank="1" containsNumber="1" containsInteger="1" minValue="-175" maxValue="-50" count="7">
        <n v="-100"/>
        <n v="-125"/>
        <n v="-150"/>
        <n v="-175"/>
        <n v="-50"/>
        <n v="-75"/>
        <m/>
      </sharedItems>
    </cacheField>
    <cacheField name="hpaBucket" numFmtId="0">
      <sharedItems containsString="0" containsBlank="1" containsNumber="1" containsInteger="1" minValue="6" maxValue="22" count="6">
        <n v="6"/>
        <n v="10"/>
        <n v="14"/>
        <n v="18"/>
        <n v="22"/>
        <m/>
      </sharedItems>
    </cacheField>
    <cacheField name="smm" numFmtId="0">
      <sharedItems containsString="0" containsBlank="1" containsNumber="1" minValue="0" maxValue="9.4628211032615303E-2"/>
    </cacheField>
    <cacheField name="cpr" numFmtId="0">
      <sharedItems containsString="0" containsBlank="1" containsNumber="1" minValue="0" maxValue="69.666432162665302"/>
    </cacheField>
    <cacheField name="hpa_annual_" numFmtId="0">
      <sharedItems containsString="0" containsBlank="1" containsNumber="1" minValue="1.0557929175607299" maxValue="9.3836026929620004"/>
    </cacheField>
    <cacheField name="hpa_2yr_" numFmtId="0">
      <sharedItems containsString="0" containsBlank="1" containsNumber="1" minValue="102.370428044698" maxValue="121.32893418965701"/>
    </cacheField>
    <cacheField name="bal" numFmtId="0">
      <sharedItems containsString="0" containsBlank="1" containsNumber="1" minValue="142457.1" maxValue="83831921677.02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3245.46797928241" createdVersion="4" refreshedVersion="4" minRefreshableVersion="3" recordCount="18">
  <cacheSource type="worksheet">
    <worksheetSource ref="A1:G19" sheet="S-curve 3-buckets"/>
  </cacheSource>
  <cacheFields count="7">
    <cacheField name="incentiveBucket" numFmtId="0">
      <sharedItems containsSemiMixedTypes="0" containsString="0" containsNumber="1" containsInteger="1" minValue="-175" maxValue="-50" count="6">
        <n v="-100"/>
        <n v="-125"/>
        <n v="-150"/>
        <n v="-175"/>
        <n v="-50"/>
        <n v="-75"/>
      </sharedItems>
    </cacheField>
    <cacheField name="hpaBucket" numFmtId="0">
      <sharedItems containsSemiMixedTypes="0" containsString="0" containsNumber="1" containsInteger="1" minValue="6" maxValue="14" count="3">
        <n v="6"/>
        <n v="10"/>
        <n v="14"/>
      </sharedItems>
    </cacheField>
    <cacheField name="smm" numFmtId="0">
      <sharedItems containsSemiMixedTypes="0" containsString="0" containsNumber="1" minValue="3.1379350320436698E-7" maxValue="9.4628211032615303E-2"/>
    </cacheField>
    <cacheField name="cpr" numFmtId="0">
      <sharedItems containsSemiMixedTypes="0" containsString="0" containsNumber="1" minValue="3.76551553938E-4" maxValue="69.666432162665302"/>
    </cacheField>
    <cacheField name="hpa_annual_" numFmtId="0">
      <sharedItems containsSemiMixedTypes="0" containsString="0" containsNumber="1" minValue="1.0557929175607299" maxValue="7.6251954079122202"/>
    </cacheField>
    <cacheField name="hpa_2yr_" numFmtId="0">
      <sharedItems containsSemiMixedTypes="0" containsString="0" containsNumber="1" minValue="102.370428044698" maxValue="115.24881184210901"/>
    </cacheField>
    <cacheField name="bal" numFmtId="0">
      <sharedItems containsSemiMixedTypes="0" containsString="0" containsNumber="1" minValue="405200.85" maxValue="159655178618.45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3245.468198379633" createdVersion="4" refreshedVersion="4" minRefreshableVersion="3" recordCount="18">
  <cacheSource type="worksheet">
    <worksheetSource ref="A1:F19" sheet="S-curve 3-buckets"/>
  </cacheSource>
  <cacheFields count="6">
    <cacheField name="incentiveBucket" numFmtId="0">
      <sharedItems containsSemiMixedTypes="0" containsString="0" containsNumber="1" containsInteger="1" minValue="-175" maxValue="-50" count="6">
        <n v="-100"/>
        <n v="-125"/>
        <n v="-150"/>
        <n v="-175"/>
        <n v="-50"/>
        <n v="-75"/>
      </sharedItems>
    </cacheField>
    <cacheField name="hpaBucket" numFmtId="0">
      <sharedItems containsSemiMixedTypes="0" containsString="0" containsNumber="1" containsInteger="1" minValue="6" maxValue="14" count="3">
        <n v="6"/>
        <n v="10"/>
        <n v="14"/>
      </sharedItems>
    </cacheField>
    <cacheField name="smm" numFmtId="0">
      <sharedItems containsSemiMixedTypes="0" containsString="0" containsNumber="1" minValue="3.1379350320436698E-7" maxValue="9.4628211032615303E-2"/>
    </cacheField>
    <cacheField name="cpr" numFmtId="0">
      <sharedItems containsSemiMixedTypes="0" containsString="0" containsNumber="1" minValue="3.76551553938E-4" maxValue="69.666432162665302"/>
    </cacheField>
    <cacheField name="hpa_annual_" numFmtId="0">
      <sharedItems containsSemiMixedTypes="0" containsString="0" containsNumber="1" minValue="1.0557929175607299" maxValue="7.6251954079122202"/>
    </cacheField>
    <cacheField name="hpa_2yr_" numFmtId="0">
      <sharedItems containsSemiMixedTypes="0" containsString="0" containsNumber="1" minValue="102.370428044698" maxValue="115.24881184210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n v="5.4408146681846296E-3"/>
    <n v="6.33710168930984"/>
    <n v="6.5261306235071901"/>
    <n v="100765926245.55"/>
  </r>
  <r>
    <x v="1"/>
    <n v="4.2007449986763203E-5"/>
    <n v="5.0397295083948003E-2"/>
    <n v="-0.17287505513225601"/>
    <n v="4406837.3600000003"/>
  </r>
  <r>
    <x v="2"/>
    <n v="6.2144841064440898E-3"/>
    <n v="7.2076971125683"/>
    <n v="6.73590316114859"/>
    <n v="24017764070.75"/>
  </r>
  <r>
    <x v="3"/>
    <n v="3.3070592450347502E-7"/>
    <n v="3.9684638735199999E-4"/>
    <n v="4.1999364937352297"/>
    <n v="2479544.33"/>
  </r>
  <r>
    <x v="4"/>
    <n v="2.0946958973348099E-3"/>
    <n v="2.4848771731249801"/>
    <n v="5.2179200529049998"/>
    <n v="136858834.91"/>
  </r>
  <r>
    <x v="5"/>
    <n v="0"/>
    <n v="0"/>
    <n v="4.9555795417062001"/>
    <n v="133160.67000000001"/>
  </r>
  <r>
    <x v="6"/>
    <n v="6.2517976164421203E-3"/>
    <n v="7.2494971775790198"/>
    <n v="6.29469085574235"/>
    <n v="5372882577.2700005"/>
  </r>
  <r>
    <x v="7"/>
    <n v="3.92666563617807E-4"/>
    <n v="0.470183572736105"/>
    <n v="-0.78208860781829104"/>
    <n v="29798615.629999999"/>
  </r>
  <r>
    <x v="8"/>
    <n v="3.5975519129707899E-4"/>
    <n v="0.43085305600262203"/>
    <n v="-0.82413010852894397"/>
    <n v="32525590.41"/>
  </r>
  <r>
    <x v="9"/>
    <n v="6.5125804161649502E-3"/>
    <n v="7.5411548277753297"/>
    <n v="6.3793352119250599"/>
    <n v="5205660044.6499996"/>
  </r>
  <r>
    <x v="10"/>
    <n v="4.9864871536397298E-3"/>
    <n v="5.8223726294419702"/>
    <n v="6.1822539008029196"/>
    <n v="6223643798.4899998"/>
  </r>
  <r>
    <x v="11"/>
    <n v="5.2674367462473897E-3"/>
    <n v="6.1409787285470498"/>
    <n v="6.3656505231933602"/>
    <n v="53946049974.389999"/>
  </r>
  <r>
    <x v="12"/>
    <n v="5.5824279032162102E-3"/>
    <n v="6.4970140252843898"/>
    <n v="6.5089220643050503"/>
    <n v="269110747980.19"/>
  </r>
  <r>
    <x v="13"/>
    <n v="5.6768071898635501E-3"/>
    <n v="6.6034498764074598"/>
    <n v="6.4513228450644498"/>
    <n v="546588084272.16998"/>
  </r>
  <r>
    <x v="14"/>
    <n v="6.0462310346491802E-3"/>
    <n v="7.0189988141691604"/>
    <n v="6.4274887071500499"/>
    <n v="366844364672.65997"/>
  </r>
  <r>
    <x v="15"/>
    <n v="5.8910910105547699E-3"/>
    <n v="6.8446953604080401"/>
    <n v="6.3649687510232704"/>
    <n v="503583194453.25"/>
  </r>
  <r>
    <x v="16"/>
    <n v="5.6147167943346498E-3"/>
    <n v="6.5334401952136796"/>
    <n v="6.4406350189658701"/>
    <n v="621336725002.78003"/>
  </r>
  <r>
    <x v="17"/>
    <n v="6.1248864482633704E-3"/>
    <n v="7.1072557584010099"/>
    <n v="6.4858928151525301"/>
    <n v="663805290557.31006"/>
  </r>
  <r>
    <x v="18"/>
    <n v="5.4572823969650398E-3"/>
    <n v="6.3557102319326404"/>
    <n v="6.5045885724480303"/>
    <n v="895783613030.30005"/>
  </r>
  <r>
    <x v="19"/>
    <n v="5.7097123976531799E-3"/>
    <n v="6.6405324701676003"/>
    <n v="6.3942496478059203"/>
    <n v="1321832281825.98"/>
  </r>
  <r>
    <x v="20"/>
    <n v="5.6932575023781297E-3"/>
    <n v="6.6219902784078304"/>
    <n v="6.3796811824908399"/>
    <n v="1098734073288.8101"/>
  </r>
  <r>
    <x v="21"/>
    <n v="5.9387436766290798E-3"/>
    <n v="6.8982660921716903"/>
    <n v="6.4659119967856702"/>
    <n v="1365325093906.46"/>
  </r>
  <r>
    <x v="22"/>
    <n v="5.8119715466946201E-3"/>
    <n v="6.7556875082287098"/>
    <n v="6.4012237451420599"/>
    <n v="2413127224254.27"/>
  </r>
  <r>
    <x v="23"/>
    <n v="5.86910601521587E-3"/>
    <n v="6.8199704871440296"/>
    <n v="6.4218724096911997"/>
    <n v="1711445948576.98"/>
  </r>
  <r>
    <x v="24"/>
    <n v="5.8655822283530798E-3"/>
    <n v="6.8160069893737401"/>
    <n v="6.47227197014164"/>
    <n v="729869510144.43994"/>
  </r>
  <r>
    <x v="25"/>
    <n v="5.8370390514882802E-3"/>
    <n v="6.7838963950732998"/>
    <n v="6.4077648149606103"/>
    <n v="899293153284.90002"/>
  </r>
  <r>
    <x v="26"/>
    <n v="5.9174870327046401E-3"/>
    <n v="6.8743730393340803"/>
    <n v="6.4233437916884499"/>
    <n v="395639006017.38"/>
  </r>
  <r>
    <x v="27"/>
    <n v="5.8915510631085697E-3"/>
    <n v="6.8452126827215301"/>
    <n v="6.3736186229366503"/>
    <n v="420075597393.56"/>
  </r>
  <r>
    <x v="28"/>
    <n v="5.6071133220435901E-3"/>
    <n v="6.524863636838"/>
    <n v="6.4721554450274299"/>
    <n v="182733402685.45999"/>
  </r>
  <r>
    <x v="29"/>
    <n v="5.7116256336839496E-3"/>
    <n v="6.6426881803336197"/>
    <n v="6.4837477131685803"/>
    <n v="231186382502.51001"/>
  </r>
  <r>
    <x v="30"/>
    <n v="5.9349243666716898E-3"/>
    <n v="6.8939734968255602"/>
    <n v="6.3844477292014004"/>
    <n v="515752057173.48999"/>
  </r>
  <r>
    <x v="31"/>
    <n v="5.6434481348131898E-3"/>
    <n v="6.5658420364769201"/>
    <n v="6.51836327521199"/>
    <n v="330712869656.20001"/>
  </r>
  <r>
    <x v="32"/>
    <n v="5.0194064487509701E-3"/>
    <n v="5.8597554025946597"/>
    <n v="6.4152454192507804"/>
    <n v="98584818325.110001"/>
  </r>
  <r>
    <x v="33"/>
    <n v="5.5772552688871197E-3"/>
    <n v="6.4911773956111603"/>
    <n v="6.5741423833574597"/>
    <n v="116540778392.53999"/>
  </r>
  <r>
    <x v="34"/>
    <n v="5.9536456629680603E-3"/>
    <n v="6.9150129842377099"/>
    <n v="6.1784990251669996"/>
    <n v="59083900009.029999"/>
  </r>
  <r>
    <x v="35"/>
    <n v="5.2929355226044002E-5"/>
    <n v="6.3496739523094994E-2"/>
    <n v="-1.24455421137621"/>
    <n v="10311480.23"/>
  </r>
  <r>
    <x v="36"/>
    <n v="1.5792182825640901E-4"/>
    <n v="0.189341681117772"/>
    <n v="-0.93427777297210202"/>
    <n v="26424782.73"/>
  </r>
  <r>
    <x v="37"/>
    <n v="4.7605041545489002E-3"/>
    <n v="5.56538137474843"/>
    <n v="6.2802684979006997"/>
    <n v="15457322516.92"/>
  </r>
  <r>
    <x v="38"/>
    <n v="4.1998990023554599E-5"/>
    <n v="5.0387147817854E-2"/>
    <n v="-1.7262320105009801"/>
    <n v="12995550.6"/>
  </r>
  <r>
    <x v="39"/>
    <n v="3.2289010827947202E-4"/>
    <n v="0.38678076705752601"/>
    <n v="-1.16209848592933"/>
    <n v="36239140.5"/>
  </r>
  <r>
    <x v="40"/>
    <n v="7.3197568816007504E-5"/>
    <n v="8.7801729170855006E-2"/>
    <n v="-1.12065892971083"/>
    <n v="11675524.390000001"/>
  </r>
  <r>
    <x v="41"/>
    <n v="4.1323745355098902E-3"/>
    <n v="4.8476825402459598"/>
    <n v="-0.88251669831202495"/>
    <n v="47772949.5"/>
  </r>
  <r>
    <x v="42"/>
    <n v="3.5803252322959702E-5"/>
    <n v="4.2955443435954997E-2"/>
    <n v="-1.14521193917602"/>
    <n v="16312484.539999999"/>
  </r>
  <r>
    <x v="43"/>
    <n v="2.9736876376167099E-4"/>
    <n v="0.35625946863524499"/>
    <n v="-0.929558295347237"/>
    <n v="93581685.069999993"/>
  </r>
  <r>
    <x v="44"/>
    <n v="1.5946520424910701E-4"/>
    <n v="0.191190501879512"/>
    <n v="-1.2726516374464101"/>
    <n v="19956014.949999999"/>
  </r>
  <r>
    <x v="45"/>
    <n v="3.6072384339645602E-5"/>
    <n v="4.3278274208535999E-2"/>
    <n v="-1.6952591586808099"/>
    <n v="24762432.989999998"/>
  </r>
  <r>
    <x v="46"/>
    <n v="4.4434806581437398E-4"/>
    <n v="0.53191646886187005"/>
    <n v="-1.1014408882918101"/>
    <n v="18740668.949999999"/>
  </r>
  <r>
    <x v="47"/>
    <n v="2.56433147219155E-2"/>
    <n v="26.782375980803799"/>
    <n v="-1.1900180384927399"/>
    <n v="7286319.3399999999"/>
  </r>
  <r>
    <x v="48"/>
    <n v="6.5946477309737397E-5"/>
    <n v="7.9107076090335002E-2"/>
    <n v="-0.66086146052706596"/>
    <n v="13081972.460000001"/>
  </r>
  <r>
    <x v="49"/>
    <n v="1.2703951117258599E-4"/>
    <n v="0.152340940853957"/>
    <n v="-0.38913835867822599"/>
    <n v="7800014.2699999996"/>
  </r>
  <r>
    <x v="50"/>
    <n v="6.3047143345182203E-4"/>
    <n v="0.75394776381422202"/>
    <n v="-0.698895404858626"/>
    <n v="13207656.300000001"/>
  </r>
  <r>
    <x v="51"/>
    <n v="5.7184867632574998E-5"/>
    <n v="6.8600262552532001E-2"/>
    <n v="-1.0775860382212199"/>
    <n v="9544133.3100000005"/>
  </r>
  <r>
    <x v="52"/>
    <n v="3.8923599114706199E-2"/>
    <n v="37.899519574917001"/>
    <n v="-0.74898688075936604"/>
    <n v="4800309.6900000004"/>
  </r>
  <r>
    <x v="53"/>
    <n v="6.0305693153284403E-5"/>
    <n v="7.2342833882432997E-2"/>
    <n v="-1.10966748584804"/>
    <n v="21267477.960000001"/>
  </r>
  <r>
    <x v="54"/>
    <n v="1.87640070435294E-4"/>
    <n v="0.22493585175192801"/>
    <n v="-0.95272088239880603"/>
    <n v="16958691.140000001"/>
  </r>
  <r>
    <x v="55"/>
    <n v="3.92666563617807E-4"/>
    <n v="0.470183572736105"/>
    <n v="-0.78208860781829104"/>
    <n v="29798615.62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x v="0"/>
    <n v="5.4246978566614896E-4"/>
    <n v="0.64902504558378404"/>
    <n v="1.64160742888113"/>
    <n v="103.83884835153199"/>
  </r>
  <r>
    <x v="0"/>
    <x v="1"/>
    <n v="3.0939403923939701E-3"/>
    <n v="3.6501972403948302"/>
    <n v="3.4104185427236402"/>
    <n v="108.568411052971"/>
  </r>
  <r>
    <x v="0"/>
    <x v="2"/>
    <n v="5.9423710162541197E-3"/>
    <n v="6.9023427604306997"/>
    <n v="5.2110164426970202"/>
    <n v="112.151835795712"/>
  </r>
  <r>
    <x v="0"/>
    <x v="3"/>
    <n v="3.5545718829795899E-3"/>
    <n v="4.1830755885077702"/>
    <n v="8.6161291789554699"/>
    <n v="115.563307571252"/>
  </r>
  <r>
    <x v="0"/>
    <x v="4"/>
    <n v="2.3214347789880501E-3"/>
    <n v="2.7504277379751501"/>
    <n v="9.1360739024946191"/>
    <n v="120.752792186509"/>
  </r>
  <r>
    <x v="1"/>
    <x v="0"/>
    <n v="1.8129715150043101E-4"/>
    <n v="0.21733977970787"/>
    <n v="1.38097280708508"/>
    <n v="103.53258653573199"/>
  </r>
  <r>
    <x v="1"/>
    <x v="1"/>
    <n v="7.2038425707443704E-3"/>
    <n v="8.3101946135828602"/>
    <n v="2.94589908351643"/>
    <n v="107.960345444417"/>
  </r>
  <r>
    <x v="1"/>
    <x v="2"/>
    <n v="6.83716457538802E-3"/>
    <n v="7.90299303089445"/>
    <n v="4.9748583245785296"/>
    <n v="111.837064167997"/>
  </r>
  <r>
    <x v="1"/>
    <x v="3"/>
    <n v="2.4282029343242301E-4"/>
    <n v="0.29099551973644799"/>
    <n v="8.4278235367924594"/>
    <n v="115.508195889121"/>
  </r>
  <r>
    <x v="1"/>
    <x v="4"/>
    <n v="3.3425656991221298E-2"/>
    <n v="33.499768799230402"/>
    <n v="8.9642302302297292"/>
    <n v="120.54263128327599"/>
  </r>
  <r>
    <x v="2"/>
    <x v="0"/>
    <n v="9.4628211032615303E-2"/>
    <n v="69.666432162665302"/>
    <n v="1.22598273976811"/>
    <n v="103.27834915073601"/>
  </r>
  <r>
    <x v="2"/>
    <x v="1"/>
    <n v="1.45487056663554E-4"/>
    <n v="0.17444483692978799"/>
    <n v="1.60250296068817"/>
    <n v="106.485910404046"/>
  </r>
  <r>
    <x v="2"/>
    <x v="2"/>
    <n v="2.7631725646552697E-4"/>
    <n v="0.33107725351464401"/>
    <n v="5.05021787576759"/>
    <n v="112.006323207074"/>
  </r>
  <r>
    <x v="2"/>
    <x v="3"/>
    <n v="9.6800490440197305E-5"/>
    <n v="0.116098764268191"/>
    <n v="8.1997932195106102"/>
    <n v="115.511578287795"/>
  </r>
  <r>
    <x v="2"/>
    <x v="4"/>
    <n v="0"/>
    <n v="0"/>
    <n v="9.14092779025823"/>
    <n v="120.12578802866101"/>
  </r>
  <r>
    <x v="3"/>
    <x v="0"/>
    <n v="2.5045644901882398E-6"/>
    <n v="3.0054359877459999E-3"/>
    <n v="1.0557929175607299"/>
    <n v="102.370428044698"/>
  </r>
  <r>
    <x v="3"/>
    <x v="1"/>
    <n v="3.1379350320436698E-7"/>
    <n v="3.76551553938E-4"/>
    <n v="1.38893263431736"/>
    <n v="106.208698179362"/>
  </r>
  <r>
    <x v="3"/>
    <x v="2"/>
    <n v="0"/>
    <n v="0"/>
    <n v="5.3830545877573099"/>
    <n v="112.21639294643199"/>
  </r>
  <r>
    <x v="3"/>
    <x v="3"/>
    <n v="5.1313693736570497E-5"/>
    <n v="6.1559057027948998E-2"/>
    <n v="8.5988991786493703"/>
    <n v="115.127212875016"/>
  </r>
  <r>
    <x v="4"/>
    <x v="0"/>
    <n v="5.8103595675563701E-3"/>
    <n v="6.7538732531066401"/>
    <n v="1.8536114241967501"/>
    <n v="103.66998769176401"/>
  </r>
  <r>
    <x v="4"/>
    <x v="1"/>
    <n v="5.5300717707967304E-3"/>
    <n v="6.4379216757025999"/>
    <n v="3.2927873126730902"/>
    <n v="108.46318474698001"/>
  </r>
  <r>
    <x v="4"/>
    <x v="2"/>
    <n v="5.9024011130420703E-3"/>
    <n v="6.8574126404699003"/>
    <n v="5.14316424063112"/>
    <n v="112.338010363172"/>
  </r>
  <r>
    <x v="4"/>
    <x v="3"/>
    <n v="5.9544243804067797E-3"/>
    <n v="6.9158880330525898"/>
    <n v="8.8573724090483292"/>
    <n v="115.73421842238"/>
  </r>
  <r>
    <x v="4"/>
    <x v="4"/>
    <n v="6.4666155342242302E-3"/>
    <n v="7.4898091367596704"/>
    <n v="9.3836026929620004"/>
    <n v="121.32893418965701"/>
  </r>
  <r>
    <x v="5"/>
    <x v="0"/>
    <n v="3.71518947359202E-3"/>
    <n v="4.3682487638210796"/>
    <n v="1.92643989547434"/>
    <n v="103.718470954057"/>
  </r>
  <r>
    <x v="5"/>
    <x v="1"/>
    <n v="4.7699387335229503E-3"/>
    <n v="5.5761233650301598"/>
    <n v="3.2874859655491102"/>
    <n v="108.492157384184"/>
  </r>
  <r>
    <x v="5"/>
    <x v="2"/>
    <n v="5.9780187973361701E-3"/>
    <n v="6.9423976262796803"/>
    <n v="5.1721111423232298"/>
    <n v="112.259170644628"/>
  </r>
  <r>
    <x v="5"/>
    <x v="3"/>
    <n v="5.7901405352902601E-3"/>
    <n v="6.7311143274332501"/>
    <n v="8.6923752044437101"/>
    <n v="115.598268286571"/>
  </r>
  <r>
    <x v="5"/>
    <x v="4"/>
    <n v="5.7589773777441504E-3"/>
    <n v="6.6960265147762197"/>
    <n v="9.2602477749813907"/>
    <n v="121.061612493398"/>
  </r>
  <r>
    <x v="6"/>
    <x v="5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">
  <r>
    <x v="0"/>
    <x v="0"/>
    <n v="5.4246978566614896E-4"/>
    <n v="0.64902504558378404"/>
    <n v="1.64160742888113"/>
    <n v="103.83884835153199"/>
    <n v="189535274.99000001"/>
  </r>
  <r>
    <x v="0"/>
    <x v="1"/>
    <n v="3.0939403923939701E-3"/>
    <n v="3.6501972403948302"/>
    <n v="3.4104185427236402"/>
    <n v="108.568411052971"/>
    <n v="1343542037.9200001"/>
  </r>
  <r>
    <x v="0"/>
    <x v="2"/>
    <n v="5.9423710162541197E-3"/>
    <n v="6.9023427604306997"/>
    <n v="5.2110164426970202"/>
    <n v="112.151835795712"/>
    <n v="2064580041.6099999"/>
  </r>
  <r>
    <x v="0"/>
    <x v="3"/>
    <n v="3.5545718829795899E-3"/>
    <n v="4.1830755885077702"/>
    <n v="8.6161291789554699"/>
    <n v="115.563307571252"/>
    <n v="1891565322.45"/>
  </r>
  <r>
    <x v="0"/>
    <x v="4"/>
    <n v="2.3214347789880501E-3"/>
    <n v="2.7504277379751501"/>
    <n v="9.1360739024946191"/>
    <n v="120.752792186509"/>
    <n v="256965203.33000001"/>
  </r>
  <r>
    <x v="1"/>
    <x v="0"/>
    <n v="1.8129715150043101E-4"/>
    <n v="0.21733977970787"/>
    <n v="1.38097280708508"/>
    <n v="103.53258653573199"/>
    <n v="29873166.539999999"/>
  </r>
  <r>
    <x v="1"/>
    <x v="1"/>
    <n v="7.2038425707443704E-3"/>
    <n v="8.3101946135828602"/>
    <n v="2.94589908351643"/>
    <n v="107.960345444417"/>
    <n v="58757643"/>
  </r>
  <r>
    <x v="1"/>
    <x v="2"/>
    <n v="6.83716457538802E-3"/>
    <n v="7.90299303089445"/>
    <n v="4.9748583245785296"/>
    <n v="111.837064167997"/>
    <n v="110787042.15000001"/>
  </r>
  <r>
    <x v="1"/>
    <x v="3"/>
    <n v="2.4282029343242301E-4"/>
    <n v="0.29099551973644799"/>
    <n v="8.4278235367924594"/>
    <n v="115.508195889121"/>
    <n v="76037178.519999996"/>
  </r>
  <r>
    <x v="1"/>
    <x v="4"/>
    <n v="3.3425656991221298E-2"/>
    <n v="33.499768799230402"/>
    <n v="8.9642302302297292"/>
    <n v="120.54263128327599"/>
    <n v="8039911.0800000001"/>
  </r>
  <r>
    <x v="2"/>
    <x v="0"/>
    <n v="9.4628211032615303E-2"/>
    <n v="69.666432162665302"/>
    <n v="1.22598273976811"/>
    <n v="103.27834915073601"/>
    <n v="4696250.57"/>
  </r>
  <r>
    <x v="2"/>
    <x v="1"/>
    <n v="1.45487056663554E-4"/>
    <n v="0.17444483692978799"/>
    <n v="1.60250296068817"/>
    <n v="106.485910404046"/>
    <n v="10481688.439999999"/>
  </r>
  <r>
    <x v="2"/>
    <x v="2"/>
    <n v="2.7631725646552697E-4"/>
    <n v="0.33107725351464401"/>
    <n v="5.05021787576759"/>
    <n v="112.006323207074"/>
    <n v="4510214.1500000004"/>
  </r>
  <r>
    <x v="2"/>
    <x v="3"/>
    <n v="9.6800490440197305E-5"/>
    <n v="0.116098764268191"/>
    <n v="8.1997932195106102"/>
    <n v="115.511578287795"/>
    <n v="2731391.12"/>
  </r>
  <r>
    <x v="2"/>
    <x v="4"/>
    <n v="0"/>
    <n v="0"/>
    <n v="9.14092779025823"/>
    <n v="120.12578802866101"/>
    <n v="176437.26"/>
  </r>
  <r>
    <x v="3"/>
    <x v="0"/>
    <n v="2.5045644901882398E-6"/>
    <n v="3.0054359877459999E-3"/>
    <n v="1.0557929175607299"/>
    <n v="102.370428044698"/>
    <n v="954257.72"/>
  </r>
  <r>
    <x v="3"/>
    <x v="1"/>
    <n v="3.1379350320436698E-7"/>
    <n v="3.76551553938E-4"/>
    <n v="1.38893263431736"/>
    <n v="106.208698179362"/>
    <n v="2007689.75"/>
  </r>
  <r>
    <x v="3"/>
    <x v="2"/>
    <n v="0"/>
    <n v="0"/>
    <n v="5.3830545877573099"/>
    <n v="112.21639294643199"/>
    <n v="262743.75"/>
  </r>
  <r>
    <x v="3"/>
    <x v="3"/>
    <n v="5.1313693736570497E-5"/>
    <n v="6.1559057027948998E-2"/>
    <n v="8.5988991786493703"/>
    <n v="115.127212875016"/>
    <n v="142457.1"/>
  </r>
  <r>
    <x v="4"/>
    <x v="0"/>
    <n v="5.8103595675563701E-3"/>
    <n v="6.7538732531066401"/>
    <n v="1.8536114241967501"/>
    <n v="103.66998769176401"/>
    <n v="7393779524.3999996"/>
  </r>
  <r>
    <x v="4"/>
    <x v="1"/>
    <n v="5.5300717707967304E-3"/>
    <n v="6.4379216757025999"/>
    <n v="3.2927873126730902"/>
    <n v="108.46318474698001"/>
    <n v="45208077936.75"/>
  </r>
  <r>
    <x v="4"/>
    <x v="2"/>
    <n v="5.9024011130420703E-3"/>
    <n v="6.8574126404699003"/>
    <n v="5.14316424063112"/>
    <n v="112.338010363172"/>
    <n v="55801310638.18"/>
  </r>
  <r>
    <x v="4"/>
    <x v="3"/>
    <n v="5.9544243804067797E-3"/>
    <n v="6.9158880330525898"/>
    <n v="8.8573724090483292"/>
    <n v="115.73421842238"/>
    <n v="83831921677.020004"/>
  </r>
  <r>
    <x v="4"/>
    <x v="4"/>
    <n v="6.4666155342242302E-3"/>
    <n v="7.4898091367596704"/>
    <n v="9.3836026929620004"/>
    <n v="121.32893418965701"/>
    <n v="20021946303.25"/>
  </r>
  <r>
    <x v="5"/>
    <x v="0"/>
    <n v="3.71518947359202E-3"/>
    <n v="4.3682487638210796"/>
    <n v="1.92643989547434"/>
    <n v="103.718470954057"/>
    <n v="1522709571.1300001"/>
  </r>
  <r>
    <x v="5"/>
    <x v="1"/>
    <n v="4.7699387335229503E-3"/>
    <n v="5.5761233650301598"/>
    <n v="3.2874859655491102"/>
    <n v="108.492157384184"/>
    <n v="11885094276.280001"/>
  </r>
  <r>
    <x v="5"/>
    <x v="2"/>
    <n v="5.9780187973361701E-3"/>
    <n v="6.9423976262796803"/>
    <n v="5.1721111423232298"/>
    <n v="112.259170644628"/>
    <n v="16441167524.23"/>
  </r>
  <r>
    <x v="5"/>
    <x v="3"/>
    <n v="5.7901405352902601E-3"/>
    <n v="6.7311143274332501"/>
    <n v="8.6923752044437101"/>
    <n v="115.598268286571"/>
    <n v="19441045004.68"/>
  </r>
  <r>
    <x v="5"/>
    <x v="4"/>
    <n v="5.7589773777441504E-3"/>
    <n v="6.6960265147762197"/>
    <n v="9.2602477749813907"/>
    <n v="121.061612493398"/>
    <n v="3051981035.3699999"/>
  </r>
  <r>
    <x v="6"/>
    <x v="5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">
  <r>
    <x v="0"/>
    <x v="0"/>
    <n v="5.4246978566614896E-4"/>
    <n v="0.64902504558378404"/>
    <n v="1.64160742888113"/>
    <n v="103.83884835153199"/>
    <n v="189535274.99000001"/>
  </r>
  <r>
    <x v="0"/>
    <x v="1"/>
    <n v="3.0939403923939701E-3"/>
    <n v="3.6501972403948302"/>
    <n v="3.4104185427236402"/>
    <n v="108.568411052971"/>
    <n v="1343542037.9200001"/>
  </r>
  <r>
    <x v="0"/>
    <x v="2"/>
    <n v="4.6494705412241499E-3"/>
    <n v="5.4388769108866901"/>
    <n v="6.9791967318386297"/>
    <n v="114.20805977262501"/>
    <n v="4213110567.3899999"/>
  </r>
  <r>
    <x v="1"/>
    <x v="0"/>
    <n v="1.8129715150043101E-4"/>
    <n v="0.21733977970787"/>
    <n v="1.38097280708508"/>
    <n v="103.53258653573199"/>
    <n v="29873166.539999999"/>
  </r>
  <r>
    <x v="1"/>
    <x v="1"/>
    <n v="7.2038425707443704E-3"/>
    <n v="8.3101946135828602"/>
    <n v="2.94589908351643"/>
    <n v="107.960345444417"/>
    <n v="58757643"/>
  </r>
  <r>
    <x v="1"/>
    <x v="2"/>
    <n v="5.3610272481559402E-3"/>
    <n v="6.24689385399616"/>
    <n v="6.4868132572489996"/>
    <n v="113.628768442355"/>
    <n v="194864131.75"/>
  </r>
  <r>
    <x v="2"/>
    <x v="0"/>
    <n v="9.4628211032615303E-2"/>
    <n v="69.666432162665302"/>
    <n v="1.22598273976811"/>
    <n v="103.27834915073601"/>
    <n v="4696250.57"/>
  </r>
  <r>
    <x v="2"/>
    <x v="1"/>
    <n v="1.45487056663554E-4"/>
    <n v="0.17444483692978799"/>
    <n v="1.60250296068817"/>
    <n v="106.485910404046"/>
    <n v="10481688.439999999"/>
  </r>
  <r>
    <x v="2"/>
    <x v="2"/>
    <n v="2.0364536788386399E-4"/>
    <n v="0.24410091569883099"/>
    <n v="6.3074537796427004"/>
    <n v="113.490430203459"/>
    <n v="7418042.5300000003"/>
  </r>
  <r>
    <x v="3"/>
    <x v="0"/>
    <n v="2.5045644901882398E-6"/>
    <n v="3.0054359877459999E-3"/>
    <n v="1.0557929175607299"/>
    <n v="102.370428044698"/>
    <n v="954257.72"/>
  </r>
  <r>
    <x v="3"/>
    <x v="1"/>
    <n v="3.1379350320436698E-7"/>
    <n v="3.76551553938E-4"/>
    <n v="1.38893263431736"/>
    <n v="106.208698179362"/>
    <n v="2007689.75"/>
  </r>
  <r>
    <x v="3"/>
    <x v="2"/>
    <n v="1.80404359961238E-5"/>
    <n v="2.1646375305928001E-2"/>
    <n v="6.5153723994731001"/>
    <n v="113.241309778908"/>
    <n v="405200.85"/>
  </r>
  <r>
    <x v="4"/>
    <x v="0"/>
    <n v="5.8103595675563701E-3"/>
    <n v="6.7538732531066401"/>
    <n v="1.8536114241967601"/>
    <n v="103.66998769176401"/>
    <n v="7393779524.3999996"/>
  </r>
  <r>
    <x v="4"/>
    <x v="1"/>
    <n v="5.5300717707967304E-3"/>
    <n v="6.4379216757025999"/>
    <n v="3.2927873126730902"/>
    <n v="108.46318474698001"/>
    <n v="45208077936.75"/>
  </r>
  <r>
    <x v="4"/>
    <x v="2"/>
    <n v="6.0004742319663797E-3"/>
    <n v="6.9676210840951098"/>
    <n v="7.6251954079122202"/>
    <n v="115.24881184210901"/>
    <n v="159655178618.45001"/>
  </r>
  <r>
    <x v="5"/>
    <x v="0"/>
    <n v="3.71518947359202E-3"/>
    <n v="4.3682487638210796"/>
    <n v="1.92643989547433"/>
    <n v="103.718470954057"/>
    <n v="1522709571.1300001"/>
  </r>
  <r>
    <x v="5"/>
    <x v="1"/>
    <n v="4.7699387335229503E-3"/>
    <n v="5.5761233650301598"/>
    <n v="3.2874859655491"/>
    <n v="108.492157384184"/>
    <n v="11885094276.280001"/>
  </r>
  <r>
    <x v="5"/>
    <x v="2"/>
    <n v="5.8670351192164003E-3"/>
    <n v="6.8176411959525796"/>
    <n v="7.2503456443790597"/>
    <n v="114.616488294308"/>
    <n v="38934193564.27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8">
  <r>
    <x v="0"/>
    <x v="0"/>
    <n v="5.4246978566614896E-4"/>
    <n v="0.64902504558378404"/>
    <n v="1.64160742888113"/>
    <n v="103.83884835153199"/>
  </r>
  <r>
    <x v="0"/>
    <x v="1"/>
    <n v="3.0939403923939701E-3"/>
    <n v="3.6501972403948302"/>
    <n v="3.4104185427236402"/>
    <n v="108.568411052971"/>
  </r>
  <r>
    <x v="0"/>
    <x v="2"/>
    <n v="4.6494705412241499E-3"/>
    <n v="5.4388769108866901"/>
    <n v="6.9791967318386297"/>
    <n v="114.20805977262501"/>
  </r>
  <r>
    <x v="1"/>
    <x v="0"/>
    <n v="1.8129715150043101E-4"/>
    <n v="0.21733977970787"/>
    <n v="1.38097280708508"/>
    <n v="103.53258653573199"/>
  </r>
  <r>
    <x v="1"/>
    <x v="1"/>
    <n v="7.2038425707443704E-3"/>
    <n v="8.3101946135828602"/>
    <n v="2.94589908351643"/>
    <n v="107.960345444417"/>
  </r>
  <r>
    <x v="1"/>
    <x v="2"/>
    <n v="5.3610272481559402E-3"/>
    <n v="6.24689385399616"/>
    <n v="6.4868132572489996"/>
    <n v="113.628768442355"/>
  </r>
  <r>
    <x v="2"/>
    <x v="0"/>
    <n v="9.4628211032615303E-2"/>
    <n v="69.666432162665302"/>
    <n v="1.22598273976811"/>
    <n v="103.27834915073601"/>
  </r>
  <r>
    <x v="2"/>
    <x v="1"/>
    <n v="1.45487056663554E-4"/>
    <n v="0.17444483692978799"/>
    <n v="1.60250296068817"/>
    <n v="106.485910404046"/>
  </r>
  <r>
    <x v="2"/>
    <x v="2"/>
    <n v="2.0364536788386399E-4"/>
    <n v="0.24410091569883099"/>
    <n v="6.3074537796427004"/>
    <n v="113.490430203459"/>
  </r>
  <r>
    <x v="3"/>
    <x v="0"/>
    <n v="2.5045644901882398E-6"/>
    <n v="3.0054359877459999E-3"/>
    <n v="1.0557929175607299"/>
    <n v="102.370428044698"/>
  </r>
  <r>
    <x v="3"/>
    <x v="1"/>
    <n v="3.1379350320436698E-7"/>
    <n v="3.76551553938E-4"/>
    <n v="1.38893263431736"/>
    <n v="106.208698179362"/>
  </r>
  <r>
    <x v="3"/>
    <x v="2"/>
    <n v="1.80404359961238E-5"/>
    <n v="2.1646375305928001E-2"/>
    <n v="6.5153723994731001"/>
    <n v="113.241309778908"/>
  </r>
  <r>
    <x v="4"/>
    <x v="0"/>
    <n v="5.8103595675563701E-3"/>
    <n v="6.7538732531066401"/>
    <n v="1.8536114241967601"/>
    <n v="103.66998769176401"/>
  </r>
  <r>
    <x v="4"/>
    <x v="1"/>
    <n v="5.5300717707967304E-3"/>
    <n v="6.4379216757025999"/>
    <n v="3.2927873126730902"/>
    <n v="108.46318474698001"/>
  </r>
  <r>
    <x v="4"/>
    <x v="2"/>
    <n v="6.0004742319663797E-3"/>
    <n v="6.9676210840951098"/>
    <n v="7.6251954079122202"/>
    <n v="115.24881184210901"/>
  </r>
  <r>
    <x v="5"/>
    <x v="0"/>
    <n v="3.71518947359202E-3"/>
    <n v="4.3682487638210796"/>
    <n v="1.92643989547433"/>
    <n v="103.718470954057"/>
  </r>
  <r>
    <x v="5"/>
    <x v="1"/>
    <n v="4.7699387335229503E-3"/>
    <n v="5.5761233650301598"/>
    <n v="3.2874859655491"/>
    <n v="108.492157384184"/>
  </r>
  <r>
    <x v="5"/>
    <x v="2"/>
    <n v="5.8670351192164003E-3"/>
    <n v="6.8176411959525796"/>
    <n v="7.2503456443790597"/>
    <n v="114.616488294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6" cacheId="23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2">
  <location ref="I1:L5" firstHeaderRow="1" firstDataRow="2" firstDataCol="1"/>
  <pivotFields count="7">
    <pivotField axis="axisRow" showAll="0" defaultSubtotal="0">
      <items count="6">
        <item h="1" x="3"/>
        <item h="1" x="2"/>
        <item h="1" x="1"/>
        <item x="0"/>
        <item x="5"/>
        <item x="4"/>
      </items>
    </pivotField>
    <pivotField axis="axisCol" showAll="0" sortType="ascending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3">
    <i>
      <x/>
    </i>
    <i>
      <x v="1"/>
    </i>
    <i>
      <x v="2"/>
    </i>
  </colItems>
  <dataFields count="1">
    <dataField name="Sum of cpr" fld="3" baseField="0" baseItem="0"/>
  </dataField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7" cacheId="23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12:L16" firstHeaderRow="1" firstDataRow="2" firstDataCol="1"/>
  <pivotFields count="7">
    <pivotField axis="axisRow" showAll="0" defaultSubtotal="0">
      <items count="6">
        <item h="1" x="3"/>
        <item h="1" x="2"/>
        <item h="1" x="1"/>
        <item x="0"/>
        <item x="5"/>
        <item x="4"/>
      </items>
    </pivotField>
    <pivotField axis="axisCol" showAll="0" sortType="ascending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3">
    <i>
      <x/>
    </i>
    <i>
      <x v="1"/>
    </i>
    <i>
      <x v="2"/>
    </i>
  </colItems>
  <dataFields count="1">
    <dataField name="Average of bal" fld="6" subtotal="average" baseField="0" baseItem="0" numFmtId="165"/>
  </dataFields>
  <formats count="2">
    <format dxfId="4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8" cacheId="23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20:L24" firstHeaderRow="1" firstDataRow="2" firstDataCol="1"/>
  <pivotFields count="6">
    <pivotField axis="axisRow" showAll="0" defaultSubtotal="0">
      <items count="6">
        <item h="1" x="3"/>
        <item h="1" x="2"/>
        <item h="1" x="1"/>
        <item x="0"/>
        <item x="5"/>
        <item x="4"/>
      </items>
    </pivotField>
    <pivotField axis="axisCol" showAll="0" sortType="ascending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3">
    <i>
      <x/>
    </i>
    <i>
      <x v="1"/>
    </i>
    <i>
      <x v="2"/>
    </i>
  </colItems>
  <dataFields count="1">
    <dataField name="Sum of hpa_2yr_" fld="5" baseField="0" baseItem="0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9" cacheId="23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28:L32" firstHeaderRow="1" firstDataRow="2" firstDataCol="1"/>
  <pivotFields count="7">
    <pivotField axis="axisRow" showAll="0" defaultSubtotal="0">
      <items count="6">
        <item h="1" x="3"/>
        <item h="1" x="2"/>
        <item h="1" x="1"/>
        <item x="0"/>
        <item x="5"/>
        <item x="4"/>
      </items>
    </pivotField>
    <pivotField axis="axisCol" showAll="0" sortType="ascending" defaultSubtotal="0">
      <items count="3">
        <item x="0"/>
        <item x="1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3">
    <i>
      <x/>
    </i>
    <i>
      <x v="1"/>
    </i>
    <i>
      <x v="2"/>
    </i>
  </colItems>
  <dataFields count="1">
    <dataField name="Sum of hpa_annual_" fld="4" baseField="0" baseItem="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9" cacheId="22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28:N32" firstHeaderRow="1" firstDataRow="2" firstDataCol="1"/>
  <pivotFields count="7">
    <pivotField axis="axisRow" showAll="0" defaultSubtotal="0">
      <items count="7">
        <item h="1" x="3"/>
        <item h="1" x="2"/>
        <item h="1" x="1"/>
        <item x="0"/>
        <item x="5"/>
        <item x="4"/>
        <item h="1" x="6"/>
      </items>
    </pivotField>
    <pivotField axis="axisCol" showAll="0" sortType="ascending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hpa_annual_" fld="4" baseField="0" baseItem="0"/>
  </dataFields>
  <formats count="1">
    <format dxfId="4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8" cacheId="22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20:N24" firstHeaderRow="1" firstDataRow="2" firstDataCol="1"/>
  <pivotFields count="6">
    <pivotField axis="axisRow" showAll="0" defaultSubtotal="0">
      <items count="7">
        <item h="1" x="3"/>
        <item h="1" x="2"/>
        <item h="1" x="1"/>
        <item x="0"/>
        <item x="5"/>
        <item x="4"/>
        <item h="1" x="6"/>
      </items>
    </pivotField>
    <pivotField axis="axisCol" showAll="0" sortType="ascending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hpa_2yr_" fld="5" baseField="0" baseItem="0"/>
  </dataFields>
  <formats count="1">
    <format dxfId="4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7" cacheId="22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12:N16" firstHeaderRow="1" firstDataRow="2" firstDataCol="1"/>
  <pivotFields count="7">
    <pivotField axis="axisRow" showAll="0" defaultSubtotal="0">
      <items count="7">
        <item h="1" x="3"/>
        <item h="1" x="2"/>
        <item h="1" x="1"/>
        <item x="0"/>
        <item x="5"/>
        <item x="4"/>
        <item h="1" x="6"/>
      </items>
    </pivotField>
    <pivotField axis="axisCol" showAll="0" sortType="ascending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Average of bal" fld="6" subtotal="average" baseField="0" baseItem="0" numFmtId="165"/>
  </dataFields>
  <formats count="2">
    <format dxfId="31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6" cacheId="22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I1:N5" firstHeaderRow="1" firstDataRow="2" firstDataCol="1"/>
  <pivotFields count="7">
    <pivotField axis="axisRow" showAll="0" defaultSubtotal="0">
      <items count="7">
        <item h="1" x="3"/>
        <item h="1" x="2"/>
        <item h="1" x="1"/>
        <item x="0"/>
        <item x="5"/>
        <item x="4"/>
        <item h="1" x="6"/>
      </items>
    </pivotField>
    <pivotField axis="axisCol" showAll="0" sortType="ascending" defaultSubtotal="0">
      <items count="6">
        <item x="0"/>
        <item x="1"/>
        <item x="2"/>
        <item x="3"/>
        <item x="4"/>
        <item x="5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</pivotFields>
  <rowFields count="1">
    <field x="0"/>
  </rowFields>
  <rowItems count="3">
    <i>
      <x v="3"/>
    </i>
    <i>
      <x v="4"/>
    </i>
    <i>
      <x v="5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cpr" fld="3" baseField="0" baseItem="0"/>
  </dataFields>
  <chartFormats count="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5" cacheId="19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:J58" firstHeaderRow="1" firstDataRow="1" firstDataCol="1"/>
  <pivotFields count="5">
    <pivotField axis="axisRow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Sum of bal" fld="4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Q33" sqref="Q33"/>
    </sheetView>
  </sheetViews>
  <sheetFormatPr defaultRowHeight="15" x14ac:dyDescent="0.25"/>
  <cols>
    <col min="9" max="9" width="19.140625" customWidth="1"/>
    <col min="10" max="10" width="16.28515625" customWidth="1"/>
    <col min="11" max="11" width="15.28515625" bestFit="1" customWidth="1"/>
    <col min="12" max="12" width="16.28515625" bestFit="1" customWidth="1"/>
    <col min="13" max="14" width="15.28515625" bestFit="1" customWidth="1"/>
    <col min="15" max="15" width="15.28515625" customWidth="1"/>
    <col min="16" max="16" width="12" bestFit="1" customWidth="1"/>
    <col min="17" max="17" width="15.7109375" bestFit="1" customWidth="1"/>
    <col min="18" max="18" width="12" bestFit="1" customWidth="1"/>
    <col min="19" max="19" width="15.7109375" bestFit="1" customWidth="1"/>
  </cols>
  <sheetData>
    <row r="1" spans="1:12" x14ac:dyDescent="0.25">
      <c r="A1" t="s">
        <v>12</v>
      </c>
      <c r="B1" t="s">
        <v>0</v>
      </c>
      <c r="C1" t="s">
        <v>1</v>
      </c>
      <c r="D1" t="s">
        <v>2</v>
      </c>
      <c r="E1" t="s">
        <v>14</v>
      </c>
      <c r="F1" t="s">
        <v>15</v>
      </c>
      <c r="G1" t="s">
        <v>4</v>
      </c>
      <c r="I1" s="1" t="s">
        <v>13</v>
      </c>
      <c r="J1" s="1" t="s">
        <v>5</v>
      </c>
    </row>
    <row r="2" spans="1:12" x14ac:dyDescent="0.25">
      <c r="A2">
        <v>-100</v>
      </c>
      <c r="B2">
        <v>6</v>
      </c>
      <c r="C2">
        <v>5.4246978566614896E-4</v>
      </c>
      <c r="D2">
        <v>0.64902504558378404</v>
      </c>
      <c r="E2">
        <v>1.64160742888113</v>
      </c>
      <c r="F2">
        <v>103.83884835153199</v>
      </c>
      <c r="G2">
        <v>189535274.99000001</v>
      </c>
      <c r="I2" s="1" t="s">
        <v>7</v>
      </c>
      <c r="J2">
        <v>6</v>
      </c>
      <c r="K2">
        <v>10</v>
      </c>
      <c r="L2">
        <v>14</v>
      </c>
    </row>
    <row r="3" spans="1:12" x14ac:dyDescent="0.25">
      <c r="A3">
        <v>-100</v>
      </c>
      <c r="B3">
        <v>10</v>
      </c>
      <c r="C3">
        <v>3.0939403923939701E-3</v>
      </c>
      <c r="D3">
        <v>3.6501972403948302</v>
      </c>
      <c r="E3">
        <v>3.4104185427236402</v>
      </c>
      <c r="F3">
        <v>108.568411052971</v>
      </c>
      <c r="G3">
        <v>1343542037.9200001</v>
      </c>
      <c r="I3" s="2">
        <v>-100</v>
      </c>
      <c r="J3" s="3">
        <v>0.64902504558378404</v>
      </c>
      <c r="K3" s="3">
        <v>3.6501972403948302</v>
      </c>
      <c r="L3" s="3">
        <v>5.4388769108866901</v>
      </c>
    </row>
    <row r="4" spans="1:12" x14ac:dyDescent="0.25">
      <c r="A4">
        <v>-100</v>
      </c>
      <c r="B4">
        <v>14</v>
      </c>
      <c r="C4">
        <v>4.6494705412241499E-3</v>
      </c>
      <c r="D4">
        <v>5.4388769108866901</v>
      </c>
      <c r="E4">
        <v>6.9791967318386297</v>
      </c>
      <c r="F4">
        <v>114.20805977262501</v>
      </c>
      <c r="G4">
        <v>4213110567.3899999</v>
      </c>
      <c r="I4" s="2">
        <v>-75</v>
      </c>
      <c r="J4" s="3">
        <v>4.3682487638210796</v>
      </c>
      <c r="K4" s="3">
        <v>5.5761233650301598</v>
      </c>
      <c r="L4" s="3">
        <v>6.8176411959525796</v>
      </c>
    </row>
    <row r="5" spans="1:12" x14ac:dyDescent="0.25">
      <c r="A5">
        <v>-125</v>
      </c>
      <c r="B5">
        <v>6</v>
      </c>
      <c r="C5">
        <v>1.8129715150043101E-4</v>
      </c>
      <c r="D5">
        <v>0.21733977970787</v>
      </c>
      <c r="E5">
        <v>1.38097280708508</v>
      </c>
      <c r="F5">
        <v>103.53258653573199</v>
      </c>
      <c r="G5">
        <v>29873166.539999999</v>
      </c>
      <c r="I5" s="2">
        <v>-50</v>
      </c>
      <c r="J5" s="3">
        <v>6.7538732531066401</v>
      </c>
      <c r="K5" s="3">
        <v>6.4379216757025999</v>
      </c>
      <c r="L5" s="3">
        <v>6.9676210840951098</v>
      </c>
    </row>
    <row r="6" spans="1:12" x14ac:dyDescent="0.25">
      <c r="A6">
        <v>-125</v>
      </c>
      <c r="B6">
        <v>10</v>
      </c>
      <c r="C6">
        <v>7.2038425707443704E-3</v>
      </c>
      <c r="D6">
        <v>8.3101946135828602</v>
      </c>
      <c r="E6">
        <v>2.94589908351643</v>
      </c>
      <c r="F6">
        <v>107.960345444417</v>
      </c>
      <c r="G6">
        <v>58757643</v>
      </c>
    </row>
    <row r="7" spans="1:12" x14ac:dyDescent="0.25">
      <c r="A7">
        <v>-125</v>
      </c>
      <c r="B7">
        <v>14</v>
      </c>
      <c r="C7">
        <v>5.3610272481559402E-3</v>
      </c>
      <c r="D7">
        <v>6.24689385399616</v>
      </c>
      <c r="E7">
        <v>6.4868132572489996</v>
      </c>
      <c r="F7">
        <v>113.628768442355</v>
      </c>
      <c r="G7">
        <v>194864131.75</v>
      </c>
    </row>
    <row r="8" spans="1:12" x14ac:dyDescent="0.25">
      <c r="A8">
        <v>-150</v>
      </c>
      <c r="B8">
        <v>6</v>
      </c>
      <c r="C8">
        <v>9.4628211032615303E-2</v>
      </c>
      <c r="D8">
        <v>69.666432162665302</v>
      </c>
      <c r="E8">
        <v>1.22598273976811</v>
      </c>
      <c r="F8">
        <v>103.27834915073601</v>
      </c>
      <c r="G8">
        <v>4696250.57</v>
      </c>
    </row>
    <row r="9" spans="1:12" x14ac:dyDescent="0.25">
      <c r="A9">
        <v>-150</v>
      </c>
      <c r="B9">
        <v>10</v>
      </c>
      <c r="C9">
        <v>1.45487056663554E-4</v>
      </c>
      <c r="D9">
        <v>0.17444483692978799</v>
      </c>
      <c r="E9">
        <v>1.60250296068817</v>
      </c>
      <c r="F9">
        <v>106.485910404046</v>
      </c>
      <c r="G9">
        <v>10481688.439999999</v>
      </c>
    </row>
    <row r="10" spans="1:12" x14ac:dyDescent="0.25">
      <c r="A10">
        <v>-150</v>
      </c>
      <c r="B10">
        <v>14</v>
      </c>
      <c r="C10">
        <v>2.0364536788386399E-4</v>
      </c>
      <c r="D10">
        <v>0.24410091569883099</v>
      </c>
      <c r="E10">
        <v>6.3074537796427004</v>
      </c>
      <c r="F10">
        <v>113.490430203459</v>
      </c>
      <c r="G10">
        <v>7418042.5300000003</v>
      </c>
    </row>
    <row r="11" spans="1:12" x14ac:dyDescent="0.25">
      <c r="A11">
        <v>-175</v>
      </c>
      <c r="B11">
        <v>6</v>
      </c>
      <c r="C11">
        <v>2.5045644901882398E-6</v>
      </c>
      <c r="D11">
        <v>3.0054359877459999E-3</v>
      </c>
      <c r="E11">
        <v>1.0557929175607299</v>
      </c>
      <c r="F11">
        <v>102.370428044698</v>
      </c>
      <c r="G11">
        <v>954257.72</v>
      </c>
    </row>
    <row r="12" spans="1:12" x14ac:dyDescent="0.25">
      <c r="A12">
        <v>-175</v>
      </c>
      <c r="B12">
        <v>10</v>
      </c>
      <c r="C12">
        <v>3.1379350320436698E-7</v>
      </c>
      <c r="D12">
        <v>3.76551553938E-4</v>
      </c>
      <c r="E12">
        <v>1.38893263431736</v>
      </c>
      <c r="F12">
        <v>106.208698179362</v>
      </c>
      <c r="G12">
        <v>2007689.75</v>
      </c>
      <c r="I12" s="1" t="s">
        <v>18</v>
      </c>
      <c r="J12" s="1" t="s">
        <v>5</v>
      </c>
    </row>
    <row r="13" spans="1:12" x14ac:dyDescent="0.25">
      <c r="A13">
        <v>-175</v>
      </c>
      <c r="B13">
        <v>14</v>
      </c>
      <c r="C13">
        <v>1.80404359961238E-5</v>
      </c>
      <c r="D13">
        <v>2.1646375305928001E-2</v>
      </c>
      <c r="E13">
        <v>6.5153723994731001</v>
      </c>
      <c r="F13">
        <v>113.241309778908</v>
      </c>
      <c r="G13">
        <v>405200.85</v>
      </c>
      <c r="I13" s="1" t="s">
        <v>7</v>
      </c>
      <c r="J13">
        <v>6</v>
      </c>
      <c r="K13">
        <v>10</v>
      </c>
      <c r="L13">
        <v>14</v>
      </c>
    </row>
    <row r="14" spans="1:12" x14ac:dyDescent="0.25">
      <c r="A14">
        <v>-50</v>
      </c>
      <c r="B14">
        <v>6</v>
      </c>
      <c r="C14">
        <v>5.8103595675563701E-3</v>
      </c>
      <c r="D14">
        <v>6.7538732531066401</v>
      </c>
      <c r="E14">
        <v>1.8536114241967601</v>
      </c>
      <c r="F14">
        <v>103.66998769176401</v>
      </c>
      <c r="G14">
        <v>7393779524.3999996</v>
      </c>
      <c r="I14" s="2">
        <v>-100</v>
      </c>
      <c r="J14" s="8">
        <v>189535274.99000001</v>
      </c>
      <c r="K14" s="8">
        <v>1343542037.9200001</v>
      </c>
      <c r="L14" s="8">
        <v>4213110567.3899999</v>
      </c>
    </row>
    <row r="15" spans="1:12" x14ac:dyDescent="0.25">
      <c r="A15">
        <v>-50</v>
      </c>
      <c r="B15">
        <v>10</v>
      </c>
      <c r="C15">
        <v>5.5300717707967304E-3</v>
      </c>
      <c r="D15">
        <v>6.4379216757025999</v>
      </c>
      <c r="E15">
        <v>3.2927873126730902</v>
      </c>
      <c r="F15">
        <v>108.46318474698001</v>
      </c>
      <c r="G15">
        <v>45208077936.75</v>
      </c>
      <c r="I15" s="2">
        <v>-75</v>
      </c>
      <c r="J15" s="8">
        <v>1522709571.1300001</v>
      </c>
      <c r="K15" s="8">
        <v>11885094276.280001</v>
      </c>
      <c r="L15" s="8">
        <v>38934193564.279999</v>
      </c>
    </row>
    <row r="16" spans="1:12" x14ac:dyDescent="0.25">
      <c r="A16">
        <v>-50</v>
      </c>
      <c r="B16">
        <v>14</v>
      </c>
      <c r="C16">
        <v>6.0004742319663797E-3</v>
      </c>
      <c r="D16">
        <v>6.9676210840951098</v>
      </c>
      <c r="E16">
        <v>7.6251954079122202</v>
      </c>
      <c r="F16">
        <v>115.24881184210901</v>
      </c>
      <c r="G16">
        <v>159655178618.45001</v>
      </c>
      <c r="I16" s="2">
        <v>-50</v>
      </c>
      <c r="J16" s="8">
        <v>7393779524.3999996</v>
      </c>
      <c r="K16" s="8">
        <v>45208077936.75</v>
      </c>
      <c r="L16" s="8">
        <v>159655178618.45001</v>
      </c>
    </row>
    <row r="17" spans="1:12" x14ac:dyDescent="0.25">
      <c r="A17">
        <v>-75</v>
      </c>
      <c r="B17">
        <v>6</v>
      </c>
      <c r="C17">
        <v>3.71518947359202E-3</v>
      </c>
      <c r="D17">
        <v>4.3682487638210796</v>
      </c>
      <c r="E17">
        <v>1.92643989547433</v>
      </c>
      <c r="F17">
        <v>103.718470954057</v>
      </c>
      <c r="G17">
        <v>1522709571.1300001</v>
      </c>
    </row>
    <row r="18" spans="1:12" x14ac:dyDescent="0.25">
      <c r="A18">
        <v>-75</v>
      </c>
      <c r="B18">
        <v>10</v>
      </c>
      <c r="C18">
        <v>4.7699387335229503E-3</v>
      </c>
      <c r="D18">
        <v>5.5761233650301598</v>
      </c>
      <c r="E18">
        <v>3.2874859655491</v>
      </c>
      <c r="F18">
        <v>108.492157384184</v>
      </c>
      <c r="G18">
        <v>11885094276.280001</v>
      </c>
    </row>
    <row r="19" spans="1:12" x14ac:dyDescent="0.25">
      <c r="A19">
        <v>-75</v>
      </c>
      <c r="B19">
        <v>14</v>
      </c>
      <c r="C19">
        <v>5.8670351192164003E-3</v>
      </c>
      <c r="D19">
        <v>6.8176411959525796</v>
      </c>
      <c r="E19">
        <v>7.2503456443790597</v>
      </c>
      <c r="F19">
        <v>114.616488294308</v>
      </c>
      <c r="G19">
        <v>38934193564.279999</v>
      </c>
    </row>
    <row r="20" spans="1:12" x14ac:dyDescent="0.25">
      <c r="I20" s="1" t="s">
        <v>16</v>
      </c>
      <c r="J20" s="1" t="s">
        <v>5</v>
      </c>
    </row>
    <row r="21" spans="1:12" x14ac:dyDescent="0.25">
      <c r="I21" s="1" t="s">
        <v>7</v>
      </c>
      <c r="J21">
        <v>6</v>
      </c>
      <c r="K21">
        <v>10</v>
      </c>
      <c r="L21">
        <v>14</v>
      </c>
    </row>
    <row r="22" spans="1:12" x14ac:dyDescent="0.25">
      <c r="I22" s="2">
        <v>-100</v>
      </c>
      <c r="J22" s="7">
        <v>103.83884835153199</v>
      </c>
      <c r="K22" s="7">
        <v>108.568411052971</v>
      </c>
      <c r="L22" s="7">
        <v>114.20805977262501</v>
      </c>
    </row>
    <row r="23" spans="1:12" x14ac:dyDescent="0.25">
      <c r="I23" s="2">
        <v>-75</v>
      </c>
      <c r="J23" s="7">
        <v>103.718470954057</v>
      </c>
      <c r="K23" s="7">
        <v>108.492157384184</v>
      </c>
      <c r="L23" s="7">
        <v>114.616488294308</v>
      </c>
    </row>
    <row r="24" spans="1:12" x14ac:dyDescent="0.25">
      <c r="I24" s="2">
        <v>-50</v>
      </c>
      <c r="J24" s="7">
        <v>103.66998769176401</v>
      </c>
      <c r="K24" s="7">
        <v>108.46318474698001</v>
      </c>
      <c r="L24" s="7">
        <v>115.24881184210901</v>
      </c>
    </row>
    <row r="28" spans="1:12" x14ac:dyDescent="0.25">
      <c r="I28" s="1" t="s">
        <v>17</v>
      </c>
      <c r="J28" s="1" t="s">
        <v>5</v>
      </c>
    </row>
    <row r="29" spans="1:12" x14ac:dyDescent="0.25">
      <c r="I29" s="1" t="s">
        <v>7</v>
      </c>
      <c r="J29">
        <v>6</v>
      </c>
      <c r="K29">
        <v>10</v>
      </c>
      <c r="L29">
        <v>14</v>
      </c>
    </row>
    <row r="30" spans="1:12" x14ac:dyDescent="0.25">
      <c r="I30" s="2">
        <v>-100</v>
      </c>
      <c r="J30" s="7">
        <v>1.64160742888113</v>
      </c>
      <c r="K30" s="7">
        <v>3.4104185427236402</v>
      </c>
      <c r="L30" s="7">
        <v>6.9791967318386297</v>
      </c>
    </row>
    <row r="31" spans="1:12" x14ac:dyDescent="0.25">
      <c r="I31" s="2">
        <v>-75</v>
      </c>
      <c r="J31" s="7">
        <v>1.92643989547433</v>
      </c>
      <c r="K31" s="7">
        <v>3.2874859655491</v>
      </c>
      <c r="L31" s="7">
        <v>7.2503456443790597</v>
      </c>
    </row>
    <row r="32" spans="1:12" x14ac:dyDescent="0.25">
      <c r="I32" s="2">
        <v>-50</v>
      </c>
      <c r="J32" s="7">
        <v>1.8536114241967601</v>
      </c>
      <c r="K32" s="7">
        <v>3.2927873126730902</v>
      </c>
      <c r="L32" s="7">
        <v>7.6251954079122202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52" sqref="L52"/>
    </sheetView>
  </sheetViews>
  <sheetFormatPr defaultRowHeight="15" x14ac:dyDescent="0.25"/>
  <cols>
    <col min="9" max="9" width="19.140625" customWidth="1"/>
    <col min="10" max="10" width="16.28515625" customWidth="1"/>
    <col min="11" max="14" width="15.28515625" bestFit="1" customWidth="1"/>
    <col min="15" max="15" width="15.28515625" customWidth="1"/>
    <col min="16" max="16" width="12" bestFit="1" customWidth="1"/>
    <col min="17" max="17" width="15.7109375" bestFit="1" customWidth="1"/>
    <col min="18" max="18" width="12" bestFit="1" customWidth="1"/>
    <col min="19" max="19" width="15.7109375" bestFit="1" customWidth="1"/>
  </cols>
  <sheetData>
    <row r="1" spans="1:14" x14ac:dyDescent="0.25">
      <c r="A1" t="s">
        <v>12</v>
      </c>
      <c r="B1" t="s">
        <v>0</v>
      </c>
      <c r="C1" t="s">
        <v>1</v>
      </c>
      <c r="D1" t="s">
        <v>2</v>
      </c>
      <c r="E1" t="s">
        <v>14</v>
      </c>
      <c r="F1" t="s">
        <v>15</v>
      </c>
      <c r="G1" t="s">
        <v>4</v>
      </c>
      <c r="I1" s="1" t="s">
        <v>13</v>
      </c>
      <c r="J1" s="1" t="s">
        <v>5</v>
      </c>
    </row>
    <row r="2" spans="1:14" x14ac:dyDescent="0.25">
      <c r="A2">
        <v>-100</v>
      </c>
      <c r="B2">
        <v>6</v>
      </c>
      <c r="C2">
        <v>5.4246978566614896E-4</v>
      </c>
      <c r="D2">
        <v>0.64902504558378404</v>
      </c>
      <c r="E2">
        <v>1.64160742888113</v>
      </c>
      <c r="F2">
        <v>103.83884835153199</v>
      </c>
      <c r="G2">
        <v>189535274.99000001</v>
      </c>
      <c r="I2" s="1" t="s">
        <v>7</v>
      </c>
      <c r="J2">
        <v>6</v>
      </c>
      <c r="K2">
        <v>10</v>
      </c>
      <c r="L2">
        <v>14</v>
      </c>
      <c r="M2">
        <v>18</v>
      </c>
      <c r="N2">
        <v>22</v>
      </c>
    </row>
    <row r="3" spans="1:14" x14ac:dyDescent="0.25">
      <c r="A3">
        <v>-100</v>
      </c>
      <c r="B3">
        <v>10</v>
      </c>
      <c r="C3">
        <v>3.0939403923939701E-3</v>
      </c>
      <c r="D3">
        <v>3.6501972403948302</v>
      </c>
      <c r="E3">
        <v>3.4104185427236402</v>
      </c>
      <c r="F3">
        <v>108.568411052971</v>
      </c>
      <c r="G3">
        <v>1343542037.9200001</v>
      </c>
      <c r="I3" s="2">
        <v>-100</v>
      </c>
      <c r="J3" s="3">
        <v>0.64902504558378404</v>
      </c>
      <c r="K3" s="3">
        <v>3.6501972403948302</v>
      </c>
      <c r="L3" s="3">
        <v>6.9023427604306997</v>
      </c>
      <c r="M3" s="3">
        <v>4.1830755885077702</v>
      </c>
      <c r="N3" s="3">
        <v>2.7504277379751501</v>
      </c>
    </row>
    <row r="4" spans="1:14" x14ac:dyDescent="0.25">
      <c r="A4">
        <v>-100</v>
      </c>
      <c r="B4">
        <v>14</v>
      </c>
      <c r="C4">
        <v>5.9423710162541197E-3</v>
      </c>
      <c r="D4">
        <v>6.9023427604306997</v>
      </c>
      <c r="E4">
        <v>5.2110164426970202</v>
      </c>
      <c r="F4">
        <v>112.151835795712</v>
      </c>
      <c r="G4">
        <v>2064580041.6099999</v>
      </c>
      <c r="I4" s="2">
        <v>-75</v>
      </c>
      <c r="J4" s="3">
        <v>4.3682487638210796</v>
      </c>
      <c r="K4" s="3">
        <v>5.5761233650301598</v>
      </c>
      <c r="L4" s="3">
        <v>6.9423976262796803</v>
      </c>
      <c r="M4" s="3">
        <v>6.7311143274332501</v>
      </c>
      <c r="N4" s="3">
        <v>6.6960265147762197</v>
      </c>
    </row>
    <row r="5" spans="1:14" x14ac:dyDescent="0.25">
      <c r="A5">
        <v>-100</v>
      </c>
      <c r="B5">
        <v>18</v>
      </c>
      <c r="C5">
        <v>3.5545718829795899E-3</v>
      </c>
      <c r="D5">
        <v>4.1830755885077702</v>
      </c>
      <c r="E5">
        <v>8.6161291789554699</v>
      </c>
      <c r="F5">
        <v>115.563307571252</v>
      </c>
      <c r="G5">
        <v>1891565322.45</v>
      </c>
      <c r="I5" s="2">
        <v>-50</v>
      </c>
      <c r="J5" s="3">
        <v>6.7538732531066401</v>
      </c>
      <c r="K5" s="3">
        <v>6.4379216757025999</v>
      </c>
      <c r="L5" s="3">
        <v>6.8574126404699003</v>
      </c>
      <c r="M5" s="3">
        <v>6.9158880330525898</v>
      </c>
      <c r="N5" s="3">
        <v>7.4898091367596704</v>
      </c>
    </row>
    <row r="6" spans="1:14" x14ac:dyDescent="0.25">
      <c r="A6">
        <v>-100</v>
      </c>
      <c r="B6">
        <v>22</v>
      </c>
      <c r="C6">
        <v>2.3214347789880501E-3</v>
      </c>
      <c r="D6">
        <v>2.7504277379751501</v>
      </c>
      <c r="E6">
        <v>9.1360739024946191</v>
      </c>
      <c r="F6">
        <v>120.752792186509</v>
      </c>
      <c r="G6">
        <v>256965203.33000001</v>
      </c>
    </row>
    <row r="7" spans="1:14" x14ac:dyDescent="0.25">
      <c r="A7">
        <v>-125</v>
      </c>
      <c r="B7">
        <v>6</v>
      </c>
      <c r="C7">
        <v>1.8129715150043101E-4</v>
      </c>
      <c r="D7">
        <v>0.21733977970787</v>
      </c>
      <c r="E7">
        <v>1.38097280708508</v>
      </c>
      <c r="F7">
        <v>103.53258653573199</v>
      </c>
      <c r="G7">
        <v>29873166.539999999</v>
      </c>
    </row>
    <row r="8" spans="1:14" x14ac:dyDescent="0.25">
      <c r="A8">
        <v>-125</v>
      </c>
      <c r="B8">
        <v>10</v>
      </c>
      <c r="C8">
        <v>7.2038425707443704E-3</v>
      </c>
      <c r="D8">
        <v>8.3101946135828602</v>
      </c>
      <c r="E8">
        <v>2.94589908351643</v>
      </c>
      <c r="F8">
        <v>107.960345444417</v>
      </c>
      <c r="G8">
        <v>58757643</v>
      </c>
    </row>
    <row r="9" spans="1:14" x14ac:dyDescent="0.25">
      <c r="A9">
        <v>-125</v>
      </c>
      <c r="B9">
        <v>14</v>
      </c>
      <c r="C9">
        <v>6.83716457538802E-3</v>
      </c>
      <c r="D9">
        <v>7.90299303089445</v>
      </c>
      <c r="E9">
        <v>4.9748583245785296</v>
      </c>
      <c r="F9">
        <v>111.837064167997</v>
      </c>
      <c r="G9">
        <v>110787042.15000001</v>
      </c>
    </row>
    <row r="10" spans="1:14" x14ac:dyDescent="0.25">
      <c r="A10">
        <v>-125</v>
      </c>
      <c r="B10">
        <v>18</v>
      </c>
      <c r="C10">
        <v>2.4282029343242301E-4</v>
      </c>
      <c r="D10">
        <v>0.29099551973644799</v>
      </c>
      <c r="E10">
        <v>8.4278235367924594</v>
      </c>
      <c r="F10">
        <v>115.508195889121</v>
      </c>
      <c r="G10">
        <v>76037178.519999996</v>
      </c>
    </row>
    <row r="11" spans="1:14" x14ac:dyDescent="0.25">
      <c r="A11">
        <v>-125</v>
      </c>
      <c r="B11">
        <v>22</v>
      </c>
      <c r="C11">
        <v>3.3425656991221298E-2</v>
      </c>
      <c r="D11">
        <v>33.499768799230402</v>
      </c>
      <c r="E11">
        <v>8.9642302302297292</v>
      </c>
      <c r="F11">
        <v>120.54263128327599</v>
      </c>
      <c r="G11">
        <v>8039911.0800000001</v>
      </c>
    </row>
    <row r="12" spans="1:14" x14ac:dyDescent="0.25">
      <c r="A12">
        <v>-150</v>
      </c>
      <c r="B12">
        <v>6</v>
      </c>
      <c r="C12">
        <v>9.4628211032615303E-2</v>
      </c>
      <c r="D12">
        <v>69.666432162665302</v>
      </c>
      <c r="E12">
        <v>1.22598273976811</v>
      </c>
      <c r="F12">
        <v>103.27834915073601</v>
      </c>
      <c r="G12">
        <v>4696250.57</v>
      </c>
      <c r="I12" s="1" t="s">
        <v>18</v>
      </c>
      <c r="J12" s="1" t="s">
        <v>5</v>
      </c>
    </row>
    <row r="13" spans="1:14" x14ac:dyDescent="0.25">
      <c r="A13">
        <v>-150</v>
      </c>
      <c r="B13">
        <v>10</v>
      </c>
      <c r="C13">
        <v>1.45487056663554E-4</v>
      </c>
      <c r="D13">
        <v>0.17444483692978799</v>
      </c>
      <c r="E13">
        <v>1.60250296068817</v>
      </c>
      <c r="F13">
        <v>106.485910404046</v>
      </c>
      <c r="G13">
        <v>10481688.439999999</v>
      </c>
      <c r="I13" s="1" t="s">
        <v>7</v>
      </c>
      <c r="J13">
        <v>6</v>
      </c>
      <c r="K13">
        <v>10</v>
      </c>
      <c r="L13">
        <v>14</v>
      </c>
      <c r="M13">
        <v>18</v>
      </c>
      <c r="N13">
        <v>22</v>
      </c>
    </row>
    <row r="14" spans="1:14" x14ac:dyDescent="0.25">
      <c r="A14">
        <v>-150</v>
      </c>
      <c r="B14">
        <v>14</v>
      </c>
      <c r="C14">
        <v>2.7631725646552697E-4</v>
      </c>
      <c r="D14">
        <v>0.33107725351464401</v>
      </c>
      <c r="E14">
        <v>5.05021787576759</v>
      </c>
      <c r="F14">
        <v>112.006323207074</v>
      </c>
      <c r="G14">
        <v>4510214.1500000004</v>
      </c>
      <c r="I14" s="2">
        <v>-100</v>
      </c>
      <c r="J14" s="8">
        <v>189535274.99000001</v>
      </c>
      <c r="K14" s="8">
        <v>1343542037.9200001</v>
      </c>
      <c r="L14" s="8">
        <v>2064580041.6099999</v>
      </c>
      <c r="M14" s="8">
        <v>1891565322.45</v>
      </c>
      <c r="N14" s="8">
        <v>256965203.33000001</v>
      </c>
    </row>
    <row r="15" spans="1:14" x14ac:dyDescent="0.25">
      <c r="A15">
        <v>-150</v>
      </c>
      <c r="B15">
        <v>18</v>
      </c>
      <c r="C15">
        <v>9.6800490440197305E-5</v>
      </c>
      <c r="D15">
        <v>0.116098764268191</v>
      </c>
      <c r="E15">
        <v>8.1997932195106102</v>
      </c>
      <c r="F15">
        <v>115.511578287795</v>
      </c>
      <c r="G15">
        <v>2731391.12</v>
      </c>
      <c r="I15" s="2">
        <v>-75</v>
      </c>
      <c r="J15" s="8">
        <v>1522709571.1300001</v>
      </c>
      <c r="K15" s="8">
        <v>11885094276.280001</v>
      </c>
      <c r="L15" s="8">
        <v>16441167524.23</v>
      </c>
      <c r="M15" s="8">
        <v>19441045004.68</v>
      </c>
      <c r="N15" s="8">
        <v>3051981035.3699999</v>
      </c>
    </row>
    <row r="16" spans="1:14" x14ac:dyDescent="0.25">
      <c r="A16">
        <v>-150</v>
      </c>
      <c r="B16">
        <v>22</v>
      </c>
      <c r="C16">
        <v>0</v>
      </c>
      <c r="D16">
        <v>0</v>
      </c>
      <c r="E16">
        <v>9.14092779025823</v>
      </c>
      <c r="F16">
        <v>120.12578802866101</v>
      </c>
      <c r="G16">
        <v>176437.26</v>
      </c>
      <c r="I16" s="2">
        <v>-50</v>
      </c>
      <c r="J16" s="8">
        <v>7393779524.3999996</v>
      </c>
      <c r="K16" s="8">
        <v>45208077936.75</v>
      </c>
      <c r="L16" s="8">
        <v>55801310638.18</v>
      </c>
      <c r="M16" s="8">
        <v>83831921677.020004</v>
      </c>
      <c r="N16" s="8">
        <v>20021946303.25</v>
      </c>
    </row>
    <row r="17" spans="1:14" x14ac:dyDescent="0.25">
      <c r="A17">
        <v>-175</v>
      </c>
      <c r="B17">
        <v>6</v>
      </c>
      <c r="C17">
        <v>2.5045644901882398E-6</v>
      </c>
      <c r="D17">
        <v>3.0054359877459999E-3</v>
      </c>
      <c r="E17">
        <v>1.0557929175607299</v>
      </c>
      <c r="F17">
        <v>102.370428044698</v>
      </c>
      <c r="G17">
        <v>954257.72</v>
      </c>
    </row>
    <row r="18" spans="1:14" x14ac:dyDescent="0.25">
      <c r="A18">
        <v>-175</v>
      </c>
      <c r="B18">
        <v>10</v>
      </c>
      <c r="C18">
        <v>3.1379350320436698E-7</v>
      </c>
      <c r="D18">
        <v>3.76551553938E-4</v>
      </c>
      <c r="E18">
        <v>1.38893263431736</v>
      </c>
      <c r="F18">
        <v>106.208698179362</v>
      </c>
      <c r="G18">
        <v>2007689.75</v>
      </c>
    </row>
    <row r="19" spans="1:14" x14ac:dyDescent="0.25">
      <c r="A19">
        <v>-175</v>
      </c>
      <c r="B19">
        <v>14</v>
      </c>
      <c r="C19">
        <v>0</v>
      </c>
      <c r="D19">
        <v>0</v>
      </c>
      <c r="E19">
        <v>5.3830545877573099</v>
      </c>
      <c r="F19">
        <v>112.21639294643199</v>
      </c>
      <c r="G19">
        <v>262743.75</v>
      </c>
    </row>
    <row r="20" spans="1:14" x14ac:dyDescent="0.25">
      <c r="A20">
        <v>-175</v>
      </c>
      <c r="B20">
        <v>18</v>
      </c>
      <c r="C20">
        <v>5.1313693736570497E-5</v>
      </c>
      <c r="D20">
        <v>6.1559057027948998E-2</v>
      </c>
      <c r="E20">
        <v>8.5988991786493703</v>
      </c>
      <c r="F20">
        <v>115.127212875016</v>
      </c>
      <c r="G20">
        <v>142457.1</v>
      </c>
      <c r="I20" s="1" t="s">
        <v>16</v>
      </c>
      <c r="J20" s="1" t="s">
        <v>5</v>
      </c>
    </row>
    <row r="21" spans="1:14" x14ac:dyDescent="0.25">
      <c r="A21">
        <v>-50</v>
      </c>
      <c r="B21">
        <v>6</v>
      </c>
      <c r="C21">
        <v>5.8103595675563701E-3</v>
      </c>
      <c r="D21">
        <v>6.7538732531066401</v>
      </c>
      <c r="E21">
        <v>1.8536114241967501</v>
      </c>
      <c r="F21">
        <v>103.66998769176401</v>
      </c>
      <c r="G21">
        <v>7393779524.3999996</v>
      </c>
      <c r="I21" s="1" t="s">
        <v>7</v>
      </c>
      <c r="J21">
        <v>6</v>
      </c>
      <c r="K21">
        <v>10</v>
      </c>
      <c r="L21">
        <v>14</v>
      </c>
      <c r="M21">
        <v>18</v>
      </c>
      <c r="N21">
        <v>22</v>
      </c>
    </row>
    <row r="22" spans="1:14" x14ac:dyDescent="0.25">
      <c r="A22">
        <v>-50</v>
      </c>
      <c r="B22">
        <v>10</v>
      </c>
      <c r="C22">
        <v>5.5300717707967304E-3</v>
      </c>
      <c r="D22">
        <v>6.4379216757025999</v>
      </c>
      <c r="E22">
        <v>3.2927873126730902</v>
      </c>
      <c r="F22">
        <v>108.46318474698001</v>
      </c>
      <c r="G22">
        <v>45208077936.75</v>
      </c>
      <c r="I22" s="2">
        <v>-100</v>
      </c>
      <c r="J22" s="7">
        <v>103.83884835153199</v>
      </c>
      <c r="K22" s="7">
        <v>108.568411052971</v>
      </c>
      <c r="L22" s="7">
        <v>112.151835795712</v>
      </c>
      <c r="M22" s="7">
        <v>115.563307571252</v>
      </c>
      <c r="N22" s="7">
        <v>120.752792186509</v>
      </c>
    </row>
    <row r="23" spans="1:14" x14ac:dyDescent="0.25">
      <c r="A23">
        <v>-50</v>
      </c>
      <c r="B23">
        <v>14</v>
      </c>
      <c r="C23">
        <v>5.9024011130420703E-3</v>
      </c>
      <c r="D23">
        <v>6.8574126404699003</v>
      </c>
      <c r="E23">
        <v>5.14316424063112</v>
      </c>
      <c r="F23">
        <v>112.338010363172</v>
      </c>
      <c r="G23">
        <v>55801310638.18</v>
      </c>
      <c r="I23" s="2">
        <v>-75</v>
      </c>
      <c r="J23" s="7">
        <v>103.718470954057</v>
      </c>
      <c r="K23" s="7">
        <v>108.492157384184</v>
      </c>
      <c r="L23" s="7">
        <v>112.259170644628</v>
      </c>
      <c r="M23" s="7">
        <v>115.598268286571</v>
      </c>
      <c r="N23" s="7">
        <v>121.061612493398</v>
      </c>
    </row>
    <row r="24" spans="1:14" x14ac:dyDescent="0.25">
      <c r="A24">
        <v>-50</v>
      </c>
      <c r="B24">
        <v>18</v>
      </c>
      <c r="C24">
        <v>5.9544243804067797E-3</v>
      </c>
      <c r="D24">
        <v>6.9158880330525898</v>
      </c>
      <c r="E24">
        <v>8.8573724090483292</v>
      </c>
      <c r="F24">
        <v>115.73421842238</v>
      </c>
      <c r="G24">
        <v>83831921677.020004</v>
      </c>
      <c r="I24" s="2">
        <v>-50</v>
      </c>
      <c r="J24" s="7">
        <v>103.66998769176401</v>
      </c>
      <c r="K24" s="7">
        <v>108.46318474698001</v>
      </c>
      <c r="L24" s="7">
        <v>112.338010363172</v>
      </c>
      <c r="M24" s="7">
        <v>115.73421842238</v>
      </c>
      <c r="N24" s="7">
        <v>121.32893418965701</v>
      </c>
    </row>
    <row r="25" spans="1:14" x14ac:dyDescent="0.25">
      <c r="A25">
        <v>-50</v>
      </c>
      <c r="B25">
        <v>22</v>
      </c>
      <c r="C25">
        <v>6.4666155342242302E-3</v>
      </c>
      <c r="D25">
        <v>7.4898091367596704</v>
      </c>
      <c r="E25">
        <v>9.3836026929620004</v>
      </c>
      <c r="F25">
        <v>121.32893418965701</v>
      </c>
      <c r="G25">
        <v>20021946303.25</v>
      </c>
    </row>
    <row r="26" spans="1:14" x14ac:dyDescent="0.25">
      <c r="A26">
        <v>-75</v>
      </c>
      <c r="B26">
        <v>6</v>
      </c>
      <c r="C26">
        <v>3.71518947359202E-3</v>
      </c>
      <c r="D26">
        <v>4.3682487638210796</v>
      </c>
      <c r="E26">
        <v>1.92643989547434</v>
      </c>
      <c r="F26">
        <v>103.718470954057</v>
      </c>
      <c r="G26">
        <v>1522709571.1300001</v>
      </c>
    </row>
    <row r="27" spans="1:14" x14ac:dyDescent="0.25">
      <c r="A27">
        <v>-75</v>
      </c>
      <c r="B27">
        <v>10</v>
      </c>
      <c r="C27">
        <v>4.7699387335229503E-3</v>
      </c>
      <c r="D27">
        <v>5.5761233650301598</v>
      </c>
      <c r="E27">
        <v>3.2874859655491102</v>
      </c>
      <c r="F27">
        <v>108.492157384184</v>
      </c>
      <c r="G27">
        <v>11885094276.280001</v>
      </c>
    </row>
    <row r="28" spans="1:14" x14ac:dyDescent="0.25">
      <c r="A28">
        <v>-75</v>
      </c>
      <c r="B28">
        <v>14</v>
      </c>
      <c r="C28">
        <v>5.9780187973361701E-3</v>
      </c>
      <c r="D28">
        <v>6.9423976262796803</v>
      </c>
      <c r="E28">
        <v>5.1721111423232298</v>
      </c>
      <c r="F28">
        <v>112.259170644628</v>
      </c>
      <c r="G28">
        <v>16441167524.23</v>
      </c>
      <c r="I28" s="1" t="s">
        <v>17</v>
      </c>
      <c r="J28" s="1" t="s">
        <v>5</v>
      </c>
    </row>
    <row r="29" spans="1:14" x14ac:dyDescent="0.25">
      <c r="A29">
        <v>-75</v>
      </c>
      <c r="B29">
        <v>18</v>
      </c>
      <c r="C29">
        <v>5.7901405352902601E-3</v>
      </c>
      <c r="D29">
        <v>6.7311143274332501</v>
      </c>
      <c r="E29">
        <v>8.6923752044437101</v>
      </c>
      <c r="F29">
        <v>115.598268286571</v>
      </c>
      <c r="G29">
        <v>19441045004.68</v>
      </c>
      <c r="I29" s="1" t="s">
        <v>7</v>
      </c>
      <c r="J29">
        <v>6</v>
      </c>
      <c r="K29">
        <v>10</v>
      </c>
      <c r="L29">
        <v>14</v>
      </c>
      <c r="M29">
        <v>18</v>
      </c>
      <c r="N29">
        <v>22</v>
      </c>
    </row>
    <row r="30" spans="1:14" x14ac:dyDescent="0.25">
      <c r="A30">
        <v>-75</v>
      </c>
      <c r="B30">
        <v>22</v>
      </c>
      <c r="C30">
        <v>5.7589773777441504E-3</v>
      </c>
      <c r="D30">
        <v>6.6960265147762197</v>
      </c>
      <c r="E30">
        <v>9.2602477749813907</v>
      </c>
      <c r="F30">
        <v>121.061612493398</v>
      </c>
      <c r="G30">
        <v>3051981035.3699999</v>
      </c>
      <c r="I30" s="2">
        <v>-100</v>
      </c>
      <c r="J30" s="7">
        <v>1.64160742888113</v>
      </c>
      <c r="K30" s="7">
        <v>3.4104185427236402</v>
      </c>
      <c r="L30" s="7">
        <v>5.2110164426970202</v>
      </c>
      <c r="M30" s="7">
        <v>8.6161291789554699</v>
      </c>
      <c r="N30" s="7">
        <v>9.1360739024946191</v>
      </c>
    </row>
    <row r="31" spans="1:14" x14ac:dyDescent="0.25">
      <c r="I31" s="2">
        <v>-75</v>
      </c>
      <c r="J31" s="7">
        <v>1.92643989547434</v>
      </c>
      <c r="K31" s="7">
        <v>3.2874859655491102</v>
      </c>
      <c r="L31" s="7">
        <v>5.1721111423232298</v>
      </c>
      <c r="M31" s="7">
        <v>8.6923752044437101</v>
      </c>
      <c r="N31" s="7">
        <v>9.2602477749813907</v>
      </c>
    </row>
    <row r="32" spans="1:14" x14ac:dyDescent="0.25">
      <c r="I32" s="2">
        <v>-50</v>
      </c>
      <c r="J32" s="7">
        <v>1.8536114241967501</v>
      </c>
      <c r="K32" s="7">
        <v>3.2927873126730902</v>
      </c>
      <c r="L32" s="7">
        <v>5.14316424063112</v>
      </c>
      <c r="M32" s="7">
        <v>8.8573724090483292</v>
      </c>
      <c r="N32" s="7">
        <v>9.3836026929620004</v>
      </c>
    </row>
  </sheetData>
  <conditionalFormatting pivot="1" sqref="J14:N1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{1A681AF1-C557-46FF-984A-7B39125C99D2}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A681AF1-C557-46FF-984A-7B39125C99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J14:N16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R23" sqref="R23"/>
    </sheetView>
  </sheetViews>
  <sheetFormatPr defaultRowHeight="15" x14ac:dyDescent="0.25"/>
  <cols>
    <col min="9" max="9" width="13.140625" bestFit="1" customWidth="1"/>
    <col min="10" max="10" width="10.28515625" bestFit="1" customWidth="1"/>
    <col min="14" max="14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1" t="s">
        <v>7</v>
      </c>
      <c r="J1" t="s">
        <v>8</v>
      </c>
      <c r="L1" t="s">
        <v>11</v>
      </c>
    </row>
    <row r="2" spans="1:12" x14ac:dyDescent="0.25">
      <c r="A2">
        <v>-10</v>
      </c>
      <c r="B2">
        <v>5.4408146681846296E-3</v>
      </c>
      <c r="C2">
        <v>6.33710168930984</v>
      </c>
      <c r="D2">
        <v>6.5261306235071901</v>
      </c>
      <c r="E2">
        <v>100765926245.55</v>
      </c>
      <c r="I2" s="2">
        <v>-10</v>
      </c>
      <c r="J2" s="4">
        <v>6.3102439556033847E-3</v>
      </c>
      <c r="K2" s="4">
        <v>6.3102439556033847E-3</v>
      </c>
      <c r="L2" s="4">
        <f>K2</f>
        <v>6.3102439556033847E-3</v>
      </c>
    </row>
    <row r="3" spans="1:12" x14ac:dyDescent="0.25">
      <c r="A3">
        <v>-8</v>
      </c>
      <c r="B3">
        <v>4.2007449986763203E-5</v>
      </c>
      <c r="C3">
        <v>5.0397295083948003E-2</v>
      </c>
      <c r="D3">
        <v>-0.17287505513225601</v>
      </c>
      <c r="E3">
        <v>4406837.3600000003</v>
      </c>
      <c r="I3" s="2">
        <v>-8</v>
      </c>
      <c r="J3" s="4">
        <v>2.7596847317716427E-7</v>
      </c>
      <c r="K3" s="4">
        <v>2.7596847317716427E-7</v>
      </c>
      <c r="L3" s="4">
        <f>K3+L2</f>
        <v>6.3105199240765615E-3</v>
      </c>
    </row>
    <row r="4" spans="1:12" x14ac:dyDescent="0.25">
      <c r="A4">
        <v>-7</v>
      </c>
      <c r="B4">
        <v>6.2144841064440898E-3</v>
      </c>
      <c r="C4">
        <v>7.2076971125683</v>
      </c>
      <c r="D4">
        <v>6.73590316114859</v>
      </c>
      <c r="E4">
        <v>24017764070.75</v>
      </c>
      <c r="I4" s="2">
        <v>-7</v>
      </c>
      <c r="J4" s="4">
        <v>1.5040595189413186E-3</v>
      </c>
      <c r="K4" s="4">
        <v>1.5040595189413186E-3</v>
      </c>
      <c r="L4" s="4">
        <f t="shared" ref="L4:L58" si="0">K4+L3</f>
        <v>7.8145794430178796E-3</v>
      </c>
    </row>
    <row r="5" spans="1:12" x14ac:dyDescent="0.25">
      <c r="A5">
        <v>-6</v>
      </c>
      <c r="B5">
        <v>3.3070592450347502E-7</v>
      </c>
      <c r="C5">
        <v>3.9684638735199999E-4</v>
      </c>
      <c r="D5">
        <v>4.1999364937352297</v>
      </c>
      <c r="E5">
        <v>2479544.33</v>
      </c>
      <c r="I5" s="2">
        <v>-6</v>
      </c>
      <c r="J5" s="4">
        <v>1.5527599659933778E-7</v>
      </c>
      <c r="K5" s="4">
        <v>1.5527599659933778E-7</v>
      </c>
      <c r="L5" s="4">
        <f t="shared" si="0"/>
        <v>7.8147347190144784E-3</v>
      </c>
    </row>
    <row r="6" spans="1:12" x14ac:dyDescent="0.25">
      <c r="A6">
        <v>-5</v>
      </c>
      <c r="B6">
        <v>2.0946958973348099E-3</v>
      </c>
      <c r="C6">
        <v>2.4848771731249801</v>
      </c>
      <c r="D6">
        <v>5.2179200529049998</v>
      </c>
      <c r="E6">
        <v>136858834.91</v>
      </c>
      <c r="I6" s="2">
        <v>-5</v>
      </c>
      <c r="J6" s="4">
        <v>8.5704827806302985E-6</v>
      </c>
      <c r="K6" s="4">
        <v>8.5704827806302985E-6</v>
      </c>
      <c r="L6" s="4">
        <f t="shared" si="0"/>
        <v>7.8233052017951093E-3</v>
      </c>
    </row>
    <row r="7" spans="1:12" x14ac:dyDescent="0.25">
      <c r="A7">
        <v>-4</v>
      </c>
      <c r="B7">
        <v>0</v>
      </c>
      <c r="C7">
        <v>0</v>
      </c>
      <c r="D7">
        <v>4.9555795417062001</v>
      </c>
      <c r="E7">
        <v>133160.67000000001</v>
      </c>
      <c r="I7" s="2">
        <v>-4</v>
      </c>
      <c r="J7" s="4">
        <v>8.3388933571054742E-9</v>
      </c>
      <c r="K7" s="4">
        <v>8.3388933571054742E-9</v>
      </c>
      <c r="L7" s="4">
        <f t="shared" si="0"/>
        <v>7.8233135406884664E-3</v>
      </c>
    </row>
    <row r="8" spans="1:12" x14ac:dyDescent="0.25">
      <c r="A8">
        <v>-3</v>
      </c>
      <c r="B8">
        <v>6.2517976164421203E-3</v>
      </c>
      <c r="C8">
        <v>7.2494971775790198</v>
      </c>
      <c r="D8">
        <v>6.29469085574235</v>
      </c>
      <c r="E8">
        <v>5372882577.2700005</v>
      </c>
      <c r="I8" s="2">
        <v>-3</v>
      </c>
      <c r="J8" s="4">
        <v>3.3646492490691535E-4</v>
      </c>
      <c r="K8" s="4">
        <v>3.3646492490691535E-4</v>
      </c>
      <c r="L8" s="4">
        <f t="shared" si="0"/>
        <v>8.1597784655953812E-3</v>
      </c>
    </row>
    <row r="9" spans="1:12" x14ac:dyDescent="0.25">
      <c r="A9">
        <v>-2</v>
      </c>
      <c r="B9">
        <v>3.92666563617807E-4</v>
      </c>
      <c r="C9">
        <v>0.470183572736105</v>
      </c>
      <c r="D9">
        <v>-0.78208860781829104</v>
      </c>
      <c r="E9">
        <v>29798615.629999999</v>
      </c>
      <c r="I9" s="2">
        <v>-2</v>
      </c>
      <c r="J9" s="4">
        <v>1.8660726018271483E-6</v>
      </c>
      <c r="K9" s="4">
        <v>1.8660726018271483E-6</v>
      </c>
      <c r="L9" s="4">
        <f t="shared" si="0"/>
        <v>8.1616445381972082E-3</v>
      </c>
    </row>
    <row r="10" spans="1:12" x14ac:dyDescent="0.25">
      <c r="A10">
        <v>-1</v>
      </c>
      <c r="B10">
        <v>3.5975519129707899E-4</v>
      </c>
      <c r="C10">
        <v>0.43085305600262203</v>
      </c>
      <c r="D10">
        <v>-0.82413010852894397</v>
      </c>
      <c r="E10">
        <v>32525590.41</v>
      </c>
      <c r="I10" s="2">
        <v>-1</v>
      </c>
      <c r="J10" s="4">
        <v>2.036843384806358E-6</v>
      </c>
      <c r="K10" s="4">
        <v>2.036843384806358E-6</v>
      </c>
      <c r="L10" s="4">
        <f t="shared" si="0"/>
        <v>8.163681381582015E-3</v>
      </c>
    </row>
    <row r="11" spans="1:12" x14ac:dyDescent="0.25">
      <c r="A11">
        <v>0</v>
      </c>
      <c r="B11">
        <v>6.5125804161649502E-3</v>
      </c>
      <c r="C11">
        <v>7.5411548277753297</v>
      </c>
      <c r="D11">
        <v>6.3793352119250599</v>
      </c>
      <c r="E11">
        <v>5205660044.6499996</v>
      </c>
      <c r="I11" s="2">
        <v>0</v>
      </c>
      <c r="J11" s="4">
        <v>3.25992982505129E-4</v>
      </c>
      <c r="K11" s="4">
        <v>3.25992982505129E-4</v>
      </c>
      <c r="L11" s="4">
        <f t="shared" si="0"/>
        <v>8.4896743640871433E-3</v>
      </c>
    </row>
    <row r="12" spans="1:12" x14ac:dyDescent="0.25">
      <c r="A12">
        <v>1</v>
      </c>
      <c r="B12">
        <v>4.9864871536397298E-3</v>
      </c>
      <c r="C12">
        <v>5.8223726294419702</v>
      </c>
      <c r="D12">
        <v>6.1822539008029196</v>
      </c>
      <c r="E12">
        <v>6223643798.4899998</v>
      </c>
      <c r="I12" s="2">
        <v>1</v>
      </c>
      <c r="J12" s="4">
        <v>3.8974197056998081E-4</v>
      </c>
      <c r="K12" s="4">
        <v>3.8974197056998081E-4</v>
      </c>
      <c r="L12" s="4">
        <f t="shared" si="0"/>
        <v>8.8794163346571243E-3</v>
      </c>
    </row>
    <row r="13" spans="1:12" x14ac:dyDescent="0.25">
      <c r="A13">
        <v>2</v>
      </c>
      <c r="B13">
        <v>5.2674367462473897E-3</v>
      </c>
      <c r="C13">
        <v>6.1409787285470498</v>
      </c>
      <c r="D13">
        <v>6.3656505231933602</v>
      </c>
      <c r="E13">
        <v>53946049974.389999</v>
      </c>
      <c r="I13" s="2">
        <v>2</v>
      </c>
      <c r="J13" s="4">
        <v>3.3782524357493893E-3</v>
      </c>
      <c r="K13" s="4">
        <v>3.3782524357493893E-3</v>
      </c>
      <c r="L13" s="4">
        <f t="shared" si="0"/>
        <v>1.2257668770406514E-2</v>
      </c>
    </row>
    <row r="14" spans="1:12" x14ac:dyDescent="0.25">
      <c r="A14">
        <v>3</v>
      </c>
      <c r="B14">
        <v>5.5824279032162102E-3</v>
      </c>
      <c r="C14">
        <v>6.4970140252843898</v>
      </c>
      <c r="D14">
        <v>6.5089220643050503</v>
      </c>
      <c r="E14">
        <v>269110747980.19</v>
      </c>
      <c r="I14" s="2">
        <v>3</v>
      </c>
      <c r="J14" s="4">
        <v>1.6852467238695115E-2</v>
      </c>
      <c r="K14" s="4">
        <v>1.6852467238695115E-2</v>
      </c>
      <c r="L14" s="4">
        <f t="shared" si="0"/>
        <v>2.9110136009101631E-2</v>
      </c>
    </row>
    <row r="15" spans="1:12" x14ac:dyDescent="0.25">
      <c r="A15">
        <v>4</v>
      </c>
      <c r="B15">
        <v>5.6768071898635501E-3</v>
      </c>
      <c r="C15">
        <v>6.6034498764074598</v>
      </c>
      <c r="D15">
        <v>6.4513228450644498</v>
      </c>
      <c r="E15">
        <v>546588084272.16998</v>
      </c>
      <c r="I15" s="2">
        <v>4</v>
      </c>
      <c r="J15" s="4">
        <v>3.422887362319673E-2</v>
      </c>
      <c r="K15" s="4">
        <v>3.422887362319673E-2</v>
      </c>
      <c r="L15" s="6">
        <f t="shared" si="0"/>
        <v>6.3339009632298354E-2</v>
      </c>
    </row>
    <row r="16" spans="1:12" x14ac:dyDescent="0.25">
      <c r="A16">
        <v>5</v>
      </c>
      <c r="B16">
        <v>6.0462310346491802E-3</v>
      </c>
      <c r="C16">
        <v>7.0189988141691604</v>
      </c>
      <c r="D16">
        <v>6.4274887071500499</v>
      </c>
      <c r="E16">
        <v>366844364672.65997</v>
      </c>
      <c r="I16" s="2">
        <v>5</v>
      </c>
      <c r="J16" s="4">
        <v>2.2972819494377895E-2</v>
      </c>
      <c r="K16" s="4">
        <v>2.2972819494377895E-2</v>
      </c>
      <c r="L16" s="4">
        <f t="shared" si="0"/>
        <v>8.6311829126676246E-2</v>
      </c>
    </row>
    <row r="17" spans="1:15" x14ac:dyDescent="0.25">
      <c r="A17">
        <v>6</v>
      </c>
      <c r="B17">
        <v>5.8910910105547699E-3</v>
      </c>
      <c r="C17">
        <v>6.8446953604080401</v>
      </c>
      <c r="D17">
        <v>6.3649687510232704</v>
      </c>
      <c r="E17">
        <v>503583194453.25</v>
      </c>
      <c r="I17" s="2">
        <v>6</v>
      </c>
      <c r="J17" s="4">
        <v>3.1535787218374314E-2</v>
      </c>
      <c r="K17" s="4">
        <v>3.1535787218374314E-2</v>
      </c>
      <c r="L17" s="6">
        <f t="shared" si="0"/>
        <v>0.11784761634505056</v>
      </c>
    </row>
    <row r="18" spans="1:15" x14ac:dyDescent="0.25">
      <c r="A18">
        <v>7</v>
      </c>
      <c r="B18">
        <v>5.6147167943346498E-3</v>
      </c>
      <c r="C18">
        <v>6.5334401952136796</v>
      </c>
      <c r="D18">
        <v>6.4406350189658701</v>
      </c>
      <c r="E18">
        <v>621336725002.78003</v>
      </c>
      <c r="I18" s="2">
        <v>7</v>
      </c>
      <c r="J18" s="4">
        <v>3.8909842438096413E-2</v>
      </c>
      <c r="K18" s="4">
        <v>3.8909842438096413E-2</v>
      </c>
      <c r="L18" s="4">
        <f t="shared" si="0"/>
        <v>0.15675745878314698</v>
      </c>
    </row>
    <row r="19" spans="1:15" x14ac:dyDescent="0.25">
      <c r="A19">
        <v>8</v>
      </c>
      <c r="B19">
        <v>6.1248864482633704E-3</v>
      </c>
      <c r="C19">
        <v>7.1072557584010099</v>
      </c>
      <c r="D19">
        <v>6.4858928151525301</v>
      </c>
      <c r="E19">
        <v>663805290557.31006</v>
      </c>
      <c r="I19" s="2">
        <v>8</v>
      </c>
      <c r="J19" s="4">
        <v>4.1569342718385395E-2</v>
      </c>
      <c r="K19" s="4">
        <v>4.1569342718385395E-2</v>
      </c>
      <c r="L19" s="4">
        <f t="shared" si="0"/>
        <v>0.19832680150153237</v>
      </c>
    </row>
    <row r="20" spans="1:15" x14ac:dyDescent="0.25">
      <c r="A20">
        <v>9</v>
      </c>
      <c r="B20">
        <v>5.4572823969650398E-3</v>
      </c>
      <c r="C20">
        <v>6.3557102319326404</v>
      </c>
      <c r="D20">
        <v>6.5045885724480303</v>
      </c>
      <c r="E20">
        <v>895783613030.30005</v>
      </c>
      <c r="I20" s="2">
        <v>9</v>
      </c>
      <c r="J20" s="4">
        <v>5.6096473681773368E-2</v>
      </c>
      <c r="K20" s="4">
        <v>5.6096473681773368E-2</v>
      </c>
      <c r="L20" s="4">
        <f t="shared" si="0"/>
        <v>0.25442327518330576</v>
      </c>
    </row>
    <row r="21" spans="1:15" x14ac:dyDescent="0.25">
      <c r="A21">
        <v>10</v>
      </c>
      <c r="B21">
        <v>5.7097123976531799E-3</v>
      </c>
      <c r="C21">
        <v>6.6405324701676003</v>
      </c>
      <c r="D21">
        <v>6.3942496478059203</v>
      </c>
      <c r="E21">
        <v>1321832281825.98</v>
      </c>
      <c r="I21" s="2">
        <v>10</v>
      </c>
      <c r="J21" s="4">
        <v>8.2776832184204494E-2</v>
      </c>
      <c r="K21" s="4">
        <v>8.2776832184204494E-2</v>
      </c>
      <c r="L21" s="4">
        <f t="shared" si="0"/>
        <v>0.33720010736751027</v>
      </c>
      <c r="N21" t="s">
        <v>9</v>
      </c>
      <c r="O21" t="s">
        <v>10</v>
      </c>
    </row>
    <row r="22" spans="1:15" x14ac:dyDescent="0.25">
      <c r="A22">
        <v>11</v>
      </c>
      <c r="B22">
        <v>5.6932575023781297E-3</v>
      </c>
      <c r="C22">
        <v>6.6219902784078304</v>
      </c>
      <c r="D22">
        <v>6.3796811824908399</v>
      </c>
      <c r="E22">
        <v>1098734073288.8101</v>
      </c>
      <c r="I22" s="2">
        <v>11</v>
      </c>
      <c r="J22" s="4">
        <v>6.8805798776571905E-2</v>
      </c>
      <c r="K22" s="4">
        <v>6.8805798776571905E-2</v>
      </c>
      <c r="L22" s="4">
        <f t="shared" si="0"/>
        <v>0.40600590614408216</v>
      </c>
      <c r="N22">
        <v>1</v>
      </c>
      <c r="O22">
        <f>(1+N22/100)^2*100-100</f>
        <v>2.0100000000000051</v>
      </c>
    </row>
    <row r="23" spans="1:15" x14ac:dyDescent="0.25">
      <c r="A23">
        <v>12</v>
      </c>
      <c r="B23">
        <v>5.9387436766290798E-3</v>
      </c>
      <c r="C23">
        <v>6.8982660921716903</v>
      </c>
      <c r="D23">
        <v>6.4659119967856702</v>
      </c>
      <c r="E23">
        <v>1365325093906.46</v>
      </c>
      <c r="I23" s="2">
        <v>12</v>
      </c>
      <c r="J23" s="4">
        <v>8.5500473644853123E-2</v>
      </c>
      <c r="K23" s="4">
        <v>8.5500473644853123E-2</v>
      </c>
      <c r="L23" s="4">
        <f t="shared" si="0"/>
        <v>0.4915063797889353</v>
      </c>
      <c r="N23" s="5">
        <v>2</v>
      </c>
      <c r="O23" s="5">
        <f t="shared" ref="O23:O31" si="1">(1+N23/100)^2*100-100</f>
        <v>4.039999999999992</v>
      </c>
    </row>
    <row r="24" spans="1:15" x14ac:dyDescent="0.25">
      <c r="A24">
        <v>13</v>
      </c>
      <c r="B24">
        <v>5.8119715466946201E-3</v>
      </c>
      <c r="C24">
        <v>6.7556875082287098</v>
      </c>
      <c r="D24">
        <v>6.4012237451420599</v>
      </c>
      <c r="E24">
        <v>2413127224254.27</v>
      </c>
      <c r="I24" s="2">
        <v>13</v>
      </c>
      <c r="J24" s="4">
        <v>0.15111677179293481</v>
      </c>
      <c r="K24" s="4">
        <v>0.15111677179293481</v>
      </c>
      <c r="L24" s="4">
        <f t="shared" si="0"/>
        <v>0.64262315158187011</v>
      </c>
      <c r="N24" s="5">
        <v>3</v>
      </c>
      <c r="O24" s="5">
        <f t="shared" si="1"/>
        <v>6.0899999999999892</v>
      </c>
    </row>
    <row r="25" spans="1:15" x14ac:dyDescent="0.25">
      <c r="A25">
        <v>14</v>
      </c>
      <c r="B25">
        <v>5.86910601521587E-3</v>
      </c>
      <c r="C25">
        <v>6.8199704871440296</v>
      </c>
      <c r="D25">
        <v>6.4218724096911997</v>
      </c>
      <c r="E25">
        <v>1711445948576.98</v>
      </c>
      <c r="I25" s="2">
        <v>14</v>
      </c>
      <c r="J25" s="4">
        <v>0.1071755290179424</v>
      </c>
      <c r="K25" s="4">
        <v>0.1071755290179424</v>
      </c>
      <c r="L25" s="6">
        <f t="shared" si="0"/>
        <v>0.74979868059981247</v>
      </c>
      <c r="N25">
        <v>4</v>
      </c>
      <c r="O25">
        <f t="shared" si="1"/>
        <v>8.1600000000000108</v>
      </c>
    </row>
    <row r="26" spans="1:15" x14ac:dyDescent="0.25">
      <c r="A26">
        <v>15</v>
      </c>
      <c r="B26">
        <v>5.8655822283530798E-3</v>
      </c>
      <c r="C26">
        <v>6.8160069893737401</v>
      </c>
      <c r="D26">
        <v>6.47227197014164</v>
      </c>
      <c r="E26">
        <v>729869510144.43994</v>
      </c>
      <c r="I26" s="2">
        <v>15</v>
      </c>
      <c r="J26" s="4">
        <v>4.5706468807173287E-2</v>
      </c>
      <c r="K26" s="4">
        <v>4.5706468807173287E-2</v>
      </c>
      <c r="L26" s="4">
        <f t="shared" si="0"/>
        <v>0.7955051494069858</v>
      </c>
      <c r="N26">
        <v>5</v>
      </c>
      <c r="O26">
        <f t="shared" si="1"/>
        <v>10.25</v>
      </c>
    </row>
    <row r="27" spans="1:15" x14ac:dyDescent="0.25">
      <c r="A27">
        <v>16</v>
      </c>
      <c r="B27">
        <v>5.8370390514882802E-3</v>
      </c>
      <c r="C27">
        <v>6.7838963950732998</v>
      </c>
      <c r="D27">
        <v>6.4077648149606103</v>
      </c>
      <c r="E27">
        <v>899293153284.90002</v>
      </c>
      <c r="I27" s="2">
        <v>16</v>
      </c>
      <c r="J27" s="4">
        <v>5.6316250902146155E-2</v>
      </c>
      <c r="K27" s="4">
        <v>5.6316250902146155E-2</v>
      </c>
      <c r="L27" s="4">
        <f t="shared" si="0"/>
        <v>0.851821400309132</v>
      </c>
      <c r="N27">
        <v>6</v>
      </c>
      <c r="O27">
        <f t="shared" si="1"/>
        <v>12.360000000000014</v>
      </c>
    </row>
    <row r="28" spans="1:15" x14ac:dyDescent="0.25">
      <c r="A28">
        <v>17</v>
      </c>
      <c r="B28">
        <v>5.9174870327046401E-3</v>
      </c>
      <c r="C28">
        <v>6.8743730393340803</v>
      </c>
      <c r="D28">
        <v>6.4233437916884499</v>
      </c>
      <c r="E28">
        <v>395639006017.38</v>
      </c>
      <c r="I28" s="2">
        <v>17</v>
      </c>
      <c r="J28" s="4">
        <v>2.477602042021974E-2</v>
      </c>
      <c r="K28" s="4">
        <v>2.477602042021974E-2</v>
      </c>
      <c r="L28" s="4">
        <f t="shared" si="0"/>
        <v>0.87659742072935176</v>
      </c>
      <c r="N28" s="5">
        <v>7</v>
      </c>
      <c r="O28" s="5">
        <f t="shared" si="1"/>
        <v>14.490000000000009</v>
      </c>
    </row>
    <row r="29" spans="1:15" x14ac:dyDescent="0.25">
      <c r="A29">
        <v>18</v>
      </c>
      <c r="B29">
        <v>5.8915510631085697E-3</v>
      </c>
      <c r="C29">
        <v>6.8452126827215301</v>
      </c>
      <c r="D29">
        <v>6.3736186229366503</v>
      </c>
      <c r="E29">
        <v>420075597393.56</v>
      </c>
      <c r="I29" s="2">
        <v>18</v>
      </c>
      <c r="J29" s="4">
        <v>2.6306308075704863E-2</v>
      </c>
      <c r="K29" s="4">
        <v>2.6306308075704863E-2</v>
      </c>
      <c r="L29" s="4">
        <f t="shared" si="0"/>
        <v>0.90290372880505665</v>
      </c>
      <c r="N29">
        <v>8</v>
      </c>
      <c r="O29">
        <f t="shared" si="1"/>
        <v>16.640000000000015</v>
      </c>
    </row>
    <row r="30" spans="1:15" x14ac:dyDescent="0.25">
      <c r="A30">
        <v>19</v>
      </c>
      <c r="B30">
        <v>5.6071133220435901E-3</v>
      </c>
      <c r="C30">
        <v>6.524863636838</v>
      </c>
      <c r="D30">
        <v>6.4721554450274299</v>
      </c>
      <c r="E30">
        <v>182733402685.45999</v>
      </c>
      <c r="I30" s="2">
        <v>19</v>
      </c>
      <c r="J30" s="4">
        <v>1.1443276440221138E-2</v>
      </c>
      <c r="K30" s="4">
        <v>1.1443276440221138E-2</v>
      </c>
      <c r="L30" s="4">
        <f t="shared" si="0"/>
        <v>0.91434700524527779</v>
      </c>
      <c r="N30">
        <v>9</v>
      </c>
      <c r="O30">
        <f t="shared" si="1"/>
        <v>18.810000000000016</v>
      </c>
    </row>
    <row r="31" spans="1:15" x14ac:dyDescent="0.25">
      <c r="A31">
        <v>20</v>
      </c>
      <c r="B31">
        <v>5.7116256336839496E-3</v>
      </c>
      <c r="C31">
        <v>6.6426881803336197</v>
      </c>
      <c r="D31">
        <v>6.4837477131685803</v>
      </c>
      <c r="E31">
        <v>231186382502.51001</v>
      </c>
      <c r="I31" s="2">
        <v>20</v>
      </c>
      <c r="J31" s="4">
        <v>1.4477537468859427E-2</v>
      </c>
      <c r="K31" s="4">
        <v>1.4477537468859427E-2</v>
      </c>
      <c r="L31" s="4">
        <f t="shared" si="0"/>
        <v>0.92882454271413717</v>
      </c>
      <c r="N31">
        <v>10</v>
      </c>
      <c r="O31">
        <f t="shared" si="1"/>
        <v>21.000000000000014</v>
      </c>
    </row>
    <row r="32" spans="1:15" x14ac:dyDescent="0.25">
      <c r="A32">
        <v>21</v>
      </c>
      <c r="B32">
        <v>5.9349243666716898E-3</v>
      </c>
      <c r="C32">
        <v>6.8939734968255602</v>
      </c>
      <c r="D32">
        <v>6.3844477292014004</v>
      </c>
      <c r="E32">
        <v>515752057173.48999</v>
      </c>
      <c r="I32" s="2">
        <v>21</v>
      </c>
      <c r="J32" s="4">
        <v>3.2297835415498417E-2</v>
      </c>
      <c r="K32" s="4">
        <v>3.2297835415498417E-2</v>
      </c>
      <c r="L32" s="4">
        <f t="shared" si="0"/>
        <v>0.96112237812963563</v>
      </c>
    </row>
    <row r="33" spans="1:12" x14ac:dyDescent="0.25">
      <c r="A33">
        <v>22</v>
      </c>
      <c r="B33">
        <v>5.6434481348131898E-3</v>
      </c>
      <c r="C33">
        <v>6.5658420364769201</v>
      </c>
      <c r="D33">
        <v>6.51836327521199</v>
      </c>
      <c r="E33">
        <v>330712869656.20001</v>
      </c>
      <c r="I33" s="2">
        <v>22</v>
      </c>
      <c r="J33" s="4">
        <v>2.0710164284134153E-2</v>
      </c>
      <c r="K33" s="4">
        <v>2.0710164284134153E-2</v>
      </c>
      <c r="L33" s="4">
        <f t="shared" si="0"/>
        <v>0.98183254241376983</v>
      </c>
    </row>
    <row r="34" spans="1:12" x14ac:dyDescent="0.25">
      <c r="A34">
        <v>23</v>
      </c>
      <c r="B34">
        <v>5.0194064487509701E-3</v>
      </c>
      <c r="C34">
        <v>5.8597554025946597</v>
      </c>
      <c r="D34">
        <v>6.4152454192507804</v>
      </c>
      <c r="E34">
        <v>98584818325.110001</v>
      </c>
      <c r="I34" s="2">
        <v>23</v>
      </c>
      <c r="J34" s="4">
        <v>6.1736568811399765E-3</v>
      </c>
      <c r="K34" s="4">
        <v>6.1736568811399765E-3</v>
      </c>
      <c r="L34" s="4">
        <f t="shared" si="0"/>
        <v>0.98800619929490985</v>
      </c>
    </row>
    <row r="35" spans="1:12" x14ac:dyDescent="0.25">
      <c r="A35">
        <v>24</v>
      </c>
      <c r="B35">
        <v>5.5772552688871197E-3</v>
      </c>
      <c r="C35">
        <v>6.4911773956111603</v>
      </c>
      <c r="D35">
        <v>6.5741423833574597</v>
      </c>
      <c r="E35">
        <v>116540778392.53999</v>
      </c>
      <c r="I35" s="2">
        <v>24</v>
      </c>
      <c r="J35" s="4">
        <v>7.2981092898485173E-3</v>
      </c>
      <c r="K35" s="4">
        <v>7.2981092898485173E-3</v>
      </c>
      <c r="L35" s="4">
        <f t="shared" si="0"/>
        <v>0.99530430858475838</v>
      </c>
    </row>
    <row r="36" spans="1:12" x14ac:dyDescent="0.25">
      <c r="A36">
        <v>25</v>
      </c>
      <c r="B36">
        <v>5.9536456629680603E-3</v>
      </c>
      <c r="C36">
        <v>6.9150129842377099</v>
      </c>
      <c r="D36">
        <v>6.1784990251669996</v>
      </c>
      <c r="E36">
        <v>59083900009.029999</v>
      </c>
      <c r="I36" s="2">
        <v>25</v>
      </c>
      <c r="J36" s="4">
        <v>3.6999989658897349E-3</v>
      </c>
      <c r="K36" s="4">
        <v>3.6999989658897349E-3</v>
      </c>
      <c r="L36" s="4">
        <f t="shared" si="0"/>
        <v>0.99900430755064806</v>
      </c>
    </row>
    <row r="37" spans="1:12" x14ac:dyDescent="0.25">
      <c r="A37">
        <v>26</v>
      </c>
      <c r="B37">
        <v>5.2929355226044002E-5</v>
      </c>
      <c r="C37">
        <v>6.3496739523094994E-2</v>
      </c>
      <c r="D37">
        <v>-1.24455421137621</v>
      </c>
      <c r="E37">
        <v>10311480.23</v>
      </c>
      <c r="I37" s="2">
        <v>26</v>
      </c>
      <c r="J37" s="4">
        <v>6.4573371395526483E-7</v>
      </c>
      <c r="K37" s="4">
        <v>6.4573371395526483E-7</v>
      </c>
      <c r="L37" s="4">
        <f t="shared" si="0"/>
        <v>0.99900495328436201</v>
      </c>
    </row>
    <row r="38" spans="1:12" x14ac:dyDescent="0.25">
      <c r="A38">
        <v>27</v>
      </c>
      <c r="B38">
        <v>1.5792182825640901E-4</v>
      </c>
      <c r="C38">
        <v>0.189341681117772</v>
      </c>
      <c r="D38">
        <v>-0.93427777297210202</v>
      </c>
      <c r="E38">
        <v>26424782.73</v>
      </c>
      <c r="I38" s="2">
        <v>27</v>
      </c>
      <c r="J38" s="4">
        <v>1.6547937553194379E-6</v>
      </c>
      <c r="K38" s="4">
        <v>1.6547937553194379E-6</v>
      </c>
      <c r="L38" s="4">
        <f t="shared" si="0"/>
        <v>0.99900660807811736</v>
      </c>
    </row>
    <row r="39" spans="1:12" x14ac:dyDescent="0.25">
      <c r="A39">
        <v>28</v>
      </c>
      <c r="B39">
        <v>4.7605041545489002E-3</v>
      </c>
      <c r="C39">
        <v>5.56538137474843</v>
      </c>
      <c r="D39">
        <v>6.2802684979006997</v>
      </c>
      <c r="E39">
        <v>15457322516.92</v>
      </c>
      <c r="I39" s="2">
        <v>28</v>
      </c>
      <c r="J39" s="4">
        <v>9.6798074127278752E-4</v>
      </c>
      <c r="K39" s="4">
        <v>9.6798074127278752E-4</v>
      </c>
      <c r="L39" s="4">
        <f t="shared" si="0"/>
        <v>0.99997458881939016</v>
      </c>
    </row>
    <row r="40" spans="1:12" x14ac:dyDescent="0.25">
      <c r="A40">
        <v>29</v>
      </c>
      <c r="B40">
        <v>4.1998990023554599E-5</v>
      </c>
      <c r="C40">
        <v>5.0387147817854E-2</v>
      </c>
      <c r="D40">
        <v>-1.7262320105009801</v>
      </c>
      <c r="E40">
        <v>12995550.6</v>
      </c>
      <c r="I40" s="2">
        <v>29</v>
      </c>
      <c r="J40" s="4">
        <v>8.1381770285676725E-7</v>
      </c>
      <c r="K40" s="4">
        <v>8.1381770285676725E-7</v>
      </c>
      <c r="L40" s="4">
        <f t="shared" si="0"/>
        <v>0.99997540263709306</v>
      </c>
    </row>
    <row r="41" spans="1:12" x14ac:dyDescent="0.25">
      <c r="A41">
        <v>30</v>
      </c>
      <c r="B41">
        <v>3.2289010827947202E-4</v>
      </c>
      <c r="C41">
        <v>0.38678076705752601</v>
      </c>
      <c r="D41">
        <v>-1.16209848592933</v>
      </c>
      <c r="E41">
        <v>36239140.5</v>
      </c>
      <c r="I41" s="2">
        <v>30</v>
      </c>
      <c r="J41" s="4">
        <v>2.2693962713063993E-6</v>
      </c>
      <c r="K41" s="4">
        <v>2.2693962713063993E-6</v>
      </c>
      <c r="L41" s="4">
        <f t="shared" si="0"/>
        <v>0.99997767203336441</v>
      </c>
    </row>
    <row r="42" spans="1:12" x14ac:dyDescent="0.25">
      <c r="A42">
        <v>31</v>
      </c>
      <c r="B42">
        <v>7.3197568816007504E-5</v>
      </c>
      <c r="C42">
        <v>8.7801729170855006E-2</v>
      </c>
      <c r="D42">
        <v>-1.12065892971083</v>
      </c>
      <c r="E42">
        <v>11675524.390000001</v>
      </c>
      <c r="I42" s="2">
        <v>31</v>
      </c>
      <c r="J42" s="4">
        <v>7.3115397193851556E-7</v>
      </c>
      <c r="K42" s="4">
        <v>7.3115397193851556E-7</v>
      </c>
      <c r="L42" s="4">
        <f t="shared" si="0"/>
        <v>0.99997840318733633</v>
      </c>
    </row>
    <row r="43" spans="1:12" x14ac:dyDescent="0.25">
      <c r="A43">
        <v>32</v>
      </c>
      <c r="B43">
        <v>4.1323745355098902E-3</v>
      </c>
      <c r="C43">
        <v>4.8476825402459598</v>
      </c>
      <c r="D43">
        <v>-0.88251669831202495</v>
      </c>
      <c r="E43">
        <v>47772949.5</v>
      </c>
      <c r="I43" s="2">
        <v>32</v>
      </c>
      <c r="J43" s="4">
        <v>2.991675629409834E-6</v>
      </c>
      <c r="K43" s="4">
        <v>2.991675629409834E-6</v>
      </c>
      <c r="L43" s="4">
        <f t="shared" si="0"/>
        <v>0.99998139486296578</v>
      </c>
    </row>
    <row r="44" spans="1:12" x14ac:dyDescent="0.25">
      <c r="A44">
        <v>33</v>
      </c>
      <c r="B44">
        <v>3.5803252322959702E-5</v>
      </c>
      <c r="C44">
        <v>4.2955443435954997E-2</v>
      </c>
      <c r="D44">
        <v>-1.14521193917602</v>
      </c>
      <c r="E44">
        <v>16312484.539999999</v>
      </c>
      <c r="I44" s="2">
        <v>33</v>
      </c>
      <c r="J44" s="4">
        <v>1.0215333774491502E-6</v>
      </c>
      <c r="K44" s="4">
        <v>1.0215333774491502E-6</v>
      </c>
      <c r="L44" s="4">
        <f t="shared" si="0"/>
        <v>0.99998241639634322</v>
      </c>
    </row>
    <row r="45" spans="1:12" x14ac:dyDescent="0.25">
      <c r="A45">
        <v>34</v>
      </c>
      <c r="B45">
        <v>2.9736876376167099E-4</v>
      </c>
      <c r="C45">
        <v>0.35625946863524499</v>
      </c>
      <c r="D45">
        <v>-0.929558295347237</v>
      </c>
      <c r="E45">
        <v>93581685.069999993</v>
      </c>
      <c r="I45" s="2">
        <v>34</v>
      </c>
      <c r="J45" s="4">
        <v>5.8603466922850368E-6</v>
      </c>
      <c r="K45" s="4">
        <v>5.8603466922850368E-6</v>
      </c>
      <c r="L45" s="4">
        <f t="shared" si="0"/>
        <v>0.99998827674303548</v>
      </c>
    </row>
    <row r="46" spans="1:12" x14ac:dyDescent="0.25">
      <c r="A46">
        <v>35</v>
      </c>
      <c r="B46">
        <v>1.5946520424910701E-4</v>
      </c>
      <c r="C46">
        <v>0.191190501879512</v>
      </c>
      <c r="D46">
        <v>-1.2726516374464101</v>
      </c>
      <c r="E46">
        <v>19956014.949999999</v>
      </c>
      <c r="I46" s="2">
        <v>35</v>
      </c>
      <c r="J46" s="4">
        <v>1.2497014358733137E-6</v>
      </c>
      <c r="K46" s="4">
        <v>1.2497014358733137E-6</v>
      </c>
      <c r="L46" s="4">
        <f t="shared" si="0"/>
        <v>0.99998952644447137</v>
      </c>
    </row>
    <row r="47" spans="1:12" x14ac:dyDescent="0.25">
      <c r="A47">
        <v>36</v>
      </c>
      <c r="B47">
        <v>3.6072384339645602E-5</v>
      </c>
      <c r="C47">
        <v>4.3278274208535999E-2</v>
      </c>
      <c r="D47">
        <v>-1.6952591586808099</v>
      </c>
      <c r="E47">
        <v>24762432.989999998</v>
      </c>
      <c r="I47" s="2">
        <v>36</v>
      </c>
      <c r="J47" s="4">
        <v>1.55069276811299E-6</v>
      </c>
      <c r="K47" s="4">
        <v>1.55069276811299E-6</v>
      </c>
      <c r="L47" s="4">
        <f t="shared" si="0"/>
        <v>0.99999107713723945</v>
      </c>
    </row>
    <row r="48" spans="1:12" x14ac:dyDescent="0.25">
      <c r="A48">
        <v>37</v>
      </c>
      <c r="B48">
        <v>4.4434806581437398E-4</v>
      </c>
      <c r="C48">
        <v>0.53191646886187005</v>
      </c>
      <c r="D48">
        <v>-1.1014408882918101</v>
      </c>
      <c r="E48">
        <v>18740668.949999999</v>
      </c>
      <c r="I48" s="2">
        <v>37</v>
      </c>
      <c r="J48" s="4">
        <v>1.1735930723003104E-6</v>
      </c>
      <c r="K48" s="4">
        <v>1.1735930723003104E-6</v>
      </c>
      <c r="L48" s="4">
        <f t="shared" si="0"/>
        <v>0.99999225073031173</v>
      </c>
    </row>
    <row r="49" spans="1:12" x14ac:dyDescent="0.25">
      <c r="A49">
        <v>38</v>
      </c>
      <c r="B49">
        <v>2.56433147219155E-2</v>
      </c>
      <c r="C49">
        <v>26.782375980803799</v>
      </c>
      <c r="D49">
        <v>-1.1900180384927399</v>
      </c>
      <c r="E49">
        <v>7286319.3399999999</v>
      </c>
      <c r="I49" s="2">
        <v>38</v>
      </c>
      <c r="J49" s="4">
        <v>4.5628968329819253E-7</v>
      </c>
      <c r="K49" s="4">
        <v>4.5628968329819253E-7</v>
      </c>
      <c r="L49" s="4">
        <f t="shared" si="0"/>
        <v>0.99999270701999499</v>
      </c>
    </row>
    <row r="50" spans="1:12" x14ac:dyDescent="0.25">
      <c r="A50">
        <v>39</v>
      </c>
      <c r="B50">
        <v>6.5946477309737397E-5</v>
      </c>
      <c r="C50">
        <v>7.9107076090335002E-2</v>
      </c>
      <c r="D50">
        <v>-0.66086146052706596</v>
      </c>
      <c r="E50">
        <v>13081972.460000001</v>
      </c>
      <c r="I50" s="2">
        <v>39</v>
      </c>
      <c r="J50" s="4">
        <v>8.1922968129050977E-7</v>
      </c>
      <c r="K50" s="4">
        <v>8.1922968129050977E-7</v>
      </c>
      <c r="L50" s="4">
        <f t="shared" si="0"/>
        <v>0.9999935262496763</v>
      </c>
    </row>
    <row r="51" spans="1:12" x14ac:dyDescent="0.25">
      <c r="A51">
        <v>40</v>
      </c>
      <c r="B51">
        <v>1.2703951117258599E-4</v>
      </c>
      <c r="C51">
        <v>0.152340940853957</v>
      </c>
      <c r="D51">
        <v>-0.38913835867822599</v>
      </c>
      <c r="E51">
        <v>7800014.2699999996</v>
      </c>
      <c r="I51" s="2">
        <v>40</v>
      </c>
      <c r="J51" s="4">
        <v>4.8845869566014418E-7</v>
      </c>
      <c r="K51" s="4">
        <v>4.8845869566014418E-7</v>
      </c>
      <c r="L51" s="4">
        <f t="shared" si="0"/>
        <v>0.99999401470837201</v>
      </c>
    </row>
    <row r="52" spans="1:12" x14ac:dyDescent="0.25">
      <c r="A52">
        <v>41</v>
      </c>
      <c r="B52">
        <v>6.3047143345182203E-4</v>
      </c>
      <c r="C52">
        <v>0.75394776381422202</v>
      </c>
      <c r="D52">
        <v>-0.698895404858626</v>
      </c>
      <c r="E52">
        <v>13207656.300000001</v>
      </c>
      <c r="I52" s="2">
        <v>41</v>
      </c>
      <c r="J52" s="4">
        <v>8.2710035465428531E-7</v>
      </c>
      <c r="K52" s="4">
        <v>8.2710035465428531E-7</v>
      </c>
      <c r="L52" s="4">
        <f t="shared" si="0"/>
        <v>0.99999484180872666</v>
      </c>
    </row>
    <row r="53" spans="1:12" x14ac:dyDescent="0.25">
      <c r="A53">
        <v>43</v>
      </c>
      <c r="B53">
        <v>5.7184867632574998E-5</v>
      </c>
      <c r="C53">
        <v>6.8600262552532001E-2</v>
      </c>
      <c r="D53">
        <v>-1.0775860382212199</v>
      </c>
      <c r="E53">
        <v>9544133.3100000005</v>
      </c>
      <c r="I53" s="2">
        <v>43</v>
      </c>
      <c r="J53" s="4">
        <v>5.9768030498861316E-7</v>
      </c>
      <c r="K53" s="4">
        <v>5.9768030498861316E-7</v>
      </c>
      <c r="L53" s="4">
        <f t="shared" si="0"/>
        <v>0.99999543948903169</v>
      </c>
    </row>
    <row r="54" spans="1:12" x14ac:dyDescent="0.25">
      <c r="A54">
        <v>44</v>
      </c>
      <c r="B54">
        <v>3.8923599114706199E-2</v>
      </c>
      <c r="C54">
        <v>37.899519574917001</v>
      </c>
      <c r="D54">
        <v>-0.74898688075936604</v>
      </c>
      <c r="E54">
        <v>4800309.6900000004</v>
      </c>
      <c r="I54" s="2">
        <v>44</v>
      </c>
      <c r="J54" s="4">
        <v>3.0060881028902931E-7</v>
      </c>
      <c r="K54" s="4">
        <v>3.0060881028902931E-7</v>
      </c>
      <c r="L54" s="4">
        <f t="shared" si="0"/>
        <v>0.99999574009784198</v>
      </c>
    </row>
    <row r="55" spans="1:12" x14ac:dyDescent="0.25">
      <c r="A55">
        <v>45</v>
      </c>
      <c r="B55">
        <v>6.0305693153284403E-5</v>
      </c>
      <c r="C55">
        <v>7.2342833882432997E-2</v>
      </c>
      <c r="D55">
        <v>-1.10966748584804</v>
      </c>
      <c r="E55">
        <v>21267477.960000001</v>
      </c>
      <c r="I55" s="2">
        <v>45</v>
      </c>
      <c r="J55" s="4">
        <v>1.3318289152722877E-6</v>
      </c>
      <c r="K55" s="4">
        <v>1.3318289152722877E-6</v>
      </c>
      <c r="L55" s="4">
        <f t="shared" si="0"/>
        <v>0.99999707192675724</v>
      </c>
    </row>
    <row r="56" spans="1:12" x14ac:dyDescent="0.25">
      <c r="A56">
        <v>46</v>
      </c>
      <c r="B56">
        <v>1.87640070435294E-4</v>
      </c>
      <c r="C56">
        <v>0.22493585175192801</v>
      </c>
      <c r="D56">
        <v>-0.95272088239880603</v>
      </c>
      <c r="E56">
        <v>16958691.140000001</v>
      </c>
      <c r="I56" s="2">
        <v>46</v>
      </c>
      <c r="J56" s="4">
        <v>1.0620006409741664E-6</v>
      </c>
      <c r="K56" s="4">
        <v>1.0620006409741664E-6</v>
      </c>
      <c r="L56" s="4">
        <f t="shared" si="0"/>
        <v>0.99999813392739823</v>
      </c>
    </row>
    <row r="57" spans="1:12" x14ac:dyDescent="0.25">
      <c r="A57">
        <v>48</v>
      </c>
      <c r="B57">
        <v>3.92666563617807E-4</v>
      </c>
      <c r="C57">
        <v>0.470183572736105</v>
      </c>
      <c r="D57">
        <v>-0.78208860781829104</v>
      </c>
      <c r="E57">
        <v>29798615.629999999</v>
      </c>
      <c r="I57" s="2">
        <v>48</v>
      </c>
      <c r="J57" s="4">
        <v>1.8660726018271483E-6</v>
      </c>
      <c r="K57" s="4">
        <v>1.8660726018271483E-6</v>
      </c>
      <c r="L57" s="4">
        <f t="shared" si="0"/>
        <v>1</v>
      </c>
    </row>
    <row r="58" spans="1:12" x14ac:dyDescent="0.25">
      <c r="I58" s="2" t="s">
        <v>6</v>
      </c>
      <c r="J58" s="4">
        <v>1</v>
      </c>
      <c r="L58" s="4">
        <f t="shared" si="0"/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S-curve 3-buckets</vt:lpstr>
      <vt:lpstr>S-curve 5-buckets</vt:lpstr>
      <vt:lpstr>Distribution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2018-05-25T14:00:31Z</dcterms:created>
  <dcterms:modified xsi:type="dcterms:W3CDTF">2018-05-25T15:14:59Z</dcterms:modified>
</cp:coreProperties>
</file>