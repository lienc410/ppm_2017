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31635" windowHeight="19470"/>
  </bookViews>
  <sheets>
    <sheet name="Sheet4" sheetId="4" r:id="rId1"/>
    <sheet name="Sheet1" sheetId="1" r:id="rId2"/>
    <sheet name="Sheet2" sheetId="2" r:id="rId3"/>
    <sheet name="Sheet3" sheetId="3" r:id="rId4"/>
  </sheets>
  <calcPr calcId="145621"/>
  <pivotCaches>
    <pivotCache cacheId="171" r:id="rId5"/>
  </pivotCaches>
</workbook>
</file>

<file path=xl/sharedStrings.xml><?xml version="1.0" encoding="utf-8"?>
<sst xmlns="http://schemas.openxmlformats.org/spreadsheetml/2006/main" count="19" uniqueCount="13">
  <si>
    <t>incentiveBucket</t>
  </si>
  <si>
    <t>hpaBucket</t>
  </si>
  <si>
    <t>smm</t>
  </si>
  <si>
    <t>cpr</t>
  </si>
  <si>
    <t>hpa_</t>
  </si>
  <si>
    <t>bal</t>
  </si>
  <si>
    <t>Row Labels</t>
  </si>
  <si>
    <t>Grand Total</t>
  </si>
  <si>
    <t>Column Labels</t>
  </si>
  <si>
    <t>Sum of cpr</t>
  </si>
  <si>
    <t>Sum of bal</t>
  </si>
  <si>
    <t>Sum of hpa_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</si>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</sst>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11" fontId="0" fillId="0" borderId="0" xfId="0" applyNumberFormat="1"/>
  </cellXfs>
  <cellStyles count="1">
    <cellStyle name="Normal" xfId="0" builtinId="0"/>
  </cellStyles>
  <dxfs count="28">
    <dxf>
      <numFmt numFmtId="35" formatCode="_(* #,##0.00_);_(* \(#,##0.00\);_(* &quot;-&quot;??_);_(@_)"/>
    </dxf>
    <dxf>
      <numFmt numFmtId="14" formatCode="0.00%"/>
    </dxf>
    <dxf>
      <numFmt numFmtId="13" formatCode="0%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4" formatCode="0.00%"/>
    </dxf>
    <dxf>
      <numFmt numFmtId="13" formatCode="0%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4" formatCode="0.00%"/>
    </dxf>
    <dxf>
      <numFmt numFmtId="13" formatCode="0%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13" formatCode="0%"/>
    </dxf>
    <dxf>
      <numFmt numFmtId="14" formatCode="0.00%"/>
    </dxf>
    <dxf>
      <numFmt numFmtId="35" formatCode="_(* #,##0.00_);_(* \(#,##0.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HPA analysis_OTM_annualizedHPA_v3_Onwer.xlsx]Sheet4!PivotTable19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Sheet4!$B$3:$B$4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strRef>
              <c:f>Sheet4!$A$5:$A$9</c:f>
              <c:strCache>
                <c:ptCount val="5"/>
                <c:pt idx="0">
                  <c:v>-150</c:v>
                </c:pt>
                <c:pt idx="1">
                  <c:v>-125</c:v>
                </c:pt>
                <c:pt idx="2">
                  <c:v>-100</c:v>
                </c:pt>
                <c:pt idx="3">
                  <c:v>-75</c:v>
                </c:pt>
                <c:pt idx="4">
                  <c:v>-50</c:v>
                </c:pt>
              </c:strCache>
            </c:strRef>
          </c:cat>
          <c:val>
            <c:numRef>
              <c:f>Sheet4!$B$5:$B$9</c:f>
              <c:numCache>
                <c:formatCode>_(* #,##0.00_);_(* \(#,##0.00\);_(* "-"??_);_(@_)</c:formatCode>
                <c:ptCount val="5"/>
                <c:pt idx="3">
                  <c:v>4.7892074601690204</c:v>
                </c:pt>
                <c:pt idx="4">
                  <c:v>5.9133590984038102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Sheet4!$C$3:$C$4</c:f>
              <c:strCache>
                <c:ptCount val="1"/>
                <c:pt idx="0">
                  <c:v>5</c:v>
                </c:pt>
              </c:strCache>
            </c:strRef>
          </c:tx>
          <c:marker>
            <c:symbol val="none"/>
          </c:marker>
          <c:cat>
            <c:strRef>
              <c:f>Sheet4!$A$5:$A$9</c:f>
              <c:strCache>
                <c:ptCount val="5"/>
                <c:pt idx="0">
                  <c:v>-150</c:v>
                </c:pt>
                <c:pt idx="1">
                  <c:v>-125</c:v>
                </c:pt>
                <c:pt idx="2">
                  <c:v>-100</c:v>
                </c:pt>
                <c:pt idx="3">
                  <c:v>-75</c:v>
                </c:pt>
                <c:pt idx="4">
                  <c:v>-50</c:v>
                </c:pt>
              </c:strCache>
            </c:strRef>
          </c:cat>
          <c:val>
            <c:numRef>
              <c:f>Sheet4!$C$5:$C$9</c:f>
              <c:numCache>
                <c:formatCode>_(* #,##0.00_);_(* \(#,##0.00\);_(* "-"??_);_(@_)</c:formatCode>
                <c:ptCount val="5"/>
                <c:pt idx="0">
                  <c:v>0.172608057717615</c:v>
                </c:pt>
                <c:pt idx="1">
                  <c:v>3.6120190319535301</c:v>
                </c:pt>
                <c:pt idx="2">
                  <c:v>5.0357404222482902</c:v>
                </c:pt>
                <c:pt idx="3">
                  <c:v>6.40863311973043</c:v>
                </c:pt>
                <c:pt idx="4">
                  <c:v>6.8278919932620301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Sheet4!$D$3:$D$4</c:f>
              <c:strCache>
                <c:ptCount val="1"/>
                <c:pt idx="0">
                  <c:v>7</c:v>
                </c:pt>
              </c:strCache>
            </c:strRef>
          </c:tx>
          <c:marker>
            <c:symbol val="none"/>
          </c:marker>
          <c:cat>
            <c:strRef>
              <c:f>Sheet4!$A$5:$A$9</c:f>
              <c:strCache>
                <c:ptCount val="5"/>
                <c:pt idx="0">
                  <c:v>-150</c:v>
                </c:pt>
                <c:pt idx="1">
                  <c:v>-125</c:v>
                </c:pt>
                <c:pt idx="2">
                  <c:v>-100</c:v>
                </c:pt>
                <c:pt idx="3">
                  <c:v>-75</c:v>
                </c:pt>
                <c:pt idx="4">
                  <c:v>-50</c:v>
                </c:pt>
              </c:strCache>
            </c:strRef>
          </c:cat>
          <c:val>
            <c:numRef>
              <c:f>Sheet4!$D$5:$D$9</c:f>
              <c:numCache>
                <c:formatCode>_(* #,##0.00_);_(* \(#,##0.00\);_(* "-"??_);_(@_)</c:formatCode>
                <c:ptCount val="5"/>
                <c:pt idx="0">
                  <c:v>0.42598173509952297</c:v>
                </c:pt>
                <c:pt idx="1">
                  <c:v>10.243057593961</c:v>
                </c:pt>
                <c:pt idx="2">
                  <c:v>6.4261855549174296</c:v>
                </c:pt>
                <c:pt idx="3">
                  <c:v>6.68826332890999</c:v>
                </c:pt>
                <c:pt idx="4">
                  <c:v>6.8836786790105098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Sheet4!$E$3:$E$4</c:f>
              <c:strCache>
                <c:ptCount val="1"/>
                <c:pt idx="0">
                  <c:v>9</c:v>
                </c:pt>
              </c:strCache>
            </c:strRef>
          </c:tx>
          <c:marker>
            <c:symbol val="none"/>
          </c:marker>
          <c:cat>
            <c:strRef>
              <c:f>Sheet4!$A$5:$A$9</c:f>
              <c:strCache>
                <c:ptCount val="5"/>
                <c:pt idx="0">
                  <c:v>-150</c:v>
                </c:pt>
                <c:pt idx="1">
                  <c:v>-125</c:v>
                </c:pt>
                <c:pt idx="2">
                  <c:v>-100</c:v>
                </c:pt>
                <c:pt idx="3">
                  <c:v>-75</c:v>
                </c:pt>
                <c:pt idx="4">
                  <c:v>-50</c:v>
                </c:pt>
              </c:strCache>
            </c:strRef>
          </c:cat>
          <c:val>
            <c:numRef>
              <c:f>Sheet4!$E$5:$E$9</c:f>
              <c:numCache>
                <c:formatCode>_(* #,##0.00_);_(* \(#,##0.00\);_(* "-"??_);_(@_)</c:formatCode>
                <c:ptCount val="5"/>
                <c:pt idx="0">
                  <c:v>0.21544356068649001</c:v>
                </c:pt>
                <c:pt idx="1">
                  <c:v>0.32107787666026899</c:v>
                </c:pt>
                <c:pt idx="2">
                  <c:v>3.5355503562732302</c:v>
                </c:pt>
                <c:pt idx="3">
                  <c:v>7.2098924813010798</c:v>
                </c:pt>
                <c:pt idx="4">
                  <c:v>7.5797678708936003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Sheet4!$F$3:$F$4</c:f>
              <c:strCache>
                <c:ptCount val="1"/>
                <c:pt idx="0">
                  <c:v>11</c:v>
                </c:pt>
              </c:strCache>
            </c:strRef>
          </c:tx>
          <c:marker>
            <c:symbol val="none"/>
          </c:marker>
          <c:cat>
            <c:strRef>
              <c:f>Sheet4!$A$5:$A$9</c:f>
              <c:strCache>
                <c:ptCount val="5"/>
                <c:pt idx="0">
                  <c:v>-150</c:v>
                </c:pt>
                <c:pt idx="1">
                  <c:v>-125</c:v>
                </c:pt>
                <c:pt idx="2">
                  <c:v>-100</c:v>
                </c:pt>
                <c:pt idx="3">
                  <c:v>-75</c:v>
                </c:pt>
                <c:pt idx="4">
                  <c:v>-50</c:v>
                </c:pt>
              </c:strCache>
            </c:strRef>
          </c:cat>
          <c:val>
            <c:numRef>
              <c:f>Sheet4!$F$5:$F$9</c:f>
              <c:numCache>
                <c:formatCode>_(* #,##0.00_);_(* \(#,##0.00\);_(* "-"??_);_(@_)</c:formatCode>
                <c:ptCount val="5"/>
                <c:pt idx="0">
                  <c:v>8.3217888582454106E-3</c:v>
                </c:pt>
                <c:pt idx="1">
                  <c:v>7.2184691194334496</c:v>
                </c:pt>
                <c:pt idx="2">
                  <c:v>4.4942723028256903</c:v>
                </c:pt>
                <c:pt idx="3">
                  <c:v>6.3947453083509798</c:v>
                </c:pt>
                <c:pt idx="4">
                  <c:v>6.7247850389041002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258752"/>
        <c:axId val="101265408"/>
      </c:lineChart>
      <c:catAx>
        <c:axId val="101258752"/>
        <c:scaling>
          <c:orientation val="minMax"/>
        </c:scaling>
        <c:delete val="0"/>
        <c:axPos val="b"/>
        <c:majorTickMark val="out"/>
        <c:minorTickMark val="none"/>
        <c:tickLblPos val="nextTo"/>
        <c:crossAx val="101265408"/>
        <c:crosses val="autoZero"/>
        <c:auto val="1"/>
        <c:lblAlgn val="ctr"/>
        <c:lblOffset val="100"/>
        <c:noMultiLvlLbl val="0"/>
      </c:catAx>
      <c:valAx>
        <c:axId val="101265408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crossAx val="1012587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409574</xdr:colOff>
      <xdr:row>1</xdr:row>
      <xdr:rowOff>71437</xdr:rowOff>
    </xdr:from>
    <xdr:to>
      <xdr:col>22</xdr:col>
      <xdr:colOff>438150</xdr:colOff>
      <xdr:row>30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36</xdr:row>
      <xdr:rowOff>0</xdr:rowOff>
    </xdr:from>
    <xdr:to>
      <xdr:col>17</xdr:col>
      <xdr:colOff>133350</xdr:colOff>
      <xdr:row>48</xdr:row>
      <xdr:rowOff>28575</xdr:rowOff>
    </xdr:to>
    <xdr:sp macro="" textlink="">
      <xdr:nvSpPr>
        <xdr:cNvPr id="4" name="TextBox 3"/>
        <xdr:cNvSpPr txBox="1"/>
      </xdr:nvSpPr>
      <xdr:spPr>
        <a:xfrm>
          <a:off x="5667375" y="6858000"/>
          <a:ext cx="4819650" cy="2314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    and calcOrigMonth_LL &gt;= 200907 and calcOrigMonth_LL &lt;= 201805</a:t>
          </a:r>
        </a:p>
        <a:p>
          <a:r>
            <a:rPr lang="en-US" sz="1100"/>
            <a:t>    and cl.origLTV &gt;= 0 and cl.origLTV&lt;=80</a:t>
          </a:r>
        </a:p>
        <a:p>
          <a:r>
            <a:rPr lang="en-US" sz="1100"/>
            <a:t>    and clh.loanAge &gt;= 48 </a:t>
          </a:r>
        </a:p>
        <a:p>
          <a:r>
            <a:rPr lang="en-US" sz="1100"/>
            <a:t>    and refi_incentive &lt;= -50</a:t>
          </a:r>
        </a:p>
        <a:p>
          <a:r>
            <a:rPr lang="en-US" sz="1100"/>
            <a:t>    and originalLoanAmount &gt; 175000 and originalLoanAmount &lt;= 417000</a:t>
          </a:r>
        </a:p>
        <a:p>
          <a:r>
            <a:rPr lang="en-US" sz="1100"/>
            <a:t>    and cl.state not in ('NY','IL')</a:t>
          </a:r>
        </a:p>
        <a:p>
          <a:r>
            <a:rPr lang="en-US" sz="1100"/>
            <a:t>    and occType in ('OWNER', '2ND')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3244.739272222221" createdVersion="4" refreshedVersion="4" minRefreshableVersion="3" recordCount="29">
  <cacheSource type="worksheet">
    <worksheetSource ref="A1:F33" sheet="Sheet1"/>
  </cacheSource>
  <cacheFields count="6">
    <cacheField name="incentiveBucket" numFmtId="0">
      <sharedItems containsString="0" containsBlank="1" containsNumber="1" containsInteger="1" minValue="-200" maxValue="-50" count="8">
        <n v="-100"/>
        <n v="-125"/>
        <n v="-150"/>
        <n v="-175"/>
        <n v="-50"/>
        <n v="-75"/>
        <m/>
        <n v="-200" u="1"/>
      </sharedItems>
    </cacheField>
    <cacheField name="hpaBucket" numFmtId="0">
      <sharedItems containsString="0" containsBlank="1" containsNumber="1" containsInteger="1" minValue="3" maxValue="11" count="6">
        <n v="3"/>
        <n v="5"/>
        <n v="7"/>
        <n v="9"/>
        <n v="11"/>
        <m/>
      </sharedItems>
    </cacheField>
    <cacheField name="smm" numFmtId="0">
      <sharedItems containsString="0" containsBlank="1" containsNumber="1" minValue="0" maxValue="3.1847615603945403E-2"/>
    </cacheField>
    <cacheField name="cpr" numFmtId="0">
      <sharedItems containsString="0" containsBlank="1" containsNumber="1" minValue="0" maxValue="10.243057593961"/>
    </cacheField>
    <cacheField name="hpa_" numFmtId="0">
      <sharedItems containsString="0" containsBlank="1" containsNumber="1" minValue="1.2816093640211199" maxValue="9.7596358705021995"/>
    </cacheField>
    <cacheField name="bal" numFmtId="0">
      <sharedItems containsString="0" containsBlank="1" containsNumber="1" minValue="142457.1" maxValue="64758731533.4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">
  <r>
    <x v="0"/>
    <x v="0"/>
    <n v="2.92054716180443E-3"/>
    <m/>
    <n v="1.8322509429382401"/>
    <n v="393055316.82999998"/>
  </r>
  <r>
    <x v="1"/>
    <x v="0"/>
    <n v="7.9467900150281094E-3"/>
    <m/>
    <n v="1.49302866994633"/>
    <n v="52820854.609999999"/>
  </r>
  <r>
    <x v="2"/>
    <x v="0"/>
    <n v="3.1847615603945403E-2"/>
    <m/>
    <n v="1.3130011610974499"/>
    <n v="13992366.51"/>
  </r>
  <r>
    <x v="3"/>
    <x v="0"/>
    <n v="1.0195994461711299E-6"/>
    <n v="1.22351247409113E-3"/>
    <n v="1.2816093640211199"/>
    <n v="2961947.47"/>
  </r>
  <r>
    <x v="4"/>
    <x v="0"/>
    <n v="5.0666308154710196E-3"/>
    <n v="5.9133590984038102"/>
    <n v="2.1743732863572398"/>
    <n v="17512023447.43"/>
  </r>
  <r>
    <x v="5"/>
    <x v="0"/>
    <n v="4.0813887014159098E-3"/>
    <n v="4.7892074601690204"/>
    <n v="2.1609085383023698"/>
    <n v="4107291379.5700002"/>
  </r>
  <r>
    <x v="0"/>
    <x v="1"/>
    <n v="4.2965416862719404E-3"/>
    <n v="5.0357404222482902"/>
    <n v="3.9840531619966102"/>
    <n v="2024109620.02"/>
  </r>
  <r>
    <x v="1"/>
    <x v="1"/>
    <n v="3.0610280460914301E-3"/>
    <n v="3.6120190319535301"/>
    <n v="4.1072811637046698"/>
    <n v="97957544.159999996"/>
  </r>
  <r>
    <x v="2"/>
    <x v="1"/>
    <n v="1.43953968522945E-4"/>
    <n v="0.172608057717615"/>
    <n v="4.1068038902242403"/>
    <n v="3380594.54"/>
  </r>
  <r>
    <x v="4"/>
    <x v="1"/>
    <n v="5.8761491202502002E-3"/>
    <n v="6.8278919932620301"/>
    <n v="3.9057926018210498"/>
    <n v="59228142284.650002"/>
  </r>
  <r>
    <x v="5"/>
    <x v="1"/>
    <n v="5.50413319028092E-3"/>
    <n v="6.40863311973043"/>
    <n v="3.93711578353548"/>
    <n v="16587150431.1"/>
  </r>
  <r>
    <x v="0"/>
    <x v="2"/>
    <n v="5.51967711406374E-3"/>
    <n v="6.4261855549174296"/>
    <n v="5.6401447660030097"/>
    <n v="1191630561.73"/>
  </r>
  <r>
    <x v="1"/>
    <x v="2"/>
    <n v="8.9649735655435991E-3"/>
    <n v="10.243057593961"/>
    <n v="5.7560830323920298"/>
    <n v="52069313.600000001"/>
  </r>
  <r>
    <x v="2"/>
    <x v="2"/>
    <n v="3.5567974943886998E-4"/>
    <n v="0.42598173509952297"/>
    <n v="5.9124752163667802"/>
    <n v="3141224.66"/>
  </r>
  <r>
    <x v="3"/>
    <x v="2"/>
    <n v="0"/>
    <n v="0"/>
    <n v="5.3830545877573099"/>
    <n v="262743.75"/>
  </r>
  <r>
    <x v="4"/>
    <x v="2"/>
    <n v="5.9257652743952499E-3"/>
    <n v="6.8836786790105098"/>
    <n v="5.6799520423538903"/>
    <n v="38062994022.830002"/>
  </r>
  <r>
    <x v="5"/>
    <x v="2"/>
    <n v="5.7520839739948499E-3"/>
    <n v="6.68826332890999"/>
    <n v="5.6572367234660099"/>
    <n v="9976613896.7099991"/>
  </r>
  <r>
    <x v="0"/>
    <x v="3"/>
    <n v="2.9951425002230302E-3"/>
    <n v="3.5355503562732302"/>
    <n v="7.9778494620426601"/>
    <n v="902257929.23000002"/>
  </r>
  <r>
    <x v="1"/>
    <x v="3"/>
    <n v="2.6795945718324001E-4"/>
    <n v="0.32107787666026899"/>
    <n v="7.8175113562057597"/>
    <n v="36096318.829999998"/>
  </r>
  <r>
    <x v="2"/>
    <x v="3"/>
    <n v="1.79713828034083E-4"/>
    <n v="0.21544356068649001"/>
    <n v="8.5509198041660692"/>
    <n v="1108484.54"/>
  </r>
  <r>
    <x v="3"/>
    <x v="3"/>
    <n v="5.1313693736570497E-5"/>
    <n v="6.15590570279489E-2"/>
    <n v="8.5988991786493703"/>
    <n v="142457.1"/>
  </r>
  <r>
    <x v="4"/>
    <x v="3"/>
    <n v="6.5471623944918502E-3"/>
    <n v="7.5797678708936003"/>
    <n v="8.0238682225147198"/>
    <n v="32695144791.290001"/>
  </r>
  <r>
    <x v="5"/>
    <x v="3"/>
    <n v="6.2164434547584404E-3"/>
    <n v="7.2098924813010798"/>
    <n v="8.0598890250753392"/>
    <n v="8716008556.0699997"/>
  </r>
  <r>
    <x v="0"/>
    <x v="4"/>
    <n v="3.8246643031263402E-3"/>
    <n v="4.4942723028256903"/>
    <n v="9.3867943076549398"/>
    <n v="1235134452.49"/>
  </r>
  <r>
    <x v="1"/>
    <x v="4"/>
    <n v="6.2240984401851903E-3"/>
    <n v="7.2184691194334496"/>
    <n v="9.3219066316370007"/>
    <n v="44550910.090000004"/>
  </r>
  <r>
    <x v="2"/>
    <x v="4"/>
    <n v="6.9350885676051199E-6"/>
    <n v="8.3217888582454106E-3"/>
    <n v="9.2822104394460201"/>
    <n v="973311.29"/>
  </r>
  <r>
    <x v="4"/>
    <x v="4"/>
    <n v="5.78451839836913E-3"/>
    <n v="6.7247850389041002"/>
    <n v="9.7596358705021995"/>
    <n v="64758731533.400002"/>
  </r>
  <r>
    <x v="5"/>
    <x v="4"/>
    <n v="5.4918364437616203E-3"/>
    <n v="6.3947453083509798"/>
    <n v="9.5269148628894094"/>
    <n v="12954933148.24"/>
  </r>
  <r>
    <x v="6"/>
    <x v="5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1" cacheId="171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1">
  <location ref="A29:F35" firstHeaderRow="1" firstDataRow="2" firstDataCol="1"/>
  <pivotFields count="6">
    <pivotField axis="axisRow" showAll="0">
      <items count="9">
        <item h="1" m="1" x="7"/>
        <item h="1" x="3"/>
        <item x="2"/>
        <item x="1"/>
        <item x="0"/>
        <item x="5"/>
        <item x="4"/>
        <item h="1" x="6"/>
        <item t="default"/>
      </items>
    </pivotField>
    <pivotField axis="axisCol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dataField="1" showAll="0"/>
    <pivotField showAll="0"/>
  </pivotFields>
  <rowFields count="1">
    <field x="0"/>
  </rowFields>
  <rowItems count="5">
    <i>
      <x v="2"/>
    </i>
    <i>
      <x v="3"/>
    </i>
    <i>
      <x v="4"/>
    </i>
    <i>
      <x v="5"/>
    </i>
    <i>
      <x v="6"/>
    </i>
  </rowItems>
  <colFields count="1">
    <field x="1"/>
  </colFields>
  <colItems count="5">
    <i>
      <x/>
    </i>
    <i>
      <x v="1"/>
    </i>
    <i>
      <x v="2"/>
    </i>
    <i>
      <x v="3"/>
    </i>
    <i>
      <x v="4"/>
    </i>
  </colItems>
  <dataFields count="1">
    <dataField name="Sum of hpa_" fld="4" baseField="0" baseItem="0"/>
  </dataFields>
  <formats count="1">
    <format dxfId="2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0" cacheId="17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14:H23" firstHeaderRow="1" firstDataRow="2" firstDataCol="1"/>
  <pivotFields count="6">
    <pivotField axis="axisRow" showAll="0">
      <items count="9">
        <item m="1" x="7"/>
        <item x="3"/>
        <item x="2"/>
        <item x="1"/>
        <item x="0"/>
        <item x="5"/>
        <item x="4"/>
        <item x="6"/>
        <item t="default"/>
      </items>
    </pivotField>
    <pivotField axis="axisCol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dataField="1" showAll="0"/>
  </pivotFields>
  <rowFields count="1">
    <field x="0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bal" fld="5" showDataAs="percentOfTotal" baseField="0" baseItem="0" numFmtId="9"/>
  </dataFields>
  <formats count="5">
    <format dxfId="26">
      <pivotArea outline="0" fieldPosition="0">
        <references count="1">
          <reference field="4294967294" count="1">
            <x v="0"/>
          </reference>
        </references>
      </pivotArea>
    </format>
    <format dxfId="25">
      <pivotArea outline="0" collapsedLevelsAreSubtotals="1" fieldPosition="0"/>
    </format>
    <format dxfId="24">
      <pivotArea outline="0" collapsedLevelsAreSubtotals="1" fieldPosition="0"/>
    </format>
    <format dxfId="23">
      <pivotArea dataOnly="0" labelOnly="1" fieldPosition="0">
        <references count="1">
          <reference field="1" count="0"/>
        </references>
      </pivotArea>
    </format>
    <format dxfId="22">
      <pivotArea dataOnly="0" labelOnly="1" grandCol="1" outline="0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9" cacheId="171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1">
  <location ref="A3:F9" firstHeaderRow="1" firstDataRow="2" firstDataCol="1"/>
  <pivotFields count="6">
    <pivotField axis="axisRow" showAll="0">
      <items count="9">
        <item h="1" m="1" x="7"/>
        <item h="1" x="3"/>
        <item x="2"/>
        <item x="1"/>
        <item x="0"/>
        <item x="5"/>
        <item x="4"/>
        <item h="1" x="6"/>
        <item t="default"/>
      </items>
    </pivotField>
    <pivotField axis="axisCol"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/>
    <pivotField showAll="0"/>
    <pivotField showAll="0"/>
  </pivotFields>
  <rowFields count="1">
    <field x="0"/>
  </rowFields>
  <rowItems count="5">
    <i>
      <x v="2"/>
    </i>
    <i>
      <x v="3"/>
    </i>
    <i>
      <x v="4"/>
    </i>
    <i>
      <x v="5"/>
    </i>
    <i>
      <x v="6"/>
    </i>
  </rowItems>
  <colFields count="1">
    <field x="1"/>
  </colFields>
  <colItems count="5">
    <i>
      <x/>
    </i>
    <i>
      <x v="1"/>
    </i>
    <i>
      <x v="2"/>
    </i>
    <i>
      <x v="3"/>
    </i>
    <i>
      <x v="4"/>
    </i>
  </colItems>
  <dataFields count="1">
    <dataField name="Sum of cpr" fld="3" baseField="0" baseItem="0" numFmtId="43"/>
  </dataFields>
  <formats count="1">
    <format dxfId="27">
      <pivotArea outline="0" collapsedLevelsAreSubtotals="1" fieldPosition="0"/>
    </format>
  </format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35"/>
  <sheetViews>
    <sheetView tabSelected="1" workbookViewId="0">
      <selection activeCell="Z16" sqref="Z16"/>
    </sheetView>
  </sheetViews>
  <sheetFormatPr defaultRowHeight="15" x14ac:dyDescent="0.25"/>
  <cols>
    <col min="1" max="1" width="13.140625" bestFit="1" customWidth="1"/>
    <col min="2" max="2" width="16.28515625" customWidth="1"/>
    <col min="3" max="3" width="6" customWidth="1"/>
    <col min="4" max="4" width="7" customWidth="1"/>
    <col min="5" max="6" width="6" customWidth="1"/>
    <col min="7" max="7" width="7.28515625" customWidth="1"/>
    <col min="8" max="8" width="11.28515625" bestFit="1" customWidth="1"/>
  </cols>
  <sheetData>
    <row r="3" spans="1:8" x14ac:dyDescent="0.25">
      <c r="A3" s="1" t="s">
        <v>9</v>
      </c>
      <c r="B3" s="1" t="s">
        <v>8</v>
      </c>
    </row>
    <row r="4" spans="1:8" x14ac:dyDescent="0.25">
      <c r="A4" s="1" t="s">
        <v>6</v>
      </c>
      <c r="B4">
        <v>3</v>
      </c>
      <c r="C4">
        <v>5</v>
      </c>
      <c r="D4">
        <v>7</v>
      </c>
      <c r="E4">
        <v>9</v>
      </c>
      <c r="F4">
        <v>11</v>
      </c>
    </row>
    <row r="5" spans="1:8" x14ac:dyDescent="0.25">
      <c r="A5" s="2">
        <v>-150</v>
      </c>
      <c r="B5" s="3"/>
      <c r="C5" s="3">
        <v>0.172608057717615</v>
      </c>
      <c r="D5" s="3">
        <v>0.42598173509952297</v>
      </c>
      <c r="E5" s="3">
        <v>0.21544356068649001</v>
      </c>
      <c r="F5" s="3">
        <v>8.3217888582454106E-3</v>
      </c>
    </row>
    <row r="6" spans="1:8" x14ac:dyDescent="0.25">
      <c r="A6" s="2">
        <v>-125</v>
      </c>
      <c r="B6" s="3"/>
      <c r="C6" s="3">
        <v>3.6120190319535301</v>
      </c>
      <c r="D6" s="3">
        <v>10.243057593961</v>
      </c>
      <c r="E6" s="3">
        <v>0.32107787666026899</v>
      </c>
      <c r="F6" s="3">
        <v>7.2184691194334496</v>
      </c>
    </row>
    <row r="7" spans="1:8" x14ac:dyDescent="0.25">
      <c r="A7" s="2">
        <v>-100</v>
      </c>
      <c r="B7" s="3"/>
      <c r="C7" s="3">
        <v>5.0357404222482902</v>
      </c>
      <c r="D7" s="3">
        <v>6.4261855549174296</v>
      </c>
      <c r="E7" s="3">
        <v>3.5355503562732302</v>
      </c>
      <c r="F7" s="3">
        <v>4.4942723028256903</v>
      </c>
    </row>
    <row r="8" spans="1:8" x14ac:dyDescent="0.25">
      <c r="A8" s="2">
        <v>-75</v>
      </c>
      <c r="B8" s="3">
        <v>4.7892074601690204</v>
      </c>
      <c r="C8" s="3">
        <v>6.40863311973043</v>
      </c>
      <c r="D8" s="3">
        <v>6.68826332890999</v>
      </c>
      <c r="E8" s="3">
        <v>7.2098924813010798</v>
      </c>
      <c r="F8" s="3">
        <v>6.3947453083509798</v>
      </c>
    </row>
    <row r="9" spans="1:8" x14ac:dyDescent="0.25">
      <c r="A9" s="2">
        <v>-50</v>
      </c>
      <c r="B9" s="3">
        <v>5.9133590984038102</v>
      </c>
      <c r="C9" s="3">
        <v>6.8278919932620301</v>
      </c>
      <c r="D9" s="3">
        <v>6.8836786790105098</v>
      </c>
      <c r="E9" s="3">
        <v>7.5797678708936003</v>
      </c>
      <c r="F9" s="3">
        <v>6.7247850389041002</v>
      </c>
    </row>
    <row r="14" spans="1:8" x14ac:dyDescent="0.25">
      <c r="A14" s="1" t="s">
        <v>10</v>
      </c>
      <c r="B14" s="1" t="s">
        <v>8</v>
      </c>
    </row>
    <row r="15" spans="1:8" x14ac:dyDescent="0.25">
      <c r="A15" s="1" t="s">
        <v>6</v>
      </c>
      <c r="B15" s="4">
        <v>3</v>
      </c>
      <c r="C15" s="4">
        <v>5</v>
      </c>
      <c r="D15" s="4">
        <v>7</v>
      </c>
      <c r="E15" s="4">
        <v>9</v>
      </c>
      <c r="F15" s="4">
        <v>11</v>
      </c>
      <c r="G15" s="4" t="s">
        <v>12</v>
      </c>
      <c r="H15" s="4" t="s">
        <v>7</v>
      </c>
    </row>
    <row r="16" spans="1:8" x14ac:dyDescent="0.25">
      <c r="A16" s="2">
        <v>-175</v>
      </c>
      <c r="B16" s="5">
        <v>1.0943640346800777E-5</v>
      </c>
      <c r="C16" s="5">
        <v>0</v>
      </c>
      <c r="D16" s="5">
        <v>9.7077113368581662E-7</v>
      </c>
      <c r="E16" s="5">
        <v>5.2634264551904183E-7</v>
      </c>
      <c r="F16" s="5">
        <v>0</v>
      </c>
      <c r="G16" s="5">
        <v>0</v>
      </c>
      <c r="H16" s="5">
        <v>1.2440754126005636E-5</v>
      </c>
    </row>
    <row r="17" spans="1:8" x14ac:dyDescent="0.25">
      <c r="A17" s="2">
        <v>-150</v>
      </c>
      <c r="B17" s="5">
        <v>5.1698224981032487E-5</v>
      </c>
      <c r="C17" s="5">
        <v>1.2490434478947195E-5</v>
      </c>
      <c r="D17" s="5">
        <v>1.1606023832536622E-5</v>
      </c>
      <c r="E17" s="5">
        <v>4.095567615096462E-6</v>
      </c>
      <c r="F17" s="5">
        <v>3.5961369373106106E-6</v>
      </c>
      <c r="G17" s="5">
        <v>0</v>
      </c>
      <c r="H17" s="5">
        <v>8.3486387844923366E-5</v>
      </c>
    </row>
    <row r="18" spans="1:8" x14ac:dyDescent="0.25">
      <c r="A18" s="2">
        <v>-125</v>
      </c>
      <c r="B18" s="5">
        <v>1.9515958386071369E-4</v>
      </c>
      <c r="C18" s="5">
        <v>3.6192813795677976E-4</v>
      </c>
      <c r="D18" s="5">
        <v>1.9238283153724613E-4</v>
      </c>
      <c r="E18" s="5">
        <v>1.3336669036840567E-4</v>
      </c>
      <c r="F18" s="5">
        <v>1.6460424841620094E-4</v>
      </c>
      <c r="G18" s="5">
        <v>0</v>
      </c>
      <c r="H18" s="5">
        <v>1.0474414921393461E-3</v>
      </c>
    </row>
    <row r="19" spans="1:8" x14ac:dyDescent="0.25">
      <c r="A19" s="2">
        <v>-100</v>
      </c>
      <c r="B19" s="5">
        <v>1.4522391323116039E-3</v>
      </c>
      <c r="C19" s="5">
        <v>7.4785687215440256E-3</v>
      </c>
      <c r="D19" s="5">
        <v>4.4027709559039891E-3</v>
      </c>
      <c r="E19" s="5">
        <v>3.3336128940674114E-3</v>
      </c>
      <c r="F19" s="5">
        <v>4.5635067349770559E-3</v>
      </c>
      <c r="G19" s="5">
        <v>0</v>
      </c>
      <c r="H19" s="5">
        <v>2.1230698438804083E-2</v>
      </c>
    </row>
    <row r="20" spans="1:8" x14ac:dyDescent="0.25">
      <c r="A20" s="2">
        <v>-75</v>
      </c>
      <c r="B20" s="5">
        <v>1.5175393930105478E-2</v>
      </c>
      <c r="C20" s="5">
        <v>6.1285289673364753E-2</v>
      </c>
      <c r="D20" s="5">
        <v>3.6861043441965183E-2</v>
      </c>
      <c r="E20" s="5">
        <v>3.2203428272571097E-2</v>
      </c>
      <c r="F20" s="5">
        <v>4.7865173345287608E-2</v>
      </c>
      <c r="G20" s="5">
        <v>0</v>
      </c>
      <c r="H20" s="5">
        <v>0.19339032866329409</v>
      </c>
    </row>
    <row r="21" spans="1:8" x14ac:dyDescent="0.25">
      <c r="A21" s="2">
        <v>-50</v>
      </c>
      <c r="B21" s="5">
        <v>6.4702459545447705E-2</v>
      </c>
      <c r="C21" s="5">
        <v>0.21883287740155394</v>
      </c>
      <c r="D21" s="5">
        <v>0.14063305353226915</v>
      </c>
      <c r="E21" s="5">
        <v>0.12080021989129149</v>
      </c>
      <c r="F21" s="5">
        <v>0.23926699389322931</v>
      </c>
      <c r="G21" s="5">
        <v>0</v>
      </c>
      <c r="H21" s="5">
        <v>0.78423560426379157</v>
      </c>
    </row>
    <row r="22" spans="1:8" x14ac:dyDescent="0.25">
      <c r="A22" s="2" t="s">
        <v>12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</row>
    <row r="23" spans="1:8" x14ac:dyDescent="0.25">
      <c r="A23" s="2" t="s">
        <v>7</v>
      </c>
      <c r="B23" s="5">
        <v>8.1587894057053328E-2</v>
      </c>
      <c r="C23" s="5">
        <v>0.28797115436889842</v>
      </c>
      <c r="D23" s="5">
        <v>0.18210182755664178</v>
      </c>
      <c r="E23" s="5">
        <v>0.156475249658559</v>
      </c>
      <c r="F23" s="5">
        <v>0.29186387435884747</v>
      </c>
      <c r="G23" s="5">
        <v>0</v>
      </c>
      <c r="H23" s="5">
        <v>1</v>
      </c>
    </row>
    <row r="29" spans="1:8" x14ac:dyDescent="0.25">
      <c r="A29" s="1" t="s">
        <v>11</v>
      </c>
      <c r="B29" s="1" t="s">
        <v>8</v>
      </c>
    </row>
    <row r="30" spans="1:8" x14ac:dyDescent="0.25">
      <c r="A30" s="1" t="s">
        <v>6</v>
      </c>
      <c r="B30">
        <v>3</v>
      </c>
      <c r="C30">
        <v>5</v>
      </c>
      <c r="D30">
        <v>7</v>
      </c>
      <c r="E30">
        <v>9</v>
      </c>
      <c r="F30">
        <v>11</v>
      </c>
    </row>
    <row r="31" spans="1:8" x14ac:dyDescent="0.25">
      <c r="A31" s="2">
        <v>-150</v>
      </c>
      <c r="B31" s="3">
        <v>1.3130011610974499</v>
      </c>
      <c r="C31" s="3">
        <v>4.1068038902242403</v>
      </c>
      <c r="D31" s="3">
        <v>5.9124752163667802</v>
      </c>
      <c r="E31" s="3">
        <v>8.5509198041660692</v>
      </c>
      <c r="F31" s="3">
        <v>9.2822104394460201</v>
      </c>
    </row>
    <row r="32" spans="1:8" x14ac:dyDescent="0.25">
      <c r="A32" s="2">
        <v>-125</v>
      </c>
      <c r="B32" s="3">
        <v>1.49302866994633</v>
      </c>
      <c r="C32" s="3">
        <v>4.1072811637046698</v>
      </c>
      <c r="D32" s="3">
        <v>5.7560830323920298</v>
      </c>
      <c r="E32" s="3">
        <v>7.8175113562057597</v>
      </c>
      <c r="F32" s="3">
        <v>9.3219066316370007</v>
      </c>
    </row>
    <row r="33" spans="1:6" x14ac:dyDescent="0.25">
      <c r="A33" s="2">
        <v>-100</v>
      </c>
      <c r="B33" s="3">
        <v>1.8322509429382401</v>
      </c>
      <c r="C33" s="3">
        <v>3.9840531619966102</v>
      </c>
      <c r="D33" s="3">
        <v>5.6401447660030097</v>
      </c>
      <c r="E33" s="3">
        <v>7.9778494620426601</v>
      </c>
      <c r="F33" s="3">
        <v>9.3867943076549398</v>
      </c>
    </row>
    <row r="34" spans="1:6" x14ac:dyDescent="0.25">
      <c r="A34" s="2">
        <v>-75</v>
      </c>
      <c r="B34" s="3">
        <v>2.1609085383023698</v>
      </c>
      <c r="C34" s="3">
        <v>3.93711578353548</v>
      </c>
      <c r="D34" s="3">
        <v>5.6572367234660099</v>
      </c>
      <c r="E34" s="3">
        <v>8.0598890250753392</v>
      </c>
      <c r="F34" s="3">
        <v>9.5269148628894094</v>
      </c>
    </row>
    <row r="35" spans="1:6" x14ac:dyDescent="0.25">
      <c r="A35" s="2">
        <v>-50</v>
      </c>
      <c r="B35" s="3">
        <v>2.1743732863572398</v>
      </c>
      <c r="C35" s="3">
        <v>3.9057926018210498</v>
      </c>
      <c r="D35" s="3">
        <v>5.6799520423538903</v>
      </c>
      <c r="E35" s="3">
        <v>8.0238682225147198</v>
      </c>
      <c r="F35" s="3">
        <v>9.7596358705021995</v>
      </c>
    </row>
  </sheetData>
  <conditionalFormatting pivot="1" sqref="B16:H23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{0C61008C-958D-4B8D-9DD7-1191C5A743B9}</x14:id>
        </ext>
      </extLst>
    </cfRule>
  </conditionalFormatting>
  <pageMargins left="0.7" right="0.7" top="0.75" bottom="0.75" header="0.3" footer="0.3"/>
  <drawing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0C61008C-958D-4B8D-9DD7-1191C5A743B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B16:H23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>
      <selection activeCell="H2" sqref="H2:H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 x14ac:dyDescent="0.25">
      <c r="A2">
        <v>-100</v>
      </c>
      <c r="B2">
        <v>3</v>
      </c>
      <c r="C2">
        <v>2.92054716180443E-3</v>
      </c>
      <c r="E2">
        <v>1.8322509429382401</v>
      </c>
      <c r="F2">
        <v>393055316.82999998</v>
      </c>
      <c r="H2">
        <v>3.44890572173796</v>
      </c>
    </row>
    <row r="3" spans="1:8" x14ac:dyDescent="0.25">
      <c r="A3">
        <v>-125</v>
      </c>
      <c r="B3">
        <v>3</v>
      </c>
      <c r="C3">
        <v>7.9467900150281094E-3</v>
      </c>
      <c r="E3">
        <v>1.49302866994633</v>
      </c>
      <c r="F3">
        <v>52820854.609999999</v>
      </c>
      <c r="H3">
        <v>9.1301941140682903</v>
      </c>
    </row>
    <row r="4" spans="1:8" x14ac:dyDescent="0.25">
      <c r="A4">
        <v>-150</v>
      </c>
      <c r="B4">
        <v>3</v>
      </c>
      <c r="C4">
        <v>3.1847615603945403E-2</v>
      </c>
      <c r="E4">
        <v>1.3130011610974499</v>
      </c>
      <c r="F4">
        <v>13992366.51</v>
      </c>
      <c r="H4">
        <v>32.185176983804901</v>
      </c>
    </row>
    <row r="5" spans="1:8" x14ac:dyDescent="0.25">
      <c r="A5">
        <v>-175</v>
      </c>
      <c r="B5">
        <v>3</v>
      </c>
      <c r="C5">
        <v>1.0195994461711299E-6</v>
      </c>
      <c r="D5">
        <v>1.22351247409113E-3</v>
      </c>
      <c r="E5">
        <v>1.2816093640211199</v>
      </c>
      <c r="F5">
        <v>2961947.47</v>
      </c>
    </row>
    <row r="6" spans="1:8" x14ac:dyDescent="0.25">
      <c r="A6">
        <v>-50</v>
      </c>
      <c r="B6">
        <v>3</v>
      </c>
      <c r="C6">
        <v>5.0666308154710196E-3</v>
      </c>
      <c r="D6">
        <v>5.9133590984038102</v>
      </c>
      <c r="E6">
        <v>2.1743732863572398</v>
      </c>
      <c r="F6">
        <v>17512023447.43</v>
      </c>
    </row>
    <row r="7" spans="1:8" x14ac:dyDescent="0.25">
      <c r="A7">
        <v>-75</v>
      </c>
      <c r="B7">
        <v>3</v>
      </c>
      <c r="C7">
        <v>4.0813887014159098E-3</v>
      </c>
      <c r="D7">
        <v>4.7892074601690204</v>
      </c>
      <c r="E7">
        <v>2.1609085383023698</v>
      </c>
      <c r="F7">
        <v>4107291379.5700002</v>
      </c>
    </row>
    <row r="8" spans="1:8" x14ac:dyDescent="0.25">
      <c r="A8">
        <v>-100</v>
      </c>
      <c r="B8">
        <v>5</v>
      </c>
      <c r="C8">
        <v>4.2965416862719404E-3</v>
      </c>
      <c r="D8">
        <v>5.0357404222482902</v>
      </c>
      <c r="E8">
        <v>3.9840531619966102</v>
      </c>
      <c r="F8">
        <v>2024109620.02</v>
      </c>
    </row>
    <row r="9" spans="1:8" x14ac:dyDescent="0.25">
      <c r="A9">
        <v>-125</v>
      </c>
      <c r="B9">
        <v>5</v>
      </c>
      <c r="C9">
        <v>3.0610280460914301E-3</v>
      </c>
      <c r="D9">
        <v>3.6120190319535301</v>
      </c>
      <c r="E9">
        <v>4.1072811637046698</v>
      </c>
      <c r="F9">
        <v>97957544.159999996</v>
      </c>
    </row>
    <row r="10" spans="1:8" x14ac:dyDescent="0.25">
      <c r="A10">
        <v>-150</v>
      </c>
      <c r="B10">
        <v>5</v>
      </c>
      <c r="C10">
        <v>1.43953968522945E-4</v>
      </c>
      <c r="D10">
        <v>0.172608057717615</v>
      </c>
      <c r="E10">
        <v>4.1068038902242403</v>
      </c>
      <c r="F10">
        <v>3380594.54</v>
      </c>
    </row>
    <row r="11" spans="1:8" x14ac:dyDescent="0.25">
      <c r="A11">
        <v>-50</v>
      </c>
      <c r="B11">
        <v>5</v>
      </c>
      <c r="C11">
        <v>5.8761491202502002E-3</v>
      </c>
      <c r="D11">
        <v>6.8278919932620301</v>
      </c>
      <c r="E11">
        <v>3.9057926018210498</v>
      </c>
      <c r="F11">
        <v>59228142284.650002</v>
      </c>
    </row>
    <row r="12" spans="1:8" x14ac:dyDescent="0.25">
      <c r="A12">
        <v>-75</v>
      </c>
      <c r="B12">
        <v>5</v>
      </c>
      <c r="C12">
        <v>5.50413319028092E-3</v>
      </c>
      <c r="D12">
        <v>6.40863311973043</v>
      </c>
      <c r="E12">
        <v>3.93711578353548</v>
      </c>
      <c r="F12">
        <v>16587150431.1</v>
      </c>
    </row>
    <row r="13" spans="1:8" x14ac:dyDescent="0.25">
      <c r="A13">
        <v>-100</v>
      </c>
      <c r="B13">
        <v>7</v>
      </c>
      <c r="C13">
        <v>5.51967711406374E-3</v>
      </c>
      <c r="D13">
        <v>6.4261855549174296</v>
      </c>
      <c r="E13">
        <v>5.6401447660030097</v>
      </c>
      <c r="F13">
        <v>1191630561.73</v>
      </c>
    </row>
    <row r="14" spans="1:8" x14ac:dyDescent="0.25">
      <c r="A14">
        <v>-125</v>
      </c>
      <c r="B14">
        <v>7</v>
      </c>
      <c r="C14">
        <v>8.9649735655435991E-3</v>
      </c>
      <c r="D14">
        <v>10.243057593961</v>
      </c>
      <c r="E14">
        <v>5.7560830323920298</v>
      </c>
      <c r="F14">
        <v>52069313.600000001</v>
      </c>
    </row>
    <row r="15" spans="1:8" x14ac:dyDescent="0.25">
      <c r="A15">
        <v>-150</v>
      </c>
      <c r="B15">
        <v>7</v>
      </c>
      <c r="C15">
        <v>3.5567974943886998E-4</v>
      </c>
      <c r="D15">
        <v>0.42598173509952297</v>
      </c>
      <c r="E15">
        <v>5.9124752163667802</v>
      </c>
      <c r="F15">
        <v>3141224.66</v>
      </c>
    </row>
    <row r="16" spans="1:8" x14ac:dyDescent="0.25">
      <c r="A16">
        <v>-175</v>
      </c>
      <c r="B16">
        <v>7</v>
      </c>
      <c r="C16" s="6">
        <v>0</v>
      </c>
      <c r="D16">
        <v>0</v>
      </c>
      <c r="E16">
        <v>5.3830545877573099</v>
      </c>
      <c r="F16">
        <v>262743.75</v>
      </c>
    </row>
    <row r="17" spans="1:6" x14ac:dyDescent="0.25">
      <c r="A17">
        <v>-50</v>
      </c>
      <c r="B17">
        <v>7</v>
      </c>
      <c r="C17">
        <v>5.9257652743952499E-3</v>
      </c>
      <c r="D17">
        <v>6.8836786790105098</v>
      </c>
      <c r="E17">
        <v>5.6799520423538903</v>
      </c>
      <c r="F17">
        <v>38062994022.830002</v>
      </c>
    </row>
    <row r="18" spans="1:6" x14ac:dyDescent="0.25">
      <c r="A18">
        <v>-75</v>
      </c>
      <c r="B18">
        <v>7</v>
      </c>
      <c r="C18">
        <v>5.7520839739948499E-3</v>
      </c>
      <c r="D18">
        <v>6.68826332890999</v>
      </c>
      <c r="E18">
        <v>5.6572367234660099</v>
      </c>
      <c r="F18">
        <v>9976613896.7099991</v>
      </c>
    </row>
    <row r="19" spans="1:6" x14ac:dyDescent="0.25">
      <c r="A19">
        <v>-100</v>
      </c>
      <c r="B19">
        <v>9</v>
      </c>
      <c r="C19">
        <v>2.9951425002230302E-3</v>
      </c>
      <c r="D19">
        <v>3.5355503562732302</v>
      </c>
      <c r="E19">
        <v>7.9778494620426601</v>
      </c>
      <c r="F19">
        <v>902257929.23000002</v>
      </c>
    </row>
    <row r="20" spans="1:6" x14ac:dyDescent="0.25">
      <c r="A20">
        <v>-125</v>
      </c>
      <c r="B20">
        <v>9</v>
      </c>
      <c r="C20">
        <v>2.6795945718324001E-4</v>
      </c>
      <c r="D20">
        <v>0.32107787666026899</v>
      </c>
      <c r="E20">
        <v>7.8175113562057597</v>
      </c>
      <c r="F20">
        <v>36096318.829999998</v>
      </c>
    </row>
    <row r="21" spans="1:6" x14ac:dyDescent="0.25">
      <c r="A21">
        <v>-150</v>
      </c>
      <c r="B21">
        <v>9</v>
      </c>
      <c r="C21">
        <v>1.79713828034083E-4</v>
      </c>
      <c r="D21">
        <v>0.21544356068649001</v>
      </c>
      <c r="E21">
        <v>8.5509198041660692</v>
      </c>
      <c r="F21">
        <v>1108484.54</v>
      </c>
    </row>
    <row r="22" spans="1:6" x14ac:dyDescent="0.25">
      <c r="A22">
        <v>-175</v>
      </c>
      <c r="B22">
        <v>9</v>
      </c>
      <c r="C22">
        <v>5.1313693736570497E-5</v>
      </c>
      <c r="D22">
        <v>6.15590570279489E-2</v>
      </c>
      <c r="E22">
        <v>8.5988991786493703</v>
      </c>
      <c r="F22">
        <v>142457.1</v>
      </c>
    </row>
    <row r="23" spans="1:6" x14ac:dyDescent="0.25">
      <c r="A23">
        <v>-50</v>
      </c>
      <c r="B23">
        <v>9</v>
      </c>
      <c r="C23">
        <v>6.5471623944918502E-3</v>
      </c>
      <c r="D23">
        <v>7.5797678708936003</v>
      </c>
      <c r="E23">
        <v>8.0238682225147198</v>
      </c>
      <c r="F23">
        <v>32695144791.290001</v>
      </c>
    </row>
    <row r="24" spans="1:6" x14ac:dyDescent="0.25">
      <c r="A24">
        <v>-75</v>
      </c>
      <c r="B24">
        <v>9</v>
      </c>
      <c r="C24">
        <v>6.2164434547584404E-3</v>
      </c>
      <c r="D24">
        <v>7.2098924813010798</v>
      </c>
      <c r="E24">
        <v>8.0598890250753392</v>
      </c>
      <c r="F24">
        <v>8716008556.0699997</v>
      </c>
    </row>
    <row r="25" spans="1:6" x14ac:dyDescent="0.25">
      <c r="A25">
        <v>-100</v>
      </c>
      <c r="B25">
        <v>11</v>
      </c>
      <c r="C25">
        <v>3.8246643031263402E-3</v>
      </c>
      <c r="D25">
        <v>4.4942723028256903</v>
      </c>
      <c r="E25">
        <v>9.3867943076549398</v>
      </c>
      <c r="F25">
        <v>1235134452.49</v>
      </c>
    </row>
    <row r="26" spans="1:6" x14ac:dyDescent="0.25">
      <c r="A26">
        <v>-125</v>
      </c>
      <c r="B26">
        <v>11</v>
      </c>
      <c r="C26">
        <v>6.2240984401851903E-3</v>
      </c>
      <c r="D26">
        <v>7.2184691194334496</v>
      </c>
      <c r="E26">
        <v>9.3219066316370007</v>
      </c>
      <c r="F26">
        <v>44550910.090000004</v>
      </c>
    </row>
    <row r="27" spans="1:6" x14ac:dyDescent="0.25">
      <c r="A27">
        <v>-150</v>
      </c>
      <c r="B27">
        <v>11</v>
      </c>
      <c r="C27">
        <v>6.9350885676051199E-6</v>
      </c>
      <c r="D27">
        <v>8.3217888582454106E-3</v>
      </c>
      <c r="E27">
        <v>9.2822104394460201</v>
      </c>
      <c r="F27">
        <v>973311.29</v>
      </c>
    </row>
    <row r="28" spans="1:6" x14ac:dyDescent="0.25">
      <c r="A28">
        <v>-50</v>
      </c>
      <c r="B28">
        <v>11</v>
      </c>
      <c r="C28">
        <v>5.78451839836913E-3</v>
      </c>
      <c r="D28">
        <v>6.7247850389041002</v>
      </c>
      <c r="E28">
        <v>9.7596358705021995</v>
      </c>
      <c r="F28">
        <v>64758731533.400002</v>
      </c>
    </row>
    <row r="29" spans="1:6" x14ac:dyDescent="0.25">
      <c r="A29">
        <v>-75</v>
      </c>
      <c r="B29">
        <v>11</v>
      </c>
      <c r="C29">
        <v>5.4918364437616203E-3</v>
      </c>
      <c r="D29">
        <v>6.3947453083509798</v>
      </c>
      <c r="E29">
        <v>9.5269148628894094</v>
      </c>
      <c r="F29">
        <v>12954933148.24</v>
      </c>
    </row>
  </sheetData>
  <sortState ref="A2:F33">
    <sortCondition ref="B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2018-05-24T20:41:10Z</dcterms:created>
  <dcterms:modified xsi:type="dcterms:W3CDTF">2018-05-24T21:44:58Z</dcterms:modified>
</cp:coreProperties>
</file>