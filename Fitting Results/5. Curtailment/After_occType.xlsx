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295" yWindow="1170" windowWidth="42270" windowHeight="14865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142" r:id="rId4"/>
  </pivotCaches>
</workbook>
</file>

<file path=xl/calcChain.xml><?xml version="1.0" encoding="utf-8"?>
<calcChain xmlns="http://schemas.openxmlformats.org/spreadsheetml/2006/main">
  <c r="A16" i="4" l="1"/>
  <c r="C16" i="4"/>
  <c r="D16" i="4"/>
  <c r="I16" i="4"/>
  <c r="J16" i="4"/>
  <c r="K16" i="4" s="1"/>
  <c r="AG16" i="4"/>
  <c r="AI16" i="4" s="1"/>
  <c r="AH16" i="4"/>
  <c r="I14" i="4"/>
  <c r="K14" i="4" s="1"/>
  <c r="C14" i="4"/>
  <c r="D14" i="4" s="1"/>
  <c r="A20" i="4"/>
  <c r="C20" i="4"/>
  <c r="D20" i="4"/>
  <c r="I20" i="4"/>
  <c r="J20" i="4"/>
  <c r="K20" i="4" s="1"/>
  <c r="E16" i="4" l="1"/>
  <c r="E14" i="4"/>
  <c r="J14" i="4"/>
  <c r="E20" i="4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J19" i="4" l="1"/>
  <c r="I19" i="4"/>
  <c r="J18" i="4"/>
  <c r="I18" i="4"/>
  <c r="J17" i="4"/>
  <c r="I17" i="4"/>
  <c r="AN10" i="1"/>
  <c r="AO10" i="1"/>
  <c r="AN11" i="1"/>
  <c r="AO11" i="1"/>
  <c r="AN12" i="1"/>
  <c r="AO12" i="1"/>
  <c r="AN13" i="1"/>
  <c r="AO13" i="1"/>
  <c r="AN14" i="1"/>
  <c r="AO14" i="1"/>
  <c r="AN15" i="1"/>
  <c r="AO15" i="1"/>
  <c r="AN16" i="1"/>
  <c r="AO16" i="1"/>
  <c r="AN17" i="1"/>
  <c r="AO17" i="1"/>
  <c r="AN18" i="1"/>
  <c r="AO18" i="1"/>
  <c r="AN19" i="1"/>
  <c r="AO19" i="1"/>
  <c r="C17" i="4"/>
  <c r="D17" i="4"/>
  <c r="C18" i="4"/>
  <c r="D18" i="4"/>
  <c r="C19" i="4"/>
  <c r="D19" i="4"/>
  <c r="A19" i="4"/>
  <c r="A17" i="4"/>
  <c r="A18" i="4"/>
  <c r="K17" i="4" l="1"/>
  <c r="K18" i="4"/>
  <c r="K19" i="4"/>
  <c r="E17" i="4"/>
  <c r="E19" i="4"/>
  <c r="E18" i="4"/>
  <c r="AN3" i="1" l="1"/>
  <c r="AO3" i="1"/>
  <c r="AN4" i="1"/>
  <c r="AO4" i="1"/>
  <c r="AN5" i="1"/>
  <c r="AO5" i="1"/>
  <c r="AN6" i="1"/>
  <c r="AO6" i="1"/>
  <c r="AN7" i="1"/>
  <c r="AO7" i="1"/>
  <c r="AN8" i="1"/>
  <c r="AO8" i="1"/>
  <c r="AN9" i="1"/>
  <c r="AO9" i="1"/>
  <c r="AO2" i="1"/>
  <c r="AN2" i="1"/>
</calcChain>
</file>

<file path=xl/sharedStrings.xml><?xml version="1.0" encoding="utf-8"?>
<sst xmlns="http://schemas.openxmlformats.org/spreadsheetml/2006/main" count="101" uniqueCount="54">
  <si>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</si>
  <si>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</si>
  <si>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</si>
  <si>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</si>
  <si>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</si>
  <si>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</si>
  <si>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</si>
  <si>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</si>
  <si>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</si>
  <si>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</si>
  <si>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</si>
  <si>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</si>
  <si>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</si>
  <si>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</si>
  <si>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</si>
  <si>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</si>
  <si>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</si>
  <si>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</si>
  <si>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</si>
  <si>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</si>
  <si>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</si>
  <si>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</si>
  <si>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</si>
  <si>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</si>
  <si>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</si>
  <si>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</si>
  <si>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</si>
  <si>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</si>
  <si>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</si>
  <si>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</si>
  <si>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</si>
  <si>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</si>
  <si>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</si>
  <si>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</si>
  <si>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</si>
  <si>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</si>
  <si>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</si>
  <si>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</si>
  <si>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</si>
  <si>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</si>
  <si>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</si>
  <si>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</si>
  <si>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</si>
  <si>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</si>
  <si>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</si>
  <si>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</si>
  <si>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</si>
  <si>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</si>
  <si>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</si>
  <si>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175+</t>
  </si>
  <si>
    <t>waolsBucket</t>
  </si>
  <si>
    <t>wam</t>
  </si>
  <si>
    <t>INV</t>
  </si>
  <si>
    <t>NONINV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</si>
</sst>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6" fillId="33" borderId="0" xfId="0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Border="1"/>
    <xf numFmtId="2" fontId="0" fillId="0" borderId="0" xfId="0" applyNumberFormat="1"/>
    <xf numFmtId="0" fontId="16" fillId="33" borderId="10" xfId="0" applyFont="1" applyFill="1" applyBorder="1"/>
    <xf numFmtId="43" fontId="0" fillId="0" borderId="0" xfId="1" applyFont="1"/>
    <xf numFmtId="43" fontId="0" fillId="0" borderId="0" xfId="1" applyFont="1" applyFill="1"/>
    <xf numFmtId="0" fontId="0" fillId="0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0">
    <dxf>
      <numFmt numFmtId="165" formatCode="0.0000"/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00374029221707"/>
          <c:y val="6.0659813356663747E-2"/>
          <c:w val="0.64875831999439493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Analysis!$C$14:$C$15</c:f>
              <c:strCache>
                <c:ptCount val="1"/>
                <c:pt idx="0">
                  <c:v>INV actual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Analysis!$C$16:$C$19</c:f>
              <c:numCache>
                <c:formatCode>_(* #,##0.00_);_(* \(#,##0.00\);_(* "-"??_);_(@_)</c:formatCode>
                <c:ptCount val="4"/>
                <c:pt idx="0">
                  <c:v>6.4679874935648201</c:v>
                </c:pt>
                <c:pt idx="1">
                  <c:v>7.2938227188470206</c:v>
                </c:pt>
                <c:pt idx="2">
                  <c:v>7.799982313553655</c:v>
                </c:pt>
                <c:pt idx="3">
                  <c:v>9.296273804514799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Analysis!$D$14:$D$15</c:f>
              <c:strCache>
                <c:ptCount val="1"/>
                <c:pt idx="0">
                  <c:v>INV model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Analysis!$D$16:$D$19</c:f>
              <c:numCache>
                <c:formatCode>_(* #,##0.00_);_(* \(#,##0.00\);_(* "-"??_);_(@_)</c:formatCode>
                <c:ptCount val="4"/>
                <c:pt idx="0">
                  <c:v>6.1083980242868874</c:v>
                </c:pt>
                <c:pt idx="1">
                  <c:v>6.7772206312807892</c:v>
                </c:pt>
                <c:pt idx="2">
                  <c:v>7.9980635325695442</c:v>
                </c:pt>
                <c:pt idx="3">
                  <c:v>9.695375739778278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33856"/>
        <c:axId val="86688512"/>
      </c:lineChart>
      <c:catAx>
        <c:axId val="8663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688512"/>
        <c:crosses val="autoZero"/>
        <c:auto val="1"/>
        <c:lblAlgn val="ctr"/>
        <c:lblOffset val="100"/>
        <c:noMultiLvlLbl val="0"/>
      </c:catAx>
      <c:valAx>
        <c:axId val="8668851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633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Analysis!$I$14:$I$15</c:f>
              <c:strCache>
                <c:ptCount val="1"/>
                <c:pt idx="0">
                  <c:v>NONINV actual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Analysis!$I$16:$I$19</c:f>
              <c:numCache>
                <c:formatCode>_(* #,##0.00_);_(* \(#,##0.00\);_(* "-"??_);_(@_)</c:formatCode>
                <c:ptCount val="4"/>
                <c:pt idx="0">
                  <c:v>4.192527981266414</c:v>
                </c:pt>
                <c:pt idx="1">
                  <c:v>5.1870966228756643</c:v>
                </c:pt>
                <c:pt idx="2">
                  <c:v>6.5595709949965775</c:v>
                </c:pt>
                <c:pt idx="3">
                  <c:v>7.7143518339275801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Analysis!$J$14:$J$15</c:f>
              <c:strCache>
                <c:ptCount val="1"/>
                <c:pt idx="0">
                  <c:v>NONINV model</c:v>
                </c:pt>
              </c:strCache>
            </c:strRef>
          </c:tx>
          <c:marker>
            <c:symbol val="none"/>
          </c:marker>
          <c:cat>
            <c:numRef>
              <c:f>Analysis!$A$16:$A$19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Analysis!$J$16:$J$19</c:f>
              <c:numCache>
                <c:formatCode>_(* #,##0.00_);_(* \(#,##0.00\);_(* "-"??_);_(@_)</c:formatCode>
                <c:ptCount val="4"/>
                <c:pt idx="0">
                  <c:v>4.8758683030120871</c:v>
                </c:pt>
                <c:pt idx="1">
                  <c:v>5.1835301549428063</c:v>
                </c:pt>
                <c:pt idx="2">
                  <c:v>6.2771931988035545</c:v>
                </c:pt>
                <c:pt idx="3">
                  <c:v>7.9000935072250584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00352"/>
        <c:axId val="101274752"/>
      </c:lineChart>
      <c:catAx>
        <c:axId val="8730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1274752"/>
        <c:crosses val="autoZero"/>
        <c:auto val="1"/>
        <c:lblAlgn val="ctr"/>
        <c:lblOffset val="100"/>
        <c:noMultiLvlLbl val="0"/>
      </c:catAx>
      <c:valAx>
        <c:axId val="10127475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73003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90487</xdr:colOff>
      <xdr:row>22</xdr:row>
      <xdr:rowOff>161925</xdr:rowOff>
    </xdr:from>
    <xdr:to>
      <xdr:col>6</xdr:col>
      <xdr:colOff>595312</xdr:colOff>
      <xdr:row>37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33337</xdr:colOff>
      <xdr:row>22</xdr:row>
      <xdr:rowOff>180975</xdr:rowOff>
    </xdr:from>
    <xdr:to>
      <xdr:col>13</xdr:col>
      <xdr:colOff>538162</xdr:colOff>
      <xdr:row>37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20.657550115742" createdVersion="4" refreshedVersion="4" minRefreshableVersion="3" recordCount="18">
  <cacheSource type="worksheet">
    <worksheetSource ref="B1:AO19" sheet="Tracking_aggData_by_incentive_2"/>
  </cacheSource>
  <cacheFields count="40">
    <cacheField name="waolsBucket" numFmtId="0">
      <sharedItems containsMixedTypes="1" containsNumber="1" containsInteger="1" minValue="85" maxValue="200" count="7">
        <s v="INV"/>
        <s v="NONINV"/>
        <n v="85" u="1"/>
        <n v="110" u="1"/>
        <n v="150" u="1"/>
        <n v="175" u="1"/>
        <n v="200" u="1"/>
      </sharedItems>
    </cacheField>
    <cacheField name="x" numFmtId="0">
      <sharedItems containsSemiMixedTypes="0" containsString="0" containsNumber="1" containsInteger="1" minValue="-200" maxValue="0" count="9">
        <n v="-200"/>
        <n v="-175"/>
        <n v="-150"/>
        <n v="-125"/>
        <n v="-100"/>
        <n v="-75"/>
        <n v="-50"/>
        <n v="-25"/>
        <n v="0"/>
      </sharedItems>
    </cacheField>
    <cacheField name="actual.smm" numFmtId="0">
      <sharedItems containsSemiMixedTypes="0" containsString="0" containsNumber="1" minValue="0" maxValue="2.7619374946561002"/>
    </cacheField>
    <cacheField name="model.smm" numFmtId="0">
      <sharedItems containsSemiMixedTypes="0" containsString="0" containsNumber="1" minValue="0.40953782718864401" maxValue="0.94555987864524504"/>
    </cacheField>
    <cacheField name="track.err" numFmtId="0">
      <sharedItems containsSemiMixedTypes="0" containsString="0" containsNumber="1" minValue="-2.2487920884683401" maxValue="0.54662159786949704"/>
    </cacheField>
    <cacheField name="curt.smm" numFmtId="0">
      <sharedItems containsSemiMixedTypes="0" containsString="0" containsNumber="1" minValue="4.63679339383231E-2" maxValue="5.38664879421158E-2"/>
    </cacheField>
    <cacheField name="dflt.smm" numFmtId="0">
      <sharedItems containsSemiMixedTypes="0" containsString="0" containsNumber="1" minValue="1.0471429978492299E-3" maxValue="1.8681167809680401E-2"/>
    </cacheField>
    <cacheField name="cout.smm" numFmtId="0">
      <sharedItems containsSemiMixedTypes="0" containsString="0" containsNumber="1" minValue="6.6475638626953802E-4" maxValue="1.4464581696229901E-2"/>
    </cacheField>
    <cacheField name="turn.smm" numFmtId="0">
      <sharedItems containsSemiMixedTypes="0" containsString="0" containsNumber="1" minValue="0.35327190832935401" maxValue="0.73554146958689803"/>
    </cacheField>
    <cacheField name="refi.smm" numFmtId="0">
      <sharedItems containsSemiMixedTypes="0" containsString="0" containsNumber="1" minValue="4.8573835333944901E-6" maxValue="0.15169080182366201"/>
    </cacheField>
    <cacheField name="pct_inv" numFmtId="0">
      <sharedItems containsSemiMixedTypes="0" containsString="0" containsNumber="1" containsInteger="1" minValue="0" maxValue="100"/>
    </cacheField>
    <cacheField name="pct_2nd" numFmtId="0">
      <sharedItems containsSemiMixedTypes="0" containsString="0" containsNumber="1" minValue="0" maxValue="5.2057171658500501"/>
    </cacheField>
    <cacheField name="pct_owner" numFmtId="0">
      <sharedItems containsSemiMixedTypes="0" containsString="0" containsNumber="1" minValue="0" maxValue="100"/>
    </cacheField>
    <cacheField name="pct_purchase" numFmtId="0">
      <sharedItems containsSemiMixedTypes="0" containsString="0" containsNumber="1" minValue="0" maxValue="100"/>
    </cacheField>
    <cacheField name="pct_REFI_NCO" numFmtId="0">
      <sharedItems containsSemiMixedTypes="0" containsString="0" containsNumber="1" minValue="0" maxValue="100"/>
    </cacheField>
    <cacheField name="pct_REFI_CO" numFmtId="0">
      <sharedItems containsSemiMixedTypes="0" containsString="0" containsNumber="1" minValue="0" maxValue="21.7134537721181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minValue="0" maxValue="100"/>
    </cacheField>
    <cacheField name="pct_dq" numFmtId="0">
      <sharedItems containsSemiMixedTypes="0" containsString="0" containsNumber="1" minValue="0" maxValue="0.71021985755757699"/>
    </cacheField>
    <cacheField name="incentive" numFmtId="0">
      <sharedItems containsSemiMixedTypes="0" containsString="0" containsNumber="1" minValue="-207.20459285984401" maxValue="-13.5621029076787"/>
    </cacheField>
    <cacheField name="burnout" numFmtId="0">
      <sharedItems containsSemiMixedTypes="0" containsString="0" containsNumber="1" minValue="0" maxValue="553.91084360051298"/>
    </cacheField>
    <cacheField name="refi_elig_pct" numFmtId="0">
      <sharedItems containsSemiMixedTypes="0" containsString="0" containsNumber="1" minValue="95.498214546633903" maxValue="100"/>
    </cacheField>
    <cacheField name="cltv" numFmtId="0">
      <sharedItems containsSemiMixedTypes="0" containsString="0" containsNumber="1" minValue="34.693955254344701" maxValue="69.034099070848399"/>
    </cacheField>
    <cacheField name="wacls" numFmtId="0">
      <sharedItems containsSemiMixedTypes="0" containsString="0" containsNumber="1" minValue="93.667049464276602" maxValue="273.39750671315102"/>
    </cacheField>
    <cacheField name="wala" numFmtId="0">
      <sharedItems containsSemiMixedTypes="0" containsString="0" containsNumber="1" minValue="49.998468904423603" maxValue="63.867631974658899"/>
    </cacheField>
    <cacheField name="wam" numFmtId="0">
      <sharedItems containsSemiMixedTypes="0" containsString="0" containsNumber="1" minValue="292.97319035245499" maxValue="310.00153109557601"/>
    </cacheField>
    <cacheField name="wac" numFmtId="0">
      <sharedItems containsSemiMixedTypes="0" containsString="0" containsNumber="1" minValue="2.5" maxValue="4.2043606783454797"/>
    </cacheField>
    <cacheField name="fico" numFmtId="0">
      <sharedItems containsSemiMixedTypes="0" containsString="0" containsNumber="1" minValue="647" maxValue="773.26725930716395"/>
    </cacheField>
    <cacheField name="pct_HARPed" numFmtId="0">
      <sharedItems containsSemiMixedTypes="0" containsString="0" containsNumber="1" minValue="0" maxValue="100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8.031419440147" maxValue="179.2"/>
    </cacheField>
    <cacheField name="hpa2yr" numFmtId="0">
      <sharedItems containsSemiMixedTypes="0" containsString="0" containsNumber="1" minValue="111.599770264516" maxValue="112.20480311222001"/>
    </cacheField>
    <cacheField name="media_effect" numFmtId="0">
      <sharedItems containsSemiMixedTypes="0" containsString="0" containsNumber="1" minValue="20.9" maxValue="34.423933007133201"/>
    </cacheField>
    <cacheField name="sato" numFmtId="0">
      <sharedItems containsSemiMixedTypes="0" containsString="0" containsNumber="1" minValue="-119.448304295412" maxValue="28.196567027508902"/>
    </cacheField>
    <cacheField name="bal" numFmtId="0">
      <sharedItems containsSemiMixedTypes="0" containsString="0" containsNumber="1" minValue="281105.90000000002" maxValue="670102978462.59998"/>
    </cacheField>
    <cacheField name="std" numFmtId="0">
      <sharedItems containsSemiMixedTypes="0" containsString="0" containsNumber="1" minValue="0" maxValue="0.10842115578772001"/>
    </cacheField>
    <cacheField name="n" numFmtId="0">
      <sharedItems containsSemiMixedTypes="0" containsString="0" containsNumber="1" containsInteger="1" minValue="3" maxValue="208848"/>
    </cacheField>
    <cacheField name="Ratio" numFmtId="0">
      <sharedItems containsSemiMixedTypes="0" containsString="0" containsNumber="1" minValue="0" maxValue="5.3823681579359652"/>
    </cacheField>
    <cacheField name="model w/o refi" numFmtId="11">
      <sharedItems containsSemiMixedTypes="0" containsString="0" containsNumber="1" minValue="0.40953198891773562" maxValue="0.81988149877958805"/>
    </cacheField>
    <cacheField name="Ratio w/o refi" numFmtId="11">
      <sharedItems containsSemiMixedTypes="0" containsString="0" containsNumber="1" minValue="0" maxValue="5.3824383215379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n v="1.0589442027286301E-4"/>
    <n v="0.40953782718864401"/>
    <n v="0.40943193276837098"/>
    <n v="5.2318326552940303E-2"/>
    <n v="1.0471429978492299E-3"/>
    <n v="6.6475638626953802E-4"/>
    <n v="0.35550176298067698"/>
    <n v="5.8382709083927298E-6"/>
    <n v="100"/>
    <n v="0"/>
    <n v="0"/>
    <n v="0"/>
    <n v="100"/>
    <n v="0"/>
    <n v="0"/>
    <n v="100"/>
    <n v="0"/>
    <n v="-202.1"/>
    <n v="0"/>
    <n v="100"/>
    <n v="34.693955254344701"/>
    <n v="193.35106800783299"/>
    <n v="63.867631974658899"/>
    <n v="296.13236802534101"/>
    <n v="2.6"/>
    <n v="741.34658192035704"/>
    <n v="100"/>
    <n v="0"/>
    <n v="179.2"/>
    <n v="112.2"/>
    <n v="20.9"/>
    <n v="-106.073423822612"/>
    <n v="444369.4"/>
    <n v="4.6188021535170097E-6"/>
    <n v="3"/>
    <n v="2.5857054768248602E-4"/>
    <n v="0.40953198891773562"/>
    <n v="2.5857423385340102E-4"/>
  </r>
  <r>
    <x v="0"/>
    <x v="1"/>
    <n v="9.8434499978890293E-5"/>
    <n v="0.42612814070930399"/>
    <n v="0.42602970620932501"/>
    <n v="4.9596908009418197E-2"/>
    <n v="1.47462371388832E-3"/>
    <n v="8.5021792670950396E-4"/>
    <n v="0.37420102730446397"/>
    <n v="5.3637548238508703E-6"/>
    <n v="100"/>
    <n v="0"/>
    <n v="0"/>
    <n v="0"/>
    <n v="100"/>
    <n v="0"/>
    <n v="0"/>
    <n v="100"/>
    <n v="1.8266989569262499E-2"/>
    <n v="-186.90262958698199"/>
    <n v="0"/>
    <n v="100"/>
    <n v="38.330273179196503"/>
    <n v="186.63420659229601"/>
    <n v="54.9037769766827"/>
    <n v="302.83814017148802"/>
    <n v="2.6293882670651101"/>
    <n v="746.87139429542299"/>
    <n v="85.305866467442996"/>
    <n v="0"/>
    <n v="171.357626770933"/>
    <n v="111.94186518575501"/>
    <n v="25.830301548633699"/>
    <n v="-102.86700748299501"/>
    <n v="3732890.4"/>
    <n v="4.3353644155231803E-6"/>
    <n v="26"/>
    <n v="2.3099741738492768E-4"/>
    <n v="0.42612277695448014"/>
    <n v="2.3100032502934101E-4"/>
  </r>
  <r>
    <x v="0"/>
    <x v="2"/>
    <n v="0.11712139296849"/>
    <n v="0.46692873463214701"/>
    <n v="0.34980734166365701"/>
    <n v="5.0559197011913998E-2"/>
    <n v="5.1857416148773398E-3"/>
    <n v="1.39755939831267E-3"/>
    <n v="0.40977968119235098"/>
    <n v="6.5554146917397096E-6"/>
    <n v="100"/>
    <n v="0"/>
    <n v="0"/>
    <n v="25.313473771535101"/>
    <n v="54.7570025094019"/>
    <n v="19.929523719063098"/>
    <n v="0"/>
    <n v="54.7570025094019"/>
    <n v="0.17325649242993599"/>
    <n v="-159.44807454395601"/>
    <n v="0"/>
    <n v="95.498214546633903"/>
    <n v="44.462410482062097"/>
    <n v="210.85766971457599"/>
    <n v="54.781534087697999"/>
    <n v="300.83927631758201"/>
    <n v="2.9536556789041399"/>
    <n v="757.03539539475901"/>
    <n v="20.8065604339549"/>
    <n v="0"/>
    <n v="172.245915569235"/>
    <n v="111.961907662621"/>
    <n v="25.539699729332401"/>
    <n v="-68.022685900139507"/>
    <n v="21542623.699999999"/>
    <n v="1.5251398478184601E-2"/>
    <n v="162"/>
    <n v="0.25083355184974826"/>
    <n v="0.46692217921745527"/>
    <n v="0.25083707346003831"/>
  </r>
  <r>
    <x v="0"/>
    <x v="3"/>
    <n v="0.35779825300903501"/>
    <n v="0.48527707765671402"/>
    <n v="0.12747882464767901"/>
    <n v="5.1677838353524803E-2"/>
    <n v="8.3461930200602694E-3"/>
    <n v="1.81133549565944E-3"/>
    <n v="0.42343362400669199"/>
    <n v="8.0867807772458999E-6"/>
    <n v="100"/>
    <n v="0"/>
    <n v="0"/>
    <n v="29.729527590472099"/>
    <n v="48.967699337162998"/>
    <n v="21.302773072365"/>
    <n v="0"/>
    <n v="48.967699337162998"/>
    <n v="0.31881858489269199"/>
    <n v="-132.94575909845599"/>
    <n v="4.1257115808745002E-3"/>
    <n v="99.508531677596807"/>
    <n v="43.567674675919001"/>
    <n v="262.742532432953"/>
    <n v="55.128032794258601"/>
    <n v="298.154439824316"/>
    <n v="3.2468450970012102"/>
    <n v="771.00867124639205"/>
    <n v="10.8230326993707"/>
    <n v="0"/>
    <n v="172.811507423981"/>
    <n v="111.943496427895"/>
    <n v="24.208066197112899"/>
    <n v="-37.010800509217901"/>
    <n v="392847984.69999999"/>
    <n v="4.9147215646454197E-2"/>
    <n v="1490"/>
    <n v="0.73730713747444343"/>
    <n v="0.48526899087593678"/>
    <n v="0.73731942435305786"/>
  </r>
  <r>
    <x v="0"/>
    <x v="4"/>
    <n v="0.55567064544984002"/>
    <n v="0.52386667073006898"/>
    <n v="-3.1803974719770901E-2"/>
    <n v="5.1700797169248601E-2"/>
    <n v="7.8874974330244707E-3"/>
    <n v="2.3237199727639498E-3"/>
    <n v="0.46194652521655999"/>
    <n v="8.1309384724685297E-6"/>
    <n v="100"/>
    <n v="0"/>
    <n v="0"/>
    <n v="31.143450579684799"/>
    <n v="50.978139920726598"/>
    <n v="17.878409499588599"/>
    <n v="0"/>
    <n v="50.978139920726598"/>
    <n v="0.303693814732651"/>
    <n v="-108.55820387933601"/>
    <n v="1.2836298955445099E-2"/>
    <n v="99.910160252053899"/>
    <n v="42.659417116181899"/>
    <n v="253.69080007375899"/>
    <n v="54.874626900963698"/>
    <n v="297.94483682732601"/>
    <n v="3.44193363105743"/>
    <n v="773.26725930716395"/>
    <n v="8.5729348396685907"/>
    <n v="0"/>
    <n v="172.603521752755"/>
    <n v="111.975270001065"/>
    <n v="24.930608527238999"/>
    <n v="-17.787508196963199"/>
    <n v="4038866629.6999998"/>
    <n v="6.3312965517763206E-2"/>
    <n v="6104"/>
    <n v="1.0607100556243605"/>
    <n v="0.52385853979159647"/>
    <n v="1.0607265191685129"/>
  </r>
  <r>
    <x v="0"/>
    <x v="5"/>
    <n v="0.62913823777413702"/>
    <n v="0.58311060822857097"/>
    <n v="-4.6027629545566398E-2"/>
    <n v="5.1832461759433499E-2"/>
    <n v="8.96977696968068E-3"/>
    <n v="3.5075262710373102E-3"/>
    <n v="0.51858097057225305"/>
    <n v="2.1987265616662901E-4"/>
    <n v="100"/>
    <n v="0"/>
    <n v="0"/>
    <n v="32.885047903162103"/>
    <n v="50.494166819933497"/>
    <n v="16.6207852769044"/>
    <n v="0"/>
    <n v="50.494166819933497"/>
    <n v="0.34935503454314998"/>
    <n v="-85.473539941391607"/>
    <n v="1.2534885952133701"/>
    <n v="99.909397528719495"/>
    <n v="42.818369052796797"/>
    <n v="251.662877314138"/>
    <n v="54.621867917588197"/>
    <n v="297.62788314758097"/>
    <n v="3.6200615227358202"/>
    <n v="772.469113822552"/>
    <n v="7.37548057667333"/>
    <n v="0"/>
    <n v="172.51538288731101"/>
    <n v="112.05732656501399"/>
    <n v="26.917736923504801"/>
    <n v="-2.5686582130473301"/>
    <n v="17336732768"/>
    <n v="5.8319398792448199E-2"/>
    <n v="14540"/>
    <n v="1.0789346461821252"/>
    <n v="0.58289073557240434"/>
    <n v="1.0793416319377889"/>
  </r>
  <r>
    <x v="0"/>
    <x v="6"/>
    <n v="0.67446407519951301"/>
    <n v="0.69226407442078897"/>
    <n v="1.7799999221275401E-2"/>
    <n v="5.2501326463257697E-2"/>
    <n v="1.20335697308662E-2"/>
    <n v="5.3884564034777996E-3"/>
    <n v="0.59917422223457595"/>
    <n v="2.3166499588611101E-2"/>
    <n v="100"/>
    <n v="0"/>
    <n v="0"/>
    <n v="33.064364286371202"/>
    <n v="50.051311721562499"/>
    <n v="16.8843239920663"/>
    <n v="0"/>
    <n v="50.051311721562499"/>
    <n v="0.47552415452392699"/>
    <n v="-61.7489330613978"/>
    <n v="29.670339809097001"/>
    <n v="99.850103087848396"/>
    <n v="42.8686872500761"/>
    <n v="243.787843110784"/>
    <n v="55.470561718739603"/>
    <n v="296.12019243955501"/>
    <n v="3.7891757937406001"/>
    <n v="771.17312439593297"/>
    <n v="8.8234443450406204"/>
    <n v="0"/>
    <n v="172.949741428142"/>
    <n v="112.17942440606301"/>
    <n v="29.618080753702401"/>
    <n v="7.9163629758237199"/>
    <n v="36635175799.199997"/>
    <n v="6.1065224895659E-2"/>
    <n v="31834"/>
    <n v="0.97428727001878723"/>
    <n v="0.66909757483217791"/>
    <n v="1.0080205048847788"/>
  </r>
  <r>
    <x v="0"/>
    <x v="7"/>
    <n v="0.80980119252488503"/>
    <n v="0.84624499148221599"/>
    <n v="3.6443798957330097E-2"/>
    <n v="5.3059994390525202E-2"/>
    <n v="1.5675768082530898E-2"/>
    <n v="8.4530721986555007E-3"/>
    <n v="0.69178348471227002"/>
    <n v="7.72726720982337E-2"/>
    <n v="100"/>
    <n v="0"/>
    <n v="0"/>
    <n v="31.7837469537027"/>
    <n v="50.082324492476097"/>
    <n v="18.133928553821299"/>
    <n v="0"/>
    <n v="50.082324492476097"/>
    <n v="0.61763598149479504"/>
    <n v="-37.845633113613097"/>
    <n v="154.639241675466"/>
    <n v="99.675852960637798"/>
    <n v="43.4105641495238"/>
    <n v="229.38411153529501"/>
    <n v="56.219317513885898"/>
    <n v="294.93542274658898"/>
    <n v="3.99768436770306"/>
    <n v="768.00513990561501"/>
    <n v="13.680502791636901"/>
    <n v="0"/>
    <n v="172.24793402309999"/>
    <n v="112.159602652516"/>
    <n v="31.331124141585601"/>
    <n v="20.976200984171001"/>
    <n v="46101729398.5"/>
    <n v="7.3681613186151698E-2"/>
    <n v="62544"/>
    <n v="0.95693469465207837"/>
    <n v="0.76897231938398225"/>
    <n v="1.0530953743219398"/>
  </r>
  <r>
    <x v="0"/>
    <x v="8"/>
    <n v="0.92001746098815396"/>
    <n v="0.94555987864524504"/>
    <n v="2.5542417657091299E-2"/>
    <n v="5.3541720354962401E-2"/>
    <n v="1.8681167809680401E-2"/>
    <n v="1.2117141028047399E-2"/>
    <n v="0.73554146958689803"/>
    <n v="0.125678379865657"/>
    <n v="100"/>
    <n v="0"/>
    <n v="0"/>
    <n v="31.824575741973899"/>
    <n v="49.760257958665903"/>
    <n v="18.415166299360202"/>
    <n v="0"/>
    <n v="49.760257958665903"/>
    <n v="0.71021985755757699"/>
    <n v="-13.5621029076787"/>
    <n v="448.67782362662302"/>
    <n v="99.456617562639707"/>
    <n v="44.533857537690103"/>
    <n v="203.261593520617"/>
    <n v="56.961393976843901"/>
    <n v="293.93464169327001"/>
    <n v="4.2043606783454797"/>
    <n v="764.49983010296899"/>
    <n v="19.1999202659551"/>
    <n v="0"/>
    <n v="169.908832373048"/>
    <n v="112.036969711982"/>
    <n v="34.423933007133201"/>
    <n v="28.196567027508902"/>
    <n v="46163699255.300003"/>
    <n v="7.4465130093628096E-2"/>
    <n v="88830"/>
    <n v="0.97298699084643159"/>
    <n v="0.81988149877958805"/>
    <n v="1.1221346772156959"/>
  </r>
  <r>
    <x v="1"/>
    <x v="0"/>
    <n v="0"/>
    <n v="0.54662159786949704"/>
    <n v="0.54662159786949704"/>
    <n v="4.63679339383231E-2"/>
    <n v="7.0095480037455603E-3"/>
    <n v="2.1767076002008798E-3"/>
    <n v="0.491062550943694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310.00153109557601"/>
    <n v="2.5"/>
    <n v="647"/>
    <n v="0"/>
    <n v="0"/>
    <n v="168.031419440147"/>
    <n v="111.599770264516"/>
    <n v="24.7665912739647"/>
    <n v="-110.7"/>
    <n v="281105.90000000002"/>
    <n v="0"/>
    <n v="3"/>
    <n v="0"/>
    <n v="0.54661674048596365"/>
    <n v="0"/>
  </r>
  <r>
    <x v="1"/>
    <x v="1"/>
    <n v="2.3397505093422301E-3"/>
    <n v="0.53163724834970405"/>
    <n v="0.52929749784036095"/>
    <n v="4.7318698607130602E-2"/>
    <n v="6.2325637358933298E-3"/>
    <n v="4.8815659202433E-3"/>
    <n v="0.47319774224640199"/>
    <n v="6.6778400339896399E-6"/>
    <n v="0"/>
    <n v="0"/>
    <n v="100"/>
    <n v="100"/>
    <n v="0"/>
    <n v="0"/>
    <n v="0"/>
    <n v="0"/>
    <n v="0"/>
    <n v="-183.96153218038799"/>
    <n v="0"/>
    <n v="100"/>
    <n v="68.390011310727502"/>
    <n v="159.20792804803099"/>
    <n v="52.013446988044201"/>
    <n v="307.81968364272302"/>
    <n v="2.6026705653169002"/>
    <n v="662.48785739729396"/>
    <n v="0"/>
    <n v="0"/>
    <n v="172.31630140471501"/>
    <n v="111.973304065706"/>
    <n v="24.184242486508399"/>
    <n v="-117.060988131494"/>
    <n v="1585574.4"/>
    <n v="7.9373570137443306E-5"/>
    <n v="11"/>
    <n v="4.4010281758948026E-3"/>
    <n v="0.53163057050967011"/>
    <n v="4.4010834574451383E-3"/>
  </r>
  <r>
    <x v="1"/>
    <x v="2"/>
    <n v="2.7619374946561002"/>
    <n v="0.51314540618775695"/>
    <n v="-2.2487920884683401"/>
    <n v="5.0308018290137299E-2"/>
    <n v="1.417541596286E-2"/>
    <n v="7.5211950238489303E-3"/>
    <n v="0.44113408772510099"/>
    <n v="6.6891858098588498E-6"/>
    <n v="0"/>
    <n v="0"/>
    <n v="100"/>
    <n v="84.260736214320602"/>
    <n v="6.9935208519105299"/>
    <n v="8.7457429337688808"/>
    <n v="0"/>
    <n v="6.9935208519105299"/>
    <n v="0.39590364888743801"/>
    <n v="-160.02664226682799"/>
    <n v="0"/>
    <n v="100"/>
    <n v="64.117356688576805"/>
    <n v="164.52445532995401"/>
    <n v="54.006180146076602"/>
    <n v="301.460093274158"/>
    <n v="2.6469374153891598"/>
    <n v="707.17117496108995"/>
    <n v="3.33930665671696"/>
    <n v="0"/>
    <n v="173.41879614111201"/>
    <n v="112.059324805868"/>
    <n v="25.248438798041899"/>
    <n v="-119.448304295412"/>
    <n v="16188085"/>
    <n v="0.10842115578772001"/>
    <n v="108"/>
    <n v="5.3823681579359652"/>
    <n v="0.51313871700194713"/>
    <n v="5.382438321537955"/>
  </r>
  <r>
    <x v="1"/>
    <x v="3"/>
    <n v="0.42010075971570798"/>
    <n v="0.44613158885687398"/>
    <n v="2.6030829141165699E-2"/>
    <n v="5.0641550726097398E-2"/>
    <n v="8.3771088428626298E-3"/>
    <n v="6.8639275671438099E-3"/>
    <n v="0.38024123162252899"/>
    <n v="7.7700982415434608E-6"/>
    <n v="0"/>
    <n v="1.8002343823662199"/>
    <n v="98.199765617633801"/>
    <n v="52.414486398089998"/>
    <n v="31.305261720978098"/>
    <n v="16.2802518809319"/>
    <n v="0"/>
    <n v="31.305261720978098"/>
    <n v="0.23159549875616001"/>
    <n v="-134.17945218722701"/>
    <n v="0"/>
    <n v="100"/>
    <n v="57.716260569905899"/>
    <n v="223.90339509509499"/>
    <n v="53.641496241780096"/>
    <n v="300.66031073911603"/>
    <n v="2.7624054516849501"/>
    <n v="742.79950031711996"/>
    <n v="2.3964255311754399"/>
    <n v="0"/>
    <n v="172.66913570457999"/>
    <n v="112.011721799873"/>
    <n v="26.256009009651802"/>
    <n v="-98.759517388581003"/>
    <n v="130136837.90000001"/>
    <n v="4.3785394796478298E-2"/>
    <n v="640"/>
    <n v="0.94165212732892334"/>
    <n v="0.44612381875863244"/>
    <n v="0.94166852799894152"/>
  </r>
  <r>
    <x v="1"/>
    <x v="4"/>
    <n v="0.35627639112521298"/>
    <n v="0.41569606420905802"/>
    <n v="5.94196730838445E-2"/>
    <n v="5.13079479845963E-2"/>
    <n v="6.4677708743867898E-3"/>
    <n v="4.6402046550213204E-3"/>
    <n v="0.35327190832935401"/>
    <n v="8.2323656996355808E-6"/>
    <n v="0"/>
    <n v="4.2283826071763997"/>
    <n v="95.7716173928236"/>
    <n v="24.8806277979436"/>
    <n v="53.405918429938303"/>
    <n v="21.7134537721181"/>
    <n v="0"/>
    <n v="53.405918429938303"/>
    <n v="0.21235533046213001"/>
    <n v="-108.501813710251"/>
    <n v="0.16988459225629199"/>
    <n v="100"/>
    <n v="48.675099654722501"/>
    <n v="249.51201612122901"/>
    <n v="53.909321907825799"/>
    <n v="298.85339628524798"/>
    <n v="2.9433699535060698"/>
    <n v="768.76481705778497"/>
    <n v="2.5574418157471199"/>
    <n v="0"/>
    <n v="171.436778952265"/>
    <n v="111.89304738683499"/>
    <n v="25.1921334084062"/>
    <n v="-68.106973454451705"/>
    <n v="2152683355.6999998"/>
    <n v="5.5760612727624503E-2"/>
    <n v="4543"/>
    <n v="0.85705981316685675"/>
    <n v="0.41568783184335839"/>
    <n v="0.85707678655233499"/>
  </r>
  <r>
    <x v="1"/>
    <x v="5"/>
    <n v="0.44288862970042697"/>
    <n v="0.44257655796834"/>
    <n v="-3.12071732086601E-4"/>
    <n v="5.1844885104207199E-2"/>
    <n v="7.1200279760567104E-3"/>
    <n v="4.9831115896346303E-3"/>
    <n v="0.37834327989268801"/>
    <n v="2.85253405753562E-4"/>
    <n v="0"/>
    <n v="4.5755742420627801"/>
    <n v="95.4244257579372"/>
    <n v="28.093554199120302"/>
    <n v="53.9671061189797"/>
    <n v="17.939339681900002"/>
    <n v="0"/>
    <n v="53.9671061189797"/>
    <n v="0.25634739222765102"/>
    <n v="-83.176029881477206"/>
    <n v="0.335628226274999"/>
    <n v="99.990183560197707"/>
    <n v="46.387368272723101"/>
    <n v="273.39750671315102"/>
    <n v="53.682849561808197"/>
    <n v="297.54672679230299"/>
    <n v="3.1851503846433"/>
    <n v="771.60763685872496"/>
    <n v="1.96977754550555"/>
    <n v="0"/>
    <n v="171.61721296232699"/>
    <n v="111.88891480847499"/>
    <n v="24.9054505202092"/>
    <n v="-43.218011258990003"/>
    <n v="34321311951.700001"/>
    <n v="4.9884361346705403E-2"/>
    <n v="17384"/>
    <n v="1.0007051248568599"/>
    <n v="0.44229130456258642"/>
    <n v="1.0013505242623553"/>
  </r>
  <r>
    <x v="1"/>
    <x v="6"/>
    <n v="0.563788676811944"/>
    <n v="0.53878186930758798"/>
    <n v="-2.5006807504355799E-2"/>
    <n v="5.2332975306470901E-2"/>
    <n v="7.9936930176824697E-3"/>
    <n v="6.4475184044759503E-3"/>
    <n v="0.43826518318341101"/>
    <n v="3.3742499395547597E-2"/>
    <n v="0"/>
    <n v="4.7993707766687903"/>
    <n v="95.200629223331205"/>
    <n v="27.141721197903401"/>
    <n v="54.519918815188603"/>
    <n v="18.338359986907999"/>
    <n v="0"/>
    <n v="54.519918815188603"/>
    <n v="0.29739653274604"/>
    <n v="-59.8999688004739"/>
    <n v="41.581202249707601"/>
    <n v="99.997494284030694"/>
    <n v="45.197320994851502"/>
    <n v="272.44985203823899"/>
    <n v="54.466631722000997"/>
    <n v="296.40402753361201"/>
    <n v="3.36059701348896"/>
    <n v="771.43809314965802"/>
    <n v="2.6926332802577599"/>
    <n v="0"/>
    <n v="172.160527989511"/>
    <n v="112.008437846151"/>
    <n v="26.263660540696801"/>
    <n v="-29.1736800045751"/>
    <n v="260221442336"/>
    <n v="5.34628721142313E-2"/>
    <n v="55025"/>
    <n v="1.0464136024779256"/>
    <n v="0.50503936991204035"/>
    <n v="1.1163261923721624"/>
  </r>
  <r>
    <x v="1"/>
    <x v="7"/>
    <n v="0.66677998870274302"/>
    <n v="0.68345589373306703"/>
    <n v="1.6675905030324002E-2"/>
    <n v="5.2788080159659599E-2"/>
    <n v="8.6459012037384594E-3"/>
    <n v="9.8015216931711599E-3"/>
    <n v="0.51357040240793295"/>
    <n v="9.8649988268565303E-2"/>
    <n v="0"/>
    <n v="5.0478906403835797"/>
    <n v="94.952109359616401"/>
    <n v="27.4824287087249"/>
    <n v="53.406566171786402"/>
    <n v="19.111005119488699"/>
    <n v="0"/>
    <n v="53.406566171786402"/>
    <n v="0.32268218887616901"/>
    <n v="-36.483668743503898"/>
    <n v="166.860588893867"/>
    <n v="99.995009329474598"/>
    <n v="45.060800497328003"/>
    <n v="268.93670802914602"/>
    <n v="55.5340059722962"/>
    <n v="295.35338932045602"/>
    <n v="3.5131137382570699"/>
    <n v="768.73471540333298"/>
    <n v="5.1253192818658997"/>
    <n v="0"/>
    <n v="173.09215002550599"/>
    <n v="112.20480311222001"/>
    <n v="29.4387750513194"/>
    <n v="-19.672599547927099"/>
    <n v="617674846861"/>
    <n v="5.79523230314994E-2"/>
    <n v="125129"/>
    <n v="0.97560061273414522"/>
    <n v="0.58480590546450173"/>
    <n v="1.1401731454355453"/>
  </r>
  <r>
    <x v="1"/>
    <x v="8"/>
    <n v="0.75570262539209498"/>
    <n v="0.77748190594137301"/>
    <n v="2.1779280549277202E-2"/>
    <n v="5.38664879421158E-2"/>
    <n v="1.09456219998813E-2"/>
    <n v="1.4464581696229901E-2"/>
    <n v="0.54651441247948396"/>
    <n v="0.15169080182366201"/>
    <n v="0"/>
    <n v="5.2057171658500501"/>
    <n v="94.794282834149996"/>
    <n v="25.742692359250199"/>
    <n v="53.464033384996398"/>
    <n v="20.7932742557533"/>
    <n v="0"/>
    <n v="53.464033384996398"/>
    <n v="0.398318262246729"/>
    <n v="-13.8830484663752"/>
    <n v="553.91084360051298"/>
    <n v="99.989464264782498"/>
    <n v="45.340135419012697"/>
    <n v="244.109348692818"/>
    <n v="57.290332745557997"/>
    <n v="292.97319035245499"/>
    <n v="3.7126430689692498"/>
    <n v="765.18757081032697"/>
    <n v="9.6206807061833199"/>
    <n v="0"/>
    <n v="171.859749569862"/>
    <n v="112.12034356234901"/>
    <n v="30.987181576777999"/>
    <n v="-12.5191692708144"/>
    <n v="670102978462.59998"/>
    <n v="6.26249026272922E-2"/>
    <n v="208848"/>
    <n v="0.97198741169042679"/>
    <n v="0.62579110411771099"/>
    <n v="1.20759566638062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42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M13" firstHeaderRow="1" firstDataRow="3" firstDataCol="1"/>
  <pivotFields count="40">
    <pivotField axis="axisCol" showAll="0" defaultSubtotal="0">
      <items count="7">
        <item m="1" x="2"/>
        <item m="1" x="3"/>
        <item m="1" x="4"/>
        <item m="1" x="5"/>
        <item m="1" x="6"/>
        <item x="0"/>
        <item x="1"/>
      </items>
    </pivotField>
    <pivotField axis="axisRow" showAll="0" sortType="ascending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2">
    <field x="0"/>
    <field x="-2"/>
  </colFields>
  <colItems count="12">
    <i>
      <x v="5"/>
      <x/>
    </i>
    <i r="1" i="1">
      <x v="1"/>
    </i>
    <i r="1" i="2">
      <x v="2"/>
    </i>
    <i r="1" i="3">
      <x v="3"/>
    </i>
    <i r="1" i="4">
      <x v="4"/>
    </i>
    <i r="1" i="5">
      <x v="5"/>
    </i>
    <i>
      <x v="6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4" baseField="0" baseItem="0" numFmtId="164"/>
    <dataField name="'actual.smm" fld="2" subtotal="average" baseField="0" baseItem="0" numFmtId="2"/>
    <dataField name="'model.smm" fld="3" subtotal="average" baseField="0" baseItem="0" numFmtId="2"/>
    <dataField name="'model w/o refi" fld="38" subtotal="average" baseField="0" baseItem="0" numFmtId="2"/>
    <dataField name="'Ratio" fld="37" subtotal="average" baseField="0" baseItem="0" numFmtId="2"/>
    <dataField name="'Ratio w/o refi" fld="39" subtotal="average" baseField="0" baseItem="0" numFmtId="2"/>
  </dataFields>
  <formats count="5">
    <format dxfId="9">
      <pivotArea outline="0" collapsedLevelsAreSubtotals="1" fieldPosition="0"/>
    </format>
    <format dxfId="8">
      <pivotArea type="topRight" dataOnly="0" labelOnly="1" outline="0" offset="B1" fieldPosition="0"/>
    </format>
    <format dxfId="7">
      <pivotArea type="topRight" dataOnly="0" labelOnly="1" outline="0" offset="G1" fieldPosition="0"/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9"/>
  <sheetViews>
    <sheetView workbookViewId="0">
      <selection activeCell="A2" sqref="A2:AL19"/>
    </sheetView>
  </sheetViews>
  <sheetFormatPr defaultRowHeight="15" x14ac:dyDescent="0.25"/>
  <cols>
    <col min="2" max="2" width="9.140625" style="2"/>
    <col min="27" max="27" width="9.140625" style="2"/>
  </cols>
  <sheetData>
    <row r="1" spans="1:41" x14ac:dyDescent="0.25">
      <c r="A1" s="2"/>
      <c r="B1" s="2" t="s">
        <v>50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51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43</v>
      </c>
      <c r="AN1" s="2" t="s">
        <v>44</v>
      </c>
      <c r="AO1" s="2" t="s">
        <v>45</v>
      </c>
    </row>
    <row r="2" spans="1:41" x14ac:dyDescent="0.25">
      <c r="A2" s="2">
        <v>1</v>
      </c>
      <c r="B2" s="2" t="s">
        <v>52</v>
      </c>
      <c r="C2" s="2">
        <v>-200</v>
      </c>
      <c r="D2" s="2">
        <v>1.0589442027286301E-4</v>
      </c>
      <c r="E2" s="2">
        <v>0.40953782718864401</v>
      </c>
      <c r="F2" s="2">
        <v>0.40943193276837098</v>
      </c>
      <c r="G2" s="2">
        <v>5.2318326552940303E-2</v>
      </c>
      <c r="H2" s="2">
        <v>1.0471429978492299E-3</v>
      </c>
      <c r="I2" s="2">
        <v>6.6475638626953802E-4</v>
      </c>
      <c r="J2" s="2">
        <v>0.35550176298067698</v>
      </c>
      <c r="K2" s="3">
        <v>5.8382709083927298E-6</v>
      </c>
      <c r="L2" s="2">
        <v>100</v>
      </c>
      <c r="M2" s="2">
        <v>0</v>
      </c>
      <c r="N2" s="2">
        <v>0</v>
      </c>
      <c r="O2" s="2">
        <v>0</v>
      </c>
      <c r="P2" s="2">
        <v>100</v>
      </c>
      <c r="Q2" s="2">
        <v>0</v>
      </c>
      <c r="R2" s="2">
        <v>0</v>
      </c>
      <c r="S2" s="2">
        <v>100</v>
      </c>
      <c r="T2" s="2">
        <v>0</v>
      </c>
      <c r="U2" s="2">
        <v>-202.1</v>
      </c>
      <c r="V2" s="2">
        <v>0</v>
      </c>
      <c r="W2" s="2">
        <v>100</v>
      </c>
      <c r="X2" s="2">
        <v>34.693955254344701</v>
      </c>
      <c r="Y2" s="2">
        <v>193.35106800783299</v>
      </c>
      <c r="Z2" s="2">
        <v>63.867631974658899</v>
      </c>
      <c r="AA2" s="2">
        <v>296.13236802534101</v>
      </c>
      <c r="AB2" s="2">
        <v>2.6</v>
      </c>
      <c r="AC2" s="2">
        <v>741.34658192035704</v>
      </c>
      <c r="AD2" s="2">
        <v>100</v>
      </c>
      <c r="AE2" s="2">
        <v>0</v>
      </c>
      <c r="AF2" s="2">
        <v>179.2</v>
      </c>
      <c r="AG2" s="2">
        <v>112.2</v>
      </c>
      <c r="AH2" s="2">
        <v>20.9</v>
      </c>
      <c r="AI2" s="2">
        <v>-106.073423822612</v>
      </c>
      <c r="AJ2" s="2">
        <v>444369.4</v>
      </c>
      <c r="AK2" s="3">
        <v>4.6188021535170097E-6</v>
      </c>
      <c r="AL2" s="2">
        <v>3</v>
      </c>
      <c r="AM2" s="2">
        <f>D2/E2</f>
        <v>2.5857054768248602E-4</v>
      </c>
      <c r="AN2" s="3">
        <f>E2-K2</f>
        <v>0.40953198891773562</v>
      </c>
      <c r="AO2" s="3">
        <f>D2/(E2-K2)</f>
        <v>2.5857423385340102E-4</v>
      </c>
    </row>
    <row r="3" spans="1:41" x14ac:dyDescent="0.25">
      <c r="A3" s="2">
        <v>2</v>
      </c>
      <c r="B3" s="2" t="s">
        <v>52</v>
      </c>
      <c r="C3" s="2">
        <v>-175</v>
      </c>
      <c r="D3" s="3">
        <v>9.8434499978890293E-5</v>
      </c>
      <c r="E3" s="2">
        <v>0.42612814070930399</v>
      </c>
      <c r="F3" s="2">
        <v>0.42602970620932501</v>
      </c>
      <c r="G3" s="2">
        <v>4.9596908009418197E-2</v>
      </c>
      <c r="H3" s="2">
        <v>1.47462371388832E-3</v>
      </c>
      <c r="I3" s="2">
        <v>8.5021792670950396E-4</v>
      </c>
      <c r="J3" s="2">
        <v>0.37420102730446397</v>
      </c>
      <c r="K3" s="3">
        <v>5.3637548238508703E-6</v>
      </c>
      <c r="L3" s="2">
        <v>100</v>
      </c>
      <c r="M3" s="2">
        <v>0</v>
      </c>
      <c r="N3" s="2">
        <v>0</v>
      </c>
      <c r="O3" s="2">
        <v>0</v>
      </c>
      <c r="P3" s="2">
        <v>100</v>
      </c>
      <c r="Q3" s="2">
        <v>0</v>
      </c>
      <c r="R3" s="2">
        <v>0</v>
      </c>
      <c r="S3" s="2">
        <v>100</v>
      </c>
      <c r="T3" s="2">
        <v>1.8266989569262499E-2</v>
      </c>
      <c r="U3" s="2">
        <v>-186.90262958698199</v>
      </c>
      <c r="V3" s="2">
        <v>0</v>
      </c>
      <c r="W3" s="2">
        <v>100</v>
      </c>
      <c r="X3" s="2">
        <v>38.330273179196503</v>
      </c>
      <c r="Y3" s="2">
        <v>186.63420659229601</v>
      </c>
      <c r="Z3" s="2">
        <v>54.9037769766827</v>
      </c>
      <c r="AA3" s="2">
        <v>302.83814017148802</v>
      </c>
      <c r="AB3" s="2">
        <v>2.6293882670651101</v>
      </c>
      <c r="AC3" s="2">
        <v>746.87139429542299</v>
      </c>
      <c r="AD3" s="2">
        <v>85.305866467442996</v>
      </c>
      <c r="AE3" s="2">
        <v>0</v>
      </c>
      <c r="AF3" s="2">
        <v>171.357626770933</v>
      </c>
      <c r="AG3" s="2">
        <v>111.94186518575501</v>
      </c>
      <c r="AH3" s="2">
        <v>25.830301548633699</v>
      </c>
      <c r="AI3" s="2">
        <v>-102.86700748299501</v>
      </c>
      <c r="AJ3" s="2">
        <v>3732890.4</v>
      </c>
      <c r="AK3" s="3">
        <v>4.3353644155231803E-6</v>
      </c>
      <c r="AL3" s="2">
        <v>26</v>
      </c>
      <c r="AM3" s="2">
        <f t="shared" ref="AM3:AM9" si="0">D3/E3</f>
        <v>2.3099741738492768E-4</v>
      </c>
      <c r="AN3" s="3">
        <f t="shared" ref="AN3:AN9" si="1">E3-K3</f>
        <v>0.42612277695448014</v>
      </c>
      <c r="AO3" s="3">
        <f t="shared" ref="AO3:AO9" si="2">D3/(E3-K3)</f>
        <v>2.3100032502934101E-4</v>
      </c>
    </row>
    <row r="4" spans="1:41" x14ac:dyDescent="0.25">
      <c r="A4" s="2">
        <v>3</v>
      </c>
      <c r="B4" s="2" t="s">
        <v>52</v>
      </c>
      <c r="C4" s="2">
        <v>-150</v>
      </c>
      <c r="D4" s="2">
        <v>0.11712139296849</v>
      </c>
      <c r="E4" s="2">
        <v>0.46692873463214701</v>
      </c>
      <c r="F4" s="2">
        <v>0.34980734166365701</v>
      </c>
      <c r="G4" s="2">
        <v>5.0559197011913998E-2</v>
      </c>
      <c r="H4" s="2">
        <v>5.1857416148773398E-3</v>
      </c>
      <c r="I4" s="2">
        <v>1.39755939831267E-3</v>
      </c>
      <c r="J4" s="2">
        <v>0.40977968119235098</v>
      </c>
      <c r="K4" s="3">
        <v>6.5554146917397096E-6</v>
      </c>
      <c r="L4" s="2">
        <v>100</v>
      </c>
      <c r="M4" s="2">
        <v>0</v>
      </c>
      <c r="N4" s="2">
        <v>0</v>
      </c>
      <c r="O4" s="2">
        <v>25.313473771535101</v>
      </c>
      <c r="P4" s="2">
        <v>54.7570025094019</v>
      </c>
      <c r="Q4" s="2">
        <v>19.929523719063098</v>
      </c>
      <c r="R4" s="2">
        <v>0</v>
      </c>
      <c r="S4" s="2">
        <v>54.7570025094019</v>
      </c>
      <c r="T4" s="2">
        <v>0.17325649242993599</v>
      </c>
      <c r="U4" s="2">
        <v>-159.44807454395601</v>
      </c>
      <c r="V4" s="2">
        <v>0</v>
      </c>
      <c r="W4" s="2">
        <v>95.498214546633903</v>
      </c>
      <c r="X4" s="2">
        <v>44.462410482062097</v>
      </c>
      <c r="Y4" s="2">
        <v>210.85766971457599</v>
      </c>
      <c r="Z4" s="2">
        <v>54.781534087697999</v>
      </c>
      <c r="AA4" s="2">
        <v>300.83927631758201</v>
      </c>
      <c r="AB4" s="2">
        <v>2.9536556789041399</v>
      </c>
      <c r="AC4" s="2">
        <v>757.03539539475901</v>
      </c>
      <c r="AD4" s="2">
        <v>20.8065604339549</v>
      </c>
      <c r="AE4" s="2">
        <v>0</v>
      </c>
      <c r="AF4" s="2">
        <v>172.245915569235</v>
      </c>
      <c r="AG4" s="2">
        <v>111.961907662621</v>
      </c>
      <c r="AH4" s="2">
        <v>25.539699729332401</v>
      </c>
      <c r="AI4" s="2">
        <v>-68.022685900139507</v>
      </c>
      <c r="AJ4" s="2">
        <v>21542623.699999999</v>
      </c>
      <c r="AK4" s="2">
        <v>1.5251398478184601E-2</v>
      </c>
      <c r="AL4" s="2">
        <v>162</v>
      </c>
      <c r="AM4" s="2">
        <f t="shared" si="0"/>
        <v>0.25083355184974826</v>
      </c>
      <c r="AN4" s="3">
        <f t="shared" si="1"/>
        <v>0.46692217921745527</v>
      </c>
      <c r="AO4" s="3">
        <f t="shared" si="2"/>
        <v>0.25083707346003831</v>
      </c>
    </row>
    <row r="5" spans="1:41" x14ac:dyDescent="0.25">
      <c r="A5" s="2">
        <v>4</v>
      </c>
      <c r="B5" s="2" t="s">
        <v>52</v>
      </c>
      <c r="C5" s="2">
        <v>-125</v>
      </c>
      <c r="D5" s="2">
        <v>0.35779825300903501</v>
      </c>
      <c r="E5" s="2">
        <v>0.48527707765671402</v>
      </c>
      <c r="F5" s="2">
        <v>0.12747882464767901</v>
      </c>
      <c r="G5" s="2">
        <v>5.1677838353524803E-2</v>
      </c>
      <c r="H5" s="2">
        <v>8.3461930200602694E-3</v>
      </c>
      <c r="I5" s="2">
        <v>1.81133549565944E-3</v>
      </c>
      <c r="J5" s="2">
        <v>0.42343362400669199</v>
      </c>
      <c r="K5" s="3">
        <v>8.0867807772458999E-6</v>
      </c>
      <c r="L5" s="2">
        <v>100</v>
      </c>
      <c r="M5" s="2">
        <v>0</v>
      </c>
      <c r="N5" s="2">
        <v>0</v>
      </c>
      <c r="O5" s="2">
        <v>29.729527590472099</v>
      </c>
      <c r="P5" s="2">
        <v>48.967699337162998</v>
      </c>
      <c r="Q5" s="2">
        <v>21.302773072365</v>
      </c>
      <c r="R5" s="2">
        <v>0</v>
      </c>
      <c r="S5" s="2">
        <v>48.967699337162998</v>
      </c>
      <c r="T5" s="2">
        <v>0.31881858489269199</v>
      </c>
      <c r="U5" s="2">
        <v>-132.94575909845599</v>
      </c>
      <c r="V5" s="2">
        <v>4.1257115808745002E-3</v>
      </c>
      <c r="W5" s="2">
        <v>99.508531677596807</v>
      </c>
      <c r="X5" s="2">
        <v>43.567674675919001</v>
      </c>
      <c r="Y5" s="2">
        <v>262.742532432953</v>
      </c>
      <c r="Z5" s="2">
        <v>55.128032794258601</v>
      </c>
      <c r="AA5" s="2">
        <v>298.154439824316</v>
      </c>
      <c r="AB5" s="2">
        <v>3.2468450970012102</v>
      </c>
      <c r="AC5" s="2">
        <v>771.00867124639205</v>
      </c>
      <c r="AD5" s="2">
        <v>10.8230326993707</v>
      </c>
      <c r="AE5" s="2">
        <v>0</v>
      </c>
      <c r="AF5" s="2">
        <v>172.811507423981</v>
      </c>
      <c r="AG5" s="2">
        <v>111.943496427895</v>
      </c>
      <c r="AH5" s="2">
        <v>24.208066197112899</v>
      </c>
      <c r="AI5" s="2">
        <v>-37.010800509217901</v>
      </c>
      <c r="AJ5" s="2">
        <v>392847984.69999999</v>
      </c>
      <c r="AK5" s="2">
        <v>4.9147215646454197E-2</v>
      </c>
      <c r="AL5" s="2">
        <v>1490</v>
      </c>
      <c r="AM5" s="2">
        <f t="shared" si="0"/>
        <v>0.73730713747444343</v>
      </c>
      <c r="AN5" s="3">
        <f t="shared" si="1"/>
        <v>0.48526899087593678</v>
      </c>
      <c r="AO5" s="3">
        <f t="shared" si="2"/>
        <v>0.73731942435305786</v>
      </c>
    </row>
    <row r="6" spans="1:41" x14ac:dyDescent="0.25">
      <c r="A6" s="2">
        <v>5</v>
      </c>
      <c r="B6" s="2" t="s">
        <v>52</v>
      </c>
      <c r="C6" s="2">
        <v>-100</v>
      </c>
      <c r="D6" s="2">
        <v>0.55567064544984002</v>
      </c>
      <c r="E6" s="2">
        <v>0.52386667073006898</v>
      </c>
      <c r="F6" s="2">
        <v>-3.1803974719770901E-2</v>
      </c>
      <c r="G6" s="2">
        <v>5.1700797169248601E-2</v>
      </c>
      <c r="H6" s="2">
        <v>7.8874974330244707E-3</v>
      </c>
      <c r="I6" s="2">
        <v>2.3237199727639498E-3</v>
      </c>
      <c r="J6" s="2">
        <v>0.46194652521655999</v>
      </c>
      <c r="K6" s="3">
        <v>8.1309384724685297E-6</v>
      </c>
      <c r="L6" s="2">
        <v>100</v>
      </c>
      <c r="M6" s="2">
        <v>0</v>
      </c>
      <c r="N6" s="2">
        <v>0</v>
      </c>
      <c r="O6" s="2">
        <v>31.143450579684799</v>
      </c>
      <c r="P6" s="2">
        <v>50.978139920726598</v>
      </c>
      <c r="Q6" s="2">
        <v>17.878409499588599</v>
      </c>
      <c r="R6" s="2">
        <v>0</v>
      </c>
      <c r="S6" s="2">
        <v>50.978139920726598</v>
      </c>
      <c r="T6" s="2">
        <v>0.303693814732651</v>
      </c>
      <c r="U6" s="2">
        <v>-108.55820387933601</v>
      </c>
      <c r="V6" s="2">
        <v>1.2836298955445099E-2</v>
      </c>
      <c r="W6" s="2">
        <v>99.910160252053899</v>
      </c>
      <c r="X6" s="2">
        <v>42.659417116181899</v>
      </c>
      <c r="Y6" s="2">
        <v>253.69080007375899</v>
      </c>
      <c r="Z6" s="2">
        <v>54.874626900963698</v>
      </c>
      <c r="AA6" s="2">
        <v>297.94483682732601</v>
      </c>
      <c r="AB6" s="2">
        <v>3.44193363105743</v>
      </c>
      <c r="AC6" s="2">
        <v>773.26725930716395</v>
      </c>
      <c r="AD6" s="2">
        <v>8.5729348396685907</v>
      </c>
      <c r="AE6" s="2">
        <v>0</v>
      </c>
      <c r="AF6" s="2">
        <v>172.603521752755</v>
      </c>
      <c r="AG6" s="2">
        <v>111.975270001065</v>
      </c>
      <c r="AH6" s="2">
        <v>24.930608527238999</v>
      </c>
      <c r="AI6" s="2">
        <v>-17.787508196963199</v>
      </c>
      <c r="AJ6" s="2">
        <v>4038866629.6999998</v>
      </c>
      <c r="AK6" s="2">
        <v>6.3312965517763206E-2</v>
      </c>
      <c r="AL6" s="2">
        <v>6104</v>
      </c>
      <c r="AM6" s="2">
        <f t="shared" si="0"/>
        <v>1.0607100556243605</v>
      </c>
      <c r="AN6" s="3">
        <f t="shared" si="1"/>
        <v>0.52385853979159647</v>
      </c>
      <c r="AO6" s="3">
        <f t="shared" si="2"/>
        <v>1.0607265191685129</v>
      </c>
    </row>
    <row r="7" spans="1:41" x14ac:dyDescent="0.25">
      <c r="A7" s="2">
        <v>6</v>
      </c>
      <c r="B7" s="2" t="s">
        <v>52</v>
      </c>
      <c r="C7" s="2">
        <v>-75</v>
      </c>
      <c r="D7" s="2">
        <v>0.62913823777413702</v>
      </c>
      <c r="E7" s="2">
        <v>0.58311060822857097</v>
      </c>
      <c r="F7" s="2">
        <v>-4.6027629545566398E-2</v>
      </c>
      <c r="G7" s="2">
        <v>5.1832461759433499E-2</v>
      </c>
      <c r="H7" s="2">
        <v>8.96977696968068E-3</v>
      </c>
      <c r="I7" s="2">
        <v>3.5075262710373102E-3</v>
      </c>
      <c r="J7" s="2">
        <v>0.51858097057225305</v>
      </c>
      <c r="K7" s="2">
        <v>2.1987265616662901E-4</v>
      </c>
      <c r="L7" s="2">
        <v>100</v>
      </c>
      <c r="M7" s="2">
        <v>0</v>
      </c>
      <c r="N7" s="2">
        <v>0</v>
      </c>
      <c r="O7" s="2">
        <v>32.885047903162103</v>
      </c>
      <c r="P7" s="2">
        <v>50.494166819933497</v>
      </c>
      <c r="Q7" s="2">
        <v>16.6207852769044</v>
      </c>
      <c r="R7" s="2">
        <v>0</v>
      </c>
      <c r="S7" s="2">
        <v>50.494166819933497</v>
      </c>
      <c r="T7" s="2">
        <v>0.34935503454314998</v>
      </c>
      <c r="U7" s="2">
        <v>-85.473539941391607</v>
      </c>
      <c r="V7" s="2">
        <v>1.2534885952133701</v>
      </c>
      <c r="W7" s="2">
        <v>99.909397528719495</v>
      </c>
      <c r="X7" s="2">
        <v>42.818369052796797</v>
      </c>
      <c r="Y7" s="2">
        <v>251.662877314138</v>
      </c>
      <c r="Z7" s="2">
        <v>54.621867917588197</v>
      </c>
      <c r="AA7" s="2">
        <v>297.62788314758097</v>
      </c>
      <c r="AB7" s="2">
        <v>3.6200615227358202</v>
      </c>
      <c r="AC7" s="2">
        <v>772.469113822552</v>
      </c>
      <c r="AD7" s="2">
        <v>7.37548057667333</v>
      </c>
      <c r="AE7" s="2">
        <v>0</v>
      </c>
      <c r="AF7" s="2">
        <v>172.51538288731101</v>
      </c>
      <c r="AG7" s="2">
        <v>112.05732656501399</v>
      </c>
      <c r="AH7" s="2">
        <v>26.917736923504801</v>
      </c>
      <c r="AI7" s="2">
        <v>-2.5686582130473301</v>
      </c>
      <c r="AJ7" s="2">
        <v>17336732768</v>
      </c>
      <c r="AK7" s="2">
        <v>5.8319398792448199E-2</v>
      </c>
      <c r="AL7" s="2">
        <v>14540</v>
      </c>
      <c r="AM7" s="2">
        <f t="shared" si="0"/>
        <v>1.0789346461821252</v>
      </c>
      <c r="AN7" s="3">
        <f t="shared" si="1"/>
        <v>0.58289073557240434</v>
      </c>
      <c r="AO7" s="3">
        <f t="shared" si="2"/>
        <v>1.0793416319377889</v>
      </c>
    </row>
    <row r="8" spans="1:41" x14ac:dyDescent="0.25">
      <c r="A8" s="2">
        <v>7</v>
      </c>
      <c r="B8" s="2" t="s">
        <v>52</v>
      </c>
      <c r="C8" s="2">
        <v>-50</v>
      </c>
      <c r="D8" s="2">
        <v>0.67446407519951301</v>
      </c>
      <c r="E8" s="2">
        <v>0.69226407442078897</v>
      </c>
      <c r="F8" s="2">
        <v>1.7799999221275401E-2</v>
      </c>
      <c r="G8" s="2">
        <v>5.2501326463257697E-2</v>
      </c>
      <c r="H8" s="2">
        <v>1.20335697308662E-2</v>
      </c>
      <c r="I8" s="2">
        <v>5.3884564034777996E-3</v>
      </c>
      <c r="J8" s="2">
        <v>0.59917422223457595</v>
      </c>
      <c r="K8" s="2">
        <v>2.3166499588611101E-2</v>
      </c>
      <c r="L8" s="2">
        <v>100</v>
      </c>
      <c r="M8" s="2">
        <v>0</v>
      </c>
      <c r="N8" s="2">
        <v>0</v>
      </c>
      <c r="O8" s="2">
        <v>33.064364286371202</v>
      </c>
      <c r="P8" s="2">
        <v>50.051311721562499</v>
      </c>
      <c r="Q8" s="2">
        <v>16.8843239920663</v>
      </c>
      <c r="R8" s="2">
        <v>0</v>
      </c>
      <c r="S8" s="2">
        <v>50.051311721562499</v>
      </c>
      <c r="T8" s="2">
        <v>0.47552415452392699</v>
      </c>
      <c r="U8" s="2">
        <v>-61.7489330613978</v>
      </c>
      <c r="V8" s="2">
        <v>29.670339809097001</v>
      </c>
      <c r="W8" s="2">
        <v>99.850103087848396</v>
      </c>
      <c r="X8" s="2">
        <v>42.8686872500761</v>
      </c>
      <c r="Y8" s="2">
        <v>243.787843110784</v>
      </c>
      <c r="Z8" s="2">
        <v>55.470561718739603</v>
      </c>
      <c r="AA8" s="2">
        <v>296.12019243955501</v>
      </c>
      <c r="AB8" s="2">
        <v>3.7891757937406001</v>
      </c>
      <c r="AC8" s="2">
        <v>771.17312439593297</v>
      </c>
      <c r="AD8" s="2">
        <v>8.8234443450406204</v>
      </c>
      <c r="AE8" s="2">
        <v>0</v>
      </c>
      <c r="AF8" s="2">
        <v>172.949741428142</v>
      </c>
      <c r="AG8" s="2">
        <v>112.17942440606301</v>
      </c>
      <c r="AH8" s="2">
        <v>29.618080753702401</v>
      </c>
      <c r="AI8" s="2">
        <v>7.9163629758237199</v>
      </c>
      <c r="AJ8" s="2">
        <v>36635175799.199997</v>
      </c>
      <c r="AK8" s="2">
        <v>6.1065224895659E-2</v>
      </c>
      <c r="AL8" s="2">
        <v>31834</v>
      </c>
      <c r="AM8" s="2">
        <f t="shared" si="0"/>
        <v>0.97428727001878723</v>
      </c>
      <c r="AN8" s="3">
        <f t="shared" si="1"/>
        <v>0.66909757483217791</v>
      </c>
      <c r="AO8" s="3">
        <f t="shared" si="2"/>
        <v>1.0080205048847788</v>
      </c>
    </row>
    <row r="9" spans="1:41" x14ac:dyDescent="0.25">
      <c r="A9" s="2">
        <v>8</v>
      </c>
      <c r="B9" s="2" t="s">
        <v>52</v>
      </c>
      <c r="C9" s="2">
        <v>-25</v>
      </c>
      <c r="D9" s="2">
        <v>0.80980119252488503</v>
      </c>
      <c r="E9" s="2">
        <v>0.84624499148221599</v>
      </c>
      <c r="F9" s="2">
        <v>3.6443798957330097E-2</v>
      </c>
      <c r="G9" s="2">
        <v>5.3059994390525202E-2</v>
      </c>
      <c r="H9" s="2">
        <v>1.5675768082530898E-2</v>
      </c>
      <c r="I9" s="2">
        <v>8.4530721986555007E-3</v>
      </c>
      <c r="J9" s="2">
        <v>0.69178348471227002</v>
      </c>
      <c r="K9" s="2">
        <v>7.72726720982337E-2</v>
      </c>
      <c r="L9" s="2">
        <v>100</v>
      </c>
      <c r="M9" s="2">
        <v>0</v>
      </c>
      <c r="N9" s="2">
        <v>0</v>
      </c>
      <c r="O9" s="2">
        <v>31.7837469537027</v>
      </c>
      <c r="P9" s="2">
        <v>50.082324492476097</v>
      </c>
      <c r="Q9" s="2">
        <v>18.133928553821299</v>
      </c>
      <c r="R9" s="2">
        <v>0</v>
      </c>
      <c r="S9" s="2">
        <v>50.082324492476097</v>
      </c>
      <c r="T9" s="2">
        <v>0.61763598149479504</v>
      </c>
      <c r="U9" s="2">
        <v>-37.845633113613097</v>
      </c>
      <c r="V9" s="2">
        <v>154.639241675466</v>
      </c>
      <c r="W9" s="2">
        <v>99.675852960637798</v>
      </c>
      <c r="X9" s="2">
        <v>43.4105641495238</v>
      </c>
      <c r="Y9" s="2">
        <v>229.38411153529501</v>
      </c>
      <c r="Z9" s="2">
        <v>56.219317513885898</v>
      </c>
      <c r="AA9" s="2">
        <v>294.93542274658898</v>
      </c>
      <c r="AB9" s="2">
        <v>3.99768436770306</v>
      </c>
      <c r="AC9" s="2">
        <v>768.00513990561501</v>
      </c>
      <c r="AD9" s="2">
        <v>13.680502791636901</v>
      </c>
      <c r="AE9" s="2">
        <v>0</v>
      </c>
      <c r="AF9" s="2">
        <v>172.24793402309999</v>
      </c>
      <c r="AG9" s="2">
        <v>112.159602652516</v>
      </c>
      <c r="AH9" s="2">
        <v>31.331124141585601</v>
      </c>
      <c r="AI9" s="2">
        <v>20.976200984171001</v>
      </c>
      <c r="AJ9" s="2">
        <v>46101729398.5</v>
      </c>
      <c r="AK9" s="2">
        <v>7.3681613186151698E-2</v>
      </c>
      <c r="AL9" s="2">
        <v>62544</v>
      </c>
      <c r="AM9" s="2">
        <f t="shared" si="0"/>
        <v>0.95693469465207837</v>
      </c>
      <c r="AN9" s="3">
        <f t="shared" si="1"/>
        <v>0.76897231938398225</v>
      </c>
      <c r="AO9" s="3">
        <f t="shared" si="2"/>
        <v>1.0530953743219398</v>
      </c>
    </row>
    <row r="10" spans="1:41" x14ac:dyDescent="0.25">
      <c r="A10" s="2">
        <v>9</v>
      </c>
      <c r="B10" s="2" t="s">
        <v>52</v>
      </c>
      <c r="C10" s="2">
        <v>0</v>
      </c>
      <c r="D10" s="2">
        <v>0.92001746098815396</v>
      </c>
      <c r="E10" s="2">
        <v>0.94555987864524504</v>
      </c>
      <c r="F10" s="2">
        <v>2.5542417657091299E-2</v>
      </c>
      <c r="G10" s="2">
        <v>5.3541720354962401E-2</v>
      </c>
      <c r="H10" s="2">
        <v>1.8681167809680401E-2</v>
      </c>
      <c r="I10" s="2">
        <v>1.2117141028047399E-2</v>
      </c>
      <c r="J10" s="2">
        <v>0.73554146958689803</v>
      </c>
      <c r="K10" s="2">
        <v>0.125678379865657</v>
      </c>
      <c r="L10" s="2">
        <v>100</v>
      </c>
      <c r="M10" s="2">
        <v>0</v>
      </c>
      <c r="N10" s="2">
        <v>0</v>
      </c>
      <c r="O10" s="2">
        <v>31.824575741973899</v>
      </c>
      <c r="P10" s="2">
        <v>49.760257958665903</v>
      </c>
      <c r="Q10" s="2">
        <v>18.415166299360202</v>
      </c>
      <c r="R10" s="2">
        <v>0</v>
      </c>
      <c r="S10" s="2">
        <v>49.760257958665903</v>
      </c>
      <c r="T10" s="2">
        <v>0.71021985755757699</v>
      </c>
      <c r="U10" s="2">
        <v>-13.5621029076787</v>
      </c>
      <c r="V10" s="2">
        <v>448.67782362662302</v>
      </c>
      <c r="W10" s="2">
        <v>99.456617562639707</v>
      </c>
      <c r="X10" s="2">
        <v>44.533857537690103</v>
      </c>
      <c r="Y10" s="2">
        <v>203.261593520617</v>
      </c>
      <c r="Z10" s="2">
        <v>56.961393976843901</v>
      </c>
      <c r="AA10" s="2">
        <v>293.93464169327001</v>
      </c>
      <c r="AB10" s="2">
        <v>4.2043606783454797</v>
      </c>
      <c r="AC10" s="2">
        <v>764.49983010296899</v>
      </c>
      <c r="AD10" s="2">
        <v>19.1999202659551</v>
      </c>
      <c r="AE10" s="2">
        <v>0</v>
      </c>
      <c r="AF10" s="2">
        <v>169.908832373048</v>
      </c>
      <c r="AG10" s="2">
        <v>112.036969711982</v>
      </c>
      <c r="AH10" s="2">
        <v>34.423933007133201</v>
      </c>
      <c r="AI10" s="2">
        <v>28.196567027508902</v>
      </c>
      <c r="AJ10" s="2">
        <v>46163699255.300003</v>
      </c>
      <c r="AK10" s="2">
        <v>7.4465130093628096E-2</v>
      </c>
      <c r="AL10" s="2">
        <v>88830</v>
      </c>
      <c r="AM10" s="2">
        <f t="shared" ref="AM10:AM19" si="3">D10/E10</f>
        <v>0.97298699084643159</v>
      </c>
      <c r="AN10" s="3">
        <f t="shared" ref="AN10:AN19" si="4">E10-K10</f>
        <v>0.81988149877958805</v>
      </c>
      <c r="AO10" s="3">
        <f t="shared" ref="AO10:AO19" si="5">D10/(E10-K10)</f>
        <v>1.1221346772156959</v>
      </c>
    </row>
    <row r="11" spans="1:41" x14ac:dyDescent="0.25">
      <c r="A11" s="2">
        <v>10</v>
      </c>
      <c r="B11" s="2" t="s">
        <v>53</v>
      </c>
      <c r="C11" s="2">
        <v>-200</v>
      </c>
      <c r="D11" s="2">
        <v>0</v>
      </c>
      <c r="E11" s="2">
        <v>0.54662159786949704</v>
      </c>
      <c r="F11" s="2">
        <v>0.54662159786949704</v>
      </c>
      <c r="G11" s="2">
        <v>4.63679339383231E-2</v>
      </c>
      <c r="H11" s="2">
        <v>7.0095480037455603E-3</v>
      </c>
      <c r="I11" s="2">
        <v>2.1767076002008798E-3</v>
      </c>
      <c r="J11" s="2">
        <v>0.491062550943694</v>
      </c>
      <c r="K11" s="3">
        <v>4.8573835333944901E-6</v>
      </c>
      <c r="L11" s="2">
        <v>0</v>
      </c>
      <c r="M11" s="2">
        <v>0</v>
      </c>
      <c r="N11" s="2">
        <v>100</v>
      </c>
      <c r="O11" s="2">
        <v>100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-207.20459285984401</v>
      </c>
      <c r="V11" s="2">
        <v>0</v>
      </c>
      <c r="W11" s="2">
        <v>100</v>
      </c>
      <c r="X11" s="2">
        <v>69.034099070848399</v>
      </c>
      <c r="Y11" s="2">
        <v>93.667049464276602</v>
      </c>
      <c r="Z11" s="2">
        <v>49.998468904423603</v>
      </c>
      <c r="AA11" s="2">
        <v>310.00153109557601</v>
      </c>
      <c r="AB11" s="2">
        <v>2.5</v>
      </c>
      <c r="AC11" s="2">
        <v>647</v>
      </c>
      <c r="AD11" s="2">
        <v>0</v>
      </c>
      <c r="AE11" s="2">
        <v>0</v>
      </c>
      <c r="AF11" s="2">
        <v>168.031419440147</v>
      </c>
      <c r="AG11" s="2">
        <v>111.599770264516</v>
      </c>
      <c r="AH11" s="2">
        <v>24.7665912739647</v>
      </c>
      <c r="AI11" s="2">
        <v>-110.7</v>
      </c>
      <c r="AJ11" s="2">
        <v>281105.90000000002</v>
      </c>
      <c r="AK11" s="2">
        <v>0</v>
      </c>
      <c r="AL11" s="2">
        <v>3</v>
      </c>
      <c r="AM11" s="2">
        <f t="shared" si="3"/>
        <v>0</v>
      </c>
      <c r="AN11" s="3">
        <f t="shared" si="4"/>
        <v>0.54661674048596365</v>
      </c>
      <c r="AO11" s="3">
        <f t="shared" si="5"/>
        <v>0</v>
      </c>
    </row>
    <row r="12" spans="1:41" x14ac:dyDescent="0.25">
      <c r="A12" s="2">
        <v>11</v>
      </c>
      <c r="B12" s="2" t="s">
        <v>53</v>
      </c>
      <c r="C12" s="2">
        <v>-175</v>
      </c>
      <c r="D12" s="2">
        <v>2.3397505093422301E-3</v>
      </c>
      <c r="E12" s="2">
        <v>0.53163724834970405</v>
      </c>
      <c r="F12" s="2">
        <v>0.52929749784036095</v>
      </c>
      <c r="G12" s="2">
        <v>4.7318698607130602E-2</v>
      </c>
      <c r="H12" s="2">
        <v>6.2325637358933298E-3</v>
      </c>
      <c r="I12" s="2">
        <v>4.8815659202433E-3</v>
      </c>
      <c r="J12" s="2">
        <v>0.47319774224640199</v>
      </c>
      <c r="K12" s="3">
        <v>6.6778400339896399E-6</v>
      </c>
      <c r="L12" s="2">
        <v>0</v>
      </c>
      <c r="M12" s="2">
        <v>0</v>
      </c>
      <c r="N12" s="2">
        <v>100</v>
      </c>
      <c r="O12" s="2">
        <v>100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-183.96153218038799</v>
      </c>
      <c r="V12" s="2">
        <v>0</v>
      </c>
      <c r="W12" s="2">
        <v>100</v>
      </c>
      <c r="X12" s="2">
        <v>68.390011310727502</v>
      </c>
      <c r="Y12" s="2">
        <v>159.20792804803099</v>
      </c>
      <c r="Z12" s="2">
        <v>52.013446988044201</v>
      </c>
      <c r="AA12" s="2">
        <v>307.81968364272302</v>
      </c>
      <c r="AB12" s="2">
        <v>2.6026705653169002</v>
      </c>
      <c r="AC12" s="2">
        <v>662.48785739729396</v>
      </c>
      <c r="AD12" s="2">
        <v>0</v>
      </c>
      <c r="AE12" s="2">
        <v>0</v>
      </c>
      <c r="AF12" s="2">
        <v>172.31630140471501</v>
      </c>
      <c r="AG12" s="2">
        <v>111.973304065706</v>
      </c>
      <c r="AH12" s="2">
        <v>24.184242486508399</v>
      </c>
      <c r="AI12" s="2">
        <v>-117.060988131494</v>
      </c>
      <c r="AJ12" s="2">
        <v>1585574.4</v>
      </c>
      <c r="AK12" s="3">
        <v>7.9373570137443306E-5</v>
      </c>
      <c r="AL12" s="2">
        <v>11</v>
      </c>
      <c r="AM12" s="2">
        <f t="shared" si="3"/>
        <v>4.4010281758948026E-3</v>
      </c>
      <c r="AN12" s="3">
        <f t="shared" si="4"/>
        <v>0.53163057050967011</v>
      </c>
      <c r="AO12" s="3">
        <f t="shared" si="5"/>
        <v>4.4010834574451383E-3</v>
      </c>
    </row>
    <row r="13" spans="1:41" x14ac:dyDescent="0.25">
      <c r="A13" s="2">
        <v>12</v>
      </c>
      <c r="B13" s="2" t="s">
        <v>53</v>
      </c>
      <c r="C13" s="2">
        <v>-150</v>
      </c>
      <c r="D13" s="2">
        <v>2.7619374946561002</v>
      </c>
      <c r="E13" s="2">
        <v>0.51314540618775695</v>
      </c>
      <c r="F13" s="2">
        <v>-2.2487920884683401</v>
      </c>
      <c r="G13" s="2">
        <v>5.0308018290137299E-2</v>
      </c>
      <c r="H13" s="2">
        <v>1.417541596286E-2</v>
      </c>
      <c r="I13" s="2">
        <v>7.5211950238489303E-3</v>
      </c>
      <c r="J13" s="2">
        <v>0.44113408772510099</v>
      </c>
      <c r="K13" s="3">
        <v>6.6891858098588498E-6</v>
      </c>
      <c r="L13" s="2">
        <v>0</v>
      </c>
      <c r="M13" s="2">
        <v>0</v>
      </c>
      <c r="N13" s="2">
        <v>100</v>
      </c>
      <c r="O13" s="2">
        <v>84.260736214320602</v>
      </c>
      <c r="P13" s="2">
        <v>6.9935208519105299</v>
      </c>
      <c r="Q13" s="2">
        <v>8.7457429337688808</v>
      </c>
      <c r="R13" s="2">
        <v>0</v>
      </c>
      <c r="S13" s="2">
        <v>6.9935208519105299</v>
      </c>
      <c r="T13" s="2">
        <v>0.39590364888743801</v>
      </c>
      <c r="U13" s="2">
        <v>-160.02664226682799</v>
      </c>
      <c r="V13" s="2">
        <v>0</v>
      </c>
      <c r="W13" s="2">
        <v>100</v>
      </c>
      <c r="X13" s="2">
        <v>64.117356688576805</v>
      </c>
      <c r="Y13" s="2">
        <v>164.52445532995401</v>
      </c>
      <c r="Z13" s="2">
        <v>54.006180146076602</v>
      </c>
      <c r="AA13" s="2">
        <v>301.460093274158</v>
      </c>
      <c r="AB13" s="2">
        <v>2.6469374153891598</v>
      </c>
      <c r="AC13" s="2">
        <v>707.17117496108995</v>
      </c>
      <c r="AD13" s="2">
        <v>3.33930665671696</v>
      </c>
      <c r="AE13" s="2">
        <v>0</v>
      </c>
      <c r="AF13" s="2">
        <v>173.41879614111201</v>
      </c>
      <c r="AG13" s="2">
        <v>112.059324805868</v>
      </c>
      <c r="AH13" s="2">
        <v>25.248438798041899</v>
      </c>
      <c r="AI13" s="2">
        <v>-119.448304295412</v>
      </c>
      <c r="AJ13" s="2">
        <v>16188085</v>
      </c>
      <c r="AK13" s="2">
        <v>0.10842115578772001</v>
      </c>
      <c r="AL13" s="2">
        <v>108</v>
      </c>
      <c r="AM13" s="2">
        <f t="shared" si="3"/>
        <v>5.3823681579359652</v>
      </c>
      <c r="AN13" s="3">
        <f t="shared" si="4"/>
        <v>0.51313871700194713</v>
      </c>
      <c r="AO13" s="3">
        <f t="shared" si="5"/>
        <v>5.382438321537955</v>
      </c>
    </row>
    <row r="14" spans="1:41" x14ac:dyDescent="0.25">
      <c r="A14" s="2">
        <v>13</v>
      </c>
      <c r="B14" s="2" t="s">
        <v>53</v>
      </c>
      <c r="C14" s="2">
        <v>-125</v>
      </c>
      <c r="D14" s="2">
        <v>0.42010075971570798</v>
      </c>
      <c r="E14" s="2">
        <v>0.44613158885687398</v>
      </c>
      <c r="F14" s="2">
        <v>2.6030829141165699E-2</v>
      </c>
      <c r="G14" s="2">
        <v>5.0641550726097398E-2</v>
      </c>
      <c r="H14" s="2">
        <v>8.3771088428626298E-3</v>
      </c>
      <c r="I14" s="2">
        <v>6.8639275671438099E-3</v>
      </c>
      <c r="J14" s="2">
        <v>0.38024123162252899</v>
      </c>
      <c r="K14" s="3">
        <v>7.7700982415434608E-6</v>
      </c>
      <c r="L14" s="2">
        <v>0</v>
      </c>
      <c r="M14" s="2">
        <v>1.8002343823662199</v>
      </c>
      <c r="N14" s="2">
        <v>98.199765617633801</v>
      </c>
      <c r="O14" s="2">
        <v>52.414486398089998</v>
      </c>
      <c r="P14" s="2">
        <v>31.305261720978098</v>
      </c>
      <c r="Q14" s="2">
        <v>16.2802518809319</v>
      </c>
      <c r="R14" s="2">
        <v>0</v>
      </c>
      <c r="S14" s="2">
        <v>31.305261720978098</v>
      </c>
      <c r="T14" s="2">
        <v>0.23159549875616001</v>
      </c>
      <c r="U14" s="2">
        <v>-134.17945218722701</v>
      </c>
      <c r="V14" s="2">
        <v>0</v>
      </c>
      <c r="W14" s="2">
        <v>100</v>
      </c>
      <c r="X14" s="2">
        <v>57.716260569905899</v>
      </c>
      <c r="Y14" s="2">
        <v>223.90339509509499</v>
      </c>
      <c r="Z14" s="2">
        <v>53.641496241780096</v>
      </c>
      <c r="AA14" s="2">
        <v>300.66031073911603</v>
      </c>
      <c r="AB14" s="2">
        <v>2.7624054516849501</v>
      </c>
      <c r="AC14" s="2">
        <v>742.79950031711996</v>
      </c>
      <c r="AD14" s="2">
        <v>2.3964255311754399</v>
      </c>
      <c r="AE14" s="2">
        <v>0</v>
      </c>
      <c r="AF14" s="2">
        <v>172.66913570457999</v>
      </c>
      <c r="AG14" s="2">
        <v>112.011721799873</v>
      </c>
      <c r="AH14" s="2">
        <v>26.256009009651802</v>
      </c>
      <c r="AI14" s="2">
        <v>-98.759517388581003</v>
      </c>
      <c r="AJ14" s="2">
        <v>130136837.90000001</v>
      </c>
      <c r="AK14" s="2">
        <v>4.3785394796478298E-2</v>
      </c>
      <c r="AL14" s="2">
        <v>640</v>
      </c>
      <c r="AM14" s="2">
        <f t="shared" si="3"/>
        <v>0.94165212732892334</v>
      </c>
      <c r="AN14" s="3">
        <f t="shared" si="4"/>
        <v>0.44612381875863244</v>
      </c>
      <c r="AO14" s="3">
        <f t="shared" si="5"/>
        <v>0.94166852799894152</v>
      </c>
    </row>
    <row r="15" spans="1:41" x14ac:dyDescent="0.25">
      <c r="A15" s="2">
        <v>14</v>
      </c>
      <c r="B15" s="2" t="s">
        <v>53</v>
      </c>
      <c r="C15" s="2">
        <v>-100</v>
      </c>
      <c r="D15" s="2">
        <v>0.35627639112521298</v>
      </c>
      <c r="E15" s="2">
        <v>0.41569606420905802</v>
      </c>
      <c r="F15" s="2">
        <v>5.94196730838445E-2</v>
      </c>
      <c r="G15" s="2">
        <v>5.13079479845963E-2</v>
      </c>
      <c r="H15" s="2">
        <v>6.4677708743867898E-3</v>
      </c>
      <c r="I15" s="2">
        <v>4.6402046550213204E-3</v>
      </c>
      <c r="J15" s="2">
        <v>0.35327190832935401</v>
      </c>
      <c r="K15" s="3">
        <v>8.2323656996355808E-6</v>
      </c>
      <c r="L15" s="2">
        <v>0</v>
      </c>
      <c r="M15" s="2">
        <v>4.2283826071763997</v>
      </c>
      <c r="N15" s="2">
        <v>95.7716173928236</v>
      </c>
      <c r="O15" s="2">
        <v>24.8806277979436</v>
      </c>
      <c r="P15" s="2">
        <v>53.405918429938303</v>
      </c>
      <c r="Q15" s="2">
        <v>21.7134537721181</v>
      </c>
      <c r="R15" s="2">
        <v>0</v>
      </c>
      <c r="S15" s="2">
        <v>53.405918429938303</v>
      </c>
      <c r="T15" s="2">
        <v>0.21235533046213001</v>
      </c>
      <c r="U15" s="2">
        <v>-108.501813710251</v>
      </c>
      <c r="V15" s="2">
        <v>0.16988459225629199</v>
      </c>
      <c r="W15" s="2">
        <v>100</v>
      </c>
      <c r="X15" s="2">
        <v>48.675099654722501</v>
      </c>
      <c r="Y15" s="2">
        <v>249.51201612122901</v>
      </c>
      <c r="Z15" s="2">
        <v>53.909321907825799</v>
      </c>
      <c r="AA15" s="2">
        <v>298.85339628524798</v>
      </c>
      <c r="AB15" s="2">
        <v>2.9433699535060698</v>
      </c>
      <c r="AC15" s="2">
        <v>768.76481705778497</v>
      </c>
      <c r="AD15" s="2">
        <v>2.5574418157471199</v>
      </c>
      <c r="AE15" s="2">
        <v>0</v>
      </c>
      <c r="AF15" s="2">
        <v>171.436778952265</v>
      </c>
      <c r="AG15" s="2">
        <v>111.89304738683499</v>
      </c>
      <c r="AH15" s="2">
        <v>25.1921334084062</v>
      </c>
      <c r="AI15" s="2">
        <v>-68.106973454451705</v>
      </c>
      <c r="AJ15" s="2">
        <v>2152683355.6999998</v>
      </c>
      <c r="AK15" s="2">
        <v>5.5760612727624503E-2</v>
      </c>
      <c r="AL15" s="2">
        <v>4543</v>
      </c>
      <c r="AM15" s="2">
        <f t="shared" si="3"/>
        <v>0.85705981316685675</v>
      </c>
      <c r="AN15" s="3">
        <f t="shared" si="4"/>
        <v>0.41568783184335839</v>
      </c>
      <c r="AO15" s="3">
        <f t="shared" si="5"/>
        <v>0.85707678655233499</v>
      </c>
    </row>
    <row r="16" spans="1:41" x14ac:dyDescent="0.25">
      <c r="A16" s="2">
        <v>15</v>
      </c>
      <c r="B16" s="2" t="s">
        <v>53</v>
      </c>
      <c r="C16" s="2">
        <v>-75</v>
      </c>
      <c r="D16" s="2">
        <v>0.44288862970042697</v>
      </c>
      <c r="E16" s="2">
        <v>0.44257655796834</v>
      </c>
      <c r="F16" s="2">
        <v>-3.12071732086601E-4</v>
      </c>
      <c r="G16" s="2">
        <v>5.1844885104207199E-2</v>
      </c>
      <c r="H16" s="2">
        <v>7.1200279760567104E-3</v>
      </c>
      <c r="I16" s="2">
        <v>4.9831115896346303E-3</v>
      </c>
      <c r="J16" s="2">
        <v>0.37834327989268801</v>
      </c>
      <c r="K16" s="2">
        <v>2.85253405753562E-4</v>
      </c>
      <c r="L16" s="2">
        <v>0</v>
      </c>
      <c r="M16" s="2">
        <v>4.5755742420627801</v>
      </c>
      <c r="N16" s="2">
        <v>95.4244257579372</v>
      </c>
      <c r="O16" s="2">
        <v>28.093554199120302</v>
      </c>
      <c r="P16" s="2">
        <v>53.9671061189797</v>
      </c>
      <c r="Q16" s="2">
        <v>17.939339681900002</v>
      </c>
      <c r="R16" s="2">
        <v>0</v>
      </c>
      <c r="S16" s="2">
        <v>53.9671061189797</v>
      </c>
      <c r="T16" s="2">
        <v>0.25634739222765102</v>
      </c>
      <c r="U16" s="2">
        <v>-83.176029881477206</v>
      </c>
      <c r="V16" s="2">
        <v>0.335628226274999</v>
      </c>
      <c r="W16" s="2">
        <v>99.990183560197707</v>
      </c>
      <c r="X16" s="2">
        <v>46.387368272723101</v>
      </c>
      <c r="Y16" s="2">
        <v>273.39750671315102</v>
      </c>
      <c r="Z16" s="2">
        <v>53.682849561808197</v>
      </c>
      <c r="AA16" s="2">
        <v>297.54672679230299</v>
      </c>
      <c r="AB16" s="2">
        <v>3.1851503846433</v>
      </c>
      <c r="AC16" s="2">
        <v>771.60763685872496</v>
      </c>
      <c r="AD16" s="2">
        <v>1.96977754550555</v>
      </c>
      <c r="AE16" s="2">
        <v>0</v>
      </c>
      <c r="AF16" s="2">
        <v>171.61721296232699</v>
      </c>
      <c r="AG16" s="2">
        <v>111.88891480847499</v>
      </c>
      <c r="AH16" s="2">
        <v>24.9054505202092</v>
      </c>
      <c r="AI16" s="2">
        <v>-43.218011258990003</v>
      </c>
      <c r="AJ16" s="2">
        <v>34321311951.700001</v>
      </c>
      <c r="AK16" s="2">
        <v>4.9884361346705403E-2</v>
      </c>
      <c r="AL16" s="2">
        <v>17384</v>
      </c>
      <c r="AM16" s="2">
        <f t="shared" si="3"/>
        <v>1.0007051248568599</v>
      </c>
      <c r="AN16" s="3">
        <f t="shared" si="4"/>
        <v>0.44229130456258642</v>
      </c>
      <c r="AO16" s="3">
        <f t="shared" si="5"/>
        <v>1.0013505242623553</v>
      </c>
    </row>
    <row r="17" spans="1:41" x14ac:dyDescent="0.25">
      <c r="A17" s="2">
        <v>16</v>
      </c>
      <c r="B17" s="2" t="s">
        <v>53</v>
      </c>
      <c r="C17" s="2">
        <v>-50</v>
      </c>
      <c r="D17" s="2">
        <v>0.563788676811944</v>
      </c>
      <c r="E17" s="2">
        <v>0.53878186930758798</v>
      </c>
      <c r="F17" s="2">
        <v>-2.5006807504355799E-2</v>
      </c>
      <c r="G17" s="2">
        <v>5.2332975306470901E-2</v>
      </c>
      <c r="H17" s="2">
        <v>7.9936930176824697E-3</v>
      </c>
      <c r="I17" s="2">
        <v>6.4475184044759503E-3</v>
      </c>
      <c r="J17" s="2">
        <v>0.43826518318341101</v>
      </c>
      <c r="K17" s="2">
        <v>3.3742499395547597E-2</v>
      </c>
      <c r="L17" s="2">
        <v>0</v>
      </c>
      <c r="M17" s="2">
        <v>4.7993707766687903</v>
      </c>
      <c r="N17" s="2">
        <v>95.200629223331205</v>
      </c>
      <c r="O17" s="2">
        <v>27.141721197903401</v>
      </c>
      <c r="P17" s="2">
        <v>54.519918815188603</v>
      </c>
      <c r="Q17" s="2">
        <v>18.338359986907999</v>
      </c>
      <c r="R17" s="2">
        <v>0</v>
      </c>
      <c r="S17" s="2">
        <v>54.519918815188603</v>
      </c>
      <c r="T17" s="2">
        <v>0.29739653274604</v>
      </c>
      <c r="U17" s="2">
        <v>-59.8999688004739</v>
      </c>
      <c r="V17" s="2">
        <v>41.581202249707601</v>
      </c>
      <c r="W17" s="2">
        <v>99.997494284030694</v>
      </c>
      <c r="X17" s="2">
        <v>45.197320994851502</v>
      </c>
      <c r="Y17" s="2">
        <v>272.44985203823899</v>
      </c>
      <c r="Z17" s="2">
        <v>54.466631722000997</v>
      </c>
      <c r="AA17" s="2">
        <v>296.40402753361201</v>
      </c>
      <c r="AB17" s="2">
        <v>3.36059701348896</v>
      </c>
      <c r="AC17" s="2">
        <v>771.43809314965802</v>
      </c>
      <c r="AD17" s="2">
        <v>2.6926332802577599</v>
      </c>
      <c r="AE17" s="2">
        <v>0</v>
      </c>
      <c r="AF17" s="2">
        <v>172.160527989511</v>
      </c>
      <c r="AG17" s="2">
        <v>112.008437846151</v>
      </c>
      <c r="AH17" s="2">
        <v>26.263660540696801</v>
      </c>
      <c r="AI17" s="2">
        <v>-29.1736800045751</v>
      </c>
      <c r="AJ17" s="2">
        <v>260221442336</v>
      </c>
      <c r="AK17" s="2">
        <v>5.34628721142313E-2</v>
      </c>
      <c r="AL17" s="2">
        <v>55025</v>
      </c>
      <c r="AM17" s="2">
        <f t="shared" si="3"/>
        <v>1.0464136024779256</v>
      </c>
      <c r="AN17" s="3">
        <f t="shared" si="4"/>
        <v>0.50503936991204035</v>
      </c>
      <c r="AO17" s="3">
        <f t="shared" si="5"/>
        <v>1.1163261923721624</v>
      </c>
    </row>
    <row r="18" spans="1:41" x14ac:dyDescent="0.25">
      <c r="A18" s="2">
        <v>17</v>
      </c>
      <c r="B18" s="2" t="s">
        <v>53</v>
      </c>
      <c r="C18" s="2">
        <v>-25</v>
      </c>
      <c r="D18" s="2">
        <v>0.66677998870274302</v>
      </c>
      <c r="E18" s="2">
        <v>0.68345589373306703</v>
      </c>
      <c r="F18" s="2">
        <v>1.6675905030324002E-2</v>
      </c>
      <c r="G18" s="2">
        <v>5.2788080159659599E-2</v>
      </c>
      <c r="H18" s="2">
        <v>8.6459012037384594E-3</v>
      </c>
      <c r="I18" s="2">
        <v>9.8015216931711599E-3</v>
      </c>
      <c r="J18" s="2">
        <v>0.51357040240793295</v>
      </c>
      <c r="K18" s="2">
        <v>9.8649988268565303E-2</v>
      </c>
      <c r="L18" s="2">
        <v>0</v>
      </c>
      <c r="M18" s="2">
        <v>5.0478906403835797</v>
      </c>
      <c r="N18" s="2">
        <v>94.952109359616401</v>
      </c>
      <c r="O18" s="2">
        <v>27.4824287087249</v>
      </c>
      <c r="P18" s="2">
        <v>53.406566171786402</v>
      </c>
      <c r="Q18" s="2">
        <v>19.111005119488699</v>
      </c>
      <c r="R18" s="2">
        <v>0</v>
      </c>
      <c r="S18" s="2">
        <v>53.406566171786402</v>
      </c>
      <c r="T18" s="2">
        <v>0.32268218887616901</v>
      </c>
      <c r="U18" s="2">
        <v>-36.483668743503898</v>
      </c>
      <c r="V18" s="2">
        <v>166.860588893867</v>
      </c>
      <c r="W18" s="2">
        <v>99.995009329474598</v>
      </c>
      <c r="X18" s="2">
        <v>45.060800497328003</v>
      </c>
      <c r="Y18" s="2">
        <v>268.93670802914602</v>
      </c>
      <c r="Z18" s="2">
        <v>55.5340059722962</v>
      </c>
      <c r="AA18" s="2">
        <v>295.35338932045602</v>
      </c>
      <c r="AB18" s="2">
        <v>3.5131137382570699</v>
      </c>
      <c r="AC18" s="2">
        <v>768.73471540333298</v>
      </c>
      <c r="AD18" s="2">
        <v>5.1253192818658997</v>
      </c>
      <c r="AE18" s="2">
        <v>0</v>
      </c>
      <c r="AF18" s="2">
        <v>173.09215002550599</v>
      </c>
      <c r="AG18" s="2">
        <v>112.20480311222001</v>
      </c>
      <c r="AH18" s="2">
        <v>29.4387750513194</v>
      </c>
      <c r="AI18" s="2">
        <v>-19.672599547927099</v>
      </c>
      <c r="AJ18" s="2">
        <v>617674846861</v>
      </c>
      <c r="AK18" s="2">
        <v>5.79523230314994E-2</v>
      </c>
      <c r="AL18" s="2">
        <v>125129</v>
      </c>
      <c r="AM18" s="2">
        <f t="shared" si="3"/>
        <v>0.97560061273414522</v>
      </c>
      <c r="AN18" s="3">
        <f t="shared" si="4"/>
        <v>0.58480590546450173</v>
      </c>
      <c r="AO18" s="3">
        <f t="shared" si="5"/>
        <v>1.1401731454355453</v>
      </c>
    </row>
    <row r="19" spans="1:41" x14ac:dyDescent="0.25">
      <c r="A19" s="2">
        <v>18</v>
      </c>
      <c r="B19" s="2" t="s">
        <v>53</v>
      </c>
      <c r="C19" s="2">
        <v>0</v>
      </c>
      <c r="D19" s="2">
        <v>0.75570262539209498</v>
      </c>
      <c r="E19" s="2">
        <v>0.77748190594137301</v>
      </c>
      <c r="F19" s="2">
        <v>2.1779280549277202E-2</v>
      </c>
      <c r="G19" s="2">
        <v>5.38664879421158E-2</v>
      </c>
      <c r="H19" s="2">
        <v>1.09456219998813E-2</v>
      </c>
      <c r="I19" s="2">
        <v>1.4464581696229901E-2</v>
      </c>
      <c r="J19" s="2">
        <v>0.54651441247948396</v>
      </c>
      <c r="K19" s="2">
        <v>0.15169080182366201</v>
      </c>
      <c r="L19" s="2">
        <v>0</v>
      </c>
      <c r="M19" s="2">
        <v>5.2057171658500501</v>
      </c>
      <c r="N19" s="2">
        <v>94.794282834149996</v>
      </c>
      <c r="O19" s="2">
        <v>25.742692359250199</v>
      </c>
      <c r="P19" s="2">
        <v>53.464033384996398</v>
      </c>
      <c r="Q19" s="2">
        <v>20.7932742557533</v>
      </c>
      <c r="R19" s="2">
        <v>0</v>
      </c>
      <c r="S19" s="2">
        <v>53.464033384996398</v>
      </c>
      <c r="T19" s="2">
        <v>0.398318262246729</v>
      </c>
      <c r="U19" s="2">
        <v>-13.8830484663752</v>
      </c>
      <c r="V19" s="2">
        <v>553.91084360051298</v>
      </c>
      <c r="W19" s="2">
        <v>99.989464264782498</v>
      </c>
      <c r="X19" s="2">
        <v>45.340135419012697</v>
      </c>
      <c r="Y19" s="2">
        <v>244.109348692818</v>
      </c>
      <c r="Z19" s="2">
        <v>57.290332745557997</v>
      </c>
      <c r="AA19" s="2">
        <v>292.97319035245499</v>
      </c>
      <c r="AB19" s="2">
        <v>3.7126430689692498</v>
      </c>
      <c r="AC19" s="2">
        <v>765.18757081032697</v>
      </c>
      <c r="AD19" s="2">
        <v>9.6206807061833199</v>
      </c>
      <c r="AE19" s="2">
        <v>0</v>
      </c>
      <c r="AF19" s="2">
        <v>171.859749569862</v>
      </c>
      <c r="AG19" s="2">
        <v>112.12034356234901</v>
      </c>
      <c r="AH19" s="2">
        <v>30.987181576777999</v>
      </c>
      <c r="AI19" s="2">
        <v>-12.5191692708144</v>
      </c>
      <c r="AJ19" s="2">
        <v>670102978462.59998</v>
      </c>
      <c r="AK19" s="2">
        <v>6.26249026272922E-2</v>
      </c>
      <c r="AL19" s="2">
        <v>208848</v>
      </c>
      <c r="AM19" s="2">
        <f t="shared" si="3"/>
        <v>0.97198741169042679</v>
      </c>
      <c r="AN19" s="3">
        <f t="shared" si="4"/>
        <v>0.62579110411771099</v>
      </c>
      <c r="AO19" s="3">
        <f t="shared" si="5"/>
        <v>1.2075956663806262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0"/>
  <sheetViews>
    <sheetView workbookViewId="0">
      <selection activeCell="A3" sqref="A3:M13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6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bestFit="1" customWidth="1"/>
    <col min="20" max="20" width="15.28515625" bestFit="1" customWidth="1"/>
    <col min="21" max="21" width="11.7109375" bestFit="1" customWidth="1"/>
    <col min="22" max="22" width="12.140625" bestFit="1" customWidth="1"/>
    <col min="23" max="23" width="15" bestFit="1" customWidth="1"/>
    <col min="24" max="24" width="6.140625" customWidth="1"/>
    <col min="25" max="25" width="13.85546875" bestFit="1" customWidth="1"/>
    <col min="26" max="26" width="16.28515625" bestFit="1" customWidth="1"/>
    <col min="27" max="27" width="11.7109375" bestFit="1" customWidth="1"/>
    <col min="28" max="28" width="12.140625" bestFit="1" customWidth="1"/>
    <col min="29" max="29" width="15" bestFit="1" customWidth="1"/>
    <col min="30" max="30" width="6.140625" customWidth="1"/>
    <col min="31" max="31" width="13.85546875" bestFit="1" customWidth="1"/>
    <col min="32" max="32" width="16.28515625" bestFit="1" customWidth="1"/>
    <col min="33" max="33" width="11.7109375" bestFit="1" customWidth="1"/>
    <col min="34" max="34" width="12.140625" bestFit="1" customWidth="1"/>
    <col min="35" max="35" width="15" bestFit="1" customWidth="1"/>
    <col min="36" max="36" width="6.140625" customWidth="1"/>
    <col min="37" max="37" width="13.85546875" bestFit="1" customWidth="1"/>
  </cols>
  <sheetData>
    <row r="2" spans="1:19" x14ac:dyDescent="0.25">
      <c r="B2" s="4" t="s">
        <v>35</v>
      </c>
      <c r="E2" s="7"/>
      <c r="J2" s="7"/>
    </row>
    <row r="3" spans="1:19" x14ac:dyDescent="0.25">
      <c r="B3" s="2" t="s">
        <v>52</v>
      </c>
      <c r="H3" s="2" t="s">
        <v>53</v>
      </c>
    </row>
    <row r="4" spans="1:19" x14ac:dyDescent="0.25">
      <c r="A4" s="4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9" x14ac:dyDescent="0.25">
      <c r="A5" s="5">
        <v>-200</v>
      </c>
      <c r="B5" s="6">
        <v>444369.4</v>
      </c>
      <c r="C5" s="8">
        <v>1.0589442027286301E-4</v>
      </c>
      <c r="D5" s="8">
        <v>0.40953782718864401</v>
      </c>
      <c r="E5" s="8">
        <v>0.40953198891773562</v>
      </c>
      <c r="F5" s="8">
        <v>2.5857054768248602E-4</v>
      </c>
      <c r="G5" s="8">
        <v>2.5857423385340102E-4</v>
      </c>
      <c r="H5" s="6">
        <v>281105.90000000002</v>
      </c>
      <c r="I5" s="8">
        <v>0</v>
      </c>
      <c r="J5" s="8">
        <v>0.54662159786949704</v>
      </c>
      <c r="K5" s="8">
        <v>0.54661674048596365</v>
      </c>
      <c r="L5" s="8">
        <v>0</v>
      </c>
      <c r="M5" s="8">
        <v>0</v>
      </c>
    </row>
    <row r="6" spans="1:19" x14ac:dyDescent="0.25">
      <c r="A6" s="5">
        <v>-175</v>
      </c>
      <c r="B6" s="6">
        <v>3732890.4</v>
      </c>
      <c r="C6" s="8">
        <v>9.8434499978890293E-5</v>
      </c>
      <c r="D6" s="8">
        <v>0.42612814070930399</v>
      </c>
      <c r="E6" s="8">
        <v>0.42612277695448014</v>
      </c>
      <c r="F6" s="8">
        <v>2.3099741738492768E-4</v>
      </c>
      <c r="G6" s="8">
        <v>2.3100032502934101E-4</v>
      </c>
      <c r="H6" s="6">
        <v>1585574.4</v>
      </c>
      <c r="I6" s="8">
        <v>2.3397505093422301E-3</v>
      </c>
      <c r="J6" s="8">
        <v>0.53163724834970405</v>
      </c>
      <c r="K6" s="8">
        <v>0.53163057050967011</v>
      </c>
      <c r="L6" s="8">
        <v>4.4010281758948026E-3</v>
      </c>
      <c r="M6" s="8">
        <v>4.4010834574451383E-3</v>
      </c>
    </row>
    <row r="7" spans="1:19" x14ac:dyDescent="0.25">
      <c r="A7" s="5">
        <v>-150</v>
      </c>
      <c r="B7" s="6">
        <v>21542623.699999999</v>
      </c>
      <c r="C7" s="8">
        <v>0.11712139296849</v>
      </c>
      <c r="D7" s="8">
        <v>0.46692873463214701</v>
      </c>
      <c r="E7" s="8">
        <v>0.46692217921745527</v>
      </c>
      <c r="F7" s="8">
        <v>0.25083355184974826</v>
      </c>
      <c r="G7" s="8">
        <v>0.25083707346003831</v>
      </c>
      <c r="H7" s="6">
        <v>16188085</v>
      </c>
      <c r="I7" s="8">
        <v>2.7619374946561002</v>
      </c>
      <c r="J7" s="8">
        <v>0.51314540618775695</v>
      </c>
      <c r="K7" s="8">
        <v>0.51313871700194713</v>
      </c>
      <c r="L7" s="8">
        <v>5.3823681579359652</v>
      </c>
      <c r="M7" s="8">
        <v>5.382438321537955</v>
      </c>
    </row>
    <row r="8" spans="1:19" x14ac:dyDescent="0.25">
      <c r="A8" s="5">
        <v>-125</v>
      </c>
      <c r="B8" s="6">
        <v>392847984.69999999</v>
      </c>
      <c r="C8" s="8">
        <v>0.35779825300903501</v>
      </c>
      <c r="D8" s="8">
        <v>0.48527707765671402</v>
      </c>
      <c r="E8" s="8">
        <v>0.48526899087593678</v>
      </c>
      <c r="F8" s="8">
        <v>0.73730713747444343</v>
      </c>
      <c r="G8" s="8">
        <v>0.73731942435305786</v>
      </c>
      <c r="H8" s="6">
        <v>130136837.90000001</v>
      </c>
      <c r="I8" s="8">
        <v>0.42010075971570798</v>
      </c>
      <c r="J8" s="8">
        <v>0.44613158885687398</v>
      </c>
      <c r="K8" s="8">
        <v>0.44612381875863244</v>
      </c>
      <c r="L8" s="8">
        <v>0.94165212732892334</v>
      </c>
      <c r="M8" s="8">
        <v>0.94166852799894152</v>
      </c>
    </row>
    <row r="9" spans="1:19" x14ac:dyDescent="0.25">
      <c r="A9" s="5">
        <v>-100</v>
      </c>
      <c r="B9" s="6">
        <v>4038866629.6999998</v>
      </c>
      <c r="C9" s="8">
        <v>0.55567064544984002</v>
      </c>
      <c r="D9" s="8">
        <v>0.52386667073006898</v>
      </c>
      <c r="E9" s="8">
        <v>0.52385853979159647</v>
      </c>
      <c r="F9" s="8">
        <v>1.0607100556243605</v>
      </c>
      <c r="G9" s="8">
        <v>1.0607265191685129</v>
      </c>
      <c r="H9" s="6">
        <v>2152683355.6999998</v>
      </c>
      <c r="I9" s="8">
        <v>0.35627639112521298</v>
      </c>
      <c r="J9" s="8">
        <v>0.41569606420905802</v>
      </c>
      <c r="K9" s="8">
        <v>0.41568783184335839</v>
      </c>
      <c r="L9" s="8">
        <v>0.85705981316685675</v>
      </c>
      <c r="M9" s="8">
        <v>0.85707678655233499</v>
      </c>
    </row>
    <row r="10" spans="1:19" x14ac:dyDescent="0.25">
      <c r="A10" s="5">
        <v>-75</v>
      </c>
      <c r="B10" s="6">
        <v>17336732768</v>
      </c>
      <c r="C10" s="8">
        <v>0.62913823777413702</v>
      </c>
      <c r="D10" s="8">
        <v>0.58311060822857097</v>
      </c>
      <c r="E10" s="8">
        <v>0.58289073557240434</v>
      </c>
      <c r="F10" s="8">
        <v>1.0789346461821252</v>
      </c>
      <c r="G10" s="8">
        <v>1.0793416319377889</v>
      </c>
      <c r="H10" s="6">
        <v>34321311951.700001</v>
      </c>
      <c r="I10" s="8">
        <v>0.44288862970042697</v>
      </c>
      <c r="J10" s="8">
        <v>0.44257655796834</v>
      </c>
      <c r="K10" s="8">
        <v>0.44229130456258642</v>
      </c>
      <c r="L10" s="8">
        <v>1.0007051248568599</v>
      </c>
      <c r="M10" s="8">
        <v>1.0013505242623553</v>
      </c>
    </row>
    <row r="11" spans="1:19" x14ac:dyDescent="0.25">
      <c r="A11" s="5">
        <v>-50</v>
      </c>
      <c r="B11" s="6">
        <v>36635175799.199997</v>
      </c>
      <c r="C11" s="8">
        <v>0.67446407519951301</v>
      </c>
      <c r="D11" s="8">
        <v>0.69226407442078897</v>
      </c>
      <c r="E11" s="8">
        <v>0.66909757483217791</v>
      </c>
      <c r="F11" s="8">
        <v>0.97428727001878723</v>
      </c>
      <c r="G11" s="8">
        <v>1.0080205048847788</v>
      </c>
      <c r="H11" s="6">
        <v>260221442336</v>
      </c>
      <c r="I11" s="8">
        <v>0.563788676811944</v>
      </c>
      <c r="J11" s="8">
        <v>0.53878186930758798</v>
      </c>
      <c r="K11" s="8">
        <v>0.50503936991204035</v>
      </c>
      <c r="L11" s="8">
        <v>1.0464136024779256</v>
      </c>
      <c r="M11" s="8">
        <v>1.1163261923721624</v>
      </c>
    </row>
    <row r="12" spans="1:19" x14ac:dyDescent="0.25">
      <c r="A12" s="5">
        <v>-25</v>
      </c>
      <c r="B12" s="6">
        <v>46101729398.5</v>
      </c>
      <c r="C12" s="8">
        <v>0.80980119252488503</v>
      </c>
      <c r="D12" s="8">
        <v>0.84624499148221599</v>
      </c>
      <c r="E12" s="8">
        <v>0.76897231938398225</v>
      </c>
      <c r="F12" s="8">
        <v>0.95693469465207837</v>
      </c>
      <c r="G12" s="8">
        <v>1.0530953743219398</v>
      </c>
      <c r="H12" s="6">
        <v>617674846861</v>
      </c>
      <c r="I12" s="8">
        <v>0.66677998870274302</v>
      </c>
      <c r="J12" s="8">
        <v>0.68345589373306703</v>
      </c>
      <c r="K12" s="8">
        <v>0.58480590546450173</v>
      </c>
      <c r="L12" s="8">
        <v>0.97560061273414522</v>
      </c>
      <c r="M12" s="8">
        <v>1.1401731454355453</v>
      </c>
    </row>
    <row r="13" spans="1:19" x14ac:dyDescent="0.25">
      <c r="A13" s="5">
        <v>0</v>
      </c>
      <c r="B13" s="6">
        <v>46163699255.300003</v>
      </c>
      <c r="C13" s="8">
        <v>0.92001746098815396</v>
      </c>
      <c r="D13" s="8">
        <v>0.94555987864524504</v>
      </c>
      <c r="E13" s="8">
        <v>0.81988149877958805</v>
      </c>
      <c r="F13" s="8">
        <v>0.97298699084643159</v>
      </c>
      <c r="G13" s="8">
        <v>1.1221346772156959</v>
      </c>
      <c r="H13" s="6">
        <v>670102978462.59998</v>
      </c>
      <c r="I13" s="8">
        <v>0.75570262539209498</v>
      </c>
      <c r="J13" s="8">
        <v>0.77748190594137301</v>
      </c>
      <c r="K13" s="8">
        <v>0.62579110411771099</v>
      </c>
      <c r="L13" s="8">
        <v>0.97198741169042679</v>
      </c>
      <c r="M13" s="8">
        <v>1.2075956663806262</v>
      </c>
    </row>
    <row r="14" spans="1:19" x14ac:dyDescent="0.25">
      <c r="N14" s="2"/>
      <c r="O14" s="2"/>
      <c r="P14" s="2"/>
      <c r="Q14" s="2"/>
      <c r="R14" s="2"/>
      <c r="S14" s="2"/>
    </row>
    <row r="24" spans="1:3" x14ac:dyDescent="0.25">
      <c r="A24" s="2"/>
      <c r="C24" s="2"/>
    </row>
    <row r="25" spans="1:3" x14ac:dyDescent="0.25">
      <c r="A25" s="2"/>
      <c r="C25" s="2"/>
    </row>
    <row r="26" spans="1:3" x14ac:dyDescent="0.25">
      <c r="A26" s="2"/>
      <c r="C26" s="2"/>
    </row>
    <row r="27" spans="1:3" x14ac:dyDescent="0.25">
      <c r="A27" s="2"/>
      <c r="C27" s="2"/>
    </row>
    <row r="28" spans="1:3" x14ac:dyDescent="0.25">
      <c r="A28" s="2"/>
      <c r="C28" s="2"/>
    </row>
    <row r="29" spans="1:3" x14ac:dyDescent="0.25">
      <c r="A29" s="2"/>
      <c r="C29" s="2"/>
    </row>
    <row r="30" spans="1:3" x14ac:dyDescent="0.25">
      <c r="A30" s="2"/>
      <c r="C3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tabSelected="1" workbookViewId="0">
      <selection activeCell="S20" sqref="S20"/>
    </sheetView>
  </sheetViews>
  <sheetFormatPr defaultRowHeight="15" x14ac:dyDescent="0.25"/>
  <cols>
    <col min="2" max="2" width="16.28515625" bestFit="1" customWidth="1"/>
    <col min="8" max="8" width="15.28515625" bestFit="1" customWidth="1"/>
    <col min="13" max="13" width="9.140625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5" x14ac:dyDescent="0.25">
      <c r="A1" s="1"/>
      <c r="B1" s="1" t="s">
        <v>52</v>
      </c>
      <c r="C1" s="1"/>
      <c r="D1" s="1"/>
      <c r="E1" s="1"/>
      <c r="F1" s="1"/>
      <c r="G1" s="1"/>
      <c r="H1" s="1" t="s">
        <v>53</v>
      </c>
      <c r="I1" s="1"/>
      <c r="J1" s="1"/>
      <c r="K1" s="1"/>
      <c r="L1" s="1"/>
      <c r="M1" s="1"/>
    </row>
    <row r="2" spans="1:35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9" t="s">
        <v>42</v>
      </c>
      <c r="H2" s="9" t="s">
        <v>37</v>
      </c>
      <c r="I2" s="9" t="s">
        <v>38</v>
      </c>
      <c r="J2" s="9" t="s">
        <v>39</v>
      </c>
      <c r="K2" s="9" t="s">
        <v>40</v>
      </c>
      <c r="L2" s="9" t="s">
        <v>41</v>
      </c>
      <c r="M2" s="9" t="s">
        <v>42</v>
      </c>
    </row>
    <row r="3" spans="1:35" x14ac:dyDescent="0.25">
      <c r="A3" s="5">
        <v>-200</v>
      </c>
      <c r="B3" s="6">
        <v>444369.4</v>
      </c>
      <c r="C3" s="8">
        <v>1.0589442027286301E-4</v>
      </c>
      <c r="D3" s="8">
        <v>0.40953782718864401</v>
      </c>
      <c r="E3" s="8">
        <v>0.40953198891773562</v>
      </c>
      <c r="F3" s="8">
        <v>2.5857054768248602E-4</v>
      </c>
      <c r="G3" s="8">
        <v>2.5857423385340102E-4</v>
      </c>
      <c r="H3" s="6">
        <v>281105.90000000002</v>
      </c>
      <c r="I3" s="8">
        <v>0</v>
      </c>
      <c r="J3" s="8">
        <v>0.54662159786949704</v>
      </c>
      <c r="K3" s="8">
        <v>0.54661674048596365</v>
      </c>
      <c r="L3" s="8">
        <v>0</v>
      </c>
      <c r="M3" s="8">
        <v>0</v>
      </c>
    </row>
    <row r="4" spans="1:35" x14ac:dyDescent="0.25">
      <c r="A4" s="5">
        <v>-175</v>
      </c>
      <c r="B4" s="6">
        <v>3732890.4</v>
      </c>
      <c r="C4" s="8">
        <v>9.8434499978890293E-5</v>
      </c>
      <c r="D4" s="8">
        <v>0.42612814070930399</v>
      </c>
      <c r="E4" s="8">
        <v>0.42612277695448014</v>
      </c>
      <c r="F4" s="8">
        <v>2.3099741738492768E-4</v>
      </c>
      <c r="G4" s="8">
        <v>2.3100032502934101E-4</v>
      </c>
      <c r="H4" s="6">
        <v>1585574.4</v>
      </c>
      <c r="I4" s="8">
        <v>2.3397505093422301E-3</v>
      </c>
      <c r="J4" s="8">
        <v>0.53163724834970405</v>
      </c>
      <c r="K4" s="8">
        <v>0.53163057050967011</v>
      </c>
      <c r="L4" s="8">
        <v>4.4010281758948026E-3</v>
      </c>
      <c r="M4" s="8">
        <v>4.4010834574451383E-3</v>
      </c>
    </row>
    <row r="5" spans="1:35" x14ac:dyDescent="0.25">
      <c r="A5" s="5">
        <v>-150</v>
      </c>
      <c r="B5" s="6">
        <v>21542623.699999999</v>
      </c>
      <c r="C5" s="8">
        <v>0.11712139296849</v>
      </c>
      <c r="D5" s="8">
        <v>0.46692873463214701</v>
      </c>
      <c r="E5" s="8">
        <v>0.46692217921745527</v>
      </c>
      <c r="F5" s="8">
        <v>0.25083355184974826</v>
      </c>
      <c r="G5" s="8">
        <v>0.25083707346003831</v>
      </c>
      <c r="H5" s="6">
        <v>16188085</v>
      </c>
      <c r="I5" s="8">
        <v>2.7619374946561002</v>
      </c>
      <c r="J5" s="8">
        <v>0.51314540618775695</v>
      </c>
      <c r="K5" s="8">
        <v>0.51313871700194713</v>
      </c>
      <c r="L5" s="8">
        <v>5.3823681579359652</v>
      </c>
      <c r="M5" s="8">
        <v>5.382438321537955</v>
      </c>
    </row>
    <row r="6" spans="1:35" x14ac:dyDescent="0.25">
      <c r="A6" s="5">
        <v>-125</v>
      </c>
      <c r="B6" s="6">
        <v>392847984.69999999</v>
      </c>
      <c r="C6" s="8">
        <v>0.35779825300903501</v>
      </c>
      <c r="D6" s="8">
        <v>0.48527707765671402</v>
      </c>
      <c r="E6" s="8">
        <v>0.48526899087593678</v>
      </c>
      <c r="F6" s="8">
        <v>0.73730713747444343</v>
      </c>
      <c r="G6" s="8">
        <v>0.73731942435305786</v>
      </c>
      <c r="H6" s="6">
        <v>130136837.90000001</v>
      </c>
      <c r="I6" s="8">
        <v>0.42010075971570798</v>
      </c>
      <c r="J6" s="8">
        <v>0.44613158885687398</v>
      </c>
      <c r="K6" s="8">
        <v>0.44612381875863244</v>
      </c>
      <c r="L6" s="8">
        <v>0.94165212732892334</v>
      </c>
      <c r="M6" s="8">
        <v>0.94166852799894152</v>
      </c>
    </row>
    <row r="7" spans="1:35" x14ac:dyDescent="0.25">
      <c r="A7" s="5">
        <v>-100</v>
      </c>
      <c r="B7" s="6">
        <v>4038866629.6999998</v>
      </c>
      <c r="C7" s="8">
        <v>0.55567064544984002</v>
      </c>
      <c r="D7" s="8">
        <v>0.52386667073006898</v>
      </c>
      <c r="E7" s="8">
        <v>0.52385853979159647</v>
      </c>
      <c r="F7" s="8">
        <v>1.0607100556243605</v>
      </c>
      <c r="G7" s="8">
        <v>1.0607265191685129</v>
      </c>
      <c r="H7" s="6">
        <v>2152683355.6999998</v>
      </c>
      <c r="I7" s="8">
        <v>0.35627639112521298</v>
      </c>
      <c r="J7" s="8">
        <v>0.41569606420905802</v>
      </c>
      <c r="K7" s="8">
        <v>0.41568783184335839</v>
      </c>
      <c r="L7" s="8">
        <v>0.85705981316685675</v>
      </c>
      <c r="M7" s="8">
        <v>0.85707678655233499</v>
      </c>
    </row>
    <row r="8" spans="1:35" x14ac:dyDescent="0.25">
      <c r="A8" s="5">
        <v>-75</v>
      </c>
      <c r="B8" s="6">
        <v>17336732768</v>
      </c>
      <c r="C8" s="8">
        <v>0.62913823777413702</v>
      </c>
      <c r="D8" s="8">
        <v>0.58311060822857097</v>
      </c>
      <c r="E8" s="8">
        <v>0.58289073557240434</v>
      </c>
      <c r="F8" s="8">
        <v>1.0789346461821252</v>
      </c>
      <c r="G8" s="8">
        <v>1.0793416319377889</v>
      </c>
      <c r="H8" s="6">
        <v>34321311951.700001</v>
      </c>
      <c r="I8" s="8">
        <v>0.44288862970042697</v>
      </c>
      <c r="J8" s="8">
        <v>0.44257655796834</v>
      </c>
      <c r="K8" s="8">
        <v>0.44229130456258642</v>
      </c>
      <c r="L8" s="8">
        <v>1.0007051248568599</v>
      </c>
      <c r="M8" s="8">
        <v>1.0013505242623553</v>
      </c>
    </row>
    <row r="9" spans="1:35" x14ac:dyDescent="0.25">
      <c r="A9" s="5">
        <v>-50</v>
      </c>
      <c r="B9" s="6">
        <v>36635175799.199997</v>
      </c>
      <c r="C9" s="8">
        <v>0.67446407519951301</v>
      </c>
      <c r="D9" s="8">
        <v>0.69226407442078897</v>
      </c>
      <c r="E9" s="8">
        <v>0.66909757483217791</v>
      </c>
      <c r="F9" s="8">
        <v>0.97428727001878723</v>
      </c>
      <c r="G9" s="8">
        <v>1.0080205048847788</v>
      </c>
      <c r="H9" s="6">
        <v>260221442336</v>
      </c>
      <c r="I9" s="8">
        <v>0.563788676811944</v>
      </c>
      <c r="J9" s="8">
        <v>0.53878186930758798</v>
      </c>
      <c r="K9" s="8">
        <v>0.50503936991204035</v>
      </c>
      <c r="L9" s="8">
        <v>1.0464136024779256</v>
      </c>
      <c r="M9" s="8">
        <v>1.1163261923721624</v>
      </c>
    </row>
    <row r="10" spans="1:35" x14ac:dyDescent="0.25">
      <c r="A10" s="5">
        <v>-25</v>
      </c>
      <c r="B10" s="6">
        <v>46101729398.5</v>
      </c>
      <c r="C10" s="8">
        <v>0.80980119252488503</v>
      </c>
      <c r="D10" s="8">
        <v>0.84624499148221599</v>
      </c>
      <c r="E10" s="8">
        <v>0.76897231938398225</v>
      </c>
      <c r="F10" s="8">
        <v>0.95693469465207837</v>
      </c>
      <c r="G10" s="8">
        <v>1.0530953743219398</v>
      </c>
      <c r="H10" s="6">
        <v>617674846861</v>
      </c>
      <c r="I10" s="8">
        <v>0.66677998870274302</v>
      </c>
      <c r="J10" s="8">
        <v>0.68345589373306703</v>
      </c>
      <c r="K10" s="8">
        <v>0.58480590546450173</v>
      </c>
      <c r="L10" s="8">
        <v>0.97560061273414522</v>
      </c>
      <c r="M10" s="8">
        <v>1.1401731454355453</v>
      </c>
    </row>
    <row r="11" spans="1:35" x14ac:dyDescent="0.25">
      <c r="A11" s="5">
        <v>0</v>
      </c>
      <c r="B11" s="6">
        <v>46163699255.300003</v>
      </c>
      <c r="C11" s="8">
        <v>0.92001746098815396</v>
      </c>
      <c r="D11" s="8">
        <v>0.94555987864524504</v>
      </c>
      <c r="E11" s="8">
        <v>0.81988149877958805</v>
      </c>
      <c r="F11" s="8">
        <v>0.97298699084643159</v>
      </c>
      <c r="G11" s="8">
        <v>1.1221346772156959</v>
      </c>
      <c r="H11" s="6">
        <v>670102978462.59998</v>
      </c>
      <c r="I11" s="8">
        <v>0.75570262539209498</v>
      </c>
      <c r="J11" s="8">
        <v>0.77748190594137301</v>
      </c>
      <c r="K11" s="8">
        <v>0.62579110411771099</v>
      </c>
      <c r="L11" s="8">
        <v>0.97198741169042679</v>
      </c>
      <c r="M11" s="8">
        <v>1.2075956663806262</v>
      </c>
    </row>
    <row r="12" spans="1:35" s="2" customFormat="1" x14ac:dyDescent="0.25"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4" spans="1:35" x14ac:dyDescent="0.25">
      <c r="C14" t="str">
        <f>B1</f>
        <v>INV</v>
      </c>
      <c r="D14" s="2" t="str">
        <f>C14</f>
        <v>INV</v>
      </c>
      <c r="E14" s="2" t="str">
        <f>C14</f>
        <v>INV</v>
      </c>
      <c r="I14" s="2" t="str">
        <f>H1</f>
        <v>NONINV</v>
      </c>
      <c r="J14" s="2" t="str">
        <f>I14</f>
        <v>NONINV</v>
      </c>
      <c r="K14" s="2" t="str">
        <f>I14</f>
        <v>NONINV</v>
      </c>
      <c r="AG14" s="2" t="s">
        <v>49</v>
      </c>
      <c r="AH14" s="2" t="s">
        <v>49</v>
      </c>
      <c r="AI14" s="2" t="s">
        <v>49</v>
      </c>
    </row>
    <row r="15" spans="1:35" x14ac:dyDescent="0.25">
      <c r="C15" s="2" t="s">
        <v>46</v>
      </c>
      <c r="D15" s="2" t="s">
        <v>47</v>
      </c>
      <c r="E15" s="2" t="s">
        <v>48</v>
      </c>
      <c r="I15" s="2" t="s">
        <v>46</v>
      </c>
      <c r="J15" s="2" t="s">
        <v>47</v>
      </c>
      <c r="K15" s="2" t="s">
        <v>48</v>
      </c>
      <c r="AG15" s="2" t="s">
        <v>46</v>
      </c>
      <c r="AH15" s="2" t="s">
        <v>47</v>
      </c>
      <c r="AI15" s="2" t="s">
        <v>48</v>
      </c>
    </row>
    <row r="16" spans="1:35" x14ac:dyDescent="0.25">
      <c r="A16" s="12">
        <f>A7</f>
        <v>-100</v>
      </c>
      <c r="B16" s="12"/>
      <c r="C16" s="11">
        <f t="shared" ref="C16:D16" si="0">100*(1-(1-C7/100)^12)</f>
        <v>6.4679874935648201</v>
      </c>
      <c r="D16" s="11">
        <f t="shared" si="0"/>
        <v>6.1083980242868874</v>
      </c>
      <c r="E16" s="11">
        <f t="shared" ref="E16:E19" si="1">C16/D16</f>
        <v>1.0588680481933579</v>
      </c>
      <c r="F16" s="12"/>
      <c r="G16" s="12"/>
      <c r="H16" s="12"/>
      <c r="I16" s="11">
        <f t="shared" ref="I16:J16" si="2">100*(1-(1-I7/100)^12)</f>
        <v>4.192527981266414</v>
      </c>
      <c r="J16" s="11">
        <f t="shared" si="2"/>
        <v>4.8758683030120871</v>
      </c>
      <c r="K16" s="11">
        <f t="shared" ref="K16:K19" si="3">I16/J16</f>
        <v>0.85985258844593138</v>
      </c>
      <c r="L16" s="12"/>
      <c r="M16" s="12"/>
      <c r="AG16" s="10">
        <f t="shared" ref="AG16:AH16" si="4">100*(1-(1-AG10/100)^12)</f>
        <v>0</v>
      </c>
      <c r="AH16" s="10">
        <f t="shared" si="4"/>
        <v>0</v>
      </c>
      <c r="AI16" s="10" t="e">
        <f t="shared" ref="AI16" si="5">AG16/AH16</f>
        <v>#DIV/0!</v>
      </c>
    </row>
    <row r="17" spans="1:31" x14ac:dyDescent="0.25">
      <c r="A17" s="12">
        <f>A8</f>
        <v>-75</v>
      </c>
      <c r="B17" s="12"/>
      <c r="C17" s="11">
        <f t="shared" ref="C17:D17" si="6">100*(1-(1-C8/100)^12)</f>
        <v>7.2938227188470206</v>
      </c>
      <c r="D17" s="11">
        <f t="shared" si="6"/>
        <v>6.7772206312807892</v>
      </c>
      <c r="E17" s="11">
        <f t="shared" si="1"/>
        <v>1.0762262460781953</v>
      </c>
      <c r="F17" s="12"/>
      <c r="G17" s="12"/>
      <c r="H17" s="12"/>
      <c r="I17" s="11">
        <f t="shared" ref="I17:J17" si="7">100*(1-(1-I8/100)^12)</f>
        <v>5.1870966228756643</v>
      </c>
      <c r="J17" s="11">
        <f t="shared" si="7"/>
        <v>5.1835301549428063</v>
      </c>
      <c r="K17" s="11">
        <f t="shared" si="3"/>
        <v>1.0006880384267578</v>
      </c>
      <c r="L17" s="12"/>
      <c r="M17" s="12"/>
    </row>
    <row r="18" spans="1:31" x14ac:dyDescent="0.25">
      <c r="A18" s="12">
        <f>A9</f>
        <v>-50</v>
      </c>
      <c r="B18" s="12"/>
      <c r="C18" s="11">
        <f t="shared" ref="C18:D18" si="8">100*(1-(1-C9/100)^12)</f>
        <v>7.799982313553655</v>
      </c>
      <c r="D18" s="11">
        <f t="shared" si="8"/>
        <v>7.9980635325695442</v>
      </c>
      <c r="E18" s="11">
        <f t="shared" si="1"/>
        <v>0.9752338527683273</v>
      </c>
      <c r="F18" s="12"/>
      <c r="G18" s="12"/>
      <c r="H18" s="12"/>
      <c r="I18" s="11">
        <f t="shared" ref="I18:J18" si="9">100*(1-(1-I9/100)^12)</f>
        <v>6.5595709949965775</v>
      </c>
      <c r="J18" s="11">
        <f t="shared" si="9"/>
        <v>6.2771931988035545</v>
      </c>
      <c r="K18" s="11">
        <f t="shared" si="3"/>
        <v>1.0449847228291214</v>
      </c>
      <c r="L18" s="12"/>
      <c r="M18" s="12"/>
    </row>
    <row r="19" spans="1:31" x14ac:dyDescent="0.25">
      <c r="A19" s="12">
        <f>A10</f>
        <v>-25</v>
      </c>
      <c r="B19" s="12"/>
      <c r="C19" s="11">
        <f t="shared" ref="C19:D20" si="10">100*(1-(1-C10/100)^12)</f>
        <v>9.296273804514799</v>
      </c>
      <c r="D19" s="11">
        <f t="shared" si="10"/>
        <v>9.695375739778278</v>
      </c>
      <c r="E19" s="11">
        <f t="shared" si="1"/>
        <v>0.95883584649266973</v>
      </c>
      <c r="F19" s="12"/>
      <c r="G19" s="12"/>
      <c r="H19" s="12"/>
      <c r="I19" s="11">
        <f t="shared" ref="I19:J20" si="11">100*(1-(1-I10/100)^12)</f>
        <v>7.7143518339275801</v>
      </c>
      <c r="J19" s="11">
        <f t="shared" si="11"/>
        <v>7.9000935072250584</v>
      </c>
      <c r="K19" s="11">
        <f t="shared" si="3"/>
        <v>0.97648867407359075</v>
      </c>
      <c r="L19" s="12"/>
      <c r="M19" s="12"/>
    </row>
    <row r="20" spans="1:31" x14ac:dyDescent="0.25">
      <c r="A20" s="12">
        <f>A11</f>
        <v>0</v>
      </c>
      <c r="B20" s="12"/>
      <c r="C20" s="11">
        <f t="shared" si="10"/>
        <v>10.498346961853278</v>
      </c>
      <c r="D20" s="11">
        <f t="shared" si="10"/>
        <v>10.774832677834711</v>
      </c>
      <c r="E20" s="11">
        <f t="shared" ref="E20" si="12">C20/D20</f>
        <v>0.97433967429023727</v>
      </c>
      <c r="F20" s="12"/>
      <c r="G20" s="12"/>
      <c r="H20" s="12"/>
      <c r="I20" s="11">
        <f t="shared" si="11"/>
        <v>8.7008495119220157</v>
      </c>
      <c r="J20" s="11">
        <f t="shared" si="11"/>
        <v>8.9409880332996572</v>
      </c>
      <c r="K20" s="11">
        <f t="shared" ref="K20" si="13">I20/J20</f>
        <v>0.97314183617254901</v>
      </c>
      <c r="L20" s="12"/>
      <c r="M20" s="12"/>
    </row>
    <row r="21" spans="1:31" s="2" customFormat="1" x14ac:dyDescent="0.25"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2018-04-26T15:06:17Z</dcterms:created>
  <dcterms:modified xsi:type="dcterms:W3CDTF">2018-04-30T19:47:34Z</dcterms:modified>
</cp:coreProperties>
</file>