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295" yWindow="1170" windowWidth="42270" windowHeight="14865" activeTab="2"/>
  </bookViews>
  <sheets>
    <sheet name="Tracking_aggData_by_incentive_2" sheetId="1" r:id="rId1"/>
    <sheet name="Pivot" sheetId="2" r:id="rId2"/>
    <sheet name="Analysis" sheetId="4" r:id="rId3"/>
  </sheets>
  <calcPr calcId="145621"/>
  <pivotCaches>
    <pivotCache cacheId="148" r:id="rId4"/>
  </pivotCaches>
</workbook>
</file>

<file path=xl/calcChain.xml><?xml version="1.0" encoding="utf-8"?>
<calcChain xmlns="http://schemas.openxmlformats.org/spreadsheetml/2006/main">
  <c r="P20" i="4" l="1"/>
  <c r="O20" i="4"/>
  <c r="P19" i="4"/>
  <c r="O19" i="4"/>
  <c r="P18" i="4"/>
  <c r="O18" i="4"/>
  <c r="P17" i="4"/>
  <c r="O17" i="4"/>
  <c r="P16" i="4"/>
  <c r="O16" i="4"/>
  <c r="O14" i="4"/>
  <c r="P14" i="4" s="1"/>
  <c r="AM20" i="1"/>
  <c r="AN20" i="1"/>
  <c r="AO20" i="1"/>
  <c r="AM21" i="1"/>
  <c r="AN21" i="1"/>
  <c r="AO21" i="1"/>
  <c r="AM22" i="1"/>
  <c r="AN22" i="1"/>
  <c r="AO22" i="1"/>
  <c r="AM23" i="1"/>
  <c r="AN23" i="1"/>
  <c r="AO23" i="1"/>
  <c r="AM24" i="1"/>
  <c r="AN24" i="1"/>
  <c r="AO24" i="1"/>
  <c r="AM25" i="1"/>
  <c r="AN25" i="1"/>
  <c r="AO25" i="1"/>
  <c r="AM26" i="1"/>
  <c r="AN26" i="1"/>
  <c r="AO26" i="1"/>
  <c r="A16" i="4"/>
  <c r="C16" i="4"/>
  <c r="D16" i="4"/>
  <c r="I16" i="4"/>
  <c r="J16" i="4"/>
  <c r="AG16" i="4"/>
  <c r="AI16" i="4" s="1"/>
  <c r="AH16" i="4"/>
  <c r="I14" i="4"/>
  <c r="K14" i="4" s="1"/>
  <c r="C14" i="4"/>
  <c r="D14" i="4" s="1"/>
  <c r="A20" i="4"/>
  <c r="C20" i="4"/>
  <c r="D20" i="4"/>
  <c r="I20" i="4"/>
  <c r="J20" i="4"/>
  <c r="K20" i="4" s="1"/>
  <c r="Q19" i="4" l="1"/>
  <c r="Q17" i="4"/>
  <c r="Q20" i="4"/>
  <c r="K16" i="4"/>
  <c r="Q16" i="4"/>
  <c r="Q18" i="4"/>
  <c r="Q14" i="4"/>
  <c r="E16" i="4"/>
  <c r="E14" i="4"/>
  <c r="J14" i="4"/>
  <c r="E20" i="4"/>
  <c r="AM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J19" i="4" l="1"/>
  <c r="I19" i="4"/>
  <c r="J18" i="4"/>
  <c r="I18" i="4"/>
  <c r="J17" i="4"/>
  <c r="I17" i="4"/>
  <c r="K17" i="4" s="1"/>
  <c r="AN10" i="1"/>
  <c r="AO10" i="1"/>
  <c r="AN11" i="1"/>
  <c r="AO11" i="1"/>
  <c r="AN12" i="1"/>
  <c r="AO12" i="1"/>
  <c r="AN13" i="1"/>
  <c r="AO13" i="1"/>
  <c r="AN14" i="1"/>
  <c r="AO14" i="1"/>
  <c r="AN15" i="1"/>
  <c r="AO15" i="1"/>
  <c r="AN16" i="1"/>
  <c r="AO16" i="1"/>
  <c r="AN17" i="1"/>
  <c r="AO17" i="1"/>
  <c r="AN18" i="1"/>
  <c r="AO18" i="1"/>
  <c r="AN19" i="1"/>
  <c r="AO19" i="1"/>
  <c r="C17" i="4"/>
  <c r="D17" i="4"/>
  <c r="C18" i="4"/>
  <c r="D18" i="4"/>
  <c r="C19" i="4"/>
  <c r="D19" i="4"/>
  <c r="A19" i="4"/>
  <c r="A17" i="4"/>
  <c r="A18" i="4"/>
  <c r="K18" i="4" l="1"/>
  <c r="K19" i="4"/>
  <c r="E17" i="4"/>
  <c r="E19" i="4"/>
  <c r="E18" i="4"/>
  <c r="AN3" i="1" l="1"/>
  <c r="AO3" i="1"/>
  <c r="AN4" i="1"/>
  <c r="AO4" i="1"/>
  <c r="AN5" i="1"/>
  <c r="AO5" i="1"/>
  <c r="AN6" i="1"/>
  <c r="AO6" i="1"/>
  <c r="AN7" i="1"/>
  <c r="AO7" i="1"/>
  <c r="AN8" i="1"/>
  <c r="AO8" i="1"/>
  <c r="AN9" i="1"/>
  <c r="AO9" i="1"/>
  <c r="AO2" i="1"/>
  <c r="AN2" i="1"/>
</calcChain>
</file>

<file path=xl/sharedStrings.xml><?xml version="1.0" encoding="utf-8"?>
<sst xmlns="http://schemas.openxmlformats.org/spreadsheetml/2006/main" count="125" uniqueCount="55">
  <si>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</si>
  <si>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</si>
  <si>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</si>
  <si>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</si>
  <si>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</si>
  <si>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</si>
  <si>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</si>
  <si>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</si>
  <si>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</si>
  <si>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</si>
  <si>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</si>
  <si>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</si>
  <si>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</si>
  <si>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</si>
  <si>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</si>
  <si>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</si>
  <si>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</si>
  <si>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</si>
  <si>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</si>
  <si>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</si>
  <si>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</si>
  <si>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</si>
  <si>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</si>
  <si>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</si>
  <si>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</si>
  <si>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</si>
  <si>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</si>
  <si>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</si>
  <si>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</si>
  <si>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</si>
  <si>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</si>
  <si>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</si>
  <si>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</si>
  <si>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</si>
  <si>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</si>
  <si>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Column Labels</t>
  </si>
  <si>
    <t>Row Labels</t>
  </si>
  <si>
    <t>'bal</t>
  </si>
  <si>
    <t>'actual.smm</t>
  </si>
  <si>
    <t>'model.smm</t>
  </si>
  <si>
    <t>'model w/o refi</t>
  </si>
  <si>
    <t>'Ratio</t>
  </si>
  <si>
    <t>'Ratio w/o refi</t>
  </si>
  <si>
    <t>Ratio</t>
  </si>
  <si>
    <t>model w/o refi</t>
  </si>
  <si>
    <t>Ratio w/o refi</t>
  </si>
  <si>
    <t>actual</t>
  </si>
  <si>
    <t>model</t>
  </si>
  <si>
    <t>ratio</t>
  </si>
  <si>
    <t>175+</t>
  </si>
  <si>
    <t>waolsBucket</t>
  </si>
  <si>
    <t>wam</t>
  </si>
  <si>
    <t>PURCH</t>
  </si>
  <si>
    <t>RE-FI-CO</t>
  </si>
  <si>
    <t>RE-FI-NCO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</si>
</sst>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6" fillId="33" borderId="0" xfId="0" applyFont="1" applyFill="1"/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Border="1"/>
    <xf numFmtId="2" fontId="0" fillId="0" borderId="0" xfId="0" applyNumberFormat="1"/>
    <xf numFmtId="0" fontId="16" fillId="33" borderId="10" xfId="0" applyFont="1" applyFill="1" applyBorder="1"/>
    <xf numFmtId="43" fontId="0" fillId="0" borderId="0" xfId="1" applyFont="1"/>
    <xf numFmtId="43" fontId="0" fillId="0" borderId="0" xfId="1" applyFont="1" applyFill="1"/>
    <xf numFmtId="0" fontId="0" fillId="0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0">
    <dxf>
      <numFmt numFmtId="165" formatCode="0.0000"/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2" formatCode="0.00"/>
    </dxf>
    <dxf>
      <numFmt numFmtId="164" formatCode="_(* #,##0_);_(* \(#,##0\);_(* &quot;-&quot;??_);_(@_)"/>
    </dxf>
    <dxf>
      <border>
        <left/>
      </border>
    </dxf>
    <dxf>
      <border>
        <left/>
      </border>
    </dxf>
    <dxf>
      <numFmt numFmtId="165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00374029221707"/>
          <c:y val="6.0659813356663747E-2"/>
          <c:w val="0.64875831999439493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strRef>
              <c:f>Analysis!$C$14:$C$15</c:f>
              <c:strCache>
                <c:ptCount val="1"/>
                <c:pt idx="0">
                  <c:v>PURCH actual</c:v>
                </c:pt>
              </c:strCache>
            </c:strRef>
          </c:tx>
          <c:marker>
            <c:symbol val="none"/>
          </c:marker>
          <c:cat>
            <c:numRef>
              <c:f>Analysis!$A$16:$A$19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Analysis!$C$16:$C$19</c:f>
              <c:numCache>
                <c:formatCode>_(* #,##0.00_);_(* \(#,##0.00\);_(* "-"??_);_(@_)</c:formatCode>
                <c:ptCount val="4"/>
                <c:pt idx="0">
                  <c:v>5.5903879656542754</c:v>
                </c:pt>
                <c:pt idx="1">
                  <c:v>6.8889461253150426</c:v>
                </c:pt>
                <c:pt idx="2">
                  <c:v>7.3956269733532309</c:v>
                </c:pt>
                <c:pt idx="3">
                  <c:v>8.7088743271684486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Analysis!$D$14:$D$15</c:f>
              <c:strCache>
                <c:ptCount val="1"/>
                <c:pt idx="0">
                  <c:v>PURCH model</c:v>
                </c:pt>
              </c:strCache>
            </c:strRef>
          </c:tx>
          <c:marker>
            <c:symbol val="none"/>
          </c:marker>
          <c:cat>
            <c:numRef>
              <c:f>Analysis!$A$16:$A$19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Analysis!$D$16:$D$19</c:f>
              <c:numCache>
                <c:formatCode>_(* #,##0.00_);_(* \(#,##0.00\);_(* "-"??_);_(@_)</c:formatCode>
                <c:ptCount val="4"/>
                <c:pt idx="0">
                  <c:v>6.328328538818317</c:v>
                </c:pt>
                <c:pt idx="1">
                  <c:v>6.3568211177743468</c:v>
                </c:pt>
                <c:pt idx="2">
                  <c:v>7.1789666320064232</c:v>
                </c:pt>
                <c:pt idx="3">
                  <c:v>8.7133123479636421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19648"/>
        <c:axId val="86621184"/>
      </c:lineChart>
      <c:catAx>
        <c:axId val="86619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621184"/>
        <c:crosses val="autoZero"/>
        <c:auto val="1"/>
        <c:lblAlgn val="ctr"/>
        <c:lblOffset val="100"/>
        <c:noMultiLvlLbl val="0"/>
      </c:catAx>
      <c:valAx>
        <c:axId val="8662118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66196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Analysis!$I$14:$I$15</c:f>
              <c:strCache>
                <c:ptCount val="1"/>
                <c:pt idx="0">
                  <c:v>RE-FI-CO actual</c:v>
                </c:pt>
              </c:strCache>
            </c:strRef>
          </c:tx>
          <c:marker>
            <c:symbol val="none"/>
          </c:marker>
          <c:cat>
            <c:numRef>
              <c:f>Analysis!$A$16:$A$19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Analysis!$I$16:$I$19</c:f>
              <c:numCache>
                <c:formatCode>_(* #,##0.00_);_(* \(#,##0.00\);_(* "-"??_);_(@_)</c:formatCode>
                <c:ptCount val="4"/>
                <c:pt idx="0">
                  <c:v>5.7501439509454855</c:v>
                </c:pt>
                <c:pt idx="1">
                  <c:v>5.2430109682713439</c:v>
                </c:pt>
                <c:pt idx="2">
                  <c:v>6.4486448489561976</c:v>
                </c:pt>
                <c:pt idx="3">
                  <c:v>7.5330553134651979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Analysis!$J$14:$J$15</c:f>
              <c:strCache>
                <c:ptCount val="1"/>
                <c:pt idx="0">
                  <c:v>RE-FI-CO model</c:v>
                </c:pt>
              </c:strCache>
            </c:strRef>
          </c:tx>
          <c:marker>
            <c:symbol val="none"/>
          </c:marker>
          <c:cat>
            <c:numRef>
              <c:f>Analysis!$A$16:$A$19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Analysis!$J$16:$J$19</c:f>
              <c:numCache>
                <c:formatCode>_(* #,##0.00_);_(* \(#,##0.00\);_(* "-"??_);_(@_)</c:formatCode>
                <c:ptCount val="4"/>
                <c:pt idx="0">
                  <c:v>5.4517368582828407</c:v>
                </c:pt>
                <c:pt idx="1">
                  <c:v>5.5628790455004236</c:v>
                </c:pt>
                <c:pt idx="2">
                  <c:v>6.3426876041649649</c:v>
                </c:pt>
                <c:pt idx="3">
                  <c:v>7.8715698064178552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72512"/>
        <c:axId val="86688128"/>
      </c:lineChart>
      <c:catAx>
        <c:axId val="8667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688128"/>
        <c:crosses val="autoZero"/>
        <c:auto val="1"/>
        <c:lblAlgn val="ctr"/>
        <c:lblOffset val="100"/>
        <c:noMultiLvlLbl val="0"/>
      </c:catAx>
      <c:valAx>
        <c:axId val="8668812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66725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Analysis!$O$14:$O$15</c:f>
              <c:strCache>
                <c:ptCount val="1"/>
                <c:pt idx="0">
                  <c:v>RE-FI-NCO actual</c:v>
                </c:pt>
              </c:strCache>
            </c:strRef>
          </c:tx>
          <c:marker>
            <c:symbol val="none"/>
          </c:marker>
          <c:cat>
            <c:numRef>
              <c:f>Analysis!$A$16:$A$19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Analysis!$O$16:$O$19</c:f>
              <c:numCache>
                <c:formatCode>_(* #,##0.00_);_(* \(#,##0.00\);_(* "-"??_);_(@_)</c:formatCode>
                <c:ptCount val="4"/>
                <c:pt idx="0">
                  <c:v>5.7089385757209676</c:v>
                </c:pt>
                <c:pt idx="1">
                  <c:v>5.5554890276731772</c:v>
                </c:pt>
                <c:pt idx="2">
                  <c:v>6.4486291978659409</c:v>
                </c:pt>
                <c:pt idx="3">
                  <c:v>7.4650058192330722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Analysis!$P$14:$P$15</c:f>
              <c:strCache>
                <c:ptCount val="1"/>
                <c:pt idx="0">
                  <c:v>RE-FI-NCO model</c:v>
                </c:pt>
              </c:strCache>
            </c:strRef>
          </c:tx>
          <c:marker>
            <c:symbol val="none"/>
          </c:marker>
          <c:cat>
            <c:numRef>
              <c:f>Analysis!$A$16:$A$19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Analysis!$P$16:$P$19</c:f>
              <c:numCache>
                <c:formatCode>_(* #,##0.00_);_(* \(#,##0.00\);_(* "-"??_);_(@_)</c:formatCode>
                <c:ptCount val="4"/>
                <c:pt idx="0">
                  <c:v>5.4036029195784767</c:v>
                </c:pt>
                <c:pt idx="1">
                  <c:v>5.4144057162707204</c:v>
                </c:pt>
                <c:pt idx="2">
                  <c:v>6.1841733871741855</c:v>
                </c:pt>
                <c:pt idx="3">
                  <c:v>7.7201640942439864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299968"/>
        <c:axId val="101274368"/>
      </c:lineChart>
      <c:catAx>
        <c:axId val="87299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1274368"/>
        <c:crosses val="autoZero"/>
        <c:auto val="1"/>
        <c:lblAlgn val="ctr"/>
        <c:lblOffset val="100"/>
        <c:noMultiLvlLbl val="0"/>
      </c:catAx>
      <c:valAx>
        <c:axId val="10127436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72999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90487</xdr:colOff>
      <xdr:row>22</xdr:row>
      <xdr:rowOff>161925</xdr:rowOff>
    </xdr:from>
    <xdr:to>
      <xdr:col>6</xdr:col>
      <xdr:colOff>595312</xdr:colOff>
      <xdr:row>37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33337</xdr:colOff>
      <xdr:row>22</xdr:row>
      <xdr:rowOff>180975</xdr:rowOff>
    </xdr:from>
    <xdr:to>
      <xdr:col>13</xdr:col>
      <xdr:colOff>538162</xdr:colOff>
      <xdr:row>37</xdr:row>
      <xdr:rowOff>66675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685800</xdr:colOff>
      <xdr:row>23</xdr:row>
      <xdr:rowOff>0</xdr:rowOff>
    </xdr:from>
    <xdr:to>
      <xdr:col>20</xdr:col>
      <xdr:colOff>171450</xdr:colOff>
      <xdr:row>37</xdr:row>
      <xdr:rowOff>76200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20.65889363426" createdVersion="4" refreshedVersion="4" minRefreshableVersion="3" recordCount="25">
  <cacheSource type="worksheet">
    <worksheetSource ref="B1:AO26" sheet="Tracking_aggData_by_incentive_2"/>
  </cacheSource>
  <cacheFields count="40">
    <cacheField name="waolsBucket" numFmtId="0">
      <sharedItems count="3">
        <s v="PURCH"/>
        <s v="RE-FI-CO"/>
        <s v="RE-FI-NCO"/>
      </sharedItems>
    </cacheField>
    <cacheField name="x" numFmtId="0">
      <sharedItems containsSemiMixedTypes="0" containsString="0" containsNumber="1" containsInteger="1" minValue="-200" maxValue="0" count="9">
        <n v="-200"/>
        <n v="-175"/>
        <n v="-150"/>
        <n v="-125"/>
        <n v="-100"/>
        <n v="-75"/>
        <n v="-50"/>
        <n v="-25"/>
        <n v="0"/>
      </sharedItems>
    </cacheField>
    <cacheField name="actual.smm" numFmtId="0">
      <sharedItems containsSemiMixedTypes="0" containsString="0" containsNumber="1" minValue="0" maxValue="2.46588315607876"/>
    </cacheField>
    <cacheField name="model.smm" numFmtId="0">
      <sharedItems containsSemiMixedTypes="0" containsString="0" containsNumber="1" minValue="0.40953782718864401" maxValue="0.85155198691058598"/>
    </cacheField>
    <cacheField name="track.err" numFmtId="0">
      <sharedItems containsSemiMixedTypes="0" containsString="0" containsNumber="1" minValue="-1.94162498378077" maxValue="0.54662159786949704"/>
    </cacheField>
    <cacheField name="curt.smm" numFmtId="0">
      <sharedItems containsSemiMixedTypes="0" containsString="0" containsNumber="1" minValue="4.63679339383231E-2" maxValue="5.4289688214970599E-2"/>
    </cacheField>
    <cacheField name="dflt.smm" numFmtId="0">
      <sharedItems containsSemiMixedTypes="0" containsString="0" containsNumber="1" minValue="1.0471429978492299E-3" maxValue="1.3030498889732499E-2"/>
    </cacheField>
    <cacheField name="cout.smm" numFmtId="0">
      <sharedItems containsSemiMixedTypes="0" containsString="0" containsNumber="1" minValue="6.6475638626953802E-4" maxValue="1.5110640947953599E-2"/>
    </cacheField>
    <cacheField name="turn.smm" numFmtId="0">
      <sharedItems containsSemiMixedTypes="0" containsString="0" containsNumber="1" minValue="0.35550176298067698" maxValue="0.62246462564326299"/>
    </cacheField>
    <cacheField name="refi.smm" numFmtId="0">
      <sharedItems containsSemiMixedTypes="0" containsString="0" containsNumber="1" minValue="4.8573835333944901E-6" maxValue="0.151198109941721"/>
    </cacheField>
    <cacheField name="pct_inv" numFmtId="0">
      <sharedItems containsSemiMixedTypes="0" containsString="0" containsNumber="1" minValue="0" maxValue="100"/>
    </cacheField>
    <cacheField name="pct_2nd" numFmtId="0">
      <sharedItems containsSemiMixedTypes="0" containsString="0" containsNumber="1" minValue="0" maxValue="9.6090060765062493"/>
    </cacheField>
    <cacheField name="pct_owner" numFmtId="0">
      <sharedItems containsSemiMixedTypes="0" containsString="0" containsNumber="1" minValue="0" maxValue="100"/>
    </cacheField>
    <cacheField name="pct_purchase" numFmtId="0">
      <sharedItems containsSemiMixedTypes="0" containsString="0" containsNumber="1" containsInteger="1" minValue="0" maxValue="100"/>
    </cacheField>
    <cacheField name="pct_REFI_NCO" numFmtId="0">
      <sharedItems containsSemiMixedTypes="0" containsString="0" containsNumber="1" containsInteger="1" minValue="0" maxValue="100"/>
    </cacheField>
    <cacheField name="pct_REFI_CO" numFmtId="0">
      <sharedItems containsSemiMixedTypes="0" containsString="0" containsNumber="1" containsInteger="1" minValue="0" maxValue="100"/>
    </cacheField>
    <cacheField name="pct_REFI_other" numFmtId="0">
      <sharedItems containsSemiMixedTypes="0" containsString="0" containsNumber="1" containsInteger="1" minValue="0" maxValue="0"/>
    </cacheField>
    <cacheField name="pct_REFI" numFmtId="0">
      <sharedItems containsSemiMixedTypes="0" containsString="0" containsNumber="1" containsInteger="1" minValue="0" maxValue="100"/>
    </cacheField>
    <cacheField name="pct_dq" numFmtId="0">
      <sharedItems containsSemiMixedTypes="0" containsString="0" containsNumber="1" minValue="0" maxValue="0.41887577945446303"/>
    </cacheField>
    <cacheField name="incentive" numFmtId="0">
      <sharedItems containsSemiMixedTypes="0" containsString="0" containsNumber="1" minValue="-207.20459285984401" maxValue="-13.613790928568299"/>
    </cacheField>
    <cacheField name="burnout" numFmtId="0">
      <sharedItems containsSemiMixedTypes="0" containsString="0" containsNumber="1" minValue="0" maxValue="569.74841626351201"/>
    </cacheField>
    <cacheField name="refi_elig_pct" numFmtId="0">
      <sharedItems containsSemiMixedTypes="0" containsString="0" containsNumber="1" minValue="92.498555155975495" maxValue="100"/>
    </cacheField>
    <cacheField name="cltv" numFmtId="0">
      <sharedItems containsSemiMixedTypes="0" containsString="0" containsNumber="1" minValue="34.693955254344701" maxValue="69.034099070848399"/>
    </cacheField>
    <cacheField name="wacls" numFmtId="0">
      <sharedItems containsSemiMixedTypes="0" containsString="0" containsNumber="1" minValue="93.667049464276602" maxValue="277.25273665282299"/>
    </cacheField>
    <cacheField name="wala" numFmtId="0">
      <sharedItems containsSemiMixedTypes="0" containsString="0" containsNumber="1" minValue="49.998468904423603" maxValue="63.867631974658899"/>
    </cacheField>
    <cacheField name="wam" numFmtId="0">
      <sharedItems containsSemiMixedTypes="0" containsString="0" containsNumber="1" minValue="292.012654922894" maxValue="310.00153109557601"/>
    </cacheField>
    <cacheField name="wac" numFmtId="0">
      <sharedItems containsSemiMixedTypes="0" containsString="0" containsNumber="1" minValue="2.5" maxValue="3.7461731758941399"/>
    </cacheField>
    <cacheField name="fico" numFmtId="0">
      <sharedItems containsSemiMixedTypes="0" containsString="0" containsNumber="1" minValue="647" maxValue="773.10698181611201"/>
    </cacheField>
    <cacheField name="pct_HARPed" numFmtId="0">
      <sharedItems containsSemiMixedTypes="0" containsString="0" containsNumber="1" minValue="0" maxValue="100"/>
    </cacheField>
    <cacheField name="pct_tpo" numFmtId="0">
      <sharedItems containsSemiMixedTypes="0" containsString="0" containsNumber="1" containsInteger="1" minValue="0" maxValue="0"/>
    </cacheField>
    <cacheField name="cai" numFmtId="0">
      <sharedItems containsSemiMixedTypes="0" containsString="0" containsNumber="1" minValue="168.031419440147" maxValue="179.2"/>
    </cacheField>
    <cacheField name="hpa2yr" numFmtId="0">
      <sharedItems containsSemiMixedTypes="0" containsString="0" containsNumber="1" minValue="111.599770264516" maxValue="112.222347554169"/>
    </cacheField>
    <cacheField name="media_effect" numFmtId="0">
      <sharedItems containsSemiMixedTypes="0" containsString="0" containsNumber="1" minValue="20.9" maxValue="31.770949461393201"/>
    </cacheField>
    <cacheField name="sato" numFmtId="0">
      <sharedItems containsSemiMixedTypes="0" containsString="0" containsNumber="1" minValue="-117.060988131494" maxValue="-8.6600214610019499"/>
    </cacheField>
    <cacheField name="bal" numFmtId="0">
      <sharedItems containsSemiMixedTypes="0" containsString="0" containsNumber="1" minValue="281105.90000000002" maxValue="381235255951.79999"/>
    </cacheField>
    <cacheField name="std" numFmtId="0">
      <sharedItems containsSemiMixedTypes="0" containsString="0" containsNumber="1" minValue="0" maxValue="9.8963440223195406E-2"/>
    </cacheField>
    <cacheField name="n" numFmtId="0">
      <sharedItems containsSemiMixedTypes="0" containsString="0" containsNumber="1" containsInteger="1" minValue="3" maxValue="120612"/>
    </cacheField>
    <cacheField name="Ratio" numFmtId="0">
      <sharedItems containsSemiMixedTypes="0" containsString="0" containsNumber="1" minValue="0" maxValue="4.7035664609099115"/>
    </cacheField>
    <cacheField name="model w/o refi" numFmtId="11">
      <sharedItems containsSemiMixedTypes="0" containsString="0" containsNumber="1" minValue="0.40953198891773562" maxValue="0.70081527253752496"/>
    </cacheField>
    <cacheField name="Ratio w/o refi" numFmtId="11">
      <sharedItems containsSemiMixedTypes="0" containsString="0" containsNumber="1" minValue="0" maxValue="4.70362761931556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x v="0"/>
    <x v="0"/>
    <n v="0"/>
    <n v="0.54662159786949704"/>
    <n v="0.54662159786949704"/>
    <n v="4.63679339383231E-2"/>
    <n v="7.0095480037455603E-3"/>
    <n v="2.1767076002008798E-3"/>
    <n v="0.491062550943694"/>
    <n v="4.8573835333944901E-6"/>
    <n v="0"/>
    <n v="0"/>
    <n v="100"/>
    <n v="100"/>
    <n v="0"/>
    <n v="0"/>
    <n v="0"/>
    <n v="0"/>
    <n v="0"/>
    <n v="-207.20459285984401"/>
    <n v="0"/>
    <n v="100"/>
    <n v="69.034099070848399"/>
    <n v="93.667049464276602"/>
    <n v="49.998468904423603"/>
    <n v="310.00153109557601"/>
    <n v="2.5"/>
    <n v="647"/>
    <n v="0"/>
    <n v="0"/>
    <n v="168.031419440147"/>
    <n v="111.599770264516"/>
    <n v="24.7665912739647"/>
    <n v="-110.7"/>
    <n v="281105.90000000002"/>
    <n v="0"/>
    <n v="3"/>
    <n v="0"/>
    <n v="0.54661674048596365"/>
    <n v="0"/>
  </r>
  <r>
    <x v="0"/>
    <x v="1"/>
    <n v="2.3397505093422301E-3"/>
    <n v="0.53163724834970405"/>
    <n v="0.52929749784036095"/>
    <n v="4.7318698607130602E-2"/>
    <n v="6.2325637358933298E-3"/>
    <n v="4.8815659202433E-3"/>
    <n v="0.47319774224640199"/>
    <n v="6.6778400339896399E-6"/>
    <n v="0"/>
    <n v="0"/>
    <n v="100"/>
    <n v="100"/>
    <n v="0"/>
    <n v="0"/>
    <n v="0"/>
    <n v="0"/>
    <n v="0"/>
    <n v="-183.96153218038799"/>
    <n v="0"/>
    <n v="100"/>
    <n v="68.390011310727502"/>
    <n v="159.20792804803099"/>
    <n v="52.013446988044201"/>
    <n v="307.81968364272302"/>
    <n v="2.6026705653169002"/>
    <n v="662.48785739729396"/>
    <n v="0"/>
    <n v="0"/>
    <n v="172.31630140471501"/>
    <n v="111.973304065706"/>
    <n v="24.184242486508399"/>
    <n v="-117.060988131494"/>
    <n v="1585574.4"/>
    <n v="7.9373570137443306E-5"/>
    <n v="11"/>
    <n v="4.4010281758948026E-3"/>
    <n v="0.53163057050967011"/>
    <n v="4.4010834574451383E-3"/>
  </r>
  <r>
    <x v="0"/>
    <x v="2"/>
    <n v="2.46588315607876"/>
    <n v="0.52425817229799099"/>
    <n v="-1.94162498378077"/>
    <n v="5.0131686366228202E-2"/>
    <n v="1.3030498889732499E-2"/>
    <n v="5.6348152661391702E-3"/>
    <n v="0.45545435516612398"/>
    <n v="6.8166097669879997E-6"/>
    <n v="28.560604179897702"/>
    <n v="0"/>
    <n v="71.439395820102305"/>
    <n v="100"/>
    <n v="0"/>
    <n v="0"/>
    <n v="0"/>
    <n v="0"/>
    <n v="0.37956015240041802"/>
    <n v="-159.39104108459301"/>
    <n v="0"/>
    <n v="100"/>
    <n v="61.214329984215503"/>
    <n v="176.860430949754"/>
    <n v="54.231249020472298"/>
    <n v="301.81342456597298"/>
    <n v="2.7554845840334399"/>
    <n v="719.08880892524803"/>
    <n v="0"/>
    <n v="0"/>
    <n v="173.16878798344101"/>
    <n v="112.022143263641"/>
    <n v="25.017593681393102"/>
    <n v="-104.591668994698"/>
    <n v="19093386"/>
    <n v="9.8963440223195406E-2"/>
    <n v="133"/>
    <n v="4.7035664609099115"/>
    <n v="0.52425135568822401"/>
    <n v="4.7036276193155677"/>
  </r>
  <r>
    <x v="0"/>
    <x v="3"/>
    <n v="0.33926647308907498"/>
    <n v="0.51519189419154199"/>
    <n v="0.17592542110246701"/>
    <n v="5.0619005302702302E-2"/>
    <n v="8.7293105443289505E-3"/>
    <n v="3.2088665545347101E-3"/>
    <n v="0.45262697766899201"/>
    <n v="7.7341209838570701E-6"/>
    <n v="63.129908972664502"/>
    <n v="0.252729687213818"/>
    <n v="36.617361340121597"/>
    <n v="100"/>
    <n v="0"/>
    <n v="0"/>
    <n v="0"/>
    <n v="0"/>
    <n v="0.29327140623574999"/>
    <n v="-134.276249249758"/>
    <n v="4.2269539098943598E-3"/>
    <n v="100"/>
    <n v="54.492214366140601"/>
    <n v="229.314166464415"/>
    <n v="54.525419422601097"/>
    <n v="300.55342053650202"/>
    <n v="3.0516294251400402"/>
    <n v="760.94944092186302"/>
    <n v="0"/>
    <n v="0"/>
    <n v="173.00403315194299"/>
    <n v="112.00852307286701"/>
    <n v="25.4341524234951"/>
    <n v="-65.197249001765996"/>
    <n v="185002405.19999999"/>
    <n v="4.1504873287216699E-2"/>
    <n v="777"/>
    <n v="0.65852447779960588"/>
    <n v="0.51518416007055812"/>
    <n v="0.65853436379451191"/>
  </r>
  <r>
    <x v="0"/>
    <x v="4"/>
    <n v="0.47824687055742598"/>
    <n v="0.54330518622461199"/>
    <n v="6.5058315667185396E-2"/>
    <n v="5.1530577038732997E-2"/>
    <n v="8.6408081342507492E-3"/>
    <n v="2.6953914561439599E-3"/>
    <n v="0.48043029017434202"/>
    <n v="8.1194211421586098E-6"/>
    <n v="70.135601504604494"/>
    <n v="2.1460188001091498"/>
    <n v="27.718379695286298"/>
    <n v="100"/>
    <n v="0"/>
    <n v="0"/>
    <n v="0"/>
    <n v="0"/>
    <n v="0.31446666143779101"/>
    <n v="-108.482539701516"/>
    <n v="0.211839787719104"/>
    <n v="100"/>
    <n v="50.028064524269702"/>
    <n v="245.83005116851501"/>
    <n v="54.721271260210798"/>
    <n v="298.364958772612"/>
    <n v="3.3046168494153099"/>
    <n v="772.63571373982302"/>
    <n v="0"/>
    <n v="0"/>
    <n v="172.424011431986"/>
    <n v="111.964770804289"/>
    <n v="25.205176913857201"/>
    <n v="-33.337338324601902"/>
    <n v="1793443566.2"/>
    <n v="5.6005132123356401E-2"/>
    <n v="3243"/>
    <n v="0.88025456535898083"/>
    <n v="0.54329706680346979"/>
    <n v="0.88026772051472379"/>
  </r>
  <r>
    <x v="0"/>
    <x v="5"/>
    <n v="0.59304514994180901"/>
    <n v="0.54582655761792898"/>
    <n v="-4.7218592323879503E-2"/>
    <n v="5.16483939389564E-2"/>
    <n v="8.59257770340437E-3"/>
    <n v="4.0803894861200203E-3"/>
    <n v="0.48124359493098101"/>
    <n v="2.6160155846708701E-4"/>
    <n v="37.157614733099003"/>
    <n v="5.2979574660609696"/>
    <n v="57.544427800839998"/>
    <n v="100"/>
    <n v="0"/>
    <n v="0"/>
    <n v="0"/>
    <n v="0"/>
    <n v="0.31332111469607499"/>
    <n v="-83.939360168849007"/>
    <n v="0.46370262699012299"/>
    <n v="99.982756296870093"/>
    <n v="50.170361398792402"/>
    <n v="261.57463639723102"/>
    <n v="54.115187624940503"/>
    <n v="298.08777037669302"/>
    <n v="3.3602026005698802"/>
    <n v="771.91658873901304"/>
    <n v="0"/>
    <n v="0"/>
    <n v="171.98455887507299"/>
    <n v="111.947770870523"/>
    <n v="25.4611491834345"/>
    <n v="-27.529416352358702"/>
    <n v="15343269250.6"/>
    <n v="6.1661602675473499E-2"/>
    <n v="10411"/>
    <n v="1.0865084185898708"/>
    <n v="0.54556495605946187"/>
    <n v="1.0870294056738721"/>
  </r>
  <r>
    <x v="0"/>
    <x v="6"/>
    <n v="0.63823640153156702"/>
    <n v="0.61888463078689704"/>
    <n v="-1.9351770744670201E-2"/>
    <n v="5.2185791575528502E-2"/>
    <n v="9.1515447902879108E-3"/>
    <n v="6.1086112653610403E-3"/>
    <n v="0.52061204354684498"/>
    <n v="3.08266396088742E-2"/>
    <n v="14.6397502932364"/>
    <n v="8.0926461273877308"/>
    <n v="77.267603579375802"/>
    <n v="100"/>
    <n v="0"/>
    <n v="0"/>
    <n v="0"/>
    <n v="0"/>
    <n v="0.335885124888682"/>
    <n v="-60.160555812694"/>
    <n v="32.428094305151397"/>
    <n v="99.998850473779001"/>
    <n v="50.274781669713903"/>
    <n v="259.93612955782498"/>
    <n v="54.782807858905997"/>
    <n v="296.83221444598098"/>
    <n v="3.4239374363163999"/>
    <n v="770.47380483359302"/>
    <n v="0"/>
    <n v="0"/>
    <n v="172.477836794354"/>
    <n v="112.051047901706"/>
    <n v="26.794072443970901"/>
    <n v="-24.722136555212899"/>
    <n v="82741766359.199997"/>
    <n v="5.7210658767209203E-2"/>
    <n v="28756"/>
    <n v="1.0312687854601668"/>
    <n v="0.58805799117802282"/>
    <n v="1.0853290170464731"/>
  </r>
  <r>
    <x v="0"/>
    <x v="7"/>
    <n v="0.75642958472703703"/>
    <n v="0.75683164538743997"/>
    <n v="4.0206066040343E-4"/>
    <n v="5.2606776686533498E-2"/>
    <n v="9.6579140463824709E-3"/>
    <n v="9.1228120252708107E-3"/>
    <n v="0.58998558732265804"/>
    <n v="9.5458555306595597E-2"/>
    <n v="7.9460233976946597"/>
    <n v="9.0764375667582708"/>
    <n v="82.977539035547096"/>
    <n v="100"/>
    <n v="0"/>
    <n v="0"/>
    <n v="0"/>
    <n v="0"/>
    <n v="0.35423246099640199"/>
    <n v="-36.605721441815803"/>
    <n v="136.33516283557401"/>
    <n v="99.998159344760595"/>
    <n v="50.322895012548898"/>
    <n v="259.50442710576101"/>
    <n v="55.5912465047127"/>
    <n v="295.86816303135498"/>
    <n v="3.54391662731196"/>
    <n v="768.09969031919502"/>
    <n v="0"/>
    <n v="0"/>
    <n v="173.14748085217201"/>
    <n v="112.222347554169"/>
    <n v="29.8871100850901"/>
    <n v="-19.045781492830098"/>
    <n v="184404906453.60001"/>
    <n v="6.4806345176119995E-2"/>
    <n v="61160"/>
    <n v="0.99946875812757918"/>
    <n v="0.66137309008084433"/>
    <n v="1.1437259786825817"/>
  </r>
  <r>
    <x v="0"/>
    <x v="8"/>
    <n v="0.82184482350813803"/>
    <n v="0.85155198691058598"/>
    <n v="2.9707163402447001E-2"/>
    <n v="5.3770473224968897E-2"/>
    <n v="1.17570886865286E-2"/>
    <n v="1.2823084982764601E-2"/>
    <n v="0.62246462564326299"/>
    <n v="0.15073671437306099"/>
    <n v="7.8482245076040398"/>
    <n v="9.6090060765062493"/>
    <n v="82.542769415889694"/>
    <n v="100"/>
    <n v="0"/>
    <n v="0"/>
    <n v="0"/>
    <n v="0"/>
    <n v="0.41853624145051599"/>
    <n v="-14.086761006839801"/>
    <n v="484.26877982964101"/>
    <n v="99.995626246542301"/>
    <n v="50.383189836959602"/>
    <n v="237.76207973467899"/>
    <n v="57.557607442319799"/>
    <n v="293.29362759111802"/>
    <n v="3.7431830735993601"/>
    <n v="764.95895993762599"/>
    <n v="0"/>
    <n v="0"/>
    <n v="171.71044077487301"/>
    <n v="112.12622303035"/>
    <n v="31.770949461393201"/>
    <n v="-13.253569446449699"/>
    <n v="187193949670.60001"/>
    <n v="6.7069586347252505E-2"/>
    <n v="96327"/>
    <n v="0.96511409302181894"/>
    <n v="0.70081527253752496"/>
    <n v="1.1726982212193906"/>
  </r>
  <r>
    <x v="1"/>
    <x v="2"/>
    <n v="2.1214286004548602E-3"/>
    <n v="0.43040774504865797"/>
    <n v="0.42828631644820397"/>
    <n v="4.8120707423938501E-2"/>
    <n v="5.6986902323384403E-3"/>
    <n v="8.9111536974319097E-4"/>
    <n v="0.37568982957435898"/>
    <n v="7.4024482790673797E-6"/>
    <n v="75.201596199590199"/>
    <n v="0"/>
    <n v="24.798403800409801"/>
    <n v="0"/>
    <n v="0"/>
    <n v="100"/>
    <n v="0"/>
    <n v="0"/>
    <n v="0.171210922065514"/>
    <n v="-156.405725749997"/>
    <n v="0"/>
    <n v="100"/>
    <n v="51.0965724783822"/>
    <n v="208.818207110929"/>
    <n v="53.406403722499299"/>
    <n v="305.94460687099001"/>
    <n v="2.9707422921531799"/>
    <n v="759.02085944875603"/>
    <n v="0"/>
    <n v="0"/>
    <n v="171.31072178388001"/>
    <n v="111.837108671533"/>
    <n v="23.776582904174202"/>
    <n v="-65.110175441337603"/>
    <n v="5709110.5999999996"/>
    <n v="7.9198657013406905E-5"/>
    <n v="45"/>
    <n v="4.9288811013729105E-3"/>
    <n v="0.4304003426003789"/>
    <n v="4.928965873116367E-3"/>
  </r>
  <r>
    <x v="1"/>
    <x v="3"/>
    <n v="0.54264238509312601"/>
    <n v="0.45693767147504999"/>
    <n v="-8.5704713618075606E-2"/>
    <n v="5.07017195095954E-2"/>
    <n v="8.7319403389976707E-3"/>
    <n v="3.8795016076114399E-3"/>
    <n v="0.39361608701484502"/>
    <n v="8.4230040006205107E-6"/>
    <n v="79.798061656578597"/>
    <n v="0"/>
    <n v="20.2019383434214"/>
    <n v="0"/>
    <n v="0"/>
    <n v="100"/>
    <n v="0"/>
    <n v="0"/>
    <n v="0.29986619549188898"/>
    <n v="-133.29925263325001"/>
    <n v="6.0256753697452E-4"/>
    <n v="100"/>
    <n v="45.551484668147403"/>
    <n v="265.83220512391102"/>
    <n v="54.767642222507298"/>
    <n v="300.290019841473"/>
    <n v="3.1742177220868699"/>
    <n v="758.59772521265802"/>
    <n v="0"/>
    <n v="0"/>
    <n v="172.32971694226299"/>
    <n v="111.923222090702"/>
    <n v="24.383972502417102"/>
    <n v="-46.589873453593299"/>
    <n v="104874119.7"/>
    <n v="5.0287876332840299E-2"/>
    <n v="493"/>
    <n v="1.1875632476118918"/>
    <n v="0.45692924847104938"/>
    <n v="1.1875851390754368"/>
  </r>
  <r>
    <x v="1"/>
    <x v="4"/>
    <n v="0.49229164462914599"/>
    <n v="0.46607515632716601"/>
    <n v="-2.6216488301979601E-2"/>
    <n v="5.0720163344306797E-2"/>
    <n v="7.4300070150475897E-3"/>
    <n v="3.8313493187722902E-3"/>
    <n v="0.40408528609168698"/>
    <n v="8.3505573521928402E-6"/>
    <n v="60.7045694355362"/>
    <n v="0.604263268406662"/>
    <n v="38.691167296057202"/>
    <n v="0"/>
    <n v="0"/>
    <n v="100"/>
    <n v="0"/>
    <n v="0"/>
    <n v="0.26662595148592499"/>
    <n v="-108.71723398742201"/>
    <n v="1.17925386553025E-2"/>
    <n v="100"/>
    <n v="42.753844167395599"/>
    <n v="256.75924388567302"/>
    <n v="54.489011551933103"/>
    <n v="300.125614914376"/>
    <n v="3.2508010334521602"/>
    <n v="767.51444209685496"/>
    <n v="0"/>
    <n v="0"/>
    <n v="172.168107787271"/>
    <n v="111.952305480109"/>
    <n v="25.092106904483799"/>
    <n v="-37.869147879711903"/>
    <n v="1189507020.5"/>
    <n v="6.1624248921246801E-2"/>
    <n v="2935"/>
    <n v="1.0562494866891747"/>
    <n v="0.4660668057698138"/>
    <n v="1.0562684115982386"/>
  </r>
  <r>
    <x v="1"/>
    <x v="5"/>
    <n v="0.44778263297879001"/>
    <n v="0.475830652592315"/>
    <n v="2.8048019613524901E-2"/>
    <n v="5.1127082403016902E-2"/>
    <n v="7.797159064174E-3"/>
    <n v="5.3339570493665597E-3"/>
    <n v="0.41130938141953199"/>
    <n v="2.63072656225213E-4"/>
    <n v="31.880239343334502"/>
    <n v="1.62142559922359"/>
    <n v="66.498335057441906"/>
    <n v="0"/>
    <n v="0"/>
    <n v="100"/>
    <n v="0"/>
    <n v="0"/>
    <n v="0.29076908884214903"/>
    <n v="-83.969248920589294"/>
    <n v="0.70963905578249498"/>
    <n v="100"/>
    <n v="42.452341400764901"/>
    <n v="258.34137802615197"/>
    <n v="54.024345410357903"/>
    <n v="299.15851770207303"/>
    <n v="3.3155407388411802"/>
    <n v="768.21087914392103"/>
    <n v="0"/>
    <n v="0"/>
    <n v="171.940430731948"/>
    <n v="111.952764866774"/>
    <n v="25.776092183356099"/>
    <n v="-31.2104087873354"/>
    <n v="9038517861.7000008"/>
    <n v="4.6433946694455497E-2"/>
    <n v="8934"/>
    <n v="0.94105461793871414"/>
    <n v="0.47556757993608978"/>
    <n v="0.94157518693550613"/>
  </r>
  <r>
    <x v="1"/>
    <x v="6"/>
    <n v="0.55395703070786395"/>
    <n v="0.544575763821325"/>
    <n v="-9.3812668865397107E-3"/>
    <n v="5.1495705514026602E-2"/>
    <n v="8.6002370963940995E-3"/>
    <n v="7.15995306795478E-3"/>
    <n v="0.44610805823008898"/>
    <n v="3.1211809912859802E-2"/>
    <n v="11.474804104272"/>
    <n v="2.22333935567374"/>
    <n v="86.301856540054203"/>
    <n v="0"/>
    <n v="0"/>
    <n v="100"/>
    <n v="0"/>
    <n v="0"/>
    <n v="0.325865360708954"/>
    <n v="-60.056144893846003"/>
    <n v="43.950424899246499"/>
    <n v="99.9931410656324"/>
    <n v="42.322327498216602"/>
    <n v="257.90423752609797"/>
    <n v="54.475317100968397"/>
    <n v="298.27194058751797"/>
    <n v="3.4105815607256602"/>
    <n v="768.14478889348595"/>
    <n v="0"/>
    <n v="0"/>
    <n v="172.19452806567099"/>
    <n v="112.019763385373"/>
    <n v="26.57995953591"/>
    <n v="-24.4592882464643"/>
    <n v="53905946635.699997"/>
    <n v="5.8704216322649501E-2"/>
    <n v="24020"/>
    <n v="1.0172267432922648"/>
    <n v="0.51336395390846523"/>
    <n v="1.079072705612355"/>
  </r>
  <r>
    <x v="1"/>
    <x v="7"/>
    <n v="0.65053281422004805"/>
    <n v="0.68089303069952301"/>
    <n v="3.03602164794755E-2"/>
    <n v="5.1932618753226599E-2"/>
    <n v="9.29006753227863E-3"/>
    <n v="1.05437002612802E-2"/>
    <n v="0.51382911864810399"/>
    <n v="9.5297525504634203E-2"/>
    <n v="6.6137618644110301"/>
    <n v="2.3681392279300901"/>
    <n v="91.018098907658896"/>
    <n v="0"/>
    <n v="0"/>
    <n v="100"/>
    <n v="0"/>
    <n v="0"/>
    <n v="0.35154204011276902"/>
    <n v="-36.491596360661298"/>
    <n v="178.17988296273501"/>
    <n v="99.995322546081098"/>
    <n v="42.675492931041603"/>
    <n v="253.646718692127"/>
    <n v="55.4358369768523"/>
    <n v="297.260235872306"/>
    <n v="3.5495475821208702"/>
    <n v="765.15820392178"/>
    <n v="0"/>
    <n v="0"/>
    <n v="172.96695159605699"/>
    <n v="112.188461520833"/>
    <n v="29.3388468336857"/>
    <n v="-15.766581132282401"/>
    <n v="126403926276.60001"/>
    <n v="6.2598468739778299E-2"/>
    <n v="51135"/>
    <n v="0.95541118044888185"/>
    <n v="0.58559550519488879"/>
    <n v="1.1108910646497328"/>
  </r>
  <r>
    <x v="1"/>
    <x v="8"/>
    <n v="0.76809087070661897"/>
    <n v="0.77415547320795597"/>
    <n v="6.0646025013366099E-3"/>
    <n v="5.2795325393216498E-2"/>
    <n v="1.14535967508022E-2"/>
    <n v="1.4144034710544E-2"/>
    <n v="0.54456440641167203"/>
    <n v="0.151198109941721"/>
    <n v="5.7503161189799297"/>
    <n v="2.3387697731779902"/>
    <n v="91.910914107842103"/>
    <n v="0"/>
    <n v="0"/>
    <n v="100"/>
    <n v="0"/>
    <n v="0"/>
    <n v="0.41887577945446303"/>
    <n v="-13.613790928568299"/>
    <n v="569.74841626351201"/>
    <n v="99.996500886470002"/>
    <n v="43.596588210201404"/>
    <n v="233.342728986308"/>
    <n v="57.007959820438202"/>
    <n v="295.34464735580701"/>
    <n v="3.7461731758941399"/>
    <n v="761.82550758110301"/>
    <n v="0"/>
    <n v="0"/>
    <n v="171.564621114201"/>
    <n v="112.09678121421"/>
    <n v="30.978023868208702"/>
    <n v="-8.8271346047480996"/>
    <n v="147837472095.5"/>
    <n v="6.78361472412113E-2"/>
    <n v="80739"/>
    <n v="0.9921661698312273"/>
    <n v="0.62295736326623496"/>
    <n v="1.232975025256035"/>
  </r>
  <r>
    <x v="2"/>
    <x v="0"/>
    <n v="1.0589442027286301E-4"/>
    <n v="0.40953782718864401"/>
    <n v="0.40943193276837098"/>
    <n v="5.2318326552940303E-2"/>
    <n v="1.0471429978492299E-3"/>
    <n v="6.6475638626953802E-4"/>
    <n v="0.35550176298067698"/>
    <n v="5.8382709083927298E-6"/>
    <n v="100"/>
    <n v="0"/>
    <n v="0"/>
    <n v="0"/>
    <n v="100"/>
    <n v="0"/>
    <n v="0"/>
    <n v="100"/>
    <n v="0"/>
    <n v="-202.1"/>
    <n v="0"/>
    <n v="100"/>
    <n v="34.693955254344701"/>
    <n v="193.35106800783299"/>
    <n v="63.867631974658899"/>
    <n v="296.13236802534101"/>
    <n v="2.6"/>
    <n v="741.34658192035704"/>
    <n v="100"/>
    <n v="0"/>
    <n v="179.2"/>
    <n v="112.2"/>
    <n v="20.9"/>
    <n v="-106.073423822612"/>
    <n v="444369.4"/>
    <n v="4.6188021535170097E-6"/>
    <n v="3"/>
    <n v="2.5857054768248602E-4"/>
    <n v="0.40953198891773562"/>
    <n v="2.5857423385340102E-4"/>
  </r>
  <r>
    <x v="2"/>
    <x v="1"/>
    <n v="9.8434499978890293E-5"/>
    <n v="0.42612814070930399"/>
    <n v="0.42602970620932501"/>
    <n v="4.9596908009418197E-2"/>
    <n v="1.47462371388832E-3"/>
    <n v="8.5021792670950396E-4"/>
    <n v="0.37420102730446397"/>
    <n v="5.3637548238508703E-6"/>
    <n v="100"/>
    <n v="0"/>
    <n v="0"/>
    <n v="0"/>
    <n v="100"/>
    <n v="0"/>
    <n v="0"/>
    <n v="100"/>
    <n v="1.8266989569262499E-2"/>
    <n v="-186.90262958698199"/>
    <n v="0"/>
    <n v="100"/>
    <n v="38.330273179196503"/>
    <n v="186.63420659229601"/>
    <n v="54.9037769766827"/>
    <n v="302.83814017148802"/>
    <n v="2.6293882670651101"/>
    <n v="746.87139429542299"/>
    <n v="85.305866467442996"/>
    <n v="0"/>
    <n v="171.357626770933"/>
    <n v="111.94186518575501"/>
    <n v="25.830301548633699"/>
    <n v="-102.86700748299501"/>
    <n v="3732890.4"/>
    <n v="4.3353644155231803E-6"/>
    <n v="26"/>
    <n v="2.3099741738492768E-4"/>
    <n v="0.42612277695448014"/>
    <n v="2.3100032502934101E-4"/>
  </r>
  <r>
    <x v="2"/>
    <x v="2"/>
    <n v="1.07834418728325E-2"/>
    <n v="0.45625817128301799"/>
    <n v="0.44547472941018501"/>
    <n v="5.1952903264117001E-2"/>
    <n v="4.6299148237267801E-3"/>
    <n v="3.0310193816808001E-3"/>
    <n v="0.39663837070101099"/>
    <n v="5.9631124820377801E-6"/>
    <n v="91.243049764011801"/>
    <n v="0"/>
    <n v="8.7569502359881604"/>
    <n v="0"/>
    <n v="100"/>
    <n v="0"/>
    <n v="0"/>
    <n v="100"/>
    <n v="0.14826263176793"/>
    <n v="-161.60026472028599"/>
    <n v="0"/>
    <n v="92.498555155975495"/>
    <n v="41.403202472211902"/>
    <n v="203.95183526111899"/>
    <n v="55.230635710254198"/>
    <n v="297.923417005202"/>
    <n v="2.8547268040257499"/>
    <n v="749.76349660909398"/>
    <n v="38.851844171090001"/>
    <n v="0"/>
    <n v="172.76455309315401"/>
    <n v="112.05003946678799"/>
    <n v="26.724677546093201"/>
    <n v="-79.693628105776497"/>
    <n v="12928212.1"/>
    <n v="4.0066979099282997E-4"/>
    <n v="92"/>
    <n v="2.3634517804928267E-2"/>
    <n v="0.45625220817053597"/>
    <n v="2.363482670269491E-2"/>
  </r>
  <r>
    <x v="2"/>
    <x v="3"/>
    <n v="0.32412681944105698"/>
    <n v="0.45243177382179001"/>
    <n v="0.128304954380733"/>
    <n v="5.2378787535561501E-2"/>
    <n v="7.8858521072640297E-3"/>
    <n v="2.59245161018727E-3"/>
    <n v="0.389566643964185"/>
    <n v="8.0386045925921804E-6"/>
    <n v="82.523282911005495"/>
    <n v="0.80443815964600096"/>
    <n v="16.672278929348501"/>
    <n v="0"/>
    <n v="100"/>
    <n v="0"/>
    <n v="0"/>
    <n v="100"/>
    <n v="0.298926405956076"/>
    <n v="-132.41953465657301"/>
    <n v="3.3271535490261499E-3"/>
    <n v="99.171748316533694"/>
    <n v="41.903794754835999"/>
    <n v="266.19971903033598"/>
    <n v="54.938538899467098"/>
    <n v="296.68869123250403"/>
    <n v="3.1640023026945201"/>
    <n v="768.82735266999498"/>
    <n v="19.5774662258194"/>
    <n v="0"/>
    <n v="172.79598598827599"/>
    <n v="111.939098479419"/>
    <n v="24.299164979316799"/>
    <n v="-44.803852791079798"/>
    <n v="233108297.69999999"/>
    <n v="5.1074550875958802E-2"/>
    <n v="860"/>
    <n v="0.71641038095774523"/>
    <n v="0.45242373521719742"/>
    <n v="0.71642311004185433"/>
  </r>
  <r>
    <x v="2"/>
    <x v="4"/>
    <n v="0.488667031594607"/>
    <n v="0.46185346560481799"/>
    <n v="-2.6813565989788801E-2"/>
    <n v="5.1895920036993101E-2"/>
    <n v="6.6835285298143497E-3"/>
    <n v="3.1112132629068602E-3"/>
    <n v="0.40015467976857"/>
    <n v="8.1240065340052896E-6"/>
    <n v="64.169403090152102"/>
    <n v="1.41333625252106"/>
    <n v="34.4172606573268"/>
    <n v="0"/>
    <n v="100"/>
    <n v="0"/>
    <n v="0"/>
    <n v="100"/>
    <n v="0.25013435700174202"/>
    <n v="-108.503707149199"/>
    <n v="7.3558019675383996E-3"/>
    <n v="99.886913037462094"/>
    <n v="42.54169744939"/>
    <n v="254.143419815648"/>
    <n v="54.455668666316598"/>
    <n v="297.51110395861002"/>
    <n v="3.2550526307682901"/>
    <n v="772.73223623849799"/>
    <n v="12.5071091419886"/>
    <n v="0"/>
    <n v="172.082497467499"/>
    <n v="111.93448800834901"/>
    <n v="24.892727169643099"/>
    <n v="-35.411048601144898"/>
    <n v="3208599398.6999998"/>
    <n v="6.22005186662088E-2"/>
    <n v="4469"/>
    <n v="1.0580564356157325"/>
    <n v="0.461845341598284"/>
    <n v="1.0580750471651454"/>
  </r>
  <r>
    <x v="2"/>
    <x v="5"/>
    <n v="0.47518166784933702"/>
    <n v="0.46280077674222297"/>
    <n v="-1.23808911071135E-2"/>
    <n v="5.2185375699176001E-2"/>
    <n v="7.2430146281248602E-3"/>
    <n v="4.43676673466254E-3"/>
    <n v="0.39867126763238198"/>
    <n v="2.6435204787750202E-4"/>
    <n v="32.093987712687699"/>
    <n v="2.23991280913202"/>
    <n v="65.6660994781803"/>
    <n v="0"/>
    <n v="100"/>
    <n v="0"/>
    <n v="0"/>
    <n v="100"/>
    <n v="0.27200805809434597"/>
    <n v="-83.944090209346498"/>
    <n v="0.72303901075525501"/>
    <n v="99.939761195649695"/>
    <n v="43.294881818856901"/>
    <n v="271.22268889472201"/>
    <n v="53.923330303561102"/>
    <n v="296.75986693110298"/>
    <n v="3.31990235115402"/>
    <n v="773.10698181611201"/>
    <n v="7.1663821416277704"/>
    <n v="0"/>
    <n v="171.87434629928799"/>
    <n v="111.94169167176"/>
    <n v="25.583363431034702"/>
    <n v="-30.185369067604"/>
    <n v="27276257607.400002"/>
    <n v="5.1883153935527497E-2"/>
    <n v="12579"/>
    <n v="1.0267520966457022"/>
    <n v="0.46253642469434547"/>
    <n v="1.0273389131749955"/>
  </r>
  <r>
    <x v="2"/>
    <x v="6"/>
    <n v="0.55395564426894806"/>
    <n v="0.53055934399918903"/>
    <n v="-2.33963002697588E-2"/>
    <n v="5.2729205695774002E-2"/>
    <n v="8.1154250774001808E-3"/>
    <n v="6.1406589813086101E-3"/>
    <n v="0.42989254403549898"/>
    <n v="3.3681510209207101E-2"/>
    <n v="11.445297639942201"/>
    <n v="2.86780649082925"/>
    <n v="85.686895869228593"/>
    <n v="0"/>
    <n v="100"/>
    <n v="0"/>
    <n v="0"/>
    <n v="100"/>
    <n v="0.30867233241169301"/>
    <n v="-60.135641598286803"/>
    <n v="42.787580819574103"/>
    <n v="99.964554469883595"/>
    <n v="43.009872518408699"/>
    <n v="277.25273665282299"/>
    <n v="54.529986416850399"/>
    <n v="295.48947842471199"/>
    <n v="3.40906932624143"/>
    <n v="772.98362786851897"/>
    <n v="6.3912137075584097"/>
    <n v="0"/>
    <n v="172.16568048575601"/>
    <n v="112.02172036316"/>
    <n v="26.650356646146498"/>
    <n v="-24.577568909598899"/>
    <n v="160208905140.29999"/>
    <n v="5.3916318377109702E-2"/>
    <n v="34083"/>
    <n v="1.0440974238497152"/>
    <n v="0.4968778337899819"/>
    <n v="1.1148729256920153"/>
  </r>
  <r>
    <x v="2"/>
    <x v="7"/>
    <n v="0.64444198748128501"/>
    <n v="0.66730134748652703"/>
    <n v="2.2859360005242899E-2"/>
    <n v="5.3224671462034398E-2"/>
    <n v="8.8046798312496205E-3"/>
    <n v="9.7141971530176497E-3"/>
    <n v="0.49683202733818399"/>
    <n v="9.8725771702041901E-2"/>
    <n v="6.5413392972220397"/>
    <n v="3.2435637036191798"/>
    <n v="90.215096999158803"/>
    <n v="0"/>
    <n v="100"/>
    <n v="0"/>
    <n v="0"/>
    <n v="100"/>
    <n v="0.33438823431836501"/>
    <n v="-36.594952891168603"/>
    <n v="177.15844173747101"/>
    <n v="99.951565896141105"/>
    <n v="42.950345453546902"/>
    <n v="274.17410011261302"/>
    <n v="55.628766922253597"/>
    <n v="294.34698384187499"/>
    <n v="3.5472640521759899"/>
    <n v="770.25199893001195"/>
    <n v="10.7558713504952"/>
    <n v="0"/>
    <n v="172.99781415154499"/>
    <n v="112.195585671575"/>
    <n v="29.4874953808526"/>
    <n v="-16.0896783404554"/>
    <n v="352967743529.29999"/>
    <n v="6.33577809469833E-2"/>
    <n v="75378"/>
    <n v="0.9657435728380519"/>
    <n v="0.56857557578448514"/>
    <n v="1.1334324141379519"/>
  </r>
  <r>
    <x v="2"/>
    <x v="8"/>
    <n v="0.738318384508999"/>
    <n v="0.76275452033983804"/>
    <n v="2.4436135830838999E-2"/>
    <n v="5.4289688214970599E-2"/>
    <n v="1.1286886484589699E-2"/>
    <n v="1.5110640947953599E-2"/>
    <n v="0.53286680744777004"/>
    <n v="0.149200497244554"/>
    <n v="6.0254594699930601"/>
    <n v="3.5250175474062302"/>
    <n v="90.449522982600698"/>
    <n v="0"/>
    <n v="100"/>
    <n v="0"/>
    <n v="0"/>
    <n v="100"/>
    <n v="0.41818703505002303"/>
    <n v="-13.848572548005199"/>
    <n v="569.22223124612799"/>
    <n v="99.919187613936501"/>
    <n v="43.442387449998797"/>
    <n v="246.454873371704"/>
    <n v="57.2287646279146"/>
    <n v="292.012654922894"/>
    <n v="3.7441868291894802"/>
    <n v="766.52030391388996"/>
    <n v="19.235330485440599"/>
    <n v="0"/>
    <n v="171.81127344763999"/>
    <n v="112.116498041288"/>
    <n v="31.0220430062435"/>
    <n v="-8.6600214610019499"/>
    <n v="381235255951.79999"/>
    <n v="6.4821000184505095E-2"/>
    <n v="120612"/>
    <n v="0.96796330250530438"/>
    <n v="0.61355402309528406"/>
    <n v="1.20334698611264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48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2:S13" firstHeaderRow="1" firstDataRow="3" firstDataCol="1"/>
  <pivotFields count="40">
    <pivotField axis="axisCol" showAll="0" defaultSubtotal="0">
      <items count="3">
        <item x="0"/>
        <item x="1"/>
        <item x="2"/>
      </items>
    </pivotField>
    <pivotField axis="axisRow" showAll="0" sortType="ascending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numFmtId="11" showAll="0" defaultSubtotal="0"/>
    <pivotField dataField="1" numFmtId="11" showAll="0" defaultSubtota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2">
    <field x="0"/>
    <field x="-2"/>
  </colFields>
  <colItems count="18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</colItems>
  <dataFields count="6">
    <dataField name="'bal" fld="34" baseField="0" baseItem="0" numFmtId="164"/>
    <dataField name="'actual.smm" fld="2" subtotal="average" baseField="0" baseItem="0" numFmtId="2"/>
    <dataField name="'model.smm" fld="3" subtotal="average" baseField="0" baseItem="0" numFmtId="2"/>
    <dataField name="'model w/o refi" fld="38" subtotal="average" baseField="0" baseItem="0" numFmtId="2"/>
    <dataField name="'Ratio" fld="37" subtotal="average" baseField="0" baseItem="0" numFmtId="2"/>
    <dataField name="'Ratio w/o refi" fld="39" subtotal="average" baseField="0" baseItem="0" numFmtId="2"/>
  </dataFields>
  <formats count="5">
    <format dxfId="9">
      <pivotArea outline="0" collapsedLevelsAreSubtotals="1" fieldPosition="0"/>
    </format>
    <format dxfId="8">
      <pivotArea type="topRight" dataOnly="0" labelOnly="1" outline="0" offset="B1" fieldPosition="0"/>
    </format>
    <format dxfId="7">
      <pivotArea type="topRight" dataOnly="0" labelOnly="1" outline="0" offset="G1" fieldPosition="0"/>
    </format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outline="0" collapsedLevelsAreSubtotals="1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6"/>
  <sheetViews>
    <sheetView workbookViewId="0">
      <selection activeCell="A2" sqref="A2:AL26"/>
    </sheetView>
  </sheetViews>
  <sheetFormatPr defaultRowHeight="15" x14ac:dyDescent="0.25"/>
  <cols>
    <col min="2" max="2" width="9.140625" style="2"/>
    <col min="27" max="27" width="9.140625" style="2"/>
  </cols>
  <sheetData>
    <row r="1" spans="1:41" x14ac:dyDescent="0.25">
      <c r="A1" s="2"/>
      <c r="B1" s="2" t="s">
        <v>50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51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43</v>
      </c>
      <c r="AN1" s="2" t="s">
        <v>44</v>
      </c>
      <c r="AO1" s="2" t="s">
        <v>45</v>
      </c>
    </row>
    <row r="2" spans="1:41" x14ac:dyDescent="0.25">
      <c r="A2" s="2">
        <v>1</v>
      </c>
      <c r="B2" s="2" t="s">
        <v>52</v>
      </c>
      <c r="C2" s="2">
        <v>-200</v>
      </c>
      <c r="D2" s="2">
        <v>0</v>
      </c>
      <c r="E2" s="2">
        <v>0.54662159786949704</v>
      </c>
      <c r="F2" s="2">
        <v>0.54662159786949704</v>
      </c>
      <c r="G2" s="2">
        <v>4.63679339383231E-2</v>
      </c>
      <c r="H2" s="2">
        <v>7.0095480037455603E-3</v>
      </c>
      <c r="I2" s="2">
        <v>2.1767076002008798E-3</v>
      </c>
      <c r="J2" s="2">
        <v>0.491062550943694</v>
      </c>
      <c r="K2" s="3">
        <v>4.8573835333944901E-6</v>
      </c>
      <c r="L2" s="2">
        <v>0</v>
      </c>
      <c r="M2" s="2">
        <v>0</v>
      </c>
      <c r="N2" s="2">
        <v>100</v>
      </c>
      <c r="O2" s="2">
        <v>100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-207.20459285984401</v>
      </c>
      <c r="V2" s="2">
        <v>0</v>
      </c>
      <c r="W2" s="2">
        <v>100</v>
      </c>
      <c r="X2" s="2">
        <v>69.034099070848399</v>
      </c>
      <c r="Y2" s="2">
        <v>93.667049464276602</v>
      </c>
      <c r="Z2" s="2">
        <v>49.998468904423603</v>
      </c>
      <c r="AA2" s="2">
        <v>310.00153109557601</v>
      </c>
      <c r="AB2" s="2">
        <v>2.5</v>
      </c>
      <c r="AC2" s="2">
        <v>647</v>
      </c>
      <c r="AD2" s="2">
        <v>0</v>
      </c>
      <c r="AE2" s="2">
        <v>0</v>
      </c>
      <c r="AF2" s="2">
        <v>168.031419440147</v>
      </c>
      <c r="AG2" s="2">
        <v>111.599770264516</v>
      </c>
      <c r="AH2" s="2">
        <v>24.7665912739647</v>
      </c>
      <c r="AI2" s="2">
        <v>-110.7</v>
      </c>
      <c r="AJ2" s="2">
        <v>281105.90000000002</v>
      </c>
      <c r="AK2" s="2">
        <v>0</v>
      </c>
      <c r="AL2" s="2">
        <v>3</v>
      </c>
      <c r="AM2" s="2">
        <f>D2/E2</f>
        <v>0</v>
      </c>
      <c r="AN2" s="3">
        <f>E2-K2</f>
        <v>0.54661674048596365</v>
      </c>
      <c r="AO2" s="3">
        <f>D2/(E2-K2)</f>
        <v>0</v>
      </c>
    </row>
    <row r="3" spans="1:41" x14ac:dyDescent="0.25">
      <c r="A3" s="2">
        <v>2</v>
      </c>
      <c r="B3" s="2" t="s">
        <v>52</v>
      </c>
      <c r="C3" s="2">
        <v>-175</v>
      </c>
      <c r="D3" s="2">
        <v>2.3397505093422301E-3</v>
      </c>
      <c r="E3" s="2">
        <v>0.53163724834970405</v>
      </c>
      <c r="F3" s="2">
        <v>0.52929749784036095</v>
      </c>
      <c r="G3" s="2">
        <v>4.7318698607130602E-2</v>
      </c>
      <c r="H3" s="2">
        <v>6.2325637358933298E-3</v>
      </c>
      <c r="I3" s="2">
        <v>4.8815659202433E-3</v>
      </c>
      <c r="J3" s="2">
        <v>0.47319774224640199</v>
      </c>
      <c r="K3" s="3">
        <v>6.6778400339896399E-6</v>
      </c>
      <c r="L3" s="2">
        <v>0</v>
      </c>
      <c r="M3" s="2">
        <v>0</v>
      </c>
      <c r="N3" s="2">
        <v>100</v>
      </c>
      <c r="O3" s="2">
        <v>100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-183.96153218038799</v>
      </c>
      <c r="V3" s="2">
        <v>0</v>
      </c>
      <c r="W3" s="2">
        <v>100</v>
      </c>
      <c r="X3" s="2">
        <v>68.390011310727502</v>
      </c>
      <c r="Y3" s="2">
        <v>159.20792804803099</v>
      </c>
      <c r="Z3" s="2">
        <v>52.013446988044201</v>
      </c>
      <c r="AA3" s="2">
        <v>307.81968364272302</v>
      </c>
      <c r="AB3" s="2">
        <v>2.6026705653169002</v>
      </c>
      <c r="AC3" s="2">
        <v>662.48785739729396</v>
      </c>
      <c r="AD3" s="2">
        <v>0</v>
      </c>
      <c r="AE3" s="2">
        <v>0</v>
      </c>
      <c r="AF3" s="2">
        <v>172.31630140471501</v>
      </c>
      <c r="AG3" s="2">
        <v>111.973304065706</v>
      </c>
      <c r="AH3" s="2">
        <v>24.184242486508399</v>
      </c>
      <c r="AI3" s="2">
        <v>-117.060988131494</v>
      </c>
      <c r="AJ3" s="2">
        <v>1585574.4</v>
      </c>
      <c r="AK3" s="3">
        <v>7.9373570137443306E-5</v>
      </c>
      <c r="AL3" s="2">
        <v>11</v>
      </c>
      <c r="AM3" s="2">
        <f t="shared" ref="AM3:AM9" si="0">D3/E3</f>
        <v>4.4010281758948026E-3</v>
      </c>
      <c r="AN3" s="3">
        <f t="shared" ref="AN3:AN9" si="1">E3-K3</f>
        <v>0.53163057050967011</v>
      </c>
      <c r="AO3" s="3">
        <f t="shared" ref="AO3:AO9" si="2">D3/(E3-K3)</f>
        <v>4.4010834574451383E-3</v>
      </c>
    </row>
    <row r="4" spans="1:41" x14ac:dyDescent="0.25">
      <c r="A4" s="2">
        <v>3</v>
      </c>
      <c r="B4" s="2" t="s">
        <v>52</v>
      </c>
      <c r="C4" s="2">
        <v>-150</v>
      </c>
      <c r="D4" s="2">
        <v>2.46588315607876</v>
      </c>
      <c r="E4" s="2">
        <v>0.52425817229799099</v>
      </c>
      <c r="F4" s="2">
        <v>-1.94162498378077</v>
      </c>
      <c r="G4" s="2">
        <v>5.0131686366228202E-2</v>
      </c>
      <c r="H4" s="2">
        <v>1.3030498889732499E-2</v>
      </c>
      <c r="I4" s="2">
        <v>5.6348152661391702E-3</v>
      </c>
      <c r="J4" s="2">
        <v>0.45545435516612398</v>
      </c>
      <c r="K4" s="3">
        <v>6.8166097669879997E-6</v>
      </c>
      <c r="L4" s="2">
        <v>28.560604179897702</v>
      </c>
      <c r="M4" s="2">
        <v>0</v>
      </c>
      <c r="N4" s="2">
        <v>71.439395820102305</v>
      </c>
      <c r="O4" s="2">
        <v>100</v>
      </c>
      <c r="P4" s="2">
        <v>0</v>
      </c>
      <c r="Q4" s="2">
        <v>0</v>
      </c>
      <c r="R4" s="2">
        <v>0</v>
      </c>
      <c r="S4" s="2">
        <v>0</v>
      </c>
      <c r="T4" s="2">
        <v>0.37956015240041802</v>
      </c>
      <c r="U4" s="2">
        <v>-159.39104108459301</v>
      </c>
      <c r="V4" s="2">
        <v>0</v>
      </c>
      <c r="W4" s="2">
        <v>100</v>
      </c>
      <c r="X4" s="2">
        <v>61.214329984215503</v>
      </c>
      <c r="Y4" s="2">
        <v>176.860430949754</v>
      </c>
      <c r="Z4" s="2">
        <v>54.231249020472298</v>
      </c>
      <c r="AA4" s="2">
        <v>301.81342456597298</v>
      </c>
      <c r="AB4" s="2">
        <v>2.7554845840334399</v>
      </c>
      <c r="AC4" s="2">
        <v>719.08880892524803</v>
      </c>
      <c r="AD4" s="2">
        <v>0</v>
      </c>
      <c r="AE4" s="2">
        <v>0</v>
      </c>
      <c r="AF4" s="2">
        <v>173.16878798344101</v>
      </c>
      <c r="AG4" s="2">
        <v>112.022143263641</v>
      </c>
      <c r="AH4" s="2">
        <v>25.017593681393102</v>
      </c>
      <c r="AI4" s="2">
        <v>-104.591668994698</v>
      </c>
      <c r="AJ4" s="2">
        <v>19093386</v>
      </c>
      <c r="AK4" s="2">
        <v>9.8963440223195406E-2</v>
      </c>
      <c r="AL4" s="2">
        <v>133</v>
      </c>
      <c r="AM4" s="2">
        <f t="shared" si="0"/>
        <v>4.7035664609099115</v>
      </c>
      <c r="AN4" s="3">
        <f t="shared" si="1"/>
        <v>0.52425135568822401</v>
      </c>
      <c r="AO4" s="3">
        <f t="shared" si="2"/>
        <v>4.7036276193155677</v>
      </c>
    </row>
    <row r="5" spans="1:41" x14ac:dyDescent="0.25">
      <c r="A5" s="2">
        <v>4</v>
      </c>
      <c r="B5" s="2" t="s">
        <v>52</v>
      </c>
      <c r="C5" s="2">
        <v>-125</v>
      </c>
      <c r="D5" s="2">
        <v>0.33926647308907498</v>
      </c>
      <c r="E5" s="2">
        <v>0.51519189419154199</v>
      </c>
      <c r="F5" s="2">
        <v>0.17592542110246701</v>
      </c>
      <c r="G5" s="2">
        <v>5.0619005302702302E-2</v>
      </c>
      <c r="H5" s="2">
        <v>8.7293105443289505E-3</v>
      </c>
      <c r="I5" s="2">
        <v>3.2088665545347101E-3</v>
      </c>
      <c r="J5" s="2">
        <v>0.45262697766899201</v>
      </c>
      <c r="K5" s="3">
        <v>7.7341209838570701E-6</v>
      </c>
      <c r="L5" s="2">
        <v>63.129908972664502</v>
      </c>
      <c r="M5" s="2">
        <v>0.252729687213818</v>
      </c>
      <c r="N5" s="2">
        <v>36.617361340121597</v>
      </c>
      <c r="O5" s="2">
        <v>100</v>
      </c>
      <c r="P5" s="2">
        <v>0</v>
      </c>
      <c r="Q5" s="2">
        <v>0</v>
      </c>
      <c r="R5" s="2">
        <v>0</v>
      </c>
      <c r="S5" s="2">
        <v>0</v>
      </c>
      <c r="T5" s="2">
        <v>0.29327140623574999</v>
      </c>
      <c r="U5" s="2">
        <v>-134.276249249758</v>
      </c>
      <c r="V5" s="2">
        <v>4.2269539098943598E-3</v>
      </c>
      <c r="W5" s="2">
        <v>100</v>
      </c>
      <c r="X5" s="2">
        <v>54.492214366140601</v>
      </c>
      <c r="Y5" s="2">
        <v>229.314166464415</v>
      </c>
      <c r="Z5" s="2">
        <v>54.525419422601097</v>
      </c>
      <c r="AA5" s="2">
        <v>300.55342053650202</v>
      </c>
      <c r="AB5" s="2">
        <v>3.0516294251400402</v>
      </c>
      <c r="AC5" s="2">
        <v>760.94944092186302</v>
      </c>
      <c r="AD5" s="2">
        <v>0</v>
      </c>
      <c r="AE5" s="2">
        <v>0</v>
      </c>
      <c r="AF5" s="2">
        <v>173.00403315194299</v>
      </c>
      <c r="AG5" s="2">
        <v>112.00852307286701</v>
      </c>
      <c r="AH5" s="2">
        <v>25.4341524234951</v>
      </c>
      <c r="AI5" s="2">
        <v>-65.197249001765996</v>
      </c>
      <c r="AJ5" s="2">
        <v>185002405.19999999</v>
      </c>
      <c r="AK5" s="2">
        <v>4.1504873287216699E-2</v>
      </c>
      <c r="AL5" s="2">
        <v>777</v>
      </c>
      <c r="AM5" s="2">
        <f t="shared" si="0"/>
        <v>0.65852447779960588</v>
      </c>
      <c r="AN5" s="3">
        <f t="shared" si="1"/>
        <v>0.51518416007055812</v>
      </c>
      <c r="AO5" s="3">
        <f t="shared" si="2"/>
        <v>0.65853436379451191</v>
      </c>
    </row>
    <row r="6" spans="1:41" x14ac:dyDescent="0.25">
      <c r="A6" s="2">
        <v>5</v>
      </c>
      <c r="B6" s="2" t="s">
        <v>52</v>
      </c>
      <c r="C6" s="2">
        <v>-100</v>
      </c>
      <c r="D6" s="2">
        <v>0.47824687055742598</v>
      </c>
      <c r="E6" s="2">
        <v>0.54330518622461199</v>
      </c>
      <c r="F6" s="2">
        <v>6.5058315667185396E-2</v>
      </c>
      <c r="G6" s="2">
        <v>5.1530577038732997E-2</v>
      </c>
      <c r="H6" s="2">
        <v>8.6408081342507492E-3</v>
      </c>
      <c r="I6" s="2">
        <v>2.6953914561439599E-3</v>
      </c>
      <c r="J6" s="2">
        <v>0.48043029017434202</v>
      </c>
      <c r="K6" s="3">
        <v>8.1194211421586098E-6</v>
      </c>
      <c r="L6" s="2">
        <v>70.135601504604494</v>
      </c>
      <c r="M6" s="2">
        <v>2.1460188001091498</v>
      </c>
      <c r="N6" s="2">
        <v>27.718379695286298</v>
      </c>
      <c r="O6" s="2">
        <v>100</v>
      </c>
      <c r="P6" s="2">
        <v>0</v>
      </c>
      <c r="Q6" s="2">
        <v>0</v>
      </c>
      <c r="R6" s="2">
        <v>0</v>
      </c>
      <c r="S6" s="2">
        <v>0</v>
      </c>
      <c r="T6" s="2">
        <v>0.31446666143779101</v>
      </c>
      <c r="U6" s="2">
        <v>-108.482539701516</v>
      </c>
      <c r="V6" s="2">
        <v>0.211839787719104</v>
      </c>
      <c r="W6" s="2">
        <v>100</v>
      </c>
      <c r="X6" s="2">
        <v>50.028064524269702</v>
      </c>
      <c r="Y6" s="2">
        <v>245.83005116851501</v>
      </c>
      <c r="Z6" s="2">
        <v>54.721271260210798</v>
      </c>
      <c r="AA6" s="2">
        <v>298.364958772612</v>
      </c>
      <c r="AB6" s="2">
        <v>3.3046168494153099</v>
      </c>
      <c r="AC6" s="2">
        <v>772.63571373982302</v>
      </c>
      <c r="AD6" s="2">
        <v>0</v>
      </c>
      <c r="AE6" s="2">
        <v>0</v>
      </c>
      <c r="AF6" s="2">
        <v>172.424011431986</v>
      </c>
      <c r="AG6" s="2">
        <v>111.964770804289</v>
      </c>
      <c r="AH6" s="2">
        <v>25.205176913857201</v>
      </c>
      <c r="AI6" s="2">
        <v>-33.337338324601902</v>
      </c>
      <c r="AJ6" s="2">
        <v>1793443566.2</v>
      </c>
      <c r="AK6" s="2">
        <v>5.6005132123356401E-2</v>
      </c>
      <c r="AL6" s="2">
        <v>3243</v>
      </c>
      <c r="AM6" s="2">
        <f t="shared" si="0"/>
        <v>0.88025456535898083</v>
      </c>
      <c r="AN6" s="3">
        <f t="shared" si="1"/>
        <v>0.54329706680346979</v>
      </c>
      <c r="AO6" s="3">
        <f t="shared" si="2"/>
        <v>0.88026772051472379</v>
      </c>
    </row>
    <row r="7" spans="1:41" x14ac:dyDescent="0.25">
      <c r="A7" s="2">
        <v>6</v>
      </c>
      <c r="B7" s="2" t="s">
        <v>52</v>
      </c>
      <c r="C7" s="2">
        <v>-75</v>
      </c>
      <c r="D7" s="2">
        <v>0.59304514994180901</v>
      </c>
      <c r="E7" s="2">
        <v>0.54582655761792898</v>
      </c>
      <c r="F7" s="2">
        <v>-4.7218592323879503E-2</v>
      </c>
      <c r="G7" s="2">
        <v>5.16483939389564E-2</v>
      </c>
      <c r="H7" s="2">
        <v>8.59257770340437E-3</v>
      </c>
      <c r="I7" s="2">
        <v>4.0803894861200203E-3</v>
      </c>
      <c r="J7" s="2">
        <v>0.48124359493098101</v>
      </c>
      <c r="K7" s="2">
        <v>2.6160155846708701E-4</v>
      </c>
      <c r="L7" s="2">
        <v>37.157614733099003</v>
      </c>
      <c r="M7" s="2">
        <v>5.2979574660609696</v>
      </c>
      <c r="N7" s="2">
        <v>57.544427800839998</v>
      </c>
      <c r="O7" s="2">
        <v>100</v>
      </c>
      <c r="P7" s="2">
        <v>0</v>
      </c>
      <c r="Q7" s="2">
        <v>0</v>
      </c>
      <c r="R7" s="2">
        <v>0</v>
      </c>
      <c r="S7" s="2">
        <v>0</v>
      </c>
      <c r="T7" s="2">
        <v>0.31332111469607499</v>
      </c>
      <c r="U7" s="2">
        <v>-83.939360168849007</v>
      </c>
      <c r="V7" s="2">
        <v>0.46370262699012299</v>
      </c>
      <c r="W7" s="2">
        <v>99.982756296870093</v>
      </c>
      <c r="X7" s="2">
        <v>50.170361398792402</v>
      </c>
      <c r="Y7" s="2">
        <v>261.57463639723102</v>
      </c>
      <c r="Z7" s="2">
        <v>54.115187624940503</v>
      </c>
      <c r="AA7" s="2">
        <v>298.08777037669302</v>
      </c>
      <c r="AB7" s="2">
        <v>3.3602026005698802</v>
      </c>
      <c r="AC7" s="2">
        <v>771.91658873901304</v>
      </c>
      <c r="AD7" s="2">
        <v>0</v>
      </c>
      <c r="AE7" s="2">
        <v>0</v>
      </c>
      <c r="AF7" s="2">
        <v>171.98455887507299</v>
      </c>
      <c r="AG7" s="2">
        <v>111.947770870523</v>
      </c>
      <c r="AH7" s="2">
        <v>25.4611491834345</v>
      </c>
      <c r="AI7" s="2">
        <v>-27.529416352358702</v>
      </c>
      <c r="AJ7" s="2">
        <v>15343269250.6</v>
      </c>
      <c r="AK7" s="2">
        <v>6.1661602675473499E-2</v>
      </c>
      <c r="AL7" s="2">
        <v>10411</v>
      </c>
      <c r="AM7" s="2">
        <f t="shared" si="0"/>
        <v>1.0865084185898708</v>
      </c>
      <c r="AN7" s="3">
        <f t="shared" si="1"/>
        <v>0.54556495605946187</v>
      </c>
      <c r="AO7" s="3">
        <f t="shared" si="2"/>
        <v>1.0870294056738721</v>
      </c>
    </row>
    <row r="8" spans="1:41" x14ac:dyDescent="0.25">
      <c r="A8" s="2">
        <v>7</v>
      </c>
      <c r="B8" s="2" t="s">
        <v>52</v>
      </c>
      <c r="C8" s="2">
        <v>-50</v>
      </c>
      <c r="D8" s="2">
        <v>0.63823640153156702</v>
      </c>
      <c r="E8" s="2">
        <v>0.61888463078689704</v>
      </c>
      <c r="F8" s="2">
        <v>-1.9351770744670201E-2</v>
      </c>
      <c r="G8" s="2">
        <v>5.2185791575528502E-2</v>
      </c>
      <c r="H8" s="2">
        <v>9.1515447902879108E-3</v>
      </c>
      <c r="I8" s="2">
        <v>6.1086112653610403E-3</v>
      </c>
      <c r="J8" s="2">
        <v>0.52061204354684498</v>
      </c>
      <c r="K8" s="2">
        <v>3.08266396088742E-2</v>
      </c>
      <c r="L8" s="2">
        <v>14.6397502932364</v>
      </c>
      <c r="M8" s="2">
        <v>8.0926461273877308</v>
      </c>
      <c r="N8" s="2">
        <v>77.267603579375802</v>
      </c>
      <c r="O8" s="2">
        <v>100</v>
      </c>
      <c r="P8" s="2">
        <v>0</v>
      </c>
      <c r="Q8" s="2">
        <v>0</v>
      </c>
      <c r="R8" s="2">
        <v>0</v>
      </c>
      <c r="S8" s="2">
        <v>0</v>
      </c>
      <c r="T8" s="2">
        <v>0.335885124888682</v>
      </c>
      <c r="U8" s="2">
        <v>-60.160555812694</v>
      </c>
      <c r="V8" s="2">
        <v>32.428094305151397</v>
      </c>
      <c r="W8" s="2">
        <v>99.998850473779001</v>
      </c>
      <c r="X8" s="2">
        <v>50.274781669713903</v>
      </c>
      <c r="Y8" s="2">
        <v>259.93612955782498</v>
      </c>
      <c r="Z8" s="2">
        <v>54.782807858905997</v>
      </c>
      <c r="AA8" s="2">
        <v>296.83221444598098</v>
      </c>
      <c r="AB8" s="2">
        <v>3.4239374363163999</v>
      </c>
      <c r="AC8" s="2">
        <v>770.47380483359302</v>
      </c>
      <c r="AD8" s="2">
        <v>0</v>
      </c>
      <c r="AE8" s="2">
        <v>0</v>
      </c>
      <c r="AF8" s="2">
        <v>172.477836794354</v>
      </c>
      <c r="AG8" s="2">
        <v>112.051047901706</v>
      </c>
      <c r="AH8" s="2">
        <v>26.794072443970901</v>
      </c>
      <c r="AI8" s="2">
        <v>-24.722136555212899</v>
      </c>
      <c r="AJ8" s="2">
        <v>82741766359.199997</v>
      </c>
      <c r="AK8" s="2">
        <v>5.7210658767209203E-2</v>
      </c>
      <c r="AL8" s="2">
        <v>28756</v>
      </c>
      <c r="AM8" s="2">
        <f t="shared" si="0"/>
        <v>1.0312687854601668</v>
      </c>
      <c r="AN8" s="3">
        <f t="shared" si="1"/>
        <v>0.58805799117802282</v>
      </c>
      <c r="AO8" s="3">
        <f t="shared" si="2"/>
        <v>1.0853290170464731</v>
      </c>
    </row>
    <row r="9" spans="1:41" x14ac:dyDescent="0.25">
      <c r="A9" s="2">
        <v>8</v>
      </c>
      <c r="B9" s="2" t="s">
        <v>52</v>
      </c>
      <c r="C9" s="2">
        <v>-25</v>
      </c>
      <c r="D9" s="2">
        <v>0.75642958472703703</v>
      </c>
      <c r="E9" s="2">
        <v>0.75683164538743997</v>
      </c>
      <c r="F9" s="2">
        <v>4.0206066040343E-4</v>
      </c>
      <c r="G9" s="2">
        <v>5.2606776686533498E-2</v>
      </c>
      <c r="H9" s="2">
        <v>9.6579140463824709E-3</v>
      </c>
      <c r="I9" s="2">
        <v>9.1228120252708107E-3</v>
      </c>
      <c r="J9" s="2">
        <v>0.58998558732265804</v>
      </c>
      <c r="K9" s="2">
        <v>9.5458555306595597E-2</v>
      </c>
      <c r="L9" s="2">
        <v>7.9460233976946597</v>
      </c>
      <c r="M9" s="2">
        <v>9.0764375667582708</v>
      </c>
      <c r="N9" s="2">
        <v>82.977539035547096</v>
      </c>
      <c r="O9" s="2">
        <v>100</v>
      </c>
      <c r="P9" s="2">
        <v>0</v>
      </c>
      <c r="Q9" s="2">
        <v>0</v>
      </c>
      <c r="R9" s="2">
        <v>0</v>
      </c>
      <c r="S9" s="2">
        <v>0</v>
      </c>
      <c r="T9" s="2">
        <v>0.35423246099640199</v>
      </c>
      <c r="U9" s="2">
        <v>-36.605721441815803</v>
      </c>
      <c r="V9" s="2">
        <v>136.33516283557401</v>
      </c>
      <c r="W9" s="2">
        <v>99.998159344760595</v>
      </c>
      <c r="X9" s="2">
        <v>50.322895012548898</v>
      </c>
      <c r="Y9" s="2">
        <v>259.50442710576101</v>
      </c>
      <c r="Z9" s="2">
        <v>55.5912465047127</v>
      </c>
      <c r="AA9" s="2">
        <v>295.86816303135498</v>
      </c>
      <c r="AB9" s="2">
        <v>3.54391662731196</v>
      </c>
      <c r="AC9" s="2">
        <v>768.09969031919502</v>
      </c>
      <c r="AD9" s="2">
        <v>0</v>
      </c>
      <c r="AE9" s="2">
        <v>0</v>
      </c>
      <c r="AF9" s="2">
        <v>173.14748085217201</v>
      </c>
      <c r="AG9" s="2">
        <v>112.222347554169</v>
      </c>
      <c r="AH9" s="2">
        <v>29.8871100850901</v>
      </c>
      <c r="AI9" s="2">
        <v>-19.045781492830098</v>
      </c>
      <c r="AJ9" s="2">
        <v>184404906453.60001</v>
      </c>
      <c r="AK9" s="2">
        <v>6.4806345176119995E-2</v>
      </c>
      <c r="AL9" s="2">
        <v>61160</v>
      </c>
      <c r="AM9" s="2">
        <f t="shared" si="0"/>
        <v>0.99946875812757918</v>
      </c>
      <c r="AN9" s="3">
        <f t="shared" si="1"/>
        <v>0.66137309008084433</v>
      </c>
      <c r="AO9" s="3">
        <f t="shared" si="2"/>
        <v>1.1437259786825817</v>
      </c>
    </row>
    <row r="10" spans="1:41" x14ac:dyDescent="0.25">
      <c r="A10" s="2">
        <v>9</v>
      </c>
      <c r="B10" s="2" t="s">
        <v>52</v>
      </c>
      <c r="C10" s="2">
        <v>0</v>
      </c>
      <c r="D10" s="2">
        <v>0.82184482350813803</v>
      </c>
      <c r="E10" s="2">
        <v>0.85155198691058598</v>
      </c>
      <c r="F10" s="2">
        <v>2.9707163402447001E-2</v>
      </c>
      <c r="G10" s="2">
        <v>5.3770473224968897E-2</v>
      </c>
      <c r="H10" s="2">
        <v>1.17570886865286E-2</v>
      </c>
      <c r="I10" s="2">
        <v>1.2823084982764601E-2</v>
      </c>
      <c r="J10" s="2">
        <v>0.62246462564326299</v>
      </c>
      <c r="K10" s="2">
        <v>0.15073671437306099</v>
      </c>
      <c r="L10" s="2">
        <v>7.8482245076040398</v>
      </c>
      <c r="M10" s="2">
        <v>9.6090060765062493</v>
      </c>
      <c r="N10" s="2">
        <v>82.542769415889694</v>
      </c>
      <c r="O10" s="2">
        <v>100</v>
      </c>
      <c r="P10" s="2">
        <v>0</v>
      </c>
      <c r="Q10" s="2">
        <v>0</v>
      </c>
      <c r="R10" s="2">
        <v>0</v>
      </c>
      <c r="S10" s="2">
        <v>0</v>
      </c>
      <c r="T10" s="2">
        <v>0.41853624145051599</v>
      </c>
      <c r="U10" s="2">
        <v>-14.086761006839801</v>
      </c>
      <c r="V10" s="2">
        <v>484.26877982964101</v>
      </c>
      <c r="W10" s="2">
        <v>99.995626246542301</v>
      </c>
      <c r="X10" s="2">
        <v>50.383189836959602</v>
      </c>
      <c r="Y10" s="2">
        <v>237.76207973467899</v>
      </c>
      <c r="Z10" s="2">
        <v>57.557607442319799</v>
      </c>
      <c r="AA10" s="2">
        <v>293.29362759111802</v>
      </c>
      <c r="AB10" s="2">
        <v>3.7431830735993601</v>
      </c>
      <c r="AC10" s="2">
        <v>764.95895993762599</v>
      </c>
      <c r="AD10" s="2">
        <v>0</v>
      </c>
      <c r="AE10" s="2">
        <v>0</v>
      </c>
      <c r="AF10" s="2">
        <v>171.71044077487301</v>
      </c>
      <c r="AG10" s="2">
        <v>112.12622303035</v>
      </c>
      <c r="AH10" s="2">
        <v>31.770949461393201</v>
      </c>
      <c r="AI10" s="2">
        <v>-13.253569446449699</v>
      </c>
      <c r="AJ10" s="2">
        <v>187193949670.60001</v>
      </c>
      <c r="AK10" s="2">
        <v>6.7069586347252505E-2</v>
      </c>
      <c r="AL10" s="2">
        <v>96327</v>
      </c>
      <c r="AM10" s="2">
        <f t="shared" ref="AM10:AM19" si="3">D10/E10</f>
        <v>0.96511409302181894</v>
      </c>
      <c r="AN10" s="3">
        <f t="shared" ref="AN10:AN19" si="4">E10-K10</f>
        <v>0.70081527253752496</v>
      </c>
      <c r="AO10" s="3">
        <f t="shared" ref="AO10:AO19" si="5">D10/(E10-K10)</f>
        <v>1.1726982212193906</v>
      </c>
    </row>
    <row r="11" spans="1:41" x14ac:dyDescent="0.25">
      <c r="A11" s="2">
        <v>10</v>
      </c>
      <c r="B11" s="2" t="s">
        <v>53</v>
      </c>
      <c r="C11" s="2">
        <v>-150</v>
      </c>
      <c r="D11" s="2">
        <v>2.1214286004548602E-3</v>
      </c>
      <c r="E11" s="2">
        <v>0.43040774504865797</v>
      </c>
      <c r="F11" s="2">
        <v>0.42828631644820397</v>
      </c>
      <c r="G11" s="2">
        <v>4.8120707423938501E-2</v>
      </c>
      <c r="H11" s="2">
        <v>5.6986902323384403E-3</v>
      </c>
      <c r="I11" s="2">
        <v>8.9111536974319097E-4</v>
      </c>
      <c r="J11" s="2">
        <v>0.37568982957435898</v>
      </c>
      <c r="K11" s="3">
        <v>7.4024482790673797E-6</v>
      </c>
      <c r="L11" s="2">
        <v>75.201596199590199</v>
      </c>
      <c r="M11" s="2">
        <v>0</v>
      </c>
      <c r="N11" s="2">
        <v>24.798403800409801</v>
      </c>
      <c r="O11" s="2">
        <v>0</v>
      </c>
      <c r="P11" s="2">
        <v>0</v>
      </c>
      <c r="Q11" s="2">
        <v>100</v>
      </c>
      <c r="R11" s="2">
        <v>0</v>
      </c>
      <c r="S11" s="2">
        <v>0</v>
      </c>
      <c r="T11" s="2">
        <v>0.171210922065514</v>
      </c>
      <c r="U11" s="2">
        <v>-156.405725749997</v>
      </c>
      <c r="V11" s="2">
        <v>0</v>
      </c>
      <c r="W11" s="2">
        <v>100</v>
      </c>
      <c r="X11" s="2">
        <v>51.0965724783822</v>
      </c>
      <c r="Y11" s="2">
        <v>208.818207110929</v>
      </c>
      <c r="Z11" s="2">
        <v>53.406403722499299</v>
      </c>
      <c r="AA11" s="2">
        <v>305.94460687099001</v>
      </c>
      <c r="AB11" s="2">
        <v>2.9707422921531799</v>
      </c>
      <c r="AC11" s="2">
        <v>759.02085944875603</v>
      </c>
      <c r="AD11" s="2">
        <v>0</v>
      </c>
      <c r="AE11" s="2">
        <v>0</v>
      </c>
      <c r="AF11" s="2">
        <v>171.31072178388001</v>
      </c>
      <c r="AG11" s="2">
        <v>111.837108671533</v>
      </c>
      <c r="AH11" s="2">
        <v>23.776582904174202</v>
      </c>
      <c r="AI11" s="2">
        <v>-65.110175441337603</v>
      </c>
      <c r="AJ11" s="2">
        <v>5709110.5999999996</v>
      </c>
      <c r="AK11" s="3">
        <v>7.9198657013406905E-5</v>
      </c>
      <c r="AL11" s="2">
        <v>45</v>
      </c>
      <c r="AM11" s="2">
        <f t="shared" si="3"/>
        <v>4.9288811013729105E-3</v>
      </c>
      <c r="AN11" s="3">
        <f t="shared" si="4"/>
        <v>0.4304003426003789</v>
      </c>
      <c r="AO11" s="3">
        <f t="shared" si="5"/>
        <v>4.928965873116367E-3</v>
      </c>
    </row>
    <row r="12" spans="1:41" x14ac:dyDescent="0.25">
      <c r="A12" s="2">
        <v>11</v>
      </c>
      <c r="B12" s="2" t="s">
        <v>53</v>
      </c>
      <c r="C12" s="2">
        <v>-125</v>
      </c>
      <c r="D12" s="2">
        <v>0.54264238509312601</v>
      </c>
      <c r="E12" s="2">
        <v>0.45693767147504999</v>
      </c>
      <c r="F12" s="2">
        <v>-8.5704713618075606E-2</v>
      </c>
      <c r="G12" s="2">
        <v>5.07017195095954E-2</v>
      </c>
      <c r="H12" s="2">
        <v>8.7319403389976707E-3</v>
      </c>
      <c r="I12" s="2">
        <v>3.8795016076114399E-3</v>
      </c>
      <c r="J12" s="2">
        <v>0.39361608701484502</v>
      </c>
      <c r="K12" s="3">
        <v>8.4230040006205107E-6</v>
      </c>
      <c r="L12" s="2">
        <v>79.798061656578597</v>
      </c>
      <c r="M12" s="2">
        <v>0</v>
      </c>
      <c r="N12" s="2">
        <v>20.2019383434214</v>
      </c>
      <c r="O12" s="2">
        <v>0</v>
      </c>
      <c r="P12" s="2">
        <v>0</v>
      </c>
      <c r="Q12" s="2">
        <v>100</v>
      </c>
      <c r="R12" s="2">
        <v>0</v>
      </c>
      <c r="S12" s="2">
        <v>0</v>
      </c>
      <c r="T12" s="2">
        <v>0.29986619549188898</v>
      </c>
      <c r="U12" s="2">
        <v>-133.29925263325001</v>
      </c>
      <c r="V12" s="2">
        <v>6.0256753697452E-4</v>
      </c>
      <c r="W12" s="2">
        <v>100</v>
      </c>
      <c r="X12" s="2">
        <v>45.551484668147403</v>
      </c>
      <c r="Y12" s="2">
        <v>265.83220512391102</v>
      </c>
      <c r="Z12" s="2">
        <v>54.767642222507298</v>
      </c>
      <c r="AA12" s="2">
        <v>300.290019841473</v>
      </c>
      <c r="AB12" s="2">
        <v>3.1742177220868699</v>
      </c>
      <c r="AC12" s="2">
        <v>758.59772521265802</v>
      </c>
      <c r="AD12" s="2">
        <v>0</v>
      </c>
      <c r="AE12" s="2">
        <v>0</v>
      </c>
      <c r="AF12" s="2">
        <v>172.32971694226299</v>
      </c>
      <c r="AG12" s="2">
        <v>111.923222090702</v>
      </c>
      <c r="AH12" s="2">
        <v>24.383972502417102</v>
      </c>
      <c r="AI12" s="2">
        <v>-46.589873453593299</v>
      </c>
      <c r="AJ12" s="2">
        <v>104874119.7</v>
      </c>
      <c r="AK12" s="2">
        <v>5.0287876332840299E-2</v>
      </c>
      <c r="AL12" s="2">
        <v>493</v>
      </c>
      <c r="AM12" s="2">
        <f t="shared" si="3"/>
        <v>1.1875632476118918</v>
      </c>
      <c r="AN12" s="3">
        <f t="shared" si="4"/>
        <v>0.45692924847104938</v>
      </c>
      <c r="AO12" s="3">
        <f t="shared" si="5"/>
        <v>1.1875851390754368</v>
      </c>
    </row>
    <row r="13" spans="1:41" x14ac:dyDescent="0.25">
      <c r="A13" s="2">
        <v>12</v>
      </c>
      <c r="B13" s="2" t="s">
        <v>53</v>
      </c>
      <c r="C13" s="2">
        <v>-100</v>
      </c>
      <c r="D13" s="2">
        <v>0.49229164462914599</v>
      </c>
      <c r="E13" s="2">
        <v>0.46607515632716601</v>
      </c>
      <c r="F13" s="2">
        <v>-2.6216488301979601E-2</v>
      </c>
      <c r="G13" s="2">
        <v>5.0720163344306797E-2</v>
      </c>
      <c r="H13" s="2">
        <v>7.4300070150475897E-3</v>
      </c>
      <c r="I13" s="2">
        <v>3.8313493187722902E-3</v>
      </c>
      <c r="J13" s="2">
        <v>0.40408528609168698</v>
      </c>
      <c r="K13" s="3">
        <v>8.3505573521928402E-6</v>
      </c>
      <c r="L13" s="2">
        <v>60.7045694355362</v>
      </c>
      <c r="M13" s="2">
        <v>0.604263268406662</v>
      </c>
      <c r="N13" s="2">
        <v>38.691167296057202</v>
      </c>
      <c r="O13" s="2">
        <v>0</v>
      </c>
      <c r="P13" s="2">
        <v>0</v>
      </c>
      <c r="Q13" s="2">
        <v>100</v>
      </c>
      <c r="R13" s="2">
        <v>0</v>
      </c>
      <c r="S13" s="2">
        <v>0</v>
      </c>
      <c r="T13" s="2">
        <v>0.26662595148592499</v>
      </c>
      <c r="U13" s="2">
        <v>-108.71723398742201</v>
      </c>
      <c r="V13" s="2">
        <v>1.17925386553025E-2</v>
      </c>
      <c r="W13" s="2">
        <v>100</v>
      </c>
      <c r="X13" s="2">
        <v>42.753844167395599</v>
      </c>
      <c r="Y13" s="2">
        <v>256.75924388567302</v>
      </c>
      <c r="Z13" s="2">
        <v>54.489011551933103</v>
      </c>
      <c r="AA13" s="2">
        <v>300.125614914376</v>
      </c>
      <c r="AB13" s="2">
        <v>3.2508010334521602</v>
      </c>
      <c r="AC13" s="2">
        <v>767.51444209685496</v>
      </c>
      <c r="AD13" s="2">
        <v>0</v>
      </c>
      <c r="AE13" s="2">
        <v>0</v>
      </c>
      <c r="AF13" s="2">
        <v>172.168107787271</v>
      </c>
      <c r="AG13" s="2">
        <v>111.952305480109</v>
      </c>
      <c r="AH13" s="2">
        <v>25.092106904483799</v>
      </c>
      <c r="AI13" s="2">
        <v>-37.869147879711903</v>
      </c>
      <c r="AJ13" s="2">
        <v>1189507020.5</v>
      </c>
      <c r="AK13" s="2">
        <v>6.1624248921246801E-2</v>
      </c>
      <c r="AL13" s="2">
        <v>2935</v>
      </c>
      <c r="AM13" s="2">
        <f t="shared" si="3"/>
        <v>1.0562494866891747</v>
      </c>
      <c r="AN13" s="3">
        <f t="shared" si="4"/>
        <v>0.4660668057698138</v>
      </c>
      <c r="AO13" s="3">
        <f t="shared" si="5"/>
        <v>1.0562684115982386</v>
      </c>
    </row>
    <row r="14" spans="1:41" x14ac:dyDescent="0.25">
      <c r="A14" s="2">
        <v>13</v>
      </c>
      <c r="B14" s="2" t="s">
        <v>53</v>
      </c>
      <c r="C14" s="2">
        <v>-75</v>
      </c>
      <c r="D14" s="2">
        <v>0.44778263297879001</v>
      </c>
      <c r="E14" s="2">
        <v>0.475830652592315</v>
      </c>
      <c r="F14" s="2">
        <v>2.8048019613524901E-2</v>
      </c>
      <c r="G14" s="2">
        <v>5.1127082403016902E-2</v>
      </c>
      <c r="H14" s="2">
        <v>7.797159064174E-3</v>
      </c>
      <c r="I14" s="2">
        <v>5.3339570493665597E-3</v>
      </c>
      <c r="J14" s="2">
        <v>0.41130938141953199</v>
      </c>
      <c r="K14" s="2">
        <v>2.63072656225213E-4</v>
      </c>
      <c r="L14" s="2">
        <v>31.880239343334502</v>
      </c>
      <c r="M14" s="2">
        <v>1.62142559922359</v>
      </c>
      <c r="N14" s="2">
        <v>66.498335057441906</v>
      </c>
      <c r="O14" s="2">
        <v>0</v>
      </c>
      <c r="P14" s="2">
        <v>0</v>
      </c>
      <c r="Q14" s="2">
        <v>100</v>
      </c>
      <c r="R14" s="2">
        <v>0</v>
      </c>
      <c r="S14" s="2">
        <v>0</v>
      </c>
      <c r="T14" s="2">
        <v>0.29076908884214903</v>
      </c>
      <c r="U14" s="2">
        <v>-83.969248920589294</v>
      </c>
      <c r="V14" s="2">
        <v>0.70963905578249498</v>
      </c>
      <c r="W14" s="2">
        <v>100</v>
      </c>
      <c r="X14" s="2">
        <v>42.452341400764901</v>
      </c>
      <c r="Y14" s="2">
        <v>258.34137802615197</v>
      </c>
      <c r="Z14" s="2">
        <v>54.024345410357903</v>
      </c>
      <c r="AA14" s="2">
        <v>299.15851770207303</v>
      </c>
      <c r="AB14" s="2">
        <v>3.3155407388411802</v>
      </c>
      <c r="AC14" s="2">
        <v>768.21087914392103</v>
      </c>
      <c r="AD14" s="2">
        <v>0</v>
      </c>
      <c r="AE14" s="2">
        <v>0</v>
      </c>
      <c r="AF14" s="2">
        <v>171.940430731948</v>
      </c>
      <c r="AG14" s="2">
        <v>111.952764866774</v>
      </c>
      <c r="AH14" s="2">
        <v>25.776092183356099</v>
      </c>
      <c r="AI14" s="2">
        <v>-31.2104087873354</v>
      </c>
      <c r="AJ14" s="2">
        <v>9038517861.7000008</v>
      </c>
      <c r="AK14" s="2">
        <v>4.6433946694455497E-2</v>
      </c>
      <c r="AL14" s="2">
        <v>8934</v>
      </c>
      <c r="AM14" s="2">
        <f t="shared" si="3"/>
        <v>0.94105461793871414</v>
      </c>
      <c r="AN14" s="3">
        <f t="shared" si="4"/>
        <v>0.47556757993608978</v>
      </c>
      <c r="AO14" s="3">
        <f t="shared" si="5"/>
        <v>0.94157518693550613</v>
      </c>
    </row>
    <row r="15" spans="1:41" x14ac:dyDescent="0.25">
      <c r="A15" s="2">
        <v>14</v>
      </c>
      <c r="B15" s="2" t="s">
        <v>53</v>
      </c>
      <c r="C15" s="2">
        <v>-50</v>
      </c>
      <c r="D15" s="2">
        <v>0.55395703070786395</v>
      </c>
      <c r="E15" s="2">
        <v>0.544575763821325</v>
      </c>
      <c r="F15" s="2">
        <v>-9.3812668865397107E-3</v>
      </c>
      <c r="G15" s="2">
        <v>5.1495705514026602E-2</v>
      </c>
      <c r="H15" s="2">
        <v>8.6002370963940995E-3</v>
      </c>
      <c r="I15" s="2">
        <v>7.15995306795478E-3</v>
      </c>
      <c r="J15" s="2">
        <v>0.44610805823008898</v>
      </c>
      <c r="K15" s="2">
        <v>3.1211809912859802E-2</v>
      </c>
      <c r="L15" s="2">
        <v>11.474804104272</v>
      </c>
      <c r="M15" s="2">
        <v>2.22333935567374</v>
      </c>
      <c r="N15" s="2">
        <v>86.301856540054203</v>
      </c>
      <c r="O15" s="2">
        <v>0</v>
      </c>
      <c r="P15" s="2">
        <v>0</v>
      </c>
      <c r="Q15" s="2">
        <v>100</v>
      </c>
      <c r="R15" s="2">
        <v>0</v>
      </c>
      <c r="S15" s="2">
        <v>0</v>
      </c>
      <c r="T15" s="2">
        <v>0.325865360708954</v>
      </c>
      <c r="U15" s="2">
        <v>-60.056144893846003</v>
      </c>
      <c r="V15" s="2">
        <v>43.950424899246499</v>
      </c>
      <c r="W15" s="2">
        <v>99.9931410656324</v>
      </c>
      <c r="X15" s="2">
        <v>42.322327498216602</v>
      </c>
      <c r="Y15" s="2">
        <v>257.90423752609797</v>
      </c>
      <c r="Z15" s="2">
        <v>54.475317100968397</v>
      </c>
      <c r="AA15" s="2">
        <v>298.27194058751797</v>
      </c>
      <c r="AB15" s="2">
        <v>3.4105815607256602</v>
      </c>
      <c r="AC15" s="2">
        <v>768.14478889348595</v>
      </c>
      <c r="AD15" s="2">
        <v>0</v>
      </c>
      <c r="AE15" s="2">
        <v>0</v>
      </c>
      <c r="AF15" s="2">
        <v>172.19452806567099</v>
      </c>
      <c r="AG15" s="2">
        <v>112.019763385373</v>
      </c>
      <c r="AH15" s="2">
        <v>26.57995953591</v>
      </c>
      <c r="AI15" s="2">
        <v>-24.4592882464643</v>
      </c>
      <c r="AJ15" s="2">
        <v>53905946635.699997</v>
      </c>
      <c r="AK15" s="2">
        <v>5.8704216322649501E-2</v>
      </c>
      <c r="AL15" s="2">
        <v>24020</v>
      </c>
      <c r="AM15" s="2">
        <f t="shared" si="3"/>
        <v>1.0172267432922648</v>
      </c>
      <c r="AN15" s="3">
        <f t="shared" si="4"/>
        <v>0.51336395390846523</v>
      </c>
      <c r="AO15" s="3">
        <f t="shared" si="5"/>
        <v>1.079072705612355</v>
      </c>
    </row>
    <row r="16" spans="1:41" x14ac:dyDescent="0.25">
      <c r="A16" s="2">
        <v>15</v>
      </c>
      <c r="B16" s="2" t="s">
        <v>53</v>
      </c>
      <c r="C16" s="2">
        <v>-25</v>
      </c>
      <c r="D16" s="2">
        <v>0.65053281422004805</v>
      </c>
      <c r="E16" s="2">
        <v>0.68089303069952301</v>
      </c>
      <c r="F16" s="2">
        <v>3.03602164794755E-2</v>
      </c>
      <c r="G16" s="2">
        <v>5.1932618753226599E-2</v>
      </c>
      <c r="H16" s="2">
        <v>9.29006753227863E-3</v>
      </c>
      <c r="I16" s="2">
        <v>1.05437002612802E-2</v>
      </c>
      <c r="J16" s="2">
        <v>0.51382911864810399</v>
      </c>
      <c r="K16" s="2">
        <v>9.5297525504634203E-2</v>
      </c>
      <c r="L16" s="2">
        <v>6.6137618644110301</v>
      </c>
      <c r="M16" s="2">
        <v>2.3681392279300901</v>
      </c>
      <c r="N16" s="2">
        <v>91.018098907658896</v>
      </c>
      <c r="O16" s="2">
        <v>0</v>
      </c>
      <c r="P16" s="2">
        <v>0</v>
      </c>
      <c r="Q16" s="2">
        <v>100</v>
      </c>
      <c r="R16" s="2">
        <v>0</v>
      </c>
      <c r="S16" s="2">
        <v>0</v>
      </c>
      <c r="T16" s="2">
        <v>0.35154204011276902</v>
      </c>
      <c r="U16" s="2">
        <v>-36.491596360661298</v>
      </c>
      <c r="V16" s="2">
        <v>178.17988296273501</v>
      </c>
      <c r="W16" s="2">
        <v>99.995322546081098</v>
      </c>
      <c r="X16" s="2">
        <v>42.675492931041603</v>
      </c>
      <c r="Y16" s="2">
        <v>253.646718692127</v>
      </c>
      <c r="Z16" s="2">
        <v>55.4358369768523</v>
      </c>
      <c r="AA16" s="2">
        <v>297.260235872306</v>
      </c>
      <c r="AB16" s="2">
        <v>3.5495475821208702</v>
      </c>
      <c r="AC16" s="2">
        <v>765.15820392178</v>
      </c>
      <c r="AD16" s="2">
        <v>0</v>
      </c>
      <c r="AE16" s="2">
        <v>0</v>
      </c>
      <c r="AF16" s="2">
        <v>172.96695159605699</v>
      </c>
      <c r="AG16" s="2">
        <v>112.188461520833</v>
      </c>
      <c r="AH16" s="2">
        <v>29.3388468336857</v>
      </c>
      <c r="AI16" s="2">
        <v>-15.766581132282401</v>
      </c>
      <c r="AJ16" s="2">
        <v>126403926276.60001</v>
      </c>
      <c r="AK16" s="2">
        <v>6.2598468739778299E-2</v>
      </c>
      <c r="AL16" s="2">
        <v>51135</v>
      </c>
      <c r="AM16" s="2">
        <f t="shared" si="3"/>
        <v>0.95541118044888185</v>
      </c>
      <c r="AN16" s="3">
        <f t="shared" si="4"/>
        <v>0.58559550519488879</v>
      </c>
      <c r="AO16" s="3">
        <f t="shared" si="5"/>
        <v>1.1108910646497328</v>
      </c>
    </row>
    <row r="17" spans="1:41" x14ac:dyDescent="0.25">
      <c r="A17" s="2">
        <v>16</v>
      </c>
      <c r="B17" s="2" t="s">
        <v>53</v>
      </c>
      <c r="C17" s="2">
        <v>0</v>
      </c>
      <c r="D17" s="2">
        <v>0.76809087070661897</v>
      </c>
      <c r="E17" s="2">
        <v>0.77415547320795597</v>
      </c>
      <c r="F17" s="2">
        <v>6.0646025013366099E-3</v>
      </c>
      <c r="G17" s="2">
        <v>5.2795325393216498E-2</v>
      </c>
      <c r="H17" s="2">
        <v>1.14535967508022E-2</v>
      </c>
      <c r="I17" s="2">
        <v>1.4144034710544E-2</v>
      </c>
      <c r="J17" s="2">
        <v>0.54456440641167203</v>
      </c>
      <c r="K17" s="2">
        <v>0.151198109941721</v>
      </c>
      <c r="L17" s="2">
        <v>5.7503161189799297</v>
      </c>
      <c r="M17" s="2">
        <v>2.3387697731779902</v>
      </c>
      <c r="N17" s="2">
        <v>91.910914107842103</v>
      </c>
      <c r="O17" s="2">
        <v>0</v>
      </c>
      <c r="P17" s="2">
        <v>0</v>
      </c>
      <c r="Q17" s="2">
        <v>100</v>
      </c>
      <c r="R17" s="2">
        <v>0</v>
      </c>
      <c r="S17" s="2">
        <v>0</v>
      </c>
      <c r="T17" s="2">
        <v>0.41887577945446303</v>
      </c>
      <c r="U17" s="2">
        <v>-13.613790928568299</v>
      </c>
      <c r="V17" s="2">
        <v>569.74841626351201</v>
      </c>
      <c r="W17" s="2">
        <v>99.996500886470002</v>
      </c>
      <c r="X17" s="2">
        <v>43.596588210201404</v>
      </c>
      <c r="Y17" s="2">
        <v>233.342728986308</v>
      </c>
      <c r="Z17" s="2">
        <v>57.007959820438202</v>
      </c>
      <c r="AA17" s="2">
        <v>295.34464735580701</v>
      </c>
      <c r="AB17" s="2">
        <v>3.7461731758941399</v>
      </c>
      <c r="AC17" s="2">
        <v>761.82550758110301</v>
      </c>
      <c r="AD17" s="2">
        <v>0</v>
      </c>
      <c r="AE17" s="2">
        <v>0</v>
      </c>
      <c r="AF17" s="2">
        <v>171.564621114201</v>
      </c>
      <c r="AG17" s="2">
        <v>112.09678121421</v>
      </c>
      <c r="AH17" s="2">
        <v>30.978023868208702</v>
      </c>
      <c r="AI17" s="2">
        <v>-8.8271346047480996</v>
      </c>
      <c r="AJ17" s="2">
        <v>147837472095.5</v>
      </c>
      <c r="AK17" s="2">
        <v>6.78361472412113E-2</v>
      </c>
      <c r="AL17" s="2">
        <v>80739</v>
      </c>
      <c r="AM17" s="2">
        <f t="shared" si="3"/>
        <v>0.9921661698312273</v>
      </c>
      <c r="AN17" s="3">
        <f t="shared" si="4"/>
        <v>0.62295736326623496</v>
      </c>
      <c r="AO17" s="3">
        <f t="shared" si="5"/>
        <v>1.232975025256035</v>
      </c>
    </row>
    <row r="18" spans="1:41" x14ac:dyDescent="0.25">
      <c r="A18" s="2">
        <v>17</v>
      </c>
      <c r="B18" s="2" t="s">
        <v>54</v>
      </c>
      <c r="C18" s="2">
        <v>-200</v>
      </c>
      <c r="D18" s="2">
        <v>1.0589442027286301E-4</v>
      </c>
      <c r="E18" s="2">
        <v>0.40953782718864401</v>
      </c>
      <c r="F18" s="2">
        <v>0.40943193276837098</v>
      </c>
      <c r="G18" s="2">
        <v>5.2318326552940303E-2</v>
      </c>
      <c r="H18" s="2">
        <v>1.0471429978492299E-3</v>
      </c>
      <c r="I18" s="2">
        <v>6.6475638626953802E-4</v>
      </c>
      <c r="J18" s="2">
        <v>0.35550176298067698</v>
      </c>
      <c r="K18" s="3">
        <v>5.8382709083927298E-6</v>
      </c>
      <c r="L18" s="2">
        <v>100</v>
      </c>
      <c r="M18" s="2">
        <v>0</v>
      </c>
      <c r="N18" s="2">
        <v>0</v>
      </c>
      <c r="O18" s="2">
        <v>0</v>
      </c>
      <c r="P18" s="2">
        <v>100</v>
      </c>
      <c r="Q18" s="2">
        <v>0</v>
      </c>
      <c r="R18" s="2">
        <v>0</v>
      </c>
      <c r="S18" s="2">
        <v>100</v>
      </c>
      <c r="T18" s="2">
        <v>0</v>
      </c>
      <c r="U18" s="2">
        <v>-202.1</v>
      </c>
      <c r="V18" s="2">
        <v>0</v>
      </c>
      <c r="W18" s="2">
        <v>100</v>
      </c>
      <c r="X18" s="2">
        <v>34.693955254344701</v>
      </c>
      <c r="Y18" s="2">
        <v>193.35106800783299</v>
      </c>
      <c r="Z18" s="2">
        <v>63.867631974658899</v>
      </c>
      <c r="AA18" s="2">
        <v>296.13236802534101</v>
      </c>
      <c r="AB18" s="2">
        <v>2.6</v>
      </c>
      <c r="AC18" s="2">
        <v>741.34658192035704</v>
      </c>
      <c r="AD18" s="2">
        <v>100</v>
      </c>
      <c r="AE18" s="2">
        <v>0</v>
      </c>
      <c r="AF18" s="2">
        <v>179.2</v>
      </c>
      <c r="AG18" s="2">
        <v>112.2</v>
      </c>
      <c r="AH18" s="2">
        <v>20.9</v>
      </c>
      <c r="AI18" s="2">
        <v>-106.073423822612</v>
      </c>
      <c r="AJ18" s="2">
        <v>444369.4</v>
      </c>
      <c r="AK18" s="3">
        <v>4.6188021535170097E-6</v>
      </c>
      <c r="AL18" s="2">
        <v>3</v>
      </c>
      <c r="AM18" s="2">
        <f t="shared" si="3"/>
        <v>2.5857054768248602E-4</v>
      </c>
      <c r="AN18" s="3">
        <f t="shared" si="4"/>
        <v>0.40953198891773562</v>
      </c>
      <c r="AO18" s="3">
        <f t="shared" si="5"/>
        <v>2.5857423385340102E-4</v>
      </c>
    </row>
    <row r="19" spans="1:41" x14ac:dyDescent="0.25">
      <c r="A19" s="2">
        <v>18</v>
      </c>
      <c r="B19" s="2" t="s">
        <v>54</v>
      </c>
      <c r="C19" s="2">
        <v>-175</v>
      </c>
      <c r="D19" s="3">
        <v>9.8434499978890293E-5</v>
      </c>
      <c r="E19" s="2">
        <v>0.42612814070930399</v>
      </c>
      <c r="F19" s="2">
        <v>0.42602970620932501</v>
      </c>
      <c r="G19" s="2">
        <v>4.9596908009418197E-2</v>
      </c>
      <c r="H19" s="2">
        <v>1.47462371388832E-3</v>
      </c>
      <c r="I19" s="2">
        <v>8.5021792670950396E-4</v>
      </c>
      <c r="J19" s="2">
        <v>0.37420102730446397</v>
      </c>
      <c r="K19" s="3">
        <v>5.3637548238508703E-6</v>
      </c>
      <c r="L19" s="2">
        <v>100</v>
      </c>
      <c r="M19" s="2">
        <v>0</v>
      </c>
      <c r="N19" s="2">
        <v>0</v>
      </c>
      <c r="O19" s="2">
        <v>0</v>
      </c>
      <c r="P19" s="2">
        <v>100</v>
      </c>
      <c r="Q19" s="2">
        <v>0</v>
      </c>
      <c r="R19" s="2">
        <v>0</v>
      </c>
      <c r="S19" s="2">
        <v>100</v>
      </c>
      <c r="T19" s="2">
        <v>1.8266989569262499E-2</v>
      </c>
      <c r="U19" s="2">
        <v>-186.90262958698199</v>
      </c>
      <c r="V19" s="2">
        <v>0</v>
      </c>
      <c r="W19" s="2">
        <v>100</v>
      </c>
      <c r="X19" s="2">
        <v>38.330273179196503</v>
      </c>
      <c r="Y19" s="2">
        <v>186.63420659229601</v>
      </c>
      <c r="Z19" s="2">
        <v>54.9037769766827</v>
      </c>
      <c r="AA19" s="2">
        <v>302.83814017148802</v>
      </c>
      <c r="AB19" s="2">
        <v>2.6293882670651101</v>
      </c>
      <c r="AC19" s="2">
        <v>746.87139429542299</v>
      </c>
      <c r="AD19" s="2">
        <v>85.305866467442996</v>
      </c>
      <c r="AE19" s="2">
        <v>0</v>
      </c>
      <c r="AF19" s="2">
        <v>171.357626770933</v>
      </c>
      <c r="AG19" s="2">
        <v>111.94186518575501</v>
      </c>
      <c r="AH19" s="2">
        <v>25.830301548633699</v>
      </c>
      <c r="AI19" s="2">
        <v>-102.86700748299501</v>
      </c>
      <c r="AJ19" s="2">
        <v>3732890.4</v>
      </c>
      <c r="AK19" s="3">
        <v>4.3353644155231803E-6</v>
      </c>
      <c r="AL19" s="2">
        <v>26</v>
      </c>
      <c r="AM19" s="2">
        <f t="shared" si="3"/>
        <v>2.3099741738492768E-4</v>
      </c>
      <c r="AN19" s="3">
        <f t="shared" si="4"/>
        <v>0.42612277695448014</v>
      </c>
      <c r="AO19" s="3">
        <f t="shared" si="5"/>
        <v>2.3100032502934101E-4</v>
      </c>
    </row>
    <row r="20" spans="1:41" x14ac:dyDescent="0.25">
      <c r="A20" s="2">
        <v>19</v>
      </c>
      <c r="B20" s="2" t="s">
        <v>54</v>
      </c>
      <c r="C20" s="2">
        <v>-150</v>
      </c>
      <c r="D20" s="2">
        <v>1.07834418728325E-2</v>
      </c>
      <c r="E20" s="2">
        <v>0.45625817128301799</v>
      </c>
      <c r="F20" s="2">
        <v>0.44547472941018501</v>
      </c>
      <c r="G20" s="2">
        <v>5.1952903264117001E-2</v>
      </c>
      <c r="H20" s="2">
        <v>4.6299148237267801E-3</v>
      </c>
      <c r="I20" s="2">
        <v>3.0310193816808001E-3</v>
      </c>
      <c r="J20" s="2">
        <v>0.39663837070101099</v>
      </c>
      <c r="K20" s="3">
        <v>5.9631124820377801E-6</v>
      </c>
      <c r="L20" s="2">
        <v>91.243049764011801</v>
      </c>
      <c r="M20" s="2">
        <v>0</v>
      </c>
      <c r="N20" s="2">
        <v>8.7569502359881604</v>
      </c>
      <c r="O20" s="2">
        <v>0</v>
      </c>
      <c r="P20" s="2">
        <v>100</v>
      </c>
      <c r="Q20" s="2">
        <v>0</v>
      </c>
      <c r="R20" s="2">
        <v>0</v>
      </c>
      <c r="S20" s="2">
        <v>100</v>
      </c>
      <c r="T20" s="2">
        <v>0.14826263176793</v>
      </c>
      <c r="U20" s="2">
        <v>-161.60026472028599</v>
      </c>
      <c r="V20" s="2">
        <v>0</v>
      </c>
      <c r="W20" s="2">
        <v>92.498555155975495</v>
      </c>
      <c r="X20" s="2">
        <v>41.403202472211902</v>
      </c>
      <c r="Y20" s="2">
        <v>203.95183526111899</v>
      </c>
      <c r="Z20" s="2">
        <v>55.230635710254198</v>
      </c>
      <c r="AA20" s="2">
        <v>297.923417005202</v>
      </c>
      <c r="AB20" s="2">
        <v>2.8547268040257499</v>
      </c>
      <c r="AC20" s="2">
        <v>749.76349660909398</v>
      </c>
      <c r="AD20" s="2">
        <v>38.851844171090001</v>
      </c>
      <c r="AE20" s="2">
        <v>0</v>
      </c>
      <c r="AF20" s="2">
        <v>172.76455309315401</v>
      </c>
      <c r="AG20" s="2">
        <v>112.05003946678799</v>
      </c>
      <c r="AH20" s="2">
        <v>26.724677546093201</v>
      </c>
      <c r="AI20" s="2">
        <v>-79.693628105776497</v>
      </c>
      <c r="AJ20" s="2">
        <v>12928212.1</v>
      </c>
      <c r="AK20" s="2">
        <v>4.0066979099282997E-4</v>
      </c>
      <c r="AL20" s="2">
        <v>92</v>
      </c>
      <c r="AM20" s="2">
        <f t="shared" ref="AM20:AM26" si="6">D20/E20</f>
        <v>2.3634517804928267E-2</v>
      </c>
      <c r="AN20" s="3">
        <f t="shared" ref="AN20:AN26" si="7">E20-K20</f>
        <v>0.45625220817053597</v>
      </c>
      <c r="AO20" s="3">
        <f t="shared" ref="AO20:AO26" si="8">D20/(E20-K20)</f>
        <v>2.363482670269491E-2</v>
      </c>
    </row>
    <row r="21" spans="1:41" x14ac:dyDescent="0.25">
      <c r="A21" s="2">
        <v>20</v>
      </c>
      <c r="B21" s="2" t="s">
        <v>54</v>
      </c>
      <c r="C21" s="2">
        <v>-125</v>
      </c>
      <c r="D21" s="2">
        <v>0.32412681944105698</v>
      </c>
      <c r="E21" s="2">
        <v>0.45243177382179001</v>
      </c>
      <c r="F21" s="2">
        <v>0.128304954380733</v>
      </c>
      <c r="G21" s="2">
        <v>5.2378787535561501E-2</v>
      </c>
      <c r="H21" s="2">
        <v>7.8858521072640297E-3</v>
      </c>
      <c r="I21" s="2">
        <v>2.59245161018727E-3</v>
      </c>
      <c r="J21" s="2">
        <v>0.389566643964185</v>
      </c>
      <c r="K21" s="3">
        <v>8.0386045925921804E-6</v>
      </c>
      <c r="L21" s="2">
        <v>82.523282911005495</v>
      </c>
      <c r="M21" s="2">
        <v>0.80443815964600096</v>
      </c>
      <c r="N21" s="2">
        <v>16.672278929348501</v>
      </c>
      <c r="O21" s="2">
        <v>0</v>
      </c>
      <c r="P21" s="2">
        <v>100</v>
      </c>
      <c r="Q21" s="2">
        <v>0</v>
      </c>
      <c r="R21" s="2">
        <v>0</v>
      </c>
      <c r="S21" s="2">
        <v>100</v>
      </c>
      <c r="T21" s="2">
        <v>0.298926405956076</v>
      </c>
      <c r="U21" s="2">
        <v>-132.41953465657301</v>
      </c>
      <c r="V21" s="2">
        <v>3.3271535490261499E-3</v>
      </c>
      <c r="W21" s="2">
        <v>99.171748316533694</v>
      </c>
      <c r="X21" s="2">
        <v>41.903794754835999</v>
      </c>
      <c r="Y21" s="2">
        <v>266.19971903033598</v>
      </c>
      <c r="Z21" s="2">
        <v>54.938538899467098</v>
      </c>
      <c r="AA21" s="2">
        <v>296.68869123250403</v>
      </c>
      <c r="AB21" s="2">
        <v>3.1640023026945201</v>
      </c>
      <c r="AC21" s="2">
        <v>768.82735266999498</v>
      </c>
      <c r="AD21" s="2">
        <v>19.5774662258194</v>
      </c>
      <c r="AE21" s="2">
        <v>0</v>
      </c>
      <c r="AF21" s="2">
        <v>172.79598598827599</v>
      </c>
      <c r="AG21" s="2">
        <v>111.939098479419</v>
      </c>
      <c r="AH21" s="2">
        <v>24.299164979316799</v>
      </c>
      <c r="AI21" s="2">
        <v>-44.803852791079798</v>
      </c>
      <c r="AJ21" s="2">
        <v>233108297.69999999</v>
      </c>
      <c r="AK21" s="2">
        <v>5.1074550875958802E-2</v>
      </c>
      <c r="AL21" s="2">
        <v>860</v>
      </c>
      <c r="AM21" s="2">
        <f t="shared" si="6"/>
        <v>0.71641038095774523</v>
      </c>
      <c r="AN21" s="3">
        <f t="shared" si="7"/>
        <v>0.45242373521719742</v>
      </c>
      <c r="AO21" s="3">
        <f t="shared" si="8"/>
        <v>0.71642311004185433</v>
      </c>
    </row>
    <row r="22" spans="1:41" x14ac:dyDescent="0.25">
      <c r="A22" s="2">
        <v>21</v>
      </c>
      <c r="B22" s="2" t="s">
        <v>54</v>
      </c>
      <c r="C22" s="2">
        <v>-100</v>
      </c>
      <c r="D22" s="2">
        <v>0.488667031594607</v>
      </c>
      <c r="E22" s="2">
        <v>0.46185346560481799</v>
      </c>
      <c r="F22" s="2">
        <v>-2.6813565989788801E-2</v>
      </c>
      <c r="G22" s="2">
        <v>5.1895920036993101E-2</v>
      </c>
      <c r="H22" s="2">
        <v>6.6835285298143497E-3</v>
      </c>
      <c r="I22" s="2">
        <v>3.1112132629068602E-3</v>
      </c>
      <c r="J22" s="2">
        <v>0.40015467976857</v>
      </c>
      <c r="K22" s="3">
        <v>8.1240065340052896E-6</v>
      </c>
      <c r="L22" s="2">
        <v>64.169403090152102</v>
      </c>
      <c r="M22" s="2">
        <v>1.41333625252106</v>
      </c>
      <c r="N22" s="2">
        <v>34.4172606573268</v>
      </c>
      <c r="O22" s="2">
        <v>0</v>
      </c>
      <c r="P22" s="2">
        <v>100</v>
      </c>
      <c r="Q22" s="2">
        <v>0</v>
      </c>
      <c r="R22" s="2">
        <v>0</v>
      </c>
      <c r="S22" s="2">
        <v>100</v>
      </c>
      <c r="T22" s="2">
        <v>0.25013435700174202</v>
      </c>
      <c r="U22" s="2">
        <v>-108.503707149199</v>
      </c>
      <c r="V22" s="2">
        <v>7.3558019675383996E-3</v>
      </c>
      <c r="W22" s="2">
        <v>99.886913037462094</v>
      </c>
      <c r="X22" s="2">
        <v>42.54169744939</v>
      </c>
      <c r="Y22" s="2">
        <v>254.143419815648</v>
      </c>
      <c r="Z22" s="2">
        <v>54.455668666316598</v>
      </c>
      <c r="AA22" s="2">
        <v>297.51110395861002</v>
      </c>
      <c r="AB22" s="2">
        <v>3.2550526307682901</v>
      </c>
      <c r="AC22" s="2">
        <v>772.73223623849799</v>
      </c>
      <c r="AD22" s="2">
        <v>12.5071091419886</v>
      </c>
      <c r="AE22" s="2">
        <v>0</v>
      </c>
      <c r="AF22" s="2">
        <v>172.082497467499</v>
      </c>
      <c r="AG22" s="2">
        <v>111.93448800834901</v>
      </c>
      <c r="AH22" s="2">
        <v>24.892727169643099</v>
      </c>
      <c r="AI22" s="2">
        <v>-35.411048601144898</v>
      </c>
      <c r="AJ22" s="2">
        <v>3208599398.6999998</v>
      </c>
      <c r="AK22" s="2">
        <v>6.22005186662088E-2</v>
      </c>
      <c r="AL22" s="2">
        <v>4469</v>
      </c>
      <c r="AM22" s="2">
        <f t="shared" si="6"/>
        <v>1.0580564356157325</v>
      </c>
      <c r="AN22" s="3">
        <f t="shared" si="7"/>
        <v>0.461845341598284</v>
      </c>
      <c r="AO22" s="3">
        <f t="shared" si="8"/>
        <v>1.0580750471651454</v>
      </c>
    </row>
    <row r="23" spans="1:41" x14ac:dyDescent="0.25">
      <c r="A23" s="2">
        <v>22</v>
      </c>
      <c r="B23" s="2" t="s">
        <v>54</v>
      </c>
      <c r="C23" s="2">
        <v>-75</v>
      </c>
      <c r="D23" s="2">
        <v>0.47518166784933702</v>
      </c>
      <c r="E23" s="2">
        <v>0.46280077674222297</v>
      </c>
      <c r="F23" s="2">
        <v>-1.23808911071135E-2</v>
      </c>
      <c r="G23" s="2">
        <v>5.2185375699176001E-2</v>
      </c>
      <c r="H23" s="2">
        <v>7.2430146281248602E-3</v>
      </c>
      <c r="I23" s="2">
        <v>4.43676673466254E-3</v>
      </c>
      <c r="J23" s="2">
        <v>0.39867126763238198</v>
      </c>
      <c r="K23" s="2">
        <v>2.6435204787750202E-4</v>
      </c>
      <c r="L23" s="2">
        <v>32.093987712687699</v>
      </c>
      <c r="M23" s="2">
        <v>2.23991280913202</v>
      </c>
      <c r="N23" s="2">
        <v>65.6660994781803</v>
      </c>
      <c r="O23" s="2">
        <v>0</v>
      </c>
      <c r="P23" s="2">
        <v>100</v>
      </c>
      <c r="Q23" s="2">
        <v>0</v>
      </c>
      <c r="R23" s="2">
        <v>0</v>
      </c>
      <c r="S23" s="2">
        <v>100</v>
      </c>
      <c r="T23" s="2">
        <v>0.27200805809434597</v>
      </c>
      <c r="U23" s="2">
        <v>-83.944090209346498</v>
      </c>
      <c r="V23" s="2">
        <v>0.72303901075525501</v>
      </c>
      <c r="W23" s="2">
        <v>99.939761195649695</v>
      </c>
      <c r="X23" s="2">
        <v>43.294881818856901</v>
      </c>
      <c r="Y23" s="2">
        <v>271.22268889472201</v>
      </c>
      <c r="Z23" s="2">
        <v>53.923330303561102</v>
      </c>
      <c r="AA23" s="2">
        <v>296.75986693110298</v>
      </c>
      <c r="AB23" s="2">
        <v>3.31990235115402</v>
      </c>
      <c r="AC23" s="2">
        <v>773.10698181611201</v>
      </c>
      <c r="AD23" s="2">
        <v>7.1663821416277704</v>
      </c>
      <c r="AE23" s="2">
        <v>0</v>
      </c>
      <c r="AF23" s="2">
        <v>171.87434629928799</v>
      </c>
      <c r="AG23" s="2">
        <v>111.94169167176</v>
      </c>
      <c r="AH23" s="2">
        <v>25.583363431034702</v>
      </c>
      <c r="AI23" s="2">
        <v>-30.185369067604</v>
      </c>
      <c r="AJ23" s="2">
        <v>27276257607.400002</v>
      </c>
      <c r="AK23" s="2">
        <v>5.1883153935527497E-2</v>
      </c>
      <c r="AL23" s="2">
        <v>12579</v>
      </c>
      <c r="AM23" s="2">
        <f t="shared" si="6"/>
        <v>1.0267520966457022</v>
      </c>
      <c r="AN23" s="3">
        <f t="shared" si="7"/>
        <v>0.46253642469434547</v>
      </c>
      <c r="AO23" s="3">
        <f t="shared" si="8"/>
        <v>1.0273389131749955</v>
      </c>
    </row>
    <row r="24" spans="1:41" x14ac:dyDescent="0.25">
      <c r="A24" s="2">
        <v>23</v>
      </c>
      <c r="B24" s="2" t="s">
        <v>54</v>
      </c>
      <c r="C24" s="2">
        <v>-50</v>
      </c>
      <c r="D24" s="2">
        <v>0.55395564426894806</v>
      </c>
      <c r="E24" s="2">
        <v>0.53055934399918903</v>
      </c>
      <c r="F24" s="2">
        <v>-2.33963002697588E-2</v>
      </c>
      <c r="G24" s="2">
        <v>5.2729205695774002E-2</v>
      </c>
      <c r="H24" s="2">
        <v>8.1154250774001808E-3</v>
      </c>
      <c r="I24" s="2">
        <v>6.1406589813086101E-3</v>
      </c>
      <c r="J24" s="2">
        <v>0.42989254403549898</v>
      </c>
      <c r="K24" s="2">
        <v>3.3681510209207101E-2</v>
      </c>
      <c r="L24" s="2">
        <v>11.445297639942201</v>
      </c>
      <c r="M24" s="2">
        <v>2.86780649082925</v>
      </c>
      <c r="N24" s="2">
        <v>85.686895869228593</v>
      </c>
      <c r="O24" s="2">
        <v>0</v>
      </c>
      <c r="P24" s="2">
        <v>100</v>
      </c>
      <c r="Q24" s="2">
        <v>0</v>
      </c>
      <c r="R24" s="2">
        <v>0</v>
      </c>
      <c r="S24" s="2">
        <v>100</v>
      </c>
      <c r="T24" s="2">
        <v>0.30867233241169301</v>
      </c>
      <c r="U24" s="2">
        <v>-60.135641598286803</v>
      </c>
      <c r="V24" s="2">
        <v>42.787580819574103</v>
      </c>
      <c r="W24" s="2">
        <v>99.964554469883595</v>
      </c>
      <c r="X24" s="2">
        <v>43.009872518408699</v>
      </c>
      <c r="Y24" s="2">
        <v>277.25273665282299</v>
      </c>
      <c r="Z24" s="2">
        <v>54.529986416850399</v>
      </c>
      <c r="AA24" s="2">
        <v>295.48947842471199</v>
      </c>
      <c r="AB24" s="2">
        <v>3.40906932624143</v>
      </c>
      <c r="AC24" s="2">
        <v>772.98362786851897</v>
      </c>
      <c r="AD24" s="2">
        <v>6.3912137075584097</v>
      </c>
      <c r="AE24" s="2">
        <v>0</v>
      </c>
      <c r="AF24" s="2">
        <v>172.16568048575601</v>
      </c>
      <c r="AG24" s="2">
        <v>112.02172036316</v>
      </c>
      <c r="AH24" s="2">
        <v>26.650356646146498</v>
      </c>
      <c r="AI24" s="2">
        <v>-24.577568909598899</v>
      </c>
      <c r="AJ24" s="2">
        <v>160208905140.29999</v>
      </c>
      <c r="AK24" s="2">
        <v>5.3916318377109702E-2</v>
      </c>
      <c r="AL24" s="2">
        <v>34083</v>
      </c>
      <c r="AM24" s="2">
        <f t="shared" si="6"/>
        <v>1.0440974238497152</v>
      </c>
      <c r="AN24" s="3">
        <f t="shared" si="7"/>
        <v>0.4968778337899819</v>
      </c>
      <c r="AO24" s="3">
        <f t="shared" si="8"/>
        <v>1.1148729256920153</v>
      </c>
    </row>
    <row r="25" spans="1:41" x14ac:dyDescent="0.25">
      <c r="A25" s="2">
        <v>24</v>
      </c>
      <c r="B25" s="2" t="s">
        <v>54</v>
      </c>
      <c r="C25" s="2">
        <v>-25</v>
      </c>
      <c r="D25" s="2">
        <v>0.64444198748128501</v>
      </c>
      <c r="E25" s="2">
        <v>0.66730134748652703</v>
      </c>
      <c r="F25" s="2">
        <v>2.2859360005242899E-2</v>
      </c>
      <c r="G25" s="2">
        <v>5.3224671462034398E-2</v>
      </c>
      <c r="H25" s="2">
        <v>8.8046798312496205E-3</v>
      </c>
      <c r="I25" s="2">
        <v>9.7141971530176497E-3</v>
      </c>
      <c r="J25" s="2">
        <v>0.49683202733818399</v>
      </c>
      <c r="K25" s="2">
        <v>9.8725771702041901E-2</v>
      </c>
      <c r="L25" s="2">
        <v>6.5413392972220397</v>
      </c>
      <c r="M25" s="2">
        <v>3.2435637036191798</v>
      </c>
      <c r="N25" s="2">
        <v>90.215096999158803</v>
      </c>
      <c r="O25" s="2">
        <v>0</v>
      </c>
      <c r="P25" s="2">
        <v>100</v>
      </c>
      <c r="Q25" s="2">
        <v>0</v>
      </c>
      <c r="R25" s="2">
        <v>0</v>
      </c>
      <c r="S25" s="2">
        <v>100</v>
      </c>
      <c r="T25" s="2">
        <v>0.33438823431836501</v>
      </c>
      <c r="U25" s="2">
        <v>-36.594952891168603</v>
      </c>
      <c r="V25" s="2">
        <v>177.15844173747101</v>
      </c>
      <c r="W25" s="2">
        <v>99.951565896141105</v>
      </c>
      <c r="X25" s="2">
        <v>42.950345453546902</v>
      </c>
      <c r="Y25" s="2">
        <v>274.17410011261302</v>
      </c>
      <c r="Z25" s="2">
        <v>55.628766922253597</v>
      </c>
      <c r="AA25" s="2">
        <v>294.34698384187499</v>
      </c>
      <c r="AB25" s="2">
        <v>3.5472640521759899</v>
      </c>
      <c r="AC25" s="2">
        <v>770.25199893001195</v>
      </c>
      <c r="AD25" s="2">
        <v>10.7558713504952</v>
      </c>
      <c r="AE25" s="2">
        <v>0</v>
      </c>
      <c r="AF25" s="2">
        <v>172.99781415154499</v>
      </c>
      <c r="AG25" s="2">
        <v>112.195585671575</v>
      </c>
      <c r="AH25" s="2">
        <v>29.4874953808526</v>
      </c>
      <c r="AI25" s="2">
        <v>-16.0896783404554</v>
      </c>
      <c r="AJ25" s="2">
        <v>352967743529.29999</v>
      </c>
      <c r="AK25" s="2">
        <v>6.33577809469833E-2</v>
      </c>
      <c r="AL25" s="2">
        <v>75378</v>
      </c>
      <c r="AM25" s="2">
        <f t="shared" si="6"/>
        <v>0.9657435728380519</v>
      </c>
      <c r="AN25" s="3">
        <f t="shared" si="7"/>
        <v>0.56857557578448514</v>
      </c>
      <c r="AO25" s="3">
        <f t="shared" si="8"/>
        <v>1.1334324141379519</v>
      </c>
    </row>
    <row r="26" spans="1:41" x14ac:dyDescent="0.25">
      <c r="A26" s="2">
        <v>25</v>
      </c>
      <c r="B26" s="2" t="s">
        <v>54</v>
      </c>
      <c r="C26" s="2">
        <v>0</v>
      </c>
      <c r="D26" s="2">
        <v>0.738318384508999</v>
      </c>
      <c r="E26" s="2">
        <v>0.76275452033983804</v>
      </c>
      <c r="F26" s="2">
        <v>2.4436135830838999E-2</v>
      </c>
      <c r="G26" s="2">
        <v>5.4289688214970599E-2</v>
      </c>
      <c r="H26" s="2">
        <v>1.1286886484589699E-2</v>
      </c>
      <c r="I26" s="2">
        <v>1.5110640947953599E-2</v>
      </c>
      <c r="J26" s="2">
        <v>0.53286680744777004</v>
      </c>
      <c r="K26" s="2">
        <v>0.149200497244554</v>
      </c>
      <c r="L26" s="2">
        <v>6.0254594699930601</v>
      </c>
      <c r="M26" s="2">
        <v>3.5250175474062302</v>
      </c>
      <c r="N26" s="2">
        <v>90.449522982600698</v>
      </c>
      <c r="O26" s="2">
        <v>0</v>
      </c>
      <c r="P26" s="2">
        <v>100</v>
      </c>
      <c r="Q26" s="2">
        <v>0</v>
      </c>
      <c r="R26" s="2">
        <v>0</v>
      </c>
      <c r="S26" s="2">
        <v>100</v>
      </c>
      <c r="T26" s="2">
        <v>0.41818703505002303</v>
      </c>
      <c r="U26" s="2">
        <v>-13.848572548005199</v>
      </c>
      <c r="V26" s="2">
        <v>569.22223124612799</v>
      </c>
      <c r="W26" s="2">
        <v>99.919187613936501</v>
      </c>
      <c r="X26" s="2">
        <v>43.442387449998797</v>
      </c>
      <c r="Y26" s="2">
        <v>246.454873371704</v>
      </c>
      <c r="Z26" s="2">
        <v>57.2287646279146</v>
      </c>
      <c r="AA26" s="2">
        <v>292.012654922894</v>
      </c>
      <c r="AB26" s="2">
        <v>3.7441868291894802</v>
      </c>
      <c r="AC26" s="2">
        <v>766.52030391388996</v>
      </c>
      <c r="AD26" s="2">
        <v>19.235330485440599</v>
      </c>
      <c r="AE26" s="2">
        <v>0</v>
      </c>
      <c r="AF26" s="2">
        <v>171.81127344763999</v>
      </c>
      <c r="AG26" s="2">
        <v>112.116498041288</v>
      </c>
      <c r="AH26" s="2">
        <v>31.0220430062435</v>
      </c>
      <c r="AI26" s="2">
        <v>-8.6600214610019499</v>
      </c>
      <c r="AJ26" s="2">
        <v>381235255951.79999</v>
      </c>
      <c r="AK26" s="2">
        <v>6.4821000184505095E-2</v>
      </c>
      <c r="AL26" s="2">
        <v>120612</v>
      </c>
      <c r="AM26" s="2">
        <f t="shared" si="6"/>
        <v>0.96796330250530438</v>
      </c>
      <c r="AN26" s="3">
        <f t="shared" si="7"/>
        <v>0.61355402309528406</v>
      </c>
      <c r="AO26" s="3">
        <f t="shared" si="8"/>
        <v>1.2033469861126462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30"/>
  <sheetViews>
    <sheetView workbookViewId="0">
      <selection activeCell="A3" sqref="A3:S13"/>
    </sheetView>
  </sheetViews>
  <sheetFormatPr defaultRowHeight="15" x14ac:dyDescent="0.25"/>
  <cols>
    <col min="1" max="1" width="13.140625" customWidth="1"/>
    <col min="2" max="2" width="16.28515625" customWidth="1"/>
    <col min="3" max="3" width="11.7109375" customWidth="1"/>
    <col min="4" max="4" width="12.140625" customWidth="1"/>
    <col min="5" max="5" width="15" customWidth="1"/>
    <col min="6" max="6" width="6.140625" customWidth="1"/>
    <col min="7" max="7" width="13.85546875" customWidth="1"/>
    <col min="8" max="8" width="16.28515625" customWidth="1"/>
    <col min="9" max="9" width="11.7109375" customWidth="1"/>
    <col min="10" max="10" width="12.140625" customWidth="1"/>
    <col min="11" max="11" width="15" customWidth="1"/>
    <col min="12" max="12" width="6.140625" customWidth="1"/>
    <col min="13" max="13" width="13.85546875" customWidth="1"/>
    <col min="14" max="14" width="16.28515625" customWidth="1"/>
    <col min="15" max="15" width="11.7109375" customWidth="1"/>
    <col min="16" max="16" width="12.140625" customWidth="1"/>
    <col min="17" max="17" width="15" customWidth="1"/>
    <col min="18" max="18" width="6.140625" customWidth="1"/>
    <col min="19" max="19" width="13.85546875" bestFit="1" customWidth="1"/>
    <col min="20" max="20" width="15.28515625" bestFit="1" customWidth="1"/>
    <col min="21" max="21" width="11.7109375" bestFit="1" customWidth="1"/>
    <col min="22" max="22" width="12.140625" bestFit="1" customWidth="1"/>
    <col min="23" max="23" width="15" bestFit="1" customWidth="1"/>
    <col min="24" max="24" width="6.140625" customWidth="1"/>
    <col min="25" max="25" width="13.85546875" bestFit="1" customWidth="1"/>
    <col min="26" max="26" width="16.28515625" bestFit="1" customWidth="1"/>
    <col min="27" max="27" width="11.7109375" bestFit="1" customWidth="1"/>
    <col min="28" max="28" width="12.140625" bestFit="1" customWidth="1"/>
    <col min="29" max="29" width="15" bestFit="1" customWidth="1"/>
    <col min="30" max="30" width="6.140625" customWidth="1"/>
    <col min="31" max="31" width="13.85546875" bestFit="1" customWidth="1"/>
    <col min="32" max="32" width="16.28515625" bestFit="1" customWidth="1"/>
    <col min="33" max="33" width="11.7109375" bestFit="1" customWidth="1"/>
    <col min="34" max="34" width="12.140625" bestFit="1" customWidth="1"/>
    <col min="35" max="35" width="15" bestFit="1" customWidth="1"/>
    <col min="36" max="36" width="6.140625" customWidth="1"/>
    <col min="37" max="37" width="13.85546875" bestFit="1" customWidth="1"/>
  </cols>
  <sheetData>
    <row r="2" spans="1:19" x14ac:dyDescent="0.25">
      <c r="B2" s="4" t="s">
        <v>35</v>
      </c>
      <c r="E2" s="7"/>
      <c r="J2" s="7"/>
    </row>
    <row r="3" spans="1:19" x14ac:dyDescent="0.25">
      <c r="B3" s="2" t="s">
        <v>52</v>
      </c>
      <c r="H3" s="2" t="s">
        <v>53</v>
      </c>
      <c r="N3" s="2" t="s">
        <v>54</v>
      </c>
    </row>
    <row r="4" spans="1:19" x14ac:dyDescent="0.25">
      <c r="A4" s="4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  <c r="N4" s="2" t="s">
        <v>37</v>
      </c>
      <c r="O4" s="2" t="s">
        <v>38</v>
      </c>
      <c r="P4" s="2" t="s">
        <v>39</v>
      </c>
      <c r="Q4" s="2" t="s">
        <v>40</v>
      </c>
      <c r="R4" s="2" t="s">
        <v>41</v>
      </c>
      <c r="S4" s="2" t="s">
        <v>42</v>
      </c>
    </row>
    <row r="5" spans="1:19" x14ac:dyDescent="0.25">
      <c r="A5" s="5">
        <v>-200</v>
      </c>
      <c r="B5" s="6">
        <v>281105.90000000002</v>
      </c>
      <c r="C5" s="8">
        <v>0</v>
      </c>
      <c r="D5" s="8">
        <v>0.54662159786949704</v>
      </c>
      <c r="E5" s="8">
        <v>0.54661674048596365</v>
      </c>
      <c r="F5" s="8">
        <v>0</v>
      </c>
      <c r="G5" s="8">
        <v>0</v>
      </c>
      <c r="H5" s="6"/>
      <c r="I5" s="8"/>
      <c r="J5" s="8"/>
      <c r="K5" s="8"/>
      <c r="L5" s="8"/>
      <c r="M5" s="8"/>
      <c r="N5" s="6">
        <v>444369.4</v>
      </c>
      <c r="O5" s="8">
        <v>1.0589442027286301E-4</v>
      </c>
      <c r="P5" s="8">
        <v>0.40953782718864401</v>
      </c>
      <c r="Q5" s="8">
        <v>0.40953198891773562</v>
      </c>
      <c r="R5" s="8">
        <v>2.5857054768248602E-4</v>
      </c>
      <c r="S5" s="8">
        <v>2.5857423385340102E-4</v>
      </c>
    </row>
    <row r="6" spans="1:19" x14ac:dyDescent="0.25">
      <c r="A6" s="5">
        <v>-175</v>
      </c>
      <c r="B6" s="6">
        <v>1585574.4</v>
      </c>
      <c r="C6" s="8">
        <v>2.3397505093422301E-3</v>
      </c>
      <c r="D6" s="8">
        <v>0.53163724834970405</v>
      </c>
      <c r="E6" s="8">
        <v>0.53163057050967011</v>
      </c>
      <c r="F6" s="8">
        <v>4.4010281758948026E-3</v>
      </c>
      <c r="G6" s="8">
        <v>4.4010834574451383E-3</v>
      </c>
      <c r="H6" s="6"/>
      <c r="I6" s="8"/>
      <c r="J6" s="8"/>
      <c r="K6" s="8"/>
      <c r="L6" s="8"/>
      <c r="M6" s="8"/>
      <c r="N6" s="6">
        <v>3732890.4</v>
      </c>
      <c r="O6" s="8">
        <v>9.8434499978890293E-5</v>
      </c>
      <c r="P6" s="8">
        <v>0.42612814070930399</v>
      </c>
      <c r="Q6" s="8">
        <v>0.42612277695448014</v>
      </c>
      <c r="R6" s="8">
        <v>2.3099741738492768E-4</v>
      </c>
      <c r="S6" s="8">
        <v>2.3100032502934101E-4</v>
      </c>
    </row>
    <row r="7" spans="1:19" x14ac:dyDescent="0.25">
      <c r="A7" s="5">
        <v>-150</v>
      </c>
      <c r="B7" s="6">
        <v>19093386</v>
      </c>
      <c r="C7" s="8">
        <v>2.46588315607876</v>
      </c>
      <c r="D7" s="8">
        <v>0.52425817229799099</v>
      </c>
      <c r="E7" s="8">
        <v>0.52425135568822401</v>
      </c>
      <c r="F7" s="8">
        <v>4.7035664609099115</v>
      </c>
      <c r="G7" s="8">
        <v>4.7036276193155677</v>
      </c>
      <c r="H7" s="6">
        <v>5709110.5999999996</v>
      </c>
      <c r="I7" s="8">
        <v>2.1214286004548602E-3</v>
      </c>
      <c r="J7" s="8">
        <v>0.43040774504865797</v>
      </c>
      <c r="K7" s="8">
        <v>0.4304003426003789</v>
      </c>
      <c r="L7" s="8">
        <v>4.9288811013729105E-3</v>
      </c>
      <c r="M7" s="8">
        <v>4.928965873116367E-3</v>
      </c>
      <c r="N7" s="6">
        <v>12928212.1</v>
      </c>
      <c r="O7" s="8">
        <v>1.07834418728325E-2</v>
      </c>
      <c r="P7" s="8">
        <v>0.45625817128301799</v>
      </c>
      <c r="Q7" s="8">
        <v>0.45625220817053597</v>
      </c>
      <c r="R7" s="8">
        <v>2.3634517804928267E-2</v>
      </c>
      <c r="S7" s="8">
        <v>2.363482670269491E-2</v>
      </c>
    </row>
    <row r="8" spans="1:19" x14ac:dyDescent="0.25">
      <c r="A8" s="5">
        <v>-125</v>
      </c>
      <c r="B8" s="6">
        <v>185002405.19999999</v>
      </c>
      <c r="C8" s="8">
        <v>0.33926647308907498</v>
      </c>
      <c r="D8" s="8">
        <v>0.51519189419154199</v>
      </c>
      <c r="E8" s="8">
        <v>0.51518416007055812</v>
      </c>
      <c r="F8" s="8">
        <v>0.65852447779960588</v>
      </c>
      <c r="G8" s="8">
        <v>0.65853436379451191</v>
      </c>
      <c r="H8" s="6">
        <v>104874119.7</v>
      </c>
      <c r="I8" s="8">
        <v>0.54264238509312601</v>
      </c>
      <c r="J8" s="8">
        <v>0.45693767147504999</v>
      </c>
      <c r="K8" s="8">
        <v>0.45692924847104938</v>
      </c>
      <c r="L8" s="8">
        <v>1.1875632476118918</v>
      </c>
      <c r="M8" s="8">
        <v>1.1875851390754368</v>
      </c>
      <c r="N8" s="6">
        <v>233108297.69999999</v>
      </c>
      <c r="O8" s="8">
        <v>0.32412681944105698</v>
      </c>
      <c r="P8" s="8">
        <v>0.45243177382179001</v>
      </c>
      <c r="Q8" s="8">
        <v>0.45242373521719742</v>
      </c>
      <c r="R8" s="8">
        <v>0.71641038095774523</v>
      </c>
      <c r="S8" s="8">
        <v>0.71642311004185433</v>
      </c>
    </row>
    <row r="9" spans="1:19" x14ac:dyDescent="0.25">
      <c r="A9" s="5">
        <v>-100</v>
      </c>
      <c r="B9" s="6">
        <v>1793443566.2</v>
      </c>
      <c r="C9" s="8">
        <v>0.47824687055742598</v>
      </c>
      <c r="D9" s="8">
        <v>0.54330518622461199</v>
      </c>
      <c r="E9" s="8">
        <v>0.54329706680346979</v>
      </c>
      <c r="F9" s="8">
        <v>0.88025456535898083</v>
      </c>
      <c r="G9" s="8">
        <v>0.88026772051472379</v>
      </c>
      <c r="H9" s="6">
        <v>1189507020.5</v>
      </c>
      <c r="I9" s="8">
        <v>0.49229164462914599</v>
      </c>
      <c r="J9" s="8">
        <v>0.46607515632716601</v>
      </c>
      <c r="K9" s="8">
        <v>0.4660668057698138</v>
      </c>
      <c r="L9" s="8">
        <v>1.0562494866891747</v>
      </c>
      <c r="M9" s="8">
        <v>1.0562684115982386</v>
      </c>
      <c r="N9" s="6">
        <v>3208599398.6999998</v>
      </c>
      <c r="O9" s="8">
        <v>0.488667031594607</v>
      </c>
      <c r="P9" s="8">
        <v>0.46185346560481799</v>
      </c>
      <c r="Q9" s="8">
        <v>0.461845341598284</v>
      </c>
      <c r="R9" s="8">
        <v>1.0580564356157325</v>
      </c>
      <c r="S9" s="8">
        <v>1.0580750471651454</v>
      </c>
    </row>
    <row r="10" spans="1:19" x14ac:dyDescent="0.25">
      <c r="A10" s="5">
        <v>-75</v>
      </c>
      <c r="B10" s="6">
        <v>15343269250.6</v>
      </c>
      <c r="C10" s="8">
        <v>0.59304514994180901</v>
      </c>
      <c r="D10" s="8">
        <v>0.54582655761792898</v>
      </c>
      <c r="E10" s="8">
        <v>0.54556495605946187</v>
      </c>
      <c r="F10" s="8">
        <v>1.0865084185898708</v>
      </c>
      <c r="G10" s="8">
        <v>1.0870294056738721</v>
      </c>
      <c r="H10" s="6">
        <v>9038517861.7000008</v>
      </c>
      <c r="I10" s="8">
        <v>0.44778263297879001</v>
      </c>
      <c r="J10" s="8">
        <v>0.475830652592315</v>
      </c>
      <c r="K10" s="8">
        <v>0.47556757993608978</v>
      </c>
      <c r="L10" s="8">
        <v>0.94105461793871414</v>
      </c>
      <c r="M10" s="8">
        <v>0.94157518693550613</v>
      </c>
      <c r="N10" s="6">
        <v>27276257607.400002</v>
      </c>
      <c r="O10" s="8">
        <v>0.47518166784933702</v>
      </c>
      <c r="P10" s="8">
        <v>0.46280077674222297</v>
      </c>
      <c r="Q10" s="8">
        <v>0.46253642469434547</v>
      </c>
      <c r="R10" s="8">
        <v>1.0267520966457022</v>
      </c>
      <c r="S10" s="8">
        <v>1.0273389131749955</v>
      </c>
    </row>
    <row r="11" spans="1:19" x14ac:dyDescent="0.25">
      <c r="A11" s="5">
        <v>-50</v>
      </c>
      <c r="B11" s="6">
        <v>82741766359.199997</v>
      </c>
      <c r="C11" s="8">
        <v>0.63823640153156702</v>
      </c>
      <c r="D11" s="8">
        <v>0.61888463078689704</v>
      </c>
      <c r="E11" s="8">
        <v>0.58805799117802282</v>
      </c>
      <c r="F11" s="8">
        <v>1.0312687854601668</v>
      </c>
      <c r="G11" s="8">
        <v>1.0853290170464731</v>
      </c>
      <c r="H11" s="6">
        <v>53905946635.699997</v>
      </c>
      <c r="I11" s="8">
        <v>0.55395703070786395</v>
      </c>
      <c r="J11" s="8">
        <v>0.544575763821325</v>
      </c>
      <c r="K11" s="8">
        <v>0.51336395390846523</v>
      </c>
      <c r="L11" s="8">
        <v>1.0172267432922648</v>
      </c>
      <c r="M11" s="8">
        <v>1.079072705612355</v>
      </c>
      <c r="N11" s="6">
        <v>160208905140.29999</v>
      </c>
      <c r="O11" s="8">
        <v>0.55395564426894806</v>
      </c>
      <c r="P11" s="8">
        <v>0.53055934399918903</v>
      </c>
      <c r="Q11" s="8">
        <v>0.4968778337899819</v>
      </c>
      <c r="R11" s="8">
        <v>1.0440974238497152</v>
      </c>
      <c r="S11" s="8">
        <v>1.1148729256920153</v>
      </c>
    </row>
    <row r="12" spans="1:19" x14ac:dyDescent="0.25">
      <c r="A12" s="5">
        <v>-25</v>
      </c>
      <c r="B12" s="6">
        <v>184404906453.60001</v>
      </c>
      <c r="C12" s="8">
        <v>0.75642958472703703</v>
      </c>
      <c r="D12" s="8">
        <v>0.75683164538743997</v>
      </c>
      <c r="E12" s="8">
        <v>0.66137309008084433</v>
      </c>
      <c r="F12" s="8">
        <v>0.99946875812757918</v>
      </c>
      <c r="G12" s="8">
        <v>1.1437259786825817</v>
      </c>
      <c r="H12" s="6">
        <v>126403926276.60001</v>
      </c>
      <c r="I12" s="8">
        <v>0.65053281422004805</v>
      </c>
      <c r="J12" s="8">
        <v>0.68089303069952301</v>
      </c>
      <c r="K12" s="8">
        <v>0.58559550519488879</v>
      </c>
      <c r="L12" s="8">
        <v>0.95541118044888185</v>
      </c>
      <c r="M12" s="8">
        <v>1.1108910646497328</v>
      </c>
      <c r="N12" s="6">
        <v>352967743529.29999</v>
      </c>
      <c r="O12" s="8">
        <v>0.64444198748128501</v>
      </c>
      <c r="P12" s="8">
        <v>0.66730134748652703</v>
      </c>
      <c r="Q12" s="8">
        <v>0.56857557578448514</v>
      </c>
      <c r="R12" s="8">
        <v>0.9657435728380519</v>
      </c>
      <c r="S12" s="8">
        <v>1.1334324141379519</v>
      </c>
    </row>
    <row r="13" spans="1:19" x14ac:dyDescent="0.25">
      <c r="A13" s="5">
        <v>0</v>
      </c>
      <c r="B13" s="6">
        <v>187193949670.60001</v>
      </c>
      <c r="C13" s="8">
        <v>0.82184482350813803</v>
      </c>
      <c r="D13" s="8">
        <v>0.85155198691058598</v>
      </c>
      <c r="E13" s="8">
        <v>0.70081527253752496</v>
      </c>
      <c r="F13" s="8">
        <v>0.96511409302181894</v>
      </c>
      <c r="G13" s="8">
        <v>1.1726982212193906</v>
      </c>
      <c r="H13" s="6">
        <v>147837472095.5</v>
      </c>
      <c r="I13" s="8">
        <v>0.76809087070661897</v>
      </c>
      <c r="J13" s="8">
        <v>0.77415547320795597</v>
      </c>
      <c r="K13" s="8">
        <v>0.62295736326623496</v>
      </c>
      <c r="L13" s="8">
        <v>0.9921661698312273</v>
      </c>
      <c r="M13" s="8">
        <v>1.232975025256035</v>
      </c>
      <c r="N13" s="6">
        <v>381235255951.79999</v>
      </c>
      <c r="O13" s="8">
        <v>0.738318384508999</v>
      </c>
      <c r="P13" s="8">
        <v>0.76275452033983804</v>
      </c>
      <c r="Q13" s="8">
        <v>0.61355402309528406</v>
      </c>
      <c r="R13" s="8">
        <v>0.96796330250530438</v>
      </c>
      <c r="S13" s="8">
        <v>1.2033469861126462</v>
      </c>
    </row>
    <row r="14" spans="1:19" x14ac:dyDescent="0.25">
      <c r="N14" s="2"/>
      <c r="O14" s="2"/>
      <c r="P14" s="2"/>
      <c r="Q14" s="2"/>
      <c r="R14" s="2"/>
      <c r="S14" s="2"/>
    </row>
    <row r="24" spans="1:3" x14ac:dyDescent="0.25">
      <c r="A24" s="2"/>
      <c r="C24" s="2"/>
    </row>
    <row r="25" spans="1:3" x14ac:dyDescent="0.25">
      <c r="A25" s="2"/>
      <c r="C25" s="2"/>
    </row>
    <row r="26" spans="1:3" x14ac:dyDescent="0.25">
      <c r="A26" s="2"/>
      <c r="C26" s="2"/>
    </row>
    <row r="27" spans="1:3" x14ac:dyDescent="0.25">
      <c r="A27" s="2"/>
      <c r="C27" s="2"/>
    </row>
    <row r="28" spans="1:3" x14ac:dyDescent="0.25">
      <c r="A28" s="2"/>
      <c r="C28" s="2"/>
    </row>
    <row r="29" spans="1:3" x14ac:dyDescent="0.25">
      <c r="A29" s="2"/>
      <c r="C29" s="2"/>
    </row>
    <row r="30" spans="1:3" x14ac:dyDescent="0.25">
      <c r="A30" s="2"/>
      <c r="C3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"/>
  <sheetViews>
    <sheetView tabSelected="1" workbookViewId="0">
      <selection activeCell="Z14" sqref="Z14"/>
    </sheetView>
  </sheetViews>
  <sheetFormatPr defaultRowHeight="15" x14ac:dyDescent="0.25"/>
  <cols>
    <col min="2" max="2" width="16.28515625" bestFit="1" customWidth="1"/>
    <col min="8" max="8" width="15.28515625" bestFit="1" customWidth="1"/>
    <col min="13" max="13" width="9.140625" customWidth="1"/>
    <col min="14" max="14" width="15.28515625" bestFit="1" customWidth="1"/>
    <col min="20" max="20" width="15.28515625" bestFit="1" customWidth="1"/>
    <col min="26" max="26" width="16.28515625" bestFit="1" customWidth="1"/>
    <col min="32" max="32" width="16.28515625" bestFit="1" customWidth="1"/>
  </cols>
  <sheetData>
    <row r="1" spans="1:35" x14ac:dyDescent="0.25">
      <c r="A1" s="1"/>
      <c r="B1" s="1" t="s">
        <v>52</v>
      </c>
      <c r="C1" s="1"/>
      <c r="D1" s="1"/>
      <c r="E1" s="1"/>
      <c r="F1" s="1"/>
      <c r="G1" s="1"/>
      <c r="H1" s="1" t="s">
        <v>53</v>
      </c>
      <c r="I1" s="1"/>
      <c r="J1" s="1"/>
      <c r="K1" s="1"/>
      <c r="L1" s="1"/>
      <c r="M1" s="1"/>
      <c r="N1" s="1" t="s">
        <v>54</v>
      </c>
      <c r="O1" s="1"/>
      <c r="P1" s="1"/>
      <c r="Q1" s="1"/>
      <c r="R1" s="1"/>
      <c r="S1" s="1"/>
    </row>
    <row r="2" spans="1:35" x14ac:dyDescent="0.25">
      <c r="A2" s="9" t="s">
        <v>36</v>
      </c>
      <c r="B2" s="9" t="s">
        <v>37</v>
      </c>
      <c r="C2" s="9" t="s">
        <v>38</v>
      </c>
      <c r="D2" s="9" t="s">
        <v>39</v>
      </c>
      <c r="E2" s="9" t="s">
        <v>40</v>
      </c>
      <c r="F2" s="9" t="s">
        <v>41</v>
      </c>
      <c r="G2" s="9" t="s">
        <v>42</v>
      </c>
      <c r="H2" s="9" t="s">
        <v>37</v>
      </c>
      <c r="I2" s="9" t="s">
        <v>38</v>
      </c>
      <c r="J2" s="9" t="s">
        <v>39</v>
      </c>
      <c r="K2" s="9" t="s">
        <v>40</v>
      </c>
      <c r="L2" s="9" t="s">
        <v>41</v>
      </c>
      <c r="M2" s="9" t="s">
        <v>42</v>
      </c>
      <c r="N2" s="9" t="s">
        <v>37</v>
      </c>
      <c r="O2" s="9" t="s">
        <v>38</v>
      </c>
      <c r="P2" s="9" t="s">
        <v>39</v>
      </c>
      <c r="Q2" s="9" t="s">
        <v>40</v>
      </c>
      <c r="R2" s="9" t="s">
        <v>41</v>
      </c>
      <c r="S2" s="9" t="s">
        <v>42</v>
      </c>
    </row>
    <row r="3" spans="1:35" x14ac:dyDescent="0.25">
      <c r="A3" s="5">
        <v>-200</v>
      </c>
      <c r="B3" s="6">
        <v>281105.90000000002</v>
      </c>
      <c r="C3" s="8">
        <v>0</v>
      </c>
      <c r="D3" s="8">
        <v>0.54662159786949704</v>
      </c>
      <c r="E3" s="8">
        <v>0.54661674048596365</v>
      </c>
      <c r="F3" s="8">
        <v>0</v>
      </c>
      <c r="G3" s="8">
        <v>0</v>
      </c>
      <c r="H3" s="6"/>
      <c r="I3" s="8"/>
      <c r="J3" s="8"/>
      <c r="K3" s="8"/>
      <c r="L3" s="8"/>
      <c r="M3" s="8"/>
      <c r="N3" s="6">
        <v>444369.4</v>
      </c>
      <c r="O3" s="8">
        <v>1.0589442027286301E-4</v>
      </c>
      <c r="P3" s="8">
        <v>0.40953782718864401</v>
      </c>
      <c r="Q3" s="8">
        <v>0.40953198891773562</v>
      </c>
      <c r="R3" s="8">
        <v>2.5857054768248602E-4</v>
      </c>
      <c r="S3" s="8">
        <v>2.5857423385340102E-4</v>
      </c>
    </row>
    <row r="4" spans="1:35" x14ac:dyDescent="0.25">
      <c r="A4" s="5">
        <v>-175</v>
      </c>
      <c r="B4" s="6">
        <v>1585574.4</v>
      </c>
      <c r="C4" s="8">
        <v>2.3397505093422301E-3</v>
      </c>
      <c r="D4" s="8">
        <v>0.53163724834970405</v>
      </c>
      <c r="E4" s="8">
        <v>0.53163057050967011</v>
      </c>
      <c r="F4" s="8">
        <v>4.4010281758948026E-3</v>
      </c>
      <c r="G4" s="8">
        <v>4.4010834574451383E-3</v>
      </c>
      <c r="H4" s="6"/>
      <c r="I4" s="8"/>
      <c r="J4" s="8"/>
      <c r="K4" s="8"/>
      <c r="L4" s="8"/>
      <c r="M4" s="8"/>
      <c r="N4" s="6">
        <v>3732890.4</v>
      </c>
      <c r="O4" s="8">
        <v>9.8434499978890293E-5</v>
      </c>
      <c r="P4" s="8">
        <v>0.42612814070930399</v>
      </c>
      <c r="Q4" s="8">
        <v>0.42612277695448014</v>
      </c>
      <c r="R4" s="8">
        <v>2.3099741738492768E-4</v>
      </c>
      <c r="S4" s="8">
        <v>2.3100032502934101E-4</v>
      </c>
    </row>
    <row r="5" spans="1:35" x14ac:dyDescent="0.25">
      <c r="A5" s="5">
        <v>-150</v>
      </c>
      <c r="B5" s="6">
        <v>19093386</v>
      </c>
      <c r="C5" s="8">
        <v>2.46588315607876</v>
      </c>
      <c r="D5" s="8">
        <v>0.52425817229799099</v>
      </c>
      <c r="E5" s="8">
        <v>0.52425135568822401</v>
      </c>
      <c r="F5" s="8">
        <v>4.7035664609099115</v>
      </c>
      <c r="G5" s="8">
        <v>4.7036276193155677</v>
      </c>
      <c r="H5" s="6">
        <v>5709110.5999999996</v>
      </c>
      <c r="I5" s="8">
        <v>2.1214286004548602E-3</v>
      </c>
      <c r="J5" s="8">
        <v>0.43040774504865797</v>
      </c>
      <c r="K5" s="8">
        <v>0.4304003426003789</v>
      </c>
      <c r="L5" s="8">
        <v>4.9288811013729105E-3</v>
      </c>
      <c r="M5" s="8">
        <v>4.928965873116367E-3</v>
      </c>
      <c r="N5" s="6">
        <v>12928212.1</v>
      </c>
      <c r="O5" s="8">
        <v>1.07834418728325E-2</v>
      </c>
      <c r="P5" s="8">
        <v>0.45625817128301799</v>
      </c>
      <c r="Q5" s="8">
        <v>0.45625220817053597</v>
      </c>
      <c r="R5" s="8">
        <v>2.3634517804928267E-2</v>
      </c>
      <c r="S5" s="8">
        <v>2.363482670269491E-2</v>
      </c>
    </row>
    <row r="6" spans="1:35" x14ac:dyDescent="0.25">
      <c r="A6" s="5">
        <v>-125</v>
      </c>
      <c r="B6" s="6">
        <v>185002405.19999999</v>
      </c>
      <c r="C6" s="8">
        <v>0.33926647308907498</v>
      </c>
      <c r="D6" s="8">
        <v>0.51519189419154199</v>
      </c>
      <c r="E6" s="8">
        <v>0.51518416007055812</v>
      </c>
      <c r="F6" s="8">
        <v>0.65852447779960588</v>
      </c>
      <c r="G6" s="8">
        <v>0.65853436379451191</v>
      </c>
      <c r="H6" s="6">
        <v>104874119.7</v>
      </c>
      <c r="I6" s="8">
        <v>0.54264238509312601</v>
      </c>
      <c r="J6" s="8">
        <v>0.45693767147504999</v>
      </c>
      <c r="K6" s="8">
        <v>0.45692924847104938</v>
      </c>
      <c r="L6" s="8">
        <v>1.1875632476118918</v>
      </c>
      <c r="M6" s="8">
        <v>1.1875851390754368</v>
      </c>
      <c r="N6" s="6">
        <v>233108297.69999999</v>
      </c>
      <c r="O6" s="8">
        <v>0.32412681944105698</v>
      </c>
      <c r="P6" s="8">
        <v>0.45243177382179001</v>
      </c>
      <c r="Q6" s="8">
        <v>0.45242373521719742</v>
      </c>
      <c r="R6" s="8">
        <v>0.71641038095774523</v>
      </c>
      <c r="S6" s="8">
        <v>0.71642311004185433</v>
      </c>
    </row>
    <row r="7" spans="1:35" x14ac:dyDescent="0.25">
      <c r="A7" s="5">
        <v>-100</v>
      </c>
      <c r="B7" s="6">
        <v>1793443566.2</v>
      </c>
      <c r="C7" s="8">
        <v>0.47824687055742598</v>
      </c>
      <c r="D7" s="8">
        <v>0.54330518622461199</v>
      </c>
      <c r="E7" s="8">
        <v>0.54329706680346979</v>
      </c>
      <c r="F7" s="8">
        <v>0.88025456535898083</v>
      </c>
      <c r="G7" s="8">
        <v>0.88026772051472379</v>
      </c>
      <c r="H7" s="6">
        <v>1189507020.5</v>
      </c>
      <c r="I7" s="8">
        <v>0.49229164462914599</v>
      </c>
      <c r="J7" s="8">
        <v>0.46607515632716601</v>
      </c>
      <c r="K7" s="8">
        <v>0.4660668057698138</v>
      </c>
      <c r="L7" s="8">
        <v>1.0562494866891747</v>
      </c>
      <c r="M7" s="8">
        <v>1.0562684115982386</v>
      </c>
      <c r="N7" s="6">
        <v>3208599398.6999998</v>
      </c>
      <c r="O7" s="8">
        <v>0.488667031594607</v>
      </c>
      <c r="P7" s="8">
        <v>0.46185346560481799</v>
      </c>
      <c r="Q7" s="8">
        <v>0.461845341598284</v>
      </c>
      <c r="R7" s="8">
        <v>1.0580564356157325</v>
      </c>
      <c r="S7" s="8">
        <v>1.0580750471651454</v>
      </c>
    </row>
    <row r="8" spans="1:35" x14ac:dyDescent="0.25">
      <c r="A8" s="5">
        <v>-75</v>
      </c>
      <c r="B8" s="6">
        <v>15343269250.6</v>
      </c>
      <c r="C8" s="8">
        <v>0.59304514994180901</v>
      </c>
      <c r="D8" s="8">
        <v>0.54582655761792898</v>
      </c>
      <c r="E8" s="8">
        <v>0.54556495605946187</v>
      </c>
      <c r="F8" s="8">
        <v>1.0865084185898708</v>
      </c>
      <c r="G8" s="8">
        <v>1.0870294056738721</v>
      </c>
      <c r="H8" s="6">
        <v>9038517861.7000008</v>
      </c>
      <c r="I8" s="8">
        <v>0.44778263297879001</v>
      </c>
      <c r="J8" s="8">
        <v>0.475830652592315</v>
      </c>
      <c r="K8" s="8">
        <v>0.47556757993608978</v>
      </c>
      <c r="L8" s="8">
        <v>0.94105461793871414</v>
      </c>
      <c r="M8" s="8">
        <v>0.94157518693550613</v>
      </c>
      <c r="N8" s="6">
        <v>27276257607.400002</v>
      </c>
      <c r="O8" s="8">
        <v>0.47518166784933702</v>
      </c>
      <c r="P8" s="8">
        <v>0.46280077674222297</v>
      </c>
      <c r="Q8" s="8">
        <v>0.46253642469434547</v>
      </c>
      <c r="R8" s="8">
        <v>1.0267520966457022</v>
      </c>
      <c r="S8" s="8">
        <v>1.0273389131749955</v>
      </c>
    </row>
    <row r="9" spans="1:35" x14ac:dyDescent="0.25">
      <c r="A9" s="5">
        <v>-50</v>
      </c>
      <c r="B9" s="6">
        <v>82741766359.199997</v>
      </c>
      <c r="C9" s="8">
        <v>0.63823640153156702</v>
      </c>
      <c r="D9" s="8">
        <v>0.61888463078689704</v>
      </c>
      <c r="E9" s="8">
        <v>0.58805799117802282</v>
      </c>
      <c r="F9" s="8">
        <v>1.0312687854601668</v>
      </c>
      <c r="G9" s="8">
        <v>1.0853290170464731</v>
      </c>
      <c r="H9" s="6">
        <v>53905946635.699997</v>
      </c>
      <c r="I9" s="8">
        <v>0.55395703070786395</v>
      </c>
      <c r="J9" s="8">
        <v>0.544575763821325</v>
      </c>
      <c r="K9" s="8">
        <v>0.51336395390846523</v>
      </c>
      <c r="L9" s="8">
        <v>1.0172267432922648</v>
      </c>
      <c r="M9" s="8">
        <v>1.079072705612355</v>
      </c>
      <c r="N9" s="6">
        <v>160208905140.29999</v>
      </c>
      <c r="O9" s="8">
        <v>0.55395564426894806</v>
      </c>
      <c r="P9" s="8">
        <v>0.53055934399918903</v>
      </c>
      <c r="Q9" s="8">
        <v>0.4968778337899819</v>
      </c>
      <c r="R9" s="8">
        <v>1.0440974238497152</v>
      </c>
      <c r="S9" s="8">
        <v>1.1148729256920153</v>
      </c>
    </row>
    <row r="10" spans="1:35" x14ac:dyDescent="0.25">
      <c r="A10" s="5">
        <v>-25</v>
      </c>
      <c r="B10" s="6">
        <v>184404906453.60001</v>
      </c>
      <c r="C10" s="8">
        <v>0.75642958472703703</v>
      </c>
      <c r="D10" s="8">
        <v>0.75683164538743997</v>
      </c>
      <c r="E10" s="8">
        <v>0.66137309008084433</v>
      </c>
      <c r="F10" s="8">
        <v>0.99946875812757918</v>
      </c>
      <c r="G10" s="8">
        <v>1.1437259786825817</v>
      </c>
      <c r="H10" s="6">
        <v>126403926276.60001</v>
      </c>
      <c r="I10" s="8">
        <v>0.65053281422004805</v>
      </c>
      <c r="J10" s="8">
        <v>0.68089303069952301</v>
      </c>
      <c r="K10" s="8">
        <v>0.58559550519488879</v>
      </c>
      <c r="L10" s="8">
        <v>0.95541118044888185</v>
      </c>
      <c r="M10" s="8">
        <v>1.1108910646497328</v>
      </c>
      <c r="N10" s="6">
        <v>352967743529.29999</v>
      </c>
      <c r="O10" s="8">
        <v>0.64444198748128501</v>
      </c>
      <c r="P10" s="8">
        <v>0.66730134748652703</v>
      </c>
      <c r="Q10" s="8">
        <v>0.56857557578448514</v>
      </c>
      <c r="R10" s="8">
        <v>0.9657435728380519</v>
      </c>
      <c r="S10" s="8">
        <v>1.1334324141379519</v>
      </c>
    </row>
    <row r="11" spans="1:35" x14ac:dyDescent="0.25">
      <c r="A11" s="5">
        <v>0</v>
      </c>
      <c r="B11" s="6">
        <v>187193949670.60001</v>
      </c>
      <c r="C11" s="8">
        <v>0.82184482350813803</v>
      </c>
      <c r="D11" s="8">
        <v>0.85155198691058598</v>
      </c>
      <c r="E11" s="8">
        <v>0.70081527253752496</v>
      </c>
      <c r="F11" s="8">
        <v>0.96511409302181894</v>
      </c>
      <c r="G11" s="8">
        <v>1.1726982212193906</v>
      </c>
      <c r="H11" s="6">
        <v>147837472095.5</v>
      </c>
      <c r="I11" s="8">
        <v>0.76809087070661897</v>
      </c>
      <c r="J11" s="8">
        <v>0.77415547320795597</v>
      </c>
      <c r="K11" s="8">
        <v>0.62295736326623496</v>
      </c>
      <c r="L11" s="8">
        <v>0.9921661698312273</v>
      </c>
      <c r="M11" s="8">
        <v>1.232975025256035</v>
      </c>
      <c r="N11" s="6">
        <v>381235255951.79999</v>
      </c>
      <c r="O11" s="8">
        <v>0.738318384508999</v>
      </c>
      <c r="P11" s="8">
        <v>0.76275452033983804</v>
      </c>
      <c r="Q11" s="8">
        <v>0.61355402309528406</v>
      </c>
      <c r="R11" s="8">
        <v>0.96796330250530438</v>
      </c>
      <c r="S11" s="8">
        <v>1.2033469861126462</v>
      </c>
    </row>
    <row r="12" spans="1:35" s="2" customFormat="1" x14ac:dyDescent="0.25"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4" spans="1:35" x14ac:dyDescent="0.25">
      <c r="C14" t="str">
        <f>B1</f>
        <v>PURCH</v>
      </c>
      <c r="D14" s="2" t="str">
        <f>C14</f>
        <v>PURCH</v>
      </c>
      <c r="E14" s="2" t="str">
        <f>C14</f>
        <v>PURCH</v>
      </c>
      <c r="I14" s="2" t="str">
        <f>H1</f>
        <v>RE-FI-CO</v>
      </c>
      <c r="J14" s="2" t="str">
        <f>I14</f>
        <v>RE-FI-CO</v>
      </c>
      <c r="K14" s="2" t="str">
        <f>I14</f>
        <v>RE-FI-CO</v>
      </c>
      <c r="O14" s="2" t="str">
        <f>N1</f>
        <v>RE-FI-NCO</v>
      </c>
      <c r="P14" s="2" t="str">
        <f>O14</f>
        <v>RE-FI-NCO</v>
      </c>
      <c r="Q14" s="2" t="str">
        <f>O14</f>
        <v>RE-FI-NCO</v>
      </c>
      <c r="AG14" s="2" t="s">
        <v>49</v>
      </c>
      <c r="AH14" s="2" t="s">
        <v>49</v>
      </c>
      <c r="AI14" s="2" t="s">
        <v>49</v>
      </c>
    </row>
    <row r="15" spans="1:35" x14ac:dyDescent="0.25">
      <c r="C15" s="2" t="s">
        <v>46</v>
      </c>
      <c r="D15" s="2" t="s">
        <v>47</v>
      </c>
      <c r="E15" s="2" t="s">
        <v>48</v>
      </c>
      <c r="I15" s="2" t="s">
        <v>46</v>
      </c>
      <c r="J15" s="2" t="s">
        <v>47</v>
      </c>
      <c r="K15" s="2" t="s">
        <v>48</v>
      </c>
      <c r="O15" s="2" t="s">
        <v>46</v>
      </c>
      <c r="P15" s="2" t="s">
        <v>47</v>
      </c>
      <c r="Q15" s="2" t="s">
        <v>48</v>
      </c>
      <c r="AG15" s="2" t="s">
        <v>46</v>
      </c>
      <c r="AH15" s="2" t="s">
        <v>47</v>
      </c>
      <c r="AI15" s="2" t="s">
        <v>48</v>
      </c>
    </row>
    <row r="16" spans="1:35" x14ac:dyDescent="0.25">
      <c r="A16" s="12">
        <f>A7</f>
        <v>-100</v>
      </c>
      <c r="B16" s="12"/>
      <c r="C16" s="11">
        <f t="shared" ref="C16:D16" si="0">100*(1-(1-C7/100)^12)</f>
        <v>5.5903879656542754</v>
      </c>
      <c r="D16" s="11">
        <f t="shared" si="0"/>
        <v>6.328328538818317</v>
      </c>
      <c r="E16" s="11">
        <f t="shared" ref="E16:E19" si="1">C16/D16</f>
        <v>0.8833909193181938</v>
      </c>
      <c r="F16" s="12"/>
      <c r="G16" s="12"/>
      <c r="H16" s="12"/>
      <c r="I16" s="11">
        <f t="shared" ref="I16:J16" si="2">100*(1-(1-I7/100)^12)</f>
        <v>5.7501439509454855</v>
      </c>
      <c r="J16" s="11">
        <f t="shared" si="2"/>
        <v>5.4517368582828407</v>
      </c>
      <c r="K16" s="11">
        <f t="shared" ref="K16:K19" si="3">I16/J16</f>
        <v>1.0547361511422317</v>
      </c>
      <c r="L16" s="12"/>
      <c r="M16" s="12"/>
      <c r="O16" s="11">
        <f t="shared" ref="O16:P16" si="4">100*(1-(1-O7/100)^12)</f>
        <v>5.7089385757209676</v>
      </c>
      <c r="P16" s="11">
        <f t="shared" si="4"/>
        <v>5.4036029195784767</v>
      </c>
      <c r="Q16" s="11">
        <f t="shared" ref="Q16:Q20" si="5">O16/P16</f>
        <v>1.056505938849835</v>
      </c>
      <c r="AG16" s="10">
        <f t="shared" ref="AG16:AH16" si="6">100*(1-(1-AG10/100)^12)</f>
        <v>0</v>
      </c>
      <c r="AH16" s="10">
        <f t="shared" si="6"/>
        <v>0</v>
      </c>
      <c r="AI16" s="10" t="e">
        <f t="shared" ref="AI16" si="7">AG16/AH16</f>
        <v>#DIV/0!</v>
      </c>
    </row>
    <row r="17" spans="1:31" x14ac:dyDescent="0.25">
      <c r="A17" s="12">
        <f>A8</f>
        <v>-75</v>
      </c>
      <c r="B17" s="12"/>
      <c r="C17" s="11">
        <f t="shared" ref="C17:D17" si="8">100*(1-(1-C8/100)^12)</f>
        <v>6.8889461253150426</v>
      </c>
      <c r="D17" s="11">
        <f t="shared" si="8"/>
        <v>6.3568211177743468</v>
      </c>
      <c r="E17" s="11">
        <f t="shared" si="1"/>
        <v>1.0837092939508424</v>
      </c>
      <c r="F17" s="12"/>
      <c r="G17" s="12"/>
      <c r="H17" s="12"/>
      <c r="I17" s="11">
        <f t="shared" ref="I17:J17" si="9">100*(1-(1-I8/100)^12)</f>
        <v>5.2430109682713439</v>
      </c>
      <c r="J17" s="11">
        <f t="shared" si="9"/>
        <v>5.5628790455004236</v>
      </c>
      <c r="K17" s="11">
        <f t="shared" si="3"/>
        <v>0.94249954481972653</v>
      </c>
      <c r="L17" s="12"/>
      <c r="M17" s="12"/>
      <c r="O17" s="11">
        <f t="shared" ref="O17:P17" si="10">100*(1-(1-O8/100)^12)</f>
        <v>5.5554890276731772</v>
      </c>
      <c r="P17" s="11">
        <f t="shared" si="10"/>
        <v>5.4144057162707204</v>
      </c>
      <c r="Q17" s="11">
        <f t="shared" si="5"/>
        <v>1.0260570261623525</v>
      </c>
    </row>
    <row r="18" spans="1:31" x14ac:dyDescent="0.25">
      <c r="A18" s="12">
        <f>A9</f>
        <v>-50</v>
      </c>
      <c r="B18" s="12"/>
      <c r="C18" s="11">
        <f t="shared" ref="C18:D18" si="11">100*(1-(1-C9/100)^12)</f>
        <v>7.3956269733532309</v>
      </c>
      <c r="D18" s="11">
        <f t="shared" si="11"/>
        <v>7.1789666320064232</v>
      </c>
      <c r="E18" s="11">
        <f t="shared" si="1"/>
        <v>1.0301798785887732</v>
      </c>
      <c r="F18" s="12"/>
      <c r="G18" s="12"/>
      <c r="H18" s="12"/>
      <c r="I18" s="11">
        <f t="shared" ref="I18:J18" si="12">100*(1-(1-I9/100)^12)</f>
        <v>6.4486448489561976</v>
      </c>
      <c r="J18" s="11">
        <f t="shared" si="12"/>
        <v>6.3426876041649649</v>
      </c>
      <c r="K18" s="11">
        <f t="shared" si="3"/>
        <v>1.0167054175459713</v>
      </c>
      <c r="L18" s="12"/>
      <c r="M18" s="12"/>
      <c r="O18" s="11">
        <f t="shared" ref="O18:P18" si="13">100*(1-(1-O9/100)^12)</f>
        <v>6.4486291978659409</v>
      </c>
      <c r="P18" s="11">
        <f t="shared" si="13"/>
        <v>6.1841733871741855</v>
      </c>
      <c r="Q18" s="11">
        <f t="shared" si="5"/>
        <v>1.0427633240750056</v>
      </c>
    </row>
    <row r="19" spans="1:31" x14ac:dyDescent="0.25">
      <c r="A19" s="12">
        <f>A10</f>
        <v>-25</v>
      </c>
      <c r="B19" s="12"/>
      <c r="C19" s="11">
        <f t="shared" ref="C19:D20" si="14">100*(1-(1-C10/100)^12)</f>
        <v>8.7088743271684486</v>
      </c>
      <c r="D19" s="11">
        <f t="shared" si="14"/>
        <v>8.7133123479636421</v>
      </c>
      <c r="E19" s="11">
        <f t="shared" si="1"/>
        <v>0.99949066203322434</v>
      </c>
      <c r="F19" s="12"/>
      <c r="G19" s="12"/>
      <c r="H19" s="12"/>
      <c r="I19" s="11">
        <f t="shared" ref="I19:J20" si="15">100*(1-(1-I10/100)^12)</f>
        <v>7.5330553134651979</v>
      </c>
      <c r="J19" s="11">
        <f t="shared" si="15"/>
        <v>7.8715698064178552</v>
      </c>
      <c r="K19" s="11">
        <f t="shared" si="3"/>
        <v>0.95699530064807914</v>
      </c>
      <c r="L19" s="12"/>
      <c r="M19" s="12"/>
      <c r="O19" s="11">
        <f t="shared" ref="O19:P19" si="16">100*(1-(1-O10/100)^12)</f>
        <v>7.4650058192330722</v>
      </c>
      <c r="P19" s="11">
        <f t="shared" si="16"/>
        <v>7.7201640942439864</v>
      </c>
      <c r="Q19" s="11">
        <f t="shared" si="5"/>
        <v>0.9669491124934565</v>
      </c>
    </row>
    <row r="20" spans="1:31" x14ac:dyDescent="0.25">
      <c r="A20" s="12">
        <f>A11</f>
        <v>0</v>
      </c>
      <c r="B20" s="12"/>
      <c r="C20" s="11">
        <f t="shared" si="14"/>
        <v>9.428344069628503</v>
      </c>
      <c r="D20" s="11">
        <f t="shared" si="14"/>
        <v>9.7533590415342033</v>
      </c>
      <c r="E20" s="11">
        <f t="shared" ref="E20" si="17">C20/D20</f>
        <v>0.96667661156308915</v>
      </c>
      <c r="F20" s="12"/>
      <c r="G20" s="12"/>
      <c r="H20" s="12"/>
      <c r="I20" s="11">
        <f t="shared" si="15"/>
        <v>8.837513496362293</v>
      </c>
      <c r="J20" s="11">
        <f t="shared" si="15"/>
        <v>8.9043482614351017</v>
      </c>
      <c r="K20" s="11">
        <f t="shared" ref="K20" si="18">I20/J20</f>
        <v>0.99249414296133598</v>
      </c>
      <c r="L20" s="12"/>
      <c r="M20" s="12"/>
      <c r="O20" s="11">
        <f t="shared" ref="O20:P20" si="19">100*(1-(1-O11/100)^12)</f>
        <v>8.5087542732759207</v>
      </c>
      <c r="P20" s="11">
        <f t="shared" si="19"/>
        <v>8.7786672381085609</v>
      </c>
      <c r="Q20" s="11">
        <f t="shared" si="5"/>
        <v>0.96925353729539532</v>
      </c>
    </row>
    <row r="21" spans="1:31" s="2" customFormat="1" x14ac:dyDescent="0.25"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Tracking_aggData_by_incentive_2</vt:lpstr>
      <vt:lpstr>Pivot</vt:lpstr>
      <vt:lpstr>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2018-04-26T15:06:17Z</dcterms:created>
  <dcterms:modified xsi:type="dcterms:W3CDTF">2018-04-30T19:49:08Z</dcterms:modified>
</cp:coreProperties>
</file>