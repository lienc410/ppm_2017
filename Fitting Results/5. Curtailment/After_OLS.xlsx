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5295" yWindow="1170" windowWidth="42270" windowHeight="14865" activeTab="2"/>
  </bookViews>
  <sheets>
    <sheet name="Tracking_aggData_by_incentive_2" sheetId="1" r:id="rId1"/>
    <sheet name="Pivot" sheetId="2" r:id="rId2"/>
    <sheet name="Analysis" sheetId="4" r:id="rId3"/>
  </sheets>
  <calcPr calcId="145621"/>
  <pivotCaches>
    <pivotCache cacheId="161" r:id="rId4"/>
  </pivotCaches>
</workbook>
</file>

<file path=xl/calcChain.xml><?xml version="1.0" encoding="utf-8"?>
<calcChain xmlns="http://schemas.openxmlformats.org/spreadsheetml/2006/main">
  <c r="A16" i="4" l="1"/>
  <c r="C16" i="4"/>
  <c r="D16" i="4"/>
  <c r="I16" i="4"/>
  <c r="J16" i="4"/>
  <c r="K16" i="4" s="1"/>
  <c r="O16" i="4"/>
  <c r="P16" i="4"/>
  <c r="U16" i="4"/>
  <c r="V16" i="4"/>
  <c r="AA16" i="4"/>
  <c r="AB16" i="4"/>
  <c r="AG16" i="4"/>
  <c r="AI16" i="4" s="1"/>
  <c r="AH16" i="4"/>
  <c r="AB20" i="4"/>
  <c r="AA20" i="4"/>
  <c r="AB19" i="4"/>
  <c r="AA19" i="4"/>
  <c r="AB18" i="4"/>
  <c r="AA18" i="4"/>
  <c r="AB17" i="4"/>
  <c r="AA17" i="4"/>
  <c r="AA14" i="4"/>
  <c r="AB14" i="4" s="1"/>
  <c r="V20" i="4"/>
  <c r="U20" i="4"/>
  <c r="V19" i="4"/>
  <c r="U19" i="4"/>
  <c r="V18" i="4"/>
  <c r="U18" i="4"/>
  <c r="V17" i="4"/>
  <c r="U17" i="4"/>
  <c r="U14" i="4"/>
  <c r="W14" i="4" s="1"/>
  <c r="P20" i="4"/>
  <c r="O20" i="4"/>
  <c r="P19" i="4"/>
  <c r="O19" i="4"/>
  <c r="P18" i="4"/>
  <c r="O18" i="4"/>
  <c r="P17" i="4"/>
  <c r="O17" i="4"/>
  <c r="O14" i="4"/>
  <c r="P14" i="4" s="1"/>
  <c r="I14" i="4"/>
  <c r="K14" i="4" s="1"/>
  <c r="C14" i="4"/>
  <c r="D14" i="4" s="1"/>
  <c r="A20" i="4"/>
  <c r="C20" i="4"/>
  <c r="D20" i="4"/>
  <c r="I20" i="4"/>
  <c r="J20" i="4"/>
  <c r="W18" i="4" l="1"/>
  <c r="AC16" i="4"/>
  <c r="W19" i="4"/>
  <c r="E16" i="4"/>
  <c r="Q19" i="4"/>
  <c r="Q16" i="4"/>
  <c r="K20" i="4"/>
  <c r="Q17" i="4"/>
  <c r="AC20" i="4"/>
  <c r="W16" i="4"/>
  <c r="AC19" i="4"/>
  <c r="W17" i="4"/>
  <c r="E14" i="4"/>
  <c r="Q18" i="4"/>
  <c r="J14" i="4"/>
  <c r="E20" i="4"/>
  <c r="AC18" i="4"/>
  <c r="AC14" i="4"/>
  <c r="AC17" i="4"/>
  <c r="Q20" i="4"/>
  <c r="W20" i="4"/>
  <c r="V14" i="4"/>
  <c r="Q14" i="4"/>
  <c r="AM32" i="1"/>
  <c r="AN32" i="1"/>
  <c r="AO32" i="1"/>
  <c r="AM33" i="1"/>
  <c r="AN33" i="1"/>
  <c r="AO33" i="1"/>
  <c r="AM34" i="1"/>
  <c r="AN34" i="1"/>
  <c r="AO34" i="1"/>
  <c r="AM35" i="1"/>
  <c r="AN35" i="1"/>
  <c r="AO35" i="1"/>
  <c r="AM36" i="1"/>
  <c r="AN36" i="1"/>
  <c r="AO36" i="1"/>
  <c r="AM37" i="1"/>
  <c r="AN37" i="1"/>
  <c r="AO37" i="1"/>
  <c r="AM38" i="1"/>
  <c r="AN38" i="1"/>
  <c r="AO38" i="1"/>
  <c r="AM39" i="1"/>
  <c r="AN39" i="1"/>
  <c r="AO39" i="1"/>
  <c r="AM40" i="1"/>
  <c r="AN40" i="1"/>
  <c r="AO40" i="1"/>
  <c r="AM41" i="1"/>
  <c r="AN41" i="1"/>
  <c r="AO41" i="1"/>
  <c r="AM42" i="1"/>
  <c r="AN42" i="1"/>
  <c r="AO42" i="1"/>
  <c r="AM43" i="1"/>
  <c r="AN43" i="1"/>
  <c r="AO43" i="1"/>
  <c r="AM44" i="1"/>
  <c r="AN44" i="1"/>
  <c r="AO44" i="1"/>
  <c r="AM45" i="1"/>
  <c r="AN45" i="1"/>
  <c r="AO45" i="1"/>
  <c r="AM2" i="1"/>
  <c r="AM3" i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J19" i="4" l="1"/>
  <c r="I19" i="4"/>
  <c r="J18" i="4"/>
  <c r="I18" i="4"/>
  <c r="J17" i="4"/>
  <c r="I17" i="4"/>
  <c r="AN10" i="1"/>
  <c r="AO10" i="1"/>
  <c r="AN11" i="1"/>
  <c r="AO11" i="1"/>
  <c r="AN12" i="1"/>
  <c r="AO12" i="1"/>
  <c r="AN13" i="1"/>
  <c r="AO13" i="1"/>
  <c r="AN14" i="1"/>
  <c r="AO14" i="1"/>
  <c r="AN15" i="1"/>
  <c r="AO15" i="1"/>
  <c r="AN16" i="1"/>
  <c r="AO16" i="1"/>
  <c r="AN17" i="1"/>
  <c r="AO17" i="1"/>
  <c r="AN18" i="1"/>
  <c r="AO18" i="1"/>
  <c r="AN19" i="1"/>
  <c r="AO19" i="1"/>
  <c r="AN20" i="1"/>
  <c r="AO20" i="1"/>
  <c r="AN21" i="1"/>
  <c r="AO21" i="1"/>
  <c r="AN22" i="1"/>
  <c r="AO22" i="1"/>
  <c r="AN23" i="1"/>
  <c r="AO23" i="1"/>
  <c r="AN24" i="1"/>
  <c r="AO24" i="1"/>
  <c r="AN25" i="1"/>
  <c r="AO25" i="1"/>
  <c r="AN26" i="1"/>
  <c r="AO26" i="1"/>
  <c r="AN27" i="1"/>
  <c r="AO27" i="1"/>
  <c r="AN28" i="1"/>
  <c r="AO28" i="1"/>
  <c r="AN29" i="1"/>
  <c r="AO29" i="1"/>
  <c r="AN30" i="1"/>
  <c r="AO30" i="1"/>
  <c r="AN31" i="1"/>
  <c r="AO31" i="1"/>
  <c r="C17" i="4"/>
  <c r="D17" i="4"/>
  <c r="C18" i="4"/>
  <c r="D18" i="4"/>
  <c r="C19" i="4"/>
  <c r="D19" i="4"/>
  <c r="A19" i="4"/>
  <c r="A17" i="4"/>
  <c r="A18" i="4"/>
  <c r="K17" i="4" l="1"/>
  <c r="K19" i="4"/>
  <c r="K18" i="4"/>
  <c r="E17" i="4"/>
  <c r="E19" i="4"/>
  <c r="E18" i="4"/>
  <c r="AN3" i="1" l="1"/>
  <c r="AO3" i="1"/>
  <c r="AN4" i="1"/>
  <c r="AO4" i="1"/>
  <c r="AN5" i="1"/>
  <c r="AO5" i="1"/>
  <c r="AN6" i="1"/>
  <c r="AO6" i="1"/>
  <c r="AN7" i="1"/>
  <c r="AO7" i="1"/>
  <c r="AN8" i="1"/>
  <c r="AO8" i="1"/>
  <c r="AN9" i="1"/>
  <c r="AO9" i="1"/>
  <c r="AO2" i="1"/>
  <c r="AN2" i="1"/>
</calcChain>
</file>

<file path=xl/sharedStrings.xml><?xml version="1.0" encoding="utf-8"?>
<sst xmlns="http://schemas.openxmlformats.org/spreadsheetml/2006/main" count="127" uniqueCount="53">
  <si>
    <t>x</t>
  </si>
  <si>
    <t>actual.smm</t>
  </si>
  <si>
    <t>model.smm</t>
  </si>
  <si>
    <t>track.err</t>
  </si>
  <si>
    <t>curt.smm</t>
  </si>
  <si>
    <t>dflt.smm</t>
  </si>
  <si>
    <t>cout.smm</t>
  </si>
  <si>
    <t>turn.smm</t>
  </si>
  <si>
    <t>refi.smm</t>
  </si>
  <si>
    <t>pct_inv</t>
  </si>
  <si>
    <t>pct_2nd</t>
  </si>
  <si>
    <t>pct_owner</t>
  </si>
  <si>
    <t>pct_purchase</t>
  </si>
  <si>
    <t>pct_REFI_NCO</t>
  </si>
  <si>
    <t>pct_REFI_CO</t>
  </si>
  <si>
    <t>pct_REFI_other</t>
  </si>
  <si>
    <t>pct_REFI</t>
  </si>
  <si>
    <t>pct_dq</t>
  </si>
  <si>
    <t>incentive</t>
  </si>
  <si>
    <t>burnout</t>
  </si>
  <si>
    <t>refi_elig_pct</t>
  </si>
  <si>
    <t>cltv</t>
  </si>
  <si>
    <t>wacls</t>
  </si>
  <si>
    <t>wala</t>
  </si>
  <si>
    <t>wac</t>
  </si>
  <si>
    <t>fico</t>
  </si>
  <si>
    <t>pct_HARPed</t>
  </si>
  <si>
    <t>pct_tpo</t>
  </si>
  <si>
    <t>cai</t>
  </si>
  <si>
    <t>hpa2yr</t>
  </si>
  <si>
    <t>media_effect</t>
  </si>
  <si>
    <t>sato</t>
  </si>
  <si>
    <t>bal</t>
  </si>
  <si>
    <t>std</t>
  </si>
  <si>
    <t>n</t>
  </si>
  <si>
    <t>Column Labels</t>
  </si>
  <si>
    <t>Row Labels</t>
  </si>
  <si>
    <t>'bal</t>
  </si>
  <si>
    <t>'actual.smm</t>
  </si>
  <si>
    <t>'model.smm</t>
  </si>
  <si>
    <t>'model w/o refi</t>
  </si>
  <si>
    <t>'Ratio</t>
  </si>
  <si>
    <t>'Ratio w/o refi</t>
  </si>
  <si>
    <t>Ratio</t>
  </si>
  <si>
    <t>model w/o refi</t>
  </si>
  <si>
    <t>Ratio w/o refi</t>
  </si>
  <si>
    <t>actual</t>
  </si>
  <si>
    <t>model</t>
  </si>
  <si>
    <t>ratio</t>
  </si>
  <si>
    <t>175+</t>
  </si>
  <si>
    <t>NA</t>
  </si>
  <si>
    <t>waolsBucket</t>
  </si>
  <si>
    <t>wam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</si>
</sst>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16" fillId="33" borderId="0" xfId="0" applyFont="1" applyFill="1"/>
    <xf numFmtId="0" fontId="0" fillId="0" borderId="0" xfId="0"/>
    <xf numFmtId="1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applyBorder="1"/>
    <xf numFmtId="2" fontId="0" fillId="0" borderId="0" xfId="0" applyNumberFormat="1"/>
    <xf numFmtId="0" fontId="16" fillId="33" borderId="10" xfId="0" applyFont="1" applyFill="1" applyBorder="1"/>
    <xf numFmtId="43" fontId="0" fillId="0" borderId="0" xfId="1" applyFont="1"/>
    <xf numFmtId="43" fontId="0" fillId="0" borderId="0" xfId="1" applyFont="1" applyFill="1"/>
    <xf numFmtId="0" fontId="0" fillId="0" borderId="0" xfId="0" applyFill="1"/>
    <xf numFmtId="43" fontId="0" fillId="34" borderId="0" xfId="1" applyFont="1" applyFill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5">
    <dxf>
      <numFmt numFmtId="2" formatCode="0.00"/>
    </dxf>
    <dxf>
      <numFmt numFmtId="164" formatCode="_(* #,##0_);_(* \(#,##0\);_(* &quot;-&quot;??_);_(@_)"/>
    </dxf>
    <dxf>
      <border>
        <left/>
      </border>
    </dxf>
    <dxf>
      <border>
        <left/>
      </border>
    </dxf>
    <dxf>
      <numFmt numFmtId="165" formatCode="0.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800374029221707"/>
          <c:y val="6.0659813356663747E-2"/>
          <c:w val="0.64875831999439493"/>
          <c:h val="0.8326195683872849"/>
        </c:manualLayout>
      </c:layout>
      <c:lineChart>
        <c:grouping val="standard"/>
        <c:varyColors val="0"/>
        <c:ser>
          <c:idx val="0"/>
          <c:order val="0"/>
          <c:tx>
            <c:strRef>
              <c:f>Analysis!$C$14:$C$15</c:f>
              <c:strCache>
                <c:ptCount val="1"/>
                <c:pt idx="0">
                  <c:v>85 actual</c:v>
                </c:pt>
              </c:strCache>
            </c:strRef>
          </c:tx>
          <c:marker>
            <c:symbol val="none"/>
          </c:marker>
          <c:cat>
            <c:numRef>
              <c:f>Analysis!$A$16:$A$19</c:f>
              <c:numCache>
                <c:formatCode>General</c:formatCode>
                <c:ptCount val="4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  <c:pt idx="3">
                  <c:v>-25</c:v>
                </c:pt>
              </c:numCache>
            </c:numRef>
          </c:cat>
          <c:val>
            <c:numRef>
              <c:f>Analysis!$C$16:$C$19</c:f>
              <c:numCache>
                <c:formatCode>_(* #,##0.00_);_(* \(#,##0.00\);_(* "-"??_);_(@_)</c:formatCode>
                <c:ptCount val="4"/>
                <c:pt idx="0">
                  <c:v>10.087471434886396</c:v>
                </c:pt>
                <c:pt idx="1">
                  <c:v>8.548055402737976</c:v>
                </c:pt>
                <c:pt idx="2">
                  <c:v>8.664682076410557</c:v>
                </c:pt>
                <c:pt idx="3">
                  <c:v>9.2598281245162788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Analysis!$D$14:$D$15</c:f>
              <c:strCache>
                <c:ptCount val="1"/>
                <c:pt idx="0">
                  <c:v>85 model</c:v>
                </c:pt>
              </c:strCache>
            </c:strRef>
          </c:tx>
          <c:marker>
            <c:symbol val="none"/>
          </c:marker>
          <c:cat>
            <c:numRef>
              <c:f>Analysis!$A$16:$A$19</c:f>
              <c:numCache>
                <c:formatCode>General</c:formatCode>
                <c:ptCount val="4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  <c:pt idx="3">
                  <c:v>-25</c:v>
                </c:pt>
              </c:numCache>
            </c:numRef>
          </c:cat>
          <c:val>
            <c:numRef>
              <c:f>Analysis!$D$16:$D$19</c:f>
              <c:numCache>
                <c:formatCode>_(* #,##0.00_);_(* \(#,##0.00\);_(* "-"??_);_(@_)</c:formatCode>
                <c:ptCount val="4"/>
                <c:pt idx="0">
                  <c:v>7.5789871752245386</c:v>
                </c:pt>
                <c:pt idx="1">
                  <c:v>8.0897472768308827</c:v>
                </c:pt>
                <c:pt idx="2">
                  <c:v>8.6557829281350589</c:v>
                </c:pt>
                <c:pt idx="3">
                  <c:v>9.6890119905418519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7098880"/>
        <c:axId val="257100416"/>
      </c:lineChart>
      <c:catAx>
        <c:axId val="2570988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57100416"/>
        <c:crosses val="autoZero"/>
        <c:auto val="1"/>
        <c:lblAlgn val="ctr"/>
        <c:lblOffset val="100"/>
        <c:noMultiLvlLbl val="0"/>
      </c:catAx>
      <c:valAx>
        <c:axId val="257100416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crossAx val="25709888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Analysis!$I$14:$I$15</c:f>
              <c:strCache>
                <c:ptCount val="1"/>
                <c:pt idx="0">
                  <c:v>110 actual</c:v>
                </c:pt>
              </c:strCache>
            </c:strRef>
          </c:tx>
          <c:marker>
            <c:symbol val="none"/>
          </c:marker>
          <c:cat>
            <c:numRef>
              <c:f>Analysis!$A$16:$A$19</c:f>
              <c:numCache>
                <c:formatCode>General</c:formatCode>
                <c:ptCount val="4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  <c:pt idx="3">
                  <c:v>-25</c:v>
                </c:pt>
              </c:numCache>
            </c:numRef>
          </c:cat>
          <c:val>
            <c:numRef>
              <c:f>Analysis!$I$16:$I$19</c:f>
              <c:numCache>
                <c:formatCode>_(* #,##0.00_);_(* \(#,##0.00\);_(* "-"??_);_(@_)</c:formatCode>
                <c:ptCount val="4"/>
                <c:pt idx="0">
                  <c:v>8.6648356827961788</c:v>
                </c:pt>
                <c:pt idx="1">
                  <c:v>7.5320996597634799</c:v>
                </c:pt>
                <c:pt idx="2">
                  <c:v>8.4151541442946005</c:v>
                </c:pt>
                <c:pt idx="3">
                  <c:v>8.7593430801868433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Analysis!$J$14:$J$15</c:f>
              <c:strCache>
                <c:ptCount val="1"/>
                <c:pt idx="0">
                  <c:v>110 model</c:v>
                </c:pt>
              </c:strCache>
            </c:strRef>
          </c:tx>
          <c:marker>
            <c:symbol val="none"/>
          </c:marker>
          <c:cat>
            <c:numRef>
              <c:f>Analysis!$A$16:$A$19</c:f>
              <c:numCache>
                <c:formatCode>General</c:formatCode>
                <c:ptCount val="4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  <c:pt idx="3">
                  <c:v>-25</c:v>
                </c:pt>
              </c:numCache>
            </c:numRef>
          </c:cat>
          <c:val>
            <c:numRef>
              <c:f>Analysis!$J$16:$J$19</c:f>
              <c:numCache>
                <c:formatCode>_(* #,##0.00_);_(* \(#,##0.00\);_(* "-"??_);_(@_)</c:formatCode>
                <c:ptCount val="4"/>
                <c:pt idx="0">
                  <c:v>7.1415402263878107</c:v>
                </c:pt>
                <c:pt idx="1">
                  <c:v>7.6263196478594697</c:v>
                </c:pt>
                <c:pt idx="2">
                  <c:v>8.218972159821746</c:v>
                </c:pt>
                <c:pt idx="3">
                  <c:v>9.4432500093517113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7113088"/>
        <c:axId val="257114880"/>
      </c:lineChart>
      <c:catAx>
        <c:axId val="2571130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57114880"/>
        <c:crosses val="autoZero"/>
        <c:auto val="1"/>
        <c:lblAlgn val="ctr"/>
        <c:lblOffset val="100"/>
        <c:noMultiLvlLbl val="0"/>
      </c:catAx>
      <c:valAx>
        <c:axId val="257114880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crossAx val="25711308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Analysis!$O$14:$O$15</c:f>
              <c:strCache>
                <c:ptCount val="1"/>
                <c:pt idx="0">
                  <c:v>150 actual</c:v>
                </c:pt>
              </c:strCache>
            </c:strRef>
          </c:tx>
          <c:marker>
            <c:symbol val="none"/>
          </c:marker>
          <c:cat>
            <c:numRef>
              <c:f>Analysis!$A$16:$A$19</c:f>
              <c:numCache>
                <c:formatCode>General</c:formatCode>
                <c:ptCount val="4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  <c:pt idx="3">
                  <c:v>-25</c:v>
                </c:pt>
              </c:numCache>
            </c:numRef>
          </c:cat>
          <c:val>
            <c:numRef>
              <c:f>Analysis!$O$16:$O$19</c:f>
              <c:numCache>
                <c:formatCode>_(* #,##0.00_);_(* \(#,##0.00\);_(* "-"??_);_(@_)</c:formatCode>
                <c:ptCount val="4"/>
                <c:pt idx="0">
                  <c:v>8.0610639143962715</c:v>
                </c:pt>
                <c:pt idx="1">
                  <c:v>8.2932941114188807</c:v>
                </c:pt>
                <c:pt idx="2">
                  <c:v>7.7511889885415464</c:v>
                </c:pt>
                <c:pt idx="3">
                  <c:v>8.7337420104211851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Analysis!$P$14:$P$15</c:f>
              <c:strCache>
                <c:ptCount val="1"/>
                <c:pt idx="0">
                  <c:v>150 model</c:v>
                </c:pt>
              </c:strCache>
            </c:strRef>
          </c:tx>
          <c:marker>
            <c:symbol val="none"/>
          </c:marker>
          <c:cat>
            <c:numRef>
              <c:f>Analysis!$A$16:$A$19</c:f>
              <c:numCache>
                <c:formatCode>General</c:formatCode>
                <c:ptCount val="4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  <c:pt idx="3">
                  <c:v>-25</c:v>
                </c:pt>
              </c:numCache>
            </c:numRef>
          </c:cat>
          <c:val>
            <c:numRef>
              <c:f>Analysis!$P$16:$P$19</c:f>
              <c:numCache>
                <c:formatCode>_(* #,##0.00_);_(* \(#,##0.00\);_(* "-"??_);_(@_)</c:formatCode>
                <c:ptCount val="4"/>
                <c:pt idx="0">
                  <c:v>6.9437014307693667</c:v>
                </c:pt>
                <c:pt idx="1">
                  <c:v>7.3496982471139454</c:v>
                </c:pt>
                <c:pt idx="2">
                  <c:v>8.0280904655247287</c:v>
                </c:pt>
                <c:pt idx="3">
                  <c:v>9.4039725803961147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7148032"/>
        <c:axId val="257149568"/>
      </c:lineChart>
      <c:catAx>
        <c:axId val="2571480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57149568"/>
        <c:crosses val="autoZero"/>
        <c:auto val="1"/>
        <c:lblAlgn val="ctr"/>
        <c:lblOffset val="100"/>
        <c:noMultiLvlLbl val="0"/>
      </c:catAx>
      <c:valAx>
        <c:axId val="257149568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crossAx val="25714803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Analysis!$U$14:$U$15</c:f>
              <c:strCache>
                <c:ptCount val="1"/>
                <c:pt idx="0">
                  <c:v>175 actual</c:v>
                </c:pt>
              </c:strCache>
            </c:strRef>
          </c:tx>
          <c:marker>
            <c:symbol val="none"/>
          </c:marker>
          <c:cat>
            <c:numRef>
              <c:f>Analysis!$A$16:$A$19</c:f>
              <c:numCache>
                <c:formatCode>General</c:formatCode>
                <c:ptCount val="4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  <c:pt idx="3">
                  <c:v>-25</c:v>
                </c:pt>
              </c:numCache>
            </c:numRef>
          </c:cat>
          <c:val>
            <c:numRef>
              <c:f>Analysis!$U$16:$U$19</c:f>
              <c:numCache>
                <c:formatCode>_(* #,##0.00_);_(* \(#,##0.00\);_(* "-"??_);_(@_)</c:formatCode>
                <c:ptCount val="4"/>
                <c:pt idx="0">
                  <c:v>6.0698237182176928</c:v>
                </c:pt>
                <c:pt idx="1">
                  <c:v>6.4627537156491393</c:v>
                </c:pt>
                <c:pt idx="2">
                  <c:v>7.8957510550635268</c:v>
                </c:pt>
                <c:pt idx="3">
                  <c:v>8.569693104228671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Analysis!$V$14:$V$15</c:f>
              <c:strCache>
                <c:ptCount val="1"/>
                <c:pt idx="0">
                  <c:v>175 model</c:v>
                </c:pt>
              </c:strCache>
            </c:strRef>
          </c:tx>
          <c:marker>
            <c:symbol val="none"/>
          </c:marker>
          <c:cat>
            <c:numRef>
              <c:f>Analysis!$A$16:$A$19</c:f>
              <c:numCache>
                <c:formatCode>General</c:formatCode>
                <c:ptCount val="4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  <c:pt idx="3">
                  <c:v>-25</c:v>
                </c:pt>
              </c:numCache>
            </c:numRef>
          </c:cat>
          <c:val>
            <c:numRef>
              <c:f>Analysis!$V$16:$V$19</c:f>
              <c:numCache>
                <c:formatCode>_(* #,##0.00_);_(* \(#,##0.00\);_(* "-"??_);_(@_)</c:formatCode>
                <c:ptCount val="4"/>
                <c:pt idx="0">
                  <c:v>6.4981992950522871</c:v>
                </c:pt>
                <c:pt idx="1">
                  <c:v>6.8077073775939745</c:v>
                </c:pt>
                <c:pt idx="2">
                  <c:v>7.5170677105709682</c:v>
                </c:pt>
                <c:pt idx="3">
                  <c:v>8.9285346659170983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7645568"/>
        <c:axId val="257671936"/>
      </c:lineChart>
      <c:catAx>
        <c:axId val="2576455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57671936"/>
        <c:crosses val="autoZero"/>
        <c:auto val="1"/>
        <c:lblAlgn val="ctr"/>
        <c:lblOffset val="100"/>
        <c:noMultiLvlLbl val="0"/>
      </c:catAx>
      <c:valAx>
        <c:axId val="257671936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crossAx val="25764556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Analysis!$AA$14:$AA$15</c:f>
              <c:strCache>
                <c:ptCount val="1"/>
                <c:pt idx="0">
                  <c:v>200 actual</c:v>
                </c:pt>
              </c:strCache>
            </c:strRef>
          </c:tx>
          <c:marker>
            <c:symbol val="none"/>
          </c:marker>
          <c:cat>
            <c:numRef>
              <c:f>Analysis!$A$16:$A$19</c:f>
              <c:numCache>
                <c:formatCode>General</c:formatCode>
                <c:ptCount val="4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  <c:pt idx="3">
                  <c:v>-25</c:v>
                </c:pt>
              </c:numCache>
            </c:numRef>
          </c:cat>
          <c:val>
            <c:numRef>
              <c:f>Analysis!$AA$16:$AA$19</c:f>
              <c:numCache>
                <c:formatCode>_(* #,##0.00_);_(* \(#,##0.00\);_(* "-"??_);_(@_)</c:formatCode>
                <c:ptCount val="4"/>
                <c:pt idx="0">
                  <c:v>4.6725449925363876</c:v>
                </c:pt>
                <c:pt idx="1">
                  <c:v>5.3965801143277536</c:v>
                </c:pt>
                <c:pt idx="2">
                  <c:v>6.4222648595655958</c:v>
                </c:pt>
                <c:pt idx="3">
                  <c:v>7.6094623302216169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Analysis!$AB$14:$AB$15</c:f>
              <c:strCache>
                <c:ptCount val="1"/>
                <c:pt idx="0">
                  <c:v>200 model</c:v>
                </c:pt>
              </c:strCache>
            </c:strRef>
          </c:tx>
          <c:marker>
            <c:symbol val="none"/>
          </c:marker>
          <c:cat>
            <c:numRef>
              <c:f>Analysis!$A$16:$A$19</c:f>
              <c:numCache>
                <c:formatCode>General</c:formatCode>
                <c:ptCount val="4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  <c:pt idx="3">
                  <c:v>-25</c:v>
                </c:pt>
              </c:numCache>
            </c:numRef>
          </c:cat>
          <c:val>
            <c:numRef>
              <c:f>Analysis!$AB$16:$AB$19</c:f>
              <c:numCache>
                <c:formatCode>_(* #,##0.00_);_(* \(#,##0.00\);_(* "-"??_);_(@_)</c:formatCode>
                <c:ptCount val="4"/>
                <c:pt idx="0">
                  <c:v>5.1324087603634716</c:v>
                </c:pt>
                <c:pt idx="1">
                  <c:v>5.2645188605081721</c:v>
                </c:pt>
                <c:pt idx="2">
                  <c:v>6.1558459405527399</c:v>
                </c:pt>
                <c:pt idx="3">
                  <c:v>7.7261199572300381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8147456"/>
        <c:axId val="258148992"/>
      </c:lineChart>
      <c:catAx>
        <c:axId val="2581474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58148992"/>
        <c:crosses val="autoZero"/>
        <c:auto val="1"/>
        <c:lblAlgn val="ctr"/>
        <c:lblOffset val="100"/>
        <c:noMultiLvlLbl val="0"/>
      </c:catAx>
      <c:valAx>
        <c:axId val="258148992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crossAx val="25814745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90487</xdr:colOff>
      <xdr:row>22</xdr:row>
      <xdr:rowOff>161925</xdr:rowOff>
    </xdr:from>
    <xdr:to>
      <xdr:col>6</xdr:col>
      <xdr:colOff>595312</xdr:colOff>
      <xdr:row>37</xdr:row>
      <xdr:rowOff>47625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33337</xdr:colOff>
      <xdr:row>22</xdr:row>
      <xdr:rowOff>180975</xdr:rowOff>
    </xdr:from>
    <xdr:to>
      <xdr:col>13</xdr:col>
      <xdr:colOff>538162</xdr:colOff>
      <xdr:row>37</xdr:row>
      <xdr:rowOff>66675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600075</xdr:colOff>
      <xdr:row>23</xdr:row>
      <xdr:rowOff>19050</xdr:rowOff>
    </xdr:from>
    <xdr:to>
      <xdr:col>20</xdr:col>
      <xdr:colOff>85725</xdr:colOff>
      <xdr:row>37</xdr:row>
      <xdr:rowOff>95250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114300</xdr:colOff>
      <xdr:row>23</xdr:row>
      <xdr:rowOff>9525</xdr:rowOff>
    </xdr:from>
    <xdr:to>
      <xdr:col>26</xdr:col>
      <xdr:colOff>552450</xdr:colOff>
      <xdr:row>37</xdr:row>
      <xdr:rowOff>85725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27</xdr:col>
      <xdr:colOff>85725</xdr:colOff>
      <xdr:row>23</xdr:row>
      <xdr:rowOff>0</xdr:rowOff>
    </xdr:from>
    <xdr:to>
      <xdr:col>33</xdr:col>
      <xdr:colOff>523875</xdr:colOff>
      <xdr:row>37</xdr:row>
      <xdr:rowOff>76200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ien Chen" refreshedDate="43220.655876157405" createdVersion="4" refreshedVersion="4" minRefreshableVersion="3" recordCount="44">
  <cacheSource type="worksheet">
    <worksheetSource ref="B1:AO45" sheet="Tracking_aggData_by_incentive_2"/>
  </cacheSource>
  <cacheFields count="40">
    <cacheField name="waolsBucket" numFmtId="0">
      <sharedItems containsSemiMixedTypes="0" containsString="0" containsNumber="1" containsInteger="1" minValue="85" maxValue="200" count="5">
        <n v="85"/>
        <n v="110"/>
        <n v="150"/>
        <n v="175"/>
        <n v="200"/>
      </sharedItems>
    </cacheField>
    <cacheField name="x" numFmtId="0">
      <sharedItems containsSemiMixedTypes="0" containsString="0" containsNumber="1" containsInteger="1" minValue="-200" maxValue="0" count="9">
        <n v="-200"/>
        <n v="-175"/>
        <n v="-150"/>
        <n v="-125"/>
        <n v="-100"/>
        <n v="-75"/>
        <n v="-50"/>
        <n v="-25"/>
        <n v="0"/>
      </sharedItems>
    </cacheField>
    <cacheField name="actual.smm" numFmtId="0">
      <sharedItems containsSemiMixedTypes="0" containsString="0" containsNumber="1" minValue="0" maxValue="2.23298838306152"/>
    </cacheField>
    <cacheField name="model.smm" numFmtId="0">
      <sharedItems containsSemiMixedTypes="0" containsString="0" containsNumber="1" minValue="0.369835544350267" maxValue="0.89132690057847197"/>
    </cacheField>
    <cacheField name="track.err" numFmtId="0">
      <sharedItems containsSemiMixedTypes="0" containsString="0" containsNumber="1" minValue="-1.79631566592022" maxValue="0.60766958607239996"/>
    </cacheField>
    <cacheField name="curt.smm" numFmtId="0">
      <sharedItems containsSemiMixedTypes="0" containsString="0" containsNumber="1" minValue="4.63679339383231E-2" maxValue="6.2852966178409006E-2"/>
    </cacheField>
    <cacheField name="dflt.smm" numFmtId="0">
      <sharedItems containsSemiMixedTypes="0" containsString="0" containsNumber="1" minValue="6.6130836168570297E-4" maxValue="2.11619126509075E-2"/>
    </cacheField>
    <cacheField name="cout.smm" numFmtId="0">
      <sharedItems containsSemiMixedTypes="0" containsString="0" containsNumber="1" minValue="2.3678062319048701E-5" maxValue="1.8656221468404201E-2"/>
    </cacheField>
    <cacheField name="turn.smm" numFmtId="0">
      <sharedItems containsSemiMixedTypes="0" containsString="0" containsNumber="1" minValue="0.31513920847365001" maxValue="0.762503622246129"/>
    </cacheField>
    <cacheField name="refi.smm" numFmtId="0">
      <sharedItems containsSemiMixedTypes="0" containsString="0" containsNumber="1" minValue="2.9528327006597501E-6" maxValue="0.173817916170312"/>
    </cacheField>
    <cacheField name="pct_inv" numFmtId="0">
      <sharedItems containsSemiMixedTypes="0" containsString="0" containsNumber="1" minValue="0" maxValue="100"/>
    </cacheField>
    <cacheField name="pct_2nd" numFmtId="0">
      <sharedItems containsSemiMixedTypes="0" containsString="0" containsNumber="1" minValue="0" maxValue="5.6112859430913096"/>
    </cacheField>
    <cacheField name="pct_owner" numFmtId="0">
      <sharedItems containsSemiMixedTypes="0" containsString="0" containsNumber="1" minValue="0" maxValue="100"/>
    </cacheField>
    <cacheField name="pct_purchase" numFmtId="0">
      <sharedItems containsSemiMixedTypes="0" containsString="0" containsNumber="1" minValue="0" maxValue="100"/>
    </cacheField>
    <cacheField name="pct_REFI_NCO" numFmtId="0">
      <sharedItems containsSemiMixedTypes="0" containsString="0" containsNumber="1" minValue="0" maxValue="100"/>
    </cacheField>
    <cacheField name="pct_REFI_CO" numFmtId="0">
      <sharedItems containsSemiMixedTypes="0" containsString="0" containsNumber="1" minValue="0" maxValue="24.459310647402798"/>
    </cacheField>
    <cacheField name="pct_REFI_other" numFmtId="0">
      <sharedItems containsSemiMixedTypes="0" containsString="0" containsNumber="1" containsInteger="1" minValue="0" maxValue="0"/>
    </cacheField>
    <cacheField name="pct_REFI" numFmtId="0">
      <sharedItems containsSemiMixedTypes="0" containsString="0" containsNumber="1" minValue="0" maxValue="100"/>
    </cacheField>
    <cacheField name="pct_dq" numFmtId="0">
      <sharedItems containsSemiMixedTypes="0" containsString="0" containsNumber="1" minValue="0" maxValue="0.82336545881098899"/>
    </cacheField>
    <cacheField name="incentive" numFmtId="0">
      <sharedItems containsSemiMixedTypes="0" containsString="0" containsNumber="1" minValue="-207.20459285984401" maxValue="-12.134629608229099"/>
    </cacheField>
    <cacheField name="burnout" numFmtId="0">
      <sharedItems containsSemiMixedTypes="0" containsString="0" containsNumber="1" minValue="0" maxValue="610.02557337607402"/>
    </cacheField>
    <cacheField name="refi_elig_pct" numFmtId="0">
      <sharedItems containsSemiMixedTypes="0" containsString="0" containsNumber="1" minValue="95.149938377433102" maxValue="100"/>
    </cacheField>
    <cacheField name="cltv" numFmtId="0">
      <sharedItems containsSemiMixedTypes="0" containsString="0" containsNumber="1" minValue="26.3" maxValue="69.034099070848399"/>
    </cacheField>
    <cacheField name="wacls" numFmtId="0">
      <sharedItems containsSemiMixedTypes="0" containsString="0" containsNumber="1" minValue="58.415630955625701" maxValue="337.10219829874802"/>
    </cacheField>
    <cacheField name="wala" numFmtId="0">
      <sharedItems containsSemiMixedTypes="0" containsString="0" containsNumber="1" minValue="49.998468904423603" maxValue="64"/>
    </cacheField>
    <cacheField name="wam" numFmtId="0">
      <sharedItems containsSemiMixedTypes="0" containsString="0" containsNumber="1" minValue="275.63293593460497" maxValue="310.00153109557601"/>
    </cacheField>
    <cacheField name="wac" numFmtId="0">
      <sharedItems containsSemiMixedTypes="0" containsString="0" containsNumber="1" minValue="2.5" maxValue="3.8347179066736499"/>
    </cacheField>
    <cacheField name="fico" numFmtId="0">
      <sharedItems containsSemiMixedTypes="0" containsString="0" containsNumber="1" minValue="647" maxValue="778"/>
    </cacheField>
    <cacheField name="pct_HARPed" numFmtId="0">
      <sharedItems containsSemiMixedTypes="0" containsString="0" containsNumber="1" minValue="0" maxValue="100"/>
    </cacheField>
    <cacheField name="pct_tpo" numFmtId="0">
      <sharedItems containsSemiMixedTypes="0" containsString="0" containsNumber="1" containsInteger="1" minValue="0" maxValue="0"/>
    </cacheField>
    <cacheField name="cai" numFmtId="0">
      <sharedItems containsSemiMixedTypes="0" containsString="0" containsNumber="1" minValue="168.031419440147" maxValue="179.2"/>
    </cacheField>
    <cacheField name="hpa2yr" numFmtId="0">
      <sharedItems containsSemiMixedTypes="0" containsString="0" containsNumber="1" minValue="111.599770264516" maxValue="112.208710096484"/>
    </cacheField>
    <cacheField name="media_effect" numFmtId="0">
      <sharedItems containsSemiMixedTypes="0" containsString="0" containsNumber="1" minValue="20.9" maxValue="31.2603973288726"/>
    </cacheField>
    <cacheField name="sato" numFmtId="0">
      <sharedItems containsSemiMixedTypes="0" containsString="0" containsNumber="1" minValue="-139.822816714986" maxValue="-0.109281864017962"/>
    </cacheField>
    <cacheField name="bal" numFmtId="0">
      <sharedItems containsSemiMixedTypes="0" containsString="0" containsNumber="1" minValue="58820.3" maxValue="537965754519.79999"/>
    </cacheField>
    <cacheField name="std" numFmtId="0">
      <sharedItems containsMixedTypes="1" containsNumber="1" minValue="0" maxValue="0.12580560030903401"/>
    </cacheField>
    <cacheField name="n" numFmtId="0">
      <sharedItems containsSemiMixedTypes="0" containsString="0" containsNumber="1" containsInteger="1" minValue="1" maxValue="105629"/>
    </cacheField>
    <cacheField name="Ratio" numFmtId="0">
      <sharedItems containsSemiMixedTypes="0" containsString="0" containsNumber="1" minValue="0" maxValue="5.1136429994524635"/>
    </cacheField>
    <cacheField name="model w/o refi" numFmtId="11">
      <sharedItems containsSemiMixedTypes="0" containsString="0" containsNumber="1" minValue="0.3698284563315285" maxValue="0.85850234664754965"/>
    </cacheField>
    <cacheField name="Ratio w/o refi" numFmtId="11">
      <sharedItems containsSemiMixedTypes="0" containsString="0" containsNumber="1" minValue="0" maxValue="5.1137384308872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4">
  <r>
    <x v="0"/>
    <x v="0"/>
    <n v="8.0000000000000004E-4"/>
    <n v="0.50523071251205298"/>
    <n v="0.50443071251205296"/>
    <n v="5.1949714062499999E-2"/>
    <n v="9.9256774362153194E-4"/>
    <n v="3.3913728371715799E-4"/>
    <n v="0.45194627884361299"/>
    <n v="3.0145786018786401E-6"/>
    <n v="100"/>
    <n v="0"/>
    <n v="0"/>
    <n v="0"/>
    <n v="100"/>
    <n v="0"/>
    <n v="0"/>
    <n v="100"/>
    <n v="0"/>
    <n v="-202.1"/>
    <n v="0"/>
    <n v="100"/>
    <n v="26.3"/>
    <n v="58.8"/>
    <n v="63"/>
    <n v="297"/>
    <n v="2.6"/>
    <n v="728"/>
    <n v="100"/>
    <n v="0"/>
    <n v="179.2"/>
    <n v="112.2"/>
    <n v="20.9"/>
    <n v="-100"/>
    <n v="58820.3"/>
    <s v="NA"/>
    <n v="1"/>
    <n v="1.5834350133275298E-3"/>
    <n v="0.50522769793345113"/>
    <n v="1.583444461323608E-3"/>
  </r>
  <r>
    <x v="0"/>
    <x v="1"/>
    <n v="7.5213920846779205E-4"/>
    <n v="0.51773152836699099"/>
    <n v="0.51697938915852304"/>
    <n v="4.8249027111232502E-2"/>
    <n v="1.5834711428251299E-3"/>
    <n v="4.2246839107825703E-4"/>
    <n v="0.46747360888915501"/>
    <n v="2.9528327006597501E-6"/>
    <n v="100"/>
    <n v="0"/>
    <n v="0"/>
    <n v="0"/>
    <n v="100"/>
    <n v="0"/>
    <n v="0"/>
    <n v="100"/>
    <n v="2.7443399480281301E-2"/>
    <n v="-187.01434429778101"/>
    <n v="0"/>
    <n v="100"/>
    <n v="30.375699025757701"/>
    <n v="61.1005372610067"/>
    <n v="54.3403074712379"/>
    <n v="305.65969252876198"/>
    <n v="2.6274433994802799"/>
    <n v="734.99806686747195"/>
    <n v="86.278300259859293"/>
    <n v="0"/>
    <n v="171.268256731626"/>
    <n v="111.93892386090199"/>
    <n v="25.886510259787698"/>
    <n v="-96.569575064964795"/>
    <n v="488533.5"/>
    <n v="4.5961940777125603E-6"/>
    <n v="8"/>
    <n v="1.4527591372311454E-3"/>
    <n v="0.5177285755342903"/>
    <n v="1.4527674229524467E-3"/>
  </r>
  <r>
    <x v="0"/>
    <x v="2"/>
    <n v="9.6399666998062006E-3"/>
    <n v="0.56009217709813397"/>
    <n v="0.55045221039832803"/>
    <n v="5.4903404824509401E-2"/>
    <n v="8.5463896581082499E-3"/>
    <n v="6.70629107081799E-4"/>
    <n v="0.49596817540007498"/>
    <n v="3.57810835985759E-6"/>
    <n v="84.536686256406"/>
    <n v="0"/>
    <n v="15.463313743594"/>
    <n v="45.189572525705202"/>
    <n v="34.305358895601103"/>
    <n v="20.505068578693699"/>
    <n v="0"/>
    <n v="34.305358895601103"/>
    <n v="0.30206504853913402"/>
    <n v="-160.03852834944701"/>
    <n v="0"/>
    <n v="100"/>
    <n v="47.199015875660798"/>
    <n v="58.415630955625701"/>
    <n v="56.793581206482898"/>
    <n v="291.78180572478402"/>
    <n v="2.8777102457363499"/>
    <n v="765.28844342686398"/>
    <n v="12.519851009153101"/>
    <n v="0"/>
    <n v="171.70443441704001"/>
    <n v="111.932469452001"/>
    <n v="25.255095769421999"/>
    <n v="-85.274189704206094"/>
    <n v="4838230.0999999996"/>
    <n v="2.7651780543365298E-4"/>
    <n v="79"/>
    <n v="1.7211393220579081E-2"/>
    <n v="0.56008859898977414"/>
    <n v="1.7211503175022142E-2"/>
  </r>
  <r>
    <x v="0"/>
    <x v="3"/>
    <n v="0.13978729380438801"/>
    <n v="0.60626416228726898"/>
    <n v="0.466476868482881"/>
    <n v="5.4533490219340203E-2"/>
    <n v="1.75121238264664E-2"/>
    <n v="1.3802534433806999E-3"/>
    <n v="0.53283478358932401"/>
    <n v="3.51120875762564E-6"/>
    <n v="89.918740277814095"/>
    <n v="0"/>
    <n v="10.0812597221859"/>
    <n v="37.476653963228699"/>
    <n v="44.967909634218103"/>
    <n v="17.555436402553301"/>
    <n v="0"/>
    <n v="44.967909634218103"/>
    <n v="0.68991409095446699"/>
    <n v="-133.126321693927"/>
    <n v="0"/>
    <n v="100"/>
    <n v="47.539180208203"/>
    <n v="58.908682657692701"/>
    <n v="55.6043058693215"/>
    <n v="292.141833948098"/>
    <n v="3.1558569289191301"/>
    <n v="768.41411211678496"/>
    <n v="23.3041345074875"/>
    <n v="0"/>
    <n v="172.79898447665801"/>
    <n v="111.990846815016"/>
    <n v="25.113153729131302"/>
    <n v="-48.811982611021499"/>
    <n v="40459651"/>
    <n v="1.6065696490794201E-2"/>
    <n v="414"/>
    <n v="0.23057159320948273"/>
    <n v="0.60626065107851135"/>
    <n v="0.23057292858395559"/>
  </r>
  <r>
    <x v="0"/>
    <x v="4"/>
    <n v="0.88219308081482695"/>
    <n v="0.65464630695109105"/>
    <n v="-0.22754677386373701"/>
    <n v="5.3476457594203101E-2"/>
    <n v="1.74983933479071E-2"/>
    <n v="2.7677018868291501E-3"/>
    <n v="0.58090017147901596"/>
    <n v="3.5826431354499E-6"/>
    <n v="81.051951631004997"/>
    <n v="0.422801745930312"/>
    <n v="18.525246623064699"/>
    <n v="37.687732442505698"/>
    <n v="44.842741630255397"/>
    <n v="17.469525927238902"/>
    <n v="0"/>
    <n v="44.842741630255397"/>
    <n v="0.68501172162219903"/>
    <n v="-109.156636510407"/>
    <n v="2.8941218626052301E-2"/>
    <n v="99.761858536219506"/>
    <n v="47.146672853037302"/>
    <n v="59.9583652333435"/>
    <n v="54.625913226688603"/>
    <n v="294.21096569949901"/>
    <n v="3.3140975341787202"/>
    <n v="766.29750198460204"/>
    <n v="18.124282333073999"/>
    <n v="0"/>
    <n v="172.21924714586299"/>
    <n v="111.98433376432401"/>
    <n v="25.662145478726998"/>
    <n v="-32.105580306561897"/>
    <n v="290448706"/>
    <n v="7.0443246286725297E-2"/>
    <n v="1691"/>
    <n v="1.3475873482331215"/>
    <n v="0.65464272430795556"/>
    <n v="1.3475947231330225"/>
  </r>
  <r>
    <x v="0"/>
    <x v="5"/>
    <n v="0.74187233516014395"/>
    <n v="0.70051486666124796"/>
    <n v="-4.1357468498895898E-2"/>
    <n v="5.37091730461563E-2"/>
    <n v="1.8577842903058701E-2"/>
    <n v="5.1719386728532098E-3"/>
    <n v="0.62305225958946897"/>
    <n v="3.6524497117739501E-6"/>
    <n v="58.602259512410903"/>
    <n v="2.0158367991514101"/>
    <n v="39.381903688437703"/>
    <n v="40.946992804827602"/>
    <n v="40.129022507650099"/>
    <n v="18.923984687522299"/>
    <n v="0"/>
    <n v="40.129022507650099"/>
    <n v="0.73565489831066599"/>
    <n v="-84.713930562417204"/>
    <n v="0.88207790502774897"/>
    <n v="99.826542634352606"/>
    <n v="45.609352627056701"/>
    <n v="60.948774011089903"/>
    <n v="54.484238718651099"/>
    <n v="293.55463335740598"/>
    <n v="3.4141506998129998"/>
    <n v="765.791581693235"/>
    <n v="13.819705201611001"/>
    <n v="0"/>
    <n v="172.13942598581701"/>
    <n v="112.01236042046099"/>
    <n v="26.721638664236099"/>
    <n v="-22.7602763589808"/>
    <n v="1354642172"/>
    <n v="5.0330332357023097E-2"/>
    <n v="4697"/>
    <n v="1.0590386735059765"/>
    <n v="0.70051121421153617"/>
    <n v="1.0590441953097953"/>
  </r>
  <r>
    <x v="0"/>
    <x v="6"/>
    <n v="0.75242698321387602"/>
    <n v="0.75162118007664502"/>
    <n v="-8.05803137231381E-4"/>
    <n v="5.4611977729049598E-2"/>
    <n v="1.9961865388415202E-2"/>
    <n v="8.0233231129361992E-3"/>
    <n v="0.66901701841197803"/>
    <n v="6.99543426587374E-6"/>
    <n v="32.100487130131803"/>
    <n v="4.0385609363177801"/>
    <n v="63.860951933550403"/>
    <n v="40.4827819452725"/>
    <n v="39.709471589691198"/>
    <n v="19.807746465036299"/>
    <n v="0"/>
    <n v="39.709471589691198"/>
    <n v="0.79663532109213497"/>
    <n v="-60.253728482486203"/>
    <n v="42.544885147420501"/>
    <n v="99.865322207394001"/>
    <n v="43.421781687578203"/>
    <n v="61.8208690283411"/>
    <n v="54.739313765581997"/>
    <n v="291.51203340797599"/>
    <n v="3.4994037595042999"/>
    <n v="766.52334101396104"/>
    <n v="13.419126492342601"/>
    <n v="0"/>
    <n v="172.141938655833"/>
    <n v="112.031277292971"/>
    <n v="27.1636897028677"/>
    <n v="-16.7541770948935"/>
    <n v="5387488309.1000004"/>
    <n v="6.1087008283207497E-2"/>
    <n v="12317"/>
    <n v="1.0010720867886518"/>
    <n v="0.75161418464237917"/>
    <n v="1.0010814039810645"/>
  </r>
  <r>
    <x v="0"/>
    <x v="7"/>
    <n v="0.80648050144271399"/>
    <n v="0.84566273147551396"/>
    <n v="3.9182230032799303E-2"/>
    <n v="5.5356393157763299E-2"/>
    <n v="1.9826575708039001E-2"/>
    <n v="1.2523153243595399E-2"/>
    <n v="0.75005606565298599"/>
    <n v="7.9005437131299903E-3"/>
    <n v="22.2650601823896"/>
    <n v="5.1027921725207799"/>
    <n v="72.632147645089702"/>
    <n v="38.0348955145272"/>
    <n v="42.681854494180001"/>
    <n v="19.283249991292902"/>
    <n v="0"/>
    <n v="42.681854494180001"/>
    <n v="0.78983230374587099"/>
    <n v="-36.410740430425903"/>
    <n v="185.55969040400899"/>
    <n v="99.829760671822697"/>
    <n v="42.726759083894002"/>
    <n v="62.055284567115798"/>
    <n v="55.444350850564497"/>
    <n v="289.859615496424"/>
    <n v="3.6344287489339702"/>
    <n v="764.08411430355"/>
    <n v="18.3637238327475"/>
    <n v="0"/>
    <n v="172.65803090428199"/>
    <n v="112.15652886669599"/>
    <n v="29.259791419671199"/>
    <n v="-8.2342397188566796"/>
    <n v="12489215175.799999"/>
    <n v="7.2796462741899298E-2"/>
    <n v="26397"/>
    <n v="0.95366683599212809"/>
    <n v="0.83776218776238398"/>
    <n v="0.9626604222813856"/>
  </r>
  <r>
    <x v="0"/>
    <x v="8"/>
    <n v="0.81044732727891799"/>
    <n v="0.89132690057847197"/>
    <n v="8.0879573299554502E-2"/>
    <n v="5.6180590282108998E-2"/>
    <n v="2.11619126509075E-2"/>
    <n v="1.8656221468404201E-2"/>
    <n v="0.762503622246129"/>
    <n v="3.2824553930922297E-2"/>
    <n v="19.426858958892499"/>
    <n v="5.5167384356534397"/>
    <n v="75.056402605453997"/>
    <n v="33.475807122339901"/>
    <n v="47.808669981235397"/>
    <n v="18.715522896424599"/>
    <n v="0"/>
    <n v="47.808669981235397"/>
    <n v="0.82336545881098899"/>
    <n v="-12.134629608229099"/>
    <n v="610.02557337607402"/>
    <n v="99.796005904680996"/>
    <n v="42.406853510705503"/>
    <n v="61.765734200701402"/>
    <n v="56.9347952002447"/>
    <n v="288.07837433246101"/>
    <n v="3.8347179066736499"/>
    <n v="761.20959531634401"/>
    <n v="25.198386102334499"/>
    <n v="0"/>
    <n v="171.466601042637"/>
    <n v="112.082359774555"/>
    <n v="30.860305911952199"/>
    <n v="-0.109281864017962"/>
    <n v="19257355422.799999"/>
    <n v="6.8375746451189795E-2"/>
    <n v="44794"/>
    <n v="0.90925936012133923"/>
    <n v="0.85850234664754965"/>
    <n v="0.94402459171336406"/>
  </r>
  <r>
    <x v="1"/>
    <x v="0"/>
    <n v="0"/>
    <n v="0.54662159786949704"/>
    <n v="0.54662159786949704"/>
    <n v="4.63679339383231E-2"/>
    <n v="7.0095480037455603E-3"/>
    <n v="2.1767076002008798E-3"/>
    <n v="0.491062550943694"/>
    <n v="4.8573835333944901E-6"/>
    <n v="0"/>
    <n v="0"/>
    <n v="100"/>
    <n v="100"/>
    <n v="0"/>
    <n v="0"/>
    <n v="0"/>
    <n v="0"/>
    <n v="0"/>
    <n v="-207.20459285984401"/>
    <n v="0"/>
    <n v="100"/>
    <n v="69.034099070848399"/>
    <n v="93.667049464276602"/>
    <n v="49.998468904423603"/>
    <n v="310.00153109557601"/>
    <n v="2.5"/>
    <n v="647"/>
    <n v="0"/>
    <n v="0"/>
    <n v="168.031419440147"/>
    <n v="111.599770264516"/>
    <n v="24.7665912739647"/>
    <n v="-110.7"/>
    <n v="281105.90000000002"/>
    <n v="0"/>
    <n v="3"/>
    <n v="0"/>
    <n v="0.54661674048596365"/>
    <n v="0"/>
  </r>
  <r>
    <x v="1"/>
    <x v="1"/>
    <n v="0"/>
    <n v="0.60766958607239996"/>
    <n v="0.60766958607239996"/>
    <n v="4.8980707494848098E-2"/>
    <n v="7.0621007871939402E-3"/>
    <n v="3.6704158550267701E-3"/>
    <n v="0.54795160426586298"/>
    <n v="4.7576694677021104E-6"/>
    <n v="17.796536668190399"/>
    <n v="0"/>
    <n v="82.203463331809601"/>
    <n v="82.203463331809601"/>
    <n v="17.796536668190399"/>
    <n v="0"/>
    <n v="0"/>
    <n v="17.796536668190399"/>
    <n v="5.3389610004571098E-2"/>
    <n v="-187.85595102234799"/>
    <n v="0"/>
    <n v="100"/>
    <n v="63.328055328524499"/>
    <n v="90.624981691238403"/>
    <n v="55.701480454207697"/>
    <n v="303.94258881242803"/>
    <n v="2.5533896100045701"/>
    <n v="662.48298690132594"/>
    <n v="0"/>
    <n v="0"/>
    <n v="172.987487515748"/>
    <n v="112.11597718783599"/>
    <n v="25.3284846496245"/>
    <n v="-106.944930763012"/>
    <n v="451969.4"/>
    <n v="0"/>
    <n v="5"/>
    <n v="0"/>
    <n v="0.60766482840293223"/>
    <n v="0"/>
  </r>
  <r>
    <x v="1"/>
    <x v="2"/>
    <n v="0.80176924152882501"/>
    <n v="0.568775123138898"/>
    <n v="-0.23299411838992701"/>
    <n v="5.3300346999833402E-2"/>
    <n v="5.90533291641125E-3"/>
    <n v="3.6613384671602702E-3"/>
    <n v="0.50590347371477395"/>
    <n v="4.6310407197566996E-6"/>
    <n v="57.830990067897297"/>
    <n v="0"/>
    <n v="42.169009932102703"/>
    <n v="49.010422149699998"/>
    <n v="41.707540237676703"/>
    <n v="9.2820376126232897"/>
    <n v="0"/>
    <n v="41.707540237676703"/>
    <n v="8.9880487320662297E-2"/>
    <n v="-159.03651918454599"/>
    <n v="0"/>
    <n v="100"/>
    <n v="60.509717753423899"/>
    <n v="87.122493776337507"/>
    <n v="55.643546372113697"/>
    <n v="295.22711018382302"/>
    <n v="2.8455322114736199"/>
    <n v="723.18690189669303"/>
    <n v="5.8011329727239298"/>
    <n v="0"/>
    <n v="172.85268779200601"/>
    <n v="112.034770238642"/>
    <n v="26.372850506749501"/>
    <n v="-82.086953698355401"/>
    <n v="3028281.2"/>
    <n v="3.2879311436662097E-2"/>
    <n v="34"/>
    <n v="1.4096418934500914"/>
    <n v="0.5687704920981782"/>
    <n v="1.4096533710304151"/>
  </r>
  <r>
    <x v="1"/>
    <x v="3"/>
    <n v="0.25302944818212397"/>
    <n v="0.57272117826555202"/>
    <n v="0.31969173008342799"/>
    <n v="5.3406671805442403E-2"/>
    <n v="1.2341066679004999E-2"/>
    <n v="2.0213857345606199E-3"/>
    <n v="0.50494757092667097"/>
    <n v="4.4831198731297501E-6"/>
    <n v="83.966698303978404"/>
    <n v="0"/>
    <n v="16.033301696021599"/>
    <n v="33.427654699401401"/>
    <n v="48.9145783645438"/>
    <n v="17.657766936054902"/>
    <n v="0"/>
    <n v="48.9145783645438"/>
    <n v="0.45246401073861098"/>
    <n v="-132.54582865496999"/>
    <n v="0"/>
    <n v="100"/>
    <n v="49.067080431801003"/>
    <n v="86.202490697047196"/>
    <n v="55.183464287790699"/>
    <n v="294.58475753983203"/>
    <n v="3.17785731742274"/>
    <n v="770.92692054736904"/>
    <n v="23.143832190021399"/>
    <n v="0"/>
    <n v="173.08843463272899"/>
    <n v="111.964218999743"/>
    <n v="24.1689743886642"/>
    <n v="-44.501821897331901"/>
    <n v="38934197.200000003"/>
    <n v="2.9593213071887E-2"/>
    <n v="287"/>
    <n v="0.44180215047819049"/>
    <n v="0.57271669514567891"/>
    <n v="0.4418056088233332"/>
  </r>
  <r>
    <x v="1"/>
    <x v="4"/>
    <n v="0.75244089264952396"/>
    <n v="0.61554595617163999"/>
    <n v="-0.136894936477884"/>
    <n v="5.3052300951822201E-2"/>
    <n v="1.0660960708529E-2"/>
    <n v="3.3213510972897298E-3"/>
    <n v="0.54850685294648005"/>
    <n v="4.4904675185158597E-6"/>
    <n v="74.448578715400402"/>
    <n v="0.86415655159891802"/>
    <n v="24.6872647330006"/>
    <n v="31.936019104411901"/>
    <n v="49.838268905195498"/>
    <n v="18.225711990392501"/>
    <n v="0"/>
    <n v="49.838268905195498"/>
    <n v="0.40306770099728501"/>
    <n v="-109.106691287779"/>
    <n v="9.9487260708367893E-3"/>
    <n v="100"/>
    <n v="47.063677881907303"/>
    <n v="86.968528140722995"/>
    <n v="54.472007097760397"/>
    <n v="295.09692175902097"/>
    <n v="3.2892196940216398"/>
    <n v="769.70416928609995"/>
    <n v="18.166442326877799"/>
    <n v="0"/>
    <n v="172.167942833209"/>
    <n v="111.967183362949"/>
    <n v="25.3235023748428"/>
    <n v="-33.512913085788099"/>
    <n v="389401989"/>
    <n v="7.7136589217746104E-2"/>
    <n v="1566"/>
    <n v="1.2223959642742124"/>
    <n v="0.61554146570412149"/>
    <n v="1.2224048818365183"/>
  </r>
  <r>
    <x v="1"/>
    <x v="5"/>
    <n v="0.65044724919582397"/>
    <n v="0.65888719440166199"/>
    <n v="8.4399452058387808E-3"/>
    <n v="5.3363711527853901E-2"/>
    <n v="1.3423727363805E-2"/>
    <n v="5.3931644941439504E-3"/>
    <n v="0.58670206509041201"/>
    <n v="4.5259254478081302E-6"/>
    <n v="50.072387204296902"/>
    <n v="3.0527066701913501"/>
    <n v="46.8749061255117"/>
    <n v="37.183296944002798"/>
    <n v="45.253815347944297"/>
    <n v="17.562887708052799"/>
    <n v="0"/>
    <n v="45.253815347944297"/>
    <n v="0.51949728893677705"/>
    <n v="-84.548010978192707"/>
    <n v="0.83296027771130599"/>
    <n v="99.901220030488403"/>
    <n v="46.161522135691399"/>
    <n v="87.497895051444502"/>
    <n v="54.355209172708697"/>
    <n v="294.33407244846597"/>
    <n v="3.3795906791218102"/>
    <n v="769.52045893491595"/>
    <n v="13.6493673519828"/>
    <n v="0"/>
    <n v="172.09295264574899"/>
    <n v="111.993484063598"/>
    <n v="26.3081190515766"/>
    <n v="-25.288510689786001"/>
    <n v="2131329860"/>
    <n v="5.6601734467234398E-2"/>
    <n v="4584"/>
    <n v="0.98719060671151404"/>
    <n v="0.65888266847621413"/>
    <n v="0.98719738781428479"/>
  </r>
  <r>
    <x v="1"/>
    <x v="6"/>
    <n v="0.72985987709783395"/>
    <n v="0.71215687655178905"/>
    <n v="-1.77030005460455E-2"/>
    <n v="5.4040502480541E-2"/>
    <n v="1.40372855628866E-2"/>
    <n v="7.9302632368706098E-3"/>
    <n v="0.635259456114595"/>
    <n v="8.8936915689537103E-4"/>
    <n v="24.243944927546501"/>
    <n v="4.9944077619737604"/>
    <n v="70.761647310479702"/>
    <n v="37.621622661630902"/>
    <n v="43.759389780965101"/>
    <n v="18.618987557404001"/>
    <n v="0"/>
    <n v="43.759389780965101"/>
    <n v="0.54793201363204003"/>
    <n v="-60.155465757624299"/>
    <n v="41.1911176437861"/>
    <n v="99.930393776992702"/>
    <n v="45.002144005862696"/>
    <n v="87.7135980045596"/>
    <n v="54.653924253228801"/>
    <n v="292.862980175671"/>
    <n v="3.4648593633359601"/>
    <n v="769.24198406975495"/>
    <n v="12.487337267826801"/>
    <n v="0"/>
    <n v="172.157489911471"/>
    <n v="112.028602905019"/>
    <n v="26.941508321496102"/>
    <n v="-19.791979300947101"/>
    <n v="9804881201.8999996"/>
    <n v="6.3209988520325902E-2"/>
    <n v="12675"/>
    <n v="1.0248582877297507"/>
    <n v="0.71126750739489364"/>
    <n v="1.0261397709154987"/>
  </r>
  <r>
    <x v="1"/>
    <x v="7"/>
    <n v="0.76100283757500198"/>
    <n v="0.823205123181034"/>
    <n v="6.22022856060312E-2"/>
    <n v="5.4717276807742403E-2"/>
    <n v="1.50835880436572E-2"/>
    <n v="1.2372355354687101E-2"/>
    <n v="0.71752638098864496"/>
    <n v="2.3505521986301799E-2"/>
    <n v="16.3887304492285"/>
    <n v="5.6112859430913096"/>
    <n v="77.999983607680207"/>
    <n v="34.777079231226601"/>
    <n v="45.994992937348997"/>
    <n v="19.227927831424399"/>
    <n v="0"/>
    <n v="45.994992937348997"/>
    <n v="0.58928936341588301"/>
    <n v="-36.465247146552102"/>
    <n v="175.337516746239"/>
    <n v="99.907234126993004"/>
    <n v="44.389140355418299"/>
    <n v="87.741084643174005"/>
    <n v="55.471342636672397"/>
    <n v="291.36006241955403"/>
    <n v="3.5987004215306801"/>
    <n v="766.52120372936702"/>
    <n v="17.155410617195699"/>
    <n v="0"/>
    <n v="172.76572381701999"/>
    <n v="112.171236798758"/>
    <n v="29.362447188840299"/>
    <n v="-11.465634858376101"/>
    <n v="22377089045.799999"/>
    <n v="6.2466694707947697E-2"/>
    <n v="27122"/>
    <n v="0.92443889881823182"/>
    <n v="0.79969960119473216"/>
    <n v="0.95161087543132683"/>
  </r>
  <r>
    <x v="1"/>
    <x v="8"/>
    <n v="0.848410062723989"/>
    <n v="0.87831352489404402"/>
    <n v="2.9903462170055101E-2"/>
    <n v="5.5341044292947103E-2"/>
    <n v="1.83644251134456E-2"/>
    <n v="1.7924018032675501E-2"/>
    <n v="0.72843689613390195"/>
    <n v="5.8247141321073601E-2"/>
    <n v="14.0043302605833"/>
    <n v="5.3591052667105901"/>
    <n v="80.636564472706098"/>
    <n v="30.189865914404599"/>
    <n v="50.151885823807298"/>
    <n v="19.658248261788199"/>
    <n v="0"/>
    <n v="50.151885823807298"/>
    <n v="0.698434910783302"/>
    <n v="-12.247768305608099"/>
    <n v="595.80515136802501"/>
    <n v="99.890332975922405"/>
    <n v="44.236294989652301"/>
    <n v="87.737973920549607"/>
    <n v="57.143205704203901"/>
    <n v="289.97642692678198"/>
    <n v="3.80214272916677"/>
    <n v="763.25766661180899"/>
    <n v="22.559189361456301"/>
    <n v="0"/>
    <n v="171.33538682279499"/>
    <n v="112.07608149190899"/>
    <n v="31.050488103194201"/>
    <n v="-4.4897141953497997"/>
    <n v="32301586823.700001"/>
    <n v="6.7879032958837196E-2"/>
    <n v="46475"/>
    <n v="0.96595354469389227"/>
    <n v="0.82006638357297046"/>
    <n v="1.0345626643388639"/>
  </r>
  <r>
    <x v="2"/>
    <x v="0"/>
    <n v="0"/>
    <n v="0.44493080674499402"/>
    <n v="0.44493080674499402"/>
    <n v="5.2374562962963001E-2"/>
    <n v="6.6130836168570297E-4"/>
    <n v="2.3678062319048701E-5"/>
    <n v="0.391866619227694"/>
    <n v="4.6381303316231602E-6"/>
    <n v="100"/>
    <n v="0"/>
    <n v="0"/>
    <n v="0"/>
    <n v="100"/>
    <n v="0"/>
    <n v="0"/>
    <n v="100"/>
    <n v="0"/>
    <n v="-202.1"/>
    <n v="0"/>
    <n v="100"/>
    <n v="41.5"/>
    <n v="128.80000000000001"/>
    <n v="64"/>
    <n v="296"/>
    <n v="2.6"/>
    <n v="778"/>
    <n v="100"/>
    <n v="0"/>
    <n v="179.2"/>
    <n v="112.2"/>
    <n v="20.9"/>
    <n v="-107"/>
    <n v="128882.9"/>
    <s v="NA"/>
    <n v="1"/>
    <n v="0"/>
    <n v="0.44492616861466239"/>
    <n v="0"/>
  </r>
  <r>
    <x v="2"/>
    <x v="1"/>
    <n v="3.0158558698900298E-3"/>
    <n v="0.46486791943701999"/>
    <n v="0.46185206356712999"/>
    <n v="4.8726876647976501E-2"/>
    <n v="1.7276102316230899E-3"/>
    <n v="3.5750043534567597E-4"/>
    <n v="0.41405138067298197"/>
    <n v="4.5514490932628202E-6"/>
    <n v="88.576303523143807"/>
    <n v="0"/>
    <n v="11.4236964768562"/>
    <n v="11.4236964768562"/>
    <n v="88.576303523143807"/>
    <n v="0"/>
    <n v="0"/>
    <n v="88.576303523143807"/>
    <n v="2.64679679540081E-2"/>
    <n v="-186.03614616698599"/>
    <n v="0"/>
    <n v="100"/>
    <n v="48.6466334602164"/>
    <n v="129.30280914065699"/>
    <n v="55.1954912753624"/>
    <n v="304.57603479509999"/>
    <n v="2.6062216154924802"/>
    <n v="771.394646733586"/>
    <n v="79.753647538474496"/>
    <n v="0"/>
    <n v="171.86805111117599"/>
    <n v="111.958665939696"/>
    <n v="25.509406906328"/>
    <n v="-106.862025066144"/>
    <n v="1158048.1000000001"/>
    <n v="8.7999999999999998E-5"/>
    <n v="9"/>
    <n v="6.4875543004610714E-3"/>
    <n v="0.46486336798792671"/>
    <n v="6.4876178197124726E-3"/>
  </r>
  <r>
    <x v="2"/>
    <x v="2"/>
    <n v="1.4011899431400699E-2"/>
    <n v="0.533815946029357"/>
    <n v="0.51980404659795598"/>
    <n v="5.1433237781396697E-2"/>
    <n v="7.0348562869350598E-3"/>
    <n v="6.5110316740395304E-3"/>
    <n v="0.468831565497842"/>
    <n v="5.25478914331619E-6"/>
    <n v="46.245221253371199"/>
    <n v="0"/>
    <n v="53.754778746628801"/>
    <n v="51.6517079900064"/>
    <n v="33.645855523879"/>
    <n v="14.702436486114699"/>
    <n v="0"/>
    <n v="33.645855523879"/>
    <n v="0.186571316806347"/>
    <n v="-160.11096525009199"/>
    <n v="0"/>
    <n v="100"/>
    <n v="57.741150102339901"/>
    <n v="116.886829500019"/>
    <n v="55.094196456430097"/>
    <n v="298.94509281752198"/>
    <n v="2.743851515757"/>
    <n v="740.64837394070105"/>
    <n v="21.347281791713201"/>
    <n v="0"/>
    <n v="173.01221755506299"/>
    <n v="112.01504481361199"/>
    <n v="25.3650229063342"/>
    <n v="-99.439555009017994"/>
    <n v="6808924.5"/>
    <n v="7.9337144618607004E-4"/>
    <n v="56"/>
    <n v="2.6248559144072703E-2"/>
    <n v="0.53381069124021374"/>
    <n v="2.6248817532759705E-2"/>
  </r>
  <r>
    <x v="2"/>
    <x v="3"/>
    <n v="0.34242220229353898"/>
    <n v="0.56667139882320505"/>
    <n v="0.22424919652966699"/>
    <n v="5.2225120846529603E-2"/>
    <n v="1.05017956880446E-2"/>
    <n v="3.6312547109707098E-3"/>
    <n v="0.50030778516706098"/>
    <n v="5.4424105997417499E-6"/>
    <n v="69.905831464695595"/>
    <n v="0.66526816396434796"/>
    <n v="29.428900371340099"/>
    <n v="38.209798282140099"/>
    <n v="37.330891070457"/>
    <n v="24.459310647402798"/>
    <n v="0"/>
    <n v="37.330891070457"/>
    <n v="0.36899036464023399"/>
    <n v="-133.454078356748"/>
    <n v="0"/>
    <n v="100"/>
    <n v="51.492696574497998"/>
    <n v="115.997151620796"/>
    <n v="54.5035274213935"/>
    <n v="297.16925886117701"/>
    <n v="3.0729634038381399"/>
    <n v="761.09081310020701"/>
    <n v="8.3398117266736609"/>
    <n v="0"/>
    <n v="172.988605433966"/>
    <n v="111.997462786151"/>
    <n v="25.289403596117602"/>
    <n v="-60.649639642356"/>
    <n v="70280831.900000006"/>
    <n v="5.4394691085635098E-2"/>
    <n v="419"/>
    <n v="0.60426942846355081"/>
    <n v="0.56666595641260531"/>
    <n v="0.60427523202790012"/>
  </r>
  <r>
    <x v="2"/>
    <x v="4"/>
    <n v="0.69793278639351697"/>
    <n v="0.59791793855197195"/>
    <n v="-0.100014847841545"/>
    <n v="5.2246843528293403E-2"/>
    <n v="9.6663246388279701E-3"/>
    <n v="3.20281283681598E-3"/>
    <n v="0.53279656610818904"/>
    <n v="5.3914398454666899E-6"/>
    <n v="65.763236984760198"/>
    <n v="1.3530972337104601"/>
    <n v="32.883665781529402"/>
    <n v="31.653231773521799"/>
    <n v="47.887187154116603"/>
    <n v="20.459581072361601"/>
    <n v="0"/>
    <n v="47.887187154116603"/>
    <n v="0.36053501518699999"/>
    <n v="-108.755645104797"/>
    <n v="2.4938778745157399E-2"/>
    <n v="99.849345755983293"/>
    <n v="46.842232159094102"/>
    <n v="116.598900609542"/>
    <n v="54.464050626804898"/>
    <n v="296.81223209192302"/>
    <n v="3.2517340590311399"/>
    <n v="770.44401865494399"/>
    <n v="9.7624078402439007"/>
    <n v="0"/>
    <n v="172.11886261998899"/>
    <n v="111.95327128435"/>
    <n v="25.2793415592907"/>
    <n v="-37.547530622483997"/>
    <n v="723395618.29999995"/>
    <n v="5.9273678942755099E-2"/>
    <n v="1932"/>
    <n v="1.167271863566695"/>
    <n v="0.59791254711212649"/>
    <n v="1.1672823889789248"/>
  </r>
  <r>
    <x v="2"/>
    <x v="5"/>
    <n v="0.71885942958551396"/>
    <n v="0.63413065393200296"/>
    <n v="-8.4728775653510294E-2"/>
    <n v="5.25356484654897E-2"/>
    <n v="1.0885083291921E-2"/>
    <n v="4.8427285206338998E-3"/>
    <n v="0.56586179436318995"/>
    <n v="5.3992907683018898E-6"/>
    <n v="41.420869881307802"/>
    <n v="3.3035937231733801"/>
    <n v="55.275536395518799"/>
    <n v="34.432350156753103"/>
    <n v="45.707026783480003"/>
    <n v="19.860623059766802"/>
    <n v="0"/>
    <n v="45.707026783480003"/>
    <n v="0.412680628455044"/>
    <n v="-84.198412504541096"/>
    <n v="0.76700048024135103"/>
    <n v="99.934324366206994"/>
    <n v="46.586593791988697"/>
    <n v="117.118256228668"/>
    <n v="54.111798562250101"/>
    <n v="296.103751987782"/>
    <n v="3.3467677390770199"/>
    <n v="771.32251537516504"/>
    <n v="7.9121717273563403"/>
    <n v="0"/>
    <n v="171.85847250902401"/>
    <n v="111.96239733955299"/>
    <n v="25.983939788468"/>
    <n v="-27.982665421202402"/>
    <n v="4690116736"/>
    <n v="5.8843485048926197E-2"/>
    <n v="5367"/>
    <n v="1.1336140669562969"/>
    <n v="0.6341252546412347"/>
    <n v="1.1336237191692022"/>
  </r>
  <r>
    <x v="2"/>
    <x v="6"/>
    <n v="0.67008478461890397"/>
    <n v="0.694965424153414"/>
    <n v="2.48806395345102E-2"/>
    <n v="5.3063181962730598E-2"/>
    <n v="1.19157026344141E-2"/>
    <n v="7.1884508276756701E-3"/>
    <n v="0.61766055578407497"/>
    <n v="5.1375329445193397E-3"/>
    <n v="18.4606118165118"/>
    <n v="5.0875379251598103"/>
    <n v="76.451850258328406"/>
    <n v="34.942087942296098"/>
    <n v="44.072735712956003"/>
    <n v="20.985176344747899"/>
    <n v="0"/>
    <n v="44.072735712956003"/>
    <n v="0.45566294447281702"/>
    <n v="-60.1261814477364"/>
    <n v="39.353292554282604"/>
    <n v="99.962998815479395"/>
    <n v="46.044886340855598"/>
    <n v="117.49482006799499"/>
    <n v="54.571886301383699"/>
    <n v="294.854360652097"/>
    <n v="3.4360155015359801"/>
    <n v="770.65969343160896"/>
    <n v="7.51530497304734"/>
    <n v="0"/>
    <n v="172.14771614703099"/>
    <n v="112.025198301977"/>
    <n v="26.8267418771763"/>
    <n v="-22.0602260734677"/>
    <n v="23219748992.099998"/>
    <n v="5.8728424909275899E-2"/>
    <n v="14700"/>
    <n v="0.96419873756335595"/>
    <n v="0.68982789120889465"/>
    <n v="0.97137966318614388"/>
  </r>
  <r>
    <x v="2"/>
    <x v="7"/>
    <n v="0.758682693333951"/>
    <n v="0.81962115019817205"/>
    <n v="6.0938456864221301E-2"/>
    <n v="5.36256364735469E-2"/>
    <n v="1.25243714077888E-2"/>
    <n v="1.1420279902614201E-2"/>
    <n v="0.700842559501623"/>
    <n v="4.1208302912598999E-2"/>
    <n v="11.6649683327731"/>
    <n v="5.5840871977054096"/>
    <n v="82.7509444695215"/>
    <n v="32.611142143984402"/>
    <n v="45.821580345996097"/>
    <n v="21.567277510019501"/>
    <n v="0"/>
    <n v="45.821580345996097"/>
    <n v="0.47956730340796699"/>
    <n v="-36.445102736972999"/>
    <n v="171.60437095152199"/>
    <n v="99.953696441186096"/>
    <n v="45.450704393613997"/>
    <n v="117.43727905576399"/>
    <n v="55.484535687741399"/>
    <n v="293.57156511270398"/>
    <n v="3.57308850496098"/>
    <n v="767.64582184815004"/>
    <n v="11.5528119680156"/>
    <n v="0"/>
    <n v="172.79865028739999"/>
    <n v="112.174293311627"/>
    <n v="29.350588696730298"/>
    <n v="-13.852727837377"/>
    <n v="53309460921.800003"/>
    <n v="6.4864250437414103E-2"/>
    <n v="32427"/>
    <n v="0.92565045832518222"/>
    <n v="0.77841284728557303"/>
    <n v="0.97465335519522367"/>
  </r>
  <r>
    <x v="2"/>
    <x v="8"/>
    <n v="0.83748240393130602"/>
    <n v="0.88200658439051105"/>
    <n v="4.45241804592049E-2"/>
    <n v="5.4466164313825199E-2"/>
    <n v="1.5253788217276101E-2"/>
    <n v="1.6698938596457599E-2"/>
    <n v="0.71334755963667096"/>
    <n v="8.22401336262817E-2"/>
    <n v="10.1945945289308"/>
    <n v="5.3880873918975496"/>
    <n v="84.417318079171594"/>
    <n v="28.760990916071801"/>
    <n v="49.130979357748203"/>
    <n v="22.108029726180099"/>
    <n v="0"/>
    <n v="49.130979357748203"/>
    <n v="0.56789360550013901"/>
    <n v="-12.357413969453299"/>
    <n v="585.91761384762901"/>
    <n v="99.920936357921306"/>
    <n v="45.299088453878497"/>
    <n v="117.10417553251"/>
    <n v="57.352456218389001"/>
    <n v="291.70603060640099"/>
    <n v="3.7793139306341299"/>
    <n v="764.08897724522205"/>
    <n v="16.636603977736399"/>
    <n v="0"/>
    <n v="171.27026403712"/>
    <n v="112.073771096521"/>
    <n v="31.119754464593399"/>
    <n v="-7.3497459437173296"/>
    <n v="74524432247.300003"/>
    <n v="6.7318091536935798E-2"/>
    <n v="57848"/>
    <n v="0.94951944662638499"/>
    <n v="0.79976645076422936"/>
    <n v="1.0471587088093488"/>
  </r>
  <r>
    <x v="3"/>
    <x v="1"/>
    <n v="0"/>
    <n v="0.50089382025062401"/>
    <n v="0.50089382025062401"/>
    <n v="6.2852966178409006E-2"/>
    <n v="3.2702461795712698E-3"/>
    <n v="2.5995990443201601E-3"/>
    <n v="0.43216434314525498"/>
    <n v="6.6657030686496998E-6"/>
    <n v="48.979135589346797"/>
    <n v="0"/>
    <n v="51.020864410653203"/>
    <n v="51.020864410653203"/>
    <n v="48.979135589346797"/>
    <n v="0"/>
    <n v="0"/>
    <n v="48.979135589346797"/>
    <n v="0"/>
    <n v="-177.66122950851701"/>
    <n v="0"/>
    <n v="100"/>
    <n v="54.934821170572199"/>
    <n v="140.70818927140701"/>
    <n v="54.979582711786897"/>
    <n v="275.63293593460497"/>
    <n v="2.7489791355893498"/>
    <n v="725.26475406310999"/>
    <n v="0"/>
    <n v="0"/>
    <n v="179.2"/>
    <n v="112.2"/>
    <n v="20.9"/>
    <n v="-139.822816714986"/>
    <n v="281354.7"/>
    <n v="0"/>
    <n v="2"/>
    <n v="0"/>
    <n v="0.50088715454755539"/>
    <n v="0"/>
  </r>
  <r>
    <x v="3"/>
    <x v="2"/>
    <n v="4.3912670598559604E-3"/>
    <n v="0.51221359758372897"/>
    <n v="0.50782233052387304"/>
    <n v="4.9636483053462903E-2"/>
    <n v="5.67989257403923E-3"/>
    <n v="3.9322405678321399E-3"/>
    <n v="0.45295862625442002"/>
    <n v="6.3551339750771101E-6"/>
    <n v="28.5754421745362"/>
    <n v="0"/>
    <n v="71.424557825463793"/>
    <n v="71.424557825463793"/>
    <n v="9.2228285116167292"/>
    <n v="19.352613662919399"/>
    <n v="0"/>
    <n v="9.2228285116167292"/>
    <n v="9.9878444696111707E-2"/>
    <n v="-159.14947695364901"/>
    <n v="0"/>
    <n v="100"/>
    <n v="63.183469302309597"/>
    <n v="145.97003966538099"/>
    <n v="53.311826205755999"/>
    <n v="302.79238627988298"/>
    <n v="2.7367408104667401"/>
    <n v="728.72931597155798"/>
    <n v="0"/>
    <n v="0"/>
    <n v="174.55742128941901"/>
    <n v="112.12408783842299"/>
    <n v="24.760104474611801"/>
    <n v="-113.45303332957501"/>
    <n v="3059595"/>
    <n v="1.00419856697008E-4"/>
    <n v="21"/>
    <n v="8.5731169195252411E-3"/>
    <n v="0.51220724244975391"/>
    <n v="8.5732232891781723E-3"/>
  </r>
  <r>
    <x v="3"/>
    <x v="3"/>
    <n v="0.44836471818333501"/>
    <n v="0.53062949960066597"/>
    <n v="8.2264781417331401E-2"/>
    <n v="5.2304185606838298E-2"/>
    <n v="8.5831102780721501E-3"/>
    <n v="4.1827839662672396E-3"/>
    <n v="0.46555331467372002"/>
    <n v="6.1050757683935099E-6"/>
    <n v="69.561216000518897"/>
    <n v="0"/>
    <n v="30.4387839994811"/>
    <n v="38.157799283146602"/>
    <n v="41.707590981738399"/>
    <n v="20.134609735114999"/>
    <n v="0"/>
    <n v="41.707590981738399"/>
    <n v="0.29715344066414501"/>
    <n v="-133.941572146547"/>
    <n v="0"/>
    <n v="100"/>
    <n v="48.608061374696398"/>
    <n v="144.72664707417201"/>
    <n v="54.517539931740998"/>
    <n v="296.95914801337199"/>
    <n v="3.0570027727424098"/>
    <n v="761.00816765366199"/>
    <n v="10.984873455658001"/>
    <n v="0"/>
    <n v="172.97002817214499"/>
    <n v="111.999993607069"/>
    <n v="25.401620410781302"/>
    <n v="-63.963329757707697"/>
    <n v="38361118.5"/>
    <n v="6.7049317401448899E-2"/>
    <n v="223"/>
    <n v="0.84496756874760881"/>
    <n v="0.5306233945248976"/>
    <n v="0.84497729050334414"/>
  </r>
  <r>
    <x v="3"/>
    <x v="4"/>
    <n v="0.520461591211694"/>
    <n v="0.55834783687179601"/>
    <n v="3.7886245660102E-2"/>
    <n v="5.2512029220420198E-2"/>
    <n v="8.3404898737029793E-3"/>
    <n v="3.6177740087906399E-3"/>
    <n v="0.49387142448420501"/>
    <n v="6.1192846779987503E-6"/>
    <n v="64.434687803567499"/>
    <n v="0.94555595358808997"/>
    <n v="34.619756242844403"/>
    <n v="29.053135561314601"/>
    <n v="50.555254362113402"/>
    <n v="20.391610076571901"/>
    <n v="0"/>
    <n v="50.555254362113402"/>
    <n v="0.30987256133352398"/>
    <n v="-108.664873808915"/>
    <n v="5.9495661301663802E-3"/>
    <n v="100"/>
    <n v="45.282120079580402"/>
    <n v="145.22011312226499"/>
    <n v="54.3561986107904"/>
    <n v="296.22758161450298"/>
    <n v="3.2503845902734101"/>
    <n v="770.13944621346002"/>
    <n v="9.0287312324264501"/>
    <n v="0"/>
    <n v="172.09821249887401"/>
    <n v="111.947550332067"/>
    <n v="25.1372434546345"/>
    <n v="-37.749867272886803"/>
    <n v="420354806.60000002"/>
    <n v="5.4941179534600801E-2"/>
    <n v="1244"/>
    <n v="0.93214580023742222"/>
    <n v="0.55834171758711804"/>
    <n v="0.9321560163207514"/>
  </r>
  <r>
    <x v="3"/>
    <x v="5"/>
    <n v="0.55520693951923095"/>
    <n v="0.58582038215270604"/>
    <n v="3.0613442633474298E-2"/>
    <n v="5.2396165205291299E-2"/>
    <n v="8.6695696931154299E-3"/>
    <n v="5.4947432139392897E-3"/>
    <n v="0.51925377154839703"/>
    <n v="6.1324919622447701E-6"/>
    <n v="36.794563435416599"/>
    <n v="2.9650421307033299"/>
    <n v="60.240394433879999"/>
    <n v="29.995733937863001"/>
    <n v="50.543800895238697"/>
    <n v="19.460465166898299"/>
    <n v="0"/>
    <n v="50.543800895238697"/>
    <n v="0.32148949283686401"/>
    <n v="-84.079947853122505"/>
    <n v="0.55476626283513997"/>
    <n v="99.906644534974404"/>
    <n v="46.495477848566502"/>
    <n v="145.427984259646"/>
    <n v="54.017839580543701"/>
    <n v="296.35719018713002"/>
    <n v="3.3334177335541502"/>
    <n v="770.10606364377099"/>
    <n v="6.1103720399463199"/>
    <n v="0"/>
    <n v="171.88639513971799"/>
    <n v="111.955096387688"/>
    <n v="25.818961599564101"/>
    <n v="-29.4660272026345"/>
    <n v="3079517732.8000002"/>
    <n v="4.61292379553127E-2"/>
    <n v="4038"/>
    <n v="0.94774261264010595"/>
    <n v="0.5858142496607438"/>
    <n v="0.94775253391456737"/>
  </r>
  <r>
    <x v="3"/>
    <x v="6"/>
    <n v="0.68306567616175495"/>
    <n v="0.64910146130345303"/>
    <n v="-3.3964214858301998E-2"/>
    <n v="5.2752103525069399E-2"/>
    <n v="9.7716387879580695E-3"/>
    <n v="7.2813061304116402E-3"/>
    <n v="0.56872005586865104"/>
    <n v="1.05763569913621E-2"/>
    <n v="16.016771755934698"/>
    <n v="4.4325273942729204"/>
    <n v="79.550700849792406"/>
    <n v="30.2076343006479"/>
    <n v="49.204949047917097"/>
    <n v="20.587416651434999"/>
    <n v="0"/>
    <n v="49.204949047917097"/>
    <n v="0.37019005291699503"/>
    <n v="-60.108283809026098"/>
    <n v="38.267444345764197"/>
    <n v="99.946792809522805"/>
    <n v="46.1895140026921"/>
    <n v="145.339425096056"/>
    <n v="54.507672469808298"/>
    <n v="295.48436255727501"/>
    <n v="3.42435361165278"/>
    <n v="770.91465430099197"/>
    <n v="6.0897691138989503"/>
    <n v="0"/>
    <n v="172.227447019241"/>
    <n v="112.02982102489401"/>
    <n v="26.7630047066787"/>
    <n v="-23.110305141296099"/>
    <n v="15874688222.1"/>
    <n v="5.4428326569252602E-2"/>
    <n v="11243"/>
    <n v="1.0523249705679276"/>
    <n v="0.63852510431209097"/>
    <n v="1.0697553965362872"/>
  </r>
  <r>
    <x v="3"/>
    <x v="7"/>
    <n v="0.74382960233977302"/>
    <n v="0.77635115842134605"/>
    <n v="3.2521556081573602E-2"/>
    <n v="5.3154245826089103E-2"/>
    <n v="1.05595036729484E-2"/>
    <n v="1.1452263895656701E-2"/>
    <n v="0.64584957010683197"/>
    <n v="5.53355749198206E-2"/>
    <n v="9.8189712010777193"/>
    <n v="4.8541455412069299"/>
    <n v="85.326883257715295"/>
    <n v="28.654752722386601"/>
    <n v="49.678310356887003"/>
    <n v="21.6669369207264"/>
    <n v="0"/>
    <n v="49.678310356887003"/>
    <n v="0.39982216983272301"/>
    <n v="-36.452831545122599"/>
    <n v="174.60302791399499"/>
    <n v="99.951290105968894"/>
    <n v="45.734137104213502"/>
    <n v="145.319796185591"/>
    <n v="55.444088815387403"/>
    <n v="294.55999926368997"/>
    <n v="3.5664986293892298"/>
    <n v="768.06009583899299"/>
    <n v="9.7202757281665697"/>
    <n v="0"/>
    <n v="172.835295925504"/>
    <n v="112.17278088717001"/>
    <n v="29.223949406060601"/>
    <n v="-14.586112366760201"/>
    <n v="37635056596.300003"/>
    <n v="6.8214629233384394E-2"/>
    <n v="24718"/>
    <n v="0.95810973458492255"/>
    <n v="0.7210155835015255"/>
    <n v="1.0316415058984634"/>
  </r>
  <r>
    <x v="3"/>
    <x v="8"/>
    <n v="0.80499527326357301"/>
    <n v="0.84469121755121901"/>
    <n v="3.9695944287645703E-2"/>
    <n v="5.4128059336617497E-2"/>
    <n v="1.27854820323144E-2"/>
    <n v="1.6715840461416599E-2"/>
    <n v="0.65866188087154698"/>
    <n v="0.102399954849323"/>
    <n v="8.1137866241882293"/>
    <n v="4.78423174162225"/>
    <n v="87.101981634189499"/>
    <n v="25.0818014295144"/>
    <n v="52.021305800504599"/>
    <n v="22.896892769981001"/>
    <n v="0"/>
    <n v="52.021305800504599"/>
    <n v="0.47030784549913202"/>
    <n v="-12.380003212601901"/>
    <n v="586.04524298536603"/>
    <n v="99.924583138486298"/>
    <n v="45.581171840837897"/>
    <n v="145.15469626064501"/>
    <n v="57.416656236798197"/>
    <n v="292.40620638146902"/>
    <n v="3.76827431363423"/>
    <n v="764.45482968381202"/>
    <n v="14.526320946453"/>
    <n v="0"/>
    <n v="171.41283729869201"/>
    <n v="112.085508028384"/>
    <n v="31.032042155038798"/>
    <n v="-8.2733395285253799"/>
    <n v="52881421946.800003"/>
    <n v="6.8371311719541597E-2"/>
    <n v="42932"/>
    <n v="0.95300537822244025"/>
    <n v="0.74229126270189605"/>
    <n v="1.0844735937392529"/>
  </r>
  <r>
    <x v="4"/>
    <x v="0"/>
    <n v="0"/>
    <n v="0.369835544350267"/>
    <n v="0.369835544350267"/>
    <n v="5.2374562962963001E-2"/>
    <n v="1.2533938390408301E-3"/>
    <n v="1.0612910558744199E-3"/>
    <n v="0.31513920847365001"/>
    <n v="7.08801873852613E-6"/>
    <n v="100"/>
    <n v="0"/>
    <n v="0"/>
    <n v="0"/>
    <n v="100"/>
    <n v="0"/>
    <n v="0"/>
    <n v="100"/>
    <n v="0"/>
    <n v="-202.1"/>
    <n v="0"/>
    <n v="100"/>
    <n v="33.200000000000003"/>
    <n v="256.60000000000002"/>
    <n v="64"/>
    <n v="296"/>
    <n v="2.6"/>
    <n v="726"/>
    <n v="100"/>
    <n v="0"/>
    <n v="179.2"/>
    <n v="112.2"/>
    <n v="20.9"/>
    <n v="-107"/>
    <n v="256666.2"/>
    <s v="NA"/>
    <n v="1"/>
    <n v="0"/>
    <n v="0.3698284563315285"/>
    <n v="0"/>
  </r>
  <r>
    <x v="4"/>
    <x v="1"/>
    <n v="7.3962218421947E-5"/>
    <n v="0.417481670346877"/>
    <n v="0.41740770812845501"/>
    <n v="4.7760158202091299E-2"/>
    <n v="2.8927834655613498E-3"/>
    <n v="2.6894604804633799E-3"/>
    <n v="0.36413250589865098"/>
    <n v="6.76230010971825E-6"/>
    <n v="68.072842230738203"/>
    <n v="0"/>
    <n v="31.9271577692618"/>
    <n v="31.9271577692618"/>
    <n v="68.072842230738203"/>
    <n v="0"/>
    <n v="0"/>
    <n v="68.072842230738203"/>
    <n v="0"/>
    <n v="-186.37678124629201"/>
    <n v="0"/>
    <n v="100"/>
    <n v="46.372032680914899"/>
    <n v="234.46317358054799"/>
    <n v="53.192991388194301"/>
    <n v="306.807008611806"/>
    <n v="2.6246638224836101"/>
    <n v="708.69797251993305"/>
    <n v="62.591577620473899"/>
    <n v="0"/>
    <n v="170.68705272253999"/>
    <n v="111.901201990459"/>
    <n v="25.608482589307101"/>
    <n v="-105.83271587085"/>
    <n v="2938559.1"/>
    <n v="2.4961508830135298E-6"/>
    <n v="13"/>
    <n v="1.7716279222628698E-4"/>
    <n v="0.41747490804676729"/>
    <n v="1.7716566192682757E-4"/>
  </r>
  <r>
    <x v="4"/>
    <x v="2"/>
    <n v="2.23298838306152"/>
    <n v="0.43667271714130501"/>
    <n v="-1.79631566592022"/>
    <n v="4.8733127435733999E-2"/>
    <n v="1.0836188461758101E-2"/>
    <n v="4.0590988675284802E-3"/>
    <n v="0.37303615328839701"/>
    <n v="8.1490878877307398E-6"/>
    <n v="58.4034427760011"/>
    <n v="0"/>
    <n v="41.5965572239989"/>
    <n v="48.613551131467297"/>
    <n v="37.169613539333902"/>
    <n v="14.216835329198799"/>
    <n v="0"/>
    <n v="37.169613539333902"/>
    <n v="0.34166084161617699"/>
    <n v="-159.655893073773"/>
    <n v="0"/>
    <n v="95.149938377433102"/>
    <n v="49.895937737624799"/>
    <n v="270.89958404261"/>
    <n v="53.654848524540398"/>
    <n v="304.72955746051503"/>
    <n v="2.84472717776675"/>
    <n v="729.70696474411602"/>
    <n v="13.942586562669099"/>
    <n v="0"/>
    <n v="172.619949408667"/>
    <n v="111.993952835678"/>
    <n v="25.425355766007801"/>
    <n v="-85.702077774517505"/>
    <n v="19995677.899999999"/>
    <n v="0.12580560030903401"/>
    <n v="80"/>
    <n v="5.1136429994524635"/>
    <n v="0.4366645680534173"/>
    <n v="5.113738430887202"/>
  </r>
  <r>
    <x v="4"/>
    <x v="3"/>
    <n v="0.41337088420478602"/>
    <n v="0.42301637543364101"/>
    <n v="9.6454912288557095E-3"/>
    <n v="5.0542741851500698E-2"/>
    <n v="6.3072253451334397E-3"/>
    <n v="3.1485980729803399E-3"/>
    <n v="0.36300809301998599"/>
    <n v="9.7171440414502205E-6"/>
    <n v="74.029341222979696"/>
    <n v="0.55984999675652103"/>
    <n v="25.4108087802638"/>
    <n v="34.432932128800601"/>
    <n v="45.867869374654497"/>
    <n v="19.699198496545002"/>
    <n v="0"/>
    <n v="45.867869374654497"/>
    <n v="0.21652324605668899"/>
    <n v="-133.22905231379301"/>
    <n v="4.83887804969391E-3"/>
    <n v="99.423576944054602"/>
    <n v="45.7056703063867"/>
    <n v="337.10219829874802"/>
    <n v="54.687454578730197"/>
    <n v="300.61287014014403"/>
    <n v="3.1358640412399001"/>
    <n v="763.59790588397095"/>
    <n v="5.11177847564052"/>
    <n v="0"/>
    <n v="172.67020025444199"/>
    <n v="111.944081417804"/>
    <n v="24.5353754587743"/>
    <n v="-50.658751004749902"/>
    <n v="334949024"/>
    <n v="5.3226472408488101E-2"/>
    <n v="787"/>
    <n v="0.97719830297593746"/>
    <n v="0.42300665828959955"/>
    <n v="0.97722075079438431"/>
  </r>
  <r>
    <x v="4"/>
    <x v="4"/>
    <n v="0.39797535816330198"/>
    <n v="0.43810453509658798"/>
    <n v="4.01291769332867E-2"/>
    <n v="5.1100124095641297E-2"/>
    <n v="5.9632763065199396E-3"/>
    <n v="3.0767806985031601E-3"/>
    <n v="0.377954898787491"/>
    <n v="9.4552084335401708E-6"/>
    <n v="63.347018058171898"/>
    <n v="1.6636570124243399"/>
    <n v="34.9893249294038"/>
    <n v="27.667819269712599"/>
    <n v="53.236835910940002"/>
    <n v="19.0953448193474"/>
    <n v="0"/>
    <n v="53.236835910940002"/>
    <n v="0.214455485804496"/>
    <n v="-108.39875751081"/>
    <n v="8.8080314187917993E-2"/>
    <n v="99.957714646922994"/>
    <n v="43.988008282637303"/>
    <n v="312.52014596903501"/>
    <n v="54.5692104195467"/>
    <n v="299.247622325333"/>
    <n v="3.2682720986010998"/>
    <n v="772.59797721200005"/>
    <n v="3.8770431250965398"/>
    <n v="0"/>
    <n v="172.22178857966099"/>
    <n v="111.941176885128"/>
    <n v="24.8981861513072"/>
    <n v="-35.0391109425317"/>
    <n v="4367948865.5"/>
    <n v="4.9518512747862301E-2"/>
    <n v="4214"/>
    <n v="0.9084027356063803"/>
    <n v="0.43809507988815444"/>
    <n v="0.90842234125273669"/>
  </r>
  <r>
    <x v="4"/>
    <x v="5"/>
    <n v="0.46123767996618298"/>
    <n v="0.44966585479246701"/>
    <n v="-1.1571825173715701E-2"/>
    <n v="5.1574718710449698E-2"/>
    <n v="6.6418813829735397E-3"/>
    <n v="4.2992730301087499E-3"/>
    <n v="0.38681477065742298"/>
    <n v="3.3521101151187199E-4"/>
    <n v="30.690949351664202"/>
    <n v="3.0487642305799798"/>
    <n v="66.260286417755907"/>
    <n v="28.358298284186901"/>
    <n v="54.620284355949501"/>
    <n v="17.021417359863602"/>
    <n v="0"/>
    <n v="54.620284355949501"/>
    <n v="0.24319154920342601"/>
    <n v="-83.850373917885904"/>
    <n v="0.61814711150197399"/>
    <n v="99.978549750874294"/>
    <n v="44.862539096087701"/>
    <n v="308.896608979468"/>
    <n v="53.948117365401004"/>
    <n v="298.143051932817"/>
    <n v="3.3237735060903"/>
    <n v="772.42995625306503"/>
    <n v="2.2705069715197901"/>
    <n v="0"/>
    <n v="171.91148914441601"/>
    <n v="111.937950572207"/>
    <n v="25.4392109580909"/>
    <n v="-30.223861042789999"/>
    <n v="40402438218.900002"/>
    <n v="5.42529388780668E-2"/>
    <n v="13238"/>
    <n v="1.0257342759081778"/>
    <n v="0.44933064378095516"/>
    <n v="1.0264994973078942"/>
  </r>
  <r>
    <x v="4"/>
    <x v="6"/>
    <n v="0.55162048289953003"/>
    <n v="0.528056811913441"/>
    <n v="-2.3563670986089399E-2"/>
    <n v="5.2141437165059402E-2"/>
    <n v="7.60194634836642E-3"/>
    <n v="6.0671451275600896E-3"/>
    <n v="0.42376959011085502"/>
    <n v="3.8476693161599698E-2"/>
    <n v="10.5947048208574"/>
    <n v="4.0799618114770899"/>
    <n v="85.325333367665493"/>
    <n v="26.3689750003916"/>
    <n v="55.9567961781432"/>
    <n v="17.674228821465199"/>
    <n v="0"/>
    <n v="55.9567961781432"/>
    <n v="0.28317028672018102"/>
    <n v="-60.125745455296098"/>
    <n v="40.206805093087603"/>
    <n v="99.987501828126099"/>
    <n v="44.746887650445302"/>
    <n v="303.41782687989098"/>
    <n v="54.591866620004403"/>
    <n v="296.82147037802901"/>
    <n v="3.40663590323447"/>
    <n v="771.70476795000798"/>
    <n v="2.3004528911742201"/>
    <n v="0"/>
    <n v="172.27710506787301"/>
    <n v="112.029935717296"/>
    <n v="26.636308397756899"/>
    <n v="-25.3047853071905"/>
    <n v="242569811410"/>
    <n v="5.1514837722101602E-2"/>
    <n v="35924"/>
    <n v="1.0446233633474111"/>
    <n v="0.48958011875184132"/>
    <n v="1.1267215758390217"/>
  </r>
  <r>
    <x v="4"/>
    <x v="7"/>
    <n v="0.65737658676705801"/>
    <n v="0.66783561863295604"/>
    <n v="1.04590318658983E-2"/>
    <n v="5.2562897343264602E-2"/>
    <n v="8.2027815222067407E-3"/>
    <n v="9.2399514245838192E-3"/>
    <n v="0.487057112823851"/>
    <n v="0.11077287551905"/>
    <n v="5.5281902172651103"/>
    <n v="4.5510150462744603"/>
    <n v="89.920794736460394"/>
    <n v="26.712386584918001"/>
    <n v="54.691413755458903"/>
    <n v="18.5961996596231"/>
    <n v="0"/>
    <n v="54.691413755458903"/>
    <n v="0.30508073523624202"/>
    <n v="-36.608822517902503"/>
    <n v="164.01481870093701"/>
    <n v="99.982298598959105"/>
    <n v="44.915762950830498"/>
    <n v="301.54781073739503"/>
    <n v="55.6086153011343"/>
    <n v="295.84329102633097"/>
    <n v="3.5385853745682398"/>
    <n v="769.02733121778397"/>
    <n v="4.0923454087880504"/>
    <n v="0"/>
    <n v="173.090513284081"/>
    <n v="112.208710096484"/>
    <n v="29.632040268703399"/>
    <n v="-17.728625567357401"/>
    <n v="537965754519.79999"/>
    <n v="5.8396056387202598E-2"/>
    <n v="77009"/>
    <n v="0.98433891278918695"/>
    <n v="0.55706274311390602"/>
    <n v="1.1800763825855793"/>
  </r>
  <r>
    <x v="4"/>
    <x v="8"/>
    <n v="0.74609031633424905"/>
    <n v="0.76066819202427804"/>
    <n v="1.45778756900287E-2"/>
    <n v="5.35580779241168E-2"/>
    <n v="1.00194489933314E-2"/>
    <n v="1.33732107376692E-2"/>
    <n v="0.50989953819884903"/>
    <n v="0.173817916170312"/>
    <n v="4.8410084820224002"/>
    <n v="4.7542734145977104"/>
    <n v="90.404718103379906"/>
    <n v="25.367119505218501"/>
    <n v="54.290620603736897"/>
    <n v="20.342259891044499"/>
    <n v="0"/>
    <n v="54.290620603736897"/>
    <n v="0.36123405339947001"/>
    <n v="-14.375985970268999"/>
    <n v="532.73760950000303"/>
    <n v="99.972467169996307"/>
    <n v="45.424324465661698"/>
    <n v="283.89083419138097"/>
    <n v="57.262609479515703"/>
    <n v="293.64294951047202"/>
    <n v="3.7304118822797401"/>
    <n v="765.61157091741404"/>
    <n v="7.6516171259404899"/>
    <n v="0"/>
    <n v="171.86349350986899"/>
    <n v="112.12709078645101"/>
    <n v="31.2603973288726"/>
    <n v="-11.083348130249799"/>
    <n v="537301881277.29999"/>
    <n v="6.3450605102008797E-2"/>
    <n v="105629"/>
    <n v="0.9808354341053297"/>
    <n v="0.58685027585396599"/>
    <n v="1.271346963667286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161" applyNumberFormats="0" applyBorderFormats="0" applyFontFormats="0" applyPatternFormats="0" applyAlignmentFormats="0" applyWidthHeightFormats="1" dataCaption="Values" updatedVersion="4" minRefreshableVersion="3" useAutoFormatting="1" rowGrandTotals="0" colGrandTotals="0" itemPrintTitles="1" createdVersion="4" indent="0" outline="1" outlineData="1" multipleFieldFilters="0" chartFormat="1">
  <location ref="A2:AE13" firstHeaderRow="1" firstDataRow="3" firstDataCol="1"/>
  <pivotFields count="40">
    <pivotField axis="axisCol" showAll="0" defaultSubtotal="0">
      <items count="5">
        <item x="0"/>
        <item x="1"/>
        <item x="2"/>
        <item x="3"/>
        <item x="4"/>
      </items>
    </pivotField>
    <pivotField axis="axisRow" showAll="0" sortType="ascending" defaultSubtotal="0">
      <items count="9">
        <item x="0"/>
        <item x="1"/>
        <item x="2"/>
        <item x="3"/>
        <item x="4"/>
        <item x="5"/>
        <item x="6"/>
        <item x="7"/>
        <item x="8"/>
      </items>
    </pivotField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numFmtId="11" showAll="0" defaultSubtotal="0"/>
    <pivotField dataField="1" numFmtId="11" showAll="0" defaultSubtota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</rowItems>
  <colFields count="2">
    <field x="0"/>
    <field x="-2"/>
  </colFields>
  <colItems count="30">
    <i>
      <x/>
      <x/>
    </i>
    <i r="1" i="1">
      <x v="1"/>
    </i>
    <i r="1" i="2">
      <x v="2"/>
    </i>
    <i r="1" i="3">
      <x v="3"/>
    </i>
    <i r="1" i="4">
      <x v="4"/>
    </i>
    <i r="1" i="5">
      <x v="5"/>
    </i>
    <i>
      <x v="1"/>
      <x/>
    </i>
    <i r="1" i="1">
      <x v="1"/>
    </i>
    <i r="1" i="2">
      <x v="2"/>
    </i>
    <i r="1" i="3">
      <x v="3"/>
    </i>
    <i r="1" i="4">
      <x v="4"/>
    </i>
    <i r="1" i="5">
      <x v="5"/>
    </i>
    <i>
      <x v="2"/>
      <x/>
    </i>
    <i r="1" i="1">
      <x v="1"/>
    </i>
    <i r="1" i="2">
      <x v="2"/>
    </i>
    <i r="1" i="3">
      <x v="3"/>
    </i>
    <i r="1" i="4">
      <x v="4"/>
    </i>
    <i r="1" i="5">
      <x v="5"/>
    </i>
    <i>
      <x v="3"/>
      <x/>
    </i>
    <i r="1" i="1">
      <x v="1"/>
    </i>
    <i r="1" i="2">
      <x v="2"/>
    </i>
    <i r="1" i="3">
      <x v="3"/>
    </i>
    <i r="1" i="4">
      <x v="4"/>
    </i>
    <i r="1" i="5">
      <x v="5"/>
    </i>
    <i>
      <x v="4"/>
      <x/>
    </i>
    <i r="1" i="1">
      <x v="1"/>
    </i>
    <i r="1" i="2">
      <x v="2"/>
    </i>
    <i r="1" i="3">
      <x v="3"/>
    </i>
    <i r="1" i="4">
      <x v="4"/>
    </i>
    <i r="1" i="5">
      <x v="5"/>
    </i>
  </colItems>
  <dataFields count="6">
    <dataField name="'bal" fld="34" baseField="0" baseItem="0" numFmtId="164"/>
    <dataField name="'actual.smm" fld="2" subtotal="average" baseField="0" baseItem="0" numFmtId="2"/>
    <dataField name="'model.smm" fld="3" subtotal="average" baseField="0" baseItem="0" numFmtId="2"/>
    <dataField name="'model w/o refi" fld="38" subtotal="average" baseField="0" baseItem="0" numFmtId="2"/>
    <dataField name="'Ratio" fld="37" subtotal="average" baseField="0" baseItem="0" numFmtId="2"/>
    <dataField name="'Ratio w/o refi" fld="39" subtotal="average" baseField="0" baseItem="0" numFmtId="2"/>
  </dataFields>
  <formats count="5">
    <format dxfId="4">
      <pivotArea outline="0" collapsedLevelsAreSubtotals="1" fieldPosition="0"/>
    </format>
    <format dxfId="3">
      <pivotArea type="topRight" dataOnly="0" labelOnly="1" outline="0" offset="B1" fieldPosition="0"/>
    </format>
    <format dxfId="2">
      <pivotArea type="topRight" dataOnly="0" labelOnly="1" outline="0" offset="G1" fieldPosition="0"/>
    </format>
    <format dxfId="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0">
      <pivotArea outline="0" collapsedLevelsAreSubtotals="1" fieldPosition="0">
        <references count="1">
          <reference field="4294967294" count="5" selected="0">
            <x v="1"/>
            <x v="2"/>
            <x v="3"/>
            <x v="4"/>
            <x v="5"/>
          </reference>
        </references>
      </pivotArea>
    </format>
  </formats>
  <chartFormats count="6">
    <chartFormat chart="0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0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0" format="14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45"/>
  <sheetViews>
    <sheetView workbookViewId="0">
      <selection activeCell="A2" sqref="A2:AL45"/>
    </sheetView>
  </sheetViews>
  <sheetFormatPr defaultRowHeight="15" x14ac:dyDescent="0.25"/>
  <cols>
    <col min="2" max="2" width="9.140625" style="2"/>
    <col min="27" max="27" width="9.140625" style="2"/>
  </cols>
  <sheetData>
    <row r="1" spans="1:41" x14ac:dyDescent="0.25">
      <c r="A1" s="2"/>
      <c r="B1" s="2" t="s">
        <v>51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52</v>
      </c>
      <c r="AB1" s="2" t="s">
        <v>24</v>
      </c>
      <c r="AC1" s="2" t="s">
        <v>25</v>
      </c>
      <c r="AD1" s="2" t="s">
        <v>26</v>
      </c>
      <c r="AE1" s="2" t="s">
        <v>27</v>
      </c>
      <c r="AF1" s="2" t="s">
        <v>28</v>
      </c>
      <c r="AG1" s="2" t="s">
        <v>29</v>
      </c>
      <c r="AH1" s="2" t="s">
        <v>30</v>
      </c>
      <c r="AI1" s="2" t="s">
        <v>31</v>
      </c>
      <c r="AJ1" s="2" t="s">
        <v>32</v>
      </c>
      <c r="AK1" s="2" t="s">
        <v>33</v>
      </c>
      <c r="AL1" s="2" t="s">
        <v>34</v>
      </c>
      <c r="AM1" s="2" t="s">
        <v>43</v>
      </c>
      <c r="AN1" s="2" t="s">
        <v>44</v>
      </c>
      <c r="AO1" s="2" t="s">
        <v>45</v>
      </c>
    </row>
    <row r="2" spans="1:41" x14ac:dyDescent="0.25">
      <c r="A2" s="2">
        <v>1</v>
      </c>
      <c r="B2" s="2">
        <v>85</v>
      </c>
      <c r="C2" s="2">
        <v>-200</v>
      </c>
      <c r="D2" s="3">
        <v>8.0000000000000004E-4</v>
      </c>
      <c r="E2" s="2">
        <v>0.50523071251205298</v>
      </c>
      <c r="F2" s="2">
        <v>0.50443071251205296</v>
      </c>
      <c r="G2" s="2">
        <v>5.1949714062499999E-2</v>
      </c>
      <c r="H2" s="2">
        <v>9.9256774362153194E-4</v>
      </c>
      <c r="I2" s="2">
        <v>3.3913728371715799E-4</v>
      </c>
      <c r="J2" s="2">
        <v>0.45194627884361299</v>
      </c>
      <c r="K2" s="3">
        <v>3.0145786018786401E-6</v>
      </c>
      <c r="L2" s="2">
        <v>100</v>
      </c>
      <c r="M2" s="2">
        <v>0</v>
      </c>
      <c r="N2" s="2">
        <v>0</v>
      </c>
      <c r="O2" s="2">
        <v>0</v>
      </c>
      <c r="P2" s="2">
        <v>100</v>
      </c>
      <c r="Q2" s="2">
        <v>0</v>
      </c>
      <c r="R2" s="2">
        <v>0</v>
      </c>
      <c r="S2" s="2">
        <v>100</v>
      </c>
      <c r="T2" s="2">
        <v>0</v>
      </c>
      <c r="U2" s="2">
        <v>-202.1</v>
      </c>
      <c r="V2" s="2">
        <v>0</v>
      </c>
      <c r="W2" s="2">
        <v>100</v>
      </c>
      <c r="X2" s="2">
        <v>26.3</v>
      </c>
      <c r="Y2" s="2">
        <v>58.8</v>
      </c>
      <c r="Z2" s="2">
        <v>63</v>
      </c>
      <c r="AA2" s="2">
        <v>297</v>
      </c>
      <c r="AB2" s="2">
        <v>2.6</v>
      </c>
      <c r="AC2" s="2">
        <v>728</v>
      </c>
      <c r="AD2" s="2">
        <v>100</v>
      </c>
      <c r="AE2" s="2">
        <v>0</v>
      </c>
      <c r="AF2" s="2">
        <v>179.2</v>
      </c>
      <c r="AG2" s="2">
        <v>112.2</v>
      </c>
      <c r="AH2" s="2">
        <v>20.9</v>
      </c>
      <c r="AI2" s="2">
        <v>-100</v>
      </c>
      <c r="AJ2" s="2">
        <v>58820.3</v>
      </c>
      <c r="AK2" s="2" t="s">
        <v>50</v>
      </c>
      <c r="AL2" s="2">
        <v>1</v>
      </c>
      <c r="AM2" s="2">
        <f>D2/E2</f>
        <v>1.5834350133275298E-3</v>
      </c>
      <c r="AN2" s="3">
        <f>E2-K2</f>
        <v>0.50522769793345113</v>
      </c>
      <c r="AO2" s="3">
        <f>D2/(E2-K2)</f>
        <v>1.583444461323608E-3</v>
      </c>
    </row>
    <row r="3" spans="1:41" x14ac:dyDescent="0.25">
      <c r="A3" s="2">
        <v>2</v>
      </c>
      <c r="B3" s="2">
        <v>85</v>
      </c>
      <c r="C3" s="2">
        <v>-175</v>
      </c>
      <c r="D3" s="2">
        <v>7.5213920846779205E-4</v>
      </c>
      <c r="E3" s="2">
        <v>0.51773152836699099</v>
      </c>
      <c r="F3" s="2">
        <v>0.51697938915852304</v>
      </c>
      <c r="G3" s="2">
        <v>4.8249027111232502E-2</v>
      </c>
      <c r="H3" s="2">
        <v>1.5834711428251299E-3</v>
      </c>
      <c r="I3" s="2">
        <v>4.2246839107825703E-4</v>
      </c>
      <c r="J3" s="2">
        <v>0.46747360888915501</v>
      </c>
      <c r="K3" s="3">
        <v>2.9528327006597501E-6</v>
      </c>
      <c r="L3" s="2">
        <v>100</v>
      </c>
      <c r="M3" s="2">
        <v>0</v>
      </c>
      <c r="N3" s="2">
        <v>0</v>
      </c>
      <c r="O3" s="2">
        <v>0</v>
      </c>
      <c r="P3" s="2">
        <v>100</v>
      </c>
      <c r="Q3" s="2">
        <v>0</v>
      </c>
      <c r="R3" s="2">
        <v>0</v>
      </c>
      <c r="S3" s="2">
        <v>100</v>
      </c>
      <c r="T3" s="2">
        <v>2.7443399480281301E-2</v>
      </c>
      <c r="U3" s="2">
        <v>-187.01434429778101</v>
      </c>
      <c r="V3" s="2">
        <v>0</v>
      </c>
      <c r="W3" s="2">
        <v>100</v>
      </c>
      <c r="X3" s="2">
        <v>30.375699025757701</v>
      </c>
      <c r="Y3" s="2">
        <v>61.1005372610067</v>
      </c>
      <c r="Z3" s="2">
        <v>54.3403074712379</v>
      </c>
      <c r="AA3" s="2">
        <v>305.65969252876198</v>
      </c>
      <c r="AB3" s="2">
        <v>2.6274433994802799</v>
      </c>
      <c r="AC3" s="2">
        <v>734.99806686747195</v>
      </c>
      <c r="AD3" s="2">
        <v>86.278300259859293</v>
      </c>
      <c r="AE3" s="2">
        <v>0</v>
      </c>
      <c r="AF3" s="2">
        <v>171.268256731626</v>
      </c>
      <c r="AG3" s="2">
        <v>111.93892386090199</v>
      </c>
      <c r="AH3" s="2">
        <v>25.886510259787698</v>
      </c>
      <c r="AI3" s="2">
        <v>-96.569575064964795</v>
      </c>
      <c r="AJ3" s="2">
        <v>488533.5</v>
      </c>
      <c r="AK3" s="3">
        <v>4.5961940777125603E-6</v>
      </c>
      <c r="AL3" s="2">
        <v>8</v>
      </c>
      <c r="AM3" s="2">
        <f t="shared" ref="AM3:AM9" si="0">D3/E3</f>
        <v>1.4527591372311454E-3</v>
      </c>
      <c r="AN3" s="3">
        <f t="shared" ref="AN3:AN9" si="1">E3-K3</f>
        <v>0.5177285755342903</v>
      </c>
      <c r="AO3" s="3">
        <f t="shared" ref="AO3:AO9" si="2">D3/(E3-K3)</f>
        <v>1.4527674229524467E-3</v>
      </c>
    </row>
    <row r="4" spans="1:41" x14ac:dyDescent="0.25">
      <c r="A4" s="2">
        <v>3</v>
      </c>
      <c r="B4" s="2">
        <v>85</v>
      </c>
      <c r="C4" s="2">
        <v>-150</v>
      </c>
      <c r="D4" s="2">
        <v>9.6399666998062006E-3</v>
      </c>
      <c r="E4" s="2">
        <v>0.56009217709813397</v>
      </c>
      <c r="F4" s="2">
        <v>0.55045221039832803</v>
      </c>
      <c r="G4" s="2">
        <v>5.4903404824509401E-2</v>
      </c>
      <c r="H4" s="2">
        <v>8.5463896581082499E-3</v>
      </c>
      <c r="I4" s="2">
        <v>6.70629107081799E-4</v>
      </c>
      <c r="J4" s="2">
        <v>0.49596817540007498</v>
      </c>
      <c r="K4" s="3">
        <v>3.57810835985759E-6</v>
      </c>
      <c r="L4" s="2">
        <v>84.536686256406</v>
      </c>
      <c r="M4" s="2">
        <v>0</v>
      </c>
      <c r="N4" s="2">
        <v>15.463313743594</v>
      </c>
      <c r="O4" s="2">
        <v>45.189572525705202</v>
      </c>
      <c r="P4" s="2">
        <v>34.305358895601103</v>
      </c>
      <c r="Q4" s="2">
        <v>20.505068578693699</v>
      </c>
      <c r="R4" s="2">
        <v>0</v>
      </c>
      <c r="S4" s="2">
        <v>34.305358895601103</v>
      </c>
      <c r="T4" s="2">
        <v>0.30206504853913402</v>
      </c>
      <c r="U4" s="2">
        <v>-160.03852834944701</v>
      </c>
      <c r="V4" s="2">
        <v>0</v>
      </c>
      <c r="W4" s="2">
        <v>100</v>
      </c>
      <c r="X4" s="2">
        <v>47.199015875660798</v>
      </c>
      <c r="Y4" s="2">
        <v>58.415630955625701</v>
      </c>
      <c r="Z4" s="2">
        <v>56.793581206482898</v>
      </c>
      <c r="AA4" s="2">
        <v>291.78180572478402</v>
      </c>
      <c r="AB4" s="2">
        <v>2.8777102457363499</v>
      </c>
      <c r="AC4" s="2">
        <v>765.28844342686398</v>
      </c>
      <c r="AD4" s="2">
        <v>12.519851009153101</v>
      </c>
      <c r="AE4" s="2">
        <v>0</v>
      </c>
      <c r="AF4" s="2">
        <v>171.70443441704001</v>
      </c>
      <c r="AG4" s="2">
        <v>111.932469452001</v>
      </c>
      <c r="AH4" s="2">
        <v>25.255095769421999</v>
      </c>
      <c r="AI4" s="2">
        <v>-85.274189704206094</v>
      </c>
      <c r="AJ4" s="2">
        <v>4838230.0999999996</v>
      </c>
      <c r="AK4" s="2">
        <v>2.7651780543365298E-4</v>
      </c>
      <c r="AL4" s="2">
        <v>79</v>
      </c>
      <c r="AM4" s="2">
        <f t="shared" si="0"/>
        <v>1.7211393220579081E-2</v>
      </c>
      <c r="AN4" s="3">
        <f t="shared" si="1"/>
        <v>0.56008859898977414</v>
      </c>
      <c r="AO4" s="3">
        <f t="shared" si="2"/>
        <v>1.7211503175022142E-2</v>
      </c>
    </row>
    <row r="5" spans="1:41" x14ac:dyDescent="0.25">
      <c r="A5" s="2">
        <v>4</v>
      </c>
      <c r="B5" s="2">
        <v>85</v>
      </c>
      <c r="C5" s="2">
        <v>-125</v>
      </c>
      <c r="D5" s="2">
        <v>0.13978729380438801</v>
      </c>
      <c r="E5" s="2">
        <v>0.60626416228726898</v>
      </c>
      <c r="F5" s="2">
        <v>0.466476868482881</v>
      </c>
      <c r="G5" s="2">
        <v>5.4533490219340203E-2</v>
      </c>
      <c r="H5" s="2">
        <v>1.75121238264664E-2</v>
      </c>
      <c r="I5" s="2">
        <v>1.3802534433806999E-3</v>
      </c>
      <c r="J5" s="2">
        <v>0.53283478358932401</v>
      </c>
      <c r="K5" s="3">
        <v>3.51120875762564E-6</v>
      </c>
      <c r="L5" s="2">
        <v>89.918740277814095</v>
      </c>
      <c r="M5" s="2">
        <v>0</v>
      </c>
      <c r="N5" s="2">
        <v>10.0812597221859</v>
      </c>
      <c r="O5" s="2">
        <v>37.476653963228699</v>
      </c>
      <c r="P5" s="2">
        <v>44.967909634218103</v>
      </c>
      <c r="Q5" s="2">
        <v>17.555436402553301</v>
      </c>
      <c r="R5" s="2">
        <v>0</v>
      </c>
      <c r="S5" s="2">
        <v>44.967909634218103</v>
      </c>
      <c r="T5" s="2">
        <v>0.68991409095446699</v>
      </c>
      <c r="U5" s="2">
        <v>-133.126321693927</v>
      </c>
      <c r="V5" s="2">
        <v>0</v>
      </c>
      <c r="W5" s="2">
        <v>100</v>
      </c>
      <c r="X5" s="2">
        <v>47.539180208203</v>
      </c>
      <c r="Y5" s="2">
        <v>58.908682657692701</v>
      </c>
      <c r="Z5" s="2">
        <v>55.6043058693215</v>
      </c>
      <c r="AA5" s="2">
        <v>292.141833948098</v>
      </c>
      <c r="AB5" s="2">
        <v>3.1558569289191301</v>
      </c>
      <c r="AC5" s="2">
        <v>768.41411211678496</v>
      </c>
      <c r="AD5" s="2">
        <v>23.3041345074875</v>
      </c>
      <c r="AE5" s="2">
        <v>0</v>
      </c>
      <c r="AF5" s="2">
        <v>172.79898447665801</v>
      </c>
      <c r="AG5" s="2">
        <v>111.990846815016</v>
      </c>
      <c r="AH5" s="2">
        <v>25.113153729131302</v>
      </c>
      <c r="AI5" s="2">
        <v>-48.811982611021499</v>
      </c>
      <c r="AJ5" s="2">
        <v>40459651</v>
      </c>
      <c r="AK5" s="2">
        <v>1.6065696490794201E-2</v>
      </c>
      <c r="AL5" s="2">
        <v>414</v>
      </c>
      <c r="AM5" s="2">
        <f t="shared" si="0"/>
        <v>0.23057159320948273</v>
      </c>
      <c r="AN5" s="3">
        <f t="shared" si="1"/>
        <v>0.60626065107851135</v>
      </c>
      <c r="AO5" s="3">
        <f t="shared" si="2"/>
        <v>0.23057292858395559</v>
      </c>
    </row>
    <row r="6" spans="1:41" x14ac:dyDescent="0.25">
      <c r="A6" s="2">
        <v>5</v>
      </c>
      <c r="B6" s="2">
        <v>85</v>
      </c>
      <c r="C6" s="2">
        <v>-100</v>
      </c>
      <c r="D6" s="2">
        <v>0.88219308081482695</v>
      </c>
      <c r="E6" s="2">
        <v>0.65464630695109105</v>
      </c>
      <c r="F6" s="2">
        <v>-0.22754677386373701</v>
      </c>
      <c r="G6" s="2">
        <v>5.3476457594203101E-2</v>
      </c>
      <c r="H6" s="2">
        <v>1.74983933479071E-2</v>
      </c>
      <c r="I6" s="2">
        <v>2.7677018868291501E-3</v>
      </c>
      <c r="J6" s="2">
        <v>0.58090017147901596</v>
      </c>
      <c r="K6" s="3">
        <v>3.5826431354499E-6</v>
      </c>
      <c r="L6" s="2">
        <v>81.051951631004997</v>
      </c>
      <c r="M6" s="2">
        <v>0.422801745930312</v>
      </c>
      <c r="N6" s="2">
        <v>18.525246623064699</v>
      </c>
      <c r="O6" s="2">
        <v>37.687732442505698</v>
      </c>
      <c r="P6" s="2">
        <v>44.842741630255397</v>
      </c>
      <c r="Q6" s="2">
        <v>17.469525927238902</v>
      </c>
      <c r="R6" s="2">
        <v>0</v>
      </c>
      <c r="S6" s="2">
        <v>44.842741630255397</v>
      </c>
      <c r="T6" s="2">
        <v>0.68501172162219903</v>
      </c>
      <c r="U6" s="2">
        <v>-109.156636510407</v>
      </c>
      <c r="V6" s="2">
        <v>2.8941218626052301E-2</v>
      </c>
      <c r="W6" s="2">
        <v>99.761858536219506</v>
      </c>
      <c r="X6" s="2">
        <v>47.146672853037302</v>
      </c>
      <c r="Y6" s="2">
        <v>59.9583652333435</v>
      </c>
      <c r="Z6" s="2">
        <v>54.625913226688603</v>
      </c>
      <c r="AA6" s="2">
        <v>294.21096569949901</v>
      </c>
      <c r="AB6" s="2">
        <v>3.3140975341787202</v>
      </c>
      <c r="AC6" s="2">
        <v>766.29750198460204</v>
      </c>
      <c r="AD6" s="2">
        <v>18.124282333073999</v>
      </c>
      <c r="AE6" s="2">
        <v>0</v>
      </c>
      <c r="AF6" s="2">
        <v>172.21924714586299</v>
      </c>
      <c r="AG6" s="2">
        <v>111.98433376432401</v>
      </c>
      <c r="AH6" s="2">
        <v>25.662145478726998</v>
      </c>
      <c r="AI6" s="2">
        <v>-32.105580306561897</v>
      </c>
      <c r="AJ6" s="2">
        <v>290448706</v>
      </c>
      <c r="AK6" s="2">
        <v>7.0443246286725297E-2</v>
      </c>
      <c r="AL6" s="2">
        <v>1691</v>
      </c>
      <c r="AM6" s="2">
        <f t="shared" si="0"/>
        <v>1.3475873482331215</v>
      </c>
      <c r="AN6" s="3">
        <f t="shared" si="1"/>
        <v>0.65464272430795556</v>
      </c>
      <c r="AO6" s="3">
        <f t="shared" si="2"/>
        <v>1.3475947231330225</v>
      </c>
    </row>
    <row r="7" spans="1:41" x14ac:dyDescent="0.25">
      <c r="A7" s="2">
        <v>6</v>
      </c>
      <c r="B7" s="2">
        <v>85</v>
      </c>
      <c r="C7" s="2">
        <v>-75</v>
      </c>
      <c r="D7" s="2">
        <v>0.74187233516014395</v>
      </c>
      <c r="E7" s="2">
        <v>0.70051486666124796</v>
      </c>
      <c r="F7" s="2">
        <v>-4.1357468498895898E-2</v>
      </c>
      <c r="G7" s="2">
        <v>5.37091730461563E-2</v>
      </c>
      <c r="H7" s="2">
        <v>1.8577842903058701E-2</v>
      </c>
      <c r="I7" s="2">
        <v>5.1719386728532098E-3</v>
      </c>
      <c r="J7" s="2">
        <v>0.62305225958946897</v>
      </c>
      <c r="K7" s="3">
        <v>3.6524497117739501E-6</v>
      </c>
      <c r="L7" s="2">
        <v>58.602259512410903</v>
      </c>
      <c r="M7" s="2">
        <v>2.0158367991514101</v>
      </c>
      <c r="N7" s="2">
        <v>39.381903688437703</v>
      </c>
      <c r="O7" s="2">
        <v>40.946992804827602</v>
      </c>
      <c r="P7" s="2">
        <v>40.129022507650099</v>
      </c>
      <c r="Q7" s="2">
        <v>18.923984687522299</v>
      </c>
      <c r="R7" s="2">
        <v>0</v>
      </c>
      <c r="S7" s="2">
        <v>40.129022507650099</v>
      </c>
      <c r="T7" s="2">
        <v>0.73565489831066599</v>
      </c>
      <c r="U7" s="2">
        <v>-84.713930562417204</v>
      </c>
      <c r="V7" s="2">
        <v>0.88207790502774897</v>
      </c>
      <c r="W7" s="2">
        <v>99.826542634352606</v>
      </c>
      <c r="X7" s="2">
        <v>45.609352627056701</v>
      </c>
      <c r="Y7" s="2">
        <v>60.948774011089903</v>
      </c>
      <c r="Z7" s="2">
        <v>54.484238718651099</v>
      </c>
      <c r="AA7" s="2">
        <v>293.55463335740598</v>
      </c>
      <c r="AB7" s="2">
        <v>3.4141506998129998</v>
      </c>
      <c r="AC7" s="2">
        <v>765.791581693235</v>
      </c>
      <c r="AD7" s="2">
        <v>13.819705201611001</v>
      </c>
      <c r="AE7" s="2">
        <v>0</v>
      </c>
      <c r="AF7" s="2">
        <v>172.13942598581701</v>
      </c>
      <c r="AG7" s="2">
        <v>112.01236042046099</v>
      </c>
      <c r="AH7" s="2">
        <v>26.721638664236099</v>
      </c>
      <c r="AI7" s="2">
        <v>-22.7602763589808</v>
      </c>
      <c r="AJ7" s="2">
        <v>1354642172</v>
      </c>
      <c r="AK7" s="2">
        <v>5.0330332357023097E-2</v>
      </c>
      <c r="AL7" s="2">
        <v>4697</v>
      </c>
      <c r="AM7" s="2">
        <f t="shared" si="0"/>
        <v>1.0590386735059765</v>
      </c>
      <c r="AN7" s="3">
        <f t="shared" si="1"/>
        <v>0.70051121421153617</v>
      </c>
      <c r="AO7" s="3">
        <f t="shared" si="2"/>
        <v>1.0590441953097953</v>
      </c>
    </row>
    <row r="8" spans="1:41" x14ac:dyDescent="0.25">
      <c r="A8" s="2">
        <v>7</v>
      </c>
      <c r="B8" s="2">
        <v>85</v>
      </c>
      <c r="C8" s="2">
        <v>-50</v>
      </c>
      <c r="D8" s="2">
        <v>0.75242698321387602</v>
      </c>
      <c r="E8" s="2">
        <v>0.75162118007664502</v>
      </c>
      <c r="F8" s="2">
        <v>-8.05803137231381E-4</v>
      </c>
      <c r="G8" s="2">
        <v>5.4611977729049598E-2</v>
      </c>
      <c r="H8" s="2">
        <v>1.9961865388415202E-2</v>
      </c>
      <c r="I8" s="2">
        <v>8.0233231129361992E-3</v>
      </c>
      <c r="J8" s="2">
        <v>0.66901701841197803</v>
      </c>
      <c r="K8" s="3">
        <v>6.99543426587374E-6</v>
      </c>
      <c r="L8" s="2">
        <v>32.100487130131803</v>
      </c>
      <c r="M8" s="2">
        <v>4.0385609363177801</v>
      </c>
      <c r="N8" s="2">
        <v>63.860951933550403</v>
      </c>
      <c r="O8" s="2">
        <v>40.4827819452725</v>
      </c>
      <c r="P8" s="2">
        <v>39.709471589691198</v>
      </c>
      <c r="Q8" s="2">
        <v>19.807746465036299</v>
      </c>
      <c r="R8" s="2">
        <v>0</v>
      </c>
      <c r="S8" s="2">
        <v>39.709471589691198</v>
      </c>
      <c r="T8" s="2">
        <v>0.79663532109213497</v>
      </c>
      <c r="U8" s="2">
        <v>-60.253728482486203</v>
      </c>
      <c r="V8" s="2">
        <v>42.544885147420501</v>
      </c>
      <c r="W8" s="2">
        <v>99.865322207394001</v>
      </c>
      <c r="X8" s="2">
        <v>43.421781687578203</v>
      </c>
      <c r="Y8" s="2">
        <v>61.8208690283411</v>
      </c>
      <c r="Z8" s="2">
        <v>54.739313765581997</v>
      </c>
      <c r="AA8" s="2">
        <v>291.51203340797599</v>
      </c>
      <c r="AB8" s="2">
        <v>3.4994037595042999</v>
      </c>
      <c r="AC8" s="2">
        <v>766.52334101396104</v>
      </c>
      <c r="AD8" s="2">
        <v>13.419126492342601</v>
      </c>
      <c r="AE8" s="2">
        <v>0</v>
      </c>
      <c r="AF8" s="2">
        <v>172.141938655833</v>
      </c>
      <c r="AG8" s="2">
        <v>112.031277292971</v>
      </c>
      <c r="AH8" s="2">
        <v>27.1636897028677</v>
      </c>
      <c r="AI8" s="2">
        <v>-16.7541770948935</v>
      </c>
      <c r="AJ8" s="2">
        <v>5387488309.1000004</v>
      </c>
      <c r="AK8" s="2">
        <v>6.1087008283207497E-2</v>
      </c>
      <c r="AL8" s="2">
        <v>12317</v>
      </c>
      <c r="AM8" s="2">
        <f t="shared" si="0"/>
        <v>1.0010720867886518</v>
      </c>
      <c r="AN8" s="3">
        <f t="shared" si="1"/>
        <v>0.75161418464237917</v>
      </c>
      <c r="AO8" s="3">
        <f t="shared" si="2"/>
        <v>1.0010814039810645</v>
      </c>
    </row>
    <row r="9" spans="1:41" x14ac:dyDescent="0.25">
      <c r="A9" s="2">
        <v>8</v>
      </c>
      <c r="B9" s="2">
        <v>85</v>
      </c>
      <c r="C9" s="2">
        <v>-25</v>
      </c>
      <c r="D9" s="2">
        <v>0.80648050144271399</v>
      </c>
      <c r="E9" s="2">
        <v>0.84566273147551396</v>
      </c>
      <c r="F9" s="2">
        <v>3.9182230032799303E-2</v>
      </c>
      <c r="G9" s="2">
        <v>5.5356393157763299E-2</v>
      </c>
      <c r="H9" s="2">
        <v>1.9826575708039001E-2</v>
      </c>
      <c r="I9" s="2">
        <v>1.2523153243595399E-2</v>
      </c>
      <c r="J9" s="2">
        <v>0.75005606565298599</v>
      </c>
      <c r="K9" s="2">
        <v>7.9005437131299903E-3</v>
      </c>
      <c r="L9" s="2">
        <v>22.2650601823896</v>
      </c>
      <c r="M9" s="2">
        <v>5.1027921725207799</v>
      </c>
      <c r="N9" s="2">
        <v>72.632147645089702</v>
      </c>
      <c r="O9" s="2">
        <v>38.0348955145272</v>
      </c>
      <c r="P9" s="2">
        <v>42.681854494180001</v>
      </c>
      <c r="Q9" s="2">
        <v>19.283249991292902</v>
      </c>
      <c r="R9" s="2">
        <v>0</v>
      </c>
      <c r="S9" s="2">
        <v>42.681854494180001</v>
      </c>
      <c r="T9" s="2">
        <v>0.78983230374587099</v>
      </c>
      <c r="U9" s="2">
        <v>-36.410740430425903</v>
      </c>
      <c r="V9" s="2">
        <v>185.55969040400899</v>
      </c>
      <c r="W9" s="2">
        <v>99.829760671822697</v>
      </c>
      <c r="X9" s="2">
        <v>42.726759083894002</v>
      </c>
      <c r="Y9" s="2">
        <v>62.055284567115798</v>
      </c>
      <c r="Z9" s="2">
        <v>55.444350850564497</v>
      </c>
      <c r="AA9" s="2">
        <v>289.859615496424</v>
      </c>
      <c r="AB9" s="2">
        <v>3.6344287489339702</v>
      </c>
      <c r="AC9" s="2">
        <v>764.08411430355</v>
      </c>
      <c r="AD9" s="2">
        <v>18.3637238327475</v>
      </c>
      <c r="AE9" s="2">
        <v>0</v>
      </c>
      <c r="AF9" s="2">
        <v>172.65803090428199</v>
      </c>
      <c r="AG9" s="2">
        <v>112.15652886669599</v>
      </c>
      <c r="AH9" s="2">
        <v>29.259791419671199</v>
      </c>
      <c r="AI9" s="2">
        <v>-8.2342397188566796</v>
      </c>
      <c r="AJ9" s="2">
        <v>12489215175.799999</v>
      </c>
      <c r="AK9" s="2">
        <v>7.2796462741899298E-2</v>
      </c>
      <c r="AL9" s="2">
        <v>26397</v>
      </c>
      <c r="AM9" s="2">
        <f t="shared" si="0"/>
        <v>0.95366683599212809</v>
      </c>
      <c r="AN9" s="3">
        <f t="shared" si="1"/>
        <v>0.83776218776238398</v>
      </c>
      <c r="AO9" s="3">
        <f t="shared" si="2"/>
        <v>0.9626604222813856</v>
      </c>
    </row>
    <row r="10" spans="1:41" x14ac:dyDescent="0.25">
      <c r="A10" s="2">
        <v>9</v>
      </c>
      <c r="B10" s="2">
        <v>85</v>
      </c>
      <c r="C10" s="2">
        <v>0</v>
      </c>
      <c r="D10" s="2">
        <v>0.81044732727891799</v>
      </c>
      <c r="E10" s="2">
        <v>0.89132690057847197</v>
      </c>
      <c r="F10" s="2">
        <v>8.0879573299554502E-2</v>
      </c>
      <c r="G10" s="2">
        <v>5.6180590282108998E-2</v>
      </c>
      <c r="H10" s="2">
        <v>2.11619126509075E-2</v>
      </c>
      <c r="I10" s="2">
        <v>1.8656221468404201E-2</v>
      </c>
      <c r="J10" s="2">
        <v>0.762503622246129</v>
      </c>
      <c r="K10" s="2">
        <v>3.2824553930922297E-2</v>
      </c>
      <c r="L10" s="2">
        <v>19.426858958892499</v>
      </c>
      <c r="M10" s="2">
        <v>5.5167384356534397</v>
      </c>
      <c r="N10" s="2">
        <v>75.056402605453997</v>
      </c>
      <c r="O10" s="2">
        <v>33.475807122339901</v>
      </c>
      <c r="P10" s="2">
        <v>47.808669981235397</v>
      </c>
      <c r="Q10" s="2">
        <v>18.715522896424599</v>
      </c>
      <c r="R10" s="2">
        <v>0</v>
      </c>
      <c r="S10" s="2">
        <v>47.808669981235397</v>
      </c>
      <c r="T10" s="2">
        <v>0.82336545881098899</v>
      </c>
      <c r="U10" s="2">
        <v>-12.134629608229099</v>
      </c>
      <c r="V10" s="2">
        <v>610.02557337607402</v>
      </c>
      <c r="W10" s="2">
        <v>99.796005904680996</v>
      </c>
      <c r="X10" s="2">
        <v>42.406853510705503</v>
      </c>
      <c r="Y10" s="2">
        <v>61.765734200701402</v>
      </c>
      <c r="Z10" s="2">
        <v>56.9347952002447</v>
      </c>
      <c r="AA10" s="2">
        <v>288.07837433246101</v>
      </c>
      <c r="AB10" s="2">
        <v>3.8347179066736499</v>
      </c>
      <c r="AC10" s="2">
        <v>761.20959531634401</v>
      </c>
      <c r="AD10" s="2">
        <v>25.198386102334499</v>
      </c>
      <c r="AE10" s="2">
        <v>0</v>
      </c>
      <c r="AF10" s="2">
        <v>171.466601042637</v>
      </c>
      <c r="AG10" s="2">
        <v>112.082359774555</v>
      </c>
      <c r="AH10" s="2">
        <v>30.860305911952199</v>
      </c>
      <c r="AI10" s="2">
        <v>-0.109281864017962</v>
      </c>
      <c r="AJ10" s="2">
        <v>19257355422.799999</v>
      </c>
      <c r="AK10" s="2">
        <v>6.8375746451189795E-2</v>
      </c>
      <c r="AL10" s="2">
        <v>44794</v>
      </c>
      <c r="AM10" s="2">
        <f t="shared" ref="AM10:AM31" si="3">D10/E10</f>
        <v>0.90925936012133923</v>
      </c>
      <c r="AN10" s="3">
        <f t="shared" ref="AN10:AN31" si="4">E10-K10</f>
        <v>0.85850234664754965</v>
      </c>
      <c r="AO10" s="3">
        <f t="shared" ref="AO10:AO31" si="5">D10/(E10-K10)</f>
        <v>0.94402459171336406</v>
      </c>
    </row>
    <row r="11" spans="1:41" x14ac:dyDescent="0.25">
      <c r="A11" s="2">
        <v>10</v>
      </c>
      <c r="B11" s="2">
        <v>110</v>
      </c>
      <c r="C11" s="2">
        <v>-200</v>
      </c>
      <c r="D11" s="2">
        <v>0</v>
      </c>
      <c r="E11" s="2">
        <v>0.54662159786949704</v>
      </c>
      <c r="F11" s="2">
        <v>0.54662159786949704</v>
      </c>
      <c r="G11" s="2">
        <v>4.63679339383231E-2</v>
      </c>
      <c r="H11" s="2">
        <v>7.0095480037455603E-3</v>
      </c>
      <c r="I11" s="2">
        <v>2.1767076002008798E-3</v>
      </c>
      <c r="J11" s="2">
        <v>0.491062550943694</v>
      </c>
      <c r="K11" s="3">
        <v>4.8573835333944901E-6</v>
      </c>
      <c r="L11" s="2">
        <v>0</v>
      </c>
      <c r="M11" s="2">
        <v>0</v>
      </c>
      <c r="N11" s="2">
        <v>100</v>
      </c>
      <c r="O11" s="2">
        <v>100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-207.20459285984401</v>
      </c>
      <c r="V11" s="2">
        <v>0</v>
      </c>
      <c r="W11" s="2">
        <v>100</v>
      </c>
      <c r="X11" s="2">
        <v>69.034099070848399</v>
      </c>
      <c r="Y11" s="2">
        <v>93.667049464276602</v>
      </c>
      <c r="Z11" s="2">
        <v>49.998468904423603</v>
      </c>
      <c r="AA11" s="2">
        <v>310.00153109557601</v>
      </c>
      <c r="AB11" s="2">
        <v>2.5</v>
      </c>
      <c r="AC11" s="2">
        <v>647</v>
      </c>
      <c r="AD11" s="2">
        <v>0</v>
      </c>
      <c r="AE11" s="2">
        <v>0</v>
      </c>
      <c r="AF11" s="2">
        <v>168.031419440147</v>
      </c>
      <c r="AG11" s="2">
        <v>111.599770264516</v>
      </c>
      <c r="AH11" s="2">
        <v>24.7665912739647</v>
      </c>
      <c r="AI11" s="2">
        <v>-110.7</v>
      </c>
      <c r="AJ11" s="2">
        <v>281105.90000000002</v>
      </c>
      <c r="AK11" s="2">
        <v>0</v>
      </c>
      <c r="AL11" s="2">
        <v>3</v>
      </c>
      <c r="AM11" s="2">
        <f t="shared" si="3"/>
        <v>0</v>
      </c>
      <c r="AN11" s="3">
        <f t="shared" si="4"/>
        <v>0.54661674048596365</v>
      </c>
      <c r="AO11" s="3">
        <f t="shared" si="5"/>
        <v>0</v>
      </c>
    </row>
    <row r="12" spans="1:41" x14ac:dyDescent="0.25">
      <c r="A12" s="2">
        <v>11</v>
      </c>
      <c r="B12" s="2">
        <v>110</v>
      </c>
      <c r="C12" s="2">
        <v>-175</v>
      </c>
      <c r="D12" s="2">
        <v>0</v>
      </c>
      <c r="E12" s="2">
        <v>0.60766958607239996</v>
      </c>
      <c r="F12" s="2">
        <v>0.60766958607239996</v>
      </c>
      <c r="G12" s="2">
        <v>4.8980707494848098E-2</v>
      </c>
      <c r="H12" s="2">
        <v>7.0621007871939402E-3</v>
      </c>
      <c r="I12" s="2">
        <v>3.6704158550267701E-3</v>
      </c>
      <c r="J12" s="2">
        <v>0.54795160426586298</v>
      </c>
      <c r="K12" s="3">
        <v>4.7576694677021104E-6</v>
      </c>
      <c r="L12" s="2">
        <v>17.796536668190399</v>
      </c>
      <c r="M12" s="2">
        <v>0</v>
      </c>
      <c r="N12" s="2">
        <v>82.203463331809601</v>
      </c>
      <c r="O12" s="2">
        <v>82.203463331809601</v>
      </c>
      <c r="P12" s="2">
        <v>17.796536668190399</v>
      </c>
      <c r="Q12" s="2">
        <v>0</v>
      </c>
      <c r="R12" s="2">
        <v>0</v>
      </c>
      <c r="S12" s="2">
        <v>17.796536668190399</v>
      </c>
      <c r="T12" s="2">
        <v>5.3389610004571098E-2</v>
      </c>
      <c r="U12" s="2">
        <v>-187.85595102234799</v>
      </c>
      <c r="V12" s="2">
        <v>0</v>
      </c>
      <c r="W12" s="2">
        <v>100</v>
      </c>
      <c r="X12" s="2">
        <v>63.328055328524499</v>
      </c>
      <c r="Y12" s="2">
        <v>90.624981691238403</v>
      </c>
      <c r="Z12" s="2">
        <v>55.701480454207697</v>
      </c>
      <c r="AA12" s="2">
        <v>303.94258881242803</v>
      </c>
      <c r="AB12" s="2">
        <v>2.5533896100045701</v>
      </c>
      <c r="AC12" s="2">
        <v>662.48298690132594</v>
      </c>
      <c r="AD12" s="2">
        <v>0</v>
      </c>
      <c r="AE12" s="2">
        <v>0</v>
      </c>
      <c r="AF12" s="2">
        <v>172.987487515748</v>
      </c>
      <c r="AG12" s="2">
        <v>112.11597718783599</v>
      </c>
      <c r="AH12" s="2">
        <v>25.3284846496245</v>
      </c>
      <c r="AI12" s="2">
        <v>-106.944930763012</v>
      </c>
      <c r="AJ12" s="2">
        <v>451969.4</v>
      </c>
      <c r="AK12" s="2">
        <v>0</v>
      </c>
      <c r="AL12" s="2">
        <v>5</v>
      </c>
      <c r="AM12" s="2">
        <f t="shared" si="3"/>
        <v>0</v>
      </c>
      <c r="AN12" s="3">
        <f t="shared" si="4"/>
        <v>0.60766482840293223</v>
      </c>
      <c r="AO12" s="3">
        <f t="shared" si="5"/>
        <v>0</v>
      </c>
    </row>
    <row r="13" spans="1:41" x14ac:dyDescent="0.25">
      <c r="A13" s="2">
        <v>12</v>
      </c>
      <c r="B13" s="2">
        <v>110</v>
      </c>
      <c r="C13" s="2">
        <v>-150</v>
      </c>
      <c r="D13" s="2">
        <v>0.80176924152882501</v>
      </c>
      <c r="E13" s="2">
        <v>0.568775123138898</v>
      </c>
      <c r="F13" s="2">
        <v>-0.23299411838992701</v>
      </c>
      <c r="G13" s="2">
        <v>5.3300346999833402E-2</v>
      </c>
      <c r="H13" s="2">
        <v>5.90533291641125E-3</v>
      </c>
      <c r="I13" s="2">
        <v>3.6613384671602702E-3</v>
      </c>
      <c r="J13" s="2">
        <v>0.50590347371477395</v>
      </c>
      <c r="K13" s="3">
        <v>4.6310407197566996E-6</v>
      </c>
      <c r="L13" s="2">
        <v>57.830990067897297</v>
      </c>
      <c r="M13" s="2">
        <v>0</v>
      </c>
      <c r="N13" s="2">
        <v>42.169009932102703</v>
      </c>
      <c r="O13" s="2">
        <v>49.010422149699998</v>
      </c>
      <c r="P13" s="2">
        <v>41.707540237676703</v>
      </c>
      <c r="Q13" s="2">
        <v>9.2820376126232897</v>
      </c>
      <c r="R13" s="2">
        <v>0</v>
      </c>
      <c r="S13" s="2">
        <v>41.707540237676703</v>
      </c>
      <c r="T13" s="2">
        <v>8.9880487320662297E-2</v>
      </c>
      <c r="U13" s="2">
        <v>-159.03651918454599</v>
      </c>
      <c r="V13" s="2">
        <v>0</v>
      </c>
      <c r="W13" s="2">
        <v>100</v>
      </c>
      <c r="X13" s="2">
        <v>60.509717753423899</v>
      </c>
      <c r="Y13" s="2">
        <v>87.122493776337507</v>
      </c>
      <c r="Z13" s="2">
        <v>55.643546372113697</v>
      </c>
      <c r="AA13" s="2">
        <v>295.22711018382302</v>
      </c>
      <c r="AB13" s="2">
        <v>2.8455322114736199</v>
      </c>
      <c r="AC13" s="2">
        <v>723.18690189669303</v>
      </c>
      <c r="AD13" s="2">
        <v>5.8011329727239298</v>
      </c>
      <c r="AE13" s="2">
        <v>0</v>
      </c>
      <c r="AF13" s="2">
        <v>172.85268779200601</v>
      </c>
      <c r="AG13" s="2">
        <v>112.034770238642</v>
      </c>
      <c r="AH13" s="2">
        <v>26.372850506749501</v>
      </c>
      <c r="AI13" s="2">
        <v>-82.086953698355401</v>
      </c>
      <c r="AJ13" s="2">
        <v>3028281.2</v>
      </c>
      <c r="AK13" s="2">
        <v>3.2879311436662097E-2</v>
      </c>
      <c r="AL13" s="2">
        <v>34</v>
      </c>
      <c r="AM13" s="2">
        <f t="shared" si="3"/>
        <v>1.4096418934500914</v>
      </c>
      <c r="AN13" s="3">
        <f t="shared" si="4"/>
        <v>0.5687704920981782</v>
      </c>
      <c r="AO13" s="3">
        <f t="shared" si="5"/>
        <v>1.4096533710304151</v>
      </c>
    </row>
    <row r="14" spans="1:41" x14ac:dyDescent="0.25">
      <c r="A14" s="2">
        <v>13</v>
      </c>
      <c r="B14" s="2">
        <v>110</v>
      </c>
      <c r="C14" s="2">
        <v>-125</v>
      </c>
      <c r="D14" s="2">
        <v>0.25302944818212397</v>
      </c>
      <c r="E14" s="2">
        <v>0.57272117826555202</v>
      </c>
      <c r="F14" s="2">
        <v>0.31969173008342799</v>
      </c>
      <c r="G14" s="2">
        <v>5.3406671805442403E-2</v>
      </c>
      <c r="H14" s="2">
        <v>1.2341066679004999E-2</v>
      </c>
      <c r="I14" s="2">
        <v>2.0213857345606199E-3</v>
      </c>
      <c r="J14" s="2">
        <v>0.50494757092667097</v>
      </c>
      <c r="K14" s="3">
        <v>4.4831198731297501E-6</v>
      </c>
      <c r="L14" s="2">
        <v>83.966698303978404</v>
      </c>
      <c r="M14" s="2">
        <v>0</v>
      </c>
      <c r="N14" s="2">
        <v>16.033301696021599</v>
      </c>
      <c r="O14" s="2">
        <v>33.427654699401401</v>
      </c>
      <c r="P14" s="2">
        <v>48.9145783645438</v>
      </c>
      <c r="Q14" s="2">
        <v>17.657766936054902</v>
      </c>
      <c r="R14" s="2">
        <v>0</v>
      </c>
      <c r="S14" s="2">
        <v>48.9145783645438</v>
      </c>
      <c r="T14" s="2">
        <v>0.45246401073861098</v>
      </c>
      <c r="U14" s="2">
        <v>-132.54582865496999</v>
      </c>
      <c r="V14" s="2">
        <v>0</v>
      </c>
      <c r="W14" s="2">
        <v>100</v>
      </c>
      <c r="X14" s="2">
        <v>49.067080431801003</v>
      </c>
      <c r="Y14" s="2">
        <v>86.202490697047196</v>
      </c>
      <c r="Z14" s="2">
        <v>55.183464287790699</v>
      </c>
      <c r="AA14" s="2">
        <v>294.58475753983203</v>
      </c>
      <c r="AB14" s="2">
        <v>3.17785731742274</v>
      </c>
      <c r="AC14" s="2">
        <v>770.92692054736904</v>
      </c>
      <c r="AD14" s="2">
        <v>23.143832190021399</v>
      </c>
      <c r="AE14" s="2">
        <v>0</v>
      </c>
      <c r="AF14" s="2">
        <v>173.08843463272899</v>
      </c>
      <c r="AG14" s="2">
        <v>111.964218999743</v>
      </c>
      <c r="AH14" s="2">
        <v>24.1689743886642</v>
      </c>
      <c r="AI14" s="2">
        <v>-44.501821897331901</v>
      </c>
      <c r="AJ14" s="2">
        <v>38934197.200000003</v>
      </c>
      <c r="AK14" s="2">
        <v>2.9593213071887E-2</v>
      </c>
      <c r="AL14" s="2">
        <v>287</v>
      </c>
      <c r="AM14" s="2">
        <f t="shared" si="3"/>
        <v>0.44180215047819049</v>
      </c>
      <c r="AN14" s="3">
        <f t="shared" si="4"/>
        <v>0.57271669514567891</v>
      </c>
      <c r="AO14" s="3">
        <f t="shared" si="5"/>
        <v>0.4418056088233332</v>
      </c>
    </row>
    <row r="15" spans="1:41" x14ac:dyDescent="0.25">
      <c r="A15" s="2">
        <v>14</v>
      </c>
      <c r="B15" s="2">
        <v>110</v>
      </c>
      <c r="C15" s="2">
        <v>-100</v>
      </c>
      <c r="D15" s="2">
        <v>0.75244089264952396</v>
      </c>
      <c r="E15" s="2">
        <v>0.61554595617163999</v>
      </c>
      <c r="F15" s="2">
        <v>-0.136894936477884</v>
      </c>
      <c r="G15" s="2">
        <v>5.3052300951822201E-2</v>
      </c>
      <c r="H15" s="2">
        <v>1.0660960708529E-2</v>
      </c>
      <c r="I15" s="2">
        <v>3.3213510972897298E-3</v>
      </c>
      <c r="J15" s="2">
        <v>0.54850685294648005</v>
      </c>
      <c r="K15" s="3">
        <v>4.4904675185158597E-6</v>
      </c>
      <c r="L15" s="2">
        <v>74.448578715400402</v>
      </c>
      <c r="M15" s="2">
        <v>0.86415655159891802</v>
      </c>
      <c r="N15" s="2">
        <v>24.6872647330006</v>
      </c>
      <c r="O15" s="2">
        <v>31.936019104411901</v>
      </c>
      <c r="P15" s="2">
        <v>49.838268905195498</v>
      </c>
      <c r="Q15" s="2">
        <v>18.225711990392501</v>
      </c>
      <c r="R15" s="2">
        <v>0</v>
      </c>
      <c r="S15" s="2">
        <v>49.838268905195498</v>
      </c>
      <c r="T15" s="2">
        <v>0.40306770099728501</v>
      </c>
      <c r="U15" s="2">
        <v>-109.106691287779</v>
      </c>
      <c r="V15" s="2">
        <v>9.9487260708367893E-3</v>
      </c>
      <c r="W15" s="2">
        <v>100</v>
      </c>
      <c r="X15" s="2">
        <v>47.063677881907303</v>
      </c>
      <c r="Y15" s="2">
        <v>86.968528140722995</v>
      </c>
      <c r="Z15" s="2">
        <v>54.472007097760397</v>
      </c>
      <c r="AA15" s="2">
        <v>295.09692175902097</v>
      </c>
      <c r="AB15" s="2">
        <v>3.2892196940216398</v>
      </c>
      <c r="AC15" s="2">
        <v>769.70416928609995</v>
      </c>
      <c r="AD15" s="2">
        <v>18.166442326877799</v>
      </c>
      <c r="AE15" s="2">
        <v>0</v>
      </c>
      <c r="AF15" s="2">
        <v>172.167942833209</v>
      </c>
      <c r="AG15" s="2">
        <v>111.967183362949</v>
      </c>
      <c r="AH15" s="2">
        <v>25.3235023748428</v>
      </c>
      <c r="AI15" s="2">
        <v>-33.512913085788099</v>
      </c>
      <c r="AJ15" s="2">
        <v>389401989</v>
      </c>
      <c r="AK15" s="2">
        <v>7.7136589217746104E-2</v>
      </c>
      <c r="AL15" s="2">
        <v>1566</v>
      </c>
      <c r="AM15" s="2">
        <f t="shared" si="3"/>
        <v>1.2223959642742124</v>
      </c>
      <c r="AN15" s="3">
        <f t="shared" si="4"/>
        <v>0.61554146570412149</v>
      </c>
      <c r="AO15" s="3">
        <f t="shared" si="5"/>
        <v>1.2224048818365183</v>
      </c>
    </row>
    <row r="16" spans="1:41" x14ac:dyDescent="0.25">
      <c r="A16" s="2">
        <v>15</v>
      </c>
      <c r="B16" s="2">
        <v>110</v>
      </c>
      <c r="C16" s="2">
        <v>-75</v>
      </c>
      <c r="D16" s="2">
        <v>0.65044724919582397</v>
      </c>
      <c r="E16" s="2">
        <v>0.65888719440166199</v>
      </c>
      <c r="F16" s="2">
        <v>8.4399452058387808E-3</v>
      </c>
      <c r="G16" s="2">
        <v>5.3363711527853901E-2</v>
      </c>
      <c r="H16" s="2">
        <v>1.3423727363805E-2</v>
      </c>
      <c r="I16" s="2">
        <v>5.3931644941439504E-3</v>
      </c>
      <c r="J16" s="2">
        <v>0.58670206509041201</v>
      </c>
      <c r="K16" s="3">
        <v>4.5259254478081302E-6</v>
      </c>
      <c r="L16" s="2">
        <v>50.072387204296902</v>
      </c>
      <c r="M16" s="2">
        <v>3.0527066701913501</v>
      </c>
      <c r="N16" s="2">
        <v>46.8749061255117</v>
      </c>
      <c r="O16" s="2">
        <v>37.183296944002798</v>
      </c>
      <c r="P16" s="2">
        <v>45.253815347944297</v>
      </c>
      <c r="Q16" s="2">
        <v>17.562887708052799</v>
      </c>
      <c r="R16" s="2">
        <v>0</v>
      </c>
      <c r="S16" s="2">
        <v>45.253815347944297</v>
      </c>
      <c r="T16" s="2">
        <v>0.51949728893677705</v>
      </c>
      <c r="U16" s="2">
        <v>-84.548010978192707</v>
      </c>
      <c r="V16" s="2">
        <v>0.83296027771130599</v>
      </c>
      <c r="W16" s="2">
        <v>99.901220030488403</v>
      </c>
      <c r="X16" s="2">
        <v>46.161522135691399</v>
      </c>
      <c r="Y16" s="2">
        <v>87.497895051444502</v>
      </c>
      <c r="Z16" s="2">
        <v>54.355209172708697</v>
      </c>
      <c r="AA16" s="2">
        <v>294.33407244846597</v>
      </c>
      <c r="AB16" s="2">
        <v>3.3795906791218102</v>
      </c>
      <c r="AC16" s="2">
        <v>769.52045893491595</v>
      </c>
      <c r="AD16" s="2">
        <v>13.6493673519828</v>
      </c>
      <c r="AE16" s="2">
        <v>0</v>
      </c>
      <c r="AF16" s="2">
        <v>172.09295264574899</v>
      </c>
      <c r="AG16" s="2">
        <v>111.993484063598</v>
      </c>
      <c r="AH16" s="2">
        <v>26.3081190515766</v>
      </c>
      <c r="AI16" s="2">
        <v>-25.288510689786001</v>
      </c>
      <c r="AJ16" s="2">
        <v>2131329860</v>
      </c>
      <c r="AK16" s="2">
        <v>5.6601734467234398E-2</v>
      </c>
      <c r="AL16" s="2">
        <v>4584</v>
      </c>
      <c r="AM16" s="2">
        <f t="shared" si="3"/>
        <v>0.98719060671151404</v>
      </c>
      <c r="AN16" s="3">
        <f t="shared" si="4"/>
        <v>0.65888266847621413</v>
      </c>
      <c r="AO16" s="3">
        <f t="shared" si="5"/>
        <v>0.98719738781428479</v>
      </c>
    </row>
    <row r="17" spans="1:41" x14ac:dyDescent="0.25">
      <c r="A17" s="2">
        <v>16</v>
      </c>
      <c r="B17" s="2">
        <v>110</v>
      </c>
      <c r="C17" s="2">
        <v>-50</v>
      </c>
      <c r="D17" s="2">
        <v>0.72985987709783395</v>
      </c>
      <c r="E17" s="2">
        <v>0.71215687655178905</v>
      </c>
      <c r="F17" s="2">
        <v>-1.77030005460455E-2</v>
      </c>
      <c r="G17" s="2">
        <v>5.4040502480541E-2</v>
      </c>
      <c r="H17" s="2">
        <v>1.40372855628866E-2</v>
      </c>
      <c r="I17" s="2">
        <v>7.9302632368706098E-3</v>
      </c>
      <c r="J17" s="2">
        <v>0.635259456114595</v>
      </c>
      <c r="K17" s="2">
        <v>8.8936915689537103E-4</v>
      </c>
      <c r="L17" s="2">
        <v>24.243944927546501</v>
      </c>
      <c r="M17" s="2">
        <v>4.9944077619737604</v>
      </c>
      <c r="N17" s="2">
        <v>70.761647310479702</v>
      </c>
      <c r="O17" s="2">
        <v>37.621622661630902</v>
      </c>
      <c r="P17" s="2">
        <v>43.759389780965101</v>
      </c>
      <c r="Q17" s="2">
        <v>18.618987557404001</v>
      </c>
      <c r="R17" s="2">
        <v>0</v>
      </c>
      <c r="S17" s="2">
        <v>43.759389780965101</v>
      </c>
      <c r="T17" s="2">
        <v>0.54793201363204003</v>
      </c>
      <c r="U17" s="2">
        <v>-60.155465757624299</v>
      </c>
      <c r="V17" s="2">
        <v>41.1911176437861</v>
      </c>
      <c r="W17" s="2">
        <v>99.930393776992702</v>
      </c>
      <c r="X17" s="2">
        <v>45.002144005862696</v>
      </c>
      <c r="Y17" s="2">
        <v>87.7135980045596</v>
      </c>
      <c r="Z17" s="2">
        <v>54.653924253228801</v>
      </c>
      <c r="AA17" s="2">
        <v>292.862980175671</v>
      </c>
      <c r="AB17" s="2">
        <v>3.4648593633359601</v>
      </c>
      <c r="AC17" s="2">
        <v>769.24198406975495</v>
      </c>
      <c r="AD17" s="2">
        <v>12.487337267826801</v>
      </c>
      <c r="AE17" s="2">
        <v>0</v>
      </c>
      <c r="AF17" s="2">
        <v>172.157489911471</v>
      </c>
      <c r="AG17" s="2">
        <v>112.028602905019</v>
      </c>
      <c r="AH17" s="2">
        <v>26.941508321496102</v>
      </c>
      <c r="AI17" s="2">
        <v>-19.791979300947101</v>
      </c>
      <c r="AJ17" s="2">
        <v>9804881201.8999996</v>
      </c>
      <c r="AK17" s="2">
        <v>6.3209988520325902E-2</v>
      </c>
      <c r="AL17" s="2">
        <v>12675</v>
      </c>
      <c r="AM17" s="2">
        <f t="shared" si="3"/>
        <v>1.0248582877297507</v>
      </c>
      <c r="AN17" s="3">
        <f t="shared" si="4"/>
        <v>0.71126750739489364</v>
      </c>
      <c r="AO17" s="3">
        <f t="shared" si="5"/>
        <v>1.0261397709154987</v>
      </c>
    </row>
    <row r="18" spans="1:41" x14ac:dyDescent="0.25">
      <c r="A18" s="2">
        <v>17</v>
      </c>
      <c r="B18" s="2">
        <v>110</v>
      </c>
      <c r="C18" s="2">
        <v>-25</v>
      </c>
      <c r="D18" s="2">
        <v>0.76100283757500198</v>
      </c>
      <c r="E18" s="2">
        <v>0.823205123181034</v>
      </c>
      <c r="F18" s="2">
        <v>6.22022856060312E-2</v>
      </c>
      <c r="G18" s="2">
        <v>5.4717276807742403E-2</v>
      </c>
      <c r="H18" s="2">
        <v>1.50835880436572E-2</v>
      </c>
      <c r="I18" s="2">
        <v>1.2372355354687101E-2</v>
      </c>
      <c r="J18" s="2">
        <v>0.71752638098864496</v>
      </c>
      <c r="K18" s="2">
        <v>2.3505521986301799E-2</v>
      </c>
      <c r="L18" s="2">
        <v>16.3887304492285</v>
      </c>
      <c r="M18" s="2">
        <v>5.6112859430913096</v>
      </c>
      <c r="N18" s="2">
        <v>77.999983607680207</v>
      </c>
      <c r="O18" s="2">
        <v>34.777079231226601</v>
      </c>
      <c r="P18" s="2">
        <v>45.994992937348997</v>
      </c>
      <c r="Q18" s="2">
        <v>19.227927831424399</v>
      </c>
      <c r="R18" s="2">
        <v>0</v>
      </c>
      <c r="S18" s="2">
        <v>45.994992937348997</v>
      </c>
      <c r="T18" s="2">
        <v>0.58928936341588301</v>
      </c>
      <c r="U18" s="2">
        <v>-36.465247146552102</v>
      </c>
      <c r="V18" s="2">
        <v>175.337516746239</v>
      </c>
      <c r="W18" s="2">
        <v>99.907234126993004</v>
      </c>
      <c r="X18" s="2">
        <v>44.389140355418299</v>
      </c>
      <c r="Y18" s="2">
        <v>87.741084643174005</v>
      </c>
      <c r="Z18" s="2">
        <v>55.471342636672397</v>
      </c>
      <c r="AA18" s="2">
        <v>291.36006241955403</v>
      </c>
      <c r="AB18" s="2">
        <v>3.5987004215306801</v>
      </c>
      <c r="AC18" s="2">
        <v>766.52120372936702</v>
      </c>
      <c r="AD18" s="2">
        <v>17.155410617195699</v>
      </c>
      <c r="AE18" s="2">
        <v>0</v>
      </c>
      <c r="AF18" s="2">
        <v>172.76572381701999</v>
      </c>
      <c r="AG18" s="2">
        <v>112.171236798758</v>
      </c>
      <c r="AH18" s="2">
        <v>29.362447188840299</v>
      </c>
      <c r="AI18" s="2">
        <v>-11.465634858376101</v>
      </c>
      <c r="AJ18" s="2">
        <v>22377089045.799999</v>
      </c>
      <c r="AK18" s="2">
        <v>6.2466694707947697E-2</v>
      </c>
      <c r="AL18" s="2">
        <v>27122</v>
      </c>
      <c r="AM18" s="2">
        <f t="shared" si="3"/>
        <v>0.92443889881823182</v>
      </c>
      <c r="AN18" s="3">
        <f t="shared" si="4"/>
        <v>0.79969960119473216</v>
      </c>
      <c r="AO18" s="3">
        <f t="shared" si="5"/>
        <v>0.95161087543132683</v>
      </c>
    </row>
    <row r="19" spans="1:41" x14ac:dyDescent="0.25">
      <c r="A19" s="2">
        <v>18</v>
      </c>
      <c r="B19" s="2">
        <v>110</v>
      </c>
      <c r="C19" s="2">
        <v>0</v>
      </c>
      <c r="D19" s="2">
        <v>0.848410062723989</v>
      </c>
      <c r="E19" s="2">
        <v>0.87831352489404402</v>
      </c>
      <c r="F19" s="2">
        <v>2.9903462170055101E-2</v>
      </c>
      <c r="G19" s="2">
        <v>5.5341044292947103E-2</v>
      </c>
      <c r="H19" s="2">
        <v>1.83644251134456E-2</v>
      </c>
      <c r="I19" s="2">
        <v>1.7924018032675501E-2</v>
      </c>
      <c r="J19" s="2">
        <v>0.72843689613390195</v>
      </c>
      <c r="K19" s="2">
        <v>5.8247141321073601E-2</v>
      </c>
      <c r="L19" s="2">
        <v>14.0043302605833</v>
      </c>
      <c r="M19" s="2">
        <v>5.3591052667105901</v>
      </c>
      <c r="N19" s="2">
        <v>80.636564472706098</v>
      </c>
      <c r="O19" s="2">
        <v>30.189865914404599</v>
      </c>
      <c r="P19" s="2">
        <v>50.151885823807298</v>
      </c>
      <c r="Q19" s="2">
        <v>19.658248261788199</v>
      </c>
      <c r="R19" s="2">
        <v>0</v>
      </c>
      <c r="S19" s="2">
        <v>50.151885823807298</v>
      </c>
      <c r="T19" s="2">
        <v>0.698434910783302</v>
      </c>
      <c r="U19" s="2">
        <v>-12.247768305608099</v>
      </c>
      <c r="V19" s="2">
        <v>595.80515136802501</v>
      </c>
      <c r="W19" s="2">
        <v>99.890332975922405</v>
      </c>
      <c r="X19" s="2">
        <v>44.236294989652301</v>
      </c>
      <c r="Y19" s="2">
        <v>87.737973920549607</v>
      </c>
      <c r="Z19" s="2">
        <v>57.143205704203901</v>
      </c>
      <c r="AA19" s="2">
        <v>289.97642692678198</v>
      </c>
      <c r="AB19" s="2">
        <v>3.80214272916677</v>
      </c>
      <c r="AC19" s="2">
        <v>763.25766661180899</v>
      </c>
      <c r="AD19" s="2">
        <v>22.559189361456301</v>
      </c>
      <c r="AE19" s="2">
        <v>0</v>
      </c>
      <c r="AF19" s="2">
        <v>171.33538682279499</v>
      </c>
      <c r="AG19" s="2">
        <v>112.07608149190899</v>
      </c>
      <c r="AH19" s="2">
        <v>31.050488103194201</v>
      </c>
      <c r="AI19" s="2">
        <v>-4.4897141953497997</v>
      </c>
      <c r="AJ19" s="2">
        <v>32301586823.700001</v>
      </c>
      <c r="AK19" s="2">
        <v>6.7879032958837196E-2</v>
      </c>
      <c r="AL19" s="2">
        <v>46475</v>
      </c>
      <c r="AM19" s="2">
        <f t="shared" si="3"/>
        <v>0.96595354469389227</v>
      </c>
      <c r="AN19" s="3">
        <f t="shared" si="4"/>
        <v>0.82006638357297046</v>
      </c>
      <c r="AO19" s="3">
        <f t="shared" si="5"/>
        <v>1.0345626643388639</v>
      </c>
    </row>
    <row r="20" spans="1:41" x14ac:dyDescent="0.25">
      <c r="A20" s="2">
        <v>19</v>
      </c>
      <c r="B20" s="2">
        <v>150</v>
      </c>
      <c r="C20" s="2">
        <v>-200</v>
      </c>
      <c r="D20" s="2">
        <v>0</v>
      </c>
      <c r="E20" s="2">
        <v>0.44493080674499402</v>
      </c>
      <c r="F20" s="2">
        <v>0.44493080674499402</v>
      </c>
      <c r="G20" s="2">
        <v>5.2374562962963001E-2</v>
      </c>
      <c r="H20" s="2">
        <v>6.6130836168570297E-4</v>
      </c>
      <c r="I20" s="3">
        <v>2.3678062319048701E-5</v>
      </c>
      <c r="J20" s="2">
        <v>0.391866619227694</v>
      </c>
      <c r="K20" s="3">
        <v>4.6381303316231602E-6</v>
      </c>
      <c r="L20" s="2">
        <v>100</v>
      </c>
      <c r="M20" s="2">
        <v>0</v>
      </c>
      <c r="N20" s="2">
        <v>0</v>
      </c>
      <c r="O20" s="2">
        <v>0</v>
      </c>
      <c r="P20" s="2">
        <v>100</v>
      </c>
      <c r="Q20" s="2">
        <v>0</v>
      </c>
      <c r="R20" s="2">
        <v>0</v>
      </c>
      <c r="S20" s="2">
        <v>100</v>
      </c>
      <c r="T20" s="2">
        <v>0</v>
      </c>
      <c r="U20" s="2">
        <v>-202.1</v>
      </c>
      <c r="V20" s="2">
        <v>0</v>
      </c>
      <c r="W20" s="2">
        <v>100</v>
      </c>
      <c r="X20" s="2">
        <v>41.5</v>
      </c>
      <c r="Y20" s="2">
        <v>128.80000000000001</v>
      </c>
      <c r="Z20" s="2">
        <v>64</v>
      </c>
      <c r="AA20" s="2">
        <v>296</v>
      </c>
      <c r="AB20" s="2">
        <v>2.6</v>
      </c>
      <c r="AC20" s="2">
        <v>778</v>
      </c>
      <c r="AD20" s="2">
        <v>100</v>
      </c>
      <c r="AE20" s="2">
        <v>0</v>
      </c>
      <c r="AF20" s="2">
        <v>179.2</v>
      </c>
      <c r="AG20" s="2">
        <v>112.2</v>
      </c>
      <c r="AH20" s="2">
        <v>20.9</v>
      </c>
      <c r="AI20" s="2">
        <v>-107</v>
      </c>
      <c r="AJ20" s="2">
        <v>128882.9</v>
      </c>
      <c r="AK20" s="2" t="s">
        <v>50</v>
      </c>
      <c r="AL20" s="2">
        <v>1</v>
      </c>
      <c r="AM20" s="2">
        <f t="shared" si="3"/>
        <v>0</v>
      </c>
      <c r="AN20" s="3">
        <f t="shared" si="4"/>
        <v>0.44492616861466239</v>
      </c>
      <c r="AO20" s="3">
        <f t="shared" si="5"/>
        <v>0</v>
      </c>
    </row>
    <row r="21" spans="1:41" x14ac:dyDescent="0.25">
      <c r="A21" s="2">
        <v>20</v>
      </c>
      <c r="B21" s="2">
        <v>150</v>
      </c>
      <c r="C21" s="2">
        <v>-175</v>
      </c>
      <c r="D21" s="2">
        <v>3.0158558698900298E-3</v>
      </c>
      <c r="E21" s="2">
        <v>0.46486791943701999</v>
      </c>
      <c r="F21" s="2">
        <v>0.46185206356712999</v>
      </c>
      <c r="G21" s="2">
        <v>4.8726876647976501E-2</v>
      </c>
      <c r="H21" s="2">
        <v>1.7276102316230899E-3</v>
      </c>
      <c r="I21" s="2">
        <v>3.5750043534567597E-4</v>
      </c>
      <c r="J21" s="2">
        <v>0.41405138067298197</v>
      </c>
      <c r="K21" s="3">
        <v>4.5514490932628202E-6</v>
      </c>
      <c r="L21" s="2">
        <v>88.576303523143807</v>
      </c>
      <c r="M21" s="2">
        <v>0</v>
      </c>
      <c r="N21" s="2">
        <v>11.4236964768562</v>
      </c>
      <c r="O21" s="2">
        <v>11.4236964768562</v>
      </c>
      <c r="P21" s="2">
        <v>88.576303523143807</v>
      </c>
      <c r="Q21" s="2">
        <v>0</v>
      </c>
      <c r="R21" s="2">
        <v>0</v>
      </c>
      <c r="S21" s="2">
        <v>88.576303523143807</v>
      </c>
      <c r="T21" s="2">
        <v>2.64679679540081E-2</v>
      </c>
      <c r="U21" s="2">
        <v>-186.03614616698599</v>
      </c>
      <c r="V21" s="2">
        <v>0</v>
      </c>
      <c r="W21" s="2">
        <v>100</v>
      </c>
      <c r="X21" s="2">
        <v>48.6466334602164</v>
      </c>
      <c r="Y21" s="2">
        <v>129.30280914065699</v>
      </c>
      <c r="Z21" s="2">
        <v>55.1954912753624</v>
      </c>
      <c r="AA21" s="2">
        <v>304.57603479509999</v>
      </c>
      <c r="AB21" s="2">
        <v>2.6062216154924802</v>
      </c>
      <c r="AC21" s="2">
        <v>771.394646733586</v>
      </c>
      <c r="AD21" s="2">
        <v>79.753647538474496</v>
      </c>
      <c r="AE21" s="2">
        <v>0</v>
      </c>
      <c r="AF21" s="2">
        <v>171.86805111117599</v>
      </c>
      <c r="AG21" s="2">
        <v>111.958665939696</v>
      </c>
      <c r="AH21" s="2">
        <v>25.509406906328</v>
      </c>
      <c r="AI21" s="2">
        <v>-106.862025066144</v>
      </c>
      <c r="AJ21" s="2">
        <v>1158048.1000000001</v>
      </c>
      <c r="AK21" s="3">
        <v>8.7999999999999998E-5</v>
      </c>
      <c r="AL21" s="2">
        <v>9</v>
      </c>
      <c r="AM21" s="2">
        <f t="shared" si="3"/>
        <v>6.4875543004610714E-3</v>
      </c>
      <c r="AN21" s="3">
        <f t="shared" si="4"/>
        <v>0.46486336798792671</v>
      </c>
      <c r="AO21" s="3">
        <f t="shared" si="5"/>
        <v>6.4876178197124726E-3</v>
      </c>
    </row>
    <row r="22" spans="1:41" x14ac:dyDescent="0.25">
      <c r="A22" s="2">
        <v>21</v>
      </c>
      <c r="B22" s="2">
        <v>150</v>
      </c>
      <c r="C22" s="2">
        <v>-150</v>
      </c>
      <c r="D22" s="2">
        <v>1.4011899431400699E-2</v>
      </c>
      <c r="E22" s="2">
        <v>0.533815946029357</v>
      </c>
      <c r="F22" s="2">
        <v>0.51980404659795598</v>
      </c>
      <c r="G22" s="2">
        <v>5.1433237781396697E-2</v>
      </c>
      <c r="H22" s="2">
        <v>7.0348562869350598E-3</v>
      </c>
      <c r="I22" s="2">
        <v>6.5110316740395304E-3</v>
      </c>
      <c r="J22" s="2">
        <v>0.468831565497842</v>
      </c>
      <c r="K22" s="3">
        <v>5.25478914331619E-6</v>
      </c>
      <c r="L22" s="2">
        <v>46.245221253371199</v>
      </c>
      <c r="M22" s="2">
        <v>0</v>
      </c>
      <c r="N22" s="2">
        <v>53.754778746628801</v>
      </c>
      <c r="O22" s="2">
        <v>51.6517079900064</v>
      </c>
      <c r="P22" s="2">
        <v>33.645855523879</v>
      </c>
      <c r="Q22" s="2">
        <v>14.702436486114699</v>
      </c>
      <c r="R22" s="2">
        <v>0</v>
      </c>
      <c r="S22" s="2">
        <v>33.645855523879</v>
      </c>
      <c r="T22" s="2">
        <v>0.186571316806347</v>
      </c>
      <c r="U22" s="2">
        <v>-160.11096525009199</v>
      </c>
      <c r="V22" s="2">
        <v>0</v>
      </c>
      <c r="W22" s="2">
        <v>100</v>
      </c>
      <c r="X22" s="2">
        <v>57.741150102339901</v>
      </c>
      <c r="Y22" s="2">
        <v>116.886829500019</v>
      </c>
      <c r="Z22" s="2">
        <v>55.094196456430097</v>
      </c>
      <c r="AA22" s="2">
        <v>298.94509281752198</v>
      </c>
      <c r="AB22" s="2">
        <v>2.743851515757</v>
      </c>
      <c r="AC22" s="2">
        <v>740.64837394070105</v>
      </c>
      <c r="AD22" s="2">
        <v>21.347281791713201</v>
      </c>
      <c r="AE22" s="2">
        <v>0</v>
      </c>
      <c r="AF22" s="2">
        <v>173.01221755506299</v>
      </c>
      <c r="AG22" s="2">
        <v>112.01504481361199</v>
      </c>
      <c r="AH22" s="2">
        <v>25.3650229063342</v>
      </c>
      <c r="AI22" s="2">
        <v>-99.439555009017994</v>
      </c>
      <c r="AJ22" s="2">
        <v>6808924.5</v>
      </c>
      <c r="AK22" s="2">
        <v>7.9337144618607004E-4</v>
      </c>
      <c r="AL22" s="2">
        <v>56</v>
      </c>
      <c r="AM22" s="2">
        <f t="shared" si="3"/>
        <v>2.6248559144072703E-2</v>
      </c>
      <c r="AN22" s="3">
        <f t="shared" si="4"/>
        <v>0.53381069124021374</v>
      </c>
      <c r="AO22" s="3">
        <f t="shared" si="5"/>
        <v>2.6248817532759705E-2</v>
      </c>
    </row>
    <row r="23" spans="1:41" x14ac:dyDescent="0.25">
      <c r="A23" s="2">
        <v>22</v>
      </c>
      <c r="B23" s="2">
        <v>150</v>
      </c>
      <c r="C23" s="2">
        <v>-125</v>
      </c>
      <c r="D23" s="2">
        <v>0.34242220229353898</v>
      </c>
      <c r="E23" s="2">
        <v>0.56667139882320505</v>
      </c>
      <c r="F23" s="2">
        <v>0.22424919652966699</v>
      </c>
      <c r="G23" s="2">
        <v>5.2225120846529603E-2</v>
      </c>
      <c r="H23" s="2">
        <v>1.05017956880446E-2</v>
      </c>
      <c r="I23" s="2">
        <v>3.6312547109707098E-3</v>
      </c>
      <c r="J23" s="2">
        <v>0.50030778516706098</v>
      </c>
      <c r="K23" s="3">
        <v>5.4424105997417499E-6</v>
      </c>
      <c r="L23" s="2">
        <v>69.905831464695595</v>
      </c>
      <c r="M23" s="2">
        <v>0.66526816396434796</v>
      </c>
      <c r="N23" s="2">
        <v>29.428900371340099</v>
      </c>
      <c r="O23" s="2">
        <v>38.209798282140099</v>
      </c>
      <c r="P23" s="2">
        <v>37.330891070457</v>
      </c>
      <c r="Q23" s="2">
        <v>24.459310647402798</v>
      </c>
      <c r="R23" s="2">
        <v>0</v>
      </c>
      <c r="S23" s="2">
        <v>37.330891070457</v>
      </c>
      <c r="T23" s="2">
        <v>0.36899036464023399</v>
      </c>
      <c r="U23" s="2">
        <v>-133.454078356748</v>
      </c>
      <c r="V23" s="2">
        <v>0</v>
      </c>
      <c r="W23" s="2">
        <v>100</v>
      </c>
      <c r="X23" s="2">
        <v>51.492696574497998</v>
      </c>
      <c r="Y23" s="2">
        <v>115.997151620796</v>
      </c>
      <c r="Z23" s="2">
        <v>54.5035274213935</v>
      </c>
      <c r="AA23" s="2">
        <v>297.16925886117701</v>
      </c>
      <c r="AB23" s="2">
        <v>3.0729634038381399</v>
      </c>
      <c r="AC23" s="2">
        <v>761.09081310020701</v>
      </c>
      <c r="AD23" s="2">
        <v>8.3398117266736609</v>
      </c>
      <c r="AE23" s="2">
        <v>0</v>
      </c>
      <c r="AF23" s="2">
        <v>172.988605433966</v>
      </c>
      <c r="AG23" s="2">
        <v>111.997462786151</v>
      </c>
      <c r="AH23" s="2">
        <v>25.289403596117602</v>
      </c>
      <c r="AI23" s="2">
        <v>-60.649639642356</v>
      </c>
      <c r="AJ23" s="2">
        <v>70280831.900000006</v>
      </c>
      <c r="AK23" s="2">
        <v>5.4394691085635098E-2</v>
      </c>
      <c r="AL23" s="2">
        <v>419</v>
      </c>
      <c r="AM23" s="2">
        <f t="shared" si="3"/>
        <v>0.60426942846355081</v>
      </c>
      <c r="AN23" s="3">
        <f t="shared" si="4"/>
        <v>0.56666595641260531</v>
      </c>
      <c r="AO23" s="3">
        <f t="shared" si="5"/>
        <v>0.60427523202790012</v>
      </c>
    </row>
    <row r="24" spans="1:41" x14ac:dyDescent="0.25">
      <c r="A24" s="2">
        <v>23</v>
      </c>
      <c r="B24" s="2">
        <v>150</v>
      </c>
      <c r="C24" s="2">
        <v>-100</v>
      </c>
      <c r="D24" s="2">
        <v>0.69793278639351697</v>
      </c>
      <c r="E24" s="2">
        <v>0.59791793855197195</v>
      </c>
      <c r="F24" s="2">
        <v>-0.100014847841545</v>
      </c>
      <c r="G24" s="2">
        <v>5.2246843528293403E-2</v>
      </c>
      <c r="H24" s="2">
        <v>9.6663246388279701E-3</v>
      </c>
      <c r="I24" s="2">
        <v>3.20281283681598E-3</v>
      </c>
      <c r="J24" s="2">
        <v>0.53279656610818904</v>
      </c>
      <c r="K24" s="3">
        <v>5.3914398454666899E-6</v>
      </c>
      <c r="L24" s="2">
        <v>65.763236984760198</v>
      </c>
      <c r="M24" s="2">
        <v>1.3530972337104601</v>
      </c>
      <c r="N24" s="2">
        <v>32.883665781529402</v>
      </c>
      <c r="O24" s="2">
        <v>31.653231773521799</v>
      </c>
      <c r="P24" s="2">
        <v>47.887187154116603</v>
      </c>
      <c r="Q24" s="2">
        <v>20.459581072361601</v>
      </c>
      <c r="R24" s="2">
        <v>0</v>
      </c>
      <c r="S24" s="2">
        <v>47.887187154116603</v>
      </c>
      <c r="T24" s="2">
        <v>0.36053501518699999</v>
      </c>
      <c r="U24" s="2">
        <v>-108.755645104797</v>
      </c>
      <c r="V24" s="2">
        <v>2.4938778745157399E-2</v>
      </c>
      <c r="W24" s="2">
        <v>99.849345755983293</v>
      </c>
      <c r="X24" s="2">
        <v>46.842232159094102</v>
      </c>
      <c r="Y24" s="2">
        <v>116.598900609542</v>
      </c>
      <c r="Z24" s="2">
        <v>54.464050626804898</v>
      </c>
      <c r="AA24" s="2">
        <v>296.81223209192302</v>
      </c>
      <c r="AB24" s="2">
        <v>3.2517340590311399</v>
      </c>
      <c r="AC24" s="2">
        <v>770.44401865494399</v>
      </c>
      <c r="AD24" s="2">
        <v>9.7624078402439007</v>
      </c>
      <c r="AE24" s="2">
        <v>0</v>
      </c>
      <c r="AF24" s="2">
        <v>172.11886261998899</v>
      </c>
      <c r="AG24" s="2">
        <v>111.95327128435</v>
      </c>
      <c r="AH24" s="2">
        <v>25.2793415592907</v>
      </c>
      <c r="AI24" s="2">
        <v>-37.547530622483997</v>
      </c>
      <c r="AJ24" s="2">
        <v>723395618.29999995</v>
      </c>
      <c r="AK24" s="2">
        <v>5.9273678942755099E-2</v>
      </c>
      <c r="AL24" s="2">
        <v>1932</v>
      </c>
      <c r="AM24" s="2">
        <f t="shared" si="3"/>
        <v>1.167271863566695</v>
      </c>
      <c r="AN24" s="3">
        <f t="shared" si="4"/>
        <v>0.59791254711212649</v>
      </c>
      <c r="AO24" s="3">
        <f t="shared" si="5"/>
        <v>1.1672823889789248</v>
      </c>
    </row>
    <row r="25" spans="1:41" x14ac:dyDescent="0.25">
      <c r="A25" s="2">
        <v>24</v>
      </c>
      <c r="B25" s="2">
        <v>150</v>
      </c>
      <c r="C25" s="2">
        <v>-75</v>
      </c>
      <c r="D25" s="2">
        <v>0.71885942958551396</v>
      </c>
      <c r="E25" s="2">
        <v>0.63413065393200296</v>
      </c>
      <c r="F25" s="2">
        <v>-8.4728775653510294E-2</v>
      </c>
      <c r="G25" s="2">
        <v>5.25356484654897E-2</v>
      </c>
      <c r="H25" s="2">
        <v>1.0885083291921E-2</v>
      </c>
      <c r="I25" s="2">
        <v>4.8427285206338998E-3</v>
      </c>
      <c r="J25" s="2">
        <v>0.56586179436318995</v>
      </c>
      <c r="K25" s="3">
        <v>5.3992907683018898E-6</v>
      </c>
      <c r="L25" s="2">
        <v>41.420869881307802</v>
      </c>
      <c r="M25" s="2">
        <v>3.3035937231733801</v>
      </c>
      <c r="N25" s="2">
        <v>55.275536395518799</v>
      </c>
      <c r="O25" s="2">
        <v>34.432350156753103</v>
      </c>
      <c r="P25" s="2">
        <v>45.707026783480003</v>
      </c>
      <c r="Q25" s="2">
        <v>19.860623059766802</v>
      </c>
      <c r="R25" s="2">
        <v>0</v>
      </c>
      <c r="S25" s="2">
        <v>45.707026783480003</v>
      </c>
      <c r="T25" s="2">
        <v>0.412680628455044</v>
      </c>
      <c r="U25" s="2">
        <v>-84.198412504541096</v>
      </c>
      <c r="V25" s="2">
        <v>0.76700048024135103</v>
      </c>
      <c r="W25" s="2">
        <v>99.934324366206994</v>
      </c>
      <c r="X25" s="2">
        <v>46.586593791988697</v>
      </c>
      <c r="Y25" s="2">
        <v>117.118256228668</v>
      </c>
      <c r="Z25" s="2">
        <v>54.111798562250101</v>
      </c>
      <c r="AA25" s="2">
        <v>296.103751987782</v>
      </c>
      <c r="AB25" s="2">
        <v>3.3467677390770199</v>
      </c>
      <c r="AC25" s="2">
        <v>771.32251537516504</v>
      </c>
      <c r="AD25" s="2">
        <v>7.9121717273563403</v>
      </c>
      <c r="AE25" s="2">
        <v>0</v>
      </c>
      <c r="AF25" s="2">
        <v>171.85847250902401</v>
      </c>
      <c r="AG25" s="2">
        <v>111.96239733955299</v>
      </c>
      <c r="AH25" s="2">
        <v>25.983939788468</v>
      </c>
      <c r="AI25" s="2">
        <v>-27.982665421202402</v>
      </c>
      <c r="AJ25" s="2">
        <v>4690116736</v>
      </c>
      <c r="AK25" s="2">
        <v>5.8843485048926197E-2</v>
      </c>
      <c r="AL25" s="2">
        <v>5367</v>
      </c>
      <c r="AM25" s="2">
        <f t="shared" si="3"/>
        <v>1.1336140669562969</v>
      </c>
      <c r="AN25" s="3">
        <f t="shared" si="4"/>
        <v>0.6341252546412347</v>
      </c>
      <c r="AO25" s="3">
        <f t="shared" si="5"/>
        <v>1.1336237191692022</v>
      </c>
    </row>
    <row r="26" spans="1:41" x14ac:dyDescent="0.25">
      <c r="A26" s="2">
        <v>25</v>
      </c>
      <c r="B26" s="2">
        <v>150</v>
      </c>
      <c r="C26" s="2">
        <v>-50</v>
      </c>
      <c r="D26" s="2">
        <v>0.67008478461890397</v>
      </c>
      <c r="E26" s="2">
        <v>0.694965424153414</v>
      </c>
      <c r="F26" s="2">
        <v>2.48806395345102E-2</v>
      </c>
      <c r="G26" s="2">
        <v>5.3063181962730598E-2</v>
      </c>
      <c r="H26" s="2">
        <v>1.19157026344141E-2</v>
      </c>
      <c r="I26" s="2">
        <v>7.1884508276756701E-3</v>
      </c>
      <c r="J26" s="2">
        <v>0.61766055578407497</v>
      </c>
      <c r="K26" s="2">
        <v>5.1375329445193397E-3</v>
      </c>
      <c r="L26" s="2">
        <v>18.4606118165118</v>
      </c>
      <c r="M26" s="2">
        <v>5.0875379251598103</v>
      </c>
      <c r="N26" s="2">
        <v>76.451850258328406</v>
      </c>
      <c r="O26" s="2">
        <v>34.942087942296098</v>
      </c>
      <c r="P26" s="2">
        <v>44.072735712956003</v>
      </c>
      <c r="Q26" s="2">
        <v>20.985176344747899</v>
      </c>
      <c r="R26" s="2">
        <v>0</v>
      </c>
      <c r="S26" s="2">
        <v>44.072735712956003</v>
      </c>
      <c r="T26" s="2">
        <v>0.45566294447281702</v>
      </c>
      <c r="U26" s="2">
        <v>-60.1261814477364</v>
      </c>
      <c r="V26" s="2">
        <v>39.353292554282604</v>
      </c>
      <c r="W26" s="2">
        <v>99.962998815479395</v>
      </c>
      <c r="X26" s="2">
        <v>46.044886340855598</v>
      </c>
      <c r="Y26" s="2">
        <v>117.49482006799499</v>
      </c>
      <c r="Z26" s="2">
        <v>54.571886301383699</v>
      </c>
      <c r="AA26" s="2">
        <v>294.854360652097</v>
      </c>
      <c r="AB26" s="2">
        <v>3.4360155015359801</v>
      </c>
      <c r="AC26" s="2">
        <v>770.65969343160896</v>
      </c>
      <c r="AD26" s="2">
        <v>7.51530497304734</v>
      </c>
      <c r="AE26" s="2">
        <v>0</v>
      </c>
      <c r="AF26" s="2">
        <v>172.14771614703099</v>
      </c>
      <c r="AG26" s="2">
        <v>112.025198301977</v>
      </c>
      <c r="AH26" s="2">
        <v>26.8267418771763</v>
      </c>
      <c r="AI26" s="2">
        <v>-22.0602260734677</v>
      </c>
      <c r="AJ26" s="2">
        <v>23219748992.099998</v>
      </c>
      <c r="AK26" s="2">
        <v>5.8728424909275899E-2</v>
      </c>
      <c r="AL26" s="2">
        <v>14700</v>
      </c>
      <c r="AM26" s="2">
        <f t="shared" si="3"/>
        <v>0.96419873756335595</v>
      </c>
      <c r="AN26" s="3">
        <f t="shared" si="4"/>
        <v>0.68982789120889465</v>
      </c>
      <c r="AO26" s="3">
        <f t="shared" si="5"/>
        <v>0.97137966318614388</v>
      </c>
    </row>
    <row r="27" spans="1:41" x14ac:dyDescent="0.25">
      <c r="A27" s="2">
        <v>26</v>
      </c>
      <c r="B27" s="2">
        <v>150</v>
      </c>
      <c r="C27" s="2">
        <v>-25</v>
      </c>
      <c r="D27" s="2">
        <v>0.758682693333951</v>
      </c>
      <c r="E27" s="2">
        <v>0.81962115019817205</v>
      </c>
      <c r="F27" s="2">
        <v>6.0938456864221301E-2</v>
      </c>
      <c r="G27" s="2">
        <v>5.36256364735469E-2</v>
      </c>
      <c r="H27" s="2">
        <v>1.25243714077888E-2</v>
      </c>
      <c r="I27" s="2">
        <v>1.1420279902614201E-2</v>
      </c>
      <c r="J27" s="2">
        <v>0.700842559501623</v>
      </c>
      <c r="K27" s="2">
        <v>4.1208302912598999E-2</v>
      </c>
      <c r="L27" s="2">
        <v>11.6649683327731</v>
      </c>
      <c r="M27" s="2">
        <v>5.5840871977054096</v>
      </c>
      <c r="N27" s="2">
        <v>82.7509444695215</v>
      </c>
      <c r="O27" s="2">
        <v>32.611142143984402</v>
      </c>
      <c r="P27" s="2">
        <v>45.821580345996097</v>
      </c>
      <c r="Q27" s="2">
        <v>21.567277510019501</v>
      </c>
      <c r="R27" s="2">
        <v>0</v>
      </c>
      <c r="S27" s="2">
        <v>45.821580345996097</v>
      </c>
      <c r="T27" s="2">
        <v>0.47956730340796699</v>
      </c>
      <c r="U27" s="2">
        <v>-36.445102736972999</v>
      </c>
      <c r="V27" s="2">
        <v>171.60437095152199</v>
      </c>
      <c r="W27" s="2">
        <v>99.953696441186096</v>
      </c>
      <c r="X27" s="2">
        <v>45.450704393613997</v>
      </c>
      <c r="Y27" s="2">
        <v>117.43727905576399</v>
      </c>
      <c r="Z27" s="2">
        <v>55.484535687741399</v>
      </c>
      <c r="AA27" s="2">
        <v>293.57156511270398</v>
      </c>
      <c r="AB27" s="2">
        <v>3.57308850496098</v>
      </c>
      <c r="AC27" s="2">
        <v>767.64582184815004</v>
      </c>
      <c r="AD27" s="2">
        <v>11.5528119680156</v>
      </c>
      <c r="AE27" s="2">
        <v>0</v>
      </c>
      <c r="AF27" s="2">
        <v>172.79865028739999</v>
      </c>
      <c r="AG27" s="2">
        <v>112.174293311627</v>
      </c>
      <c r="AH27" s="2">
        <v>29.350588696730298</v>
      </c>
      <c r="AI27" s="2">
        <v>-13.852727837377</v>
      </c>
      <c r="AJ27" s="2">
        <v>53309460921.800003</v>
      </c>
      <c r="AK27" s="2">
        <v>6.4864250437414103E-2</v>
      </c>
      <c r="AL27" s="2">
        <v>32427</v>
      </c>
      <c r="AM27" s="2">
        <f t="shared" si="3"/>
        <v>0.92565045832518222</v>
      </c>
      <c r="AN27" s="3">
        <f t="shared" si="4"/>
        <v>0.77841284728557303</v>
      </c>
      <c r="AO27" s="3">
        <f t="shared" si="5"/>
        <v>0.97465335519522367</v>
      </c>
    </row>
    <row r="28" spans="1:41" x14ac:dyDescent="0.25">
      <c r="A28" s="2">
        <v>27</v>
      </c>
      <c r="B28" s="2">
        <v>150</v>
      </c>
      <c r="C28" s="2">
        <v>0</v>
      </c>
      <c r="D28" s="2">
        <v>0.83748240393130602</v>
      </c>
      <c r="E28" s="2">
        <v>0.88200658439051105</v>
      </c>
      <c r="F28" s="2">
        <v>4.45241804592049E-2</v>
      </c>
      <c r="G28" s="2">
        <v>5.4466164313825199E-2</v>
      </c>
      <c r="H28" s="2">
        <v>1.5253788217276101E-2</v>
      </c>
      <c r="I28" s="2">
        <v>1.6698938596457599E-2</v>
      </c>
      <c r="J28" s="2">
        <v>0.71334755963667096</v>
      </c>
      <c r="K28" s="2">
        <v>8.22401336262817E-2</v>
      </c>
      <c r="L28" s="2">
        <v>10.1945945289308</v>
      </c>
      <c r="M28" s="2">
        <v>5.3880873918975496</v>
      </c>
      <c r="N28" s="2">
        <v>84.417318079171594</v>
      </c>
      <c r="O28" s="2">
        <v>28.760990916071801</v>
      </c>
      <c r="P28" s="2">
        <v>49.130979357748203</v>
      </c>
      <c r="Q28" s="2">
        <v>22.108029726180099</v>
      </c>
      <c r="R28" s="2">
        <v>0</v>
      </c>
      <c r="S28" s="2">
        <v>49.130979357748203</v>
      </c>
      <c r="T28" s="2">
        <v>0.56789360550013901</v>
      </c>
      <c r="U28" s="2">
        <v>-12.357413969453299</v>
      </c>
      <c r="V28" s="2">
        <v>585.91761384762901</v>
      </c>
      <c r="W28" s="2">
        <v>99.920936357921306</v>
      </c>
      <c r="X28" s="2">
        <v>45.299088453878497</v>
      </c>
      <c r="Y28" s="2">
        <v>117.10417553251</v>
      </c>
      <c r="Z28" s="2">
        <v>57.352456218389001</v>
      </c>
      <c r="AA28" s="2">
        <v>291.70603060640099</v>
      </c>
      <c r="AB28" s="2">
        <v>3.7793139306341299</v>
      </c>
      <c r="AC28" s="2">
        <v>764.08897724522205</v>
      </c>
      <c r="AD28" s="2">
        <v>16.636603977736399</v>
      </c>
      <c r="AE28" s="2">
        <v>0</v>
      </c>
      <c r="AF28" s="2">
        <v>171.27026403712</v>
      </c>
      <c r="AG28" s="2">
        <v>112.073771096521</v>
      </c>
      <c r="AH28" s="2">
        <v>31.119754464593399</v>
      </c>
      <c r="AI28" s="2">
        <v>-7.3497459437173296</v>
      </c>
      <c r="AJ28" s="2">
        <v>74524432247.300003</v>
      </c>
      <c r="AK28" s="2">
        <v>6.7318091536935798E-2</v>
      </c>
      <c r="AL28" s="2">
        <v>57848</v>
      </c>
      <c r="AM28" s="2">
        <f t="shared" si="3"/>
        <v>0.94951944662638499</v>
      </c>
      <c r="AN28" s="3">
        <f t="shared" si="4"/>
        <v>0.79976645076422936</v>
      </c>
      <c r="AO28" s="3">
        <f t="shared" si="5"/>
        <v>1.0471587088093488</v>
      </c>
    </row>
    <row r="29" spans="1:41" x14ac:dyDescent="0.25">
      <c r="A29" s="2">
        <v>28</v>
      </c>
      <c r="B29" s="2">
        <v>175</v>
      </c>
      <c r="C29" s="2">
        <v>-175</v>
      </c>
      <c r="D29" s="2">
        <v>0</v>
      </c>
      <c r="E29" s="2">
        <v>0.50089382025062401</v>
      </c>
      <c r="F29" s="2">
        <v>0.50089382025062401</v>
      </c>
      <c r="G29" s="2">
        <v>6.2852966178409006E-2</v>
      </c>
      <c r="H29" s="2">
        <v>3.2702461795712698E-3</v>
      </c>
      <c r="I29" s="2">
        <v>2.5995990443201601E-3</v>
      </c>
      <c r="J29" s="2">
        <v>0.43216434314525498</v>
      </c>
      <c r="K29" s="3">
        <v>6.6657030686496998E-6</v>
      </c>
      <c r="L29" s="2">
        <v>48.979135589346797</v>
      </c>
      <c r="M29" s="2">
        <v>0</v>
      </c>
      <c r="N29" s="2">
        <v>51.020864410653203</v>
      </c>
      <c r="O29" s="2">
        <v>51.020864410653203</v>
      </c>
      <c r="P29" s="2">
        <v>48.979135589346797</v>
      </c>
      <c r="Q29" s="2">
        <v>0</v>
      </c>
      <c r="R29" s="2">
        <v>0</v>
      </c>
      <c r="S29" s="2">
        <v>48.979135589346797</v>
      </c>
      <c r="T29" s="2">
        <v>0</v>
      </c>
      <c r="U29" s="2">
        <v>-177.66122950851701</v>
      </c>
      <c r="V29" s="2">
        <v>0</v>
      </c>
      <c r="W29" s="2">
        <v>100</v>
      </c>
      <c r="X29" s="2">
        <v>54.934821170572199</v>
      </c>
      <c r="Y29" s="2">
        <v>140.70818927140701</v>
      </c>
      <c r="Z29" s="2">
        <v>54.979582711786897</v>
      </c>
      <c r="AA29" s="2">
        <v>275.63293593460497</v>
      </c>
      <c r="AB29" s="2">
        <v>2.7489791355893498</v>
      </c>
      <c r="AC29" s="2">
        <v>725.26475406310999</v>
      </c>
      <c r="AD29" s="2">
        <v>0</v>
      </c>
      <c r="AE29" s="2">
        <v>0</v>
      </c>
      <c r="AF29" s="2">
        <v>179.2</v>
      </c>
      <c r="AG29" s="2">
        <v>112.2</v>
      </c>
      <c r="AH29" s="2">
        <v>20.9</v>
      </c>
      <c r="AI29" s="2">
        <v>-139.822816714986</v>
      </c>
      <c r="AJ29" s="2">
        <v>281354.7</v>
      </c>
      <c r="AK29" s="2">
        <v>0</v>
      </c>
      <c r="AL29" s="2">
        <v>2</v>
      </c>
      <c r="AM29" s="2">
        <f t="shared" si="3"/>
        <v>0</v>
      </c>
      <c r="AN29" s="3">
        <f t="shared" si="4"/>
        <v>0.50088715454755539</v>
      </c>
      <c r="AO29" s="3">
        <f t="shared" si="5"/>
        <v>0</v>
      </c>
    </row>
    <row r="30" spans="1:41" x14ac:dyDescent="0.25">
      <c r="A30" s="2">
        <v>29</v>
      </c>
      <c r="B30" s="2">
        <v>175</v>
      </c>
      <c r="C30" s="2">
        <v>-150</v>
      </c>
      <c r="D30" s="2">
        <v>4.3912670598559604E-3</v>
      </c>
      <c r="E30" s="2">
        <v>0.51221359758372897</v>
      </c>
      <c r="F30" s="2">
        <v>0.50782233052387304</v>
      </c>
      <c r="G30" s="2">
        <v>4.9636483053462903E-2</v>
      </c>
      <c r="H30" s="2">
        <v>5.67989257403923E-3</v>
      </c>
      <c r="I30" s="2">
        <v>3.9322405678321399E-3</v>
      </c>
      <c r="J30" s="2">
        <v>0.45295862625442002</v>
      </c>
      <c r="K30" s="3">
        <v>6.3551339750771101E-6</v>
      </c>
      <c r="L30" s="2">
        <v>28.5754421745362</v>
      </c>
      <c r="M30" s="2">
        <v>0</v>
      </c>
      <c r="N30" s="2">
        <v>71.424557825463793</v>
      </c>
      <c r="O30" s="2">
        <v>71.424557825463793</v>
      </c>
      <c r="P30" s="2">
        <v>9.2228285116167292</v>
      </c>
      <c r="Q30" s="2">
        <v>19.352613662919399</v>
      </c>
      <c r="R30" s="2">
        <v>0</v>
      </c>
      <c r="S30" s="2">
        <v>9.2228285116167292</v>
      </c>
      <c r="T30" s="2">
        <v>9.9878444696111707E-2</v>
      </c>
      <c r="U30" s="2">
        <v>-159.14947695364901</v>
      </c>
      <c r="V30" s="2">
        <v>0</v>
      </c>
      <c r="W30" s="2">
        <v>100</v>
      </c>
      <c r="X30" s="2">
        <v>63.183469302309597</v>
      </c>
      <c r="Y30" s="2">
        <v>145.97003966538099</v>
      </c>
      <c r="Z30" s="2">
        <v>53.311826205755999</v>
      </c>
      <c r="AA30" s="2">
        <v>302.79238627988298</v>
      </c>
      <c r="AB30" s="2">
        <v>2.7367408104667401</v>
      </c>
      <c r="AC30" s="2">
        <v>728.72931597155798</v>
      </c>
      <c r="AD30" s="2">
        <v>0</v>
      </c>
      <c r="AE30" s="2">
        <v>0</v>
      </c>
      <c r="AF30" s="2">
        <v>174.55742128941901</v>
      </c>
      <c r="AG30" s="2">
        <v>112.12408783842299</v>
      </c>
      <c r="AH30" s="2">
        <v>24.760104474611801</v>
      </c>
      <c r="AI30" s="2">
        <v>-113.45303332957501</v>
      </c>
      <c r="AJ30" s="2">
        <v>3059595</v>
      </c>
      <c r="AK30" s="2">
        <v>1.00419856697008E-4</v>
      </c>
      <c r="AL30" s="2">
        <v>21</v>
      </c>
      <c r="AM30" s="2">
        <f t="shared" si="3"/>
        <v>8.5731169195252411E-3</v>
      </c>
      <c r="AN30" s="3">
        <f t="shared" si="4"/>
        <v>0.51220724244975391</v>
      </c>
      <c r="AO30" s="3">
        <f t="shared" si="5"/>
        <v>8.5732232891781723E-3</v>
      </c>
    </row>
    <row r="31" spans="1:41" x14ac:dyDescent="0.25">
      <c r="A31" s="2">
        <v>30</v>
      </c>
      <c r="B31" s="2">
        <v>175</v>
      </c>
      <c r="C31" s="2">
        <v>-125</v>
      </c>
      <c r="D31" s="2">
        <v>0.44836471818333501</v>
      </c>
      <c r="E31" s="2">
        <v>0.53062949960066597</v>
      </c>
      <c r="F31" s="2">
        <v>8.2264781417331401E-2</v>
      </c>
      <c r="G31" s="2">
        <v>5.2304185606838298E-2</v>
      </c>
      <c r="H31" s="2">
        <v>8.5831102780721501E-3</v>
      </c>
      <c r="I31" s="2">
        <v>4.1827839662672396E-3</v>
      </c>
      <c r="J31" s="2">
        <v>0.46555331467372002</v>
      </c>
      <c r="K31" s="3">
        <v>6.1050757683935099E-6</v>
      </c>
      <c r="L31" s="2">
        <v>69.561216000518897</v>
      </c>
      <c r="M31" s="2">
        <v>0</v>
      </c>
      <c r="N31" s="2">
        <v>30.4387839994811</v>
      </c>
      <c r="O31" s="2">
        <v>38.157799283146602</v>
      </c>
      <c r="P31" s="2">
        <v>41.707590981738399</v>
      </c>
      <c r="Q31" s="2">
        <v>20.134609735114999</v>
      </c>
      <c r="R31" s="2">
        <v>0</v>
      </c>
      <c r="S31" s="2">
        <v>41.707590981738399</v>
      </c>
      <c r="T31" s="2">
        <v>0.29715344066414501</v>
      </c>
      <c r="U31" s="2">
        <v>-133.941572146547</v>
      </c>
      <c r="V31" s="2">
        <v>0</v>
      </c>
      <c r="W31" s="2">
        <v>100</v>
      </c>
      <c r="X31" s="2">
        <v>48.608061374696398</v>
      </c>
      <c r="Y31" s="2">
        <v>144.72664707417201</v>
      </c>
      <c r="Z31" s="2">
        <v>54.517539931740998</v>
      </c>
      <c r="AA31" s="2">
        <v>296.95914801337199</v>
      </c>
      <c r="AB31" s="2">
        <v>3.0570027727424098</v>
      </c>
      <c r="AC31" s="2">
        <v>761.00816765366199</v>
      </c>
      <c r="AD31" s="2">
        <v>10.984873455658001</v>
      </c>
      <c r="AE31" s="2">
        <v>0</v>
      </c>
      <c r="AF31" s="2">
        <v>172.97002817214499</v>
      </c>
      <c r="AG31" s="2">
        <v>111.999993607069</v>
      </c>
      <c r="AH31" s="2">
        <v>25.401620410781302</v>
      </c>
      <c r="AI31" s="2">
        <v>-63.963329757707697</v>
      </c>
      <c r="AJ31" s="2">
        <v>38361118.5</v>
      </c>
      <c r="AK31" s="2">
        <v>6.7049317401448899E-2</v>
      </c>
      <c r="AL31" s="2">
        <v>223</v>
      </c>
      <c r="AM31" s="2">
        <f t="shared" si="3"/>
        <v>0.84496756874760881</v>
      </c>
      <c r="AN31" s="3">
        <f t="shared" si="4"/>
        <v>0.5306233945248976</v>
      </c>
      <c r="AO31" s="3">
        <f t="shared" si="5"/>
        <v>0.84497729050334414</v>
      </c>
    </row>
    <row r="32" spans="1:41" x14ac:dyDescent="0.25">
      <c r="A32" s="2">
        <v>31</v>
      </c>
      <c r="B32" s="2">
        <v>175</v>
      </c>
      <c r="C32" s="2">
        <v>-100</v>
      </c>
      <c r="D32" s="2">
        <v>0.520461591211694</v>
      </c>
      <c r="E32" s="2">
        <v>0.55834783687179601</v>
      </c>
      <c r="F32" s="2">
        <v>3.7886245660102E-2</v>
      </c>
      <c r="G32" s="2">
        <v>5.2512029220420198E-2</v>
      </c>
      <c r="H32" s="2">
        <v>8.3404898737029793E-3</v>
      </c>
      <c r="I32" s="2">
        <v>3.6177740087906399E-3</v>
      </c>
      <c r="J32" s="2">
        <v>0.49387142448420501</v>
      </c>
      <c r="K32" s="3">
        <v>6.1192846779987503E-6</v>
      </c>
      <c r="L32" s="2">
        <v>64.434687803567499</v>
      </c>
      <c r="M32" s="2">
        <v>0.94555595358808997</v>
      </c>
      <c r="N32" s="2">
        <v>34.619756242844403</v>
      </c>
      <c r="O32" s="2">
        <v>29.053135561314601</v>
      </c>
      <c r="P32" s="2">
        <v>50.555254362113402</v>
      </c>
      <c r="Q32" s="2">
        <v>20.391610076571901</v>
      </c>
      <c r="R32" s="2">
        <v>0</v>
      </c>
      <c r="S32" s="2">
        <v>50.555254362113402</v>
      </c>
      <c r="T32" s="2">
        <v>0.30987256133352398</v>
      </c>
      <c r="U32" s="2">
        <v>-108.664873808915</v>
      </c>
      <c r="V32" s="2">
        <v>5.9495661301663802E-3</v>
      </c>
      <c r="W32" s="2">
        <v>100</v>
      </c>
      <c r="X32" s="2">
        <v>45.282120079580402</v>
      </c>
      <c r="Y32" s="2">
        <v>145.22011312226499</v>
      </c>
      <c r="Z32" s="2">
        <v>54.3561986107904</v>
      </c>
      <c r="AA32" s="2">
        <v>296.22758161450298</v>
      </c>
      <c r="AB32" s="2">
        <v>3.2503845902734101</v>
      </c>
      <c r="AC32" s="2">
        <v>770.13944621346002</v>
      </c>
      <c r="AD32" s="2">
        <v>9.0287312324264501</v>
      </c>
      <c r="AE32" s="2">
        <v>0</v>
      </c>
      <c r="AF32" s="2">
        <v>172.09821249887401</v>
      </c>
      <c r="AG32" s="2">
        <v>111.947550332067</v>
      </c>
      <c r="AH32" s="2">
        <v>25.1372434546345</v>
      </c>
      <c r="AI32" s="2">
        <v>-37.749867272886803</v>
      </c>
      <c r="AJ32" s="2">
        <v>420354806.60000002</v>
      </c>
      <c r="AK32" s="2">
        <v>5.4941179534600801E-2</v>
      </c>
      <c r="AL32" s="2">
        <v>1244</v>
      </c>
      <c r="AM32" s="2">
        <f t="shared" ref="AM32:AM45" si="6">D32/E32</f>
        <v>0.93214580023742222</v>
      </c>
      <c r="AN32" s="3">
        <f t="shared" ref="AN32:AN45" si="7">E32-K32</f>
        <v>0.55834171758711804</v>
      </c>
      <c r="AO32" s="3">
        <f t="shared" ref="AO32:AO45" si="8">D32/(E32-K32)</f>
        <v>0.9321560163207514</v>
      </c>
    </row>
    <row r="33" spans="1:41" x14ac:dyDescent="0.25">
      <c r="A33" s="2">
        <v>32</v>
      </c>
      <c r="B33" s="2">
        <v>175</v>
      </c>
      <c r="C33" s="2">
        <v>-75</v>
      </c>
      <c r="D33" s="2">
        <v>0.55520693951923095</v>
      </c>
      <c r="E33" s="2">
        <v>0.58582038215270604</v>
      </c>
      <c r="F33" s="2">
        <v>3.0613442633474298E-2</v>
      </c>
      <c r="G33" s="2">
        <v>5.2396165205291299E-2</v>
      </c>
      <c r="H33" s="2">
        <v>8.6695696931154299E-3</v>
      </c>
      <c r="I33" s="2">
        <v>5.4947432139392897E-3</v>
      </c>
      <c r="J33" s="2">
        <v>0.51925377154839703</v>
      </c>
      <c r="K33" s="3">
        <v>6.1324919622447701E-6</v>
      </c>
      <c r="L33" s="2">
        <v>36.794563435416599</v>
      </c>
      <c r="M33" s="2">
        <v>2.9650421307033299</v>
      </c>
      <c r="N33" s="2">
        <v>60.240394433879999</v>
      </c>
      <c r="O33" s="2">
        <v>29.995733937863001</v>
      </c>
      <c r="P33" s="2">
        <v>50.543800895238697</v>
      </c>
      <c r="Q33" s="2">
        <v>19.460465166898299</v>
      </c>
      <c r="R33" s="2">
        <v>0</v>
      </c>
      <c r="S33" s="2">
        <v>50.543800895238697</v>
      </c>
      <c r="T33" s="2">
        <v>0.32148949283686401</v>
      </c>
      <c r="U33" s="2">
        <v>-84.079947853122505</v>
      </c>
      <c r="V33" s="2">
        <v>0.55476626283513997</v>
      </c>
      <c r="W33" s="2">
        <v>99.906644534974404</v>
      </c>
      <c r="X33" s="2">
        <v>46.495477848566502</v>
      </c>
      <c r="Y33" s="2">
        <v>145.427984259646</v>
      </c>
      <c r="Z33" s="2">
        <v>54.017839580543701</v>
      </c>
      <c r="AA33" s="2">
        <v>296.35719018713002</v>
      </c>
      <c r="AB33" s="2">
        <v>3.3334177335541502</v>
      </c>
      <c r="AC33" s="2">
        <v>770.10606364377099</v>
      </c>
      <c r="AD33" s="2">
        <v>6.1103720399463199</v>
      </c>
      <c r="AE33" s="2">
        <v>0</v>
      </c>
      <c r="AF33" s="2">
        <v>171.88639513971799</v>
      </c>
      <c r="AG33" s="2">
        <v>111.955096387688</v>
      </c>
      <c r="AH33" s="2">
        <v>25.818961599564101</v>
      </c>
      <c r="AI33" s="2">
        <v>-29.4660272026345</v>
      </c>
      <c r="AJ33" s="2">
        <v>3079517732.8000002</v>
      </c>
      <c r="AK33" s="2">
        <v>4.61292379553127E-2</v>
      </c>
      <c r="AL33" s="2">
        <v>4038</v>
      </c>
      <c r="AM33" s="2">
        <f t="shared" si="6"/>
        <v>0.94774261264010595</v>
      </c>
      <c r="AN33" s="3">
        <f t="shared" si="7"/>
        <v>0.5858142496607438</v>
      </c>
      <c r="AO33" s="3">
        <f t="shared" si="8"/>
        <v>0.94775253391456737</v>
      </c>
    </row>
    <row r="34" spans="1:41" x14ac:dyDescent="0.25">
      <c r="A34" s="2">
        <v>33</v>
      </c>
      <c r="B34" s="2">
        <v>175</v>
      </c>
      <c r="C34" s="2">
        <v>-50</v>
      </c>
      <c r="D34" s="2">
        <v>0.68306567616175495</v>
      </c>
      <c r="E34" s="2">
        <v>0.64910146130345303</v>
      </c>
      <c r="F34" s="2">
        <v>-3.3964214858301998E-2</v>
      </c>
      <c r="G34" s="2">
        <v>5.2752103525069399E-2</v>
      </c>
      <c r="H34" s="2">
        <v>9.7716387879580695E-3</v>
      </c>
      <c r="I34" s="2">
        <v>7.2813061304116402E-3</v>
      </c>
      <c r="J34" s="2">
        <v>0.56872005586865104</v>
      </c>
      <c r="K34" s="2">
        <v>1.05763569913621E-2</v>
      </c>
      <c r="L34" s="2">
        <v>16.016771755934698</v>
      </c>
      <c r="M34" s="2">
        <v>4.4325273942729204</v>
      </c>
      <c r="N34" s="2">
        <v>79.550700849792406</v>
      </c>
      <c r="O34" s="2">
        <v>30.2076343006479</v>
      </c>
      <c r="P34" s="2">
        <v>49.204949047917097</v>
      </c>
      <c r="Q34" s="2">
        <v>20.587416651434999</v>
      </c>
      <c r="R34" s="2">
        <v>0</v>
      </c>
      <c r="S34" s="2">
        <v>49.204949047917097</v>
      </c>
      <c r="T34" s="2">
        <v>0.37019005291699503</v>
      </c>
      <c r="U34" s="2">
        <v>-60.108283809026098</v>
      </c>
      <c r="V34" s="2">
        <v>38.267444345764197</v>
      </c>
      <c r="W34" s="2">
        <v>99.946792809522805</v>
      </c>
      <c r="X34" s="2">
        <v>46.1895140026921</v>
      </c>
      <c r="Y34" s="2">
        <v>145.339425096056</v>
      </c>
      <c r="Z34" s="2">
        <v>54.507672469808298</v>
      </c>
      <c r="AA34" s="2">
        <v>295.48436255727501</v>
      </c>
      <c r="AB34" s="2">
        <v>3.42435361165278</v>
      </c>
      <c r="AC34" s="2">
        <v>770.91465430099197</v>
      </c>
      <c r="AD34" s="2">
        <v>6.0897691138989503</v>
      </c>
      <c r="AE34" s="2">
        <v>0</v>
      </c>
      <c r="AF34" s="2">
        <v>172.227447019241</v>
      </c>
      <c r="AG34" s="2">
        <v>112.02982102489401</v>
      </c>
      <c r="AH34" s="2">
        <v>26.7630047066787</v>
      </c>
      <c r="AI34" s="2">
        <v>-23.110305141296099</v>
      </c>
      <c r="AJ34" s="2">
        <v>15874688222.1</v>
      </c>
      <c r="AK34" s="2">
        <v>5.4428326569252602E-2</v>
      </c>
      <c r="AL34" s="2">
        <v>11243</v>
      </c>
      <c r="AM34" s="2">
        <f t="shared" si="6"/>
        <v>1.0523249705679276</v>
      </c>
      <c r="AN34" s="3">
        <f t="shared" si="7"/>
        <v>0.63852510431209097</v>
      </c>
      <c r="AO34" s="3">
        <f t="shared" si="8"/>
        <v>1.0697553965362872</v>
      </c>
    </row>
    <row r="35" spans="1:41" x14ac:dyDescent="0.25">
      <c r="A35" s="2">
        <v>34</v>
      </c>
      <c r="B35" s="2">
        <v>175</v>
      </c>
      <c r="C35" s="2">
        <v>-25</v>
      </c>
      <c r="D35" s="2">
        <v>0.74382960233977302</v>
      </c>
      <c r="E35" s="2">
        <v>0.77635115842134605</v>
      </c>
      <c r="F35" s="2">
        <v>3.2521556081573602E-2</v>
      </c>
      <c r="G35" s="2">
        <v>5.3154245826089103E-2</v>
      </c>
      <c r="H35" s="2">
        <v>1.05595036729484E-2</v>
      </c>
      <c r="I35" s="2">
        <v>1.1452263895656701E-2</v>
      </c>
      <c r="J35" s="2">
        <v>0.64584957010683197</v>
      </c>
      <c r="K35" s="2">
        <v>5.53355749198206E-2</v>
      </c>
      <c r="L35" s="2">
        <v>9.8189712010777193</v>
      </c>
      <c r="M35" s="2">
        <v>4.8541455412069299</v>
      </c>
      <c r="N35" s="2">
        <v>85.326883257715295</v>
      </c>
      <c r="O35" s="2">
        <v>28.654752722386601</v>
      </c>
      <c r="P35" s="2">
        <v>49.678310356887003</v>
      </c>
      <c r="Q35" s="2">
        <v>21.6669369207264</v>
      </c>
      <c r="R35" s="2">
        <v>0</v>
      </c>
      <c r="S35" s="2">
        <v>49.678310356887003</v>
      </c>
      <c r="T35" s="2">
        <v>0.39982216983272301</v>
      </c>
      <c r="U35" s="2">
        <v>-36.452831545122599</v>
      </c>
      <c r="V35" s="2">
        <v>174.60302791399499</v>
      </c>
      <c r="W35" s="2">
        <v>99.951290105968894</v>
      </c>
      <c r="X35" s="2">
        <v>45.734137104213502</v>
      </c>
      <c r="Y35" s="2">
        <v>145.319796185591</v>
      </c>
      <c r="Z35" s="2">
        <v>55.444088815387403</v>
      </c>
      <c r="AA35" s="2">
        <v>294.55999926368997</v>
      </c>
      <c r="AB35" s="2">
        <v>3.5664986293892298</v>
      </c>
      <c r="AC35" s="2">
        <v>768.06009583899299</v>
      </c>
      <c r="AD35" s="2">
        <v>9.7202757281665697</v>
      </c>
      <c r="AE35" s="2">
        <v>0</v>
      </c>
      <c r="AF35" s="2">
        <v>172.835295925504</v>
      </c>
      <c r="AG35" s="2">
        <v>112.17278088717001</v>
      </c>
      <c r="AH35" s="2">
        <v>29.223949406060601</v>
      </c>
      <c r="AI35" s="2">
        <v>-14.586112366760201</v>
      </c>
      <c r="AJ35" s="2">
        <v>37635056596.300003</v>
      </c>
      <c r="AK35" s="2">
        <v>6.8214629233384394E-2</v>
      </c>
      <c r="AL35" s="2">
        <v>24718</v>
      </c>
      <c r="AM35" s="2">
        <f t="shared" si="6"/>
        <v>0.95810973458492255</v>
      </c>
      <c r="AN35" s="3">
        <f t="shared" si="7"/>
        <v>0.7210155835015255</v>
      </c>
      <c r="AO35" s="3">
        <f t="shared" si="8"/>
        <v>1.0316415058984634</v>
      </c>
    </row>
    <row r="36" spans="1:41" x14ac:dyDescent="0.25">
      <c r="A36" s="2">
        <v>35</v>
      </c>
      <c r="B36" s="2">
        <v>175</v>
      </c>
      <c r="C36" s="2">
        <v>0</v>
      </c>
      <c r="D36" s="2">
        <v>0.80499527326357301</v>
      </c>
      <c r="E36" s="2">
        <v>0.84469121755121901</v>
      </c>
      <c r="F36" s="2">
        <v>3.9695944287645703E-2</v>
      </c>
      <c r="G36" s="2">
        <v>5.4128059336617497E-2</v>
      </c>
      <c r="H36" s="2">
        <v>1.27854820323144E-2</v>
      </c>
      <c r="I36" s="2">
        <v>1.6715840461416599E-2</v>
      </c>
      <c r="J36" s="2">
        <v>0.65866188087154698</v>
      </c>
      <c r="K36" s="2">
        <v>0.102399954849323</v>
      </c>
      <c r="L36" s="2">
        <v>8.1137866241882293</v>
      </c>
      <c r="M36" s="2">
        <v>4.78423174162225</v>
      </c>
      <c r="N36" s="2">
        <v>87.101981634189499</v>
      </c>
      <c r="O36" s="2">
        <v>25.0818014295144</v>
      </c>
      <c r="P36" s="2">
        <v>52.021305800504599</v>
      </c>
      <c r="Q36" s="2">
        <v>22.896892769981001</v>
      </c>
      <c r="R36" s="2">
        <v>0</v>
      </c>
      <c r="S36" s="2">
        <v>52.021305800504599</v>
      </c>
      <c r="T36" s="2">
        <v>0.47030784549913202</v>
      </c>
      <c r="U36" s="2">
        <v>-12.380003212601901</v>
      </c>
      <c r="V36" s="2">
        <v>586.04524298536603</v>
      </c>
      <c r="W36" s="2">
        <v>99.924583138486298</v>
      </c>
      <c r="X36" s="2">
        <v>45.581171840837897</v>
      </c>
      <c r="Y36" s="2">
        <v>145.15469626064501</v>
      </c>
      <c r="Z36" s="2">
        <v>57.416656236798197</v>
      </c>
      <c r="AA36" s="2">
        <v>292.40620638146902</v>
      </c>
      <c r="AB36" s="2">
        <v>3.76827431363423</v>
      </c>
      <c r="AC36" s="2">
        <v>764.45482968381202</v>
      </c>
      <c r="AD36" s="2">
        <v>14.526320946453</v>
      </c>
      <c r="AE36" s="2">
        <v>0</v>
      </c>
      <c r="AF36" s="2">
        <v>171.41283729869201</v>
      </c>
      <c r="AG36" s="2">
        <v>112.085508028384</v>
      </c>
      <c r="AH36" s="2">
        <v>31.032042155038798</v>
      </c>
      <c r="AI36" s="2">
        <v>-8.2733395285253799</v>
      </c>
      <c r="AJ36" s="2">
        <v>52881421946.800003</v>
      </c>
      <c r="AK36" s="2">
        <v>6.8371311719541597E-2</v>
      </c>
      <c r="AL36" s="2">
        <v>42932</v>
      </c>
      <c r="AM36" s="2">
        <f t="shared" si="6"/>
        <v>0.95300537822244025</v>
      </c>
      <c r="AN36" s="3">
        <f t="shared" si="7"/>
        <v>0.74229126270189605</v>
      </c>
      <c r="AO36" s="3">
        <f t="shared" si="8"/>
        <v>1.0844735937392529</v>
      </c>
    </row>
    <row r="37" spans="1:41" x14ac:dyDescent="0.25">
      <c r="A37" s="2">
        <v>36</v>
      </c>
      <c r="B37" s="2">
        <v>200</v>
      </c>
      <c r="C37" s="2">
        <v>-200</v>
      </c>
      <c r="D37" s="2">
        <v>0</v>
      </c>
      <c r="E37" s="2">
        <v>0.369835544350267</v>
      </c>
      <c r="F37" s="2">
        <v>0.369835544350267</v>
      </c>
      <c r="G37" s="2">
        <v>5.2374562962963001E-2</v>
      </c>
      <c r="H37" s="2">
        <v>1.2533938390408301E-3</v>
      </c>
      <c r="I37" s="2">
        <v>1.0612910558744199E-3</v>
      </c>
      <c r="J37" s="2">
        <v>0.31513920847365001</v>
      </c>
      <c r="K37" s="3">
        <v>7.08801873852613E-6</v>
      </c>
      <c r="L37" s="2">
        <v>100</v>
      </c>
      <c r="M37" s="2">
        <v>0</v>
      </c>
      <c r="N37" s="2">
        <v>0</v>
      </c>
      <c r="O37" s="2">
        <v>0</v>
      </c>
      <c r="P37" s="2">
        <v>100</v>
      </c>
      <c r="Q37" s="2">
        <v>0</v>
      </c>
      <c r="R37" s="2">
        <v>0</v>
      </c>
      <c r="S37" s="2">
        <v>100</v>
      </c>
      <c r="T37" s="2">
        <v>0</v>
      </c>
      <c r="U37" s="2">
        <v>-202.1</v>
      </c>
      <c r="V37" s="2">
        <v>0</v>
      </c>
      <c r="W37" s="2">
        <v>100</v>
      </c>
      <c r="X37" s="2">
        <v>33.200000000000003</v>
      </c>
      <c r="Y37" s="2">
        <v>256.60000000000002</v>
      </c>
      <c r="Z37" s="2">
        <v>64</v>
      </c>
      <c r="AA37" s="2">
        <v>296</v>
      </c>
      <c r="AB37" s="2">
        <v>2.6</v>
      </c>
      <c r="AC37" s="2">
        <v>726</v>
      </c>
      <c r="AD37" s="2">
        <v>100</v>
      </c>
      <c r="AE37" s="2">
        <v>0</v>
      </c>
      <c r="AF37" s="2">
        <v>179.2</v>
      </c>
      <c r="AG37" s="2">
        <v>112.2</v>
      </c>
      <c r="AH37" s="2">
        <v>20.9</v>
      </c>
      <c r="AI37" s="2">
        <v>-107</v>
      </c>
      <c r="AJ37" s="2">
        <v>256666.2</v>
      </c>
      <c r="AK37" s="2" t="s">
        <v>50</v>
      </c>
      <c r="AL37" s="2">
        <v>1</v>
      </c>
      <c r="AM37" s="2">
        <f t="shared" si="6"/>
        <v>0</v>
      </c>
      <c r="AN37" s="3">
        <f t="shared" si="7"/>
        <v>0.3698284563315285</v>
      </c>
      <c r="AO37" s="3">
        <f t="shared" si="8"/>
        <v>0</v>
      </c>
    </row>
    <row r="38" spans="1:41" x14ac:dyDescent="0.25">
      <c r="A38" s="2">
        <v>37</v>
      </c>
      <c r="B38" s="2">
        <v>200</v>
      </c>
      <c r="C38" s="2">
        <v>-175</v>
      </c>
      <c r="D38" s="3">
        <v>7.3962218421947E-5</v>
      </c>
      <c r="E38" s="2">
        <v>0.417481670346877</v>
      </c>
      <c r="F38" s="2">
        <v>0.41740770812845501</v>
      </c>
      <c r="G38" s="2">
        <v>4.7760158202091299E-2</v>
      </c>
      <c r="H38" s="2">
        <v>2.8927834655613498E-3</v>
      </c>
      <c r="I38" s="2">
        <v>2.6894604804633799E-3</v>
      </c>
      <c r="J38" s="2">
        <v>0.36413250589865098</v>
      </c>
      <c r="K38" s="3">
        <v>6.76230010971825E-6</v>
      </c>
      <c r="L38" s="2">
        <v>68.072842230738203</v>
      </c>
      <c r="M38" s="2">
        <v>0</v>
      </c>
      <c r="N38" s="2">
        <v>31.9271577692618</v>
      </c>
      <c r="O38" s="2">
        <v>31.9271577692618</v>
      </c>
      <c r="P38" s="2">
        <v>68.072842230738203</v>
      </c>
      <c r="Q38" s="2">
        <v>0</v>
      </c>
      <c r="R38" s="2">
        <v>0</v>
      </c>
      <c r="S38" s="2">
        <v>68.072842230738203</v>
      </c>
      <c r="T38" s="2">
        <v>0</v>
      </c>
      <c r="U38" s="2">
        <v>-186.37678124629201</v>
      </c>
      <c r="V38" s="2">
        <v>0</v>
      </c>
      <c r="W38" s="2">
        <v>100</v>
      </c>
      <c r="X38" s="2">
        <v>46.372032680914899</v>
      </c>
      <c r="Y38" s="2">
        <v>234.46317358054799</v>
      </c>
      <c r="Z38" s="2">
        <v>53.192991388194301</v>
      </c>
      <c r="AA38" s="2">
        <v>306.807008611806</v>
      </c>
      <c r="AB38" s="2">
        <v>2.6246638224836101</v>
      </c>
      <c r="AC38" s="2">
        <v>708.69797251993305</v>
      </c>
      <c r="AD38" s="2">
        <v>62.591577620473899</v>
      </c>
      <c r="AE38" s="2">
        <v>0</v>
      </c>
      <c r="AF38" s="2">
        <v>170.68705272253999</v>
      </c>
      <c r="AG38" s="2">
        <v>111.901201990459</v>
      </c>
      <c r="AH38" s="2">
        <v>25.608482589307101</v>
      </c>
      <c r="AI38" s="2">
        <v>-105.83271587085</v>
      </c>
      <c r="AJ38" s="2">
        <v>2938559.1</v>
      </c>
      <c r="AK38" s="3">
        <v>2.4961508830135298E-6</v>
      </c>
      <c r="AL38" s="2">
        <v>13</v>
      </c>
      <c r="AM38" s="2">
        <f t="shared" si="6"/>
        <v>1.7716279222628698E-4</v>
      </c>
      <c r="AN38" s="3">
        <f t="shared" si="7"/>
        <v>0.41747490804676729</v>
      </c>
      <c r="AO38" s="3">
        <f t="shared" si="8"/>
        <v>1.7716566192682757E-4</v>
      </c>
    </row>
    <row r="39" spans="1:41" x14ac:dyDescent="0.25">
      <c r="A39" s="2">
        <v>38</v>
      </c>
      <c r="B39" s="2">
        <v>200</v>
      </c>
      <c r="C39" s="2">
        <v>-150</v>
      </c>
      <c r="D39" s="2">
        <v>2.23298838306152</v>
      </c>
      <c r="E39" s="2">
        <v>0.43667271714130501</v>
      </c>
      <c r="F39" s="2">
        <v>-1.79631566592022</v>
      </c>
      <c r="G39" s="2">
        <v>4.8733127435733999E-2</v>
      </c>
      <c r="H39" s="2">
        <v>1.0836188461758101E-2</v>
      </c>
      <c r="I39" s="2">
        <v>4.0590988675284802E-3</v>
      </c>
      <c r="J39" s="2">
        <v>0.37303615328839701</v>
      </c>
      <c r="K39" s="3">
        <v>8.1490878877307398E-6</v>
      </c>
      <c r="L39" s="2">
        <v>58.4034427760011</v>
      </c>
      <c r="M39" s="2">
        <v>0</v>
      </c>
      <c r="N39" s="2">
        <v>41.5965572239989</v>
      </c>
      <c r="O39" s="2">
        <v>48.613551131467297</v>
      </c>
      <c r="P39" s="2">
        <v>37.169613539333902</v>
      </c>
      <c r="Q39" s="2">
        <v>14.216835329198799</v>
      </c>
      <c r="R39" s="2">
        <v>0</v>
      </c>
      <c r="S39" s="2">
        <v>37.169613539333902</v>
      </c>
      <c r="T39" s="2">
        <v>0.34166084161617699</v>
      </c>
      <c r="U39" s="2">
        <v>-159.655893073773</v>
      </c>
      <c r="V39" s="2">
        <v>0</v>
      </c>
      <c r="W39" s="2">
        <v>95.149938377433102</v>
      </c>
      <c r="X39" s="2">
        <v>49.895937737624799</v>
      </c>
      <c r="Y39" s="2">
        <v>270.89958404261</v>
      </c>
      <c r="Z39" s="2">
        <v>53.654848524540398</v>
      </c>
      <c r="AA39" s="2">
        <v>304.72955746051503</v>
      </c>
      <c r="AB39" s="2">
        <v>2.84472717776675</v>
      </c>
      <c r="AC39" s="2">
        <v>729.70696474411602</v>
      </c>
      <c r="AD39" s="2">
        <v>13.942586562669099</v>
      </c>
      <c r="AE39" s="2">
        <v>0</v>
      </c>
      <c r="AF39" s="2">
        <v>172.619949408667</v>
      </c>
      <c r="AG39" s="2">
        <v>111.993952835678</v>
      </c>
      <c r="AH39" s="2">
        <v>25.425355766007801</v>
      </c>
      <c r="AI39" s="2">
        <v>-85.702077774517505</v>
      </c>
      <c r="AJ39" s="2">
        <v>19995677.899999999</v>
      </c>
      <c r="AK39" s="2">
        <v>0.12580560030903401</v>
      </c>
      <c r="AL39" s="2">
        <v>80</v>
      </c>
      <c r="AM39" s="2">
        <f t="shared" si="6"/>
        <v>5.1136429994524635</v>
      </c>
      <c r="AN39" s="3">
        <f t="shared" si="7"/>
        <v>0.4366645680534173</v>
      </c>
      <c r="AO39" s="3">
        <f t="shared" si="8"/>
        <v>5.113738430887202</v>
      </c>
    </row>
    <row r="40" spans="1:41" x14ac:dyDescent="0.25">
      <c r="A40" s="2">
        <v>39</v>
      </c>
      <c r="B40" s="2">
        <v>200</v>
      </c>
      <c r="C40" s="2">
        <v>-125</v>
      </c>
      <c r="D40" s="2">
        <v>0.41337088420478602</v>
      </c>
      <c r="E40" s="2">
        <v>0.42301637543364101</v>
      </c>
      <c r="F40" s="2">
        <v>9.6454912288557095E-3</v>
      </c>
      <c r="G40" s="2">
        <v>5.0542741851500698E-2</v>
      </c>
      <c r="H40" s="2">
        <v>6.3072253451334397E-3</v>
      </c>
      <c r="I40" s="2">
        <v>3.1485980729803399E-3</v>
      </c>
      <c r="J40" s="2">
        <v>0.36300809301998599</v>
      </c>
      <c r="K40" s="3">
        <v>9.7171440414502205E-6</v>
      </c>
      <c r="L40" s="2">
        <v>74.029341222979696</v>
      </c>
      <c r="M40" s="2">
        <v>0.55984999675652103</v>
      </c>
      <c r="N40" s="2">
        <v>25.4108087802638</v>
      </c>
      <c r="O40" s="2">
        <v>34.432932128800601</v>
      </c>
      <c r="P40" s="2">
        <v>45.867869374654497</v>
      </c>
      <c r="Q40" s="2">
        <v>19.699198496545002</v>
      </c>
      <c r="R40" s="2">
        <v>0</v>
      </c>
      <c r="S40" s="2">
        <v>45.867869374654497</v>
      </c>
      <c r="T40" s="2">
        <v>0.21652324605668899</v>
      </c>
      <c r="U40" s="2">
        <v>-133.22905231379301</v>
      </c>
      <c r="V40" s="2">
        <v>4.83887804969391E-3</v>
      </c>
      <c r="W40" s="2">
        <v>99.423576944054602</v>
      </c>
      <c r="X40" s="2">
        <v>45.7056703063867</v>
      </c>
      <c r="Y40" s="2">
        <v>337.10219829874802</v>
      </c>
      <c r="Z40" s="2">
        <v>54.687454578730197</v>
      </c>
      <c r="AA40" s="2">
        <v>300.61287014014403</v>
      </c>
      <c r="AB40" s="2">
        <v>3.1358640412399001</v>
      </c>
      <c r="AC40" s="2">
        <v>763.59790588397095</v>
      </c>
      <c r="AD40" s="2">
        <v>5.11177847564052</v>
      </c>
      <c r="AE40" s="2">
        <v>0</v>
      </c>
      <c r="AF40" s="2">
        <v>172.67020025444199</v>
      </c>
      <c r="AG40" s="2">
        <v>111.944081417804</v>
      </c>
      <c r="AH40" s="2">
        <v>24.5353754587743</v>
      </c>
      <c r="AI40" s="2">
        <v>-50.658751004749902</v>
      </c>
      <c r="AJ40" s="2">
        <v>334949024</v>
      </c>
      <c r="AK40" s="2">
        <v>5.3226472408488101E-2</v>
      </c>
      <c r="AL40" s="2">
        <v>787</v>
      </c>
      <c r="AM40" s="2">
        <f t="shared" si="6"/>
        <v>0.97719830297593746</v>
      </c>
      <c r="AN40" s="3">
        <f t="shared" si="7"/>
        <v>0.42300665828959955</v>
      </c>
      <c r="AO40" s="3">
        <f t="shared" si="8"/>
        <v>0.97722075079438431</v>
      </c>
    </row>
    <row r="41" spans="1:41" x14ac:dyDescent="0.25">
      <c r="A41" s="2">
        <v>40</v>
      </c>
      <c r="B41" s="2">
        <v>200</v>
      </c>
      <c r="C41" s="2">
        <v>-100</v>
      </c>
      <c r="D41" s="2">
        <v>0.39797535816330198</v>
      </c>
      <c r="E41" s="2">
        <v>0.43810453509658798</v>
      </c>
      <c r="F41" s="2">
        <v>4.01291769332867E-2</v>
      </c>
      <c r="G41" s="2">
        <v>5.1100124095641297E-2</v>
      </c>
      <c r="H41" s="2">
        <v>5.9632763065199396E-3</v>
      </c>
      <c r="I41" s="2">
        <v>3.0767806985031601E-3</v>
      </c>
      <c r="J41" s="2">
        <v>0.377954898787491</v>
      </c>
      <c r="K41" s="3">
        <v>9.4552084335401708E-6</v>
      </c>
      <c r="L41" s="2">
        <v>63.347018058171898</v>
      </c>
      <c r="M41" s="2">
        <v>1.6636570124243399</v>
      </c>
      <c r="N41" s="2">
        <v>34.9893249294038</v>
      </c>
      <c r="O41" s="2">
        <v>27.667819269712599</v>
      </c>
      <c r="P41" s="2">
        <v>53.236835910940002</v>
      </c>
      <c r="Q41" s="2">
        <v>19.0953448193474</v>
      </c>
      <c r="R41" s="2">
        <v>0</v>
      </c>
      <c r="S41" s="2">
        <v>53.236835910940002</v>
      </c>
      <c r="T41" s="2">
        <v>0.214455485804496</v>
      </c>
      <c r="U41" s="2">
        <v>-108.39875751081</v>
      </c>
      <c r="V41" s="2">
        <v>8.8080314187917993E-2</v>
      </c>
      <c r="W41" s="2">
        <v>99.957714646922994</v>
      </c>
      <c r="X41" s="2">
        <v>43.988008282637303</v>
      </c>
      <c r="Y41" s="2">
        <v>312.52014596903501</v>
      </c>
      <c r="Z41" s="2">
        <v>54.5692104195467</v>
      </c>
      <c r="AA41" s="2">
        <v>299.247622325333</v>
      </c>
      <c r="AB41" s="2">
        <v>3.2682720986010998</v>
      </c>
      <c r="AC41" s="2">
        <v>772.59797721200005</v>
      </c>
      <c r="AD41" s="2">
        <v>3.8770431250965398</v>
      </c>
      <c r="AE41" s="2">
        <v>0</v>
      </c>
      <c r="AF41" s="2">
        <v>172.22178857966099</v>
      </c>
      <c r="AG41" s="2">
        <v>111.941176885128</v>
      </c>
      <c r="AH41" s="2">
        <v>24.8981861513072</v>
      </c>
      <c r="AI41" s="2">
        <v>-35.0391109425317</v>
      </c>
      <c r="AJ41" s="2">
        <v>4367948865.5</v>
      </c>
      <c r="AK41" s="2">
        <v>4.9518512747862301E-2</v>
      </c>
      <c r="AL41" s="2">
        <v>4214</v>
      </c>
      <c r="AM41" s="2">
        <f t="shared" si="6"/>
        <v>0.9084027356063803</v>
      </c>
      <c r="AN41" s="3">
        <f t="shared" si="7"/>
        <v>0.43809507988815444</v>
      </c>
      <c r="AO41" s="3">
        <f t="shared" si="8"/>
        <v>0.90842234125273669</v>
      </c>
    </row>
    <row r="42" spans="1:41" x14ac:dyDescent="0.25">
      <c r="A42" s="2">
        <v>41</v>
      </c>
      <c r="B42" s="2">
        <v>200</v>
      </c>
      <c r="C42" s="2">
        <v>-75</v>
      </c>
      <c r="D42" s="2">
        <v>0.46123767996618298</v>
      </c>
      <c r="E42" s="2">
        <v>0.44966585479246701</v>
      </c>
      <c r="F42" s="2">
        <v>-1.1571825173715701E-2</v>
      </c>
      <c r="G42" s="2">
        <v>5.1574718710449698E-2</v>
      </c>
      <c r="H42" s="2">
        <v>6.6418813829735397E-3</v>
      </c>
      <c r="I42" s="2">
        <v>4.2992730301087499E-3</v>
      </c>
      <c r="J42" s="2">
        <v>0.38681477065742298</v>
      </c>
      <c r="K42" s="2">
        <v>3.3521101151187199E-4</v>
      </c>
      <c r="L42" s="2">
        <v>30.690949351664202</v>
      </c>
      <c r="M42" s="2">
        <v>3.0487642305799798</v>
      </c>
      <c r="N42" s="2">
        <v>66.260286417755907</v>
      </c>
      <c r="O42" s="2">
        <v>28.358298284186901</v>
      </c>
      <c r="P42" s="2">
        <v>54.620284355949501</v>
      </c>
      <c r="Q42" s="2">
        <v>17.021417359863602</v>
      </c>
      <c r="R42" s="2">
        <v>0</v>
      </c>
      <c r="S42" s="2">
        <v>54.620284355949501</v>
      </c>
      <c r="T42" s="2">
        <v>0.24319154920342601</v>
      </c>
      <c r="U42" s="2">
        <v>-83.850373917885904</v>
      </c>
      <c r="V42" s="2">
        <v>0.61814711150197399</v>
      </c>
      <c r="W42" s="2">
        <v>99.978549750874294</v>
      </c>
      <c r="X42" s="2">
        <v>44.862539096087701</v>
      </c>
      <c r="Y42" s="2">
        <v>308.896608979468</v>
      </c>
      <c r="Z42" s="2">
        <v>53.948117365401004</v>
      </c>
      <c r="AA42" s="2">
        <v>298.143051932817</v>
      </c>
      <c r="AB42" s="2">
        <v>3.3237735060903</v>
      </c>
      <c r="AC42" s="2">
        <v>772.42995625306503</v>
      </c>
      <c r="AD42" s="2">
        <v>2.2705069715197901</v>
      </c>
      <c r="AE42" s="2">
        <v>0</v>
      </c>
      <c r="AF42" s="2">
        <v>171.91148914441601</v>
      </c>
      <c r="AG42" s="2">
        <v>111.937950572207</v>
      </c>
      <c r="AH42" s="2">
        <v>25.4392109580909</v>
      </c>
      <c r="AI42" s="2">
        <v>-30.223861042789999</v>
      </c>
      <c r="AJ42" s="2">
        <v>40402438218.900002</v>
      </c>
      <c r="AK42" s="2">
        <v>5.42529388780668E-2</v>
      </c>
      <c r="AL42" s="2">
        <v>13238</v>
      </c>
      <c r="AM42" s="2">
        <f t="shared" si="6"/>
        <v>1.0257342759081778</v>
      </c>
      <c r="AN42" s="3">
        <f t="shared" si="7"/>
        <v>0.44933064378095516</v>
      </c>
      <c r="AO42" s="3">
        <f t="shared" si="8"/>
        <v>1.0264994973078942</v>
      </c>
    </row>
    <row r="43" spans="1:41" x14ac:dyDescent="0.25">
      <c r="A43" s="2">
        <v>42</v>
      </c>
      <c r="B43" s="2">
        <v>200</v>
      </c>
      <c r="C43" s="2">
        <v>-50</v>
      </c>
      <c r="D43" s="2">
        <v>0.55162048289953003</v>
      </c>
      <c r="E43" s="2">
        <v>0.528056811913441</v>
      </c>
      <c r="F43" s="2">
        <v>-2.3563670986089399E-2</v>
      </c>
      <c r="G43" s="2">
        <v>5.2141437165059402E-2</v>
      </c>
      <c r="H43" s="2">
        <v>7.60194634836642E-3</v>
      </c>
      <c r="I43" s="2">
        <v>6.0671451275600896E-3</v>
      </c>
      <c r="J43" s="2">
        <v>0.42376959011085502</v>
      </c>
      <c r="K43" s="2">
        <v>3.8476693161599698E-2</v>
      </c>
      <c r="L43" s="2">
        <v>10.5947048208574</v>
      </c>
      <c r="M43" s="2">
        <v>4.0799618114770899</v>
      </c>
      <c r="N43" s="2">
        <v>85.325333367665493</v>
      </c>
      <c r="O43" s="2">
        <v>26.3689750003916</v>
      </c>
      <c r="P43" s="2">
        <v>55.9567961781432</v>
      </c>
      <c r="Q43" s="2">
        <v>17.674228821465199</v>
      </c>
      <c r="R43" s="2">
        <v>0</v>
      </c>
      <c r="S43" s="2">
        <v>55.9567961781432</v>
      </c>
      <c r="T43" s="2">
        <v>0.28317028672018102</v>
      </c>
      <c r="U43" s="2">
        <v>-60.125745455296098</v>
      </c>
      <c r="V43" s="2">
        <v>40.206805093087603</v>
      </c>
      <c r="W43" s="2">
        <v>99.987501828126099</v>
      </c>
      <c r="X43" s="2">
        <v>44.746887650445302</v>
      </c>
      <c r="Y43" s="2">
        <v>303.41782687989098</v>
      </c>
      <c r="Z43" s="2">
        <v>54.591866620004403</v>
      </c>
      <c r="AA43" s="2">
        <v>296.82147037802901</v>
      </c>
      <c r="AB43" s="2">
        <v>3.40663590323447</v>
      </c>
      <c r="AC43" s="2">
        <v>771.70476795000798</v>
      </c>
      <c r="AD43" s="2">
        <v>2.3004528911742201</v>
      </c>
      <c r="AE43" s="2">
        <v>0</v>
      </c>
      <c r="AF43" s="2">
        <v>172.27710506787301</v>
      </c>
      <c r="AG43" s="2">
        <v>112.029935717296</v>
      </c>
      <c r="AH43" s="2">
        <v>26.636308397756899</v>
      </c>
      <c r="AI43" s="2">
        <v>-25.3047853071905</v>
      </c>
      <c r="AJ43" s="2">
        <v>242569811410</v>
      </c>
      <c r="AK43" s="2">
        <v>5.1514837722101602E-2</v>
      </c>
      <c r="AL43" s="2">
        <v>35924</v>
      </c>
      <c r="AM43" s="2">
        <f t="shared" si="6"/>
        <v>1.0446233633474111</v>
      </c>
      <c r="AN43" s="3">
        <f t="shared" si="7"/>
        <v>0.48958011875184132</v>
      </c>
      <c r="AO43" s="3">
        <f t="shared" si="8"/>
        <v>1.1267215758390217</v>
      </c>
    </row>
    <row r="44" spans="1:41" x14ac:dyDescent="0.25">
      <c r="A44" s="2">
        <v>43</v>
      </c>
      <c r="B44" s="2">
        <v>200</v>
      </c>
      <c r="C44" s="2">
        <v>-25</v>
      </c>
      <c r="D44" s="2">
        <v>0.65737658676705801</v>
      </c>
      <c r="E44" s="2">
        <v>0.66783561863295604</v>
      </c>
      <c r="F44" s="2">
        <v>1.04590318658983E-2</v>
      </c>
      <c r="G44" s="2">
        <v>5.2562897343264602E-2</v>
      </c>
      <c r="H44" s="2">
        <v>8.2027815222067407E-3</v>
      </c>
      <c r="I44" s="2">
        <v>9.2399514245838192E-3</v>
      </c>
      <c r="J44" s="2">
        <v>0.487057112823851</v>
      </c>
      <c r="K44" s="2">
        <v>0.11077287551905</v>
      </c>
      <c r="L44" s="2">
        <v>5.5281902172651103</v>
      </c>
      <c r="M44" s="2">
        <v>4.5510150462744603</v>
      </c>
      <c r="N44" s="2">
        <v>89.920794736460394</v>
      </c>
      <c r="O44" s="2">
        <v>26.712386584918001</v>
      </c>
      <c r="P44" s="2">
        <v>54.691413755458903</v>
      </c>
      <c r="Q44" s="2">
        <v>18.5961996596231</v>
      </c>
      <c r="R44" s="2">
        <v>0</v>
      </c>
      <c r="S44" s="2">
        <v>54.691413755458903</v>
      </c>
      <c r="T44" s="2">
        <v>0.30508073523624202</v>
      </c>
      <c r="U44" s="2">
        <v>-36.608822517902503</v>
      </c>
      <c r="V44" s="2">
        <v>164.01481870093701</v>
      </c>
      <c r="W44" s="2">
        <v>99.982298598959105</v>
      </c>
      <c r="X44" s="2">
        <v>44.915762950830498</v>
      </c>
      <c r="Y44" s="2">
        <v>301.54781073739503</v>
      </c>
      <c r="Z44" s="2">
        <v>55.6086153011343</v>
      </c>
      <c r="AA44" s="2">
        <v>295.84329102633097</v>
      </c>
      <c r="AB44" s="2">
        <v>3.5385853745682398</v>
      </c>
      <c r="AC44" s="2">
        <v>769.02733121778397</v>
      </c>
      <c r="AD44" s="2">
        <v>4.0923454087880504</v>
      </c>
      <c r="AE44" s="2">
        <v>0</v>
      </c>
      <c r="AF44" s="2">
        <v>173.090513284081</v>
      </c>
      <c r="AG44" s="2">
        <v>112.208710096484</v>
      </c>
      <c r="AH44" s="2">
        <v>29.632040268703399</v>
      </c>
      <c r="AI44" s="2">
        <v>-17.728625567357401</v>
      </c>
      <c r="AJ44" s="2">
        <v>537965754519.79999</v>
      </c>
      <c r="AK44" s="2">
        <v>5.8396056387202598E-2</v>
      </c>
      <c r="AL44" s="2">
        <v>77009</v>
      </c>
      <c r="AM44" s="2">
        <f t="shared" si="6"/>
        <v>0.98433891278918695</v>
      </c>
      <c r="AN44" s="3">
        <f t="shared" si="7"/>
        <v>0.55706274311390602</v>
      </c>
      <c r="AO44" s="3">
        <f t="shared" si="8"/>
        <v>1.1800763825855793</v>
      </c>
    </row>
    <row r="45" spans="1:41" x14ac:dyDescent="0.25">
      <c r="A45" s="2">
        <v>44</v>
      </c>
      <c r="B45" s="2">
        <v>200</v>
      </c>
      <c r="C45" s="2">
        <v>0</v>
      </c>
      <c r="D45" s="2">
        <v>0.74609031633424905</v>
      </c>
      <c r="E45" s="2">
        <v>0.76066819202427804</v>
      </c>
      <c r="F45" s="2">
        <v>1.45778756900287E-2</v>
      </c>
      <c r="G45" s="2">
        <v>5.35580779241168E-2</v>
      </c>
      <c r="H45" s="2">
        <v>1.00194489933314E-2</v>
      </c>
      <c r="I45" s="2">
        <v>1.33732107376692E-2</v>
      </c>
      <c r="J45" s="2">
        <v>0.50989953819884903</v>
      </c>
      <c r="K45" s="2">
        <v>0.173817916170312</v>
      </c>
      <c r="L45" s="2">
        <v>4.8410084820224002</v>
      </c>
      <c r="M45" s="2">
        <v>4.7542734145977104</v>
      </c>
      <c r="N45" s="2">
        <v>90.404718103379906</v>
      </c>
      <c r="O45" s="2">
        <v>25.367119505218501</v>
      </c>
      <c r="P45" s="2">
        <v>54.290620603736897</v>
      </c>
      <c r="Q45" s="2">
        <v>20.342259891044499</v>
      </c>
      <c r="R45" s="2">
        <v>0</v>
      </c>
      <c r="S45" s="2">
        <v>54.290620603736897</v>
      </c>
      <c r="T45" s="2">
        <v>0.36123405339947001</v>
      </c>
      <c r="U45" s="2">
        <v>-14.375985970268999</v>
      </c>
      <c r="V45" s="2">
        <v>532.73760950000303</v>
      </c>
      <c r="W45" s="2">
        <v>99.972467169996307</v>
      </c>
      <c r="X45" s="2">
        <v>45.424324465661698</v>
      </c>
      <c r="Y45" s="2">
        <v>283.89083419138097</v>
      </c>
      <c r="Z45" s="2">
        <v>57.262609479515703</v>
      </c>
      <c r="AA45" s="2">
        <v>293.64294951047202</v>
      </c>
      <c r="AB45" s="2">
        <v>3.7304118822797401</v>
      </c>
      <c r="AC45" s="2">
        <v>765.61157091741404</v>
      </c>
      <c r="AD45" s="2">
        <v>7.6516171259404899</v>
      </c>
      <c r="AE45" s="2">
        <v>0</v>
      </c>
      <c r="AF45" s="2">
        <v>171.86349350986899</v>
      </c>
      <c r="AG45" s="2">
        <v>112.12709078645101</v>
      </c>
      <c r="AH45" s="2">
        <v>31.2603973288726</v>
      </c>
      <c r="AI45" s="2">
        <v>-11.083348130249799</v>
      </c>
      <c r="AJ45" s="2">
        <v>537301881277.29999</v>
      </c>
      <c r="AK45" s="2">
        <v>6.3450605102008797E-2</v>
      </c>
      <c r="AL45" s="2">
        <v>105629</v>
      </c>
      <c r="AM45" s="2">
        <f t="shared" si="6"/>
        <v>0.9808354341053297</v>
      </c>
      <c r="AN45" s="3">
        <f t="shared" si="7"/>
        <v>0.58685027585396599</v>
      </c>
      <c r="AO45" s="3">
        <f t="shared" si="8"/>
        <v>1.2713469636672863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E30"/>
  <sheetViews>
    <sheetView workbookViewId="0">
      <selection activeCell="A3" sqref="A3:AE13"/>
    </sheetView>
  </sheetViews>
  <sheetFormatPr defaultRowHeight="15" x14ac:dyDescent="0.25"/>
  <cols>
    <col min="1" max="1" width="13.140625" customWidth="1"/>
    <col min="2" max="2" width="16.28515625" customWidth="1"/>
    <col min="3" max="3" width="11.7109375" customWidth="1"/>
    <col min="4" max="4" width="12.140625" customWidth="1"/>
    <col min="5" max="5" width="15" customWidth="1"/>
    <col min="6" max="6" width="6.140625" customWidth="1"/>
    <col min="7" max="7" width="13.85546875" customWidth="1"/>
    <col min="8" max="8" width="15.28515625" customWidth="1"/>
    <col min="9" max="9" width="11.7109375" customWidth="1"/>
    <col min="10" max="10" width="12.140625" customWidth="1"/>
    <col min="11" max="11" width="15" customWidth="1"/>
    <col min="12" max="12" width="6.140625" customWidth="1"/>
    <col min="13" max="13" width="13.85546875" customWidth="1"/>
    <col min="14" max="14" width="15.28515625" customWidth="1"/>
    <col min="15" max="15" width="11.7109375" customWidth="1"/>
    <col min="16" max="16" width="12.140625" customWidth="1"/>
    <col min="17" max="17" width="15" customWidth="1"/>
    <col min="18" max="18" width="6.140625" customWidth="1"/>
    <col min="19" max="19" width="13.85546875" bestFit="1" customWidth="1"/>
    <col min="20" max="20" width="15.28515625" bestFit="1" customWidth="1"/>
    <col min="21" max="21" width="11.7109375" bestFit="1" customWidth="1"/>
    <col min="22" max="22" width="12.140625" bestFit="1" customWidth="1"/>
    <col min="23" max="23" width="15" bestFit="1" customWidth="1"/>
    <col min="24" max="24" width="6.140625" customWidth="1"/>
    <col min="25" max="25" width="13.85546875" bestFit="1" customWidth="1"/>
    <col min="26" max="26" width="16.28515625" bestFit="1" customWidth="1"/>
    <col min="27" max="27" width="11.7109375" bestFit="1" customWidth="1"/>
    <col min="28" max="28" width="12.140625" bestFit="1" customWidth="1"/>
    <col min="29" max="29" width="15" bestFit="1" customWidth="1"/>
    <col min="30" max="30" width="6.140625" customWidth="1"/>
    <col min="31" max="31" width="13.85546875" bestFit="1" customWidth="1"/>
    <col min="32" max="32" width="16.28515625" bestFit="1" customWidth="1"/>
    <col min="33" max="33" width="11.7109375" bestFit="1" customWidth="1"/>
    <col min="34" max="34" width="12.140625" bestFit="1" customWidth="1"/>
    <col min="35" max="35" width="15" bestFit="1" customWidth="1"/>
    <col min="36" max="36" width="6.140625" customWidth="1"/>
    <col min="37" max="37" width="13.85546875" bestFit="1" customWidth="1"/>
  </cols>
  <sheetData>
    <row r="2" spans="1:31" x14ac:dyDescent="0.25">
      <c r="B2" s="4" t="s">
        <v>35</v>
      </c>
      <c r="E2" s="7"/>
      <c r="J2" s="7"/>
    </row>
    <row r="3" spans="1:31" x14ac:dyDescent="0.25">
      <c r="B3" s="2">
        <v>85</v>
      </c>
      <c r="H3" s="2">
        <v>110</v>
      </c>
      <c r="N3" s="2">
        <v>150</v>
      </c>
      <c r="T3" s="2">
        <v>175</v>
      </c>
      <c r="Z3" s="2">
        <v>200</v>
      </c>
    </row>
    <row r="4" spans="1:31" x14ac:dyDescent="0.25">
      <c r="A4" s="4" t="s">
        <v>36</v>
      </c>
      <c r="B4" s="2" t="s">
        <v>37</v>
      </c>
      <c r="C4" s="2" t="s">
        <v>38</v>
      </c>
      <c r="D4" s="2" t="s">
        <v>39</v>
      </c>
      <c r="E4" s="2" t="s">
        <v>40</v>
      </c>
      <c r="F4" s="2" t="s">
        <v>41</v>
      </c>
      <c r="G4" s="2" t="s">
        <v>42</v>
      </c>
      <c r="H4" s="2" t="s">
        <v>37</v>
      </c>
      <c r="I4" s="2" t="s">
        <v>38</v>
      </c>
      <c r="J4" s="2" t="s">
        <v>39</v>
      </c>
      <c r="K4" s="2" t="s">
        <v>40</v>
      </c>
      <c r="L4" s="2" t="s">
        <v>41</v>
      </c>
      <c r="M4" s="2" t="s">
        <v>42</v>
      </c>
      <c r="N4" s="2" t="s">
        <v>37</v>
      </c>
      <c r="O4" s="2" t="s">
        <v>38</v>
      </c>
      <c r="P4" s="2" t="s">
        <v>39</v>
      </c>
      <c r="Q4" s="2" t="s">
        <v>40</v>
      </c>
      <c r="R4" s="2" t="s">
        <v>41</v>
      </c>
      <c r="S4" s="2" t="s">
        <v>42</v>
      </c>
      <c r="T4" s="2" t="s">
        <v>37</v>
      </c>
      <c r="U4" s="2" t="s">
        <v>38</v>
      </c>
      <c r="V4" s="2" t="s">
        <v>39</v>
      </c>
      <c r="W4" s="2" t="s">
        <v>40</v>
      </c>
      <c r="X4" s="2" t="s">
        <v>41</v>
      </c>
      <c r="Y4" s="2" t="s">
        <v>42</v>
      </c>
      <c r="Z4" s="2" t="s">
        <v>37</v>
      </c>
      <c r="AA4" s="2" t="s">
        <v>38</v>
      </c>
      <c r="AB4" s="2" t="s">
        <v>39</v>
      </c>
      <c r="AC4" s="2" t="s">
        <v>40</v>
      </c>
      <c r="AD4" s="2" t="s">
        <v>41</v>
      </c>
      <c r="AE4" s="2" t="s">
        <v>42</v>
      </c>
    </row>
    <row r="5" spans="1:31" x14ac:dyDescent="0.25">
      <c r="A5" s="5">
        <v>-200</v>
      </c>
      <c r="B5" s="6">
        <v>58820.3</v>
      </c>
      <c r="C5" s="8">
        <v>8.0000000000000004E-4</v>
      </c>
      <c r="D5" s="8">
        <v>0.50523071251205298</v>
      </c>
      <c r="E5" s="8">
        <v>0.50522769793345113</v>
      </c>
      <c r="F5" s="8">
        <v>1.5834350133275298E-3</v>
      </c>
      <c r="G5" s="8">
        <v>1.583444461323608E-3</v>
      </c>
      <c r="H5" s="6">
        <v>281105.90000000002</v>
      </c>
      <c r="I5" s="8">
        <v>0</v>
      </c>
      <c r="J5" s="8">
        <v>0.54662159786949704</v>
      </c>
      <c r="K5" s="8">
        <v>0.54661674048596365</v>
      </c>
      <c r="L5" s="8">
        <v>0</v>
      </c>
      <c r="M5" s="8">
        <v>0</v>
      </c>
      <c r="N5" s="6">
        <v>128882.9</v>
      </c>
      <c r="O5" s="8">
        <v>0</v>
      </c>
      <c r="P5" s="8">
        <v>0.44493080674499402</v>
      </c>
      <c r="Q5" s="8">
        <v>0.44492616861466239</v>
      </c>
      <c r="R5" s="8">
        <v>0</v>
      </c>
      <c r="S5" s="8">
        <v>0</v>
      </c>
      <c r="T5" s="6"/>
      <c r="U5" s="8"/>
      <c r="V5" s="8"/>
      <c r="W5" s="8"/>
      <c r="X5" s="8"/>
      <c r="Y5" s="8"/>
      <c r="Z5" s="6">
        <v>256666.2</v>
      </c>
      <c r="AA5" s="8">
        <v>0</v>
      </c>
      <c r="AB5" s="8">
        <v>0.369835544350267</v>
      </c>
      <c r="AC5" s="8">
        <v>0.3698284563315285</v>
      </c>
      <c r="AD5" s="8">
        <v>0</v>
      </c>
      <c r="AE5" s="8">
        <v>0</v>
      </c>
    </row>
    <row r="6" spans="1:31" x14ac:dyDescent="0.25">
      <c r="A6" s="5">
        <v>-175</v>
      </c>
      <c r="B6" s="6">
        <v>488533.5</v>
      </c>
      <c r="C6" s="8">
        <v>7.5213920846779205E-4</v>
      </c>
      <c r="D6" s="8">
        <v>0.51773152836699099</v>
      </c>
      <c r="E6" s="8">
        <v>0.5177285755342903</v>
      </c>
      <c r="F6" s="8">
        <v>1.4527591372311454E-3</v>
      </c>
      <c r="G6" s="8">
        <v>1.4527674229524467E-3</v>
      </c>
      <c r="H6" s="6">
        <v>451969.4</v>
      </c>
      <c r="I6" s="8">
        <v>0</v>
      </c>
      <c r="J6" s="8">
        <v>0.60766958607239996</v>
      </c>
      <c r="K6" s="8">
        <v>0.60766482840293223</v>
      </c>
      <c r="L6" s="8">
        <v>0</v>
      </c>
      <c r="M6" s="8">
        <v>0</v>
      </c>
      <c r="N6" s="6">
        <v>1158048.1000000001</v>
      </c>
      <c r="O6" s="8">
        <v>3.0158558698900298E-3</v>
      </c>
      <c r="P6" s="8">
        <v>0.46486791943701999</v>
      </c>
      <c r="Q6" s="8">
        <v>0.46486336798792671</v>
      </c>
      <c r="R6" s="8">
        <v>6.4875543004610714E-3</v>
      </c>
      <c r="S6" s="8">
        <v>6.4876178197124726E-3</v>
      </c>
      <c r="T6" s="6">
        <v>281354.7</v>
      </c>
      <c r="U6" s="8">
        <v>0</v>
      </c>
      <c r="V6" s="8">
        <v>0.50089382025062401</v>
      </c>
      <c r="W6" s="8">
        <v>0.50088715454755539</v>
      </c>
      <c r="X6" s="8">
        <v>0</v>
      </c>
      <c r="Y6" s="8">
        <v>0</v>
      </c>
      <c r="Z6" s="6">
        <v>2938559.1</v>
      </c>
      <c r="AA6" s="8">
        <v>7.3962218421947E-5</v>
      </c>
      <c r="AB6" s="8">
        <v>0.417481670346877</v>
      </c>
      <c r="AC6" s="8">
        <v>0.41747490804676729</v>
      </c>
      <c r="AD6" s="8">
        <v>1.7716279222628698E-4</v>
      </c>
      <c r="AE6" s="8">
        <v>1.7716566192682757E-4</v>
      </c>
    </row>
    <row r="7" spans="1:31" x14ac:dyDescent="0.25">
      <c r="A7" s="5">
        <v>-150</v>
      </c>
      <c r="B7" s="6">
        <v>4838230.0999999996</v>
      </c>
      <c r="C7" s="8">
        <v>9.6399666998062006E-3</v>
      </c>
      <c r="D7" s="8">
        <v>0.56009217709813397</v>
      </c>
      <c r="E7" s="8">
        <v>0.56008859898977414</v>
      </c>
      <c r="F7" s="8">
        <v>1.7211393220579081E-2</v>
      </c>
      <c r="G7" s="8">
        <v>1.7211503175022142E-2</v>
      </c>
      <c r="H7" s="6">
        <v>3028281.2</v>
      </c>
      <c r="I7" s="8">
        <v>0.80176924152882501</v>
      </c>
      <c r="J7" s="8">
        <v>0.568775123138898</v>
      </c>
      <c r="K7" s="8">
        <v>0.5687704920981782</v>
      </c>
      <c r="L7" s="8">
        <v>1.4096418934500914</v>
      </c>
      <c r="M7" s="8">
        <v>1.4096533710304151</v>
      </c>
      <c r="N7" s="6">
        <v>6808924.5</v>
      </c>
      <c r="O7" s="8">
        <v>1.4011899431400699E-2</v>
      </c>
      <c r="P7" s="8">
        <v>0.533815946029357</v>
      </c>
      <c r="Q7" s="8">
        <v>0.53381069124021374</v>
      </c>
      <c r="R7" s="8">
        <v>2.6248559144072703E-2</v>
      </c>
      <c r="S7" s="8">
        <v>2.6248817532759705E-2</v>
      </c>
      <c r="T7" s="6">
        <v>3059595</v>
      </c>
      <c r="U7" s="8">
        <v>4.3912670598559604E-3</v>
      </c>
      <c r="V7" s="8">
        <v>0.51221359758372897</v>
      </c>
      <c r="W7" s="8">
        <v>0.51220724244975391</v>
      </c>
      <c r="X7" s="8">
        <v>8.5731169195252411E-3</v>
      </c>
      <c r="Y7" s="8">
        <v>8.5732232891781723E-3</v>
      </c>
      <c r="Z7" s="6">
        <v>19995677.899999999</v>
      </c>
      <c r="AA7" s="8">
        <v>2.23298838306152</v>
      </c>
      <c r="AB7" s="8">
        <v>0.43667271714130501</v>
      </c>
      <c r="AC7" s="8">
        <v>0.4366645680534173</v>
      </c>
      <c r="AD7" s="8">
        <v>5.1136429994524635</v>
      </c>
      <c r="AE7" s="8">
        <v>5.113738430887202</v>
      </c>
    </row>
    <row r="8" spans="1:31" x14ac:dyDescent="0.25">
      <c r="A8" s="5">
        <v>-125</v>
      </c>
      <c r="B8" s="6">
        <v>40459651</v>
      </c>
      <c r="C8" s="8">
        <v>0.13978729380438801</v>
      </c>
      <c r="D8" s="8">
        <v>0.60626416228726898</v>
      </c>
      <c r="E8" s="8">
        <v>0.60626065107851135</v>
      </c>
      <c r="F8" s="8">
        <v>0.23057159320948273</v>
      </c>
      <c r="G8" s="8">
        <v>0.23057292858395559</v>
      </c>
      <c r="H8" s="6">
        <v>38934197.200000003</v>
      </c>
      <c r="I8" s="8">
        <v>0.25302944818212397</v>
      </c>
      <c r="J8" s="8">
        <v>0.57272117826555202</v>
      </c>
      <c r="K8" s="8">
        <v>0.57271669514567891</v>
      </c>
      <c r="L8" s="8">
        <v>0.44180215047819049</v>
      </c>
      <c r="M8" s="8">
        <v>0.4418056088233332</v>
      </c>
      <c r="N8" s="6">
        <v>70280831.900000006</v>
      </c>
      <c r="O8" s="8">
        <v>0.34242220229353898</v>
      </c>
      <c r="P8" s="8">
        <v>0.56667139882320505</v>
      </c>
      <c r="Q8" s="8">
        <v>0.56666595641260531</v>
      </c>
      <c r="R8" s="8">
        <v>0.60426942846355081</v>
      </c>
      <c r="S8" s="8">
        <v>0.60427523202790012</v>
      </c>
      <c r="T8" s="6">
        <v>38361118.5</v>
      </c>
      <c r="U8" s="8">
        <v>0.44836471818333501</v>
      </c>
      <c r="V8" s="8">
        <v>0.53062949960066597</v>
      </c>
      <c r="W8" s="8">
        <v>0.5306233945248976</v>
      </c>
      <c r="X8" s="8">
        <v>0.84496756874760881</v>
      </c>
      <c r="Y8" s="8">
        <v>0.84497729050334414</v>
      </c>
      <c r="Z8" s="6">
        <v>334949024</v>
      </c>
      <c r="AA8" s="8">
        <v>0.41337088420478602</v>
      </c>
      <c r="AB8" s="8">
        <v>0.42301637543364101</v>
      </c>
      <c r="AC8" s="8">
        <v>0.42300665828959955</v>
      </c>
      <c r="AD8" s="8">
        <v>0.97719830297593746</v>
      </c>
      <c r="AE8" s="8">
        <v>0.97722075079438431</v>
      </c>
    </row>
    <row r="9" spans="1:31" x14ac:dyDescent="0.25">
      <c r="A9" s="5">
        <v>-100</v>
      </c>
      <c r="B9" s="6">
        <v>290448706</v>
      </c>
      <c r="C9" s="8">
        <v>0.88219308081482695</v>
      </c>
      <c r="D9" s="8">
        <v>0.65464630695109105</v>
      </c>
      <c r="E9" s="8">
        <v>0.65464272430795556</v>
      </c>
      <c r="F9" s="8">
        <v>1.3475873482331215</v>
      </c>
      <c r="G9" s="8">
        <v>1.3475947231330225</v>
      </c>
      <c r="H9" s="6">
        <v>389401989</v>
      </c>
      <c r="I9" s="8">
        <v>0.75244089264952396</v>
      </c>
      <c r="J9" s="8">
        <v>0.61554595617163999</v>
      </c>
      <c r="K9" s="8">
        <v>0.61554146570412149</v>
      </c>
      <c r="L9" s="8">
        <v>1.2223959642742124</v>
      </c>
      <c r="M9" s="8">
        <v>1.2224048818365183</v>
      </c>
      <c r="N9" s="6">
        <v>723395618.29999995</v>
      </c>
      <c r="O9" s="8">
        <v>0.69793278639351697</v>
      </c>
      <c r="P9" s="8">
        <v>0.59791793855197195</v>
      </c>
      <c r="Q9" s="8">
        <v>0.59791254711212649</v>
      </c>
      <c r="R9" s="8">
        <v>1.167271863566695</v>
      </c>
      <c r="S9" s="8">
        <v>1.1672823889789248</v>
      </c>
      <c r="T9" s="6">
        <v>420354806.60000002</v>
      </c>
      <c r="U9" s="8">
        <v>0.520461591211694</v>
      </c>
      <c r="V9" s="8">
        <v>0.55834783687179601</v>
      </c>
      <c r="W9" s="8">
        <v>0.55834171758711804</v>
      </c>
      <c r="X9" s="8">
        <v>0.93214580023742222</v>
      </c>
      <c r="Y9" s="8">
        <v>0.9321560163207514</v>
      </c>
      <c r="Z9" s="6">
        <v>4367948865.5</v>
      </c>
      <c r="AA9" s="8">
        <v>0.39797535816330198</v>
      </c>
      <c r="AB9" s="8">
        <v>0.43810453509658798</v>
      </c>
      <c r="AC9" s="8">
        <v>0.43809507988815444</v>
      </c>
      <c r="AD9" s="8">
        <v>0.9084027356063803</v>
      </c>
      <c r="AE9" s="8">
        <v>0.90842234125273669</v>
      </c>
    </row>
    <row r="10" spans="1:31" x14ac:dyDescent="0.25">
      <c r="A10" s="5">
        <v>-75</v>
      </c>
      <c r="B10" s="6">
        <v>1354642172</v>
      </c>
      <c r="C10" s="8">
        <v>0.74187233516014395</v>
      </c>
      <c r="D10" s="8">
        <v>0.70051486666124796</v>
      </c>
      <c r="E10" s="8">
        <v>0.70051121421153617</v>
      </c>
      <c r="F10" s="8">
        <v>1.0590386735059765</v>
      </c>
      <c r="G10" s="8">
        <v>1.0590441953097953</v>
      </c>
      <c r="H10" s="6">
        <v>2131329860</v>
      </c>
      <c r="I10" s="8">
        <v>0.65044724919582397</v>
      </c>
      <c r="J10" s="8">
        <v>0.65888719440166199</v>
      </c>
      <c r="K10" s="8">
        <v>0.65888266847621413</v>
      </c>
      <c r="L10" s="8">
        <v>0.98719060671151404</v>
      </c>
      <c r="M10" s="8">
        <v>0.98719738781428479</v>
      </c>
      <c r="N10" s="6">
        <v>4690116736</v>
      </c>
      <c r="O10" s="8">
        <v>0.71885942958551396</v>
      </c>
      <c r="P10" s="8">
        <v>0.63413065393200296</v>
      </c>
      <c r="Q10" s="8">
        <v>0.6341252546412347</v>
      </c>
      <c r="R10" s="8">
        <v>1.1336140669562969</v>
      </c>
      <c r="S10" s="8">
        <v>1.1336237191692022</v>
      </c>
      <c r="T10" s="6">
        <v>3079517732.8000002</v>
      </c>
      <c r="U10" s="8">
        <v>0.55520693951923095</v>
      </c>
      <c r="V10" s="8">
        <v>0.58582038215270604</v>
      </c>
      <c r="W10" s="8">
        <v>0.5858142496607438</v>
      </c>
      <c r="X10" s="8">
        <v>0.94774261264010595</v>
      </c>
      <c r="Y10" s="8">
        <v>0.94775253391456737</v>
      </c>
      <c r="Z10" s="6">
        <v>40402438218.900002</v>
      </c>
      <c r="AA10" s="8">
        <v>0.46123767996618298</v>
      </c>
      <c r="AB10" s="8">
        <v>0.44966585479246701</v>
      </c>
      <c r="AC10" s="8">
        <v>0.44933064378095516</v>
      </c>
      <c r="AD10" s="8">
        <v>1.0257342759081778</v>
      </c>
      <c r="AE10" s="8">
        <v>1.0264994973078942</v>
      </c>
    </row>
    <row r="11" spans="1:31" x14ac:dyDescent="0.25">
      <c r="A11" s="5">
        <v>-50</v>
      </c>
      <c r="B11" s="6">
        <v>5387488309.1000004</v>
      </c>
      <c r="C11" s="8">
        <v>0.75242698321387602</v>
      </c>
      <c r="D11" s="8">
        <v>0.75162118007664502</v>
      </c>
      <c r="E11" s="8">
        <v>0.75161418464237917</v>
      </c>
      <c r="F11" s="8">
        <v>1.0010720867886518</v>
      </c>
      <c r="G11" s="8">
        <v>1.0010814039810645</v>
      </c>
      <c r="H11" s="6">
        <v>9804881201.8999996</v>
      </c>
      <c r="I11" s="8">
        <v>0.72985987709783395</v>
      </c>
      <c r="J11" s="8">
        <v>0.71215687655178905</v>
      </c>
      <c r="K11" s="8">
        <v>0.71126750739489364</v>
      </c>
      <c r="L11" s="8">
        <v>1.0248582877297507</v>
      </c>
      <c r="M11" s="8">
        <v>1.0261397709154987</v>
      </c>
      <c r="N11" s="6">
        <v>23219748992.099998</v>
      </c>
      <c r="O11" s="8">
        <v>0.67008478461890397</v>
      </c>
      <c r="P11" s="8">
        <v>0.694965424153414</v>
      </c>
      <c r="Q11" s="8">
        <v>0.68982789120889465</v>
      </c>
      <c r="R11" s="8">
        <v>0.96419873756335595</v>
      </c>
      <c r="S11" s="8">
        <v>0.97137966318614388</v>
      </c>
      <c r="T11" s="6">
        <v>15874688222.1</v>
      </c>
      <c r="U11" s="8">
        <v>0.68306567616175495</v>
      </c>
      <c r="V11" s="8">
        <v>0.64910146130345303</v>
      </c>
      <c r="W11" s="8">
        <v>0.63852510431209097</v>
      </c>
      <c r="X11" s="8">
        <v>1.0523249705679276</v>
      </c>
      <c r="Y11" s="8">
        <v>1.0697553965362872</v>
      </c>
      <c r="Z11" s="6">
        <v>242569811410</v>
      </c>
      <c r="AA11" s="8">
        <v>0.55162048289953003</v>
      </c>
      <c r="AB11" s="8">
        <v>0.528056811913441</v>
      </c>
      <c r="AC11" s="8">
        <v>0.48958011875184132</v>
      </c>
      <c r="AD11" s="8">
        <v>1.0446233633474111</v>
      </c>
      <c r="AE11" s="8">
        <v>1.1267215758390217</v>
      </c>
    </row>
    <row r="12" spans="1:31" x14ac:dyDescent="0.25">
      <c r="A12" s="5">
        <v>-25</v>
      </c>
      <c r="B12" s="6">
        <v>12489215175.799999</v>
      </c>
      <c r="C12" s="8">
        <v>0.80648050144271399</v>
      </c>
      <c r="D12" s="8">
        <v>0.84566273147551396</v>
      </c>
      <c r="E12" s="8">
        <v>0.83776218776238398</v>
      </c>
      <c r="F12" s="8">
        <v>0.95366683599212809</v>
      </c>
      <c r="G12" s="8">
        <v>0.9626604222813856</v>
      </c>
      <c r="H12" s="6">
        <v>22377089045.799999</v>
      </c>
      <c r="I12" s="8">
        <v>0.76100283757500198</v>
      </c>
      <c r="J12" s="8">
        <v>0.823205123181034</v>
      </c>
      <c r="K12" s="8">
        <v>0.79969960119473216</v>
      </c>
      <c r="L12" s="8">
        <v>0.92443889881823182</v>
      </c>
      <c r="M12" s="8">
        <v>0.95161087543132683</v>
      </c>
      <c r="N12" s="6">
        <v>53309460921.800003</v>
      </c>
      <c r="O12" s="8">
        <v>0.758682693333951</v>
      </c>
      <c r="P12" s="8">
        <v>0.81962115019817205</v>
      </c>
      <c r="Q12" s="8">
        <v>0.77841284728557303</v>
      </c>
      <c r="R12" s="8">
        <v>0.92565045832518222</v>
      </c>
      <c r="S12" s="8">
        <v>0.97465335519522367</v>
      </c>
      <c r="T12" s="6">
        <v>37635056596.300003</v>
      </c>
      <c r="U12" s="8">
        <v>0.74382960233977302</v>
      </c>
      <c r="V12" s="8">
        <v>0.77635115842134605</v>
      </c>
      <c r="W12" s="8">
        <v>0.7210155835015255</v>
      </c>
      <c r="X12" s="8">
        <v>0.95810973458492255</v>
      </c>
      <c r="Y12" s="8">
        <v>1.0316415058984634</v>
      </c>
      <c r="Z12" s="6">
        <v>537965754519.79999</v>
      </c>
      <c r="AA12" s="8">
        <v>0.65737658676705801</v>
      </c>
      <c r="AB12" s="8">
        <v>0.66783561863295604</v>
      </c>
      <c r="AC12" s="8">
        <v>0.55706274311390602</v>
      </c>
      <c r="AD12" s="8">
        <v>0.98433891278918695</v>
      </c>
      <c r="AE12" s="8">
        <v>1.1800763825855793</v>
      </c>
    </row>
    <row r="13" spans="1:31" x14ac:dyDescent="0.25">
      <c r="A13" s="5">
        <v>0</v>
      </c>
      <c r="B13" s="6">
        <v>19257355422.799999</v>
      </c>
      <c r="C13" s="8">
        <v>0.81044732727891799</v>
      </c>
      <c r="D13" s="8">
        <v>0.89132690057847197</v>
      </c>
      <c r="E13" s="8">
        <v>0.85850234664754965</v>
      </c>
      <c r="F13" s="8">
        <v>0.90925936012133923</v>
      </c>
      <c r="G13" s="8">
        <v>0.94402459171336406</v>
      </c>
      <c r="H13" s="6">
        <v>32301586823.700001</v>
      </c>
      <c r="I13" s="8">
        <v>0.848410062723989</v>
      </c>
      <c r="J13" s="8">
        <v>0.87831352489404402</v>
      </c>
      <c r="K13" s="8">
        <v>0.82006638357297046</v>
      </c>
      <c r="L13" s="8">
        <v>0.96595354469389227</v>
      </c>
      <c r="M13" s="8">
        <v>1.0345626643388639</v>
      </c>
      <c r="N13" s="6">
        <v>74524432247.300003</v>
      </c>
      <c r="O13" s="8">
        <v>0.83748240393130602</v>
      </c>
      <c r="P13" s="8">
        <v>0.88200658439051105</v>
      </c>
      <c r="Q13" s="8">
        <v>0.79976645076422936</v>
      </c>
      <c r="R13" s="8">
        <v>0.94951944662638499</v>
      </c>
      <c r="S13" s="8">
        <v>1.0471587088093488</v>
      </c>
      <c r="T13" s="6">
        <v>52881421946.800003</v>
      </c>
      <c r="U13" s="8">
        <v>0.80499527326357301</v>
      </c>
      <c r="V13" s="8">
        <v>0.84469121755121901</v>
      </c>
      <c r="W13" s="8">
        <v>0.74229126270189605</v>
      </c>
      <c r="X13" s="8">
        <v>0.95300537822244025</v>
      </c>
      <c r="Y13" s="8">
        <v>1.0844735937392529</v>
      </c>
      <c r="Z13" s="6">
        <v>537301881277.29999</v>
      </c>
      <c r="AA13" s="8">
        <v>0.74609031633424905</v>
      </c>
      <c r="AB13" s="8">
        <v>0.76066819202427804</v>
      </c>
      <c r="AC13" s="8">
        <v>0.58685027585396599</v>
      </c>
      <c r="AD13" s="8">
        <v>0.9808354341053297</v>
      </c>
      <c r="AE13" s="8">
        <v>1.2713469636672863</v>
      </c>
    </row>
    <row r="14" spans="1:31" x14ac:dyDescent="0.25">
      <c r="N14" s="2"/>
      <c r="O14" s="2"/>
      <c r="P14" s="2"/>
      <c r="Q14" s="2"/>
      <c r="R14" s="2"/>
      <c r="S14" s="2"/>
    </row>
    <row r="24" spans="1:3" x14ac:dyDescent="0.25">
      <c r="A24" s="2"/>
      <c r="C24" s="2"/>
    </row>
    <row r="25" spans="1:3" x14ac:dyDescent="0.25">
      <c r="A25" s="2"/>
      <c r="C25" s="2"/>
    </row>
    <row r="26" spans="1:3" x14ac:dyDescent="0.25">
      <c r="A26" s="2"/>
      <c r="C26" s="2"/>
    </row>
    <row r="27" spans="1:3" x14ac:dyDescent="0.25">
      <c r="A27" s="2"/>
      <c r="C27" s="2"/>
    </row>
    <row r="28" spans="1:3" x14ac:dyDescent="0.25">
      <c r="A28" s="2"/>
      <c r="C28" s="2"/>
    </row>
    <row r="29" spans="1:3" x14ac:dyDescent="0.25">
      <c r="A29" s="2"/>
      <c r="C29" s="2"/>
    </row>
    <row r="30" spans="1:3" x14ac:dyDescent="0.25">
      <c r="A30" s="2"/>
      <c r="C3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1"/>
  <sheetViews>
    <sheetView tabSelected="1" workbookViewId="0">
      <selection activeCell="T20" sqref="T20"/>
    </sheetView>
  </sheetViews>
  <sheetFormatPr defaultRowHeight="15" x14ac:dyDescent="0.25"/>
  <cols>
    <col min="2" max="2" width="16.28515625" bestFit="1" customWidth="1"/>
    <col min="8" max="8" width="15.28515625" bestFit="1" customWidth="1"/>
    <col min="14" max="14" width="15.28515625" bestFit="1" customWidth="1"/>
    <col min="20" max="20" width="15.28515625" bestFit="1" customWidth="1"/>
    <col min="26" max="26" width="16.28515625" bestFit="1" customWidth="1"/>
    <col min="32" max="32" width="16.28515625" bestFit="1" customWidth="1"/>
  </cols>
  <sheetData>
    <row r="1" spans="1:35" x14ac:dyDescent="0.25">
      <c r="A1" s="1"/>
      <c r="B1" s="1">
        <v>85</v>
      </c>
      <c r="C1" s="1"/>
      <c r="D1" s="1"/>
      <c r="E1" s="1"/>
      <c r="F1" s="1"/>
      <c r="G1" s="1"/>
      <c r="H1" s="1">
        <v>110</v>
      </c>
      <c r="I1" s="1"/>
      <c r="J1" s="1"/>
      <c r="K1" s="1"/>
      <c r="L1" s="1"/>
      <c r="M1" s="1"/>
      <c r="N1" s="1">
        <v>150</v>
      </c>
      <c r="O1" s="1"/>
      <c r="P1" s="1"/>
      <c r="Q1" s="1"/>
      <c r="R1" s="1"/>
      <c r="S1" s="1"/>
      <c r="T1" s="1">
        <v>175</v>
      </c>
      <c r="U1" s="1"/>
      <c r="V1" s="1"/>
      <c r="W1" s="1"/>
      <c r="X1" s="1"/>
      <c r="Y1" s="1"/>
      <c r="Z1" s="1">
        <v>200</v>
      </c>
      <c r="AA1" s="1"/>
      <c r="AB1" s="1"/>
      <c r="AC1" s="1"/>
      <c r="AD1" s="1"/>
      <c r="AE1" s="1"/>
    </row>
    <row r="2" spans="1:35" x14ac:dyDescent="0.25">
      <c r="A2" s="9" t="s">
        <v>36</v>
      </c>
      <c r="B2" s="9" t="s">
        <v>37</v>
      </c>
      <c r="C2" s="9" t="s">
        <v>38</v>
      </c>
      <c r="D2" s="9" t="s">
        <v>39</v>
      </c>
      <c r="E2" s="9" t="s">
        <v>40</v>
      </c>
      <c r="F2" s="9" t="s">
        <v>41</v>
      </c>
      <c r="G2" s="9" t="s">
        <v>42</v>
      </c>
      <c r="H2" s="9" t="s">
        <v>37</v>
      </c>
      <c r="I2" s="9" t="s">
        <v>38</v>
      </c>
      <c r="J2" s="9" t="s">
        <v>39</v>
      </c>
      <c r="K2" s="9" t="s">
        <v>40</v>
      </c>
      <c r="L2" s="9" t="s">
        <v>41</v>
      </c>
      <c r="M2" s="9" t="s">
        <v>42</v>
      </c>
      <c r="N2" s="9" t="s">
        <v>37</v>
      </c>
      <c r="O2" s="9" t="s">
        <v>38</v>
      </c>
      <c r="P2" s="9" t="s">
        <v>39</v>
      </c>
      <c r="Q2" s="9" t="s">
        <v>40</v>
      </c>
      <c r="R2" s="9" t="s">
        <v>41</v>
      </c>
      <c r="S2" s="9" t="s">
        <v>42</v>
      </c>
      <c r="T2" s="9" t="s">
        <v>37</v>
      </c>
      <c r="U2" s="9" t="s">
        <v>38</v>
      </c>
      <c r="V2" s="9" t="s">
        <v>39</v>
      </c>
      <c r="W2" s="9" t="s">
        <v>40</v>
      </c>
      <c r="X2" s="9" t="s">
        <v>41</v>
      </c>
      <c r="Y2" s="9" t="s">
        <v>42</v>
      </c>
      <c r="Z2" s="9" t="s">
        <v>37</v>
      </c>
      <c r="AA2" s="9" t="s">
        <v>38</v>
      </c>
      <c r="AB2" s="9" t="s">
        <v>39</v>
      </c>
      <c r="AC2" s="9" t="s">
        <v>40</v>
      </c>
      <c r="AD2" s="9" t="s">
        <v>41</v>
      </c>
      <c r="AE2" s="9" t="s">
        <v>42</v>
      </c>
    </row>
    <row r="3" spans="1:35" x14ac:dyDescent="0.25">
      <c r="A3" s="5">
        <v>-200</v>
      </c>
      <c r="B3" s="6">
        <v>58820.3</v>
      </c>
      <c r="C3" s="8">
        <v>8.0000000000000004E-4</v>
      </c>
      <c r="D3" s="8">
        <v>0.50523071251205298</v>
      </c>
      <c r="E3" s="8">
        <v>0.50522769793345113</v>
      </c>
      <c r="F3" s="8">
        <v>1.5834350133275298E-3</v>
      </c>
      <c r="G3" s="8">
        <v>1.583444461323608E-3</v>
      </c>
      <c r="H3" s="6">
        <v>281105.90000000002</v>
      </c>
      <c r="I3" s="8">
        <v>0</v>
      </c>
      <c r="J3" s="8">
        <v>0.54662159786949704</v>
      </c>
      <c r="K3" s="8">
        <v>0.54661674048596365</v>
      </c>
      <c r="L3" s="8">
        <v>0</v>
      </c>
      <c r="M3" s="8">
        <v>0</v>
      </c>
      <c r="N3" s="6">
        <v>128882.9</v>
      </c>
      <c r="O3" s="8">
        <v>0</v>
      </c>
      <c r="P3" s="8">
        <v>0.44493080674499402</v>
      </c>
      <c r="Q3" s="8">
        <v>0.44492616861466239</v>
      </c>
      <c r="R3" s="8">
        <v>0</v>
      </c>
      <c r="S3" s="8">
        <v>0</v>
      </c>
      <c r="T3" s="6"/>
      <c r="U3" s="8"/>
      <c r="V3" s="8"/>
      <c r="W3" s="8"/>
      <c r="X3" s="8"/>
      <c r="Y3" s="8"/>
      <c r="Z3" s="6">
        <v>256666.2</v>
      </c>
      <c r="AA3" s="8">
        <v>0</v>
      </c>
      <c r="AB3" s="8">
        <v>0.369835544350267</v>
      </c>
      <c r="AC3" s="8">
        <v>0.3698284563315285</v>
      </c>
      <c r="AD3" s="8">
        <v>0</v>
      </c>
      <c r="AE3" s="8">
        <v>0</v>
      </c>
    </row>
    <row r="4" spans="1:35" x14ac:dyDescent="0.25">
      <c r="A4" s="5">
        <v>-175</v>
      </c>
      <c r="B4" s="6">
        <v>488533.5</v>
      </c>
      <c r="C4" s="8">
        <v>7.5213920846779205E-4</v>
      </c>
      <c r="D4" s="8">
        <v>0.51773152836699099</v>
      </c>
      <c r="E4" s="8">
        <v>0.5177285755342903</v>
      </c>
      <c r="F4" s="8">
        <v>1.4527591372311454E-3</v>
      </c>
      <c r="G4" s="8">
        <v>1.4527674229524467E-3</v>
      </c>
      <c r="H4" s="6">
        <v>451969.4</v>
      </c>
      <c r="I4" s="8">
        <v>0</v>
      </c>
      <c r="J4" s="8">
        <v>0.60766958607239996</v>
      </c>
      <c r="K4" s="8">
        <v>0.60766482840293223</v>
      </c>
      <c r="L4" s="8">
        <v>0</v>
      </c>
      <c r="M4" s="8">
        <v>0</v>
      </c>
      <c r="N4" s="6">
        <v>1158048.1000000001</v>
      </c>
      <c r="O4" s="8">
        <v>3.0158558698900298E-3</v>
      </c>
      <c r="P4" s="8">
        <v>0.46486791943701999</v>
      </c>
      <c r="Q4" s="8">
        <v>0.46486336798792671</v>
      </c>
      <c r="R4" s="8">
        <v>6.4875543004610714E-3</v>
      </c>
      <c r="S4" s="8">
        <v>6.4876178197124726E-3</v>
      </c>
      <c r="T4" s="6">
        <v>281354.7</v>
      </c>
      <c r="U4" s="8">
        <v>0</v>
      </c>
      <c r="V4" s="8">
        <v>0.50089382025062401</v>
      </c>
      <c r="W4" s="8">
        <v>0.50088715454755539</v>
      </c>
      <c r="X4" s="8">
        <v>0</v>
      </c>
      <c r="Y4" s="8">
        <v>0</v>
      </c>
      <c r="Z4" s="6">
        <v>2938559.1</v>
      </c>
      <c r="AA4" s="8">
        <v>7.3962218421947E-5</v>
      </c>
      <c r="AB4" s="8">
        <v>0.417481670346877</v>
      </c>
      <c r="AC4" s="8">
        <v>0.41747490804676729</v>
      </c>
      <c r="AD4" s="8">
        <v>1.7716279222628698E-4</v>
      </c>
      <c r="AE4" s="8">
        <v>1.7716566192682757E-4</v>
      </c>
    </row>
    <row r="5" spans="1:35" x14ac:dyDescent="0.25">
      <c r="A5" s="5">
        <v>-150</v>
      </c>
      <c r="B5" s="6">
        <v>4838230.0999999996</v>
      </c>
      <c r="C5" s="8">
        <v>9.6399666998062006E-3</v>
      </c>
      <c r="D5" s="8">
        <v>0.56009217709813397</v>
      </c>
      <c r="E5" s="8">
        <v>0.56008859898977414</v>
      </c>
      <c r="F5" s="8">
        <v>1.7211393220579081E-2</v>
      </c>
      <c r="G5" s="8">
        <v>1.7211503175022142E-2</v>
      </c>
      <c r="H5" s="6">
        <v>3028281.2</v>
      </c>
      <c r="I5" s="8">
        <v>0.80176924152882501</v>
      </c>
      <c r="J5" s="8">
        <v>0.568775123138898</v>
      </c>
      <c r="K5" s="8">
        <v>0.5687704920981782</v>
      </c>
      <c r="L5" s="8">
        <v>1.4096418934500914</v>
      </c>
      <c r="M5" s="8">
        <v>1.4096533710304151</v>
      </c>
      <c r="N5" s="6">
        <v>6808924.5</v>
      </c>
      <c r="O5" s="8">
        <v>1.4011899431400699E-2</v>
      </c>
      <c r="P5" s="8">
        <v>0.533815946029357</v>
      </c>
      <c r="Q5" s="8">
        <v>0.53381069124021374</v>
      </c>
      <c r="R5" s="8">
        <v>2.6248559144072703E-2</v>
      </c>
      <c r="S5" s="8">
        <v>2.6248817532759705E-2</v>
      </c>
      <c r="T5" s="6">
        <v>3059595</v>
      </c>
      <c r="U5" s="8">
        <v>4.3912670598559604E-3</v>
      </c>
      <c r="V5" s="8">
        <v>0.51221359758372897</v>
      </c>
      <c r="W5" s="8">
        <v>0.51220724244975391</v>
      </c>
      <c r="X5" s="8">
        <v>8.5731169195252411E-3</v>
      </c>
      <c r="Y5" s="8">
        <v>8.5732232891781723E-3</v>
      </c>
      <c r="Z5" s="6">
        <v>19995677.899999999</v>
      </c>
      <c r="AA5" s="8">
        <v>2.23298838306152</v>
      </c>
      <c r="AB5" s="8">
        <v>0.43667271714130501</v>
      </c>
      <c r="AC5" s="8">
        <v>0.4366645680534173</v>
      </c>
      <c r="AD5" s="8">
        <v>5.1136429994524635</v>
      </c>
      <c r="AE5" s="8">
        <v>5.113738430887202</v>
      </c>
    </row>
    <row r="6" spans="1:35" x14ac:dyDescent="0.25">
      <c r="A6" s="5">
        <v>-125</v>
      </c>
      <c r="B6" s="6">
        <v>40459651</v>
      </c>
      <c r="C6" s="8">
        <v>0.13978729380438801</v>
      </c>
      <c r="D6" s="8">
        <v>0.60626416228726898</v>
      </c>
      <c r="E6" s="8">
        <v>0.60626065107851135</v>
      </c>
      <c r="F6" s="8">
        <v>0.23057159320948273</v>
      </c>
      <c r="G6" s="8">
        <v>0.23057292858395559</v>
      </c>
      <c r="H6" s="6">
        <v>38934197.200000003</v>
      </c>
      <c r="I6" s="8">
        <v>0.25302944818212397</v>
      </c>
      <c r="J6" s="8">
        <v>0.57272117826555202</v>
      </c>
      <c r="K6" s="8">
        <v>0.57271669514567891</v>
      </c>
      <c r="L6" s="8">
        <v>0.44180215047819049</v>
      </c>
      <c r="M6" s="8">
        <v>0.4418056088233332</v>
      </c>
      <c r="N6" s="6">
        <v>70280831.900000006</v>
      </c>
      <c r="O6" s="8">
        <v>0.34242220229353898</v>
      </c>
      <c r="P6" s="8">
        <v>0.56667139882320505</v>
      </c>
      <c r="Q6" s="8">
        <v>0.56666595641260531</v>
      </c>
      <c r="R6" s="8">
        <v>0.60426942846355081</v>
      </c>
      <c r="S6" s="8">
        <v>0.60427523202790012</v>
      </c>
      <c r="T6" s="6">
        <v>38361118.5</v>
      </c>
      <c r="U6" s="8">
        <v>0.44836471818333501</v>
      </c>
      <c r="V6" s="8">
        <v>0.53062949960066597</v>
      </c>
      <c r="W6" s="8">
        <v>0.5306233945248976</v>
      </c>
      <c r="X6" s="8">
        <v>0.84496756874760881</v>
      </c>
      <c r="Y6" s="8">
        <v>0.84497729050334414</v>
      </c>
      <c r="Z6" s="6">
        <v>334949024</v>
      </c>
      <c r="AA6" s="8">
        <v>0.41337088420478602</v>
      </c>
      <c r="AB6" s="8">
        <v>0.42301637543364101</v>
      </c>
      <c r="AC6" s="8">
        <v>0.42300665828959955</v>
      </c>
      <c r="AD6" s="8">
        <v>0.97719830297593746</v>
      </c>
      <c r="AE6" s="8">
        <v>0.97722075079438431</v>
      </c>
    </row>
    <row r="7" spans="1:35" x14ac:dyDescent="0.25">
      <c r="A7" s="5">
        <v>-100</v>
      </c>
      <c r="B7" s="6">
        <v>290448706</v>
      </c>
      <c r="C7" s="8">
        <v>0.88219308081482695</v>
      </c>
      <c r="D7" s="8">
        <v>0.65464630695109105</v>
      </c>
      <c r="E7" s="8">
        <v>0.65464272430795556</v>
      </c>
      <c r="F7" s="8">
        <v>1.3475873482331215</v>
      </c>
      <c r="G7" s="8">
        <v>1.3475947231330225</v>
      </c>
      <c r="H7" s="6">
        <v>389401989</v>
      </c>
      <c r="I7" s="8">
        <v>0.75244089264952396</v>
      </c>
      <c r="J7" s="8">
        <v>0.61554595617163999</v>
      </c>
      <c r="K7" s="8">
        <v>0.61554146570412149</v>
      </c>
      <c r="L7" s="8">
        <v>1.2223959642742124</v>
      </c>
      <c r="M7" s="8">
        <v>1.2224048818365183</v>
      </c>
      <c r="N7" s="6">
        <v>723395618.29999995</v>
      </c>
      <c r="O7" s="8">
        <v>0.69793278639351697</v>
      </c>
      <c r="P7" s="8">
        <v>0.59791793855197195</v>
      </c>
      <c r="Q7" s="8">
        <v>0.59791254711212649</v>
      </c>
      <c r="R7" s="8">
        <v>1.167271863566695</v>
      </c>
      <c r="S7" s="8">
        <v>1.1672823889789248</v>
      </c>
      <c r="T7" s="6">
        <v>420354806.60000002</v>
      </c>
      <c r="U7" s="8">
        <v>0.520461591211694</v>
      </c>
      <c r="V7" s="8">
        <v>0.55834783687179601</v>
      </c>
      <c r="W7" s="8">
        <v>0.55834171758711804</v>
      </c>
      <c r="X7" s="8">
        <v>0.93214580023742222</v>
      </c>
      <c r="Y7" s="8">
        <v>0.9321560163207514</v>
      </c>
      <c r="Z7" s="6">
        <v>4367948865.5</v>
      </c>
      <c r="AA7" s="8">
        <v>0.39797535816330198</v>
      </c>
      <c r="AB7" s="8">
        <v>0.43810453509658798</v>
      </c>
      <c r="AC7" s="8">
        <v>0.43809507988815444</v>
      </c>
      <c r="AD7" s="8">
        <v>0.9084027356063803</v>
      </c>
      <c r="AE7" s="8">
        <v>0.90842234125273669</v>
      </c>
    </row>
    <row r="8" spans="1:35" x14ac:dyDescent="0.25">
      <c r="A8" s="5">
        <v>-75</v>
      </c>
      <c r="B8" s="6">
        <v>1354642172</v>
      </c>
      <c r="C8" s="8">
        <v>0.74187233516014395</v>
      </c>
      <c r="D8" s="8">
        <v>0.70051486666124796</v>
      </c>
      <c r="E8" s="8">
        <v>0.70051121421153617</v>
      </c>
      <c r="F8" s="8">
        <v>1.0590386735059765</v>
      </c>
      <c r="G8" s="8">
        <v>1.0590441953097953</v>
      </c>
      <c r="H8" s="6">
        <v>2131329860</v>
      </c>
      <c r="I8" s="8">
        <v>0.65044724919582397</v>
      </c>
      <c r="J8" s="8">
        <v>0.65888719440166199</v>
      </c>
      <c r="K8" s="8">
        <v>0.65888266847621413</v>
      </c>
      <c r="L8" s="8">
        <v>0.98719060671151404</v>
      </c>
      <c r="M8" s="8">
        <v>0.98719738781428479</v>
      </c>
      <c r="N8" s="6">
        <v>4690116736</v>
      </c>
      <c r="O8" s="8">
        <v>0.71885942958551396</v>
      </c>
      <c r="P8" s="8">
        <v>0.63413065393200296</v>
      </c>
      <c r="Q8" s="8">
        <v>0.6341252546412347</v>
      </c>
      <c r="R8" s="8">
        <v>1.1336140669562969</v>
      </c>
      <c r="S8" s="8">
        <v>1.1336237191692022</v>
      </c>
      <c r="T8" s="6">
        <v>3079517732.8000002</v>
      </c>
      <c r="U8" s="8">
        <v>0.55520693951923095</v>
      </c>
      <c r="V8" s="8">
        <v>0.58582038215270604</v>
      </c>
      <c r="W8" s="8">
        <v>0.5858142496607438</v>
      </c>
      <c r="X8" s="8">
        <v>0.94774261264010595</v>
      </c>
      <c r="Y8" s="8">
        <v>0.94775253391456737</v>
      </c>
      <c r="Z8" s="6">
        <v>40402438218.900002</v>
      </c>
      <c r="AA8" s="8">
        <v>0.46123767996618298</v>
      </c>
      <c r="AB8" s="8">
        <v>0.44966585479246701</v>
      </c>
      <c r="AC8" s="8">
        <v>0.44933064378095516</v>
      </c>
      <c r="AD8" s="8">
        <v>1.0257342759081778</v>
      </c>
      <c r="AE8" s="8">
        <v>1.0264994973078942</v>
      </c>
    </row>
    <row r="9" spans="1:35" x14ac:dyDescent="0.25">
      <c r="A9" s="5">
        <v>-50</v>
      </c>
      <c r="B9" s="6">
        <v>5387488309.1000004</v>
      </c>
      <c r="C9" s="8">
        <v>0.75242698321387602</v>
      </c>
      <c r="D9" s="8">
        <v>0.75162118007664502</v>
      </c>
      <c r="E9" s="8">
        <v>0.75161418464237917</v>
      </c>
      <c r="F9" s="8">
        <v>1.0010720867886518</v>
      </c>
      <c r="G9" s="8">
        <v>1.0010814039810645</v>
      </c>
      <c r="H9" s="6">
        <v>9804881201.8999996</v>
      </c>
      <c r="I9" s="8">
        <v>0.72985987709783395</v>
      </c>
      <c r="J9" s="8">
        <v>0.71215687655178905</v>
      </c>
      <c r="K9" s="8">
        <v>0.71126750739489364</v>
      </c>
      <c r="L9" s="8">
        <v>1.0248582877297507</v>
      </c>
      <c r="M9" s="8">
        <v>1.0261397709154987</v>
      </c>
      <c r="N9" s="6">
        <v>23219748992.099998</v>
      </c>
      <c r="O9" s="8">
        <v>0.67008478461890397</v>
      </c>
      <c r="P9" s="8">
        <v>0.694965424153414</v>
      </c>
      <c r="Q9" s="8">
        <v>0.68982789120889465</v>
      </c>
      <c r="R9" s="8">
        <v>0.96419873756335595</v>
      </c>
      <c r="S9" s="8">
        <v>0.97137966318614388</v>
      </c>
      <c r="T9" s="6">
        <v>15874688222.1</v>
      </c>
      <c r="U9" s="8">
        <v>0.68306567616175495</v>
      </c>
      <c r="V9" s="8">
        <v>0.64910146130345303</v>
      </c>
      <c r="W9" s="8">
        <v>0.63852510431209097</v>
      </c>
      <c r="X9" s="8">
        <v>1.0523249705679276</v>
      </c>
      <c r="Y9" s="8">
        <v>1.0697553965362872</v>
      </c>
      <c r="Z9" s="6">
        <v>242569811410</v>
      </c>
      <c r="AA9" s="8">
        <v>0.55162048289953003</v>
      </c>
      <c r="AB9" s="8">
        <v>0.528056811913441</v>
      </c>
      <c r="AC9" s="8">
        <v>0.48958011875184132</v>
      </c>
      <c r="AD9" s="8">
        <v>1.0446233633474111</v>
      </c>
      <c r="AE9" s="8">
        <v>1.1267215758390217</v>
      </c>
    </row>
    <row r="10" spans="1:35" x14ac:dyDescent="0.25">
      <c r="A10" s="5">
        <v>-25</v>
      </c>
      <c r="B10" s="6">
        <v>12489215175.799999</v>
      </c>
      <c r="C10" s="8">
        <v>0.80648050144271399</v>
      </c>
      <c r="D10" s="8">
        <v>0.84566273147551396</v>
      </c>
      <c r="E10" s="8">
        <v>0.83776218776238398</v>
      </c>
      <c r="F10" s="8">
        <v>0.95366683599212809</v>
      </c>
      <c r="G10" s="8">
        <v>0.9626604222813856</v>
      </c>
      <c r="H10" s="6">
        <v>22377089045.799999</v>
      </c>
      <c r="I10" s="8">
        <v>0.76100283757500198</v>
      </c>
      <c r="J10" s="8">
        <v>0.823205123181034</v>
      </c>
      <c r="K10" s="8">
        <v>0.79969960119473216</v>
      </c>
      <c r="L10" s="8">
        <v>0.92443889881823182</v>
      </c>
      <c r="M10" s="8">
        <v>0.95161087543132683</v>
      </c>
      <c r="N10" s="6">
        <v>53309460921.800003</v>
      </c>
      <c r="O10" s="8">
        <v>0.758682693333951</v>
      </c>
      <c r="P10" s="8">
        <v>0.81962115019817205</v>
      </c>
      <c r="Q10" s="8">
        <v>0.77841284728557303</v>
      </c>
      <c r="R10" s="8">
        <v>0.92565045832518222</v>
      </c>
      <c r="S10" s="8">
        <v>0.97465335519522367</v>
      </c>
      <c r="T10" s="6">
        <v>37635056596.300003</v>
      </c>
      <c r="U10" s="8">
        <v>0.74382960233977302</v>
      </c>
      <c r="V10" s="8">
        <v>0.77635115842134605</v>
      </c>
      <c r="W10" s="8">
        <v>0.7210155835015255</v>
      </c>
      <c r="X10" s="8">
        <v>0.95810973458492255</v>
      </c>
      <c r="Y10" s="8">
        <v>1.0316415058984634</v>
      </c>
      <c r="Z10" s="6">
        <v>537965754519.79999</v>
      </c>
      <c r="AA10" s="8">
        <v>0.65737658676705801</v>
      </c>
      <c r="AB10" s="8">
        <v>0.66783561863295604</v>
      </c>
      <c r="AC10" s="8">
        <v>0.55706274311390602</v>
      </c>
      <c r="AD10" s="8">
        <v>0.98433891278918695</v>
      </c>
      <c r="AE10" s="8">
        <v>1.1800763825855793</v>
      </c>
    </row>
    <row r="11" spans="1:35" x14ac:dyDescent="0.25">
      <c r="A11" s="5">
        <v>0</v>
      </c>
      <c r="B11" s="6">
        <v>19257355422.799999</v>
      </c>
      <c r="C11" s="8">
        <v>0.81044732727891799</v>
      </c>
      <c r="D11" s="8">
        <v>0.89132690057847197</v>
      </c>
      <c r="E11" s="8">
        <v>0.85850234664754965</v>
      </c>
      <c r="F11" s="8">
        <v>0.90925936012133923</v>
      </c>
      <c r="G11" s="8">
        <v>0.94402459171336406</v>
      </c>
      <c r="H11" s="6">
        <v>32301586823.700001</v>
      </c>
      <c r="I11" s="8">
        <v>0.848410062723989</v>
      </c>
      <c r="J11" s="8">
        <v>0.87831352489404402</v>
      </c>
      <c r="K11" s="8">
        <v>0.82006638357297046</v>
      </c>
      <c r="L11" s="8">
        <v>0.96595354469389227</v>
      </c>
      <c r="M11" s="8">
        <v>1.0345626643388639</v>
      </c>
      <c r="N11" s="6">
        <v>74524432247.300003</v>
      </c>
      <c r="O11" s="8">
        <v>0.83748240393130602</v>
      </c>
      <c r="P11" s="8">
        <v>0.88200658439051105</v>
      </c>
      <c r="Q11" s="8">
        <v>0.79976645076422936</v>
      </c>
      <c r="R11" s="8">
        <v>0.94951944662638499</v>
      </c>
      <c r="S11" s="8">
        <v>1.0471587088093488</v>
      </c>
      <c r="T11" s="6">
        <v>52881421946.800003</v>
      </c>
      <c r="U11" s="8">
        <v>0.80499527326357301</v>
      </c>
      <c r="V11" s="8">
        <v>0.84469121755121901</v>
      </c>
      <c r="W11" s="8">
        <v>0.74229126270189605</v>
      </c>
      <c r="X11" s="8">
        <v>0.95300537822244025</v>
      </c>
      <c r="Y11" s="8">
        <v>1.0844735937392529</v>
      </c>
      <c r="Z11" s="6">
        <v>537301881277.29999</v>
      </c>
      <c r="AA11" s="8">
        <v>0.74609031633424905</v>
      </c>
      <c r="AB11" s="8">
        <v>0.76066819202427804</v>
      </c>
      <c r="AC11" s="8">
        <v>0.58685027585396599</v>
      </c>
      <c r="AD11" s="8">
        <v>0.9808354341053297</v>
      </c>
      <c r="AE11" s="8">
        <v>1.2713469636672863</v>
      </c>
    </row>
    <row r="12" spans="1:35" s="2" customFormat="1" x14ac:dyDescent="0.25"/>
    <row r="14" spans="1:35" x14ac:dyDescent="0.25">
      <c r="C14">
        <f>B1</f>
        <v>85</v>
      </c>
      <c r="D14" s="2">
        <f>C14</f>
        <v>85</v>
      </c>
      <c r="E14" s="2">
        <f>C14</f>
        <v>85</v>
      </c>
      <c r="I14" s="2">
        <f>H1</f>
        <v>110</v>
      </c>
      <c r="J14" s="2">
        <f>I14</f>
        <v>110</v>
      </c>
      <c r="K14" s="2">
        <f>I14</f>
        <v>110</v>
      </c>
      <c r="O14" s="2">
        <f>N1</f>
        <v>150</v>
      </c>
      <c r="P14" s="2">
        <f>O14</f>
        <v>150</v>
      </c>
      <c r="Q14" s="2">
        <f>O14</f>
        <v>150</v>
      </c>
      <c r="U14" s="2">
        <f>T1</f>
        <v>175</v>
      </c>
      <c r="V14" s="2">
        <f>U14</f>
        <v>175</v>
      </c>
      <c r="W14" s="2">
        <f>U14</f>
        <v>175</v>
      </c>
      <c r="AA14" s="2">
        <f>Z1</f>
        <v>200</v>
      </c>
      <c r="AB14" s="2">
        <f>AA14</f>
        <v>200</v>
      </c>
      <c r="AC14" s="2">
        <f>AA14</f>
        <v>200</v>
      </c>
      <c r="AG14" s="2" t="s">
        <v>49</v>
      </c>
      <c r="AH14" s="2" t="s">
        <v>49</v>
      </c>
      <c r="AI14" s="2" t="s">
        <v>49</v>
      </c>
    </row>
    <row r="15" spans="1:35" x14ac:dyDescent="0.25">
      <c r="C15" s="2" t="s">
        <v>46</v>
      </c>
      <c r="D15" s="2" t="s">
        <v>47</v>
      </c>
      <c r="E15" s="2" t="s">
        <v>48</v>
      </c>
      <c r="I15" s="2" t="s">
        <v>46</v>
      </c>
      <c r="J15" s="2" t="s">
        <v>47</v>
      </c>
      <c r="K15" s="2" t="s">
        <v>48</v>
      </c>
      <c r="O15" s="2" t="s">
        <v>46</v>
      </c>
      <c r="P15" s="2" t="s">
        <v>47</v>
      </c>
      <c r="Q15" s="2" t="s">
        <v>48</v>
      </c>
      <c r="U15" s="2" t="s">
        <v>46</v>
      </c>
      <c r="V15" s="2" t="s">
        <v>47</v>
      </c>
      <c r="W15" s="2" t="s">
        <v>48</v>
      </c>
      <c r="AA15" s="2" t="s">
        <v>46</v>
      </c>
      <c r="AB15" s="2" t="s">
        <v>47</v>
      </c>
      <c r="AC15" s="2" t="s">
        <v>48</v>
      </c>
      <c r="AG15" s="2" t="s">
        <v>46</v>
      </c>
      <c r="AH15" s="2" t="s">
        <v>47</v>
      </c>
      <c r="AI15" s="2" t="s">
        <v>48</v>
      </c>
    </row>
    <row r="16" spans="1:35" x14ac:dyDescent="0.25">
      <c r="A16" s="12">
        <f>A7</f>
        <v>-100</v>
      </c>
      <c r="B16" s="12"/>
      <c r="C16" s="11">
        <f t="shared" ref="C16:D16" si="0">100*(1-(1-C7/100)^12)</f>
        <v>10.087471434886396</v>
      </c>
      <c r="D16" s="11">
        <f t="shared" si="0"/>
        <v>7.5789871752245386</v>
      </c>
      <c r="E16" s="11">
        <f t="shared" ref="E16:E19" si="1">C16/D16</f>
        <v>1.3309788236430866</v>
      </c>
      <c r="F16" s="12"/>
      <c r="G16" s="12"/>
      <c r="H16" s="12"/>
      <c r="I16" s="11">
        <f t="shared" ref="I16:J16" si="2">100*(1-(1-I7/100)^12)</f>
        <v>8.6648356827961788</v>
      </c>
      <c r="J16" s="11">
        <f t="shared" si="2"/>
        <v>7.1415402263878107</v>
      </c>
      <c r="K16" s="11">
        <f t="shared" ref="K16:K19" si="3">I16/J16</f>
        <v>1.2133006897839531</v>
      </c>
      <c r="L16" s="12"/>
      <c r="M16" s="12"/>
      <c r="N16" s="12"/>
      <c r="O16" s="11">
        <f t="shared" ref="O16:P16" si="4">100*(1-(1-O7/100)^12)</f>
        <v>8.0610639143962715</v>
      </c>
      <c r="P16" s="11">
        <f t="shared" si="4"/>
        <v>6.9437014307693667</v>
      </c>
      <c r="Q16" s="11">
        <f t="shared" ref="Q16:Q20" si="5">O16/P16</f>
        <v>1.1609174148352026</v>
      </c>
      <c r="R16" s="12"/>
      <c r="S16" s="12"/>
      <c r="T16" s="12"/>
      <c r="U16" s="11">
        <f t="shared" ref="U16:V16" si="6">100*(1-(1-U7/100)^12)</f>
        <v>6.0698237182176928</v>
      </c>
      <c r="V16" s="11">
        <f t="shared" si="6"/>
        <v>6.4981992950522871</v>
      </c>
      <c r="W16" s="11">
        <f t="shared" ref="W16:W20" si="7">U16/V16</f>
        <v>0.93407780257512907</v>
      </c>
      <c r="X16" s="12"/>
      <c r="Y16" s="12"/>
      <c r="Z16" s="12"/>
      <c r="AA16" s="11">
        <f t="shared" ref="AA16:AB16" si="8">100*(1-(1-AA7/100)^12)</f>
        <v>4.6725449925363876</v>
      </c>
      <c r="AB16" s="13">
        <f t="shared" si="8"/>
        <v>5.1324087603634716</v>
      </c>
      <c r="AC16" s="11">
        <f t="shared" ref="AC16:AC20" si="9">AA16/AB16</f>
        <v>0.91040001112566937</v>
      </c>
      <c r="AG16" s="10">
        <f t="shared" ref="AG16:AH16" si="10">100*(1-(1-AG10/100)^12)</f>
        <v>0</v>
      </c>
      <c r="AH16" s="10">
        <f t="shared" si="10"/>
        <v>0</v>
      </c>
      <c r="AI16" s="10" t="e">
        <f t="shared" ref="AI16" si="11">AG16/AH16</f>
        <v>#DIV/0!</v>
      </c>
    </row>
    <row r="17" spans="1:29" x14ac:dyDescent="0.25">
      <c r="A17" s="12">
        <f>A8</f>
        <v>-75</v>
      </c>
      <c r="B17" s="12"/>
      <c r="C17" s="11">
        <f t="shared" ref="C17:D17" si="12">100*(1-(1-C8/100)^12)</f>
        <v>8.548055402737976</v>
      </c>
      <c r="D17" s="11">
        <f t="shared" si="12"/>
        <v>8.0897472768308827</v>
      </c>
      <c r="E17" s="11">
        <f t="shared" si="1"/>
        <v>1.0566529596319643</v>
      </c>
      <c r="F17" s="12"/>
      <c r="G17" s="12"/>
      <c r="H17" s="12"/>
      <c r="I17" s="11">
        <f t="shared" ref="I17:J17" si="13">100*(1-(1-I8/100)^12)</f>
        <v>7.5320996597634799</v>
      </c>
      <c r="J17" s="11">
        <f t="shared" si="13"/>
        <v>7.6263196478594697</v>
      </c>
      <c r="K17" s="11">
        <f t="shared" si="3"/>
        <v>0.98764541843949127</v>
      </c>
      <c r="L17" s="12"/>
      <c r="M17" s="12"/>
      <c r="N17" s="12"/>
      <c r="O17" s="11">
        <f t="shared" ref="O17:P17" si="14">100*(1-(1-O8/100)^12)</f>
        <v>8.2932941114188807</v>
      </c>
      <c r="P17" s="11">
        <f t="shared" si="14"/>
        <v>7.3496982471139454</v>
      </c>
      <c r="Q17" s="11">
        <f t="shared" si="5"/>
        <v>1.1283856605508211</v>
      </c>
      <c r="R17" s="12"/>
      <c r="S17" s="12"/>
      <c r="T17" s="12"/>
      <c r="U17" s="11">
        <f t="shared" ref="U17:V17" si="15">100*(1-(1-U8/100)^12)</f>
        <v>6.4627537156491393</v>
      </c>
      <c r="V17" s="11">
        <f t="shared" si="15"/>
        <v>6.8077073775939745</v>
      </c>
      <c r="W17" s="11">
        <f t="shared" si="7"/>
        <v>0.94932895278663532</v>
      </c>
      <c r="X17" s="12"/>
      <c r="Y17" s="12"/>
      <c r="Z17" s="12"/>
      <c r="AA17" s="11">
        <f t="shared" ref="AA17:AB17" si="16">100*(1-(1-AA8/100)^12)</f>
        <v>5.3965801143277536</v>
      </c>
      <c r="AB17" s="13">
        <f t="shared" si="16"/>
        <v>5.2645188605081721</v>
      </c>
      <c r="AC17" s="11">
        <f t="shared" si="9"/>
        <v>1.0250851516195032</v>
      </c>
    </row>
    <row r="18" spans="1:29" x14ac:dyDescent="0.25">
      <c r="A18" s="12">
        <f>A9</f>
        <v>-50</v>
      </c>
      <c r="B18" s="12"/>
      <c r="C18" s="11">
        <f t="shared" ref="C18:D18" si="17">100*(1-(1-C9/100)^12)</f>
        <v>8.664682076410557</v>
      </c>
      <c r="D18" s="11">
        <f t="shared" si="17"/>
        <v>8.6557829281350589</v>
      </c>
      <c r="E18" s="11">
        <f t="shared" si="1"/>
        <v>1.0010281159254319</v>
      </c>
      <c r="F18" s="12"/>
      <c r="G18" s="12"/>
      <c r="H18" s="12"/>
      <c r="I18" s="11">
        <f t="shared" ref="I18:J18" si="18">100*(1-(1-I9/100)^12)</f>
        <v>8.4151541442946005</v>
      </c>
      <c r="J18" s="11">
        <f t="shared" si="18"/>
        <v>8.218972159821746</v>
      </c>
      <c r="K18" s="11">
        <f t="shared" si="3"/>
        <v>1.0238694061323004</v>
      </c>
      <c r="L18" s="12"/>
      <c r="M18" s="12"/>
      <c r="N18" s="12"/>
      <c r="O18" s="11">
        <f t="shared" ref="O18:P18" si="19">100*(1-(1-O9/100)^12)</f>
        <v>7.7511889885415464</v>
      </c>
      <c r="P18" s="11">
        <f t="shared" si="19"/>
        <v>8.0280904655247287</v>
      </c>
      <c r="Q18" s="11">
        <f t="shared" si="5"/>
        <v>0.96550842592366282</v>
      </c>
      <c r="R18" s="12"/>
      <c r="S18" s="12"/>
      <c r="T18" s="12"/>
      <c r="U18" s="11">
        <f t="shared" ref="U18:V18" si="20">100*(1-(1-U9/100)^12)</f>
        <v>7.8957510550635268</v>
      </c>
      <c r="V18" s="11">
        <f t="shared" si="20"/>
        <v>7.5170677105709682</v>
      </c>
      <c r="W18" s="11">
        <f t="shared" si="7"/>
        <v>1.0503764711285002</v>
      </c>
      <c r="X18" s="12"/>
      <c r="Y18" s="12"/>
      <c r="Z18" s="12"/>
      <c r="AA18" s="11">
        <f t="shared" ref="AA18:AB18" si="21">100*(1-(1-AA9/100)^12)</f>
        <v>6.4222648595655958</v>
      </c>
      <c r="AB18" s="11">
        <f t="shared" si="21"/>
        <v>6.1558459405527399</v>
      </c>
      <c r="AC18" s="11">
        <f t="shared" si="9"/>
        <v>1.0432790101613449</v>
      </c>
    </row>
    <row r="19" spans="1:29" x14ac:dyDescent="0.25">
      <c r="A19" s="12">
        <f>A10</f>
        <v>-25</v>
      </c>
      <c r="B19" s="12"/>
      <c r="C19" s="11">
        <f t="shared" ref="C19:D20" si="22">100*(1-(1-C10/100)^12)</f>
        <v>9.2598281245162788</v>
      </c>
      <c r="D19" s="11">
        <f t="shared" si="22"/>
        <v>9.6890119905418519</v>
      </c>
      <c r="E19" s="11">
        <f t="shared" si="1"/>
        <v>0.95570406286579779</v>
      </c>
      <c r="F19" s="12"/>
      <c r="G19" s="12"/>
      <c r="H19" s="12"/>
      <c r="I19" s="11">
        <f t="shared" ref="I19:J20" si="23">100*(1-(1-I10/100)^12)</f>
        <v>8.7593430801868433</v>
      </c>
      <c r="J19" s="11">
        <f t="shared" si="23"/>
        <v>9.4432500093517113</v>
      </c>
      <c r="K19" s="11">
        <f t="shared" si="3"/>
        <v>0.92757716586052574</v>
      </c>
      <c r="L19" s="12"/>
      <c r="M19" s="12"/>
      <c r="N19" s="12"/>
      <c r="O19" s="11">
        <f t="shared" ref="O19:P19" si="24">100*(1-(1-O10/100)^12)</f>
        <v>8.7337420104211851</v>
      </c>
      <c r="P19" s="11">
        <f t="shared" si="24"/>
        <v>9.4039725803961147</v>
      </c>
      <c r="Q19" s="11">
        <f t="shared" si="5"/>
        <v>0.92872899572547474</v>
      </c>
      <c r="R19" s="12"/>
      <c r="S19" s="12"/>
      <c r="T19" s="12"/>
      <c r="U19" s="11">
        <f t="shared" ref="U19:V19" si="25">100*(1-(1-U10/100)^12)</f>
        <v>8.569693104228671</v>
      </c>
      <c r="V19" s="11">
        <f t="shared" si="25"/>
        <v>8.9285346659170983</v>
      </c>
      <c r="W19" s="11">
        <f t="shared" si="7"/>
        <v>0.95980957961016455</v>
      </c>
      <c r="X19" s="12"/>
      <c r="Y19" s="12"/>
      <c r="Z19" s="12"/>
      <c r="AA19" s="11">
        <f t="shared" ref="AA19:AB19" si="26">100*(1-(1-AA10/100)^12)</f>
        <v>7.6094623302216169</v>
      </c>
      <c r="AB19" s="11">
        <f t="shared" si="26"/>
        <v>7.7261199572300381</v>
      </c>
      <c r="AC19" s="11">
        <f t="shared" si="9"/>
        <v>0.9849008781051537</v>
      </c>
    </row>
    <row r="20" spans="1:29" x14ac:dyDescent="0.25">
      <c r="A20" s="12">
        <f>A11</f>
        <v>0</v>
      </c>
      <c r="B20" s="12"/>
      <c r="C20" s="11">
        <f t="shared" si="22"/>
        <v>9.3033637868912944</v>
      </c>
      <c r="D20" s="11">
        <f t="shared" si="22"/>
        <v>10.186847571362556</v>
      </c>
      <c r="E20" s="11">
        <f t="shared" ref="E20" si="27">C20/D20</f>
        <v>0.91327211109402218</v>
      </c>
      <c r="F20" s="12"/>
      <c r="G20" s="12"/>
      <c r="H20" s="12"/>
      <c r="I20" s="11">
        <f t="shared" si="23"/>
        <v>9.7190350514581141</v>
      </c>
      <c r="J20" s="11">
        <f t="shared" si="23"/>
        <v>10.045231301195489</v>
      </c>
      <c r="K20" s="11">
        <f t="shared" ref="K20" si="28">I20/J20</f>
        <v>0.96752725348409307</v>
      </c>
      <c r="L20" s="12"/>
      <c r="M20" s="12"/>
      <c r="N20" s="12"/>
      <c r="O20" s="11">
        <f t="shared" ref="O20:P20" si="29">100*(1-(1-O11/100)^12)</f>
        <v>9.5995624962286197</v>
      </c>
      <c r="P20" s="11">
        <f t="shared" si="29"/>
        <v>10.085441300548704</v>
      </c>
      <c r="Q20" s="11">
        <f t="shared" si="5"/>
        <v>0.95182374376680479</v>
      </c>
      <c r="R20" s="12"/>
      <c r="S20" s="12"/>
      <c r="T20" s="12"/>
      <c r="U20" s="11">
        <f t="shared" ref="U20:V20" si="30">100*(1-(1-U11/100)^12)</f>
        <v>9.2435229110290891</v>
      </c>
      <c r="V20" s="11">
        <f t="shared" si="30"/>
        <v>9.678393016557818</v>
      </c>
      <c r="W20" s="11">
        <f t="shared" si="7"/>
        <v>0.95506794311981835</v>
      </c>
      <c r="X20" s="12"/>
      <c r="Y20" s="12"/>
      <c r="Z20" s="12"/>
      <c r="AA20" s="11">
        <f t="shared" ref="AA20:AB20" si="31">100*(1-(1-AA11/100)^12)</f>
        <v>8.594679587048315</v>
      </c>
      <c r="AB20" s="11">
        <f t="shared" si="31"/>
        <v>8.755650921210778</v>
      </c>
      <c r="AC20" s="11">
        <f t="shared" si="9"/>
        <v>0.98161514939197658</v>
      </c>
    </row>
    <row r="21" spans="1:29" s="2" customFormat="1" x14ac:dyDescent="0.25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Tracking_aggData_by_incentive_2</vt:lpstr>
      <vt:lpstr>Pivot</vt:lpstr>
      <vt:lpstr>Analysis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2018-04-26T15:06:17Z</dcterms:created>
  <dcterms:modified xsi:type="dcterms:W3CDTF">2018-04-30T20:49:24Z</dcterms:modified>
</cp:coreProperties>
</file>