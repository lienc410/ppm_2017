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160" r:id="rId4"/>
  </pivotCaches>
</workbook>
</file>

<file path=xl/calcChain.xml><?xml version="1.0" encoding="utf-8"?>
<calcChain xmlns="http://schemas.openxmlformats.org/spreadsheetml/2006/main">
  <c r="D14" i="4" l="1"/>
  <c r="E14" i="4" s="1"/>
  <c r="E13" i="4" l="1"/>
  <c r="D13" i="4"/>
  <c r="AN2" i="1" l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G16" i="4" l="1"/>
  <c r="AH17" i="4"/>
  <c r="AI17" i="4"/>
  <c r="AG17" i="4"/>
  <c r="AH22" i="4"/>
  <c r="AG22" i="4"/>
  <c r="AH21" i="4"/>
  <c r="AG21" i="4"/>
  <c r="AH20" i="4"/>
  <c r="AG20" i="4"/>
  <c r="AH19" i="4"/>
  <c r="AG19" i="4"/>
  <c r="AB17" i="4"/>
  <c r="AC17" i="4"/>
  <c r="AA17" i="4"/>
  <c r="AA16" i="4"/>
  <c r="V17" i="4"/>
  <c r="W17" i="4"/>
  <c r="U17" i="4"/>
  <c r="U16" i="4"/>
  <c r="P17" i="4"/>
  <c r="Q17" i="4"/>
  <c r="O17" i="4"/>
  <c r="J17" i="4"/>
  <c r="K17" i="4"/>
  <c r="I17" i="4"/>
  <c r="E17" i="4"/>
  <c r="D17" i="4"/>
  <c r="C17" i="4"/>
  <c r="AO46" i="1"/>
  <c r="AP46" i="1"/>
  <c r="AI22" i="4" l="1"/>
  <c r="AI21" i="4"/>
  <c r="AI20" i="4"/>
  <c r="AI19" i="4"/>
  <c r="AB22" i="4"/>
  <c r="AA22" i="4"/>
  <c r="AB21" i="4"/>
  <c r="AA21" i="4"/>
  <c r="AB20" i="4"/>
  <c r="AA20" i="4"/>
  <c r="AB19" i="4"/>
  <c r="AA19" i="4"/>
  <c r="V22" i="4"/>
  <c r="U22" i="4"/>
  <c r="V21" i="4"/>
  <c r="U21" i="4"/>
  <c r="V20" i="4"/>
  <c r="U20" i="4"/>
  <c r="V19" i="4"/>
  <c r="U19" i="4"/>
  <c r="P22" i="4"/>
  <c r="O22" i="4"/>
  <c r="P21" i="4"/>
  <c r="O21" i="4"/>
  <c r="P20" i="4"/>
  <c r="O20" i="4"/>
  <c r="P19" i="4"/>
  <c r="O19" i="4"/>
  <c r="J22" i="4"/>
  <c r="I22" i="4"/>
  <c r="J21" i="4"/>
  <c r="I21" i="4"/>
  <c r="J20" i="4"/>
  <c r="I20" i="4"/>
  <c r="J19" i="4"/>
  <c r="I19" i="4"/>
  <c r="D19" i="4"/>
  <c r="D20" i="4"/>
  <c r="D21" i="4"/>
  <c r="D22" i="4"/>
  <c r="C19" i="4"/>
  <c r="C20" i="4"/>
  <c r="C21" i="4"/>
  <c r="C22" i="4"/>
  <c r="A22" i="4"/>
  <c r="A19" i="4"/>
  <c r="A20" i="4"/>
  <c r="A21" i="4"/>
  <c r="AO24" i="1"/>
  <c r="AP24" i="1"/>
  <c r="AO25" i="1"/>
  <c r="AP25" i="1"/>
  <c r="AO26" i="1"/>
  <c r="AP26" i="1"/>
  <c r="AO27" i="1"/>
  <c r="AP27" i="1"/>
  <c r="AO28" i="1"/>
  <c r="AP28" i="1"/>
  <c r="AO29" i="1"/>
  <c r="AP29" i="1"/>
  <c r="AO30" i="1"/>
  <c r="AP30" i="1"/>
  <c r="AO31" i="1"/>
  <c r="AP31" i="1"/>
  <c r="AO32" i="1"/>
  <c r="AP32" i="1"/>
  <c r="AO33" i="1"/>
  <c r="AP33" i="1"/>
  <c r="AO34" i="1"/>
  <c r="AP34" i="1"/>
  <c r="AO35" i="1"/>
  <c r="AP35" i="1"/>
  <c r="AO36" i="1"/>
  <c r="AP36" i="1"/>
  <c r="AO37" i="1"/>
  <c r="AP37" i="1"/>
  <c r="AO38" i="1"/>
  <c r="AP38" i="1"/>
  <c r="AO39" i="1"/>
  <c r="AP39" i="1"/>
  <c r="AO40" i="1"/>
  <c r="AP40" i="1"/>
  <c r="AO41" i="1"/>
  <c r="AP41" i="1"/>
  <c r="AO42" i="1"/>
  <c r="AP42" i="1"/>
  <c r="AO43" i="1"/>
  <c r="AP43" i="1"/>
  <c r="AO44" i="1"/>
  <c r="AP44" i="1"/>
  <c r="AO45" i="1"/>
  <c r="AP45" i="1"/>
  <c r="AO3" i="1"/>
  <c r="AP3" i="1"/>
  <c r="AO4" i="1"/>
  <c r="AP4" i="1"/>
  <c r="AO5" i="1"/>
  <c r="AP5" i="1"/>
  <c r="AO6" i="1"/>
  <c r="AP6" i="1"/>
  <c r="AO7" i="1"/>
  <c r="AP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O22" i="1"/>
  <c r="AP22" i="1"/>
  <c r="AO23" i="1"/>
  <c r="AP23" i="1"/>
  <c r="AP2" i="1"/>
  <c r="AO2" i="1"/>
  <c r="E22" i="4" l="1"/>
  <c r="Q19" i="4"/>
  <c r="W19" i="4"/>
  <c r="AC19" i="4"/>
  <c r="E19" i="4"/>
  <c r="K22" i="4"/>
  <c r="Q22" i="4"/>
  <c r="W22" i="4"/>
  <c r="AC22" i="4"/>
  <c r="K20" i="4"/>
  <c r="E20" i="4"/>
  <c r="Q20" i="4"/>
  <c r="W20" i="4"/>
  <c r="AC20" i="4"/>
  <c r="E21" i="4"/>
  <c r="Q21" i="4"/>
  <c r="Q24" i="4" s="1"/>
  <c r="W21" i="4"/>
  <c r="W24" i="4" s="1"/>
  <c r="AC21" i="4"/>
  <c r="K21" i="4"/>
  <c r="K19" i="4"/>
  <c r="E24" i="4" l="1"/>
  <c r="K24" i="4"/>
  <c r="AC24" i="4"/>
</calcChain>
</file>

<file path=xl/sharedStrings.xml><?xml version="1.0" encoding="utf-8"?>
<sst xmlns="http://schemas.openxmlformats.org/spreadsheetml/2006/main" count="246" uniqueCount="60">
  <si>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</si>
  <si>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</si>
  <si>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</si>
  <si>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</si>
  <si>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</si>
  <si>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</si>
  <si>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</si>
  <si>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</si>
  <si>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</si>
  <si>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</si>
  <si>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</si>
  <si>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</si>
  <si>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</si>
  <si>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</si>
  <si>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</si>
  <si>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</si>
  <si>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</si>
  <si>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</si>
  <si>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</si>
  <si>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</si>
  <si>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</si>
  <si>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</si>
  <si>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</si>
  <si>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</si>
  <si>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</si>
  <si>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</si>
  <si>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</si>
  <si>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</si>
  <si>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</si>
  <si>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</si>
  <si>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</si>
  <si>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</si>
  <si>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</si>
  <si>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</si>
  <si>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</si>
  <si>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</si>
  <si>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</si>
  <si>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</si>
  <si>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</si>
  <si>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</si>
  <si>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</si>
  <si>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</si>
  <si>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</si>
  <si>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</si>
  <si>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</si>
  <si>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</si>
  <si>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</si>
  <si>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</si>
  <si>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</si>
  <si>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INV</t>
  </si>
  <si>
    <t>PURCH</t>
  </si>
  <si>
    <t>RE-FI-CO</t>
  </si>
  <si>
    <t>RE-FI-NCO</t>
  </si>
  <si>
    <t>NONINV</t>
  </si>
  <si>
    <t>occType</t>
  </si>
  <si>
    <t>loanPurposeType</t>
  </si>
  <si>
    <t>NA</t>
  </si>
  <si>
    <t>wam</t>
  </si>
  <si>
    <t>SMM</t>
  </si>
  <si>
    <t>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</si>
</sst>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  <xf numFmtId="43" fontId="0" fillId="0" borderId="0" xfId="0" applyNumberFormat="1"/>
    <xf numFmtId="0" fontId="0" fillId="35" borderId="0" xfId="0" applyFill="1"/>
    <xf numFmtId="2" fontId="0" fillId="35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"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 Actual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Analysis!$C$17:$C$18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Analysis!$C$19:$C$22</c:f>
              <c:numCache>
                <c:formatCode>_(* #,##0.00_);_(* \(#,##0.00\);_(* "-"??_);_(@_)</c:formatCode>
                <c:ptCount val="4"/>
                <c:pt idx="0">
                  <c:v>5.1892055260568508</c:v>
                </c:pt>
                <c:pt idx="1">
                  <c:v>7.2544531122403111</c:v>
                </c:pt>
                <c:pt idx="2">
                  <c:v>7.9775436688590879</c:v>
                </c:pt>
                <c:pt idx="3">
                  <c:v>10.104153435987129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Analysis!$I$17:$I$18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Analysis!$I$19:$I$22</c:f>
              <c:numCache>
                <c:formatCode>_(* #,##0.00_);_(* \(#,##0.00\);_(* "-"??_);_(@_)</c:formatCode>
                <c:ptCount val="4"/>
                <c:pt idx="0">
                  <c:v>6.2258663717764566</c:v>
                </c:pt>
                <c:pt idx="1">
                  <c:v>6.5319622961011126</c:v>
                </c:pt>
                <c:pt idx="2">
                  <c:v>6.8730916746036712</c:v>
                </c:pt>
                <c:pt idx="3">
                  <c:v>6.2156263440941384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Analysis!$O$17:$O$18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Analysis!$O$19:$O$22</c:f>
              <c:numCache>
                <c:formatCode>_(* #,##0.00_);_(* \(#,##0.00\);_(* "-"??_);_(@_)</c:formatCode>
                <c:ptCount val="4"/>
                <c:pt idx="0">
                  <c:v>5.0382414782532248</c:v>
                </c:pt>
                <c:pt idx="1">
                  <c:v>6.3752585443643923</c:v>
                </c:pt>
                <c:pt idx="2">
                  <c:v>6.8976585134139512</c:v>
                </c:pt>
                <c:pt idx="3">
                  <c:v>8.5435031478459216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632704"/>
        <c:axId val="86650880"/>
      </c:lineChart>
      <c:catAx>
        <c:axId val="8663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6650880"/>
        <c:crosses val="autoZero"/>
        <c:auto val="1"/>
        <c:lblAlgn val="ctr"/>
        <c:lblOffset val="100"/>
        <c:noMultiLvlLbl val="0"/>
      </c:catAx>
      <c:valAx>
        <c:axId val="866508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6632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Analysis!$C$17:$C$18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Analysis!$C$19:$C$22</c:f>
              <c:numCache>
                <c:formatCode>_(* #,##0.00_);_(* \(#,##0.00\);_(* "-"??_);_(@_)</c:formatCode>
                <c:ptCount val="4"/>
                <c:pt idx="0">
                  <c:v>5.1892055260568508</c:v>
                </c:pt>
                <c:pt idx="1">
                  <c:v>7.2544531122403111</c:v>
                </c:pt>
                <c:pt idx="2">
                  <c:v>7.9775436688590879</c:v>
                </c:pt>
                <c:pt idx="3">
                  <c:v>10.104153435987129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Analysis!$D$17:$D$18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Analysis!$D$19:$D$22</c:f>
              <c:numCache>
                <c:formatCode>_(* #,##0.00_);_(* \(#,##0.00\);_(* "-"??_);_(@_)</c:formatCode>
                <c:ptCount val="4"/>
                <c:pt idx="0">
                  <c:v>5.985010216507769</c:v>
                </c:pt>
                <c:pt idx="1">
                  <c:v>6.7048496419607861</c:v>
                </c:pt>
                <c:pt idx="2">
                  <c:v>8.0082504474540244</c:v>
                </c:pt>
                <c:pt idx="3">
                  <c:v>9.7508291499283075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91840"/>
        <c:axId val="87298432"/>
      </c:lineChart>
      <c:catAx>
        <c:axId val="8709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298432"/>
        <c:crosses val="autoZero"/>
        <c:auto val="1"/>
        <c:lblAlgn val="ctr"/>
        <c:lblOffset val="100"/>
        <c:noMultiLvlLbl val="0"/>
      </c:catAx>
      <c:valAx>
        <c:axId val="8729843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7091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Analysis!$I$17:$I$18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Analysis!$I$19:$I$22</c:f>
              <c:numCache>
                <c:formatCode>_(* #,##0.00_);_(* \(#,##0.00\);_(* "-"??_);_(@_)</c:formatCode>
                <c:ptCount val="4"/>
                <c:pt idx="0">
                  <c:v>6.2258663717764566</c:v>
                </c:pt>
                <c:pt idx="1">
                  <c:v>6.5319622961011126</c:v>
                </c:pt>
                <c:pt idx="2">
                  <c:v>6.8730916746036712</c:v>
                </c:pt>
                <c:pt idx="3">
                  <c:v>6.2156263440941384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Analysis!$J$17:$J$18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Analysis!$J$19:$J$22</c:f>
              <c:numCache>
                <c:formatCode>_(* #,##0.00_);_(* \(#,##0.00\);_(* "-"??_);_(@_)</c:formatCode>
                <c:ptCount val="4"/>
                <c:pt idx="0">
                  <c:v>5.2989610406317889</c:v>
                </c:pt>
                <c:pt idx="1">
                  <c:v>5.9116370626346448</c:v>
                </c:pt>
                <c:pt idx="2">
                  <c:v>7.0864664655884591</c:v>
                </c:pt>
                <c:pt idx="3">
                  <c:v>8.7653211113436384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76288"/>
        <c:axId val="101515648"/>
      </c:lineChart>
      <c:catAx>
        <c:axId val="1012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1515648"/>
        <c:crosses val="autoZero"/>
        <c:auto val="1"/>
        <c:lblAlgn val="ctr"/>
        <c:lblOffset val="100"/>
        <c:noMultiLvlLbl val="0"/>
      </c:catAx>
      <c:valAx>
        <c:axId val="10151564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01276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Analysis!$O$17:$O$18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Analysis!$O$19:$O$22</c:f>
              <c:numCache>
                <c:formatCode>_(* #,##0.00_);_(* \(#,##0.00\);_(* "-"??_);_(@_)</c:formatCode>
                <c:ptCount val="4"/>
                <c:pt idx="0">
                  <c:v>5.0382414782532248</c:v>
                </c:pt>
                <c:pt idx="1">
                  <c:v>6.3752585443643923</c:v>
                </c:pt>
                <c:pt idx="2">
                  <c:v>6.8976585134139512</c:v>
                </c:pt>
                <c:pt idx="3">
                  <c:v>8.5435031478459216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Analysis!$P$17:$P$18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Analysis!$P$19:$P$22</c:f>
              <c:numCache>
                <c:formatCode>_(* #,##0.00_);_(* \(#,##0.00\);_(* "-"??_);_(@_)</c:formatCode>
                <c:ptCount val="4"/>
                <c:pt idx="0">
                  <c:v>5.288651054662818</c:v>
                </c:pt>
                <c:pt idx="1">
                  <c:v>5.9039021740949877</c:v>
                </c:pt>
                <c:pt idx="2">
                  <c:v>7.074098480803082</c:v>
                </c:pt>
                <c:pt idx="3">
                  <c:v>8.7119219033410253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97472"/>
        <c:axId val="115491200"/>
      </c:lineChart>
      <c:catAx>
        <c:axId val="10869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5491200"/>
        <c:crosses val="autoZero"/>
        <c:auto val="1"/>
        <c:lblAlgn val="ctr"/>
        <c:lblOffset val="100"/>
        <c:noMultiLvlLbl val="0"/>
      </c:catAx>
      <c:valAx>
        <c:axId val="1154912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08697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Analysis!$U$17:$U$18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Analysis!$U$19:$U$22</c:f>
              <c:numCache>
                <c:formatCode>_(* #,##0.00_);_(* \(#,##0.00\);_(* "-"??_);_(@_)</c:formatCode>
                <c:ptCount val="4"/>
                <c:pt idx="0">
                  <c:v>2.7736531778648432</c:v>
                </c:pt>
                <c:pt idx="1">
                  <c:v>5.8419840912447114</c:v>
                </c:pt>
                <c:pt idx="2">
                  <c:v>6.7773450893716891</c:v>
                </c:pt>
                <c:pt idx="3">
                  <c:v>8.2615423729020634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Analysis!$V$17:$V$18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Analysis!$V$19:$V$22</c:f>
              <c:numCache>
                <c:formatCode>_(* #,##0.00_);_(* \(#,##0.00\);_(* "-"??_);_(@_)</c:formatCode>
                <c:ptCount val="4"/>
                <c:pt idx="0">
                  <c:v>5.0309014833121228</c:v>
                </c:pt>
                <c:pt idx="1">
                  <c:v>5.3283818186964034</c:v>
                </c:pt>
                <c:pt idx="2">
                  <c:v>6.5624965599153429</c:v>
                </c:pt>
                <c:pt idx="3">
                  <c:v>8.2431269993588625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68864"/>
        <c:axId val="116068352"/>
      </c:lineChart>
      <c:catAx>
        <c:axId val="115668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068352"/>
        <c:crosses val="autoZero"/>
        <c:auto val="1"/>
        <c:lblAlgn val="ctr"/>
        <c:lblOffset val="100"/>
        <c:noMultiLvlLbl val="0"/>
      </c:catAx>
      <c:valAx>
        <c:axId val="11606835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15668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Analysis!$AA$17:$AA$18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Analysis!$AA$19:$AA$22</c:f>
              <c:numCache>
                <c:formatCode>_(* #,##0.00_);_(* \(#,##0.00\);_(* "-"??_);_(@_)</c:formatCode>
                <c:ptCount val="4"/>
                <c:pt idx="0">
                  <c:v>4.9370455867124408</c:v>
                </c:pt>
                <c:pt idx="1">
                  <c:v>4.0937633946879881</c:v>
                </c:pt>
                <c:pt idx="2">
                  <c:v>6.1793449346245861</c:v>
                </c:pt>
                <c:pt idx="3">
                  <c:v>7.4341850696605816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Analysis!$AB$17:$AB$18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Analysis!$AB$19:$AB$22</c:f>
              <c:numCache>
                <c:formatCode>_(* #,##0.00_);_(* \(#,##0.00\);_(* "-"??_);_(@_)</c:formatCode>
                <c:ptCount val="4"/>
                <c:pt idx="0">
                  <c:v>4.4099934579347906</c:v>
                </c:pt>
                <c:pt idx="1">
                  <c:v>4.7841674601622586</c:v>
                </c:pt>
                <c:pt idx="2">
                  <c:v>5.8962625949884657</c:v>
                </c:pt>
                <c:pt idx="3">
                  <c:v>7.5224925133817067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29408"/>
        <c:axId val="130150400"/>
      </c:lineChart>
      <c:catAx>
        <c:axId val="11652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150400"/>
        <c:crosses val="autoZero"/>
        <c:auto val="1"/>
        <c:lblAlgn val="ctr"/>
        <c:lblOffset val="100"/>
        <c:noMultiLvlLbl val="0"/>
      </c:catAx>
      <c:valAx>
        <c:axId val="1301504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16529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 Mdl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Analysis!$D$17:$D$18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Analysis!$D$19:$D$22</c:f>
              <c:numCache>
                <c:formatCode>_(* #,##0.00_);_(* \(#,##0.00\);_(* "-"??_);_(@_)</c:formatCode>
                <c:ptCount val="4"/>
                <c:pt idx="0">
                  <c:v>5.985010216507769</c:v>
                </c:pt>
                <c:pt idx="1">
                  <c:v>6.7048496419607861</c:v>
                </c:pt>
                <c:pt idx="2">
                  <c:v>8.0082504474540244</c:v>
                </c:pt>
                <c:pt idx="3">
                  <c:v>9.7508291499283075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Analysis!$J$17:$J$18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Analysis!$J$19:$J$22</c:f>
              <c:numCache>
                <c:formatCode>_(* #,##0.00_);_(* \(#,##0.00\);_(* "-"??_);_(@_)</c:formatCode>
                <c:ptCount val="4"/>
                <c:pt idx="0">
                  <c:v>5.2989610406317889</c:v>
                </c:pt>
                <c:pt idx="1">
                  <c:v>5.9116370626346448</c:v>
                </c:pt>
                <c:pt idx="2">
                  <c:v>7.0864664655884591</c:v>
                </c:pt>
                <c:pt idx="3">
                  <c:v>8.7653211113436384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Analysis!$P$17:$P$18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Analysis!$P$19:$P$22</c:f>
              <c:numCache>
                <c:formatCode>_(* #,##0.00_);_(* \(#,##0.00\);_(* "-"??_);_(@_)</c:formatCode>
                <c:ptCount val="4"/>
                <c:pt idx="0">
                  <c:v>5.288651054662818</c:v>
                </c:pt>
                <c:pt idx="1">
                  <c:v>5.9039021740949877</c:v>
                </c:pt>
                <c:pt idx="2">
                  <c:v>7.074098480803082</c:v>
                </c:pt>
                <c:pt idx="3">
                  <c:v>8.7119219033410253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77472"/>
        <c:axId val="130779392"/>
      </c:lineChart>
      <c:catAx>
        <c:axId val="13077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779392"/>
        <c:crosses val="autoZero"/>
        <c:auto val="1"/>
        <c:lblAlgn val="ctr"/>
        <c:lblOffset val="100"/>
        <c:noMultiLvlLbl val="0"/>
      </c:catAx>
      <c:valAx>
        <c:axId val="13077939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07774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Analysis!$AG$17:$AG$18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Analysis!$AG$19:$AG$22</c:f>
              <c:numCache>
                <c:formatCode>_(* #,##0.00_);_(* \(#,##0.00\);_(* "-"??_);_(@_)</c:formatCode>
                <c:ptCount val="4"/>
                <c:pt idx="0">
                  <c:v>3.4403019086486131</c:v>
                </c:pt>
                <c:pt idx="1">
                  <c:v>4.5445333254834352</c:v>
                </c:pt>
                <c:pt idx="2">
                  <c:v>6.1669976357872418</c:v>
                </c:pt>
                <c:pt idx="3">
                  <c:v>7.2506019719939747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Analysis!$AH$17:$AH$18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Analysis!$AH$19:$AH$22</c:f>
              <c:numCache>
                <c:formatCode>_(* #,##0.00_);_(* \(#,##0.00\);_(* "-"??_);_(@_)</c:formatCode>
                <c:ptCount val="4"/>
                <c:pt idx="0">
                  <c:v>4.2968058102751394</c:v>
                </c:pt>
                <c:pt idx="1">
                  <c:v>4.6703008437243065</c:v>
                </c:pt>
                <c:pt idx="2">
                  <c:v>5.795234165434449</c:v>
                </c:pt>
                <c:pt idx="3">
                  <c:v>7.4043360993098943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58528"/>
        <c:axId val="133194880"/>
      </c:lineChart>
      <c:catAx>
        <c:axId val="132758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194880"/>
        <c:crosses val="autoZero"/>
        <c:auto val="1"/>
        <c:lblAlgn val="ctr"/>
        <c:lblOffset val="100"/>
        <c:noMultiLvlLbl val="0"/>
      </c:catAx>
      <c:valAx>
        <c:axId val="13319488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2758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 Act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Analysis!$U$17:$U$18</c:f>
              <c:strCache>
                <c:ptCount val="1"/>
                <c:pt idx="0">
                  <c:v>PURCH actual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Analysis!$U$19:$U$22</c:f>
              <c:numCache>
                <c:formatCode>_(* #,##0.00_);_(* \(#,##0.00\);_(* "-"??_);_(@_)</c:formatCode>
                <c:ptCount val="4"/>
                <c:pt idx="0">
                  <c:v>2.7736531778648432</c:v>
                </c:pt>
                <c:pt idx="1">
                  <c:v>5.8419840912447114</c:v>
                </c:pt>
                <c:pt idx="2">
                  <c:v>6.7773450893716891</c:v>
                </c:pt>
                <c:pt idx="3">
                  <c:v>8.2615423729020634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Analysis!$AA$17:$AA$18</c:f>
              <c:strCache>
                <c:ptCount val="1"/>
                <c:pt idx="0">
                  <c:v>RE-FI-CO actual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Analysis!$AA$19:$AA$22</c:f>
              <c:numCache>
                <c:formatCode>_(* #,##0.00_);_(* \(#,##0.00\);_(* "-"??_);_(@_)</c:formatCode>
                <c:ptCount val="4"/>
                <c:pt idx="0">
                  <c:v>4.9370455867124408</c:v>
                </c:pt>
                <c:pt idx="1">
                  <c:v>4.0937633946879881</c:v>
                </c:pt>
                <c:pt idx="2">
                  <c:v>6.1793449346245861</c:v>
                </c:pt>
                <c:pt idx="3">
                  <c:v>7.4341850696605816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Analysis!$AG$17:$AG$18</c:f>
              <c:strCache>
                <c:ptCount val="1"/>
                <c:pt idx="0">
                  <c:v>RE-FI-NCO actual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Analysis!$AG$19:$AG$22</c:f>
              <c:numCache>
                <c:formatCode>_(* #,##0.00_);_(* \(#,##0.00\);_(* "-"??_);_(@_)</c:formatCode>
                <c:ptCount val="4"/>
                <c:pt idx="0">
                  <c:v>3.4403019086486131</c:v>
                </c:pt>
                <c:pt idx="1">
                  <c:v>4.5445333254834352</c:v>
                </c:pt>
                <c:pt idx="2">
                  <c:v>6.1669976357872418</c:v>
                </c:pt>
                <c:pt idx="3">
                  <c:v>7.2506019719939747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33408"/>
        <c:axId val="252519552"/>
      </c:lineChart>
      <c:catAx>
        <c:axId val="20723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2519552"/>
        <c:crosses val="autoZero"/>
        <c:auto val="1"/>
        <c:lblAlgn val="ctr"/>
        <c:lblOffset val="100"/>
        <c:noMultiLvlLbl val="0"/>
      </c:catAx>
      <c:valAx>
        <c:axId val="25251955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07233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Non-INV Mdl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Analysis!$V$17:$V$18</c:f>
              <c:strCache>
                <c:ptCount val="1"/>
                <c:pt idx="0">
                  <c:v>PURCH model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Analysis!$V$19:$V$22</c:f>
              <c:numCache>
                <c:formatCode>_(* #,##0.00_);_(* \(#,##0.00\);_(* "-"??_);_(@_)</c:formatCode>
                <c:ptCount val="4"/>
                <c:pt idx="0">
                  <c:v>5.0309014833121228</c:v>
                </c:pt>
                <c:pt idx="1">
                  <c:v>5.3283818186964034</c:v>
                </c:pt>
                <c:pt idx="2">
                  <c:v>6.5624965599153429</c:v>
                </c:pt>
                <c:pt idx="3">
                  <c:v>8.2431269993588625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Analysis!$AB$17:$AB$18</c:f>
              <c:strCache>
                <c:ptCount val="1"/>
                <c:pt idx="0">
                  <c:v>RE-FI-CO model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Analysis!$AB$19:$AB$22</c:f>
              <c:numCache>
                <c:formatCode>_(* #,##0.00_);_(* \(#,##0.00\);_(* "-"??_);_(@_)</c:formatCode>
                <c:ptCount val="4"/>
                <c:pt idx="0">
                  <c:v>4.4099934579347906</c:v>
                </c:pt>
                <c:pt idx="1">
                  <c:v>4.7841674601622586</c:v>
                </c:pt>
                <c:pt idx="2">
                  <c:v>5.8962625949884657</c:v>
                </c:pt>
                <c:pt idx="3">
                  <c:v>7.5224925133817067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Analysis!$AH$17:$AH$18</c:f>
              <c:strCache>
                <c:ptCount val="1"/>
                <c:pt idx="0">
                  <c:v>RE-FI-NCO model</c:v>
                </c:pt>
              </c:strCache>
            </c:strRef>
          </c:tx>
          <c:marker>
            <c:symbol val="none"/>
          </c:marker>
          <c:cat>
            <c:numRef>
              <c:f>Analysis!$A$19:$A$22</c:f>
              <c:numCache>
                <c:formatCode>General</c:formatCode>
                <c:ptCount val="4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</c:numCache>
            </c:numRef>
          </c:cat>
          <c:val>
            <c:numRef>
              <c:f>Analysis!$AH$19:$AH$22</c:f>
              <c:numCache>
                <c:formatCode>_(* #,##0.00_);_(* \(#,##0.00\);_(* "-"??_);_(@_)</c:formatCode>
                <c:ptCount val="4"/>
                <c:pt idx="0">
                  <c:v>4.2968058102751394</c:v>
                </c:pt>
                <c:pt idx="1">
                  <c:v>4.6703008437243065</c:v>
                </c:pt>
                <c:pt idx="2">
                  <c:v>5.795234165434449</c:v>
                </c:pt>
                <c:pt idx="3">
                  <c:v>7.4043360993098943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46144"/>
        <c:axId val="258339200"/>
      </c:lineChart>
      <c:catAx>
        <c:axId val="25824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8339200"/>
        <c:crosses val="autoZero"/>
        <c:auto val="1"/>
        <c:lblAlgn val="ctr"/>
        <c:lblOffset val="100"/>
        <c:noMultiLvlLbl val="0"/>
      </c:catAx>
      <c:valAx>
        <c:axId val="2583392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582461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27</xdr:row>
      <xdr:rowOff>133350</xdr:rowOff>
    </xdr:from>
    <xdr:to>
      <xdr:col>7</xdr:col>
      <xdr:colOff>138112</xdr:colOff>
      <xdr:row>42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43</xdr:row>
      <xdr:rowOff>161925</xdr:rowOff>
    </xdr:from>
    <xdr:to>
      <xdr:col>7</xdr:col>
      <xdr:colOff>128587</xdr:colOff>
      <xdr:row>58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43</xdr:row>
      <xdr:rowOff>171450</xdr:rowOff>
    </xdr:from>
    <xdr:to>
      <xdr:col>13</xdr:col>
      <xdr:colOff>785812</xdr:colOff>
      <xdr:row>58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43</xdr:row>
      <xdr:rowOff>180975</xdr:rowOff>
    </xdr:from>
    <xdr:to>
      <xdr:col>20</xdr:col>
      <xdr:colOff>452437</xdr:colOff>
      <xdr:row>58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242887</xdr:colOff>
      <xdr:row>59</xdr:row>
      <xdr:rowOff>161925</xdr:rowOff>
    </xdr:from>
    <xdr:to>
      <xdr:col>7</xdr:col>
      <xdr:colOff>138112</xdr:colOff>
      <xdr:row>74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328612</xdr:colOff>
      <xdr:row>60</xdr:row>
      <xdr:rowOff>38100</xdr:rowOff>
    </xdr:from>
    <xdr:to>
      <xdr:col>13</xdr:col>
      <xdr:colOff>714375</xdr:colOff>
      <xdr:row>74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27</xdr:row>
      <xdr:rowOff>123825</xdr:rowOff>
    </xdr:from>
    <xdr:to>
      <xdr:col>13</xdr:col>
      <xdr:colOff>785812</xdr:colOff>
      <xdr:row>42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123825</xdr:colOff>
      <xdr:row>99</xdr:row>
      <xdr:rowOff>0</xdr:rowOff>
    </xdr:from>
    <xdr:to>
      <xdr:col>24</xdr:col>
      <xdr:colOff>418403</xdr:colOff>
      <xdr:row>129</xdr:row>
      <xdr:rowOff>85000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106150" y="184785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99</xdr:row>
      <xdr:rowOff>47625</xdr:rowOff>
    </xdr:from>
    <xdr:to>
      <xdr:col>15</xdr:col>
      <xdr:colOff>542228</xdr:colOff>
      <xdr:row>129</xdr:row>
      <xdr:rowOff>132625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8526125"/>
          <a:ext cx="5580953" cy="5800000"/>
        </a:xfrm>
        <a:prstGeom prst="rect">
          <a:avLst/>
        </a:prstGeom>
      </xdr:spPr>
    </xdr:pic>
    <xdr:clientData/>
  </xdr:twoCellAnchor>
  <xdr:twoCellAnchor>
    <xdr:from>
      <xdr:col>9</xdr:col>
      <xdr:colOff>590550</xdr:colOff>
      <xdr:row>100</xdr:row>
      <xdr:rowOff>38100</xdr:rowOff>
    </xdr:from>
    <xdr:to>
      <xdr:col>13</xdr:col>
      <xdr:colOff>876300</xdr:colOff>
      <xdr:row>101</xdr:row>
      <xdr:rowOff>180975</xdr:rowOff>
    </xdr:to>
    <xdr:sp macro="" textlink="">
      <xdr:nvSpPr>
        <xdr:cNvPr id="14" name="TextBox 13"/>
        <xdr:cNvSpPr txBox="1"/>
      </xdr:nvSpPr>
      <xdr:spPr>
        <a:xfrm>
          <a:off x="6896100" y="1870710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85K</a:t>
          </a:r>
        </a:p>
      </xdr:txBody>
    </xdr:sp>
    <xdr:clientData/>
  </xdr:twoCellAnchor>
  <xdr:twoCellAnchor>
    <xdr:from>
      <xdr:col>19</xdr:col>
      <xdr:colOff>219075</xdr:colOff>
      <xdr:row>100</xdr:row>
      <xdr:rowOff>19050</xdr:rowOff>
    </xdr:from>
    <xdr:to>
      <xdr:col>23</xdr:col>
      <xdr:colOff>95250</xdr:colOff>
      <xdr:row>101</xdr:row>
      <xdr:rowOff>161925</xdr:rowOff>
    </xdr:to>
    <xdr:sp macro="" textlink="">
      <xdr:nvSpPr>
        <xdr:cNvPr id="15" name="TextBox 14"/>
        <xdr:cNvSpPr txBox="1"/>
      </xdr:nvSpPr>
      <xdr:spPr>
        <a:xfrm>
          <a:off x="13030200" y="1868805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175K</a:t>
          </a:r>
        </a:p>
      </xdr:txBody>
    </xdr:sp>
    <xdr:clientData/>
  </xdr:twoCellAnchor>
  <xdr:twoCellAnchor>
    <xdr:from>
      <xdr:col>13</xdr:col>
      <xdr:colOff>947737</xdr:colOff>
      <xdr:row>60</xdr:row>
      <xdr:rowOff>47625</xdr:rowOff>
    </xdr:from>
    <xdr:to>
      <xdr:col>20</xdr:col>
      <xdr:colOff>433387</xdr:colOff>
      <xdr:row>74</xdr:row>
      <xdr:rowOff>123825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128587</xdr:colOff>
      <xdr:row>28</xdr:row>
      <xdr:rowOff>0</xdr:rowOff>
    </xdr:from>
    <xdr:to>
      <xdr:col>21</xdr:col>
      <xdr:colOff>23812</xdr:colOff>
      <xdr:row>42</xdr:row>
      <xdr:rowOff>76200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147637</xdr:colOff>
      <xdr:row>28</xdr:row>
      <xdr:rowOff>0</xdr:rowOff>
    </xdr:from>
    <xdr:to>
      <xdr:col>27</xdr:col>
      <xdr:colOff>585787</xdr:colOff>
      <xdr:row>42</xdr:row>
      <xdr:rowOff>76200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20.675373379629" createdVersion="4" refreshedVersion="4" minRefreshableVersion="3" recordCount="45">
  <cacheSource type="worksheet">
    <worksheetSource ref="B1:AP46" sheet="Tracking_aggData_by_incentive_2"/>
  </cacheSource>
  <cacheFields count="41">
    <cacheField name="occType" numFmtId="0">
      <sharedItems count="2">
        <s v="INV"/>
        <s v="NONINV"/>
      </sharedItems>
    </cacheField>
    <cacheField name="loanPurposeType" numFmtId="0">
      <sharedItems count="3">
        <s v="PURCH"/>
        <s v="RE-FI-CO"/>
        <s v="RE-FI-NCO"/>
      </sharedItems>
    </cacheField>
    <cacheField name="x" numFmtId="0">
      <sharedItems containsSemiMixedTypes="0" containsString="0" containsNumber="1" containsInteger="1" minValue="-200" maxValue="0" count="9">
        <n v="-150"/>
        <n v="-125"/>
        <n v="-100"/>
        <n v="-75"/>
        <n v="-50"/>
        <n v="-25"/>
        <n v="0"/>
        <n v="-200"/>
        <n v="-175"/>
      </sharedItems>
    </cacheField>
    <cacheField name="actual.smm" numFmtId="0">
      <sharedItems containsSemiMixedTypes="0" containsString="0" containsNumber="1" minValue="0" maxValue="6.6216761444819898"/>
    </cacheField>
    <cacheField name="model.smm" numFmtId="0">
      <sharedItems containsSemiMixedTypes="0" containsString="0" containsNumber="1" minValue="0.30402157944436498" maxValue="0.95346975479652896"/>
    </cacheField>
    <cacheField name="track.err" numFmtId="0">
      <sharedItems containsSemiMixedTypes="0" containsString="0" containsNumber="1" minValue="-6.1179721877601496" maxValue="0.49724391940923701"/>
    </cacheField>
    <cacheField name="curt.smm" numFmtId="0">
      <sharedItems containsSemiMixedTypes="0" containsString="0" containsNumber="1" minValue="4.65185014191681E-2" maxValue="7.6880327812394497E-2"/>
    </cacheField>
    <cacheField name="dflt.smm" numFmtId="0">
      <sharedItems containsSemiMixedTypes="0" containsString="0" containsNumber="1" minValue="8.1802436660417398E-4" maxValue="2.5093533176217001E-2"/>
    </cacheField>
    <cacheField name="cout.smm" numFmtId="0">
      <sharedItems containsSemiMixedTypes="0" containsString="0" containsNumber="1" minValue="3.3566508831188999E-4" maxValue="1.4141423338266301E-2"/>
    </cacheField>
    <cacheField name="turn.smm" numFmtId="0">
      <sharedItems containsSemiMixedTypes="0" containsString="0" containsNumber="1" minValue="0.25407105970538602" maxValue="0.70182820791175404"/>
    </cacheField>
    <cacheField name="refi.smm" numFmtId="0">
      <sharedItems containsSemiMixedTypes="0" containsString="0" containsNumber="1" minValue="6.4272694555670302E-6" maxValue="0.17737272207750801"/>
    </cacheField>
    <cacheField name="pct_inv" numFmtId="0">
      <sharedItems containsSemiMixedTypes="0" containsString="0" containsNumber="1" containsInteger="1" minValue="0" maxValue="100"/>
    </cacheField>
    <cacheField name="pct_2nd" numFmtId="0">
      <sharedItems containsSemiMixedTypes="0" containsString="0" containsNumber="1" minValue="0" maxValue="9.4401055376726397"/>
    </cacheField>
    <cacheField name="pct_owner" numFmtId="0">
      <sharedItems containsSemiMixedTypes="0" containsString="0" containsNumber="1" minValue="0" maxValue="100"/>
    </cacheField>
    <cacheField name="pct_purchase" numFmtId="0">
      <sharedItems containsSemiMixedTypes="0" containsString="0" containsNumber="1" containsInteger="1" minValue="0" maxValue="100"/>
    </cacheField>
    <cacheField name="pct_REFI_NCO" numFmtId="0">
      <sharedItems containsSemiMixedTypes="0" containsString="0" containsNumber="1" containsInteger="1" minValue="0" maxValue="100"/>
    </cacheField>
    <cacheField name="pct_REFI_CO" numFmtId="0">
      <sharedItems containsSemiMixedTypes="0" containsString="0" containsNumber="1" containsInteger="1" minValue="0" maxValue="100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containsInteger="1" minValue="0" maxValue="100"/>
    </cacheField>
    <cacheField name="pct_dq" numFmtId="0">
      <sharedItems containsSemiMixedTypes="0" containsString="0" containsNumber="1" minValue="0" maxValue="0.80020954886317397"/>
    </cacheField>
    <cacheField name="incentive" numFmtId="0">
      <sharedItems containsSemiMixedTypes="0" containsString="0" containsNumber="1" minValue="-202.1" maxValue="-14.0897004895722"/>
    </cacheField>
    <cacheField name="burnout" numFmtId="0">
      <sharedItems containsSemiMixedTypes="0" containsString="0" containsNumber="1" minValue="0" maxValue="561.19792428135702"/>
    </cacheField>
    <cacheField name="refi_elig_pct" numFmtId="0">
      <sharedItems containsSemiMixedTypes="0" containsString="0" containsNumber="1" minValue="85.983767808824993" maxValue="100"/>
    </cacheField>
    <cacheField name="cltv" numFmtId="0">
      <sharedItems containsSemiMixedTypes="0" containsString="0" containsNumber="1" minValue="33.200000000000003" maxValue="69.129834542459193"/>
    </cacheField>
    <cacheField name="wacls" numFmtId="0">
      <sharedItems containsSemiMixedTypes="0" containsString="0" containsNumber="1" minValue="191.702421971728" maxValue="382.06041185629101"/>
    </cacheField>
    <cacheField name="wala" numFmtId="0">
      <sharedItems containsSemiMixedTypes="0" containsString="0" containsNumber="1" minValue="50.343058675009502" maxValue="64"/>
    </cacheField>
    <cacheField name="wam" numFmtId="0">
      <sharedItems containsSemiMixedTypes="0" containsString="0" containsNumber="1" minValue="246.84955387660099" maxValue="309.65694132498999"/>
    </cacheField>
    <cacheField name="wac" numFmtId="0">
      <sharedItems containsSemiMixedTypes="0" containsString="0" containsNumber="1" minValue="2.6" maxValue="4.20330874850442"/>
    </cacheField>
    <cacheField name="fico" numFmtId="0">
      <sharedItems containsSemiMixedTypes="0" containsString="0" containsNumber="1" minValue="660.82026498872699" maxValue="776.24623105926696"/>
    </cacheField>
    <cacheField name="pct_HARPed" numFmtId="0">
      <sharedItems containsSemiMixedTypes="0" containsString="0" containsNumber="1" minValue="0" maxValue="100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9.42108557868801" maxValue="179.2"/>
    </cacheField>
    <cacheField name="hpa2yr" numFmtId="0">
      <sharedItems containsSemiMixedTypes="0" containsString="0" containsNumber="1" minValue="111.746794033981" maxValue="112.23235243226399"/>
    </cacheField>
    <cacheField name="media_effect" numFmtId="0">
      <sharedItems containsSemiMixedTypes="0" containsString="0" containsNumber="1" minValue="20.9" maxValue="35.313158109121702"/>
    </cacheField>
    <cacheField name="sato" numFmtId="0">
      <sharedItems containsSemiMixedTypes="0" containsString="0" containsNumber="1" minValue="-117.183738095423" maxValue="29.750692748224999"/>
    </cacheField>
    <cacheField name="bal" numFmtId="0">
      <sharedItems containsSemiMixedTypes="0" containsString="0" containsNumber="1" minValue="256666.2" maxValue="278258900927.79999"/>
    </cacheField>
    <cacheField name="std" numFmtId="0">
      <sharedItems containsMixedTypes="1" containsNumber="1" minValue="0" maxValue="0.19728944117835301"/>
    </cacheField>
    <cacheField name="n" numFmtId="0">
      <sharedItems containsSemiMixedTypes="0" containsString="0" containsNumber="1" containsInteger="1" minValue="1" maxValue="30919"/>
    </cacheField>
    <cacheField name="Ratio" numFmtId="0">
      <sharedItems containsSemiMixedTypes="0" containsString="0" containsNumber="1" minValue="0" maxValue="13.145968095181418"/>
    </cacheField>
    <cacheField name="model w/o refi" numFmtId="11">
      <sharedItems containsSemiMixedTypes="0" containsString="0" containsNumber="1" minValue="0.30401232690771379" maxValue="0.77776391624368801"/>
    </cacheField>
    <cacheField name="Ratio w/o refi" numFmtId="11">
      <sharedItems containsSemiMixedTypes="0" containsString="0" containsNumber="1" minValue="0" maxValue="13.1461638475033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x v="0"/>
    <n v="0"/>
    <n v="0.45753248168967497"/>
    <n v="0.45753248168967497"/>
    <n v="4.8274234350162197E-2"/>
    <n v="4.0922172041559799E-3"/>
    <n v="5.6283386944059799E-3"/>
    <n v="0.39952742390284601"/>
    <n v="1.02675381042969E-5"/>
    <n v="100"/>
    <n v="0"/>
    <n v="0"/>
    <n v="100"/>
    <n v="0"/>
    <n v="0"/>
    <n v="0"/>
    <n v="0"/>
    <n v="0.11294576043806299"/>
    <n v="-154.46286980058301"/>
    <n v="0"/>
    <n v="100"/>
    <n v="44.156432786908901"/>
    <n v="360.341729220057"/>
    <n v="54.430955889777103"/>
    <n v="305.56904411022299"/>
    <n v="3.1"/>
    <n v="732.65797363721197"/>
    <n v="0"/>
    <n v="0"/>
    <n v="172.06049109562099"/>
    <n v="111.816310465573"/>
    <n v="23.3717573458282"/>
    <n v="-49.3656677885824"/>
    <n v="2994015.7"/>
    <n v="0"/>
    <n v="10"/>
    <n v="0"/>
    <n v="0.45752221415157068"/>
    <n v="0"/>
  </r>
  <r>
    <x v="0"/>
    <x v="0"/>
    <x v="1"/>
    <n v="2.5479500842138399E-2"/>
    <n v="0.47146908615746702"/>
    <n v="0.44598958531532801"/>
    <n v="4.96799458206231E-2"/>
    <n v="5.2116980184820898E-3"/>
    <n v="1.6167266300662099E-3"/>
    <n v="0.41495082867192801"/>
    <n v="9.8870163672521805E-6"/>
    <n v="100"/>
    <n v="0"/>
    <n v="0"/>
    <n v="100"/>
    <n v="0"/>
    <n v="0"/>
    <n v="0"/>
    <n v="0"/>
    <n v="0.18090189596765299"/>
    <n v="-133.87729117761799"/>
    <n v="1.0663023631262701E-2"/>
    <n v="100"/>
    <n v="47.449990547093499"/>
    <n v="344.17362669408197"/>
    <n v="54.704992041682203"/>
    <n v="302.40043088740902"/>
    <n v="3.2652899421802801"/>
    <n v="771.46964997296402"/>
    <n v="0"/>
    <n v="0"/>
    <n v="172.39594066109299"/>
    <n v="111.926026781796"/>
    <n v="24.191717656614799"/>
    <n v="-34.688342483151402"/>
    <n v="73337232.200000003"/>
    <n v="2.1948766932479899E-3"/>
    <n v="145"/>
    <n v="5.4042781574078526E-2"/>
    <n v="0.47145919914109979"/>
    <n v="5.4043914910466756E-2"/>
  </r>
  <r>
    <x v="0"/>
    <x v="0"/>
    <x v="2"/>
    <n v="0.44307316721400403"/>
    <n v="0.512979332738281"/>
    <n v="6.9906165524276503E-2"/>
    <n v="5.1310426561329399E-2"/>
    <n v="5.6890486886542304E-3"/>
    <n v="1.77289359369099E-3"/>
    <n v="0.45419728574212098"/>
    <n v="9.67815248527471E-6"/>
    <n v="100"/>
    <n v="0"/>
    <n v="0"/>
    <n v="100"/>
    <n v="0"/>
    <n v="0"/>
    <n v="0"/>
    <n v="0"/>
    <n v="0.208261722801312"/>
    <n v="-108.357701167995"/>
    <n v="2.7395387789782202E-2"/>
    <n v="100"/>
    <n v="46.894709219591398"/>
    <n v="320.96060831313503"/>
    <n v="55.013186537474901"/>
    <n v="298.760754488673"/>
    <n v="3.46089187642393"/>
    <n v="776.24623105926696"/>
    <n v="0"/>
    <n v="0"/>
    <n v="172.85861340919001"/>
    <n v="111.982193464548"/>
    <n v="24.805137741736701"/>
    <n v="-15.4068479983501"/>
    <n v="801287011.10000002"/>
    <n v="4.95341108888806E-2"/>
    <n v="629"/>
    <n v="0.86372518138085952"/>
    <n v="0.51296965458579569"/>
    <n v="0.86374147720642358"/>
  </r>
  <r>
    <x v="0"/>
    <x v="0"/>
    <x v="3"/>
    <n v="0.62562226344810801"/>
    <n v="0.57668126060621405"/>
    <n v="-4.8941002841894003E-2"/>
    <n v="5.1598717162789597E-2"/>
    <n v="6.9132372707906503E-3"/>
    <n v="2.9781585201851899E-3"/>
    <n v="0.51484323810482202"/>
    <n v="3.4790954762651697E-4"/>
    <n v="100"/>
    <n v="0"/>
    <n v="0"/>
    <n v="100"/>
    <n v="0"/>
    <n v="0"/>
    <n v="0"/>
    <n v="0"/>
    <n v="0.25836166253616"/>
    <n v="-85.541324348537898"/>
    <n v="0.78857842519368504"/>
    <n v="99.988170394984294"/>
    <n v="46.558431603485801"/>
    <n v="305.24133921726201"/>
    <n v="54.495751641582302"/>
    <n v="298.22402421165799"/>
    <n v="3.63291069987197"/>
    <n v="774.43061163975801"/>
    <n v="0"/>
    <n v="0"/>
    <n v="172.402256503747"/>
    <n v="112.044514005748"/>
    <n v="26.775773709070702"/>
    <n v="-1.08762923706109"/>
    <n v="3699664523.1999998"/>
    <n v="6.4150492831130598E-2"/>
    <n v="1722"/>
    <n v="1.0848666433004024"/>
    <n v="0.57633335105858752"/>
    <n v="1.0855215341936892"/>
  </r>
  <r>
    <x v="0"/>
    <x v="0"/>
    <x v="4"/>
    <n v="0.69041848561994601"/>
    <n v="0.69318044172364401"/>
    <n v="2.7619561036972599E-3"/>
    <n v="5.2260500051472598E-2"/>
    <n v="8.8556225965983407E-3"/>
    <n v="4.7835058131122403E-3"/>
    <n v="0.59638392530385298"/>
    <n v="3.0896887958607702E-2"/>
    <n v="100"/>
    <n v="0"/>
    <n v="0"/>
    <n v="100"/>
    <n v="0"/>
    <n v="0"/>
    <n v="0"/>
    <n v="0"/>
    <n v="0.33850809096222301"/>
    <n v="-61.937661082417002"/>
    <n v="20.343890552528499"/>
    <n v="99.994223667180407"/>
    <n v="46.470333849668002"/>
    <n v="296.40944842694302"/>
    <n v="55.501660641218898"/>
    <n v="296.698741777289"/>
    <n v="3.77918680502663"/>
    <n v="773.09931962490396"/>
    <n v="0"/>
    <n v="0"/>
    <n v="173.15334886987199"/>
    <n v="112.217420926573"/>
    <n v="30.073729408148399"/>
    <n v="7.26698721146008"/>
    <n v="7549932000.3999996"/>
    <n v="5.1300419107859402E-2"/>
    <n v="3559"/>
    <n v="0.99601553082364791"/>
    <n v="0.66228355376503634"/>
    <n v="1.0424817009194394"/>
  </r>
  <r>
    <x v="0"/>
    <x v="0"/>
    <x v="5"/>
    <n v="0.88372570370113501"/>
    <n v="0.85132037016108997"/>
    <n v="-3.2405333540045697E-2"/>
    <n v="5.2736471128428497E-2"/>
    <n v="1.13121423421669E-2"/>
    <n v="7.0694213748397601E-3"/>
    <n v="0.67676919029507798"/>
    <n v="0.103433145020576"/>
    <n v="100"/>
    <n v="0"/>
    <n v="0"/>
    <n v="100"/>
    <n v="0"/>
    <n v="0"/>
    <n v="0"/>
    <n v="0"/>
    <n v="0.43095892821736798"/>
    <n v="-38.044742427184701"/>
    <n v="123.72248766669099"/>
    <n v="99.979164687067495"/>
    <n v="47.153262320966498"/>
    <n v="291.85571676382699"/>
    <n v="56.520518996260598"/>
    <n v="295.67573160357"/>
    <n v="3.98613994822305"/>
    <n v="771.10935980706904"/>
    <n v="0"/>
    <n v="0"/>
    <n v="172.52412713768601"/>
    <n v="112.195511041404"/>
    <n v="31.861327253821599"/>
    <n v="19.490939078661999"/>
    <n v="8071317217.3000002"/>
    <n v="6.8039609442159504E-2"/>
    <n v="6409"/>
    <n v="1.0380647928510311"/>
    <n v="0.74788722514051398"/>
    <n v="1.1816296280968024"/>
  </r>
  <r>
    <x v="0"/>
    <x v="0"/>
    <x v="6"/>
    <n v="0.76528766955804395"/>
    <n v="0.95346975479652896"/>
    <n v="0.18818208523848601"/>
    <n v="5.2857533697061101E-2"/>
    <n v="1.34462881682585E-2"/>
    <n v="9.6318864666149508E-3"/>
    <n v="0.70182820791175404"/>
    <n v="0.175705838552841"/>
    <n v="100"/>
    <n v="0"/>
    <n v="0"/>
    <n v="100"/>
    <n v="0"/>
    <n v="0"/>
    <n v="0"/>
    <n v="0"/>
    <n v="0.49575635840399701"/>
    <n v="-14.122339455968399"/>
    <n v="375.06701952534002"/>
    <n v="99.954673251956095"/>
    <n v="48.296609356677202"/>
    <n v="275.40157050103198"/>
    <n v="57.166919802757498"/>
    <n v="295.45776176005199"/>
    <n v="4.1910151849403201"/>
    <n v="768.754830617008"/>
    <n v="0"/>
    <n v="0"/>
    <n v="170.07094101393801"/>
    <n v="112.060125635532"/>
    <n v="35.313158109121702"/>
    <n v="24.862328268288099"/>
    <n v="7009595960.6999998"/>
    <n v="6.4751591751008294E-2"/>
    <n v="8054"/>
    <n v="0.80263444719476895"/>
    <n v="0.77776391624368801"/>
    <n v="0.98395882551880298"/>
  </r>
  <r>
    <x v="0"/>
    <x v="1"/>
    <x v="0"/>
    <n v="2.0121542736784099E-4"/>
    <n v="0.37319137647774298"/>
    <n v="0.37299016105037502"/>
    <n v="4.7118420177359101E-2"/>
    <n v="2.9668126288329502E-3"/>
    <n v="1.7341586371078901E-3"/>
    <n v="0.32136172804459701"/>
    <n v="1.0256989845479099E-5"/>
    <n v="100"/>
    <n v="0"/>
    <n v="0"/>
    <n v="0"/>
    <n v="0"/>
    <n v="100"/>
    <n v="0"/>
    <n v="0"/>
    <n v="5.8800454705948198E-2"/>
    <n v="-157.973138043278"/>
    <n v="0"/>
    <n v="100"/>
    <n v="53.602938087334202"/>
    <n v="352.99693957333199"/>
    <n v="51.751870698888297"/>
    <n v="308.24812930111199"/>
    <n v="3"/>
    <n v="745"/>
    <n v="0"/>
    <n v="0"/>
    <n v="170.695118477596"/>
    <n v="111.837685211541"/>
    <n v="24.175716455351399"/>
    <n v="-62"/>
    <n v="1765008.8"/>
    <n v="4.4721359549995799E-6"/>
    <n v="5"/>
    <n v="5.3917491145415424E-4"/>
    <n v="0.37318111948789751"/>
    <n v="5.3918973083086678E-4"/>
  </r>
  <r>
    <x v="0"/>
    <x v="1"/>
    <x v="1"/>
    <n v="0.93534437373725798"/>
    <n v="0.40701424473497899"/>
    <n v="-0.52833012900227905"/>
    <n v="5.1469504697883403E-2"/>
    <n v="6.0594527375574898E-3"/>
    <n v="2.8000930232398298E-3"/>
    <n v="0.34667459248669402"/>
    <n v="1.0601789603887101E-5"/>
    <n v="100"/>
    <n v="0"/>
    <n v="0"/>
    <n v="0"/>
    <n v="0"/>
    <n v="100"/>
    <n v="0"/>
    <n v="0"/>
    <n v="0.22008241230855799"/>
    <n v="-133.49470296086901"/>
    <n v="1.2250280150175701E-3"/>
    <n v="100"/>
    <n v="40.941253327957398"/>
    <n v="382.06041185629101"/>
    <n v="55.732669571121001"/>
    <n v="298.69836149318502"/>
    <n v="3.2615371123680701"/>
    <n v="763.96159447688603"/>
    <n v="0"/>
    <n v="0"/>
    <n v="172.77991101957301"/>
    <n v="111.92879770909001"/>
    <n v="24.022285409796201"/>
    <n v="-40.075440853909903"/>
    <n v="51585546.799999997"/>
    <n v="8.9076734646547501E-2"/>
    <n v="126"/>
    <n v="2.2980629937074881"/>
    <n v="0.40700364294537511"/>
    <n v="2.2981228545484855"/>
  </r>
  <r>
    <x v="0"/>
    <x v="1"/>
    <x v="2"/>
    <n v="0.53424388830203595"/>
    <n v="0.45268241378479601"/>
    <n v="-8.1561474517239496E-2"/>
    <n v="5.0541992856998799E-2"/>
    <n v="6.0504333788705799E-3"/>
    <n v="3.3060279368358602E-3"/>
    <n v="0.392773987230012"/>
    <n v="9.9723820797368207E-6"/>
    <n v="100"/>
    <n v="0"/>
    <n v="0"/>
    <n v="0"/>
    <n v="0"/>
    <n v="100"/>
    <n v="0"/>
    <n v="0"/>
    <n v="0.22827526303048301"/>
    <n v="-108.548063785135"/>
    <n v="1.3434803808456399E-2"/>
    <n v="100"/>
    <n v="39.502103154175401"/>
    <n v="341.2870571615"/>
    <n v="54.9892253359873"/>
    <n v="300.504363266322"/>
    <n v="3.4581816093462399"/>
    <n v="768.91270916613996"/>
    <n v="0"/>
    <n v="0"/>
    <n v="172.67121025628799"/>
    <n v="111.98269511543"/>
    <n v="24.924410003409999"/>
    <n v="-18.0948617432656"/>
    <n v="512156722.80000001"/>
    <n v="6.4956373227455094E-2"/>
    <n v="617"/>
    <n v="1.1801737201039448"/>
    <n v="0.45267244140271629"/>
    <n v="1.1801997193523657"/>
  </r>
  <r>
    <x v="0"/>
    <x v="1"/>
    <x v="3"/>
    <n v="0.56134065302854996"/>
    <n v="0.50651133342954402"/>
    <n v="-5.4829319599005201E-2"/>
    <n v="5.0776934834408899E-2"/>
    <n v="6.6685559659544402E-3"/>
    <n v="4.3630117099696299E-3"/>
    <n v="0.44435237291338098"/>
    <n v="3.50458005830741E-4"/>
    <n v="100"/>
    <n v="0"/>
    <n v="0"/>
    <n v="0"/>
    <n v="0"/>
    <n v="100"/>
    <n v="0"/>
    <n v="0"/>
    <n v="0.255791972458077"/>
    <n v="-85.402193903978997"/>
    <n v="1.8140759743766599"/>
    <n v="100"/>
    <n v="39.373986936982703"/>
    <n v="315.29284076869499"/>
    <n v="54.689608871568602"/>
    <n v="299.94761333932502"/>
    <n v="3.6208710894936198"/>
    <n v="769.07955386359299"/>
    <n v="0"/>
    <n v="0"/>
    <n v="172.50137743374901"/>
    <n v="112.05662725453"/>
    <n v="27.073417361225999"/>
    <n v="-3.3768514526341402"/>
    <n v="2138011205.0999999"/>
    <n v="4.50542103199233E-2"/>
    <n v="1574"/>
    <n v="1.1082489491948015"/>
    <n v="0.50616087542371324"/>
    <n v="1.1090162837233224"/>
  </r>
  <r>
    <x v="0"/>
    <x v="1"/>
    <x v="4"/>
    <n v="0.59163471976598303"/>
    <n v="0.61063526705571003"/>
    <n v="1.9000547289726801E-2"/>
    <n v="5.13524910405119E-2"/>
    <n v="9.0230073496414907E-3"/>
    <n v="6.2822362158209896E-3"/>
    <n v="0.51135506320534396"/>
    <n v="3.2622469244391501E-2"/>
    <n v="100"/>
    <n v="0"/>
    <n v="0"/>
    <n v="0"/>
    <n v="0"/>
    <n v="100"/>
    <n v="0"/>
    <n v="0"/>
    <n v="0.35349130009712898"/>
    <n v="-61.911969644947902"/>
    <n v="33.121849946404502"/>
    <n v="100"/>
    <n v="39.342906265633196"/>
    <n v="305.32050269259702"/>
    <n v="55.506161445495898"/>
    <n v="298.64806916929302"/>
    <n v="3.78973611216023"/>
    <n v="768.33135255847299"/>
    <n v="0"/>
    <n v="0"/>
    <n v="172.863131781394"/>
    <n v="112.17165001354699"/>
    <n v="29.6537300076644"/>
    <n v="7.6391153082223298"/>
    <n v="4512693427"/>
    <n v="5.36507214837759E-2"/>
    <n v="3456"/>
    <n v="0.96888396672314459"/>
    <n v="0.57801279781131853"/>
    <n v="1.023566817216236"/>
  </r>
  <r>
    <x v="0"/>
    <x v="1"/>
    <x v="5"/>
    <n v="0.53333880474008999"/>
    <n v="0.76154469363367505"/>
    <n v="0.22820588889358501"/>
    <n v="5.1734235670375099E-2"/>
    <n v="1.2461245856157E-2"/>
    <n v="9.2677201785707104E-3"/>
    <n v="0.58141708473142395"/>
    <n v="0.10666440719714899"/>
    <n v="100"/>
    <n v="0"/>
    <n v="0"/>
    <n v="0"/>
    <n v="0"/>
    <n v="100"/>
    <n v="0"/>
    <n v="0"/>
    <n v="0.49149871015459501"/>
    <n v="-37.915059460558901"/>
    <n v="159.45078553324799"/>
    <n v="100"/>
    <n v="39.897976790904103"/>
    <n v="299.843876996272"/>
    <n v="56.325614612118699"/>
    <n v="297.81644351191898"/>
    <n v="3.99755587636179"/>
    <n v="765.98050230891704"/>
    <n v="0"/>
    <n v="0"/>
    <n v="172.15595256186"/>
    <n v="112.15490884854999"/>
    <n v="31.501334165952201"/>
    <n v="19.7688362831719"/>
    <n v="5706277257"/>
    <n v="5.9759473258151001E-2"/>
    <n v="6299"/>
    <n v="0.70033815375337816"/>
    <n v="0.65488028643652607"/>
    <n v="0.8144065652704352"/>
  </r>
  <r>
    <x v="0"/>
    <x v="1"/>
    <x v="6"/>
    <n v="0.87895776425759398"/>
    <n v="0.86152064869243905"/>
    <n v="-1.7437115565154499E-2"/>
    <n v="5.2193138029081501E-2"/>
    <n v="1.40313657487576E-2"/>
    <n v="1.2367373733177299E-2"/>
    <n v="0.60558289622748196"/>
    <n v="0.177345874953941"/>
    <n v="100"/>
    <n v="0"/>
    <n v="0"/>
    <n v="0"/>
    <n v="0"/>
    <n v="100"/>
    <n v="0"/>
    <n v="0"/>
    <n v="0.52244992313662497"/>
    <n v="-14.2812223429297"/>
    <n v="445.377791606389"/>
    <n v="100"/>
    <n v="40.725272334182499"/>
    <n v="281.75382548408498"/>
    <n v="57.037389231074002"/>
    <n v="296.87717846584599"/>
    <n v="4.20330874850442"/>
    <n v="763.79203400378196"/>
    <n v="0"/>
    <n v="0"/>
    <n v="169.42108557868801"/>
    <n v="112.005138667922"/>
    <n v="34.424026537490903"/>
    <n v="25.653169385546398"/>
    <n v="5202582703.6999998"/>
    <n v="7.7972199404389098E-2"/>
    <n v="7700"/>
    <n v="1.0202399276112766"/>
    <n v="0.684174773738498"/>
    <n v="1.2846977088248288"/>
  </r>
  <r>
    <x v="0"/>
    <x v="2"/>
    <x v="7"/>
    <n v="0"/>
    <n v="0.369835544350267"/>
    <n v="0.369835544350267"/>
    <n v="5.2374562962963001E-2"/>
    <n v="1.2533938390408301E-3"/>
    <n v="1.0612910558744199E-3"/>
    <n v="0.31513920847365001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96"/>
    <n v="2.6"/>
    <n v="726"/>
    <n v="100"/>
    <n v="0"/>
    <n v="179.2"/>
    <n v="112.2"/>
    <n v="20.9"/>
    <n v="-107"/>
    <n v="256666.2"/>
    <s v="NA"/>
    <n v="1"/>
    <n v="0"/>
    <n v="0.3698284563315285"/>
    <n v="0"/>
  </r>
  <r>
    <x v="0"/>
    <x v="2"/>
    <x v="8"/>
    <n v="0"/>
    <n v="0.37996335837408701"/>
    <n v="0.37996335837408701"/>
    <n v="4.8342513377879197E-2"/>
    <n v="1.2438395829683601E-3"/>
    <n v="1.42947736341014E-3"/>
    <n v="0.32894110078037397"/>
    <n v="6.4272694555670302E-6"/>
    <n v="100"/>
    <n v="0"/>
    <n v="0"/>
    <n v="0"/>
    <n v="100"/>
    <n v="0"/>
    <n v="0"/>
    <n v="100"/>
    <n v="0"/>
    <n v="-187.66588527759001"/>
    <n v="0"/>
    <n v="100"/>
    <n v="35.698291043210403"/>
    <n v="254.51859095712101"/>
    <n v="54.529651477356097"/>
    <n v="305.47034852264397"/>
    <n v="2.61610411562275"/>
    <n v="731.15331699927901"/>
    <n v="91.9479421886263"/>
    <n v="0"/>
    <n v="170.74700051845701"/>
    <n v="111.921766139477"/>
    <n v="26.214183137071199"/>
    <n v="-104.383081211304"/>
    <n v="2000360.7"/>
    <n v="0"/>
    <n v="8"/>
    <n v="0"/>
    <n v="0.37995693110463147"/>
    <n v="0"/>
  </r>
  <r>
    <x v="0"/>
    <x v="2"/>
    <x v="0"/>
    <n v="4.2437830205425199E-5"/>
    <n v="0.40484934161356401"/>
    <n v="0.40480690378335898"/>
    <n v="4.8356225054219902E-2"/>
    <n v="3.9621975274157896E-3"/>
    <n v="9.07859171406894E-4"/>
    <n v="0.35161602351077398"/>
    <n v="7.0363497475272602E-6"/>
    <n v="100"/>
    <n v="0"/>
    <n v="0"/>
    <n v="0"/>
    <n v="100"/>
    <n v="0"/>
    <n v="0"/>
    <n v="100"/>
    <n v="0.13410889891255001"/>
    <n v="-161.53013565356801"/>
    <n v="0"/>
    <n v="85.983767808824993"/>
    <n v="35.865872006228301"/>
    <n v="284.40046958872"/>
    <n v="54.458139348477999"/>
    <n v="305.41153968301097"/>
    <n v="2.9027913325295098"/>
    <n v="746.83383503827997"/>
    <n v="40.292793332489097"/>
    <n v="0"/>
    <n v="172.459175292281"/>
    <n v="112.033624741908"/>
    <n v="26.753459048478799"/>
    <n v="-74.632441109225695"/>
    <n v="6919139.7999999998"/>
    <n v="1.7320508075688801E-6"/>
    <n v="27"/>
    <n v="1.048237599603975E-4"/>
    <n v="0.40484230526381648"/>
    <n v="1.0482558184666616E-4"/>
  </r>
  <r>
    <x v="0"/>
    <x v="2"/>
    <x v="1"/>
    <n v="0.37864258987493099"/>
    <n v="0.41367766049916499"/>
    <n v="3.5035070624233403E-2"/>
    <n v="5.0706308299121802E-2"/>
    <n v="6.1669191625737798E-3"/>
    <n v="1.6567093039936999E-3"/>
    <n v="0.35513794870140603"/>
    <n v="9.7750320692767508E-6"/>
    <n v="100"/>
    <n v="0"/>
    <n v="0"/>
    <n v="0"/>
    <n v="100"/>
    <n v="0"/>
    <n v="0"/>
    <n v="100"/>
    <n v="0.23430977644720399"/>
    <n v="-132.25652345674001"/>
    <n v="6.3036501434056702E-3"/>
    <n v="98.4307881297553"/>
    <n v="39.588318558200498"/>
    <n v="355.92824069060401"/>
    <n v="54.996491833233002"/>
    <n v="300.09941260650299"/>
    <n v="3.2660605411182502"/>
    <n v="771.71725048398503"/>
    <n v="12.6796689653127"/>
    <n v="0"/>
    <n v="172.84001104729001"/>
    <n v="111.93305160676999"/>
    <n v="24.2176355005322"/>
    <n v="-33.461776006130002"/>
    <n v="123037776.90000001"/>
    <n v="6.5281345366912893E-2"/>
    <n v="236"/>
    <n v="0.9153082847597841"/>
    <n v="0.41366788546709571"/>
    <n v="0.91532991362717053"/>
  </r>
  <r>
    <x v="0"/>
    <x v="2"/>
    <x v="2"/>
    <n v="0.42987270173513698"/>
    <n v="0.45177932598139098"/>
    <n v="2.1906624246253299E-2"/>
    <n v="5.1292815790933297E-2"/>
    <n v="5.9478223237854604E-3"/>
    <n v="2.3266981549461101E-3"/>
    <n v="0.39220258973403099"/>
    <n v="9.3999776950889705E-6"/>
    <n v="100"/>
    <n v="0"/>
    <n v="0"/>
    <n v="0"/>
    <n v="100"/>
    <n v="0"/>
    <n v="0"/>
    <n v="100"/>
    <n v="0.22692080111427201"/>
    <n v="-108.351318882489"/>
    <n v="9.4566685389014006E-3"/>
    <n v="99.872929128046295"/>
    <n v="39.2812831354724"/>
    <n v="315.62186121494398"/>
    <n v="54.943812562679099"/>
    <n v="298.78933177275297"/>
    <n v="3.4470857389124099"/>
    <n v="773.74556633999498"/>
    <n v="9.4448750722530299"/>
    <n v="0"/>
    <n v="172.51090398821901"/>
    <n v="111.956142757862"/>
    <n v="24.686575486793402"/>
    <n v="-16.3166115066422"/>
    <n v="1453521622.7"/>
    <n v="2.50821740997729E-2"/>
    <n v="965"/>
    <n v="0.951510343686784"/>
    <n v="0.45176992600369587"/>
    <n v="0.9515301417642843"/>
  </r>
  <r>
    <x v="0"/>
    <x v="2"/>
    <x v="3"/>
    <n v="0.54745850111014904"/>
    <n v="0.50582975600410096"/>
    <n v="-4.16287451060477E-2"/>
    <n v="5.1477305501866501E-2"/>
    <n v="6.9715659757371802E-3"/>
    <n v="3.6409295937348501E-3"/>
    <n v="0.44347315574447099"/>
    <n v="2.6679918829185598E-4"/>
    <n v="100"/>
    <n v="0"/>
    <n v="0"/>
    <n v="0"/>
    <n v="100"/>
    <n v="0"/>
    <n v="0"/>
    <n v="100"/>
    <n v="0.26944622804197899"/>
    <n v="-85.474811300618697"/>
    <n v="1.4972726136877501"/>
    <n v="99.913818520368693"/>
    <n v="39.842987601357898"/>
    <n v="308.76871650157398"/>
    <n v="54.561928261117302"/>
    <n v="298.32696582847001"/>
    <n v="3.62447938395447"/>
    <n v="772.75204335661101"/>
    <n v="8.6386952892052893"/>
    <n v="0"/>
    <n v="172.498592486912"/>
    <n v="112.05112340006301"/>
    <n v="26.778689265249199"/>
    <n v="-1.3553884346318399"/>
    <n v="6562216122.3000002"/>
    <n v="6.3878606881214495E-2"/>
    <n v="2409"/>
    <n v="1.0822979364339937"/>
    <n v="0.50556295681580909"/>
    <n v="1.0828690942038375"/>
  </r>
  <r>
    <x v="0"/>
    <x v="2"/>
    <x v="4"/>
    <n v="0.59382030774090799"/>
    <n v="0.60953283422193205"/>
    <n v="1.5712526481024801E-2"/>
    <n v="5.2105800985776198E-2"/>
    <n v="9.7694050030700599E-3"/>
    <n v="5.5033355624557502E-3"/>
    <n v="0.51061274127793399"/>
    <n v="3.1541551392696002E-2"/>
    <n v="100"/>
    <n v="0"/>
    <n v="0"/>
    <n v="0"/>
    <n v="100"/>
    <n v="0"/>
    <n v="0"/>
    <n v="100"/>
    <n v="0.385011292252666"/>
    <n v="-61.805818454194402"/>
    <n v="29.958009396143499"/>
    <n v="99.802497273256506"/>
    <n v="39.953933963977299"/>
    <n v="302.89837823715698"/>
    <n v="55.372851432564602"/>
    <n v="296.905763575805"/>
    <n v="3.7877978685809301"/>
    <n v="771.53633331574304"/>
    <n v="11.465580409411499"/>
    <n v="0"/>
    <n v="173.01871739862801"/>
    <n v="112.186686022104"/>
    <n v="29.7510635465452"/>
    <n v="8.5058127786582602"/>
    <n v="13636930076"/>
    <n v="5.7996905117470202E-2"/>
    <n v="5294"/>
    <n v="0.97422201791461971"/>
    <n v="0.57799128282923606"/>
    <n v="1.0273862692776086"/>
  </r>
  <r>
    <x v="0"/>
    <x v="2"/>
    <x v="5"/>
    <n v="0.74146060891530996"/>
    <n v="0.756705676703888"/>
    <n v="1.52450677885781E-2"/>
    <n v="5.25207995307218E-2"/>
    <n v="1.2805225879020599E-2"/>
    <n v="8.8611009558073103E-3"/>
    <n v="0.58250199331062202"/>
    <n v="0.100016557027716"/>
    <n v="100"/>
    <n v="0"/>
    <n v="0"/>
    <n v="0"/>
    <n v="100"/>
    <n v="0"/>
    <n v="0"/>
    <n v="100"/>
    <n v="0.503651184477095"/>
    <n v="-38.044280046410002"/>
    <n v="149.59018088859699"/>
    <n v="99.512141224986195"/>
    <n v="40.399920044228303"/>
    <n v="297.80884318276901"/>
    <n v="56.057789463474499"/>
    <n v="296.01449917693702"/>
    <n v="3.9933821440820298"/>
    <n v="767.98237196894195"/>
    <n v="19.7545730956085"/>
    <n v="0"/>
    <n v="172.36524707451301"/>
    <n v="112.172941702375"/>
    <n v="31.616619824789101"/>
    <n v="21.379441109343801"/>
    <n v="15962175739.299999"/>
    <n v="7.0963691224205899E-2"/>
    <n v="10378"/>
    <n v="0.9798533719807897"/>
    <n v="0.65668911967617194"/>
    <n v="1.1290892245647997"/>
  </r>
  <r>
    <x v="0"/>
    <x v="2"/>
    <x v="6"/>
    <n v="0.896394438491111"/>
    <n v="0.857560257698331"/>
    <n v="-3.8834180792780303E-2"/>
    <n v="5.2876054639398998E-2"/>
    <n v="1.4729042304111701E-2"/>
    <n v="1.32392275143021E-2"/>
    <n v="0.614640457967354"/>
    <n v="0.16207547527316399"/>
    <n v="100"/>
    <n v="0"/>
    <n v="0"/>
    <n v="0"/>
    <n v="100"/>
    <n v="0"/>
    <n v="0"/>
    <n v="100"/>
    <n v="0.55964748695475797"/>
    <n v="-14.242566019703901"/>
    <n v="411.14440902580299"/>
    <n v="99.164024869673398"/>
    <n v="41.512657406698203"/>
    <n v="279.207022738332"/>
    <n v="56.529697956639097"/>
    <n v="295.28312942963203"/>
    <n v="4.1922408351796596"/>
    <n v="763.46444668585798"/>
    <n v="30.252240144165899"/>
    <n v="0"/>
    <n v="170.344977858025"/>
    <n v="112.07455506822301"/>
    <n v="34.590799099119003"/>
    <n v="29.750692748224999"/>
    <n v="13798650982.299999"/>
    <n v="7.1999008348799701E-2"/>
    <n v="12617"/>
    <n v="1.0452844921906828"/>
    <n v="0.69548478242516698"/>
    <n v="1.2888771417332363"/>
  </r>
  <r>
    <x v="1"/>
    <x v="0"/>
    <x v="8"/>
    <n v="2.3165926311535001E-4"/>
    <n v="0.49747557867235198"/>
    <n v="0.49724391940923701"/>
    <n v="4.65185014191681E-2"/>
    <n v="6.4085457384925899E-3"/>
    <n v="5.3759079419137502E-3"/>
    <n v="0.43916514694385"/>
    <n v="7.4766289274388903E-6"/>
    <n v="0"/>
    <n v="0"/>
    <n v="100"/>
    <n v="100"/>
    <n v="0"/>
    <n v="0"/>
    <n v="0"/>
    <n v="0"/>
    <n v="0"/>
    <n v="-183.62824421785399"/>
    <n v="0"/>
    <n v="100"/>
    <n v="69.129834542459193"/>
    <n v="191.702421971728"/>
    <n v="50.343058675009502"/>
    <n v="309.65694132498999"/>
    <n v="2.6429142279500799"/>
    <n v="660.82026498872699"/>
    <n v="0"/>
    <n v="0"/>
    <n v="170.5592362447"/>
    <n v="111.857356556993"/>
    <n v="24.3170504447673"/>
    <n v="-108.923525024131"/>
    <n v="938198.4"/>
    <n v="4.0249223594996204E-6"/>
    <n v="5"/>
    <n v="4.6566961886570466E-4"/>
    <n v="0.49746810204342456"/>
    <n v="4.6567661758367012E-4"/>
  </r>
  <r>
    <x v="1"/>
    <x v="0"/>
    <x v="0"/>
    <n v="6.6216761444819898"/>
    <n v="0.50370395672184298"/>
    <n v="-6.1179721877601496"/>
    <n v="4.7848026112210701E-2"/>
    <n v="2.5093533176217001E-2"/>
    <n v="8.0868407430474392E-3"/>
    <n v="0.42266805631077198"/>
    <n v="7.5003795956686004E-6"/>
    <n v="0"/>
    <n v="0"/>
    <n v="100"/>
    <n v="100"/>
    <n v="0"/>
    <n v="0"/>
    <n v="0"/>
    <n v="0"/>
    <n v="0.80020954886317397"/>
    <n v="-161.06657681137699"/>
    <n v="0"/>
    <n v="100"/>
    <n v="67.929508027049806"/>
    <n v="193.686506138456"/>
    <n v="53.150699114651403"/>
    <n v="306.61294259141602"/>
    <n v="2.6693597401026201"/>
    <n v="698.02254361174801"/>
    <n v="0"/>
    <n v="0"/>
    <n v="173.55672352219199"/>
    <n v="112.106085885911"/>
    <n v="25.834067452330299"/>
    <n v="-117.183738095423"/>
    <n v="6726593.4000000004"/>
    <n v="0.19728944117835301"/>
    <n v="32"/>
    <n v="13.145968095181418"/>
    <n v="0.50369645634224736"/>
    <n v="13.146163847503326"/>
  </r>
  <r>
    <x v="1"/>
    <x v="0"/>
    <x v="1"/>
    <n v="0.97185697942852201"/>
    <n v="0.44934899019565999"/>
    <n v="-0.52250798923286201"/>
    <n v="4.92760434519438E-2"/>
    <n v="1.06612193051349E-2"/>
    <n v="6.1818830232459503E-3"/>
    <n v="0.38322153132162901"/>
    <n v="8.3130937064584201E-6"/>
    <n v="0"/>
    <n v="0"/>
    <n v="100"/>
    <n v="100"/>
    <n v="0"/>
    <n v="0"/>
    <n v="0"/>
    <n v="0"/>
    <n v="0.31939167756201098"/>
    <n v="-135.92344572326601"/>
    <n v="0"/>
    <n v="100"/>
    <n v="64.378481454573802"/>
    <n v="237.65948841722101"/>
    <n v="53.559143257217301"/>
    <n v="303.52228733234102"/>
    <n v="2.7510781448997701"/>
    <n v="741.68070085107797"/>
    <n v="0"/>
    <n v="0"/>
    <n v="173.29446999701401"/>
    <n v="112.06225614197901"/>
    <n v="26.459999331262299"/>
    <n v="-104.874389742487"/>
    <n v="41995537.899999999"/>
    <n v="4.1710915412389603E-2"/>
    <n v="131"/>
    <n v="2.1628110903405977"/>
    <n v="0.44934067710195352"/>
    <n v="2.1628511037473062"/>
  </r>
  <r>
    <x v="1"/>
    <x v="0"/>
    <x v="2"/>
    <n v="0.23412926729285699"/>
    <n v="0.429231374854322"/>
    <n v="0.19510210756146501"/>
    <n v="5.0477557149845399E-2"/>
    <n v="9.7416876677458193E-3"/>
    <n v="4.1814677163571397E-3"/>
    <n v="0.364821387263988"/>
    <n v="9.2750563852453295E-6"/>
    <n v="0"/>
    <n v="6.5065900625175903"/>
    <n v="93.493409937482397"/>
    <n v="100"/>
    <n v="0"/>
    <n v="0"/>
    <n v="0"/>
    <n v="0"/>
    <n v="0.33237123385872203"/>
    <n v="-108.445629048954"/>
    <n v="0.82835191330642599"/>
    <n v="100"/>
    <n v="54.734372333574598"/>
    <n v="300.17557538572299"/>
    <n v="54.038707761650997"/>
    <n v="300.734790910105"/>
    <n v="2.97562880475737"/>
    <n v="766.36494894744101"/>
    <n v="0"/>
    <n v="0"/>
    <n v="171.646761672167"/>
    <n v="111.925715431284"/>
    <n v="25.923500599736499"/>
    <n v="-69.815962379050205"/>
    <n v="407229186.80000001"/>
    <n v="5.6792192597026003E-2"/>
    <n v="640"/>
    <n v="0.5454616810626175"/>
    <n v="0.42922209979793674"/>
    <n v="0.54547346793903939"/>
  </r>
  <r>
    <x v="1"/>
    <x v="0"/>
    <x v="3"/>
    <n v="0.50037555261239897"/>
    <n v="0.45525997847327399"/>
    <n v="-4.5115574139124801E-2"/>
    <n v="5.1267917818602703E-2"/>
    <n v="7.38764385425406E-3"/>
    <n v="4.5307252961541804E-3"/>
    <n v="0.39172485663552797"/>
    <n v="3.4883486873453902E-4"/>
    <n v="0"/>
    <n v="7.66808095097036"/>
    <n v="92.331919049029594"/>
    <n v="100"/>
    <n v="0"/>
    <n v="0"/>
    <n v="0"/>
    <n v="0"/>
    <n v="0.257690059126779"/>
    <n v="-83.066171755851997"/>
    <n v="0.22819836726961301"/>
    <n v="99.9715370600249"/>
    <n v="51.762743420090302"/>
    <n v="316.940605489831"/>
    <n v="53.879026832499299"/>
    <n v="298.88620712412398"/>
    <n v="3.2075872378970498"/>
    <n v="770.79474714546302"/>
    <n v="0"/>
    <n v="0"/>
    <n v="171.81646620579099"/>
    <n v="111.893439598686"/>
    <n v="24.605631941667699"/>
    <n v="-42.376538999396203"/>
    <n v="7757779421"/>
    <n v="6.4599076773677697E-2"/>
    <n v="2512"/>
    <n v="1.09909848498087"/>
    <n v="0.45491114360453944"/>
    <n v="1.0999412954530354"/>
  </r>
  <r>
    <x v="1"/>
    <x v="0"/>
    <x v="4"/>
    <n v="0.58312166886910799"/>
    <n v="0.56404812131333104"/>
    <n v="-1.90735475557769E-2"/>
    <n v="5.1961319529205199E-2"/>
    <n v="7.9318421108826396E-3"/>
    <n v="6.2444501179472704E-3"/>
    <n v="0.458527899198095"/>
    <n v="3.9382610357201198E-2"/>
    <n v="0"/>
    <n v="8.7757566154519306"/>
    <n v="91.224243384548103"/>
    <n v="100"/>
    <n v="0"/>
    <n v="0"/>
    <n v="0"/>
    <n v="0"/>
    <n v="0.28400441209788202"/>
    <n v="-59.910624179781401"/>
    <n v="33.7032541488879"/>
    <n v="100"/>
    <n v="50.883357957190498"/>
    <n v="304.33696738151502"/>
    <n v="54.677396374972297"/>
    <n v="297.310934320282"/>
    <n v="3.36329292973234"/>
    <n v="770.11975858833796"/>
    <n v="0"/>
    <n v="0"/>
    <n v="172.46945422000101"/>
    <n v="112.033877042146"/>
    <n v="26.321510180454801"/>
    <n v="-30.489245774114199"/>
    <n v="56413240928.800003"/>
    <n v="5.4938859577942999E-2"/>
    <n v="8029"/>
    <n v="1.0338154615449584"/>
    <n v="0.52466551095612979"/>
    <n v="1.1114160483056148"/>
  </r>
  <r>
    <x v="1"/>
    <x v="0"/>
    <x v="5"/>
    <n v="0.715995363602139"/>
    <n v="0.71433467890138302"/>
    <n v="-1.6606847007555299E-3"/>
    <n v="5.2382198639980199E-2"/>
    <n v="8.4251747886107693E-3"/>
    <n v="9.0766071327141509E-3"/>
    <n v="0.53233886901196203"/>
    <n v="0.112111829328116"/>
    <n v="0"/>
    <n v="9.0884362969554999"/>
    <n v="90.911563703044493"/>
    <n v="100"/>
    <n v="0"/>
    <n v="0"/>
    <n v="0"/>
    <n v="0"/>
    <n v="0.30355130284088799"/>
    <n v="-36.515305709511601"/>
    <n v="135.268411943084"/>
    <n v="99.999850559868804"/>
    <n v="50.648274145716002"/>
    <n v="301.77601913311599"/>
    <n v="55.4822711965476"/>
    <n v="296.34937335008198"/>
    <n v="3.5054346332145299"/>
    <n v="768.10030167959496"/>
    <n v="0"/>
    <n v="0"/>
    <n v="173.266885958839"/>
    <n v="112.23235243226399"/>
    <n v="29.818315474812799"/>
    <n v="-22.778859211213401"/>
    <n v="135632174824.5"/>
    <n v="5.7670790584869597E-2"/>
    <n v="17813"/>
    <n v="1.0023247992149982"/>
    <n v="0.60222284957326699"/>
    <n v="1.1889209519524058"/>
  </r>
  <r>
    <x v="1"/>
    <x v="0"/>
    <x v="6"/>
    <n v="0.78182207119421498"/>
    <n v="0.80899873571314995"/>
    <n v="2.7176664518934801E-2"/>
    <n v="5.35915100533529E-2"/>
    <n v="1.0086237588851099E-2"/>
    <n v="1.2606871384614899E-2"/>
    <n v="0.55534139460882304"/>
    <n v="0.17737272207750801"/>
    <n v="0"/>
    <n v="9.4401055376726397"/>
    <n v="90.559894462327406"/>
    <n v="100"/>
    <n v="0"/>
    <n v="0"/>
    <n v="0"/>
    <n v="0"/>
    <n v="0.35226287169819598"/>
    <n v="-14.6425866210013"/>
    <n v="475.982291952862"/>
    <n v="99.999354520662905"/>
    <n v="50.618636155760498"/>
    <n v="285.52502496065699"/>
    <n v="57.5149335475854"/>
    <n v="293.663620118241"/>
    <n v="3.6992996373896001"/>
    <n v="765.06267867919405"/>
    <n v="0"/>
    <n v="0"/>
    <n v="171.940055611725"/>
    <n v="112.14152118288401"/>
    <n v="31.582871269932198"/>
    <n v="-17.152478464368201"/>
    <n v="129288414366.7"/>
    <n v="6.1861817945580898E-2"/>
    <n v="25133"/>
    <n v="0.96640703709508502"/>
    <n v="0.63162601363564197"/>
    <n v="1.2377927037774203"/>
  </r>
  <r>
    <x v="1"/>
    <x v="1"/>
    <x v="0"/>
    <n v="2.5113324706669601E-5"/>
    <n v="0.30402157944436498"/>
    <n v="0.30399646611965803"/>
    <n v="4.7193785389598002E-2"/>
    <n v="2.3749031424021398E-3"/>
    <n v="3.7257867032745802E-4"/>
    <n v="0.25407105970538602"/>
    <n v="9.2525366512007494E-6"/>
    <n v="0"/>
    <n v="0"/>
    <n v="100"/>
    <n v="0"/>
    <n v="0"/>
    <n v="100"/>
    <n v="0"/>
    <n v="0"/>
    <n v="7.3480311368991399E-2"/>
    <n v="-156.193811627587"/>
    <n v="0"/>
    <n v="100"/>
    <n v="40.441258664628798"/>
    <n v="269.412645203804"/>
    <n v="51.938102265120897"/>
    <n v="308.06189773487898"/>
    <n v="2.7"/>
    <n v="766"/>
    <n v="0"/>
    <n v="0"/>
    <n v="170.76704605491599"/>
    <n v="111.746794033981"/>
    <n v="23.819532573511399"/>
    <n v="-87"/>
    <n v="1077743.8"/>
    <n v="4.9999999999999998E-7"/>
    <n v="4"/>
    <n v="8.2603757116738697E-5"/>
    <n v="0.30401232690771379"/>
    <n v="8.26062711407522E-5"/>
  </r>
  <r>
    <x v="1"/>
    <x v="1"/>
    <x v="1"/>
    <n v="2.21731531681616E-2"/>
    <n v="0.37626428372472598"/>
    <n v="0.35409113055656499"/>
    <n v="4.9701107774609399E-2"/>
    <n v="3.9836911577688103E-3"/>
    <n v="1.2457272255327299E-2"/>
    <n v="0.31011301563890298"/>
    <n v="9.1968981181676805E-6"/>
    <n v="0"/>
    <n v="0"/>
    <n v="100"/>
    <n v="0"/>
    <n v="0"/>
    <n v="100"/>
    <n v="0"/>
    <n v="0"/>
    <n v="9.4038663498103706E-2"/>
    <n v="-132.16969334618801"/>
    <n v="0"/>
    <n v="100"/>
    <n v="43.483098797259203"/>
    <n v="278.71766384834302"/>
    <n v="53.2940644235211"/>
    <n v="302.35684963393402"/>
    <n v="2.8042689566168901"/>
    <n v="736.34047302267595"/>
    <n v="0"/>
    <n v="0"/>
    <n v="171.64551596497299"/>
    <n v="111.91182157710401"/>
    <n v="25.066572021307401"/>
    <n v="-80.6079087132468"/>
    <n v="14396726.300000001"/>
    <n v="4.2962572205865602E-4"/>
    <n v="49"/>
    <n v="5.8929731380997684E-2"/>
    <n v="0.3762550868266078"/>
    <n v="5.893117181530573E-2"/>
  </r>
  <r>
    <x v="1"/>
    <x v="1"/>
    <x v="2"/>
    <n v="0.42103478466148703"/>
    <n v="0.37514378318826702"/>
    <n v="-4.5891001473219603E-2"/>
    <n v="5.0278134494554899E-2"/>
    <n v="6.3345451823517704E-3"/>
    <n v="4.7803567763206904E-3"/>
    <n v="0.31374163069209099"/>
    <n v="9.1160429491113004E-6"/>
    <n v="0"/>
    <n v="1.89514916564764"/>
    <n v="98.104850834352405"/>
    <n v="0"/>
    <n v="0"/>
    <n v="100"/>
    <n v="0"/>
    <n v="0"/>
    <n v="0.203233505661162"/>
    <n v="-108.497645246495"/>
    <n v="1.34911146455041E-2"/>
    <n v="100"/>
    <n v="44.198106266846402"/>
    <n v="283.33027951675001"/>
    <n v="53.734658858120902"/>
    <n v="301.07857658953702"/>
    <n v="2.9482408434668099"/>
    <n v="768.54362663523898"/>
    <n v="0"/>
    <n v="0"/>
    <n v="171.43601536609199"/>
    <n v="111.88184990786201"/>
    <n v="24.8649656917196"/>
    <n v="-66.255503095164499"/>
    <n v="321918174.60000002"/>
    <n v="6.6570939741004906E-2"/>
    <n v="533"/>
    <n v="1.122329100280437"/>
    <n v="0.3751346671453179"/>
    <n v="1.1223563736869686"/>
  </r>
  <r>
    <x v="1"/>
    <x v="1"/>
    <x v="3"/>
    <n v="0.34772049579884401"/>
    <n v="0.407699554746703"/>
    <n v="5.99790589478593E-2"/>
    <n v="5.0907042422561999E-2"/>
    <n v="6.7128197261150302E-3"/>
    <n v="5.6380957583337197E-3"/>
    <n v="0.34410042290830201"/>
    <n v="3.4117393139002002E-4"/>
    <n v="0"/>
    <n v="2.5443995369036201"/>
    <n v="97.455600463096403"/>
    <n v="0"/>
    <n v="0"/>
    <n v="100"/>
    <n v="0"/>
    <n v="0"/>
    <n v="0.24343513056034699"/>
    <n v="-83.152564891724893"/>
    <n v="0.22756608900168801"/>
    <n v="100"/>
    <n v="42.915680099670404"/>
    <n v="298.39443535079403"/>
    <n v="53.634804836124303"/>
    <n v="299.621506386519"/>
    <n v="3.1800281889709598"/>
    <n v="768.88007965932502"/>
    <n v="0"/>
    <n v="0"/>
    <n v="171.687240445561"/>
    <n v="111.896624620121"/>
    <n v="25.018075368716701"/>
    <n v="-43.440786004678102"/>
    <n v="4739056427.6999998"/>
    <n v="3.6950891850046498E-2"/>
    <n v="2075"/>
    <n v="0.85288416862480265"/>
    <n v="0.407358380815313"/>
    <n v="0.85359848274851757"/>
  </r>
  <r>
    <x v="1"/>
    <x v="1"/>
    <x v="4"/>
    <n v="0.53013273496943802"/>
    <n v="0.50515662739863099"/>
    <n v="-2.4976107570807201E-2"/>
    <n v="5.1276720958580997E-2"/>
    <n v="7.4678309771032004E-3"/>
    <n v="7.1790083887399402E-3"/>
    <n v="0.40091285894557299"/>
    <n v="3.8320208128633501E-2"/>
    <n v="0"/>
    <n v="2.55986365023948"/>
    <n v="97.440136349760493"/>
    <n v="0"/>
    <n v="0"/>
    <n v="100"/>
    <n v="0"/>
    <n v="0"/>
    <n v="0.279259367828882"/>
    <n v="-59.836393698217798"/>
    <n v="45.209486384147802"/>
    <n v="99.993794988238406"/>
    <n v="42.357636492360797"/>
    <n v="293.03654808762599"/>
    <n v="54.3498894359453"/>
    <n v="298.74214351182201"/>
    <n v="3.3618760303081698"/>
    <n v="768.42055108356305"/>
    <n v="0"/>
    <n v="0"/>
    <n v="172.14371498073299"/>
    <n v="112.002771671969"/>
    <n v="26.176510294361002"/>
    <n v="-28.634534142133798"/>
    <n v="38359650093.400002"/>
    <n v="5.1145593338342801E-2"/>
    <n v="6418"/>
    <n v="1.0494423040620584"/>
    <n v="0.46683641926999747"/>
    <n v="1.1355856421793706"/>
  </r>
  <r>
    <x v="1"/>
    <x v="1"/>
    <x v="5"/>
    <n v="0.64168470141488099"/>
    <n v="0.64958711264702795"/>
    <n v="7.9024112321463402E-3"/>
    <n v="5.1700120281246799E-2"/>
    <n v="8.1654223451793993E-3"/>
    <n v="1.05502700422765E-2"/>
    <n v="0.46954561861442101"/>
    <n v="0.10962568136390401"/>
    <n v="0"/>
    <n v="2.5600341523839401"/>
    <n v="97.439965847616094"/>
    <n v="0"/>
    <n v="0"/>
    <n v="100"/>
    <n v="0"/>
    <n v="0"/>
    <n v="0.30541554062596099"/>
    <n v="-36.427769604614802"/>
    <n v="177.34079825140401"/>
    <n v="99.996047222754399"/>
    <n v="42.753772486299603"/>
    <n v="289.01001307733702"/>
    <n v="55.392253896790699"/>
    <n v="297.75434948645"/>
    <n v="3.5169255552727599"/>
    <n v="765.14810227507098"/>
    <n v="0"/>
    <n v="0"/>
    <n v="173.07377968095599"/>
    <n v="112.196286409685"/>
    <n v="29.241262974496099"/>
    <n v="-18.423053170158799"/>
    <n v="94334908553.899994"/>
    <n v="5.1183155557232601E-2"/>
    <n v="14601"/>
    <n v="0.98783471673268719"/>
    <n v="0.5399614312831239"/>
    <n v="1.1883898816440084"/>
  </r>
  <r>
    <x v="1"/>
    <x v="1"/>
    <x v="6"/>
    <n v="0.75059145657280701"/>
    <n v="0.74566123682912999"/>
    <n v="-4.9302197436765097E-3"/>
    <n v="5.2536010228505597E-2"/>
    <n v="1.00875280680131E-2"/>
    <n v="1.4141423338266301E-2"/>
    <n v="0.49441254087660202"/>
    <n v="0.174483734317743"/>
    <n v="0"/>
    <n v="2.5106014279571598"/>
    <n v="97.489398572042802"/>
    <n v="0"/>
    <n v="0"/>
    <n v="100"/>
    <n v="0"/>
    <n v="0"/>
    <n v="0.36464805165935499"/>
    <n v="-14.0897004895722"/>
    <n v="558.348802549325"/>
    <n v="99.997828117082406"/>
    <n v="43.876421736526702"/>
    <n v="274.01102030851303"/>
    <n v="56.914927353282501"/>
    <n v="295.89198225651"/>
    <n v="3.7123316784243499"/>
    <n v="761.55584316878196"/>
    <n v="0"/>
    <n v="0"/>
    <n v="171.82780677736201"/>
    <n v="112.115676832476"/>
    <n v="30.831503326600501"/>
    <n v="-11.0675059618142"/>
    <n v="104096762385.2"/>
    <n v="5.7174304058573398E-2"/>
    <n v="21206"/>
    <n v="1.0066118761445109"/>
    <n v="0.57117750251138699"/>
    <n v="1.3141124313765198"/>
  </r>
  <r>
    <x v="1"/>
    <x v="2"/>
    <x v="0"/>
    <n v="0.21068304333558599"/>
    <n v="0.36233783735096298"/>
    <n v="0.15165479401537699"/>
    <n v="7.6880327812394497E-2"/>
    <n v="8.1802436660417398E-4"/>
    <n v="3.3566508831188999E-4"/>
    <n v="0.28429409178461601"/>
    <n v="9.7282990367476794E-6"/>
    <n v="0"/>
    <n v="0"/>
    <n v="100"/>
    <n v="0"/>
    <n v="100"/>
    <n v="0"/>
    <n v="0"/>
    <n v="100"/>
    <n v="0"/>
    <n v="-159.25070124035301"/>
    <n v="0"/>
    <n v="100"/>
    <n v="43.2753931396689"/>
    <n v="299.88623064116001"/>
    <n v="55.0548236434879"/>
    <n v="246.84955387660099"/>
    <n v="2.6410964728697599"/>
    <n v="768.06162344955897"/>
    <n v="0"/>
    <n v="0"/>
    <n v="176.284275407053"/>
    <n v="112.08219294574"/>
    <n v="21.813004670518801"/>
    <n v="-113.09103269363101"/>
    <n v="513176.4"/>
    <n v="2.0675802281894702E-3"/>
    <n v="2"/>
    <n v="0.58145471330259368"/>
    <n v="0.36232810905192625"/>
    <n v="0.58147032502353391"/>
  </r>
  <r>
    <x v="1"/>
    <x v="2"/>
    <x v="1"/>
    <n v="2.02347733425845E-2"/>
    <n v="0.357267383502819"/>
    <n v="0.337032610160235"/>
    <n v="5.2525180878148003E-2"/>
    <n v="5.0322421942981298E-3"/>
    <n v="4.86387116513207E-3"/>
    <n v="0.294836331646188"/>
    <n v="9.7576190529842705E-6"/>
    <n v="0"/>
    <n v="6.1289044422925896"/>
    <n v="93.871095557707406"/>
    <n v="0"/>
    <n v="100"/>
    <n v="0"/>
    <n v="0"/>
    <n v="100"/>
    <n v="0.14081831275807399"/>
    <n v="-131.93846120041101"/>
    <n v="0"/>
    <n v="100"/>
    <n v="49.573463903147797"/>
    <n v="332.61108019939701"/>
    <n v="53.844765230826603"/>
    <n v="296.80686713066399"/>
    <n v="2.7743628231605602"/>
    <n v="754.37465406386605"/>
    <n v="4.9714314395715"/>
    <n v="0"/>
    <n v="172.08504148091399"/>
    <n v="111.9104564596"/>
    <n v="24.6102819591943"/>
    <n v="-87.430117748365504"/>
    <n v="30596203.899999999"/>
    <n v="1.13835619569748E-3"/>
    <n v="100"/>
    <n v="5.6637617305540677E-2"/>
    <n v="0.35725762588376603"/>
    <n v="5.6639164223657175E-2"/>
  </r>
  <r>
    <x v="1"/>
    <x v="2"/>
    <x v="2"/>
    <n v="0.291314319350999"/>
    <n v="0.36531867315830002"/>
    <n v="7.4004353807300999E-2"/>
    <n v="5.1507766415017003E-2"/>
    <n v="4.2879179915295204E-3"/>
    <n v="4.2459976302763203E-3"/>
    <n v="0.30526774316569699"/>
    <n v="9.2479557808588206E-6"/>
    <n v="0"/>
    <n v="4.5960613487868702"/>
    <n v="95.403938651213096"/>
    <n v="0"/>
    <n v="100"/>
    <n v="0"/>
    <n v="0"/>
    <n v="100"/>
    <n v="0.14031346918888801"/>
    <n v="-108.369464800575"/>
    <n v="5.5105733041425605E-4"/>
    <n v="100"/>
    <n v="46.701642135353197"/>
    <n v="299.23669580372598"/>
    <n v="53.845835281692104"/>
    <n v="298.35017372720301"/>
    <n v="2.9364208853705498"/>
    <n v="773.90502434933705"/>
    <n v="3.6777506733740899"/>
    <n v="0"/>
    <n v="171.44920432911999"/>
    <n v="111.883266548007"/>
    <n v="24.854444832318698"/>
    <n v="-66.480194644097395"/>
    <n v="871836147.5"/>
    <n v="3.7347579843037298E-2"/>
    <n v="830"/>
    <n v="0.7974252091536711"/>
    <n v="0.36530942520251919"/>
    <n v="0.79744539629521194"/>
  </r>
  <r>
    <x v="1"/>
    <x v="2"/>
    <x v="3"/>
    <n v="0.38683622686380698"/>
    <n v="0.39777996206472499"/>
    <n v="1.09437352009174E-2"/>
    <n v="5.20777837206194E-2"/>
    <n v="6.03913187269436E-3"/>
    <n v="4.3593338896545002E-3"/>
    <n v="0.33495331973721898"/>
    <n v="3.5039284453796602E-4"/>
    <n v="0"/>
    <n v="3.3298812605029799"/>
    <n v="96.670118739496999"/>
    <n v="0"/>
    <n v="100"/>
    <n v="0"/>
    <n v="0"/>
    <n v="100"/>
    <n v="0.219394920198585"/>
    <n v="-83.151080373033494"/>
    <n v="0.35499646873853802"/>
    <n v="99.997644345935996"/>
    <n v="44.481759767040501"/>
    <n v="308.12619330394898"/>
    <n v="53.5857640807397"/>
    <n v="296.97339649428301"/>
    <n v="3.1838486559152899"/>
    <n v="774.18134300364898"/>
    <n v="2.2601371343577799"/>
    <n v="0"/>
    <n v="171.58066475952799"/>
    <n v="111.883164740087"/>
    <n v="24.873856402769999"/>
    <n v="-42.975363042469603"/>
    <n v="15505710519.6"/>
    <n v="4.3293295690468803E-2"/>
    <n v="2946"/>
    <n v="0.97248796760874223"/>
    <n v="0.39742956922018702"/>
    <n v="0.97334535933708788"/>
  </r>
  <r>
    <x v="1"/>
    <x v="2"/>
    <x v="4"/>
    <n v="0.52904190365691806"/>
    <n v="0.49625965073242501"/>
    <n v="-3.2782252924493299E-2"/>
    <n v="5.2522105119039902E-2"/>
    <n v="7.1195335161527004E-3"/>
    <n v="5.77030289994081E-3"/>
    <n v="0.39128076841864901"/>
    <n v="3.9566940778641903E-2"/>
    <n v="0"/>
    <n v="3.2466812150722202"/>
    <n v="96.753318784927799"/>
    <n v="0"/>
    <n v="100"/>
    <n v="0"/>
    <n v="0"/>
    <n v="100"/>
    <n v="0.26661819533935899"/>
    <n v="-59.950340855336897"/>
    <n v="44.274732995042697"/>
    <n v="99.999535491039893"/>
    <n v="43.290741928696697"/>
    <n v="306.67572520343498"/>
    <n v="54.451094531254199"/>
    <n v="295.92256166715401"/>
    <n v="3.3609564884998702"/>
    <n v="773.52616905485297"/>
    <n v="3.2897115021778802"/>
    <n v="0"/>
    <n v="172.07146838166199"/>
    <n v="112.002310662995"/>
    <n v="26.2542509329929"/>
    <n v="-28.871225386697699"/>
    <n v="122097364884.39999"/>
    <n v="4.3303556853650199E-2"/>
    <n v="9168"/>
    <n v="1.0660586708512572"/>
    <n v="0.45669270995378308"/>
    <n v="1.1584198567795327"/>
  </r>
  <r>
    <x v="1"/>
    <x v="2"/>
    <x v="5"/>
    <n v="0.62527840382801503"/>
    <n v="0.63901515472758896"/>
    <n v="1.3736750899573699E-2"/>
    <n v="5.2957846542930703E-2"/>
    <n v="7.6655083255721601E-3"/>
    <n v="8.9594709545917795E-3"/>
    <n v="0.458008998587563"/>
    <n v="0.111423330316931"/>
    <n v="0"/>
    <n v="3.5007155982505398"/>
    <n v="96.499284401749506"/>
    <n v="0"/>
    <n v="100"/>
    <n v="0"/>
    <n v="0"/>
    <n v="100"/>
    <n v="0.28684765999173001"/>
    <n v="-36.565003461559201"/>
    <n v="175.59876811469701"/>
    <n v="99.995780412161494"/>
    <n v="43.151557758385401"/>
    <n v="306.21768016790298"/>
    <n v="55.6766285835063"/>
    <n v="294.903301847541"/>
    <n v="3.5136038570314101"/>
    <n v="770.856357706224"/>
    <n v="6.7786356946646897"/>
    <n v="0"/>
    <n v="173.08741518015901"/>
    <n v="112.20493593483999"/>
    <n v="29.456882636136399"/>
    <n v="-19.1235449091239"/>
    <n v="278258900927.79999"/>
    <n v="5.3094035506102401E-2"/>
    <n v="21509"/>
    <n v="0.97850324707020464"/>
    <n v="0.52759182441065799"/>
    <n v="1.1851555973720347"/>
  </r>
  <r>
    <x v="1"/>
    <x v="2"/>
    <x v="6"/>
    <n v="0.71734652041178204"/>
    <n v="0.732242963472018"/>
    <n v="1.4896443060235701E-2"/>
    <n v="5.4002452470243503E-2"/>
    <n v="9.5674940857537905E-3"/>
    <n v="1.35618259108371E-2"/>
    <n v="0.48272708029010097"/>
    <n v="0.172384110715082"/>
    <n v="0"/>
    <n v="3.85971794776985"/>
    <n v="96.140282052230106"/>
    <n v="0"/>
    <n v="100"/>
    <n v="0"/>
    <n v="0"/>
    <n v="100"/>
    <n v="0.34786607429078698"/>
    <n v="-14.373988915612999"/>
    <n v="561.19792428135702"/>
    <n v="99.990533301479203"/>
    <n v="43.797358931133601"/>
    <n v="287.31799908228999"/>
    <n v="57.3184761223688"/>
    <n v="292.60313985520901"/>
    <n v="3.7082568949118202"/>
    <n v="767.44749563033201"/>
    <n v="13.291508051104101"/>
    <n v="0"/>
    <n v="172.007576991608"/>
    <n v="112.13123340940101"/>
    <n v="30.9442184162655"/>
    <n v="-11.8876672114732"/>
    <n v="277905874878.70001"/>
    <n v="6.0657189448141302E-2"/>
    <n v="30919"/>
    <n v="0.97965642033676548"/>
    <n v="0.55985885275693603"/>
    <n v="1.2812988789572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6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K13" firstHeaderRow="1" firstDataRow="4" firstDataCol="1"/>
  <pivotFields count="41">
    <pivotField axis="axisCol" showAll="0" defaultSubtotal="0">
      <items count="2">
        <item x="0"/>
        <item x="1"/>
      </items>
    </pivotField>
    <pivotField axis="axisCol" showAll="0" defaultSubtotal="0">
      <items count="3">
        <item x="0"/>
        <item x="1"/>
        <item x="2"/>
      </items>
    </pivotField>
    <pivotField axis="axisRow" showAll="0" defaultSubtotal="0">
      <items count="9">
        <item x="8"/>
        <item x="0"/>
        <item x="1"/>
        <item x="2"/>
        <item x="3"/>
        <item x="4"/>
        <item x="5"/>
        <item x="6"/>
        <item h="1" x="7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3">
    <field x="0"/>
    <field x="1"/>
    <field x="-2"/>
  </colFields>
  <colItems count="36">
    <i>
      <x/>
      <x/>
      <x/>
    </i>
    <i r="2" i="1">
      <x v="1"/>
    </i>
    <i r="2" i="2">
      <x v="2"/>
    </i>
    <i r="2" i="3">
      <x v="3"/>
    </i>
    <i r="2" i="4">
      <x v="4"/>
    </i>
    <i r="2" i="5">
      <x v="5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  <i>
      <x v="1"/>
      <x/>
      <x/>
    </i>
    <i r="2" i="1">
      <x v="1"/>
    </i>
    <i r="2" i="2">
      <x v="2"/>
    </i>
    <i r="2" i="3">
      <x v="3"/>
    </i>
    <i r="2" i="4">
      <x v="4"/>
    </i>
    <i r="2" i="5">
      <x v="5"/>
    </i>
    <i r="1">
      <x v="1"/>
      <x/>
    </i>
    <i r="2" i="1">
      <x v="1"/>
    </i>
    <i r="2" i="2">
      <x v="2"/>
    </i>
    <i r="2" i="3">
      <x v="3"/>
    </i>
    <i r="2" i="4">
      <x v="4"/>
    </i>
    <i r="2" i="5">
      <x v="5"/>
    </i>
    <i r="1">
      <x v="2"/>
      <x/>
    </i>
    <i r="2" i="1">
      <x v="1"/>
    </i>
    <i r="2" i="2">
      <x v="2"/>
    </i>
    <i r="2" i="3">
      <x v="3"/>
    </i>
    <i r="2" i="4">
      <x v="4"/>
    </i>
    <i r="2" i="5">
      <x v="5"/>
    </i>
  </colItems>
  <dataFields count="6">
    <dataField name="'bal" fld="35" baseField="0" baseItem="0" numFmtId="164"/>
    <dataField name="'actual.smm" fld="3" subtotal="average" baseField="0" baseItem="0" numFmtId="2"/>
    <dataField name="'model.smm" fld="4" subtotal="average" baseField="0" baseItem="0" numFmtId="2"/>
    <dataField name="'model w/o refi" fld="39" subtotal="average" baseField="0" baseItem="0" numFmtId="2"/>
    <dataField name="'Ratio" fld="38" subtotal="average" baseField="0" baseItem="0" numFmtId="2"/>
    <dataField name="'Ratio w/o refi" fld="40" subtotal="average" baseField="0" baseItem="0" numFmtId="2"/>
  </dataFields>
  <formats count="6">
    <format dxfId="5">
      <pivotArea outline="0" collapsedLevelsAreSubtotals="1" fieldPosition="0"/>
    </format>
    <format dxfId="4">
      <pivotArea dataOnly="0" fieldPosition="0">
        <references count="1">
          <reference field="2" count="1">
            <x v="4"/>
          </reference>
        </references>
      </pivotArea>
    </format>
    <format dxfId="3">
      <pivotArea type="topRight" dataOnly="0" labelOnly="1" outline="0" offset="B1" fieldPosition="0"/>
    </format>
    <format dxfId="2">
      <pivotArea type="topRight" dataOnly="0" labelOnly="1" outline="0" offset="G1" fieldPosition="0"/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6"/>
  <sheetViews>
    <sheetView workbookViewId="0">
      <selection activeCell="A47" sqref="A47:XFD47"/>
    </sheetView>
  </sheetViews>
  <sheetFormatPr defaultRowHeight="15" x14ac:dyDescent="0.25"/>
  <cols>
    <col min="2" max="2" width="9.140625" style="3"/>
    <col min="28" max="28" width="9.140625" style="3"/>
  </cols>
  <sheetData>
    <row r="1" spans="1:42" x14ac:dyDescent="0.25">
      <c r="B1" s="3" t="s">
        <v>54</v>
      </c>
      <c r="C1" s="3" t="s">
        <v>55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57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43</v>
      </c>
      <c r="AO1" s="3" t="s">
        <v>44</v>
      </c>
      <c r="AP1" s="3" t="s">
        <v>45</v>
      </c>
    </row>
    <row r="2" spans="1:42" x14ac:dyDescent="0.25">
      <c r="A2" s="3">
        <v>1</v>
      </c>
      <c r="B2" s="3" t="s">
        <v>49</v>
      </c>
      <c r="C2" s="3" t="s">
        <v>50</v>
      </c>
      <c r="D2" s="3">
        <v>-150</v>
      </c>
      <c r="E2" s="3">
        <v>0</v>
      </c>
      <c r="F2" s="3">
        <v>0.45753248168967497</v>
      </c>
      <c r="G2" s="3">
        <v>0.45753248168967497</v>
      </c>
      <c r="H2" s="3">
        <v>4.8274234350162197E-2</v>
      </c>
      <c r="I2" s="3">
        <v>4.0922172041559799E-3</v>
      </c>
      <c r="J2" s="3">
        <v>5.6283386944059799E-3</v>
      </c>
      <c r="K2" s="3">
        <v>0.39952742390284601</v>
      </c>
      <c r="L2" s="4">
        <v>1.02675381042969E-5</v>
      </c>
      <c r="M2" s="3">
        <v>100</v>
      </c>
      <c r="N2" s="3">
        <v>0</v>
      </c>
      <c r="O2" s="3">
        <v>0</v>
      </c>
      <c r="P2" s="3">
        <v>100</v>
      </c>
      <c r="Q2" s="3">
        <v>0</v>
      </c>
      <c r="R2" s="3">
        <v>0</v>
      </c>
      <c r="S2" s="3">
        <v>0</v>
      </c>
      <c r="T2" s="3">
        <v>0</v>
      </c>
      <c r="U2" s="3">
        <v>0.11294576043806299</v>
      </c>
      <c r="V2" s="3">
        <v>-154.46286980058301</v>
      </c>
      <c r="W2" s="3">
        <v>0</v>
      </c>
      <c r="X2" s="3">
        <v>100</v>
      </c>
      <c r="Y2" s="3">
        <v>44.156432786908901</v>
      </c>
      <c r="Z2" s="3">
        <v>360.341729220057</v>
      </c>
      <c r="AA2" s="3">
        <v>54.430955889777103</v>
      </c>
      <c r="AB2" s="3">
        <v>305.56904411022299</v>
      </c>
      <c r="AC2" s="3">
        <v>3.1</v>
      </c>
      <c r="AD2" s="3">
        <v>732.65797363721197</v>
      </c>
      <c r="AE2" s="3">
        <v>0</v>
      </c>
      <c r="AF2" s="3">
        <v>0</v>
      </c>
      <c r="AG2" s="3">
        <v>172.06049109562099</v>
      </c>
      <c r="AH2" s="3">
        <v>111.816310465573</v>
      </c>
      <c r="AI2" s="3">
        <v>23.3717573458282</v>
      </c>
      <c r="AJ2" s="3">
        <v>-49.3656677885824</v>
      </c>
      <c r="AK2" s="3">
        <v>2994015.7</v>
      </c>
      <c r="AL2" s="3">
        <v>0</v>
      </c>
      <c r="AM2" s="3">
        <v>10</v>
      </c>
      <c r="AN2" s="3">
        <f>E2/F2</f>
        <v>0</v>
      </c>
      <c r="AO2" s="4">
        <f>F2-L2</f>
        <v>0.45752221415157068</v>
      </c>
      <c r="AP2" s="4">
        <f>E2/(F2-L2)</f>
        <v>0</v>
      </c>
    </row>
    <row r="3" spans="1:42" x14ac:dyDescent="0.25">
      <c r="A3" s="3">
        <v>2</v>
      </c>
      <c r="B3" s="3" t="s">
        <v>49</v>
      </c>
      <c r="C3" s="3" t="s">
        <v>50</v>
      </c>
      <c r="D3" s="3">
        <v>-125</v>
      </c>
      <c r="E3" s="3">
        <v>2.5479500842138399E-2</v>
      </c>
      <c r="F3" s="3">
        <v>0.47146908615746702</v>
      </c>
      <c r="G3" s="3">
        <v>0.44598958531532801</v>
      </c>
      <c r="H3" s="3">
        <v>4.96799458206231E-2</v>
      </c>
      <c r="I3" s="3">
        <v>5.2116980184820898E-3</v>
      </c>
      <c r="J3" s="3">
        <v>1.6167266300662099E-3</v>
      </c>
      <c r="K3" s="3">
        <v>0.41495082867192801</v>
      </c>
      <c r="L3" s="4">
        <v>9.8870163672521805E-6</v>
      </c>
      <c r="M3" s="3">
        <v>100</v>
      </c>
      <c r="N3" s="3">
        <v>0</v>
      </c>
      <c r="O3" s="3">
        <v>0</v>
      </c>
      <c r="P3" s="3">
        <v>100</v>
      </c>
      <c r="Q3" s="3">
        <v>0</v>
      </c>
      <c r="R3" s="3">
        <v>0</v>
      </c>
      <c r="S3" s="3">
        <v>0</v>
      </c>
      <c r="T3" s="3">
        <v>0</v>
      </c>
      <c r="U3" s="3">
        <v>0.18090189596765299</v>
      </c>
      <c r="V3" s="3">
        <v>-133.87729117761799</v>
      </c>
      <c r="W3" s="3">
        <v>1.0663023631262701E-2</v>
      </c>
      <c r="X3" s="3">
        <v>100</v>
      </c>
      <c r="Y3" s="3">
        <v>47.449990547093499</v>
      </c>
      <c r="Z3" s="3">
        <v>344.17362669408197</v>
      </c>
      <c r="AA3" s="3">
        <v>54.704992041682203</v>
      </c>
      <c r="AB3" s="3">
        <v>302.40043088740902</v>
      </c>
      <c r="AC3" s="3">
        <v>3.2652899421802801</v>
      </c>
      <c r="AD3" s="3">
        <v>771.46964997296402</v>
      </c>
      <c r="AE3" s="3">
        <v>0</v>
      </c>
      <c r="AF3" s="3">
        <v>0</v>
      </c>
      <c r="AG3" s="3">
        <v>172.39594066109299</v>
      </c>
      <c r="AH3" s="3">
        <v>111.926026781796</v>
      </c>
      <c r="AI3" s="3">
        <v>24.191717656614799</v>
      </c>
      <c r="AJ3" s="3">
        <v>-34.688342483151402</v>
      </c>
      <c r="AK3" s="3">
        <v>73337232.200000003</v>
      </c>
      <c r="AL3" s="3">
        <v>2.1948766932479899E-3</v>
      </c>
      <c r="AM3" s="3">
        <v>145</v>
      </c>
      <c r="AN3" s="3">
        <f t="shared" ref="AN3:AN23" si="0">E3/F3</f>
        <v>5.4042781574078526E-2</v>
      </c>
      <c r="AO3" s="4">
        <f t="shared" ref="AO3:AO23" si="1">F3-L3</f>
        <v>0.47145919914109979</v>
      </c>
      <c r="AP3" s="4">
        <f t="shared" ref="AP3:AP23" si="2">E3/(F3-L3)</f>
        <v>5.4043914910466756E-2</v>
      </c>
    </row>
    <row r="4" spans="1:42" x14ac:dyDescent="0.25">
      <c r="A4" s="3">
        <v>3</v>
      </c>
      <c r="B4" s="3" t="s">
        <v>49</v>
      </c>
      <c r="C4" s="3" t="s">
        <v>50</v>
      </c>
      <c r="D4" s="3">
        <v>-100</v>
      </c>
      <c r="E4" s="3">
        <v>0.44307316721400403</v>
      </c>
      <c r="F4" s="3">
        <v>0.512979332738281</v>
      </c>
      <c r="G4" s="3">
        <v>6.9906165524276503E-2</v>
      </c>
      <c r="H4" s="3">
        <v>5.1310426561329399E-2</v>
      </c>
      <c r="I4" s="3">
        <v>5.6890486886542304E-3</v>
      </c>
      <c r="J4" s="3">
        <v>1.77289359369099E-3</v>
      </c>
      <c r="K4" s="3">
        <v>0.45419728574212098</v>
      </c>
      <c r="L4" s="4">
        <v>9.67815248527471E-6</v>
      </c>
      <c r="M4" s="3">
        <v>100</v>
      </c>
      <c r="N4" s="3">
        <v>0</v>
      </c>
      <c r="O4" s="3">
        <v>0</v>
      </c>
      <c r="P4" s="3">
        <v>100</v>
      </c>
      <c r="Q4" s="3">
        <v>0</v>
      </c>
      <c r="R4" s="3">
        <v>0</v>
      </c>
      <c r="S4" s="3">
        <v>0</v>
      </c>
      <c r="T4" s="3">
        <v>0</v>
      </c>
      <c r="U4" s="3">
        <v>0.208261722801312</v>
      </c>
      <c r="V4" s="3">
        <v>-108.357701167995</v>
      </c>
      <c r="W4" s="3">
        <v>2.7395387789782202E-2</v>
      </c>
      <c r="X4" s="3">
        <v>100</v>
      </c>
      <c r="Y4" s="3">
        <v>46.894709219591398</v>
      </c>
      <c r="Z4" s="3">
        <v>320.96060831313503</v>
      </c>
      <c r="AA4" s="3">
        <v>55.013186537474901</v>
      </c>
      <c r="AB4" s="3">
        <v>298.760754488673</v>
      </c>
      <c r="AC4" s="3">
        <v>3.46089187642393</v>
      </c>
      <c r="AD4" s="3">
        <v>776.24623105926696</v>
      </c>
      <c r="AE4" s="3">
        <v>0</v>
      </c>
      <c r="AF4" s="3">
        <v>0</v>
      </c>
      <c r="AG4" s="3">
        <v>172.85861340919001</v>
      </c>
      <c r="AH4" s="3">
        <v>111.982193464548</v>
      </c>
      <c r="AI4" s="3">
        <v>24.805137741736701</v>
      </c>
      <c r="AJ4" s="3">
        <v>-15.4068479983501</v>
      </c>
      <c r="AK4" s="3">
        <v>801287011.10000002</v>
      </c>
      <c r="AL4" s="3">
        <v>4.95341108888806E-2</v>
      </c>
      <c r="AM4" s="3">
        <v>629</v>
      </c>
      <c r="AN4" s="3">
        <f t="shared" si="0"/>
        <v>0.86372518138085952</v>
      </c>
      <c r="AO4" s="4">
        <f t="shared" si="1"/>
        <v>0.51296965458579569</v>
      </c>
      <c r="AP4" s="4">
        <f t="shared" si="2"/>
        <v>0.86374147720642358</v>
      </c>
    </row>
    <row r="5" spans="1:42" x14ac:dyDescent="0.25">
      <c r="A5" s="3">
        <v>4</v>
      </c>
      <c r="B5" s="3" t="s">
        <v>49</v>
      </c>
      <c r="C5" s="3" t="s">
        <v>50</v>
      </c>
      <c r="D5" s="3">
        <v>-75</v>
      </c>
      <c r="E5" s="3">
        <v>0.62562226344810801</v>
      </c>
      <c r="F5" s="3">
        <v>0.57668126060621405</v>
      </c>
      <c r="G5" s="3">
        <v>-4.8941002841894003E-2</v>
      </c>
      <c r="H5" s="3">
        <v>5.1598717162789597E-2</v>
      </c>
      <c r="I5" s="3">
        <v>6.9132372707906503E-3</v>
      </c>
      <c r="J5" s="3">
        <v>2.9781585201851899E-3</v>
      </c>
      <c r="K5" s="3">
        <v>0.51484323810482202</v>
      </c>
      <c r="L5" s="3">
        <v>3.4790954762651697E-4</v>
      </c>
      <c r="M5" s="3">
        <v>100</v>
      </c>
      <c r="N5" s="3">
        <v>0</v>
      </c>
      <c r="O5" s="3">
        <v>0</v>
      </c>
      <c r="P5" s="3">
        <v>100</v>
      </c>
      <c r="Q5" s="3">
        <v>0</v>
      </c>
      <c r="R5" s="3">
        <v>0</v>
      </c>
      <c r="S5" s="3">
        <v>0</v>
      </c>
      <c r="T5" s="3">
        <v>0</v>
      </c>
      <c r="U5" s="3">
        <v>0.25836166253616</v>
      </c>
      <c r="V5" s="3">
        <v>-85.541324348537898</v>
      </c>
      <c r="W5" s="3">
        <v>0.78857842519368504</v>
      </c>
      <c r="X5" s="3">
        <v>99.988170394984294</v>
      </c>
      <c r="Y5" s="3">
        <v>46.558431603485801</v>
      </c>
      <c r="Z5" s="3">
        <v>305.24133921726201</v>
      </c>
      <c r="AA5" s="3">
        <v>54.495751641582302</v>
      </c>
      <c r="AB5" s="3">
        <v>298.22402421165799</v>
      </c>
      <c r="AC5" s="3">
        <v>3.63291069987197</v>
      </c>
      <c r="AD5" s="3">
        <v>774.43061163975801</v>
      </c>
      <c r="AE5" s="3">
        <v>0</v>
      </c>
      <c r="AF5" s="3">
        <v>0</v>
      </c>
      <c r="AG5" s="3">
        <v>172.402256503747</v>
      </c>
      <c r="AH5" s="3">
        <v>112.044514005748</v>
      </c>
      <c r="AI5" s="3">
        <v>26.775773709070702</v>
      </c>
      <c r="AJ5" s="3">
        <v>-1.08762923706109</v>
      </c>
      <c r="AK5" s="3">
        <v>3699664523.1999998</v>
      </c>
      <c r="AL5" s="3">
        <v>6.4150492831130598E-2</v>
      </c>
      <c r="AM5" s="3">
        <v>1722</v>
      </c>
      <c r="AN5" s="3">
        <f t="shared" si="0"/>
        <v>1.0848666433004024</v>
      </c>
      <c r="AO5" s="4">
        <f t="shared" si="1"/>
        <v>0.57633335105858752</v>
      </c>
      <c r="AP5" s="4">
        <f t="shared" si="2"/>
        <v>1.0855215341936892</v>
      </c>
    </row>
    <row r="6" spans="1:42" x14ac:dyDescent="0.25">
      <c r="A6" s="3">
        <v>5</v>
      </c>
      <c r="B6" s="3" t="s">
        <v>49</v>
      </c>
      <c r="C6" s="3" t="s">
        <v>50</v>
      </c>
      <c r="D6" s="3">
        <v>-50</v>
      </c>
      <c r="E6" s="3">
        <v>0.69041848561994601</v>
      </c>
      <c r="F6" s="3">
        <v>0.69318044172364401</v>
      </c>
      <c r="G6" s="3">
        <v>2.7619561036972599E-3</v>
      </c>
      <c r="H6" s="3">
        <v>5.2260500051472598E-2</v>
      </c>
      <c r="I6" s="3">
        <v>8.8556225965983407E-3</v>
      </c>
      <c r="J6" s="3">
        <v>4.7835058131122403E-3</v>
      </c>
      <c r="K6" s="3">
        <v>0.59638392530385298</v>
      </c>
      <c r="L6" s="3">
        <v>3.0896887958607702E-2</v>
      </c>
      <c r="M6" s="3">
        <v>100</v>
      </c>
      <c r="N6" s="3">
        <v>0</v>
      </c>
      <c r="O6" s="3">
        <v>0</v>
      </c>
      <c r="P6" s="3">
        <v>100</v>
      </c>
      <c r="Q6" s="3">
        <v>0</v>
      </c>
      <c r="R6" s="3">
        <v>0</v>
      </c>
      <c r="S6" s="3">
        <v>0</v>
      </c>
      <c r="T6" s="3">
        <v>0</v>
      </c>
      <c r="U6" s="3">
        <v>0.33850809096222301</v>
      </c>
      <c r="V6" s="3">
        <v>-61.937661082417002</v>
      </c>
      <c r="W6" s="3">
        <v>20.343890552528499</v>
      </c>
      <c r="X6" s="3">
        <v>99.994223667180407</v>
      </c>
      <c r="Y6" s="3">
        <v>46.470333849668002</v>
      </c>
      <c r="Z6" s="3">
        <v>296.40944842694302</v>
      </c>
      <c r="AA6" s="3">
        <v>55.501660641218898</v>
      </c>
      <c r="AB6" s="3">
        <v>296.698741777289</v>
      </c>
      <c r="AC6" s="3">
        <v>3.77918680502663</v>
      </c>
      <c r="AD6" s="3">
        <v>773.09931962490396</v>
      </c>
      <c r="AE6" s="3">
        <v>0</v>
      </c>
      <c r="AF6" s="3">
        <v>0</v>
      </c>
      <c r="AG6" s="3">
        <v>173.15334886987199</v>
      </c>
      <c r="AH6" s="3">
        <v>112.217420926573</v>
      </c>
      <c r="AI6" s="3">
        <v>30.073729408148399</v>
      </c>
      <c r="AJ6" s="3">
        <v>7.26698721146008</v>
      </c>
      <c r="AK6" s="3">
        <v>7549932000.3999996</v>
      </c>
      <c r="AL6" s="3">
        <v>5.1300419107859402E-2</v>
      </c>
      <c r="AM6" s="3">
        <v>3559</v>
      </c>
      <c r="AN6" s="3">
        <f t="shared" si="0"/>
        <v>0.99601553082364791</v>
      </c>
      <c r="AO6" s="4">
        <f t="shared" si="1"/>
        <v>0.66228355376503634</v>
      </c>
      <c r="AP6" s="4">
        <f t="shared" si="2"/>
        <v>1.0424817009194394</v>
      </c>
    </row>
    <row r="7" spans="1:42" x14ac:dyDescent="0.25">
      <c r="A7" s="3">
        <v>6</v>
      </c>
      <c r="B7" s="3" t="s">
        <v>49</v>
      </c>
      <c r="C7" s="3" t="s">
        <v>50</v>
      </c>
      <c r="D7" s="3">
        <v>-25</v>
      </c>
      <c r="E7" s="3">
        <v>0.88372570370113501</v>
      </c>
      <c r="F7" s="3">
        <v>0.85132037016108997</v>
      </c>
      <c r="G7" s="3">
        <v>-3.2405333540045697E-2</v>
      </c>
      <c r="H7" s="3">
        <v>5.2736471128428497E-2</v>
      </c>
      <c r="I7" s="3">
        <v>1.13121423421669E-2</v>
      </c>
      <c r="J7" s="3">
        <v>7.0694213748397601E-3</v>
      </c>
      <c r="K7" s="3">
        <v>0.67676919029507798</v>
      </c>
      <c r="L7" s="3">
        <v>0.103433145020576</v>
      </c>
      <c r="M7" s="3">
        <v>100</v>
      </c>
      <c r="N7" s="3">
        <v>0</v>
      </c>
      <c r="O7" s="3">
        <v>0</v>
      </c>
      <c r="P7" s="3">
        <v>100</v>
      </c>
      <c r="Q7" s="3">
        <v>0</v>
      </c>
      <c r="R7" s="3">
        <v>0</v>
      </c>
      <c r="S7" s="3">
        <v>0</v>
      </c>
      <c r="T7" s="3">
        <v>0</v>
      </c>
      <c r="U7" s="3">
        <v>0.43095892821736798</v>
      </c>
      <c r="V7" s="3">
        <v>-38.044742427184701</v>
      </c>
      <c r="W7" s="3">
        <v>123.72248766669099</v>
      </c>
      <c r="X7" s="3">
        <v>99.979164687067495</v>
      </c>
      <c r="Y7" s="3">
        <v>47.153262320966498</v>
      </c>
      <c r="Z7" s="3">
        <v>291.85571676382699</v>
      </c>
      <c r="AA7" s="3">
        <v>56.520518996260598</v>
      </c>
      <c r="AB7" s="3">
        <v>295.67573160357</v>
      </c>
      <c r="AC7" s="3">
        <v>3.98613994822305</v>
      </c>
      <c r="AD7" s="3">
        <v>771.10935980706904</v>
      </c>
      <c r="AE7" s="3">
        <v>0</v>
      </c>
      <c r="AF7" s="3">
        <v>0</v>
      </c>
      <c r="AG7" s="3">
        <v>172.52412713768601</v>
      </c>
      <c r="AH7" s="3">
        <v>112.195511041404</v>
      </c>
      <c r="AI7" s="3">
        <v>31.861327253821599</v>
      </c>
      <c r="AJ7" s="3">
        <v>19.490939078661999</v>
      </c>
      <c r="AK7" s="3">
        <v>8071317217.3000002</v>
      </c>
      <c r="AL7" s="3">
        <v>6.8039609442159504E-2</v>
      </c>
      <c r="AM7" s="3">
        <v>6409</v>
      </c>
      <c r="AN7" s="3">
        <f t="shared" si="0"/>
        <v>1.0380647928510311</v>
      </c>
      <c r="AO7" s="4">
        <f t="shared" si="1"/>
        <v>0.74788722514051398</v>
      </c>
      <c r="AP7" s="4">
        <f t="shared" si="2"/>
        <v>1.1816296280968024</v>
      </c>
    </row>
    <row r="8" spans="1:42" x14ac:dyDescent="0.25">
      <c r="A8" s="3">
        <v>7</v>
      </c>
      <c r="B8" s="3" t="s">
        <v>49</v>
      </c>
      <c r="C8" s="3" t="s">
        <v>50</v>
      </c>
      <c r="D8" s="3">
        <v>0</v>
      </c>
      <c r="E8" s="3">
        <v>0.76528766955804395</v>
      </c>
      <c r="F8" s="3">
        <v>0.95346975479652896</v>
      </c>
      <c r="G8" s="3">
        <v>0.18818208523848601</v>
      </c>
      <c r="H8" s="3">
        <v>5.2857533697061101E-2</v>
      </c>
      <c r="I8" s="3">
        <v>1.34462881682585E-2</v>
      </c>
      <c r="J8" s="3">
        <v>9.6318864666149508E-3</v>
      </c>
      <c r="K8" s="3">
        <v>0.70182820791175404</v>
      </c>
      <c r="L8" s="3">
        <v>0.175705838552841</v>
      </c>
      <c r="M8" s="3">
        <v>100</v>
      </c>
      <c r="N8" s="3">
        <v>0</v>
      </c>
      <c r="O8" s="3">
        <v>0</v>
      </c>
      <c r="P8" s="3">
        <v>100</v>
      </c>
      <c r="Q8" s="3">
        <v>0</v>
      </c>
      <c r="R8" s="3">
        <v>0</v>
      </c>
      <c r="S8" s="3">
        <v>0</v>
      </c>
      <c r="T8" s="3">
        <v>0</v>
      </c>
      <c r="U8" s="3">
        <v>0.49575635840399701</v>
      </c>
      <c r="V8" s="3">
        <v>-14.122339455968399</v>
      </c>
      <c r="W8" s="3">
        <v>375.06701952534002</v>
      </c>
      <c r="X8" s="3">
        <v>99.954673251956095</v>
      </c>
      <c r="Y8" s="3">
        <v>48.296609356677202</v>
      </c>
      <c r="Z8" s="3">
        <v>275.40157050103198</v>
      </c>
      <c r="AA8" s="3">
        <v>57.166919802757498</v>
      </c>
      <c r="AB8" s="3">
        <v>295.45776176005199</v>
      </c>
      <c r="AC8" s="3">
        <v>4.1910151849403201</v>
      </c>
      <c r="AD8" s="3">
        <v>768.754830617008</v>
      </c>
      <c r="AE8" s="3">
        <v>0</v>
      </c>
      <c r="AF8" s="3">
        <v>0</v>
      </c>
      <c r="AG8" s="3">
        <v>170.07094101393801</v>
      </c>
      <c r="AH8" s="3">
        <v>112.060125635532</v>
      </c>
      <c r="AI8" s="3">
        <v>35.313158109121702</v>
      </c>
      <c r="AJ8" s="3">
        <v>24.862328268288099</v>
      </c>
      <c r="AK8" s="3">
        <v>7009595960.6999998</v>
      </c>
      <c r="AL8" s="3">
        <v>6.4751591751008294E-2</v>
      </c>
      <c r="AM8" s="3">
        <v>8054</v>
      </c>
      <c r="AN8" s="3">
        <f t="shared" si="0"/>
        <v>0.80263444719476895</v>
      </c>
      <c r="AO8" s="4">
        <f t="shared" si="1"/>
        <v>0.77776391624368801</v>
      </c>
      <c r="AP8" s="4">
        <f t="shared" si="2"/>
        <v>0.98395882551880298</v>
      </c>
    </row>
    <row r="9" spans="1:42" x14ac:dyDescent="0.25">
      <c r="A9" s="3">
        <v>8</v>
      </c>
      <c r="B9" s="3" t="s">
        <v>49</v>
      </c>
      <c r="C9" s="3" t="s">
        <v>51</v>
      </c>
      <c r="D9" s="3">
        <v>-150</v>
      </c>
      <c r="E9" s="3">
        <v>2.0121542736784099E-4</v>
      </c>
      <c r="F9" s="3">
        <v>0.37319137647774298</v>
      </c>
      <c r="G9" s="3">
        <v>0.37299016105037502</v>
      </c>
      <c r="H9" s="3">
        <v>4.7118420177359101E-2</v>
      </c>
      <c r="I9" s="3">
        <v>2.9668126288329502E-3</v>
      </c>
      <c r="J9" s="3">
        <v>1.7341586371078901E-3</v>
      </c>
      <c r="K9" s="3">
        <v>0.32136172804459701</v>
      </c>
      <c r="L9" s="4">
        <v>1.0256989845479099E-5</v>
      </c>
      <c r="M9" s="3">
        <v>100</v>
      </c>
      <c r="N9" s="3">
        <v>0</v>
      </c>
      <c r="O9" s="3">
        <v>0</v>
      </c>
      <c r="P9" s="3">
        <v>0</v>
      </c>
      <c r="Q9" s="3">
        <v>0</v>
      </c>
      <c r="R9" s="3">
        <v>100</v>
      </c>
      <c r="S9" s="3">
        <v>0</v>
      </c>
      <c r="T9" s="3">
        <v>0</v>
      </c>
      <c r="U9" s="3">
        <v>5.8800454705948198E-2</v>
      </c>
      <c r="V9" s="3">
        <v>-157.973138043278</v>
      </c>
      <c r="W9" s="3">
        <v>0</v>
      </c>
      <c r="X9" s="3">
        <v>100</v>
      </c>
      <c r="Y9" s="3">
        <v>53.602938087334202</v>
      </c>
      <c r="Z9" s="3">
        <v>352.99693957333199</v>
      </c>
      <c r="AA9" s="3">
        <v>51.751870698888297</v>
      </c>
      <c r="AB9" s="3">
        <v>308.24812930111199</v>
      </c>
      <c r="AC9" s="3">
        <v>3</v>
      </c>
      <c r="AD9" s="3">
        <v>745</v>
      </c>
      <c r="AE9" s="3">
        <v>0</v>
      </c>
      <c r="AF9" s="3">
        <v>0</v>
      </c>
      <c r="AG9" s="3">
        <v>170.695118477596</v>
      </c>
      <c r="AH9" s="3">
        <v>111.837685211541</v>
      </c>
      <c r="AI9" s="3">
        <v>24.175716455351399</v>
      </c>
      <c r="AJ9" s="3">
        <v>-62</v>
      </c>
      <c r="AK9" s="3">
        <v>1765008.8</v>
      </c>
      <c r="AL9" s="4">
        <v>4.4721359549995799E-6</v>
      </c>
      <c r="AM9" s="3">
        <v>5</v>
      </c>
      <c r="AN9" s="3">
        <f t="shared" si="0"/>
        <v>5.3917491145415424E-4</v>
      </c>
      <c r="AO9" s="4">
        <f t="shared" si="1"/>
        <v>0.37318111948789751</v>
      </c>
      <c r="AP9" s="4">
        <f t="shared" si="2"/>
        <v>5.3918973083086678E-4</v>
      </c>
    </row>
    <row r="10" spans="1:42" x14ac:dyDescent="0.25">
      <c r="A10" s="3">
        <v>9</v>
      </c>
      <c r="B10" s="3" t="s">
        <v>49</v>
      </c>
      <c r="C10" s="3" t="s">
        <v>51</v>
      </c>
      <c r="D10" s="3">
        <v>-125</v>
      </c>
      <c r="E10" s="3">
        <v>0.93534437373725798</v>
      </c>
      <c r="F10" s="3">
        <v>0.40701424473497899</v>
      </c>
      <c r="G10" s="3">
        <v>-0.52833012900227905</v>
      </c>
      <c r="H10" s="3">
        <v>5.1469504697883403E-2</v>
      </c>
      <c r="I10" s="3">
        <v>6.0594527375574898E-3</v>
      </c>
      <c r="J10" s="3">
        <v>2.8000930232398298E-3</v>
      </c>
      <c r="K10" s="3">
        <v>0.34667459248669402</v>
      </c>
      <c r="L10" s="4">
        <v>1.0601789603887101E-5</v>
      </c>
      <c r="M10" s="3">
        <v>100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0</v>
      </c>
      <c r="T10" s="3">
        <v>0</v>
      </c>
      <c r="U10" s="3">
        <v>0.22008241230855799</v>
      </c>
      <c r="V10" s="3">
        <v>-133.49470296086901</v>
      </c>
      <c r="W10" s="3">
        <v>1.2250280150175701E-3</v>
      </c>
      <c r="X10" s="3">
        <v>100</v>
      </c>
      <c r="Y10" s="3">
        <v>40.941253327957398</v>
      </c>
      <c r="Z10" s="3">
        <v>382.06041185629101</v>
      </c>
      <c r="AA10" s="3">
        <v>55.732669571121001</v>
      </c>
      <c r="AB10" s="3">
        <v>298.69836149318502</v>
      </c>
      <c r="AC10" s="3">
        <v>3.2615371123680701</v>
      </c>
      <c r="AD10" s="3">
        <v>763.96159447688603</v>
      </c>
      <c r="AE10" s="3">
        <v>0</v>
      </c>
      <c r="AF10" s="3">
        <v>0</v>
      </c>
      <c r="AG10" s="3">
        <v>172.77991101957301</v>
      </c>
      <c r="AH10" s="3">
        <v>111.92879770909001</v>
      </c>
      <c r="AI10" s="3">
        <v>24.022285409796201</v>
      </c>
      <c r="AJ10" s="3">
        <v>-40.075440853909903</v>
      </c>
      <c r="AK10" s="3">
        <v>51585546.799999997</v>
      </c>
      <c r="AL10" s="3">
        <v>8.9076734646547501E-2</v>
      </c>
      <c r="AM10" s="3">
        <v>126</v>
      </c>
      <c r="AN10" s="3">
        <f t="shared" si="0"/>
        <v>2.2980629937074881</v>
      </c>
      <c r="AO10" s="4">
        <f t="shared" si="1"/>
        <v>0.40700364294537511</v>
      </c>
      <c r="AP10" s="4">
        <f t="shared" si="2"/>
        <v>2.2981228545484855</v>
      </c>
    </row>
    <row r="11" spans="1:42" x14ac:dyDescent="0.25">
      <c r="A11" s="3">
        <v>10</v>
      </c>
      <c r="B11" s="3" t="s">
        <v>49</v>
      </c>
      <c r="C11" s="3" t="s">
        <v>51</v>
      </c>
      <c r="D11" s="3">
        <v>-100</v>
      </c>
      <c r="E11" s="3">
        <v>0.53424388830203595</v>
      </c>
      <c r="F11" s="3">
        <v>0.45268241378479601</v>
      </c>
      <c r="G11" s="3">
        <v>-8.1561474517239496E-2</v>
      </c>
      <c r="H11" s="3">
        <v>5.0541992856998799E-2</v>
      </c>
      <c r="I11" s="3">
        <v>6.0504333788705799E-3</v>
      </c>
      <c r="J11" s="3">
        <v>3.3060279368358602E-3</v>
      </c>
      <c r="K11" s="3">
        <v>0.392773987230012</v>
      </c>
      <c r="L11" s="4">
        <v>9.9723820797368207E-6</v>
      </c>
      <c r="M11" s="3">
        <v>100</v>
      </c>
      <c r="N11" s="3">
        <v>0</v>
      </c>
      <c r="O11" s="3">
        <v>0</v>
      </c>
      <c r="P11" s="3">
        <v>0</v>
      </c>
      <c r="Q11" s="3">
        <v>0</v>
      </c>
      <c r="R11" s="3">
        <v>100</v>
      </c>
      <c r="S11" s="3">
        <v>0</v>
      </c>
      <c r="T11" s="3">
        <v>0</v>
      </c>
      <c r="U11" s="3">
        <v>0.22827526303048301</v>
      </c>
      <c r="V11" s="3">
        <v>-108.548063785135</v>
      </c>
      <c r="W11" s="3">
        <v>1.3434803808456399E-2</v>
      </c>
      <c r="X11" s="3">
        <v>100</v>
      </c>
      <c r="Y11" s="3">
        <v>39.502103154175401</v>
      </c>
      <c r="Z11" s="3">
        <v>341.2870571615</v>
      </c>
      <c r="AA11" s="3">
        <v>54.9892253359873</v>
      </c>
      <c r="AB11" s="3">
        <v>300.504363266322</v>
      </c>
      <c r="AC11" s="3">
        <v>3.4581816093462399</v>
      </c>
      <c r="AD11" s="3">
        <v>768.91270916613996</v>
      </c>
      <c r="AE11" s="3">
        <v>0</v>
      </c>
      <c r="AF11" s="3">
        <v>0</v>
      </c>
      <c r="AG11" s="3">
        <v>172.67121025628799</v>
      </c>
      <c r="AH11" s="3">
        <v>111.98269511543</v>
      </c>
      <c r="AI11" s="3">
        <v>24.924410003409999</v>
      </c>
      <c r="AJ11" s="3">
        <v>-18.0948617432656</v>
      </c>
      <c r="AK11" s="3">
        <v>512156722.80000001</v>
      </c>
      <c r="AL11" s="3">
        <v>6.4956373227455094E-2</v>
      </c>
      <c r="AM11" s="3">
        <v>617</v>
      </c>
      <c r="AN11" s="3">
        <f t="shared" si="0"/>
        <v>1.1801737201039448</v>
      </c>
      <c r="AO11" s="4">
        <f t="shared" si="1"/>
        <v>0.45267244140271629</v>
      </c>
      <c r="AP11" s="4">
        <f t="shared" si="2"/>
        <v>1.1801997193523657</v>
      </c>
    </row>
    <row r="12" spans="1:42" x14ac:dyDescent="0.25">
      <c r="A12" s="3">
        <v>11</v>
      </c>
      <c r="B12" s="3" t="s">
        <v>49</v>
      </c>
      <c r="C12" s="3" t="s">
        <v>51</v>
      </c>
      <c r="D12" s="3">
        <v>-75</v>
      </c>
      <c r="E12" s="3">
        <v>0.56134065302854996</v>
      </c>
      <c r="F12" s="3">
        <v>0.50651133342954402</v>
      </c>
      <c r="G12" s="3">
        <v>-5.4829319599005201E-2</v>
      </c>
      <c r="H12" s="3">
        <v>5.0776934834408899E-2</v>
      </c>
      <c r="I12" s="3">
        <v>6.6685559659544402E-3</v>
      </c>
      <c r="J12" s="3">
        <v>4.3630117099696299E-3</v>
      </c>
      <c r="K12" s="3">
        <v>0.44435237291338098</v>
      </c>
      <c r="L12" s="3">
        <v>3.50458005830741E-4</v>
      </c>
      <c r="M12" s="3">
        <v>100</v>
      </c>
      <c r="N12" s="3">
        <v>0</v>
      </c>
      <c r="O12" s="3">
        <v>0</v>
      </c>
      <c r="P12" s="3">
        <v>0</v>
      </c>
      <c r="Q12" s="3">
        <v>0</v>
      </c>
      <c r="R12" s="3">
        <v>100</v>
      </c>
      <c r="S12" s="3">
        <v>0</v>
      </c>
      <c r="T12" s="3">
        <v>0</v>
      </c>
      <c r="U12" s="3">
        <v>0.255791972458077</v>
      </c>
      <c r="V12" s="3">
        <v>-85.402193903978997</v>
      </c>
      <c r="W12" s="3">
        <v>1.8140759743766599</v>
      </c>
      <c r="X12" s="3">
        <v>100</v>
      </c>
      <c r="Y12" s="3">
        <v>39.373986936982703</v>
      </c>
      <c r="Z12" s="3">
        <v>315.29284076869499</v>
      </c>
      <c r="AA12" s="3">
        <v>54.689608871568602</v>
      </c>
      <c r="AB12" s="3">
        <v>299.94761333932502</v>
      </c>
      <c r="AC12" s="3">
        <v>3.6208710894936198</v>
      </c>
      <c r="AD12" s="3">
        <v>769.07955386359299</v>
      </c>
      <c r="AE12" s="3">
        <v>0</v>
      </c>
      <c r="AF12" s="3">
        <v>0</v>
      </c>
      <c r="AG12" s="3">
        <v>172.50137743374901</v>
      </c>
      <c r="AH12" s="3">
        <v>112.05662725453</v>
      </c>
      <c r="AI12" s="3">
        <v>27.073417361225999</v>
      </c>
      <c r="AJ12" s="3">
        <v>-3.3768514526341402</v>
      </c>
      <c r="AK12" s="3">
        <v>2138011205.0999999</v>
      </c>
      <c r="AL12" s="3">
        <v>4.50542103199233E-2</v>
      </c>
      <c r="AM12" s="3">
        <v>1574</v>
      </c>
      <c r="AN12" s="3">
        <f t="shared" si="0"/>
        <v>1.1082489491948015</v>
      </c>
      <c r="AO12" s="4">
        <f t="shared" si="1"/>
        <v>0.50616087542371324</v>
      </c>
      <c r="AP12" s="4">
        <f t="shared" si="2"/>
        <v>1.1090162837233224</v>
      </c>
    </row>
    <row r="13" spans="1:42" x14ac:dyDescent="0.25">
      <c r="A13" s="3">
        <v>12</v>
      </c>
      <c r="B13" s="3" t="s">
        <v>49</v>
      </c>
      <c r="C13" s="3" t="s">
        <v>51</v>
      </c>
      <c r="D13" s="3">
        <v>-50</v>
      </c>
      <c r="E13" s="3">
        <v>0.59163471976598303</v>
      </c>
      <c r="F13" s="3">
        <v>0.61063526705571003</v>
      </c>
      <c r="G13" s="3">
        <v>1.9000547289726801E-2</v>
      </c>
      <c r="H13" s="3">
        <v>5.13524910405119E-2</v>
      </c>
      <c r="I13" s="3">
        <v>9.0230073496414907E-3</v>
      </c>
      <c r="J13" s="3">
        <v>6.2822362158209896E-3</v>
      </c>
      <c r="K13" s="3">
        <v>0.51135506320534396</v>
      </c>
      <c r="L13" s="3">
        <v>3.2622469244391501E-2</v>
      </c>
      <c r="M13" s="3">
        <v>100</v>
      </c>
      <c r="N13" s="3">
        <v>0</v>
      </c>
      <c r="O13" s="3">
        <v>0</v>
      </c>
      <c r="P13" s="3">
        <v>0</v>
      </c>
      <c r="Q13" s="3">
        <v>0</v>
      </c>
      <c r="R13" s="3">
        <v>100</v>
      </c>
      <c r="S13" s="3">
        <v>0</v>
      </c>
      <c r="T13" s="3">
        <v>0</v>
      </c>
      <c r="U13" s="3">
        <v>0.35349130009712898</v>
      </c>
      <c r="V13" s="3">
        <v>-61.911969644947902</v>
      </c>
      <c r="W13" s="3">
        <v>33.121849946404502</v>
      </c>
      <c r="X13" s="3">
        <v>100</v>
      </c>
      <c r="Y13" s="3">
        <v>39.342906265633196</v>
      </c>
      <c r="Z13" s="3">
        <v>305.32050269259702</v>
      </c>
      <c r="AA13" s="3">
        <v>55.506161445495898</v>
      </c>
      <c r="AB13" s="3">
        <v>298.64806916929302</v>
      </c>
      <c r="AC13" s="3">
        <v>3.78973611216023</v>
      </c>
      <c r="AD13" s="3">
        <v>768.33135255847299</v>
      </c>
      <c r="AE13" s="3">
        <v>0</v>
      </c>
      <c r="AF13" s="3">
        <v>0</v>
      </c>
      <c r="AG13" s="3">
        <v>172.863131781394</v>
      </c>
      <c r="AH13" s="3">
        <v>112.17165001354699</v>
      </c>
      <c r="AI13" s="3">
        <v>29.6537300076644</v>
      </c>
      <c r="AJ13" s="3">
        <v>7.6391153082223298</v>
      </c>
      <c r="AK13" s="3">
        <v>4512693427</v>
      </c>
      <c r="AL13" s="3">
        <v>5.36507214837759E-2</v>
      </c>
      <c r="AM13" s="3">
        <v>3456</v>
      </c>
      <c r="AN13" s="3">
        <f t="shared" si="0"/>
        <v>0.96888396672314459</v>
      </c>
      <c r="AO13" s="4">
        <f t="shared" si="1"/>
        <v>0.57801279781131853</v>
      </c>
      <c r="AP13" s="4">
        <f t="shared" si="2"/>
        <v>1.023566817216236</v>
      </c>
    </row>
    <row r="14" spans="1:42" x14ac:dyDescent="0.25">
      <c r="A14" s="3">
        <v>13</v>
      </c>
      <c r="B14" s="3" t="s">
        <v>49</v>
      </c>
      <c r="C14" s="3" t="s">
        <v>51</v>
      </c>
      <c r="D14" s="3">
        <v>-25</v>
      </c>
      <c r="E14" s="3">
        <v>0.53333880474008999</v>
      </c>
      <c r="F14" s="3">
        <v>0.76154469363367505</v>
      </c>
      <c r="G14" s="3">
        <v>0.22820588889358501</v>
      </c>
      <c r="H14" s="3">
        <v>5.1734235670375099E-2</v>
      </c>
      <c r="I14" s="3">
        <v>1.2461245856157E-2</v>
      </c>
      <c r="J14" s="3">
        <v>9.2677201785707104E-3</v>
      </c>
      <c r="K14" s="3">
        <v>0.58141708473142395</v>
      </c>
      <c r="L14" s="3">
        <v>0.10666440719714899</v>
      </c>
      <c r="M14" s="3">
        <v>100</v>
      </c>
      <c r="N14" s="3">
        <v>0</v>
      </c>
      <c r="O14" s="3">
        <v>0</v>
      </c>
      <c r="P14" s="3">
        <v>0</v>
      </c>
      <c r="Q14" s="3">
        <v>0</v>
      </c>
      <c r="R14" s="3">
        <v>100</v>
      </c>
      <c r="S14" s="3">
        <v>0</v>
      </c>
      <c r="T14" s="3">
        <v>0</v>
      </c>
      <c r="U14" s="3">
        <v>0.49149871015459501</v>
      </c>
      <c r="V14" s="3">
        <v>-37.915059460558901</v>
      </c>
      <c r="W14" s="3">
        <v>159.45078553324799</v>
      </c>
      <c r="X14" s="3">
        <v>100</v>
      </c>
      <c r="Y14" s="3">
        <v>39.897976790904103</v>
      </c>
      <c r="Z14" s="3">
        <v>299.843876996272</v>
      </c>
      <c r="AA14" s="3">
        <v>56.325614612118699</v>
      </c>
      <c r="AB14" s="3">
        <v>297.81644351191898</v>
      </c>
      <c r="AC14" s="3">
        <v>3.99755587636179</v>
      </c>
      <c r="AD14" s="3">
        <v>765.98050230891704</v>
      </c>
      <c r="AE14" s="3">
        <v>0</v>
      </c>
      <c r="AF14" s="3">
        <v>0</v>
      </c>
      <c r="AG14" s="3">
        <v>172.15595256186</v>
      </c>
      <c r="AH14" s="3">
        <v>112.15490884854999</v>
      </c>
      <c r="AI14" s="3">
        <v>31.501334165952201</v>
      </c>
      <c r="AJ14" s="3">
        <v>19.7688362831719</v>
      </c>
      <c r="AK14" s="3">
        <v>5706277257</v>
      </c>
      <c r="AL14" s="3">
        <v>5.9759473258151001E-2</v>
      </c>
      <c r="AM14" s="3">
        <v>6299</v>
      </c>
      <c r="AN14" s="3">
        <f t="shared" si="0"/>
        <v>0.70033815375337816</v>
      </c>
      <c r="AO14" s="4">
        <f t="shared" si="1"/>
        <v>0.65488028643652607</v>
      </c>
      <c r="AP14" s="4">
        <f t="shared" si="2"/>
        <v>0.8144065652704352</v>
      </c>
    </row>
    <row r="15" spans="1:42" x14ac:dyDescent="0.25">
      <c r="A15" s="3">
        <v>14</v>
      </c>
      <c r="B15" s="3" t="s">
        <v>49</v>
      </c>
      <c r="C15" s="3" t="s">
        <v>51</v>
      </c>
      <c r="D15" s="3">
        <v>0</v>
      </c>
      <c r="E15" s="3">
        <v>0.87895776425759398</v>
      </c>
      <c r="F15" s="3">
        <v>0.86152064869243905</v>
      </c>
      <c r="G15" s="3">
        <v>-1.7437115565154499E-2</v>
      </c>
      <c r="H15" s="3">
        <v>5.2193138029081501E-2</v>
      </c>
      <c r="I15" s="3">
        <v>1.40313657487576E-2</v>
      </c>
      <c r="J15" s="3">
        <v>1.2367373733177299E-2</v>
      </c>
      <c r="K15" s="3">
        <v>0.60558289622748196</v>
      </c>
      <c r="L15" s="3">
        <v>0.177345874953941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0</v>
      </c>
      <c r="T15" s="3">
        <v>0</v>
      </c>
      <c r="U15" s="3">
        <v>0.52244992313662497</v>
      </c>
      <c r="V15" s="3">
        <v>-14.2812223429297</v>
      </c>
      <c r="W15" s="3">
        <v>445.377791606389</v>
      </c>
      <c r="X15" s="3">
        <v>100</v>
      </c>
      <c r="Y15" s="3">
        <v>40.725272334182499</v>
      </c>
      <c r="Z15" s="3">
        <v>281.75382548408498</v>
      </c>
      <c r="AA15" s="3">
        <v>57.037389231074002</v>
      </c>
      <c r="AB15" s="3">
        <v>296.87717846584599</v>
      </c>
      <c r="AC15" s="3">
        <v>4.20330874850442</v>
      </c>
      <c r="AD15" s="3">
        <v>763.79203400378196</v>
      </c>
      <c r="AE15" s="3">
        <v>0</v>
      </c>
      <c r="AF15" s="3">
        <v>0</v>
      </c>
      <c r="AG15" s="3">
        <v>169.42108557868801</v>
      </c>
      <c r="AH15" s="3">
        <v>112.005138667922</v>
      </c>
      <c r="AI15" s="3">
        <v>34.424026537490903</v>
      </c>
      <c r="AJ15" s="3">
        <v>25.653169385546398</v>
      </c>
      <c r="AK15" s="3">
        <v>5202582703.6999998</v>
      </c>
      <c r="AL15" s="3">
        <v>7.7972199404389098E-2</v>
      </c>
      <c r="AM15" s="3">
        <v>7700</v>
      </c>
      <c r="AN15" s="3">
        <f t="shared" si="0"/>
        <v>1.0202399276112766</v>
      </c>
      <c r="AO15" s="4">
        <f t="shared" si="1"/>
        <v>0.684174773738498</v>
      </c>
      <c r="AP15" s="4">
        <f t="shared" si="2"/>
        <v>1.2846977088248288</v>
      </c>
    </row>
    <row r="16" spans="1:42" x14ac:dyDescent="0.25">
      <c r="A16" s="3">
        <v>15</v>
      </c>
      <c r="B16" s="3" t="s">
        <v>49</v>
      </c>
      <c r="C16" s="3" t="s">
        <v>52</v>
      </c>
      <c r="D16" s="3">
        <v>-200</v>
      </c>
      <c r="E16" s="3">
        <v>0</v>
      </c>
      <c r="F16" s="3">
        <v>0.369835544350267</v>
      </c>
      <c r="G16" s="3">
        <v>0.369835544350267</v>
      </c>
      <c r="H16" s="3">
        <v>5.2374562962963001E-2</v>
      </c>
      <c r="I16" s="3">
        <v>1.2533938390408301E-3</v>
      </c>
      <c r="J16" s="3">
        <v>1.0612910558744199E-3</v>
      </c>
      <c r="K16" s="3">
        <v>0.31513920847365001</v>
      </c>
      <c r="L16" s="4">
        <v>7.08801873852613E-6</v>
      </c>
      <c r="M16" s="3">
        <v>100</v>
      </c>
      <c r="N16" s="3">
        <v>0</v>
      </c>
      <c r="O16" s="3">
        <v>0</v>
      </c>
      <c r="P16" s="3">
        <v>0</v>
      </c>
      <c r="Q16" s="3">
        <v>100</v>
      </c>
      <c r="R16" s="3">
        <v>0</v>
      </c>
      <c r="S16" s="3">
        <v>0</v>
      </c>
      <c r="T16" s="3">
        <v>100</v>
      </c>
      <c r="U16" s="3">
        <v>0</v>
      </c>
      <c r="V16" s="3">
        <v>-202.1</v>
      </c>
      <c r="W16" s="3">
        <v>0</v>
      </c>
      <c r="X16" s="3">
        <v>100</v>
      </c>
      <c r="Y16" s="3">
        <v>33.200000000000003</v>
      </c>
      <c r="Z16" s="3">
        <v>256.60000000000002</v>
      </c>
      <c r="AA16" s="3">
        <v>64</v>
      </c>
      <c r="AB16" s="3">
        <v>296</v>
      </c>
      <c r="AC16" s="3">
        <v>2.6</v>
      </c>
      <c r="AD16" s="3">
        <v>726</v>
      </c>
      <c r="AE16" s="3">
        <v>100</v>
      </c>
      <c r="AF16" s="3">
        <v>0</v>
      </c>
      <c r="AG16" s="3">
        <v>179.2</v>
      </c>
      <c r="AH16" s="3">
        <v>112.2</v>
      </c>
      <c r="AI16" s="3">
        <v>20.9</v>
      </c>
      <c r="AJ16" s="3">
        <v>-107</v>
      </c>
      <c r="AK16" s="3">
        <v>256666.2</v>
      </c>
      <c r="AL16" s="3" t="s">
        <v>56</v>
      </c>
      <c r="AM16" s="3">
        <v>1</v>
      </c>
      <c r="AN16" s="3">
        <f t="shared" si="0"/>
        <v>0</v>
      </c>
      <c r="AO16" s="4">
        <f t="shared" si="1"/>
        <v>0.3698284563315285</v>
      </c>
      <c r="AP16" s="4">
        <f t="shared" si="2"/>
        <v>0</v>
      </c>
    </row>
    <row r="17" spans="1:42" x14ac:dyDescent="0.25">
      <c r="A17" s="3">
        <v>16</v>
      </c>
      <c r="B17" s="3" t="s">
        <v>49</v>
      </c>
      <c r="C17" s="3" t="s">
        <v>52</v>
      </c>
      <c r="D17" s="3">
        <v>-175</v>
      </c>
      <c r="E17" s="3">
        <v>0</v>
      </c>
      <c r="F17" s="3">
        <v>0.37996335837408701</v>
      </c>
      <c r="G17" s="3">
        <v>0.37996335837408701</v>
      </c>
      <c r="H17" s="3">
        <v>4.8342513377879197E-2</v>
      </c>
      <c r="I17" s="3">
        <v>1.2438395829683601E-3</v>
      </c>
      <c r="J17" s="3">
        <v>1.42947736341014E-3</v>
      </c>
      <c r="K17" s="3">
        <v>0.32894110078037397</v>
      </c>
      <c r="L17" s="4">
        <v>6.4272694555670302E-6</v>
      </c>
      <c r="M17" s="3">
        <v>100</v>
      </c>
      <c r="N17" s="3">
        <v>0</v>
      </c>
      <c r="O17" s="3">
        <v>0</v>
      </c>
      <c r="P17" s="3">
        <v>0</v>
      </c>
      <c r="Q17" s="3">
        <v>100</v>
      </c>
      <c r="R17" s="3">
        <v>0</v>
      </c>
      <c r="S17" s="3">
        <v>0</v>
      </c>
      <c r="T17" s="3">
        <v>100</v>
      </c>
      <c r="U17" s="3">
        <v>0</v>
      </c>
      <c r="V17" s="3">
        <v>-187.66588527759001</v>
      </c>
      <c r="W17" s="3">
        <v>0</v>
      </c>
      <c r="X17" s="3">
        <v>100</v>
      </c>
      <c r="Y17" s="3">
        <v>35.698291043210403</v>
      </c>
      <c r="Z17" s="3">
        <v>254.51859095712101</v>
      </c>
      <c r="AA17" s="3">
        <v>54.529651477356097</v>
      </c>
      <c r="AB17" s="3">
        <v>305.47034852264397</v>
      </c>
      <c r="AC17" s="3">
        <v>2.61610411562275</v>
      </c>
      <c r="AD17" s="3">
        <v>731.15331699927901</v>
      </c>
      <c r="AE17" s="3">
        <v>91.9479421886263</v>
      </c>
      <c r="AF17" s="3">
        <v>0</v>
      </c>
      <c r="AG17" s="3">
        <v>170.74700051845701</v>
      </c>
      <c r="AH17" s="3">
        <v>111.921766139477</v>
      </c>
      <c r="AI17" s="3">
        <v>26.214183137071199</v>
      </c>
      <c r="AJ17" s="3">
        <v>-104.383081211304</v>
      </c>
      <c r="AK17" s="3">
        <v>2000360.7</v>
      </c>
      <c r="AL17" s="3">
        <v>0</v>
      </c>
      <c r="AM17" s="3">
        <v>8</v>
      </c>
      <c r="AN17" s="3">
        <f t="shared" si="0"/>
        <v>0</v>
      </c>
      <c r="AO17" s="4">
        <f t="shared" si="1"/>
        <v>0.37995693110463147</v>
      </c>
      <c r="AP17" s="4">
        <f t="shared" si="2"/>
        <v>0</v>
      </c>
    </row>
    <row r="18" spans="1:42" x14ac:dyDescent="0.25">
      <c r="A18" s="3">
        <v>17</v>
      </c>
      <c r="B18" s="3" t="s">
        <v>49</v>
      </c>
      <c r="C18" s="3" t="s">
        <v>52</v>
      </c>
      <c r="D18" s="3">
        <v>-150</v>
      </c>
      <c r="E18" s="4">
        <v>4.2437830205425199E-5</v>
      </c>
      <c r="F18" s="3">
        <v>0.40484934161356401</v>
      </c>
      <c r="G18" s="3">
        <v>0.40480690378335898</v>
      </c>
      <c r="H18" s="3">
        <v>4.8356225054219902E-2</v>
      </c>
      <c r="I18" s="3">
        <v>3.9621975274157896E-3</v>
      </c>
      <c r="J18" s="3">
        <v>9.07859171406894E-4</v>
      </c>
      <c r="K18" s="3">
        <v>0.35161602351077398</v>
      </c>
      <c r="L18" s="4">
        <v>7.0363497475272602E-6</v>
      </c>
      <c r="M18" s="3">
        <v>100</v>
      </c>
      <c r="N18" s="3">
        <v>0</v>
      </c>
      <c r="O18" s="3">
        <v>0</v>
      </c>
      <c r="P18" s="3">
        <v>0</v>
      </c>
      <c r="Q18" s="3">
        <v>100</v>
      </c>
      <c r="R18" s="3">
        <v>0</v>
      </c>
      <c r="S18" s="3">
        <v>0</v>
      </c>
      <c r="T18" s="3">
        <v>100</v>
      </c>
      <c r="U18" s="3">
        <v>0.13410889891255001</v>
      </c>
      <c r="V18" s="3">
        <v>-161.53013565356801</v>
      </c>
      <c r="W18" s="3">
        <v>0</v>
      </c>
      <c r="X18" s="3">
        <v>85.983767808824993</v>
      </c>
      <c r="Y18" s="3">
        <v>35.865872006228301</v>
      </c>
      <c r="Z18" s="3">
        <v>284.40046958872</v>
      </c>
      <c r="AA18" s="3">
        <v>54.458139348477999</v>
      </c>
      <c r="AB18" s="3">
        <v>305.41153968301097</v>
      </c>
      <c r="AC18" s="3">
        <v>2.9027913325295098</v>
      </c>
      <c r="AD18" s="3">
        <v>746.83383503827997</v>
      </c>
      <c r="AE18" s="3">
        <v>40.292793332489097</v>
      </c>
      <c r="AF18" s="3">
        <v>0</v>
      </c>
      <c r="AG18" s="3">
        <v>172.459175292281</v>
      </c>
      <c r="AH18" s="3">
        <v>112.033624741908</v>
      </c>
      <c r="AI18" s="3">
        <v>26.753459048478799</v>
      </c>
      <c r="AJ18" s="3">
        <v>-74.632441109225695</v>
      </c>
      <c r="AK18" s="3">
        <v>6919139.7999999998</v>
      </c>
      <c r="AL18" s="4">
        <v>1.7320508075688801E-6</v>
      </c>
      <c r="AM18" s="3">
        <v>27</v>
      </c>
      <c r="AN18" s="3">
        <f t="shared" si="0"/>
        <v>1.048237599603975E-4</v>
      </c>
      <c r="AO18" s="4">
        <f t="shared" si="1"/>
        <v>0.40484230526381648</v>
      </c>
      <c r="AP18" s="4">
        <f t="shared" si="2"/>
        <v>1.0482558184666616E-4</v>
      </c>
    </row>
    <row r="19" spans="1:42" x14ac:dyDescent="0.25">
      <c r="A19" s="3">
        <v>18</v>
      </c>
      <c r="B19" s="3" t="s">
        <v>49</v>
      </c>
      <c r="C19" s="3" t="s">
        <v>52</v>
      </c>
      <c r="D19" s="3">
        <v>-125</v>
      </c>
      <c r="E19" s="3">
        <v>0.37864258987493099</v>
      </c>
      <c r="F19" s="3">
        <v>0.41367766049916499</v>
      </c>
      <c r="G19" s="3">
        <v>3.5035070624233403E-2</v>
      </c>
      <c r="H19" s="3">
        <v>5.0706308299121802E-2</v>
      </c>
      <c r="I19" s="3">
        <v>6.1669191625737798E-3</v>
      </c>
      <c r="J19" s="3">
        <v>1.6567093039936999E-3</v>
      </c>
      <c r="K19" s="3">
        <v>0.35513794870140603</v>
      </c>
      <c r="L19" s="4">
        <v>9.7750320692767508E-6</v>
      </c>
      <c r="M19" s="3">
        <v>100</v>
      </c>
      <c r="N19" s="3">
        <v>0</v>
      </c>
      <c r="O19" s="3">
        <v>0</v>
      </c>
      <c r="P19" s="3">
        <v>0</v>
      </c>
      <c r="Q19" s="3">
        <v>100</v>
      </c>
      <c r="R19" s="3">
        <v>0</v>
      </c>
      <c r="S19" s="3">
        <v>0</v>
      </c>
      <c r="T19" s="3">
        <v>100</v>
      </c>
      <c r="U19" s="3">
        <v>0.23430977644720399</v>
      </c>
      <c r="V19" s="3">
        <v>-132.25652345674001</v>
      </c>
      <c r="W19" s="3">
        <v>6.3036501434056702E-3</v>
      </c>
      <c r="X19" s="3">
        <v>98.4307881297553</v>
      </c>
      <c r="Y19" s="3">
        <v>39.588318558200498</v>
      </c>
      <c r="Z19" s="3">
        <v>355.92824069060401</v>
      </c>
      <c r="AA19" s="3">
        <v>54.996491833233002</v>
      </c>
      <c r="AB19" s="3">
        <v>300.09941260650299</v>
      </c>
      <c r="AC19" s="3">
        <v>3.2660605411182502</v>
      </c>
      <c r="AD19" s="3">
        <v>771.71725048398503</v>
      </c>
      <c r="AE19" s="3">
        <v>12.6796689653127</v>
      </c>
      <c r="AF19" s="3">
        <v>0</v>
      </c>
      <c r="AG19" s="3">
        <v>172.84001104729001</v>
      </c>
      <c r="AH19" s="3">
        <v>111.93305160676999</v>
      </c>
      <c r="AI19" s="3">
        <v>24.2176355005322</v>
      </c>
      <c r="AJ19" s="3">
        <v>-33.461776006130002</v>
      </c>
      <c r="AK19" s="3">
        <v>123037776.90000001</v>
      </c>
      <c r="AL19" s="3">
        <v>6.5281345366912893E-2</v>
      </c>
      <c r="AM19" s="3">
        <v>236</v>
      </c>
      <c r="AN19" s="3">
        <f t="shared" si="0"/>
        <v>0.9153082847597841</v>
      </c>
      <c r="AO19" s="4">
        <f t="shared" si="1"/>
        <v>0.41366788546709571</v>
      </c>
      <c r="AP19" s="4">
        <f t="shared" si="2"/>
        <v>0.91532991362717053</v>
      </c>
    </row>
    <row r="20" spans="1:42" x14ac:dyDescent="0.25">
      <c r="A20" s="3">
        <v>19</v>
      </c>
      <c r="B20" s="3" t="s">
        <v>49</v>
      </c>
      <c r="C20" s="3" t="s">
        <v>52</v>
      </c>
      <c r="D20" s="3">
        <v>-100</v>
      </c>
      <c r="E20" s="3">
        <v>0.42987270173513698</v>
      </c>
      <c r="F20" s="3">
        <v>0.45177932598139098</v>
      </c>
      <c r="G20" s="3">
        <v>2.1906624246253299E-2</v>
      </c>
      <c r="H20" s="3">
        <v>5.1292815790933297E-2</v>
      </c>
      <c r="I20" s="3">
        <v>5.9478223237854604E-3</v>
      </c>
      <c r="J20" s="3">
        <v>2.3266981549461101E-3</v>
      </c>
      <c r="K20" s="3">
        <v>0.39220258973403099</v>
      </c>
      <c r="L20" s="4">
        <v>9.3999776950889705E-6</v>
      </c>
      <c r="M20" s="3">
        <v>100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>
        <v>0</v>
      </c>
      <c r="T20" s="3">
        <v>100</v>
      </c>
      <c r="U20" s="3">
        <v>0.22692080111427201</v>
      </c>
      <c r="V20" s="3">
        <v>-108.351318882489</v>
      </c>
      <c r="W20" s="3">
        <v>9.4566685389014006E-3</v>
      </c>
      <c r="X20" s="3">
        <v>99.872929128046295</v>
      </c>
      <c r="Y20" s="3">
        <v>39.2812831354724</v>
      </c>
      <c r="Z20" s="3">
        <v>315.62186121494398</v>
      </c>
      <c r="AA20" s="3">
        <v>54.943812562679099</v>
      </c>
      <c r="AB20" s="3">
        <v>298.78933177275297</v>
      </c>
      <c r="AC20" s="3">
        <v>3.4470857389124099</v>
      </c>
      <c r="AD20" s="3">
        <v>773.74556633999498</v>
      </c>
      <c r="AE20" s="3">
        <v>9.4448750722530299</v>
      </c>
      <c r="AF20" s="3">
        <v>0</v>
      </c>
      <c r="AG20" s="3">
        <v>172.51090398821901</v>
      </c>
      <c r="AH20" s="3">
        <v>111.956142757862</v>
      </c>
      <c r="AI20" s="3">
        <v>24.686575486793402</v>
      </c>
      <c r="AJ20" s="3">
        <v>-16.3166115066422</v>
      </c>
      <c r="AK20" s="3">
        <v>1453521622.7</v>
      </c>
      <c r="AL20" s="3">
        <v>2.50821740997729E-2</v>
      </c>
      <c r="AM20" s="3">
        <v>965</v>
      </c>
      <c r="AN20" s="3">
        <f t="shared" si="0"/>
        <v>0.951510343686784</v>
      </c>
      <c r="AO20" s="4">
        <f t="shared" si="1"/>
        <v>0.45176992600369587</v>
      </c>
      <c r="AP20" s="4">
        <f t="shared" si="2"/>
        <v>0.9515301417642843</v>
      </c>
    </row>
    <row r="21" spans="1:42" x14ac:dyDescent="0.25">
      <c r="A21" s="3">
        <v>20</v>
      </c>
      <c r="B21" s="3" t="s">
        <v>49</v>
      </c>
      <c r="C21" s="3" t="s">
        <v>52</v>
      </c>
      <c r="D21" s="3">
        <v>-75</v>
      </c>
      <c r="E21" s="3">
        <v>0.54745850111014904</v>
      </c>
      <c r="F21" s="3">
        <v>0.50582975600410096</v>
      </c>
      <c r="G21" s="3">
        <v>-4.16287451060477E-2</v>
      </c>
      <c r="H21" s="3">
        <v>5.1477305501866501E-2</v>
      </c>
      <c r="I21" s="3">
        <v>6.9715659757371802E-3</v>
      </c>
      <c r="J21" s="3">
        <v>3.6409295937348501E-3</v>
      </c>
      <c r="K21" s="3">
        <v>0.44347315574447099</v>
      </c>
      <c r="L21" s="3">
        <v>2.6679918829185598E-4</v>
      </c>
      <c r="M21" s="3">
        <v>100</v>
      </c>
      <c r="N21" s="3">
        <v>0</v>
      </c>
      <c r="O21" s="3">
        <v>0</v>
      </c>
      <c r="P21" s="3">
        <v>0</v>
      </c>
      <c r="Q21" s="3">
        <v>100</v>
      </c>
      <c r="R21" s="3">
        <v>0</v>
      </c>
      <c r="S21" s="3">
        <v>0</v>
      </c>
      <c r="T21" s="3">
        <v>100</v>
      </c>
      <c r="U21" s="3">
        <v>0.26944622804197899</v>
      </c>
      <c r="V21" s="3">
        <v>-85.474811300618697</v>
      </c>
      <c r="W21" s="3">
        <v>1.4972726136877501</v>
      </c>
      <c r="X21" s="3">
        <v>99.913818520368693</v>
      </c>
      <c r="Y21" s="3">
        <v>39.842987601357898</v>
      </c>
      <c r="Z21" s="3">
        <v>308.76871650157398</v>
      </c>
      <c r="AA21" s="3">
        <v>54.561928261117302</v>
      </c>
      <c r="AB21" s="3">
        <v>298.32696582847001</v>
      </c>
      <c r="AC21" s="3">
        <v>3.62447938395447</v>
      </c>
      <c r="AD21" s="3">
        <v>772.75204335661101</v>
      </c>
      <c r="AE21" s="3">
        <v>8.6386952892052893</v>
      </c>
      <c r="AF21" s="3">
        <v>0</v>
      </c>
      <c r="AG21" s="3">
        <v>172.498592486912</v>
      </c>
      <c r="AH21" s="3">
        <v>112.05112340006301</v>
      </c>
      <c r="AI21" s="3">
        <v>26.778689265249199</v>
      </c>
      <c r="AJ21" s="3">
        <v>-1.3553884346318399</v>
      </c>
      <c r="AK21" s="3">
        <v>6562216122.3000002</v>
      </c>
      <c r="AL21" s="3">
        <v>6.3878606881214495E-2</v>
      </c>
      <c r="AM21" s="3">
        <v>2409</v>
      </c>
      <c r="AN21" s="3">
        <f t="shared" si="0"/>
        <v>1.0822979364339937</v>
      </c>
      <c r="AO21" s="4">
        <f t="shared" si="1"/>
        <v>0.50556295681580909</v>
      </c>
      <c r="AP21" s="4">
        <f t="shared" si="2"/>
        <v>1.0828690942038375</v>
      </c>
    </row>
    <row r="22" spans="1:42" x14ac:dyDescent="0.25">
      <c r="A22" s="3">
        <v>21</v>
      </c>
      <c r="B22" s="3" t="s">
        <v>49</v>
      </c>
      <c r="C22" s="3" t="s">
        <v>52</v>
      </c>
      <c r="D22" s="3">
        <v>-50</v>
      </c>
      <c r="E22" s="3">
        <v>0.59382030774090799</v>
      </c>
      <c r="F22" s="3">
        <v>0.60953283422193205</v>
      </c>
      <c r="G22" s="3">
        <v>1.5712526481024801E-2</v>
      </c>
      <c r="H22" s="3">
        <v>5.2105800985776198E-2</v>
      </c>
      <c r="I22" s="3">
        <v>9.7694050030700599E-3</v>
      </c>
      <c r="J22" s="3">
        <v>5.5033355624557502E-3</v>
      </c>
      <c r="K22" s="3">
        <v>0.51061274127793399</v>
      </c>
      <c r="L22" s="3">
        <v>3.1541551392696002E-2</v>
      </c>
      <c r="M22" s="3">
        <v>100</v>
      </c>
      <c r="N22" s="3">
        <v>0</v>
      </c>
      <c r="O22" s="3">
        <v>0</v>
      </c>
      <c r="P22" s="3">
        <v>0</v>
      </c>
      <c r="Q22" s="3">
        <v>100</v>
      </c>
      <c r="R22" s="3">
        <v>0</v>
      </c>
      <c r="S22" s="3">
        <v>0</v>
      </c>
      <c r="T22" s="3">
        <v>100</v>
      </c>
      <c r="U22" s="3">
        <v>0.385011292252666</v>
      </c>
      <c r="V22" s="3">
        <v>-61.805818454194402</v>
      </c>
      <c r="W22" s="3">
        <v>29.958009396143499</v>
      </c>
      <c r="X22" s="3">
        <v>99.802497273256506</v>
      </c>
      <c r="Y22" s="3">
        <v>39.953933963977299</v>
      </c>
      <c r="Z22" s="3">
        <v>302.89837823715698</v>
      </c>
      <c r="AA22" s="3">
        <v>55.372851432564602</v>
      </c>
      <c r="AB22" s="3">
        <v>296.905763575805</v>
      </c>
      <c r="AC22" s="3">
        <v>3.7877978685809301</v>
      </c>
      <c r="AD22" s="3">
        <v>771.53633331574304</v>
      </c>
      <c r="AE22" s="3">
        <v>11.465580409411499</v>
      </c>
      <c r="AF22" s="3">
        <v>0</v>
      </c>
      <c r="AG22" s="3">
        <v>173.01871739862801</v>
      </c>
      <c r="AH22" s="3">
        <v>112.186686022104</v>
      </c>
      <c r="AI22" s="3">
        <v>29.7510635465452</v>
      </c>
      <c r="AJ22" s="3">
        <v>8.5058127786582602</v>
      </c>
      <c r="AK22" s="3">
        <v>13636930076</v>
      </c>
      <c r="AL22" s="3">
        <v>5.7996905117470202E-2</v>
      </c>
      <c r="AM22" s="3">
        <v>5294</v>
      </c>
      <c r="AN22" s="3">
        <f t="shared" si="0"/>
        <v>0.97422201791461971</v>
      </c>
      <c r="AO22" s="4">
        <f t="shared" si="1"/>
        <v>0.57799128282923606</v>
      </c>
      <c r="AP22" s="4">
        <f t="shared" si="2"/>
        <v>1.0273862692776086</v>
      </c>
    </row>
    <row r="23" spans="1:42" x14ac:dyDescent="0.25">
      <c r="A23" s="3">
        <v>22</v>
      </c>
      <c r="B23" s="3" t="s">
        <v>49</v>
      </c>
      <c r="C23" s="3" t="s">
        <v>52</v>
      </c>
      <c r="D23" s="3">
        <v>-25</v>
      </c>
      <c r="E23" s="3">
        <v>0.74146060891530996</v>
      </c>
      <c r="F23" s="3">
        <v>0.756705676703888</v>
      </c>
      <c r="G23" s="3">
        <v>1.52450677885781E-2</v>
      </c>
      <c r="H23" s="3">
        <v>5.25207995307218E-2</v>
      </c>
      <c r="I23" s="3">
        <v>1.2805225879020599E-2</v>
      </c>
      <c r="J23" s="3">
        <v>8.8611009558073103E-3</v>
      </c>
      <c r="K23" s="3">
        <v>0.58250199331062202</v>
      </c>
      <c r="L23" s="3">
        <v>0.100016557027716</v>
      </c>
      <c r="M23" s="3">
        <v>100</v>
      </c>
      <c r="N23" s="3">
        <v>0</v>
      </c>
      <c r="O23" s="3">
        <v>0</v>
      </c>
      <c r="P23" s="3">
        <v>0</v>
      </c>
      <c r="Q23" s="3">
        <v>100</v>
      </c>
      <c r="R23" s="3">
        <v>0</v>
      </c>
      <c r="S23" s="3">
        <v>0</v>
      </c>
      <c r="T23" s="3">
        <v>100</v>
      </c>
      <c r="U23" s="3">
        <v>0.503651184477095</v>
      </c>
      <c r="V23" s="3">
        <v>-38.044280046410002</v>
      </c>
      <c r="W23" s="3">
        <v>149.59018088859699</v>
      </c>
      <c r="X23" s="3">
        <v>99.512141224986195</v>
      </c>
      <c r="Y23" s="3">
        <v>40.399920044228303</v>
      </c>
      <c r="Z23" s="3">
        <v>297.80884318276901</v>
      </c>
      <c r="AA23" s="3">
        <v>56.057789463474499</v>
      </c>
      <c r="AB23" s="3">
        <v>296.01449917693702</v>
      </c>
      <c r="AC23" s="3">
        <v>3.9933821440820298</v>
      </c>
      <c r="AD23" s="3">
        <v>767.98237196894195</v>
      </c>
      <c r="AE23" s="3">
        <v>19.7545730956085</v>
      </c>
      <c r="AF23" s="3">
        <v>0</v>
      </c>
      <c r="AG23" s="3">
        <v>172.36524707451301</v>
      </c>
      <c r="AH23" s="3">
        <v>112.172941702375</v>
      </c>
      <c r="AI23" s="3">
        <v>31.616619824789101</v>
      </c>
      <c r="AJ23" s="3">
        <v>21.379441109343801</v>
      </c>
      <c r="AK23" s="3">
        <v>15962175739.299999</v>
      </c>
      <c r="AL23" s="3">
        <v>7.0963691224205899E-2</v>
      </c>
      <c r="AM23" s="3">
        <v>10378</v>
      </c>
      <c r="AN23" s="3">
        <f t="shared" si="0"/>
        <v>0.9798533719807897</v>
      </c>
      <c r="AO23" s="4">
        <f t="shared" si="1"/>
        <v>0.65668911967617194</v>
      </c>
      <c r="AP23" s="4">
        <f t="shared" si="2"/>
        <v>1.1290892245647997</v>
      </c>
    </row>
    <row r="24" spans="1:42" x14ac:dyDescent="0.25">
      <c r="A24" s="3">
        <v>23</v>
      </c>
      <c r="B24" s="3" t="s">
        <v>49</v>
      </c>
      <c r="C24" s="3" t="s">
        <v>52</v>
      </c>
      <c r="D24" s="3">
        <v>0</v>
      </c>
      <c r="E24" s="3">
        <v>0.896394438491111</v>
      </c>
      <c r="F24" s="3">
        <v>0.857560257698331</v>
      </c>
      <c r="G24" s="3">
        <v>-3.8834180792780303E-2</v>
      </c>
      <c r="H24" s="3">
        <v>5.2876054639398998E-2</v>
      </c>
      <c r="I24" s="3">
        <v>1.4729042304111701E-2</v>
      </c>
      <c r="J24" s="3">
        <v>1.32392275143021E-2</v>
      </c>
      <c r="K24" s="3">
        <v>0.614640457967354</v>
      </c>
      <c r="L24" s="3">
        <v>0.16207547527316399</v>
      </c>
      <c r="M24" s="3">
        <v>100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100</v>
      </c>
      <c r="U24" s="3">
        <v>0.55964748695475797</v>
      </c>
      <c r="V24" s="3">
        <v>-14.242566019703901</v>
      </c>
      <c r="W24" s="3">
        <v>411.14440902580299</v>
      </c>
      <c r="X24" s="3">
        <v>99.164024869673398</v>
      </c>
      <c r="Y24" s="3">
        <v>41.512657406698203</v>
      </c>
      <c r="Z24" s="3">
        <v>279.207022738332</v>
      </c>
      <c r="AA24" s="3">
        <v>56.529697956639097</v>
      </c>
      <c r="AB24" s="3">
        <v>295.28312942963203</v>
      </c>
      <c r="AC24" s="3">
        <v>4.1922408351796596</v>
      </c>
      <c r="AD24" s="3">
        <v>763.46444668585798</v>
      </c>
      <c r="AE24" s="3">
        <v>30.252240144165899</v>
      </c>
      <c r="AF24" s="3">
        <v>0</v>
      </c>
      <c r="AG24" s="3">
        <v>170.344977858025</v>
      </c>
      <c r="AH24" s="3">
        <v>112.07455506822301</v>
      </c>
      <c r="AI24" s="3">
        <v>34.590799099119003</v>
      </c>
      <c r="AJ24" s="3">
        <v>29.750692748224999</v>
      </c>
      <c r="AK24" s="3">
        <v>13798650982.299999</v>
      </c>
      <c r="AL24" s="3">
        <v>7.1999008348799701E-2</v>
      </c>
      <c r="AM24" s="3">
        <v>12617</v>
      </c>
      <c r="AN24" s="3">
        <f>E24/F24</f>
        <v>1.0452844921906828</v>
      </c>
      <c r="AO24" s="4">
        <f>F24-L24</f>
        <v>0.69548478242516698</v>
      </c>
      <c r="AP24" s="4">
        <f>E24/(F24-L24)</f>
        <v>1.2888771417332363</v>
      </c>
    </row>
    <row r="25" spans="1:42" x14ac:dyDescent="0.25">
      <c r="A25" s="3">
        <v>24</v>
      </c>
      <c r="B25" s="3" t="s">
        <v>53</v>
      </c>
      <c r="C25" s="3" t="s">
        <v>50</v>
      </c>
      <c r="D25" s="3">
        <v>-175</v>
      </c>
      <c r="E25" s="3">
        <v>2.3165926311535001E-4</v>
      </c>
      <c r="F25" s="3">
        <v>0.49747557867235198</v>
      </c>
      <c r="G25" s="3">
        <v>0.49724391940923701</v>
      </c>
      <c r="H25" s="3">
        <v>4.65185014191681E-2</v>
      </c>
      <c r="I25" s="3">
        <v>6.4085457384925899E-3</v>
      </c>
      <c r="J25" s="3">
        <v>5.3759079419137502E-3</v>
      </c>
      <c r="K25" s="3">
        <v>0.43916514694385</v>
      </c>
      <c r="L25" s="4">
        <v>7.4766289274388903E-6</v>
      </c>
      <c r="M25" s="3">
        <v>0</v>
      </c>
      <c r="N25" s="3">
        <v>0</v>
      </c>
      <c r="O25" s="3">
        <v>100</v>
      </c>
      <c r="P25" s="3">
        <v>100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-183.62824421785399</v>
      </c>
      <c r="W25" s="3">
        <v>0</v>
      </c>
      <c r="X25" s="3">
        <v>100</v>
      </c>
      <c r="Y25" s="3">
        <v>69.129834542459193</v>
      </c>
      <c r="Z25" s="3">
        <v>191.702421971728</v>
      </c>
      <c r="AA25" s="3">
        <v>50.343058675009502</v>
      </c>
      <c r="AB25" s="3">
        <v>309.65694132498999</v>
      </c>
      <c r="AC25" s="3">
        <v>2.6429142279500799</v>
      </c>
      <c r="AD25" s="3">
        <v>660.82026498872699</v>
      </c>
      <c r="AE25" s="3">
        <v>0</v>
      </c>
      <c r="AF25" s="3">
        <v>0</v>
      </c>
      <c r="AG25" s="3">
        <v>170.5592362447</v>
      </c>
      <c r="AH25" s="3">
        <v>111.857356556993</v>
      </c>
      <c r="AI25" s="3">
        <v>24.3170504447673</v>
      </c>
      <c r="AJ25" s="3">
        <v>-108.923525024131</v>
      </c>
      <c r="AK25" s="3">
        <v>938198.4</v>
      </c>
      <c r="AL25" s="4">
        <v>4.0249223594996204E-6</v>
      </c>
      <c r="AM25" s="3">
        <v>5</v>
      </c>
      <c r="AN25" s="3">
        <f t="shared" ref="AN25:AN45" si="3">E25/F25</f>
        <v>4.6566961886570466E-4</v>
      </c>
      <c r="AO25" s="4">
        <f t="shared" ref="AO25:AO45" si="4">F25-L25</f>
        <v>0.49746810204342456</v>
      </c>
      <c r="AP25" s="4">
        <f t="shared" ref="AP25:AP45" si="5">E25/(F25-L25)</f>
        <v>4.6567661758367012E-4</v>
      </c>
    </row>
    <row r="26" spans="1:42" x14ac:dyDescent="0.25">
      <c r="A26" s="3">
        <v>25</v>
      </c>
      <c r="B26" s="3" t="s">
        <v>53</v>
      </c>
      <c r="C26" s="3" t="s">
        <v>50</v>
      </c>
      <c r="D26" s="3">
        <v>-150</v>
      </c>
      <c r="E26" s="3">
        <v>6.6216761444819898</v>
      </c>
      <c r="F26" s="3">
        <v>0.50370395672184298</v>
      </c>
      <c r="G26" s="3">
        <v>-6.1179721877601496</v>
      </c>
      <c r="H26" s="3">
        <v>4.7848026112210701E-2</v>
      </c>
      <c r="I26" s="3">
        <v>2.5093533176217001E-2</v>
      </c>
      <c r="J26" s="3">
        <v>8.0868407430474392E-3</v>
      </c>
      <c r="K26" s="3">
        <v>0.42266805631077198</v>
      </c>
      <c r="L26" s="4">
        <v>7.5003795956686004E-6</v>
      </c>
      <c r="M26" s="3">
        <v>0</v>
      </c>
      <c r="N26" s="3">
        <v>0</v>
      </c>
      <c r="O26" s="3">
        <v>100</v>
      </c>
      <c r="P26" s="3">
        <v>100</v>
      </c>
      <c r="Q26" s="3">
        <v>0</v>
      </c>
      <c r="R26" s="3">
        <v>0</v>
      </c>
      <c r="S26" s="3">
        <v>0</v>
      </c>
      <c r="T26" s="3">
        <v>0</v>
      </c>
      <c r="U26" s="3">
        <v>0.80020954886317397</v>
      </c>
      <c r="V26" s="3">
        <v>-161.06657681137699</v>
      </c>
      <c r="W26" s="3">
        <v>0</v>
      </c>
      <c r="X26" s="3">
        <v>100</v>
      </c>
      <c r="Y26" s="3">
        <v>67.929508027049806</v>
      </c>
      <c r="Z26" s="3">
        <v>193.686506138456</v>
      </c>
      <c r="AA26" s="3">
        <v>53.150699114651403</v>
      </c>
      <c r="AB26" s="3">
        <v>306.61294259141602</v>
      </c>
      <c r="AC26" s="3">
        <v>2.6693597401026201</v>
      </c>
      <c r="AD26" s="3">
        <v>698.02254361174801</v>
      </c>
      <c r="AE26" s="3">
        <v>0</v>
      </c>
      <c r="AF26" s="3">
        <v>0</v>
      </c>
      <c r="AG26" s="3">
        <v>173.55672352219199</v>
      </c>
      <c r="AH26" s="3">
        <v>112.106085885911</v>
      </c>
      <c r="AI26" s="3">
        <v>25.834067452330299</v>
      </c>
      <c r="AJ26" s="3">
        <v>-117.183738095423</v>
      </c>
      <c r="AK26" s="3">
        <v>6726593.4000000004</v>
      </c>
      <c r="AL26" s="3">
        <v>0.19728944117835301</v>
      </c>
      <c r="AM26" s="3">
        <v>32</v>
      </c>
      <c r="AN26" s="3">
        <f t="shared" si="3"/>
        <v>13.145968095181418</v>
      </c>
      <c r="AO26" s="4">
        <f t="shared" si="4"/>
        <v>0.50369645634224736</v>
      </c>
      <c r="AP26" s="4">
        <f t="shared" si="5"/>
        <v>13.146163847503326</v>
      </c>
    </row>
    <row r="27" spans="1:42" x14ac:dyDescent="0.25">
      <c r="A27" s="3">
        <v>26</v>
      </c>
      <c r="B27" s="3" t="s">
        <v>53</v>
      </c>
      <c r="C27" s="3" t="s">
        <v>50</v>
      </c>
      <c r="D27" s="3">
        <v>-125</v>
      </c>
      <c r="E27" s="3">
        <v>0.97185697942852201</v>
      </c>
      <c r="F27" s="3">
        <v>0.44934899019565999</v>
      </c>
      <c r="G27" s="3">
        <v>-0.52250798923286201</v>
      </c>
      <c r="H27" s="3">
        <v>4.92760434519438E-2</v>
      </c>
      <c r="I27" s="3">
        <v>1.06612193051349E-2</v>
      </c>
      <c r="J27" s="3">
        <v>6.1818830232459503E-3</v>
      </c>
      <c r="K27" s="3">
        <v>0.38322153132162901</v>
      </c>
      <c r="L27" s="4">
        <v>8.3130937064584201E-6</v>
      </c>
      <c r="M27" s="3">
        <v>0</v>
      </c>
      <c r="N27" s="3">
        <v>0</v>
      </c>
      <c r="O27" s="3">
        <v>100</v>
      </c>
      <c r="P27" s="3">
        <v>100</v>
      </c>
      <c r="Q27" s="3">
        <v>0</v>
      </c>
      <c r="R27" s="3">
        <v>0</v>
      </c>
      <c r="S27" s="3">
        <v>0</v>
      </c>
      <c r="T27" s="3">
        <v>0</v>
      </c>
      <c r="U27" s="3">
        <v>0.31939167756201098</v>
      </c>
      <c r="V27" s="3">
        <v>-135.92344572326601</v>
      </c>
      <c r="W27" s="3">
        <v>0</v>
      </c>
      <c r="X27" s="3">
        <v>100</v>
      </c>
      <c r="Y27" s="3">
        <v>64.378481454573802</v>
      </c>
      <c r="Z27" s="3">
        <v>237.65948841722101</v>
      </c>
      <c r="AA27" s="3">
        <v>53.559143257217301</v>
      </c>
      <c r="AB27" s="3">
        <v>303.52228733234102</v>
      </c>
      <c r="AC27" s="3">
        <v>2.7510781448997701</v>
      </c>
      <c r="AD27" s="3">
        <v>741.68070085107797</v>
      </c>
      <c r="AE27" s="3">
        <v>0</v>
      </c>
      <c r="AF27" s="3">
        <v>0</v>
      </c>
      <c r="AG27" s="3">
        <v>173.29446999701401</v>
      </c>
      <c r="AH27" s="3">
        <v>112.06225614197901</v>
      </c>
      <c r="AI27" s="3">
        <v>26.459999331262299</v>
      </c>
      <c r="AJ27" s="3">
        <v>-104.874389742487</v>
      </c>
      <c r="AK27" s="3">
        <v>41995537.899999999</v>
      </c>
      <c r="AL27" s="3">
        <v>4.1710915412389603E-2</v>
      </c>
      <c r="AM27" s="3">
        <v>131</v>
      </c>
      <c r="AN27" s="3">
        <f t="shared" si="3"/>
        <v>2.1628110903405977</v>
      </c>
      <c r="AO27" s="4">
        <f t="shared" si="4"/>
        <v>0.44934067710195352</v>
      </c>
      <c r="AP27" s="4">
        <f t="shared" si="5"/>
        <v>2.1628511037473062</v>
      </c>
    </row>
    <row r="28" spans="1:42" x14ac:dyDescent="0.25">
      <c r="A28" s="3">
        <v>27</v>
      </c>
      <c r="B28" s="3" t="s">
        <v>53</v>
      </c>
      <c r="C28" s="3" t="s">
        <v>50</v>
      </c>
      <c r="D28" s="3">
        <v>-100</v>
      </c>
      <c r="E28" s="3">
        <v>0.23412926729285699</v>
      </c>
      <c r="F28" s="3">
        <v>0.429231374854322</v>
      </c>
      <c r="G28" s="3">
        <v>0.19510210756146501</v>
      </c>
      <c r="H28" s="3">
        <v>5.0477557149845399E-2</v>
      </c>
      <c r="I28" s="3">
        <v>9.7416876677458193E-3</v>
      </c>
      <c r="J28" s="3">
        <v>4.1814677163571397E-3</v>
      </c>
      <c r="K28" s="3">
        <v>0.364821387263988</v>
      </c>
      <c r="L28" s="4">
        <v>9.2750563852453295E-6</v>
      </c>
      <c r="M28" s="3">
        <v>0</v>
      </c>
      <c r="N28" s="3">
        <v>6.5065900625175903</v>
      </c>
      <c r="O28" s="3">
        <v>93.493409937482397</v>
      </c>
      <c r="P28" s="3">
        <v>100</v>
      </c>
      <c r="Q28" s="3">
        <v>0</v>
      </c>
      <c r="R28" s="3">
        <v>0</v>
      </c>
      <c r="S28" s="3">
        <v>0</v>
      </c>
      <c r="T28" s="3">
        <v>0</v>
      </c>
      <c r="U28" s="3">
        <v>0.33237123385872203</v>
      </c>
      <c r="V28" s="3">
        <v>-108.445629048954</v>
      </c>
      <c r="W28" s="3">
        <v>0.82835191330642599</v>
      </c>
      <c r="X28" s="3">
        <v>100</v>
      </c>
      <c r="Y28" s="3">
        <v>54.734372333574598</v>
      </c>
      <c r="Z28" s="3">
        <v>300.17557538572299</v>
      </c>
      <c r="AA28" s="3">
        <v>54.038707761650997</v>
      </c>
      <c r="AB28" s="3">
        <v>300.734790910105</v>
      </c>
      <c r="AC28" s="3">
        <v>2.97562880475737</v>
      </c>
      <c r="AD28" s="3">
        <v>766.36494894744101</v>
      </c>
      <c r="AE28" s="3">
        <v>0</v>
      </c>
      <c r="AF28" s="3">
        <v>0</v>
      </c>
      <c r="AG28" s="3">
        <v>171.646761672167</v>
      </c>
      <c r="AH28" s="3">
        <v>111.925715431284</v>
      </c>
      <c r="AI28" s="3">
        <v>25.923500599736499</v>
      </c>
      <c r="AJ28" s="3">
        <v>-69.815962379050205</v>
      </c>
      <c r="AK28" s="3">
        <v>407229186.80000001</v>
      </c>
      <c r="AL28" s="3">
        <v>5.6792192597026003E-2</v>
      </c>
      <c r="AM28" s="3">
        <v>640</v>
      </c>
      <c r="AN28" s="3">
        <f t="shared" si="3"/>
        <v>0.5454616810626175</v>
      </c>
      <c r="AO28" s="4">
        <f t="shared" si="4"/>
        <v>0.42922209979793674</v>
      </c>
      <c r="AP28" s="4">
        <f t="shared" si="5"/>
        <v>0.54547346793903939</v>
      </c>
    </row>
    <row r="29" spans="1:42" x14ac:dyDescent="0.25">
      <c r="A29" s="3">
        <v>28</v>
      </c>
      <c r="B29" s="3" t="s">
        <v>53</v>
      </c>
      <c r="C29" s="3" t="s">
        <v>50</v>
      </c>
      <c r="D29" s="3">
        <v>-75</v>
      </c>
      <c r="E29" s="3">
        <v>0.50037555261239897</v>
      </c>
      <c r="F29" s="3">
        <v>0.45525997847327399</v>
      </c>
      <c r="G29" s="3">
        <v>-4.5115574139124801E-2</v>
      </c>
      <c r="H29" s="3">
        <v>5.1267917818602703E-2</v>
      </c>
      <c r="I29" s="3">
        <v>7.38764385425406E-3</v>
      </c>
      <c r="J29" s="3">
        <v>4.5307252961541804E-3</v>
      </c>
      <c r="K29" s="3">
        <v>0.39172485663552797</v>
      </c>
      <c r="L29" s="3">
        <v>3.4883486873453902E-4</v>
      </c>
      <c r="M29" s="3">
        <v>0</v>
      </c>
      <c r="N29" s="3">
        <v>7.66808095097036</v>
      </c>
      <c r="O29" s="3">
        <v>92.331919049029594</v>
      </c>
      <c r="P29" s="3">
        <v>100</v>
      </c>
      <c r="Q29" s="3">
        <v>0</v>
      </c>
      <c r="R29" s="3">
        <v>0</v>
      </c>
      <c r="S29" s="3">
        <v>0</v>
      </c>
      <c r="T29" s="3">
        <v>0</v>
      </c>
      <c r="U29" s="3">
        <v>0.257690059126779</v>
      </c>
      <c r="V29" s="3">
        <v>-83.066171755851997</v>
      </c>
      <c r="W29" s="3">
        <v>0.22819836726961301</v>
      </c>
      <c r="X29" s="3">
        <v>99.9715370600249</v>
      </c>
      <c r="Y29" s="3">
        <v>51.762743420090302</v>
      </c>
      <c r="Z29" s="3">
        <v>316.940605489831</v>
      </c>
      <c r="AA29" s="3">
        <v>53.879026832499299</v>
      </c>
      <c r="AB29" s="3">
        <v>298.88620712412398</v>
      </c>
      <c r="AC29" s="3">
        <v>3.2075872378970498</v>
      </c>
      <c r="AD29" s="3">
        <v>770.79474714546302</v>
      </c>
      <c r="AE29" s="3">
        <v>0</v>
      </c>
      <c r="AF29" s="3">
        <v>0</v>
      </c>
      <c r="AG29" s="3">
        <v>171.81646620579099</v>
      </c>
      <c r="AH29" s="3">
        <v>111.893439598686</v>
      </c>
      <c r="AI29" s="3">
        <v>24.605631941667699</v>
      </c>
      <c r="AJ29" s="3">
        <v>-42.376538999396203</v>
      </c>
      <c r="AK29" s="3">
        <v>7757779421</v>
      </c>
      <c r="AL29" s="3">
        <v>6.4599076773677697E-2</v>
      </c>
      <c r="AM29" s="3">
        <v>2512</v>
      </c>
      <c r="AN29" s="3">
        <f t="shared" si="3"/>
        <v>1.09909848498087</v>
      </c>
      <c r="AO29" s="4">
        <f t="shared" si="4"/>
        <v>0.45491114360453944</v>
      </c>
      <c r="AP29" s="4">
        <f t="shared" si="5"/>
        <v>1.0999412954530354</v>
      </c>
    </row>
    <row r="30" spans="1:42" x14ac:dyDescent="0.25">
      <c r="A30" s="3">
        <v>29</v>
      </c>
      <c r="B30" s="3" t="s">
        <v>53</v>
      </c>
      <c r="C30" s="3" t="s">
        <v>50</v>
      </c>
      <c r="D30" s="3">
        <v>-50</v>
      </c>
      <c r="E30" s="3">
        <v>0.58312166886910799</v>
      </c>
      <c r="F30" s="3">
        <v>0.56404812131333104</v>
      </c>
      <c r="G30" s="3">
        <v>-1.90735475557769E-2</v>
      </c>
      <c r="H30" s="3">
        <v>5.1961319529205199E-2</v>
      </c>
      <c r="I30" s="3">
        <v>7.9318421108826396E-3</v>
      </c>
      <c r="J30" s="3">
        <v>6.2444501179472704E-3</v>
      </c>
      <c r="K30" s="3">
        <v>0.458527899198095</v>
      </c>
      <c r="L30" s="3">
        <v>3.9382610357201198E-2</v>
      </c>
      <c r="M30" s="3">
        <v>0</v>
      </c>
      <c r="N30" s="3">
        <v>8.7757566154519306</v>
      </c>
      <c r="O30" s="3">
        <v>91.224243384548103</v>
      </c>
      <c r="P30" s="3">
        <v>100</v>
      </c>
      <c r="Q30" s="3">
        <v>0</v>
      </c>
      <c r="R30" s="3">
        <v>0</v>
      </c>
      <c r="S30" s="3">
        <v>0</v>
      </c>
      <c r="T30" s="3">
        <v>0</v>
      </c>
      <c r="U30" s="3">
        <v>0.28400441209788202</v>
      </c>
      <c r="V30" s="3">
        <v>-59.910624179781401</v>
      </c>
      <c r="W30" s="3">
        <v>33.7032541488879</v>
      </c>
      <c r="X30" s="3">
        <v>100</v>
      </c>
      <c r="Y30" s="3">
        <v>50.883357957190498</v>
      </c>
      <c r="Z30" s="3">
        <v>304.33696738151502</v>
      </c>
      <c r="AA30" s="3">
        <v>54.677396374972297</v>
      </c>
      <c r="AB30" s="3">
        <v>297.310934320282</v>
      </c>
      <c r="AC30" s="3">
        <v>3.36329292973234</v>
      </c>
      <c r="AD30" s="3">
        <v>770.11975858833796</v>
      </c>
      <c r="AE30" s="3">
        <v>0</v>
      </c>
      <c r="AF30" s="3">
        <v>0</v>
      </c>
      <c r="AG30" s="3">
        <v>172.46945422000101</v>
      </c>
      <c r="AH30" s="3">
        <v>112.033877042146</v>
      </c>
      <c r="AI30" s="3">
        <v>26.321510180454801</v>
      </c>
      <c r="AJ30" s="3">
        <v>-30.489245774114199</v>
      </c>
      <c r="AK30" s="3">
        <v>56413240928.800003</v>
      </c>
      <c r="AL30" s="3">
        <v>5.4938859577942999E-2</v>
      </c>
      <c r="AM30" s="3">
        <v>8029</v>
      </c>
      <c r="AN30" s="3">
        <f t="shared" si="3"/>
        <v>1.0338154615449584</v>
      </c>
      <c r="AO30" s="4">
        <f t="shared" si="4"/>
        <v>0.52466551095612979</v>
      </c>
      <c r="AP30" s="4">
        <f t="shared" si="5"/>
        <v>1.1114160483056148</v>
      </c>
    </row>
    <row r="31" spans="1:42" x14ac:dyDescent="0.25">
      <c r="A31" s="3">
        <v>30</v>
      </c>
      <c r="B31" s="3" t="s">
        <v>53</v>
      </c>
      <c r="C31" s="3" t="s">
        <v>50</v>
      </c>
      <c r="D31" s="3">
        <v>-25</v>
      </c>
      <c r="E31" s="3">
        <v>0.715995363602139</v>
      </c>
      <c r="F31" s="3">
        <v>0.71433467890138302</v>
      </c>
      <c r="G31" s="3">
        <v>-1.6606847007555299E-3</v>
      </c>
      <c r="H31" s="3">
        <v>5.2382198639980199E-2</v>
      </c>
      <c r="I31" s="3">
        <v>8.4251747886107693E-3</v>
      </c>
      <c r="J31" s="3">
        <v>9.0766071327141509E-3</v>
      </c>
      <c r="K31" s="3">
        <v>0.53233886901196203</v>
      </c>
      <c r="L31" s="3">
        <v>0.112111829328116</v>
      </c>
      <c r="M31" s="3">
        <v>0</v>
      </c>
      <c r="N31" s="3">
        <v>9.0884362969554999</v>
      </c>
      <c r="O31" s="3">
        <v>90.911563703044493</v>
      </c>
      <c r="P31" s="3">
        <v>100</v>
      </c>
      <c r="Q31" s="3">
        <v>0</v>
      </c>
      <c r="R31" s="3">
        <v>0</v>
      </c>
      <c r="S31" s="3">
        <v>0</v>
      </c>
      <c r="T31" s="3">
        <v>0</v>
      </c>
      <c r="U31" s="3">
        <v>0.30355130284088799</v>
      </c>
      <c r="V31" s="3">
        <v>-36.515305709511601</v>
      </c>
      <c r="W31" s="3">
        <v>135.268411943084</v>
      </c>
      <c r="X31" s="3">
        <v>99.999850559868804</v>
      </c>
      <c r="Y31" s="3">
        <v>50.648274145716002</v>
      </c>
      <c r="Z31" s="3">
        <v>301.77601913311599</v>
      </c>
      <c r="AA31" s="3">
        <v>55.4822711965476</v>
      </c>
      <c r="AB31" s="3">
        <v>296.34937335008198</v>
      </c>
      <c r="AC31" s="3">
        <v>3.5054346332145299</v>
      </c>
      <c r="AD31" s="3">
        <v>768.10030167959496</v>
      </c>
      <c r="AE31" s="3">
        <v>0</v>
      </c>
      <c r="AF31" s="3">
        <v>0</v>
      </c>
      <c r="AG31" s="3">
        <v>173.266885958839</v>
      </c>
      <c r="AH31" s="3">
        <v>112.23235243226399</v>
      </c>
      <c r="AI31" s="3">
        <v>29.818315474812799</v>
      </c>
      <c r="AJ31" s="3">
        <v>-22.778859211213401</v>
      </c>
      <c r="AK31" s="3">
        <v>135632174824.5</v>
      </c>
      <c r="AL31" s="3">
        <v>5.7670790584869597E-2</v>
      </c>
      <c r="AM31" s="3">
        <v>17813</v>
      </c>
      <c r="AN31" s="3">
        <f t="shared" si="3"/>
        <v>1.0023247992149982</v>
      </c>
      <c r="AO31" s="4">
        <f t="shared" si="4"/>
        <v>0.60222284957326699</v>
      </c>
      <c r="AP31" s="4">
        <f t="shared" si="5"/>
        <v>1.1889209519524058</v>
      </c>
    </row>
    <row r="32" spans="1:42" x14ac:dyDescent="0.25">
      <c r="A32" s="3">
        <v>31</v>
      </c>
      <c r="B32" s="3" t="s">
        <v>53</v>
      </c>
      <c r="C32" s="3" t="s">
        <v>50</v>
      </c>
      <c r="D32" s="3">
        <v>0</v>
      </c>
      <c r="E32" s="3">
        <v>0.78182207119421498</v>
      </c>
      <c r="F32" s="3">
        <v>0.80899873571314995</v>
      </c>
      <c r="G32" s="3">
        <v>2.7176664518934801E-2</v>
      </c>
      <c r="H32" s="3">
        <v>5.35915100533529E-2</v>
      </c>
      <c r="I32" s="3">
        <v>1.0086237588851099E-2</v>
      </c>
      <c r="J32" s="3">
        <v>1.2606871384614899E-2</v>
      </c>
      <c r="K32" s="3">
        <v>0.55534139460882304</v>
      </c>
      <c r="L32" s="3">
        <v>0.17737272207750801</v>
      </c>
      <c r="M32" s="3">
        <v>0</v>
      </c>
      <c r="N32" s="3">
        <v>9.4401055376726397</v>
      </c>
      <c r="O32" s="3">
        <v>90.559894462327406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>
        <v>0.35226287169819598</v>
      </c>
      <c r="V32" s="3">
        <v>-14.6425866210013</v>
      </c>
      <c r="W32" s="3">
        <v>475.982291952862</v>
      </c>
      <c r="X32" s="3">
        <v>99.999354520662905</v>
      </c>
      <c r="Y32" s="3">
        <v>50.618636155760498</v>
      </c>
      <c r="Z32" s="3">
        <v>285.52502496065699</v>
      </c>
      <c r="AA32" s="3">
        <v>57.5149335475854</v>
      </c>
      <c r="AB32" s="3">
        <v>293.663620118241</v>
      </c>
      <c r="AC32" s="3">
        <v>3.6992996373896001</v>
      </c>
      <c r="AD32" s="3">
        <v>765.06267867919405</v>
      </c>
      <c r="AE32" s="3">
        <v>0</v>
      </c>
      <c r="AF32" s="3">
        <v>0</v>
      </c>
      <c r="AG32" s="3">
        <v>171.940055611725</v>
      </c>
      <c r="AH32" s="3">
        <v>112.14152118288401</v>
      </c>
      <c r="AI32" s="3">
        <v>31.582871269932198</v>
      </c>
      <c r="AJ32" s="3">
        <v>-17.152478464368201</v>
      </c>
      <c r="AK32" s="3">
        <v>129288414366.7</v>
      </c>
      <c r="AL32" s="3">
        <v>6.1861817945580898E-2</v>
      </c>
      <c r="AM32" s="3">
        <v>25133</v>
      </c>
      <c r="AN32" s="3">
        <f t="shared" si="3"/>
        <v>0.96640703709508502</v>
      </c>
      <c r="AO32" s="4">
        <f t="shared" si="4"/>
        <v>0.63162601363564197</v>
      </c>
      <c r="AP32" s="4">
        <f t="shared" si="5"/>
        <v>1.2377927037774203</v>
      </c>
    </row>
    <row r="33" spans="1:42" x14ac:dyDescent="0.25">
      <c r="A33" s="3">
        <v>32</v>
      </c>
      <c r="B33" s="3" t="s">
        <v>53</v>
      </c>
      <c r="C33" s="3" t="s">
        <v>51</v>
      </c>
      <c r="D33" s="3">
        <v>-150</v>
      </c>
      <c r="E33" s="4">
        <v>2.5113324706669601E-5</v>
      </c>
      <c r="F33" s="3">
        <v>0.30402157944436498</v>
      </c>
      <c r="G33" s="3">
        <v>0.30399646611965803</v>
      </c>
      <c r="H33" s="3">
        <v>4.7193785389598002E-2</v>
      </c>
      <c r="I33" s="3">
        <v>2.3749031424021398E-3</v>
      </c>
      <c r="J33" s="3">
        <v>3.7257867032745802E-4</v>
      </c>
      <c r="K33" s="3">
        <v>0.25407105970538602</v>
      </c>
      <c r="L33" s="4">
        <v>9.2525366512007494E-6</v>
      </c>
      <c r="M33" s="3">
        <v>0</v>
      </c>
      <c r="N33" s="3">
        <v>0</v>
      </c>
      <c r="O33" s="3">
        <v>100</v>
      </c>
      <c r="P33" s="3">
        <v>0</v>
      </c>
      <c r="Q33" s="3">
        <v>0</v>
      </c>
      <c r="R33" s="3">
        <v>100</v>
      </c>
      <c r="S33" s="3">
        <v>0</v>
      </c>
      <c r="T33" s="3">
        <v>0</v>
      </c>
      <c r="U33" s="3">
        <v>7.3480311368991399E-2</v>
      </c>
      <c r="V33" s="3">
        <v>-156.193811627587</v>
      </c>
      <c r="W33" s="3">
        <v>0</v>
      </c>
      <c r="X33" s="3">
        <v>100</v>
      </c>
      <c r="Y33" s="3">
        <v>40.441258664628798</v>
      </c>
      <c r="Z33" s="3">
        <v>269.412645203804</v>
      </c>
      <c r="AA33" s="3">
        <v>51.938102265120897</v>
      </c>
      <c r="AB33" s="3">
        <v>308.06189773487898</v>
      </c>
      <c r="AC33" s="3">
        <v>2.7</v>
      </c>
      <c r="AD33" s="3">
        <v>766</v>
      </c>
      <c r="AE33" s="3">
        <v>0</v>
      </c>
      <c r="AF33" s="3">
        <v>0</v>
      </c>
      <c r="AG33" s="3">
        <v>170.76704605491599</v>
      </c>
      <c r="AH33" s="3">
        <v>111.746794033981</v>
      </c>
      <c r="AI33" s="3">
        <v>23.819532573511399</v>
      </c>
      <c r="AJ33" s="3">
        <v>-87</v>
      </c>
      <c r="AK33" s="3">
        <v>1077743.8</v>
      </c>
      <c r="AL33" s="4">
        <v>4.9999999999999998E-7</v>
      </c>
      <c r="AM33" s="3">
        <v>4</v>
      </c>
      <c r="AN33" s="3">
        <f t="shared" si="3"/>
        <v>8.2603757116738697E-5</v>
      </c>
      <c r="AO33" s="4">
        <f t="shared" si="4"/>
        <v>0.30401232690771379</v>
      </c>
      <c r="AP33" s="4">
        <f t="shared" si="5"/>
        <v>8.26062711407522E-5</v>
      </c>
    </row>
    <row r="34" spans="1:42" x14ac:dyDescent="0.25">
      <c r="A34" s="3">
        <v>33</v>
      </c>
      <c r="B34" s="3" t="s">
        <v>53</v>
      </c>
      <c r="C34" s="3" t="s">
        <v>51</v>
      </c>
      <c r="D34" s="3">
        <v>-125</v>
      </c>
      <c r="E34" s="3">
        <v>2.21731531681616E-2</v>
      </c>
      <c r="F34" s="3">
        <v>0.37626428372472598</v>
      </c>
      <c r="G34" s="3">
        <v>0.35409113055656499</v>
      </c>
      <c r="H34" s="3">
        <v>4.9701107774609399E-2</v>
      </c>
      <c r="I34" s="3">
        <v>3.9836911577688103E-3</v>
      </c>
      <c r="J34" s="3">
        <v>1.2457272255327299E-2</v>
      </c>
      <c r="K34" s="3">
        <v>0.31011301563890298</v>
      </c>
      <c r="L34" s="4">
        <v>9.1968981181676805E-6</v>
      </c>
      <c r="M34" s="3">
        <v>0</v>
      </c>
      <c r="N34" s="3">
        <v>0</v>
      </c>
      <c r="O34" s="3">
        <v>100</v>
      </c>
      <c r="P34" s="3">
        <v>0</v>
      </c>
      <c r="Q34" s="3">
        <v>0</v>
      </c>
      <c r="R34" s="3">
        <v>100</v>
      </c>
      <c r="S34" s="3">
        <v>0</v>
      </c>
      <c r="T34" s="3">
        <v>0</v>
      </c>
      <c r="U34" s="3">
        <v>9.4038663498103706E-2</v>
      </c>
      <c r="V34" s="3">
        <v>-132.16969334618801</v>
      </c>
      <c r="W34" s="3">
        <v>0</v>
      </c>
      <c r="X34" s="3">
        <v>100</v>
      </c>
      <c r="Y34" s="3">
        <v>43.483098797259203</v>
      </c>
      <c r="Z34" s="3">
        <v>278.71766384834302</v>
      </c>
      <c r="AA34" s="3">
        <v>53.2940644235211</v>
      </c>
      <c r="AB34" s="3">
        <v>302.35684963393402</v>
      </c>
      <c r="AC34" s="3">
        <v>2.8042689566168901</v>
      </c>
      <c r="AD34" s="3">
        <v>736.34047302267595</v>
      </c>
      <c r="AE34" s="3">
        <v>0</v>
      </c>
      <c r="AF34" s="3">
        <v>0</v>
      </c>
      <c r="AG34" s="3">
        <v>171.64551596497299</v>
      </c>
      <c r="AH34" s="3">
        <v>111.91182157710401</v>
      </c>
      <c r="AI34" s="3">
        <v>25.066572021307401</v>
      </c>
      <c r="AJ34" s="3">
        <v>-80.6079087132468</v>
      </c>
      <c r="AK34" s="3">
        <v>14396726.300000001</v>
      </c>
      <c r="AL34" s="3">
        <v>4.2962572205865602E-4</v>
      </c>
      <c r="AM34" s="3">
        <v>49</v>
      </c>
      <c r="AN34" s="3">
        <f t="shared" si="3"/>
        <v>5.8929731380997684E-2</v>
      </c>
      <c r="AO34" s="4">
        <f t="shared" si="4"/>
        <v>0.3762550868266078</v>
      </c>
      <c r="AP34" s="4">
        <f t="shared" si="5"/>
        <v>5.893117181530573E-2</v>
      </c>
    </row>
    <row r="35" spans="1:42" x14ac:dyDescent="0.25">
      <c r="A35" s="3">
        <v>34</v>
      </c>
      <c r="B35" s="3" t="s">
        <v>53</v>
      </c>
      <c r="C35" s="3" t="s">
        <v>51</v>
      </c>
      <c r="D35" s="3">
        <v>-100</v>
      </c>
      <c r="E35" s="3">
        <v>0.42103478466148703</v>
      </c>
      <c r="F35" s="3">
        <v>0.37514378318826702</v>
      </c>
      <c r="G35" s="3">
        <v>-4.5891001473219603E-2</v>
      </c>
      <c r="H35" s="3">
        <v>5.0278134494554899E-2</v>
      </c>
      <c r="I35" s="3">
        <v>6.3345451823517704E-3</v>
      </c>
      <c r="J35" s="3">
        <v>4.7803567763206904E-3</v>
      </c>
      <c r="K35" s="3">
        <v>0.31374163069209099</v>
      </c>
      <c r="L35" s="4">
        <v>9.1160429491113004E-6</v>
      </c>
      <c r="M35" s="3">
        <v>0</v>
      </c>
      <c r="N35" s="3">
        <v>1.89514916564764</v>
      </c>
      <c r="O35" s="3">
        <v>98.104850834352405</v>
      </c>
      <c r="P35" s="3">
        <v>0</v>
      </c>
      <c r="Q35" s="3">
        <v>0</v>
      </c>
      <c r="R35" s="3">
        <v>100</v>
      </c>
      <c r="S35" s="3">
        <v>0</v>
      </c>
      <c r="T35" s="3">
        <v>0</v>
      </c>
      <c r="U35" s="3">
        <v>0.203233505661162</v>
      </c>
      <c r="V35" s="3">
        <v>-108.497645246495</v>
      </c>
      <c r="W35" s="3">
        <v>1.34911146455041E-2</v>
      </c>
      <c r="X35" s="3">
        <v>100</v>
      </c>
      <c r="Y35" s="3">
        <v>44.198106266846402</v>
      </c>
      <c r="Z35" s="3">
        <v>283.33027951675001</v>
      </c>
      <c r="AA35" s="3">
        <v>53.734658858120902</v>
      </c>
      <c r="AB35" s="3">
        <v>301.07857658953702</v>
      </c>
      <c r="AC35" s="3">
        <v>2.9482408434668099</v>
      </c>
      <c r="AD35" s="3">
        <v>768.54362663523898</v>
      </c>
      <c r="AE35" s="3">
        <v>0</v>
      </c>
      <c r="AF35" s="3">
        <v>0</v>
      </c>
      <c r="AG35" s="3">
        <v>171.43601536609199</v>
      </c>
      <c r="AH35" s="3">
        <v>111.88184990786201</v>
      </c>
      <c r="AI35" s="3">
        <v>24.8649656917196</v>
      </c>
      <c r="AJ35" s="3">
        <v>-66.255503095164499</v>
      </c>
      <c r="AK35" s="3">
        <v>321918174.60000002</v>
      </c>
      <c r="AL35" s="3">
        <v>6.6570939741004906E-2</v>
      </c>
      <c r="AM35" s="3">
        <v>533</v>
      </c>
      <c r="AN35" s="3">
        <f t="shared" si="3"/>
        <v>1.122329100280437</v>
      </c>
      <c r="AO35" s="4">
        <f t="shared" si="4"/>
        <v>0.3751346671453179</v>
      </c>
      <c r="AP35" s="4">
        <f t="shared" si="5"/>
        <v>1.1223563736869686</v>
      </c>
    </row>
    <row r="36" spans="1:42" x14ac:dyDescent="0.25">
      <c r="A36" s="3">
        <v>35</v>
      </c>
      <c r="B36" s="3" t="s">
        <v>53</v>
      </c>
      <c r="C36" s="3" t="s">
        <v>51</v>
      </c>
      <c r="D36" s="3">
        <v>-75</v>
      </c>
      <c r="E36" s="3">
        <v>0.34772049579884401</v>
      </c>
      <c r="F36" s="3">
        <v>0.407699554746703</v>
      </c>
      <c r="G36" s="3">
        <v>5.99790589478593E-2</v>
      </c>
      <c r="H36" s="3">
        <v>5.0907042422561999E-2</v>
      </c>
      <c r="I36" s="3">
        <v>6.7128197261150302E-3</v>
      </c>
      <c r="J36" s="3">
        <v>5.6380957583337197E-3</v>
      </c>
      <c r="K36" s="3">
        <v>0.34410042290830201</v>
      </c>
      <c r="L36" s="3">
        <v>3.4117393139002002E-4</v>
      </c>
      <c r="M36" s="3">
        <v>0</v>
      </c>
      <c r="N36" s="3">
        <v>2.5443995369036201</v>
      </c>
      <c r="O36" s="3">
        <v>97.455600463096403</v>
      </c>
      <c r="P36" s="3">
        <v>0</v>
      </c>
      <c r="Q36" s="3">
        <v>0</v>
      </c>
      <c r="R36" s="3">
        <v>100</v>
      </c>
      <c r="S36" s="3">
        <v>0</v>
      </c>
      <c r="T36" s="3">
        <v>0</v>
      </c>
      <c r="U36" s="3">
        <v>0.24343513056034699</v>
      </c>
      <c r="V36" s="3">
        <v>-83.152564891724893</v>
      </c>
      <c r="W36" s="3">
        <v>0.22756608900168801</v>
      </c>
      <c r="X36" s="3">
        <v>100</v>
      </c>
      <c r="Y36" s="3">
        <v>42.915680099670404</v>
      </c>
      <c r="Z36" s="3">
        <v>298.39443535079403</v>
      </c>
      <c r="AA36" s="3">
        <v>53.634804836124303</v>
      </c>
      <c r="AB36" s="3">
        <v>299.621506386519</v>
      </c>
      <c r="AC36" s="3">
        <v>3.1800281889709598</v>
      </c>
      <c r="AD36" s="3">
        <v>768.88007965932502</v>
      </c>
      <c r="AE36" s="3">
        <v>0</v>
      </c>
      <c r="AF36" s="3">
        <v>0</v>
      </c>
      <c r="AG36" s="3">
        <v>171.687240445561</v>
      </c>
      <c r="AH36" s="3">
        <v>111.896624620121</v>
      </c>
      <c r="AI36" s="3">
        <v>25.018075368716701</v>
      </c>
      <c r="AJ36" s="3">
        <v>-43.440786004678102</v>
      </c>
      <c r="AK36" s="3">
        <v>4739056427.6999998</v>
      </c>
      <c r="AL36" s="3">
        <v>3.6950891850046498E-2</v>
      </c>
      <c r="AM36" s="3">
        <v>2075</v>
      </c>
      <c r="AN36" s="3">
        <f t="shared" si="3"/>
        <v>0.85288416862480265</v>
      </c>
      <c r="AO36" s="4">
        <f t="shared" si="4"/>
        <v>0.407358380815313</v>
      </c>
      <c r="AP36" s="4">
        <f t="shared" si="5"/>
        <v>0.85359848274851757</v>
      </c>
    </row>
    <row r="37" spans="1:42" x14ac:dyDescent="0.25">
      <c r="A37" s="3">
        <v>36</v>
      </c>
      <c r="B37" s="3" t="s">
        <v>53</v>
      </c>
      <c r="C37" s="3" t="s">
        <v>51</v>
      </c>
      <c r="D37" s="3">
        <v>-50</v>
      </c>
      <c r="E37" s="3">
        <v>0.53013273496943802</v>
      </c>
      <c r="F37" s="3">
        <v>0.50515662739863099</v>
      </c>
      <c r="G37" s="3">
        <v>-2.4976107570807201E-2</v>
      </c>
      <c r="H37" s="3">
        <v>5.1276720958580997E-2</v>
      </c>
      <c r="I37" s="3">
        <v>7.4678309771032004E-3</v>
      </c>
      <c r="J37" s="3">
        <v>7.1790083887399402E-3</v>
      </c>
      <c r="K37" s="3">
        <v>0.40091285894557299</v>
      </c>
      <c r="L37" s="3">
        <v>3.8320208128633501E-2</v>
      </c>
      <c r="M37" s="3">
        <v>0</v>
      </c>
      <c r="N37" s="3">
        <v>2.55986365023948</v>
      </c>
      <c r="O37" s="3">
        <v>97.440136349760493</v>
      </c>
      <c r="P37" s="3">
        <v>0</v>
      </c>
      <c r="Q37" s="3">
        <v>0</v>
      </c>
      <c r="R37" s="3">
        <v>100</v>
      </c>
      <c r="S37" s="3">
        <v>0</v>
      </c>
      <c r="T37" s="3">
        <v>0</v>
      </c>
      <c r="U37" s="3">
        <v>0.279259367828882</v>
      </c>
      <c r="V37" s="3">
        <v>-59.836393698217798</v>
      </c>
      <c r="W37" s="3">
        <v>45.209486384147802</v>
      </c>
      <c r="X37" s="3">
        <v>99.993794988238406</v>
      </c>
      <c r="Y37" s="3">
        <v>42.357636492360797</v>
      </c>
      <c r="Z37" s="3">
        <v>293.03654808762599</v>
      </c>
      <c r="AA37" s="3">
        <v>54.3498894359453</v>
      </c>
      <c r="AB37" s="3">
        <v>298.74214351182201</v>
      </c>
      <c r="AC37" s="3">
        <v>3.3618760303081698</v>
      </c>
      <c r="AD37" s="3">
        <v>768.42055108356305</v>
      </c>
      <c r="AE37" s="3">
        <v>0</v>
      </c>
      <c r="AF37" s="3">
        <v>0</v>
      </c>
      <c r="AG37" s="3">
        <v>172.14371498073299</v>
      </c>
      <c r="AH37" s="3">
        <v>112.002771671969</v>
      </c>
      <c r="AI37" s="3">
        <v>26.176510294361002</v>
      </c>
      <c r="AJ37" s="3">
        <v>-28.634534142133798</v>
      </c>
      <c r="AK37" s="3">
        <v>38359650093.400002</v>
      </c>
      <c r="AL37" s="3">
        <v>5.1145593338342801E-2</v>
      </c>
      <c r="AM37" s="3">
        <v>6418</v>
      </c>
      <c r="AN37" s="3">
        <f t="shared" si="3"/>
        <v>1.0494423040620584</v>
      </c>
      <c r="AO37" s="4">
        <f t="shared" si="4"/>
        <v>0.46683641926999747</v>
      </c>
      <c r="AP37" s="4">
        <f t="shared" si="5"/>
        <v>1.1355856421793706</v>
      </c>
    </row>
    <row r="38" spans="1:42" x14ac:dyDescent="0.25">
      <c r="A38" s="3">
        <v>37</v>
      </c>
      <c r="B38" s="3" t="s">
        <v>53</v>
      </c>
      <c r="C38" s="3" t="s">
        <v>51</v>
      </c>
      <c r="D38" s="3">
        <v>-25</v>
      </c>
      <c r="E38" s="3">
        <v>0.64168470141488099</v>
      </c>
      <c r="F38" s="3">
        <v>0.64958711264702795</v>
      </c>
      <c r="G38" s="3">
        <v>7.9024112321463402E-3</v>
      </c>
      <c r="H38" s="3">
        <v>5.1700120281246799E-2</v>
      </c>
      <c r="I38" s="3">
        <v>8.1654223451793993E-3</v>
      </c>
      <c r="J38" s="3">
        <v>1.05502700422765E-2</v>
      </c>
      <c r="K38" s="3">
        <v>0.46954561861442101</v>
      </c>
      <c r="L38" s="3">
        <v>0.10962568136390401</v>
      </c>
      <c r="M38" s="3">
        <v>0</v>
      </c>
      <c r="N38" s="3">
        <v>2.5600341523839401</v>
      </c>
      <c r="O38" s="3">
        <v>97.439965847616094</v>
      </c>
      <c r="P38" s="3">
        <v>0</v>
      </c>
      <c r="Q38" s="3">
        <v>0</v>
      </c>
      <c r="R38" s="3">
        <v>100</v>
      </c>
      <c r="S38" s="3">
        <v>0</v>
      </c>
      <c r="T38" s="3">
        <v>0</v>
      </c>
      <c r="U38" s="3">
        <v>0.30541554062596099</v>
      </c>
      <c r="V38" s="3">
        <v>-36.427769604614802</v>
      </c>
      <c r="W38" s="3">
        <v>177.34079825140401</v>
      </c>
      <c r="X38" s="3">
        <v>99.996047222754399</v>
      </c>
      <c r="Y38" s="3">
        <v>42.753772486299603</v>
      </c>
      <c r="Z38" s="3">
        <v>289.01001307733702</v>
      </c>
      <c r="AA38" s="3">
        <v>55.392253896790699</v>
      </c>
      <c r="AB38" s="3">
        <v>297.75434948645</v>
      </c>
      <c r="AC38" s="3">
        <v>3.5169255552727599</v>
      </c>
      <c r="AD38" s="3">
        <v>765.14810227507098</v>
      </c>
      <c r="AE38" s="3">
        <v>0</v>
      </c>
      <c r="AF38" s="3">
        <v>0</v>
      </c>
      <c r="AG38" s="3">
        <v>173.07377968095599</v>
      </c>
      <c r="AH38" s="3">
        <v>112.196286409685</v>
      </c>
      <c r="AI38" s="3">
        <v>29.241262974496099</v>
      </c>
      <c r="AJ38" s="3">
        <v>-18.423053170158799</v>
      </c>
      <c r="AK38" s="3">
        <v>94334908553.899994</v>
      </c>
      <c r="AL38" s="3">
        <v>5.1183155557232601E-2</v>
      </c>
      <c r="AM38" s="3">
        <v>14601</v>
      </c>
      <c r="AN38" s="3">
        <f t="shared" si="3"/>
        <v>0.98783471673268719</v>
      </c>
      <c r="AO38" s="4">
        <f t="shared" si="4"/>
        <v>0.5399614312831239</v>
      </c>
      <c r="AP38" s="4">
        <f t="shared" si="5"/>
        <v>1.1883898816440084</v>
      </c>
    </row>
    <row r="39" spans="1:42" x14ac:dyDescent="0.25">
      <c r="A39" s="3">
        <v>38</v>
      </c>
      <c r="B39" s="3" t="s">
        <v>53</v>
      </c>
      <c r="C39" s="3" t="s">
        <v>51</v>
      </c>
      <c r="D39" s="3">
        <v>0</v>
      </c>
      <c r="E39" s="3">
        <v>0.75059145657280701</v>
      </c>
      <c r="F39" s="3">
        <v>0.74566123682912999</v>
      </c>
      <c r="G39" s="3">
        <v>-4.9302197436765097E-3</v>
      </c>
      <c r="H39" s="3">
        <v>5.2536010228505597E-2</v>
      </c>
      <c r="I39" s="3">
        <v>1.00875280680131E-2</v>
      </c>
      <c r="J39" s="3">
        <v>1.4141423338266301E-2</v>
      </c>
      <c r="K39" s="3">
        <v>0.49441254087660202</v>
      </c>
      <c r="L39" s="3">
        <v>0.174483734317743</v>
      </c>
      <c r="M39" s="3">
        <v>0</v>
      </c>
      <c r="N39" s="3">
        <v>2.5106014279571598</v>
      </c>
      <c r="O39" s="3">
        <v>97.489398572042802</v>
      </c>
      <c r="P39" s="3">
        <v>0</v>
      </c>
      <c r="Q39" s="3">
        <v>0</v>
      </c>
      <c r="R39" s="3">
        <v>100</v>
      </c>
      <c r="S39" s="3">
        <v>0</v>
      </c>
      <c r="T39" s="3">
        <v>0</v>
      </c>
      <c r="U39" s="3">
        <v>0.36464805165935499</v>
      </c>
      <c r="V39" s="3">
        <v>-14.0897004895722</v>
      </c>
      <c r="W39" s="3">
        <v>558.348802549325</v>
      </c>
      <c r="X39" s="3">
        <v>99.997828117082406</v>
      </c>
      <c r="Y39" s="3">
        <v>43.876421736526702</v>
      </c>
      <c r="Z39" s="3">
        <v>274.01102030851303</v>
      </c>
      <c r="AA39" s="3">
        <v>56.914927353282501</v>
      </c>
      <c r="AB39" s="3">
        <v>295.89198225651</v>
      </c>
      <c r="AC39" s="3">
        <v>3.7123316784243499</v>
      </c>
      <c r="AD39" s="3">
        <v>761.55584316878196</v>
      </c>
      <c r="AE39" s="3">
        <v>0</v>
      </c>
      <c r="AF39" s="3">
        <v>0</v>
      </c>
      <c r="AG39" s="3">
        <v>171.82780677736201</v>
      </c>
      <c r="AH39" s="3">
        <v>112.115676832476</v>
      </c>
      <c r="AI39" s="3">
        <v>30.831503326600501</v>
      </c>
      <c r="AJ39" s="3">
        <v>-11.0675059618142</v>
      </c>
      <c r="AK39" s="3">
        <v>104096762385.2</v>
      </c>
      <c r="AL39" s="3">
        <v>5.7174304058573398E-2</v>
      </c>
      <c r="AM39" s="3">
        <v>21206</v>
      </c>
      <c r="AN39" s="3">
        <f t="shared" si="3"/>
        <v>1.0066118761445109</v>
      </c>
      <c r="AO39" s="4">
        <f t="shared" si="4"/>
        <v>0.57117750251138699</v>
      </c>
      <c r="AP39" s="4">
        <f t="shared" si="5"/>
        <v>1.3141124313765198</v>
      </c>
    </row>
    <row r="40" spans="1:42" x14ac:dyDescent="0.25">
      <c r="A40" s="3">
        <v>39</v>
      </c>
      <c r="B40" s="3" t="s">
        <v>53</v>
      </c>
      <c r="C40" s="3" t="s">
        <v>52</v>
      </c>
      <c r="D40" s="3">
        <v>-150</v>
      </c>
      <c r="E40" s="3">
        <v>0.21068304333558599</v>
      </c>
      <c r="F40" s="3">
        <v>0.36233783735096298</v>
      </c>
      <c r="G40" s="3">
        <v>0.15165479401537699</v>
      </c>
      <c r="H40" s="3">
        <v>7.6880327812394497E-2</v>
      </c>
      <c r="I40" s="3">
        <v>8.1802436660417398E-4</v>
      </c>
      <c r="J40" s="3">
        <v>3.3566508831188999E-4</v>
      </c>
      <c r="K40" s="3">
        <v>0.28429409178461601</v>
      </c>
      <c r="L40" s="4">
        <v>9.7282990367476794E-6</v>
      </c>
      <c r="M40" s="3">
        <v>0</v>
      </c>
      <c r="N40" s="3">
        <v>0</v>
      </c>
      <c r="O40" s="3">
        <v>100</v>
      </c>
      <c r="P40" s="3">
        <v>0</v>
      </c>
      <c r="Q40" s="3">
        <v>100</v>
      </c>
      <c r="R40" s="3">
        <v>0</v>
      </c>
      <c r="S40" s="3">
        <v>0</v>
      </c>
      <c r="T40" s="3">
        <v>100</v>
      </c>
      <c r="U40" s="3">
        <v>0</v>
      </c>
      <c r="V40" s="3">
        <v>-159.25070124035301</v>
      </c>
      <c r="W40" s="3">
        <v>0</v>
      </c>
      <c r="X40" s="3">
        <v>100</v>
      </c>
      <c r="Y40" s="3">
        <v>43.2753931396689</v>
      </c>
      <c r="Z40" s="3">
        <v>299.88623064116001</v>
      </c>
      <c r="AA40" s="3">
        <v>55.0548236434879</v>
      </c>
      <c r="AB40" s="3">
        <v>246.84955387660099</v>
      </c>
      <c r="AC40" s="3">
        <v>2.6410964728697599</v>
      </c>
      <c r="AD40" s="3">
        <v>768.06162344955897</v>
      </c>
      <c r="AE40" s="3">
        <v>0</v>
      </c>
      <c r="AF40" s="3">
        <v>0</v>
      </c>
      <c r="AG40" s="3">
        <v>176.284275407053</v>
      </c>
      <c r="AH40" s="3">
        <v>112.08219294574</v>
      </c>
      <c r="AI40" s="3">
        <v>21.813004670518801</v>
      </c>
      <c r="AJ40" s="3">
        <v>-113.09103269363101</v>
      </c>
      <c r="AK40" s="3">
        <v>513176.4</v>
      </c>
      <c r="AL40" s="3">
        <v>2.0675802281894702E-3</v>
      </c>
      <c r="AM40" s="3">
        <v>2</v>
      </c>
      <c r="AN40" s="3">
        <f t="shared" si="3"/>
        <v>0.58145471330259368</v>
      </c>
      <c r="AO40" s="4">
        <f t="shared" si="4"/>
        <v>0.36232810905192625</v>
      </c>
      <c r="AP40" s="4">
        <f t="shared" si="5"/>
        <v>0.58147032502353391</v>
      </c>
    </row>
    <row r="41" spans="1:42" x14ac:dyDescent="0.25">
      <c r="A41" s="3">
        <v>40</v>
      </c>
      <c r="B41" s="3" t="s">
        <v>53</v>
      </c>
      <c r="C41" s="3" t="s">
        <v>52</v>
      </c>
      <c r="D41" s="3">
        <v>-125</v>
      </c>
      <c r="E41" s="3">
        <v>2.02347733425845E-2</v>
      </c>
      <c r="F41" s="3">
        <v>0.357267383502819</v>
      </c>
      <c r="G41" s="3">
        <v>0.337032610160235</v>
      </c>
      <c r="H41" s="3">
        <v>5.2525180878148003E-2</v>
      </c>
      <c r="I41" s="3">
        <v>5.0322421942981298E-3</v>
      </c>
      <c r="J41" s="3">
        <v>4.86387116513207E-3</v>
      </c>
      <c r="K41" s="3">
        <v>0.294836331646188</v>
      </c>
      <c r="L41" s="4">
        <v>9.7576190529842705E-6</v>
      </c>
      <c r="M41" s="3">
        <v>0</v>
      </c>
      <c r="N41" s="3">
        <v>6.1289044422925896</v>
      </c>
      <c r="O41" s="3">
        <v>93.871095557707406</v>
      </c>
      <c r="P41" s="3">
        <v>0</v>
      </c>
      <c r="Q41" s="3">
        <v>100</v>
      </c>
      <c r="R41" s="3">
        <v>0</v>
      </c>
      <c r="S41" s="3">
        <v>0</v>
      </c>
      <c r="T41" s="3">
        <v>100</v>
      </c>
      <c r="U41" s="3">
        <v>0.14081831275807399</v>
      </c>
      <c r="V41" s="3">
        <v>-131.93846120041101</v>
      </c>
      <c r="W41" s="3">
        <v>0</v>
      </c>
      <c r="X41" s="3">
        <v>100</v>
      </c>
      <c r="Y41" s="3">
        <v>49.573463903147797</v>
      </c>
      <c r="Z41" s="3">
        <v>332.61108019939701</v>
      </c>
      <c r="AA41" s="3">
        <v>53.844765230826603</v>
      </c>
      <c r="AB41" s="3">
        <v>296.80686713066399</v>
      </c>
      <c r="AC41" s="3">
        <v>2.7743628231605602</v>
      </c>
      <c r="AD41" s="3">
        <v>754.37465406386605</v>
      </c>
      <c r="AE41" s="3">
        <v>4.9714314395715</v>
      </c>
      <c r="AF41" s="3">
        <v>0</v>
      </c>
      <c r="AG41" s="3">
        <v>172.08504148091399</v>
      </c>
      <c r="AH41" s="3">
        <v>111.9104564596</v>
      </c>
      <c r="AI41" s="3">
        <v>24.6102819591943</v>
      </c>
      <c r="AJ41" s="3">
        <v>-87.430117748365504</v>
      </c>
      <c r="AK41" s="3">
        <v>30596203.899999999</v>
      </c>
      <c r="AL41" s="3">
        <v>1.13835619569748E-3</v>
      </c>
      <c r="AM41" s="3">
        <v>100</v>
      </c>
      <c r="AN41" s="3">
        <f t="shared" si="3"/>
        <v>5.6637617305540677E-2</v>
      </c>
      <c r="AO41" s="4">
        <f t="shared" si="4"/>
        <v>0.35725762588376603</v>
      </c>
      <c r="AP41" s="4">
        <f t="shared" si="5"/>
        <v>5.6639164223657175E-2</v>
      </c>
    </row>
    <row r="42" spans="1:42" x14ac:dyDescent="0.25">
      <c r="A42" s="3">
        <v>41</v>
      </c>
      <c r="B42" s="3" t="s">
        <v>53</v>
      </c>
      <c r="C42" s="3" t="s">
        <v>52</v>
      </c>
      <c r="D42" s="3">
        <v>-100</v>
      </c>
      <c r="E42" s="3">
        <v>0.291314319350999</v>
      </c>
      <c r="F42" s="3">
        <v>0.36531867315830002</v>
      </c>
      <c r="G42" s="3">
        <v>7.4004353807300999E-2</v>
      </c>
      <c r="H42" s="3">
        <v>5.1507766415017003E-2</v>
      </c>
      <c r="I42" s="3">
        <v>4.2879179915295204E-3</v>
      </c>
      <c r="J42" s="3">
        <v>4.2459976302763203E-3</v>
      </c>
      <c r="K42" s="3">
        <v>0.30526774316569699</v>
      </c>
      <c r="L42" s="4">
        <v>9.2479557808588206E-6</v>
      </c>
      <c r="M42" s="3">
        <v>0</v>
      </c>
      <c r="N42" s="3">
        <v>4.5960613487868702</v>
      </c>
      <c r="O42" s="3">
        <v>95.403938651213096</v>
      </c>
      <c r="P42" s="3">
        <v>0</v>
      </c>
      <c r="Q42" s="3">
        <v>100</v>
      </c>
      <c r="R42" s="3">
        <v>0</v>
      </c>
      <c r="S42" s="3">
        <v>0</v>
      </c>
      <c r="T42" s="3">
        <v>100</v>
      </c>
      <c r="U42" s="3">
        <v>0.14031346918888801</v>
      </c>
      <c r="V42" s="3">
        <v>-108.369464800575</v>
      </c>
      <c r="W42" s="3">
        <v>5.5105733041425605E-4</v>
      </c>
      <c r="X42" s="3">
        <v>100</v>
      </c>
      <c r="Y42" s="3">
        <v>46.701642135353197</v>
      </c>
      <c r="Z42" s="3">
        <v>299.23669580372598</v>
      </c>
      <c r="AA42" s="3">
        <v>53.845835281692104</v>
      </c>
      <c r="AB42" s="3">
        <v>298.35017372720301</v>
      </c>
      <c r="AC42" s="3">
        <v>2.9364208853705498</v>
      </c>
      <c r="AD42" s="3">
        <v>773.90502434933705</v>
      </c>
      <c r="AE42" s="3">
        <v>3.6777506733740899</v>
      </c>
      <c r="AF42" s="3">
        <v>0</v>
      </c>
      <c r="AG42" s="3">
        <v>171.44920432911999</v>
      </c>
      <c r="AH42" s="3">
        <v>111.883266548007</v>
      </c>
      <c r="AI42" s="3">
        <v>24.854444832318698</v>
      </c>
      <c r="AJ42" s="3">
        <v>-66.480194644097395</v>
      </c>
      <c r="AK42" s="3">
        <v>871836147.5</v>
      </c>
      <c r="AL42" s="3">
        <v>3.7347579843037298E-2</v>
      </c>
      <c r="AM42" s="3">
        <v>830</v>
      </c>
      <c r="AN42" s="3">
        <f t="shared" si="3"/>
        <v>0.7974252091536711</v>
      </c>
      <c r="AO42" s="4">
        <f t="shared" si="4"/>
        <v>0.36530942520251919</v>
      </c>
      <c r="AP42" s="4">
        <f t="shared" si="5"/>
        <v>0.79744539629521194</v>
      </c>
    </row>
    <row r="43" spans="1:42" x14ac:dyDescent="0.25">
      <c r="A43" s="3">
        <v>42</v>
      </c>
      <c r="B43" s="3" t="s">
        <v>53</v>
      </c>
      <c r="C43" s="3" t="s">
        <v>52</v>
      </c>
      <c r="D43" s="3">
        <v>-75</v>
      </c>
      <c r="E43" s="3">
        <v>0.38683622686380698</v>
      </c>
      <c r="F43" s="3">
        <v>0.39777996206472499</v>
      </c>
      <c r="G43" s="3">
        <v>1.09437352009174E-2</v>
      </c>
      <c r="H43" s="3">
        <v>5.20777837206194E-2</v>
      </c>
      <c r="I43" s="3">
        <v>6.03913187269436E-3</v>
      </c>
      <c r="J43" s="3">
        <v>4.3593338896545002E-3</v>
      </c>
      <c r="K43" s="3">
        <v>0.33495331973721898</v>
      </c>
      <c r="L43" s="3">
        <v>3.5039284453796602E-4</v>
      </c>
      <c r="M43" s="3">
        <v>0</v>
      </c>
      <c r="N43" s="3">
        <v>3.3298812605029799</v>
      </c>
      <c r="O43" s="3">
        <v>96.670118739496999</v>
      </c>
      <c r="P43" s="3">
        <v>0</v>
      </c>
      <c r="Q43" s="3">
        <v>100</v>
      </c>
      <c r="R43" s="3">
        <v>0</v>
      </c>
      <c r="S43" s="3">
        <v>0</v>
      </c>
      <c r="T43" s="3">
        <v>100</v>
      </c>
      <c r="U43" s="3">
        <v>0.219394920198585</v>
      </c>
      <c r="V43" s="3">
        <v>-83.151080373033494</v>
      </c>
      <c r="W43" s="3">
        <v>0.35499646873853802</v>
      </c>
      <c r="X43" s="3">
        <v>99.997644345935996</v>
      </c>
      <c r="Y43" s="3">
        <v>44.481759767040501</v>
      </c>
      <c r="Z43" s="3">
        <v>308.12619330394898</v>
      </c>
      <c r="AA43" s="3">
        <v>53.5857640807397</v>
      </c>
      <c r="AB43" s="3">
        <v>296.97339649428301</v>
      </c>
      <c r="AC43" s="3">
        <v>3.1838486559152899</v>
      </c>
      <c r="AD43" s="3">
        <v>774.18134300364898</v>
      </c>
      <c r="AE43" s="3">
        <v>2.2601371343577799</v>
      </c>
      <c r="AF43" s="3">
        <v>0</v>
      </c>
      <c r="AG43" s="3">
        <v>171.58066475952799</v>
      </c>
      <c r="AH43" s="3">
        <v>111.883164740087</v>
      </c>
      <c r="AI43" s="3">
        <v>24.873856402769999</v>
      </c>
      <c r="AJ43" s="3">
        <v>-42.975363042469603</v>
      </c>
      <c r="AK43" s="3">
        <v>15505710519.6</v>
      </c>
      <c r="AL43" s="3">
        <v>4.3293295690468803E-2</v>
      </c>
      <c r="AM43" s="3">
        <v>2946</v>
      </c>
      <c r="AN43" s="3">
        <f t="shared" si="3"/>
        <v>0.97248796760874223</v>
      </c>
      <c r="AO43" s="4">
        <f t="shared" si="4"/>
        <v>0.39742956922018702</v>
      </c>
      <c r="AP43" s="4">
        <f t="shared" si="5"/>
        <v>0.97334535933708788</v>
      </c>
    </row>
    <row r="44" spans="1:42" x14ac:dyDescent="0.25">
      <c r="A44" s="3">
        <v>43</v>
      </c>
      <c r="B44" s="3" t="s">
        <v>53</v>
      </c>
      <c r="C44" s="3" t="s">
        <v>52</v>
      </c>
      <c r="D44" s="3">
        <v>-50</v>
      </c>
      <c r="E44" s="3">
        <v>0.52904190365691806</v>
      </c>
      <c r="F44" s="3">
        <v>0.49625965073242501</v>
      </c>
      <c r="G44" s="3">
        <v>-3.2782252924493299E-2</v>
      </c>
      <c r="H44" s="3">
        <v>5.2522105119039902E-2</v>
      </c>
      <c r="I44" s="3">
        <v>7.1195335161527004E-3</v>
      </c>
      <c r="J44" s="3">
        <v>5.77030289994081E-3</v>
      </c>
      <c r="K44" s="3">
        <v>0.39128076841864901</v>
      </c>
      <c r="L44" s="3">
        <v>3.9566940778641903E-2</v>
      </c>
      <c r="M44" s="3">
        <v>0</v>
      </c>
      <c r="N44" s="3">
        <v>3.2466812150722202</v>
      </c>
      <c r="O44" s="3">
        <v>96.753318784927799</v>
      </c>
      <c r="P44" s="3">
        <v>0</v>
      </c>
      <c r="Q44" s="3">
        <v>100</v>
      </c>
      <c r="R44" s="3">
        <v>0</v>
      </c>
      <c r="S44" s="3">
        <v>0</v>
      </c>
      <c r="T44" s="3">
        <v>100</v>
      </c>
      <c r="U44" s="3">
        <v>0.26661819533935899</v>
      </c>
      <c r="V44" s="3">
        <v>-59.950340855336897</v>
      </c>
      <c r="W44" s="3">
        <v>44.274732995042697</v>
      </c>
      <c r="X44" s="3">
        <v>99.999535491039893</v>
      </c>
      <c r="Y44" s="3">
        <v>43.290741928696697</v>
      </c>
      <c r="Z44" s="3">
        <v>306.67572520343498</v>
      </c>
      <c r="AA44" s="3">
        <v>54.451094531254199</v>
      </c>
      <c r="AB44" s="3">
        <v>295.92256166715401</v>
      </c>
      <c r="AC44" s="3">
        <v>3.3609564884998702</v>
      </c>
      <c r="AD44" s="3">
        <v>773.52616905485297</v>
      </c>
      <c r="AE44" s="3">
        <v>3.2897115021778802</v>
      </c>
      <c r="AF44" s="3">
        <v>0</v>
      </c>
      <c r="AG44" s="3">
        <v>172.07146838166199</v>
      </c>
      <c r="AH44" s="3">
        <v>112.002310662995</v>
      </c>
      <c r="AI44" s="3">
        <v>26.2542509329929</v>
      </c>
      <c r="AJ44" s="3">
        <v>-28.871225386697699</v>
      </c>
      <c r="AK44" s="3">
        <v>122097364884.39999</v>
      </c>
      <c r="AL44" s="3">
        <v>4.3303556853650199E-2</v>
      </c>
      <c r="AM44" s="3">
        <v>9168</v>
      </c>
      <c r="AN44" s="3">
        <f t="shared" si="3"/>
        <v>1.0660586708512572</v>
      </c>
      <c r="AO44" s="4">
        <f t="shared" si="4"/>
        <v>0.45669270995378308</v>
      </c>
      <c r="AP44" s="4">
        <f t="shared" si="5"/>
        <v>1.1584198567795327</v>
      </c>
    </row>
    <row r="45" spans="1:42" x14ac:dyDescent="0.25">
      <c r="A45" s="3">
        <v>44</v>
      </c>
      <c r="B45" s="3" t="s">
        <v>53</v>
      </c>
      <c r="C45" s="3" t="s">
        <v>52</v>
      </c>
      <c r="D45" s="3">
        <v>-25</v>
      </c>
      <c r="E45" s="3">
        <v>0.62527840382801503</v>
      </c>
      <c r="F45" s="3">
        <v>0.63901515472758896</v>
      </c>
      <c r="G45" s="3">
        <v>1.3736750899573699E-2</v>
      </c>
      <c r="H45" s="3">
        <v>5.2957846542930703E-2</v>
      </c>
      <c r="I45" s="3">
        <v>7.6655083255721601E-3</v>
      </c>
      <c r="J45" s="3">
        <v>8.9594709545917795E-3</v>
      </c>
      <c r="K45" s="3">
        <v>0.458008998587563</v>
      </c>
      <c r="L45" s="3">
        <v>0.111423330316931</v>
      </c>
      <c r="M45" s="3">
        <v>0</v>
      </c>
      <c r="N45" s="3">
        <v>3.5007155982505398</v>
      </c>
      <c r="O45" s="3">
        <v>96.499284401749506</v>
      </c>
      <c r="P45" s="3">
        <v>0</v>
      </c>
      <c r="Q45" s="3">
        <v>100</v>
      </c>
      <c r="R45" s="3">
        <v>0</v>
      </c>
      <c r="S45" s="3">
        <v>0</v>
      </c>
      <c r="T45" s="3">
        <v>100</v>
      </c>
      <c r="U45" s="3">
        <v>0.28684765999173001</v>
      </c>
      <c r="V45" s="3">
        <v>-36.565003461559201</v>
      </c>
      <c r="W45" s="3">
        <v>175.59876811469701</v>
      </c>
      <c r="X45" s="3">
        <v>99.995780412161494</v>
      </c>
      <c r="Y45" s="3">
        <v>43.151557758385401</v>
      </c>
      <c r="Z45" s="3">
        <v>306.21768016790298</v>
      </c>
      <c r="AA45" s="3">
        <v>55.6766285835063</v>
      </c>
      <c r="AB45" s="3">
        <v>294.903301847541</v>
      </c>
      <c r="AC45" s="3">
        <v>3.5136038570314101</v>
      </c>
      <c r="AD45" s="3">
        <v>770.856357706224</v>
      </c>
      <c r="AE45" s="3">
        <v>6.7786356946646897</v>
      </c>
      <c r="AF45" s="3">
        <v>0</v>
      </c>
      <c r="AG45" s="3">
        <v>173.08741518015901</v>
      </c>
      <c r="AH45" s="3">
        <v>112.20493593483999</v>
      </c>
      <c r="AI45" s="3">
        <v>29.456882636136399</v>
      </c>
      <c r="AJ45" s="3">
        <v>-19.1235449091239</v>
      </c>
      <c r="AK45" s="3">
        <v>278258900927.79999</v>
      </c>
      <c r="AL45" s="3">
        <v>5.3094035506102401E-2</v>
      </c>
      <c r="AM45" s="3">
        <v>21509</v>
      </c>
      <c r="AN45" s="3">
        <f t="shared" si="3"/>
        <v>0.97850324707020464</v>
      </c>
      <c r="AO45" s="4">
        <f t="shared" si="4"/>
        <v>0.52759182441065799</v>
      </c>
      <c r="AP45" s="4">
        <f t="shared" si="5"/>
        <v>1.1851555973720347</v>
      </c>
    </row>
    <row r="46" spans="1:42" x14ac:dyDescent="0.25">
      <c r="A46" s="3">
        <v>45</v>
      </c>
      <c r="B46" s="3" t="s">
        <v>53</v>
      </c>
      <c r="C46" s="3" t="s">
        <v>52</v>
      </c>
      <c r="D46" s="3">
        <v>0</v>
      </c>
      <c r="E46" s="3">
        <v>0.71734652041178204</v>
      </c>
      <c r="F46" s="3">
        <v>0.732242963472018</v>
      </c>
      <c r="G46" s="3">
        <v>1.4896443060235701E-2</v>
      </c>
      <c r="H46" s="3">
        <v>5.4002452470243503E-2</v>
      </c>
      <c r="I46" s="3">
        <v>9.5674940857537905E-3</v>
      </c>
      <c r="J46" s="3">
        <v>1.35618259108371E-2</v>
      </c>
      <c r="K46" s="3">
        <v>0.48272708029010097</v>
      </c>
      <c r="L46" s="3">
        <v>0.172384110715082</v>
      </c>
      <c r="M46" s="3">
        <v>0</v>
      </c>
      <c r="N46" s="3">
        <v>3.85971794776985</v>
      </c>
      <c r="O46" s="3">
        <v>96.140282052230106</v>
      </c>
      <c r="P46" s="3">
        <v>0</v>
      </c>
      <c r="Q46" s="3">
        <v>100</v>
      </c>
      <c r="R46" s="3">
        <v>0</v>
      </c>
      <c r="S46" s="3">
        <v>0</v>
      </c>
      <c r="T46" s="3">
        <v>100</v>
      </c>
      <c r="U46" s="3">
        <v>0.34786607429078698</v>
      </c>
      <c r="V46" s="3">
        <v>-14.373988915612999</v>
      </c>
      <c r="W46" s="3">
        <v>561.19792428135702</v>
      </c>
      <c r="X46" s="3">
        <v>99.990533301479203</v>
      </c>
      <c r="Y46" s="3">
        <v>43.797358931133601</v>
      </c>
      <c r="Z46" s="3">
        <v>287.31799908228999</v>
      </c>
      <c r="AA46" s="3">
        <v>57.3184761223688</v>
      </c>
      <c r="AB46" s="3">
        <v>292.60313985520901</v>
      </c>
      <c r="AC46" s="3">
        <v>3.7082568949118202</v>
      </c>
      <c r="AD46" s="3">
        <v>767.44749563033201</v>
      </c>
      <c r="AE46" s="3">
        <v>13.291508051104101</v>
      </c>
      <c r="AF46" s="3">
        <v>0</v>
      </c>
      <c r="AG46" s="3">
        <v>172.007576991608</v>
      </c>
      <c r="AH46" s="3">
        <v>112.13123340940101</v>
      </c>
      <c r="AI46" s="3">
        <v>30.9442184162655</v>
      </c>
      <c r="AJ46" s="3">
        <v>-11.8876672114732</v>
      </c>
      <c r="AK46" s="3">
        <v>277905874878.70001</v>
      </c>
      <c r="AL46" s="3">
        <v>6.0657189448141302E-2</v>
      </c>
      <c r="AM46" s="3">
        <v>30919</v>
      </c>
      <c r="AN46" s="3">
        <f t="shared" ref="AN46" si="6">E46/F46</f>
        <v>0.97965642033676548</v>
      </c>
      <c r="AO46" s="4">
        <f t="shared" ref="AO46" si="7">F46-L46</f>
        <v>0.55985885275693603</v>
      </c>
      <c r="AP46" s="4">
        <f t="shared" ref="AP46" si="8">E46/(F46-L46)</f>
        <v>1.2812988789572997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K30"/>
  <sheetViews>
    <sheetView workbookViewId="0">
      <selection activeCell="A3" sqref="A3:AK13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4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customWidth="1"/>
    <col min="20" max="20" width="16.28515625" customWidth="1"/>
    <col min="21" max="21" width="11.7109375" customWidth="1"/>
    <col min="22" max="22" width="12.140625" customWidth="1"/>
    <col min="23" max="23" width="15" customWidth="1"/>
    <col min="24" max="24" width="6.140625" customWidth="1"/>
    <col min="25" max="25" width="13.85546875" customWidth="1"/>
    <col min="26" max="26" width="16.28515625" customWidth="1"/>
    <col min="27" max="27" width="11.7109375" customWidth="1"/>
    <col min="28" max="28" width="12.140625" customWidth="1"/>
    <col min="29" max="29" width="15" customWidth="1"/>
    <col min="30" max="30" width="6.140625" customWidth="1"/>
    <col min="31" max="31" width="13.85546875" customWidth="1"/>
    <col min="32" max="32" width="16.28515625" customWidth="1"/>
    <col min="33" max="33" width="11.7109375" customWidth="1"/>
    <col min="34" max="34" width="12.140625" customWidth="1"/>
    <col min="35" max="35" width="15" customWidth="1"/>
    <col min="36" max="36" width="6.140625" customWidth="1"/>
    <col min="37" max="37" width="13.85546875" customWidth="1"/>
  </cols>
  <sheetData>
    <row r="2" spans="1:37" x14ac:dyDescent="0.25">
      <c r="B2" s="5" t="s">
        <v>35</v>
      </c>
      <c r="F2" s="10"/>
      <c r="K2" s="10"/>
    </row>
    <row r="3" spans="1:37" x14ac:dyDescent="0.25">
      <c r="B3" s="3" t="s">
        <v>49</v>
      </c>
      <c r="T3" s="3" t="s">
        <v>53</v>
      </c>
    </row>
    <row r="4" spans="1:37" x14ac:dyDescent="0.25">
      <c r="B4" s="3" t="s">
        <v>50</v>
      </c>
      <c r="H4" s="3" t="s">
        <v>51</v>
      </c>
      <c r="N4" s="3" t="s">
        <v>52</v>
      </c>
      <c r="T4" s="3" t="s">
        <v>50</v>
      </c>
      <c r="Z4" s="3" t="s">
        <v>51</v>
      </c>
      <c r="AF4" s="3" t="s">
        <v>52</v>
      </c>
    </row>
    <row r="5" spans="1:37" x14ac:dyDescent="0.25">
      <c r="A5" s="5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42</v>
      </c>
      <c r="N5" s="3" t="s">
        <v>37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42</v>
      </c>
      <c r="T5" s="3" t="s">
        <v>37</v>
      </c>
      <c r="U5" s="3" t="s">
        <v>38</v>
      </c>
      <c r="V5" s="3" t="s">
        <v>39</v>
      </c>
      <c r="W5" s="3" t="s">
        <v>40</v>
      </c>
      <c r="X5" s="3" t="s">
        <v>41</v>
      </c>
      <c r="Y5" s="3" t="s">
        <v>42</v>
      </c>
      <c r="Z5" s="3" t="s">
        <v>37</v>
      </c>
      <c r="AA5" s="3" t="s">
        <v>38</v>
      </c>
      <c r="AB5" s="3" t="s">
        <v>39</v>
      </c>
      <c r="AC5" s="3" t="s">
        <v>40</v>
      </c>
      <c r="AD5" s="3" t="s">
        <v>41</v>
      </c>
      <c r="AE5" s="3" t="s">
        <v>42</v>
      </c>
      <c r="AF5" s="3" t="s">
        <v>37</v>
      </c>
      <c r="AG5" s="3" t="s">
        <v>38</v>
      </c>
      <c r="AH5" s="3" t="s">
        <v>39</v>
      </c>
      <c r="AI5" s="3" t="s">
        <v>40</v>
      </c>
      <c r="AJ5" s="3" t="s">
        <v>41</v>
      </c>
      <c r="AK5" s="3" t="s">
        <v>42</v>
      </c>
    </row>
    <row r="6" spans="1:37" x14ac:dyDescent="0.25">
      <c r="A6" s="6">
        <v>-175</v>
      </c>
      <c r="B6" s="7"/>
      <c r="C6" s="11"/>
      <c r="D6" s="11"/>
      <c r="E6" s="11"/>
      <c r="F6" s="11"/>
      <c r="G6" s="11"/>
      <c r="H6" s="7"/>
      <c r="I6" s="11"/>
      <c r="J6" s="11"/>
      <c r="K6" s="11"/>
      <c r="L6" s="11"/>
      <c r="M6" s="11"/>
      <c r="N6" s="7">
        <v>2000360.7</v>
      </c>
      <c r="O6" s="11">
        <v>0</v>
      </c>
      <c r="P6" s="11">
        <v>0.37996335837408701</v>
      </c>
      <c r="Q6" s="11">
        <v>0.37995693110463147</v>
      </c>
      <c r="R6" s="11">
        <v>0</v>
      </c>
      <c r="S6" s="11">
        <v>0</v>
      </c>
      <c r="T6" s="7">
        <v>938198.4</v>
      </c>
      <c r="U6" s="11">
        <v>2.3165926311535001E-4</v>
      </c>
      <c r="V6" s="11">
        <v>0.49747557867235198</v>
      </c>
      <c r="W6" s="11">
        <v>0.49746810204342456</v>
      </c>
      <c r="X6" s="11">
        <v>4.6566961886570466E-4</v>
      </c>
      <c r="Y6" s="11">
        <v>4.6567661758367012E-4</v>
      </c>
      <c r="Z6" s="7"/>
      <c r="AA6" s="11"/>
      <c r="AB6" s="11"/>
      <c r="AC6" s="11"/>
      <c r="AD6" s="11"/>
      <c r="AE6" s="11"/>
      <c r="AF6" s="7"/>
      <c r="AG6" s="11"/>
      <c r="AH6" s="11"/>
      <c r="AI6" s="11"/>
      <c r="AJ6" s="11"/>
      <c r="AK6" s="11"/>
    </row>
    <row r="7" spans="1:37" x14ac:dyDescent="0.25">
      <c r="A7" s="6">
        <v>-150</v>
      </c>
      <c r="B7" s="7">
        <v>2994015.7</v>
      </c>
      <c r="C7" s="11">
        <v>0</v>
      </c>
      <c r="D7" s="11">
        <v>0.45753248168967497</v>
      </c>
      <c r="E7" s="11">
        <v>0.45752221415157068</v>
      </c>
      <c r="F7" s="11">
        <v>0</v>
      </c>
      <c r="G7" s="11">
        <v>0</v>
      </c>
      <c r="H7" s="7">
        <v>1765008.8</v>
      </c>
      <c r="I7" s="11">
        <v>2.0121542736784099E-4</v>
      </c>
      <c r="J7" s="11">
        <v>0.37319137647774298</v>
      </c>
      <c r="K7" s="11">
        <v>0.37318111948789751</v>
      </c>
      <c r="L7" s="11">
        <v>5.3917491145415424E-4</v>
      </c>
      <c r="M7" s="11">
        <v>5.3918973083086678E-4</v>
      </c>
      <c r="N7" s="7">
        <v>6919139.7999999998</v>
      </c>
      <c r="O7" s="11">
        <v>4.2437830205425199E-5</v>
      </c>
      <c r="P7" s="11">
        <v>0.40484934161356401</v>
      </c>
      <c r="Q7" s="11">
        <v>0.40484230526381648</v>
      </c>
      <c r="R7" s="11">
        <v>1.048237599603975E-4</v>
      </c>
      <c r="S7" s="11">
        <v>1.0482558184666616E-4</v>
      </c>
      <c r="T7" s="7">
        <v>6726593.4000000004</v>
      </c>
      <c r="U7" s="11">
        <v>6.6216761444819898</v>
      </c>
      <c r="V7" s="11">
        <v>0.50370395672184298</v>
      </c>
      <c r="W7" s="11">
        <v>0.50369645634224736</v>
      </c>
      <c r="X7" s="11">
        <v>13.145968095181418</v>
      </c>
      <c r="Y7" s="11">
        <v>13.146163847503326</v>
      </c>
      <c r="Z7" s="7">
        <v>1077743.8</v>
      </c>
      <c r="AA7" s="11">
        <v>2.5113324706669601E-5</v>
      </c>
      <c r="AB7" s="11">
        <v>0.30402157944436498</v>
      </c>
      <c r="AC7" s="11">
        <v>0.30401232690771379</v>
      </c>
      <c r="AD7" s="11">
        <v>8.2603757116738697E-5</v>
      </c>
      <c r="AE7" s="11">
        <v>8.26062711407522E-5</v>
      </c>
      <c r="AF7" s="7">
        <v>513176.4</v>
      </c>
      <c r="AG7" s="11">
        <v>0.21068304333558599</v>
      </c>
      <c r="AH7" s="11">
        <v>0.36233783735096298</v>
      </c>
      <c r="AI7" s="11">
        <v>0.36232810905192625</v>
      </c>
      <c r="AJ7" s="11">
        <v>0.58145471330259368</v>
      </c>
      <c r="AK7" s="11">
        <v>0.58147032502353391</v>
      </c>
    </row>
    <row r="8" spans="1:37" x14ac:dyDescent="0.25">
      <c r="A8" s="6">
        <v>-125</v>
      </c>
      <c r="B8" s="7">
        <v>73337232.200000003</v>
      </c>
      <c r="C8" s="11">
        <v>2.5479500842138399E-2</v>
      </c>
      <c r="D8" s="11">
        <v>0.47146908615746702</v>
      </c>
      <c r="E8" s="11">
        <v>0.47145919914109979</v>
      </c>
      <c r="F8" s="11">
        <v>5.4042781574078526E-2</v>
      </c>
      <c r="G8" s="11">
        <v>5.4043914910466756E-2</v>
      </c>
      <c r="H8" s="7">
        <v>51585546.799999997</v>
      </c>
      <c r="I8" s="11">
        <v>0.93534437373725798</v>
      </c>
      <c r="J8" s="11">
        <v>0.40701424473497899</v>
      </c>
      <c r="K8" s="11">
        <v>0.40700364294537511</v>
      </c>
      <c r="L8" s="11">
        <v>2.2980629937074881</v>
      </c>
      <c r="M8" s="11">
        <v>2.2981228545484855</v>
      </c>
      <c r="N8" s="7">
        <v>123037776.90000001</v>
      </c>
      <c r="O8" s="11">
        <v>0.37864258987493099</v>
      </c>
      <c r="P8" s="11">
        <v>0.41367766049916499</v>
      </c>
      <c r="Q8" s="11">
        <v>0.41366788546709571</v>
      </c>
      <c r="R8" s="11">
        <v>0.9153082847597841</v>
      </c>
      <c r="S8" s="11">
        <v>0.91532991362717053</v>
      </c>
      <c r="T8" s="7">
        <v>41995537.899999999</v>
      </c>
      <c r="U8" s="11">
        <v>0.97185697942852201</v>
      </c>
      <c r="V8" s="11">
        <v>0.44934899019565999</v>
      </c>
      <c r="W8" s="11">
        <v>0.44934067710195352</v>
      </c>
      <c r="X8" s="11">
        <v>2.1628110903405977</v>
      </c>
      <c r="Y8" s="11">
        <v>2.1628511037473062</v>
      </c>
      <c r="Z8" s="7">
        <v>14396726.300000001</v>
      </c>
      <c r="AA8" s="11">
        <v>2.21731531681616E-2</v>
      </c>
      <c r="AB8" s="11">
        <v>0.37626428372472598</v>
      </c>
      <c r="AC8" s="11">
        <v>0.3762550868266078</v>
      </c>
      <c r="AD8" s="11">
        <v>5.8929731380997684E-2</v>
      </c>
      <c r="AE8" s="11">
        <v>5.893117181530573E-2</v>
      </c>
      <c r="AF8" s="7">
        <v>30596203.899999999</v>
      </c>
      <c r="AG8" s="11">
        <v>2.02347733425845E-2</v>
      </c>
      <c r="AH8" s="11">
        <v>0.357267383502819</v>
      </c>
      <c r="AI8" s="11">
        <v>0.35725762588376603</v>
      </c>
      <c r="AJ8" s="11">
        <v>5.6637617305540677E-2</v>
      </c>
      <c r="AK8" s="11">
        <v>5.6639164223657175E-2</v>
      </c>
    </row>
    <row r="9" spans="1:37" x14ac:dyDescent="0.25">
      <c r="A9" s="6">
        <v>-100</v>
      </c>
      <c r="B9" s="7">
        <v>801287011.10000002</v>
      </c>
      <c r="C9" s="11">
        <v>0.44307316721400403</v>
      </c>
      <c r="D9" s="11">
        <v>0.512979332738281</v>
      </c>
      <c r="E9" s="11">
        <v>0.51296965458579569</v>
      </c>
      <c r="F9" s="11">
        <v>0.86372518138085952</v>
      </c>
      <c r="G9" s="11">
        <v>0.86374147720642358</v>
      </c>
      <c r="H9" s="7">
        <v>512156722.80000001</v>
      </c>
      <c r="I9" s="11">
        <v>0.53424388830203595</v>
      </c>
      <c r="J9" s="11">
        <v>0.45268241378479601</v>
      </c>
      <c r="K9" s="11">
        <v>0.45267244140271629</v>
      </c>
      <c r="L9" s="11">
        <v>1.1801737201039448</v>
      </c>
      <c r="M9" s="11">
        <v>1.1801997193523657</v>
      </c>
      <c r="N9" s="7">
        <v>1453521622.7</v>
      </c>
      <c r="O9" s="11">
        <v>0.42987270173513698</v>
      </c>
      <c r="P9" s="11">
        <v>0.45177932598139098</v>
      </c>
      <c r="Q9" s="11">
        <v>0.45176992600369587</v>
      </c>
      <c r="R9" s="11">
        <v>0.951510343686784</v>
      </c>
      <c r="S9" s="11">
        <v>0.9515301417642843</v>
      </c>
      <c r="T9" s="7">
        <v>407229186.80000001</v>
      </c>
      <c r="U9" s="11">
        <v>0.23412926729285699</v>
      </c>
      <c r="V9" s="11">
        <v>0.429231374854322</v>
      </c>
      <c r="W9" s="11">
        <v>0.42922209979793674</v>
      </c>
      <c r="X9" s="11">
        <v>0.5454616810626175</v>
      </c>
      <c r="Y9" s="11">
        <v>0.54547346793903939</v>
      </c>
      <c r="Z9" s="7">
        <v>321918174.60000002</v>
      </c>
      <c r="AA9" s="11">
        <v>0.42103478466148703</v>
      </c>
      <c r="AB9" s="11">
        <v>0.37514378318826702</v>
      </c>
      <c r="AC9" s="11">
        <v>0.3751346671453179</v>
      </c>
      <c r="AD9" s="11">
        <v>1.122329100280437</v>
      </c>
      <c r="AE9" s="11">
        <v>1.1223563736869686</v>
      </c>
      <c r="AF9" s="7">
        <v>871836147.5</v>
      </c>
      <c r="AG9" s="11">
        <v>0.291314319350999</v>
      </c>
      <c r="AH9" s="11">
        <v>0.36531867315830002</v>
      </c>
      <c r="AI9" s="11">
        <v>0.36530942520251919</v>
      </c>
      <c r="AJ9" s="11">
        <v>0.7974252091536711</v>
      </c>
      <c r="AK9" s="11">
        <v>0.79744539629521194</v>
      </c>
    </row>
    <row r="10" spans="1:37" x14ac:dyDescent="0.25">
      <c r="A10" s="8">
        <v>-75</v>
      </c>
      <c r="B10" s="9">
        <v>3699664523.1999998</v>
      </c>
      <c r="C10" s="12">
        <v>0.62562226344810801</v>
      </c>
      <c r="D10" s="12">
        <v>0.57668126060621405</v>
      </c>
      <c r="E10" s="12">
        <v>0.57633335105858752</v>
      </c>
      <c r="F10" s="12">
        <v>1.0848666433004024</v>
      </c>
      <c r="G10" s="12">
        <v>1.0855215341936892</v>
      </c>
      <c r="H10" s="9">
        <v>2138011205.0999999</v>
      </c>
      <c r="I10" s="12">
        <v>0.56134065302854996</v>
      </c>
      <c r="J10" s="12">
        <v>0.50651133342954402</v>
      </c>
      <c r="K10" s="12">
        <v>0.50616087542371324</v>
      </c>
      <c r="L10" s="12">
        <v>1.1082489491948015</v>
      </c>
      <c r="M10" s="12">
        <v>1.1090162837233224</v>
      </c>
      <c r="N10" s="9">
        <v>6562216122.3000002</v>
      </c>
      <c r="O10" s="12">
        <v>0.54745850111014904</v>
      </c>
      <c r="P10" s="12">
        <v>0.50582975600410096</v>
      </c>
      <c r="Q10" s="12">
        <v>0.50556295681580909</v>
      </c>
      <c r="R10" s="12">
        <v>1.0822979364339937</v>
      </c>
      <c r="S10" s="12">
        <v>1.0828690942038375</v>
      </c>
      <c r="T10" s="9">
        <v>7757779421</v>
      </c>
      <c r="U10" s="12">
        <v>0.50037555261239897</v>
      </c>
      <c r="V10" s="12">
        <v>0.45525997847327399</v>
      </c>
      <c r="W10" s="12">
        <v>0.45491114360453944</v>
      </c>
      <c r="X10" s="12">
        <v>1.09909848498087</v>
      </c>
      <c r="Y10" s="12">
        <v>1.0999412954530354</v>
      </c>
      <c r="Z10" s="9">
        <v>4739056427.6999998</v>
      </c>
      <c r="AA10" s="12">
        <v>0.34772049579884401</v>
      </c>
      <c r="AB10" s="12">
        <v>0.407699554746703</v>
      </c>
      <c r="AC10" s="12">
        <v>0.407358380815313</v>
      </c>
      <c r="AD10" s="12">
        <v>0.85288416862480265</v>
      </c>
      <c r="AE10" s="12">
        <v>0.85359848274851757</v>
      </c>
      <c r="AF10" s="9">
        <v>15505710519.6</v>
      </c>
      <c r="AG10" s="12">
        <v>0.38683622686380698</v>
      </c>
      <c r="AH10" s="12">
        <v>0.39777996206472499</v>
      </c>
      <c r="AI10" s="12">
        <v>0.39742956922018702</v>
      </c>
      <c r="AJ10" s="12">
        <v>0.97248796760874223</v>
      </c>
      <c r="AK10" s="12">
        <v>0.97334535933708788</v>
      </c>
    </row>
    <row r="11" spans="1:37" x14ac:dyDescent="0.25">
      <c r="A11" s="6">
        <v>-50</v>
      </c>
      <c r="B11" s="7">
        <v>7549932000.3999996</v>
      </c>
      <c r="C11" s="11">
        <v>0.69041848561994601</v>
      </c>
      <c r="D11" s="11">
        <v>0.69318044172364401</v>
      </c>
      <c r="E11" s="11">
        <v>0.66228355376503634</v>
      </c>
      <c r="F11" s="11">
        <v>0.99601553082364791</v>
      </c>
      <c r="G11" s="11">
        <v>1.0424817009194394</v>
      </c>
      <c r="H11" s="7">
        <v>4512693427</v>
      </c>
      <c r="I11" s="11">
        <v>0.59163471976598303</v>
      </c>
      <c r="J11" s="11">
        <v>0.61063526705571003</v>
      </c>
      <c r="K11" s="11">
        <v>0.57801279781131853</v>
      </c>
      <c r="L11" s="11">
        <v>0.96888396672314459</v>
      </c>
      <c r="M11" s="11">
        <v>1.023566817216236</v>
      </c>
      <c r="N11" s="7">
        <v>13636930076</v>
      </c>
      <c r="O11" s="11">
        <v>0.59382030774090799</v>
      </c>
      <c r="P11" s="11">
        <v>0.60953283422193205</v>
      </c>
      <c r="Q11" s="11">
        <v>0.57799128282923606</v>
      </c>
      <c r="R11" s="11">
        <v>0.97422201791461971</v>
      </c>
      <c r="S11" s="11">
        <v>1.0273862692776086</v>
      </c>
      <c r="T11" s="7">
        <v>56413240928.800003</v>
      </c>
      <c r="U11" s="11">
        <v>0.58312166886910799</v>
      </c>
      <c r="V11" s="11">
        <v>0.56404812131333104</v>
      </c>
      <c r="W11" s="11">
        <v>0.52466551095612979</v>
      </c>
      <c r="X11" s="11">
        <v>1.0338154615449584</v>
      </c>
      <c r="Y11" s="11">
        <v>1.1114160483056148</v>
      </c>
      <c r="Z11" s="7">
        <v>38359650093.400002</v>
      </c>
      <c r="AA11" s="11">
        <v>0.53013273496943802</v>
      </c>
      <c r="AB11" s="11">
        <v>0.50515662739863099</v>
      </c>
      <c r="AC11" s="11">
        <v>0.46683641926999747</v>
      </c>
      <c r="AD11" s="11">
        <v>1.0494423040620584</v>
      </c>
      <c r="AE11" s="11">
        <v>1.1355856421793706</v>
      </c>
      <c r="AF11" s="7">
        <v>122097364884.39999</v>
      </c>
      <c r="AG11" s="11">
        <v>0.52904190365691806</v>
      </c>
      <c r="AH11" s="11">
        <v>0.49625965073242501</v>
      </c>
      <c r="AI11" s="11">
        <v>0.45669270995378308</v>
      </c>
      <c r="AJ11" s="11">
        <v>1.0660586708512572</v>
      </c>
      <c r="AK11" s="11">
        <v>1.1584198567795327</v>
      </c>
    </row>
    <row r="12" spans="1:37" x14ac:dyDescent="0.25">
      <c r="A12" s="6">
        <v>-25</v>
      </c>
      <c r="B12" s="7">
        <v>8071317217.3000002</v>
      </c>
      <c r="C12" s="11">
        <v>0.88372570370113501</v>
      </c>
      <c r="D12" s="11">
        <v>0.85132037016108997</v>
      </c>
      <c r="E12" s="11">
        <v>0.74788722514051398</v>
      </c>
      <c r="F12" s="11">
        <v>1.0380647928510311</v>
      </c>
      <c r="G12" s="11">
        <v>1.1816296280968024</v>
      </c>
      <c r="H12" s="7">
        <v>5706277257</v>
      </c>
      <c r="I12" s="11">
        <v>0.53333880474008999</v>
      </c>
      <c r="J12" s="11">
        <v>0.76154469363367505</v>
      </c>
      <c r="K12" s="11">
        <v>0.65488028643652607</v>
      </c>
      <c r="L12" s="11">
        <v>0.70033815375337816</v>
      </c>
      <c r="M12" s="11">
        <v>0.8144065652704352</v>
      </c>
      <c r="N12" s="7">
        <v>15962175739.299999</v>
      </c>
      <c r="O12" s="11">
        <v>0.74146060891530996</v>
      </c>
      <c r="P12" s="11">
        <v>0.756705676703888</v>
      </c>
      <c r="Q12" s="11">
        <v>0.65668911967617194</v>
      </c>
      <c r="R12" s="11">
        <v>0.9798533719807897</v>
      </c>
      <c r="S12" s="11">
        <v>1.1290892245647997</v>
      </c>
      <c r="T12" s="7">
        <v>135632174824.5</v>
      </c>
      <c r="U12" s="11">
        <v>0.715995363602139</v>
      </c>
      <c r="V12" s="11">
        <v>0.71433467890138302</v>
      </c>
      <c r="W12" s="11">
        <v>0.60222284957326699</v>
      </c>
      <c r="X12" s="11">
        <v>1.0023247992149982</v>
      </c>
      <c r="Y12" s="11">
        <v>1.1889209519524058</v>
      </c>
      <c r="Z12" s="7">
        <v>94334908553.899994</v>
      </c>
      <c r="AA12" s="11">
        <v>0.64168470141488099</v>
      </c>
      <c r="AB12" s="11">
        <v>0.64958711264702795</v>
      </c>
      <c r="AC12" s="11">
        <v>0.5399614312831239</v>
      </c>
      <c r="AD12" s="11">
        <v>0.98783471673268719</v>
      </c>
      <c r="AE12" s="11">
        <v>1.1883898816440084</v>
      </c>
      <c r="AF12" s="7">
        <v>278258900927.79999</v>
      </c>
      <c r="AG12" s="11">
        <v>0.62527840382801503</v>
      </c>
      <c r="AH12" s="11">
        <v>0.63901515472758896</v>
      </c>
      <c r="AI12" s="11">
        <v>0.52759182441065799</v>
      </c>
      <c r="AJ12" s="11">
        <v>0.97850324707020464</v>
      </c>
      <c r="AK12" s="11">
        <v>1.1851555973720347</v>
      </c>
    </row>
    <row r="13" spans="1:37" x14ac:dyDescent="0.25">
      <c r="A13" s="6">
        <v>0</v>
      </c>
      <c r="B13" s="7">
        <v>7009595960.6999998</v>
      </c>
      <c r="C13" s="11">
        <v>0.76528766955804395</v>
      </c>
      <c r="D13" s="11">
        <v>0.95346975479652896</v>
      </c>
      <c r="E13" s="11">
        <v>0.77776391624368801</v>
      </c>
      <c r="F13" s="11">
        <v>0.80263444719476895</v>
      </c>
      <c r="G13" s="11">
        <v>0.98395882551880298</v>
      </c>
      <c r="H13" s="7">
        <v>5202582703.6999998</v>
      </c>
      <c r="I13" s="11">
        <v>0.87895776425759398</v>
      </c>
      <c r="J13" s="11">
        <v>0.86152064869243905</v>
      </c>
      <c r="K13" s="11">
        <v>0.684174773738498</v>
      </c>
      <c r="L13" s="11">
        <v>1.0202399276112766</v>
      </c>
      <c r="M13" s="11">
        <v>1.2846977088248288</v>
      </c>
      <c r="N13" s="7">
        <v>13798650982.299999</v>
      </c>
      <c r="O13" s="11">
        <v>0.896394438491111</v>
      </c>
      <c r="P13" s="11">
        <v>0.857560257698331</v>
      </c>
      <c r="Q13" s="11">
        <v>0.69548478242516698</v>
      </c>
      <c r="R13" s="11">
        <v>1.0452844921906828</v>
      </c>
      <c r="S13" s="11">
        <v>1.2888771417332363</v>
      </c>
      <c r="T13" s="7">
        <v>129288414366.7</v>
      </c>
      <c r="U13" s="11">
        <v>0.78182207119421498</v>
      </c>
      <c r="V13" s="11">
        <v>0.80899873571314995</v>
      </c>
      <c r="W13" s="11">
        <v>0.63162601363564197</v>
      </c>
      <c r="X13" s="11">
        <v>0.96640703709508502</v>
      </c>
      <c r="Y13" s="11">
        <v>1.2377927037774203</v>
      </c>
      <c r="Z13" s="7">
        <v>104096762385.2</v>
      </c>
      <c r="AA13" s="11">
        <v>0.75059145657280701</v>
      </c>
      <c r="AB13" s="11">
        <v>0.74566123682912999</v>
      </c>
      <c r="AC13" s="11">
        <v>0.57117750251138699</v>
      </c>
      <c r="AD13" s="11">
        <v>1.0066118761445109</v>
      </c>
      <c r="AE13" s="11">
        <v>1.3141124313765198</v>
      </c>
      <c r="AF13" s="7">
        <v>277905874878.70001</v>
      </c>
      <c r="AG13" s="11">
        <v>0.71734652041178204</v>
      </c>
      <c r="AH13" s="11">
        <v>0.732242963472018</v>
      </c>
      <c r="AI13" s="11">
        <v>0.55985885275693603</v>
      </c>
      <c r="AJ13" s="11">
        <v>0.97965642033676548</v>
      </c>
      <c r="AK13" s="11">
        <v>1.2812988789572997</v>
      </c>
    </row>
    <row r="14" spans="1:37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37"/>
  <sheetViews>
    <sheetView tabSelected="1" workbookViewId="0">
      <selection activeCell="H14" sqref="H14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7" x14ac:dyDescent="0.25">
      <c r="A1" s="1"/>
      <c r="B1" s="1" t="s">
        <v>49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s">
        <v>53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 t="s">
        <v>50</v>
      </c>
      <c r="C2" s="1"/>
      <c r="D2" s="1"/>
      <c r="E2" s="1"/>
      <c r="F2" s="1"/>
      <c r="G2" s="1"/>
      <c r="H2" s="1" t="s">
        <v>51</v>
      </c>
      <c r="I2" s="1"/>
      <c r="J2" s="1"/>
      <c r="K2" s="1"/>
      <c r="L2" s="1"/>
      <c r="M2" s="1"/>
      <c r="N2" s="1" t="s">
        <v>52</v>
      </c>
      <c r="O2" s="1"/>
      <c r="P2" s="1"/>
      <c r="Q2" s="1"/>
      <c r="R2" s="1"/>
      <c r="S2" s="1"/>
      <c r="T2" s="1" t="s">
        <v>50</v>
      </c>
      <c r="U2" s="1"/>
      <c r="V2" s="1"/>
      <c r="W2" s="1"/>
      <c r="X2" s="1"/>
      <c r="Y2" s="1"/>
      <c r="Z2" s="1" t="s">
        <v>51</v>
      </c>
      <c r="AA2" s="1"/>
      <c r="AB2" s="1"/>
      <c r="AC2" s="1"/>
      <c r="AD2" s="1"/>
      <c r="AE2" s="1"/>
      <c r="AF2" s="1" t="s">
        <v>52</v>
      </c>
      <c r="AG2" s="1"/>
      <c r="AH2" s="1"/>
      <c r="AI2" s="1"/>
      <c r="AJ2" s="1"/>
      <c r="AK2" s="1"/>
    </row>
    <row r="3" spans="1:37" x14ac:dyDescent="0.25">
      <c r="A3" s="14" t="s">
        <v>36</v>
      </c>
      <c r="B3" s="14" t="s">
        <v>37</v>
      </c>
      <c r="C3" s="14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4" t="s">
        <v>37</v>
      </c>
      <c r="I3" s="14" t="s">
        <v>38</v>
      </c>
      <c r="J3" s="14" t="s">
        <v>39</v>
      </c>
      <c r="K3" s="14" t="s">
        <v>40</v>
      </c>
      <c r="L3" s="14" t="s">
        <v>41</v>
      </c>
      <c r="M3" s="14" t="s">
        <v>42</v>
      </c>
      <c r="N3" s="14" t="s">
        <v>37</v>
      </c>
      <c r="O3" s="14" t="s">
        <v>38</v>
      </c>
      <c r="P3" s="14" t="s">
        <v>39</v>
      </c>
      <c r="Q3" s="14" t="s">
        <v>40</v>
      </c>
      <c r="R3" s="14" t="s">
        <v>41</v>
      </c>
      <c r="S3" s="14" t="s">
        <v>42</v>
      </c>
      <c r="T3" s="14" t="s">
        <v>37</v>
      </c>
      <c r="U3" s="14" t="s">
        <v>38</v>
      </c>
      <c r="V3" s="14" t="s">
        <v>39</v>
      </c>
      <c r="W3" s="14" t="s">
        <v>40</v>
      </c>
      <c r="X3" s="14" t="s">
        <v>41</v>
      </c>
      <c r="Y3" s="14" t="s">
        <v>42</v>
      </c>
      <c r="Z3" s="14" t="s">
        <v>37</v>
      </c>
      <c r="AA3" s="14" t="s">
        <v>38</v>
      </c>
      <c r="AB3" s="14" t="s">
        <v>39</v>
      </c>
      <c r="AC3" s="14" t="s">
        <v>40</v>
      </c>
      <c r="AD3" s="14" t="s">
        <v>41</v>
      </c>
      <c r="AE3" s="14" t="s">
        <v>42</v>
      </c>
      <c r="AF3" s="14" t="s">
        <v>37</v>
      </c>
      <c r="AG3" s="14" t="s">
        <v>38</v>
      </c>
      <c r="AH3" s="14" t="s">
        <v>39</v>
      </c>
      <c r="AI3" s="14" t="s">
        <v>40</v>
      </c>
      <c r="AJ3" s="14" t="s">
        <v>41</v>
      </c>
      <c r="AK3" s="14" t="s">
        <v>42</v>
      </c>
    </row>
    <row r="4" spans="1:37" x14ac:dyDescent="0.25">
      <c r="A4" s="6">
        <v>-175</v>
      </c>
      <c r="B4" s="7"/>
      <c r="C4" s="11"/>
      <c r="D4" s="11"/>
      <c r="E4" s="11"/>
      <c r="F4" s="11"/>
      <c r="G4" s="11"/>
      <c r="H4" s="7"/>
      <c r="I4" s="11"/>
      <c r="J4" s="11"/>
      <c r="K4" s="11"/>
      <c r="L4" s="11"/>
      <c r="M4" s="11"/>
      <c r="N4" s="7">
        <v>2000360.7</v>
      </c>
      <c r="O4" s="11">
        <v>0</v>
      </c>
      <c r="P4" s="11">
        <v>0.37996335837408701</v>
      </c>
      <c r="Q4" s="11">
        <v>0.37995693110463147</v>
      </c>
      <c r="R4" s="11">
        <v>0</v>
      </c>
      <c r="S4" s="11">
        <v>0</v>
      </c>
      <c r="T4" s="7">
        <v>938198.4</v>
      </c>
      <c r="U4" s="11">
        <v>2.3165926311535001E-4</v>
      </c>
      <c r="V4" s="11">
        <v>0.49747557867235198</v>
      </c>
      <c r="W4" s="11">
        <v>0.49746810204342456</v>
      </c>
      <c r="X4" s="11">
        <v>4.6566961886570466E-4</v>
      </c>
      <c r="Y4" s="11">
        <v>4.6567661758367012E-4</v>
      </c>
      <c r="Z4" s="7"/>
      <c r="AA4" s="11"/>
      <c r="AB4" s="11"/>
      <c r="AC4" s="11"/>
      <c r="AD4" s="11"/>
      <c r="AE4" s="11"/>
      <c r="AF4" s="7"/>
      <c r="AG4" s="11"/>
      <c r="AH4" s="11"/>
      <c r="AI4" s="11"/>
      <c r="AJ4" s="11"/>
      <c r="AK4" s="11"/>
    </row>
    <row r="5" spans="1:37" x14ac:dyDescent="0.25">
      <c r="A5" s="6">
        <v>-150</v>
      </c>
      <c r="B5" s="7">
        <v>2994015.7</v>
      </c>
      <c r="C5" s="11">
        <v>0</v>
      </c>
      <c r="D5" s="11">
        <v>0.45753248168967497</v>
      </c>
      <c r="E5" s="11">
        <v>0.45752221415157068</v>
      </c>
      <c r="F5" s="11">
        <v>0</v>
      </c>
      <c r="G5" s="11">
        <v>0</v>
      </c>
      <c r="H5" s="7">
        <v>1765008.8</v>
      </c>
      <c r="I5" s="11">
        <v>2.0121542736784099E-4</v>
      </c>
      <c r="J5" s="11">
        <v>0.37319137647774298</v>
      </c>
      <c r="K5" s="11">
        <v>0.37318111948789751</v>
      </c>
      <c r="L5" s="11">
        <v>5.3917491145415424E-4</v>
      </c>
      <c r="M5" s="11">
        <v>5.3918973083086678E-4</v>
      </c>
      <c r="N5" s="7">
        <v>6919139.7999999998</v>
      </c>
      <c r="O5" s="11">
        <v>4.2437830205425199E-5</v>
      </c>
      <c r="P5" s="11">
        <v>0.40484934161356401</v>
      </c>
      <c r="Q5" s="11">
        <v>0.40484230526381648</v>
      </c>
      <c r="R5" s="11">
        <v>1.048237599603975E-4</v>
      </c>
      <c r="S5" s="11">
        <v>1.0482558184666616E-4</v>
      </c>
      <c r="T5" s="7">
        <v>6726593.4000000004</v>
      </c>
      <c r="U5" s="11">
        <v>6.6216761444819898</v>
      </c>
      <c r="V5" s="11">
        <v>0.50370395672184298</v>
      </c>
      <c r="W5" s="11">
        <v>0.50369645634224736</v>
      </c>
      <c r="X5" s="11">
        <v>13.145968095181418</v>
      </c>
      <c r="Y5" s="11">
        <v>13.146163847503326</v>
      </c>
      <c r="Z5" s="7">
        <v>1077743.8</v>
      </c>
      <c r="AA5" s="11">
        <v>2.5113324706669601E-5</v>
      </c>
      <c r="AB5" s="11">
        <v>0.30402157944436498</v>
      </c>
      <c r="AC5" s="11">
        <v>0.30401232690771379</v>
      </c>
      <c r="AD5" s="11">
        <v>8.2603757116738697E-5</v>
      </c>
      <c r="AE5" s="11">
        <v>8.26062711407522E-5</v>
      </c>
      <c r="AF5" s="7">
        <v>513176.4</v>
      </c>
      <c r="AG5" s="11">
        <v>0.21068304333558599</v>
      </c>
      <c r="AH5" s="11">
        <v>0.36233783735096298</v>
      </c>
      <c r="AI5" s="11">
        <v>0.36232810905192625</v>
      </c>
      <c r="AJ5" s="11">
        <v>0.58145471330259368</v>
      </c>
      <c r="AK5" s="11">
        <v>0.58147032502353391</v>
      </c>
    </row>
    <row r="6" spans="1:37" x14ac:dyDescent="0.25">
      <c r="A6" s="6">
        <v>-125</v>
      </c>
      <c r="B6" s="7">
        <v>73337232.200000003</v>
      </c>
      <c r="C6" s="11">
        <v>2.5479500842138399E-2</v>
      </c>
      <c r="D6" s="11">
        <v>0.47146908615746702</v>
      </c>
      <c r="E6" s="11">
        <v>0.47145919914109979</v>
      </c>
      <c r="F6" s="11">
        <v>5.4042781574078526E-2</v>
      </c>
      <c r="G6" s="11">
        <v>5.4043914910466756E-2</v>
      </c>
      <c r="H6" s="7">
        <v>51585546.799999997</v>
      </c>
      <c r="I6" s="11">
        <v>0.93534437373725798</v>
      </c>
      <c r="J6" s="11">
        <v>0.40701424473497899</v>
      </c>
      <c r="K6" s="11">
        <v>0.40700364294537511</v>
      </c>
      <c r="L6" s="11">
        <v>2.2980629937074881</v>
      </c>
      <c r="M6" s="11">
        <v>2.2981228545484855</v>
      </c>
      <c r="N6" s="7">
        <v>123037776.90000001</v>
      </c>
      <c r="O6" s="11">
        <v>0.37864258987493099</v>
      </c>
      <c r="P6" s="11">
        <v>0.41367766049916499</v>
      </c>
      <c r="Q6" s="11">
        <v>0.41366788546709571</v>
      </c>
      <c r="R6" s="11">
        <v>0.9153082847597841</v>
      </c>
      <c r="S6" s="11">
        <v>0.91532991362717053</v>
      </c>
      <c r="T6" s="7">
        <v>41995537.899999999</v>
      </c>
      <c r="U6" s="11">
        <v>0.97185697942852201</v>
      </c>
      <c r="V6" s="11">
        <v>0.44934899019565999</v>
      </c>
      <c r="W6" s="11">
        <v>0.44934067710195352</v>
      </c>
      <c r="X6" s="11">
        <v>2.1628110903405977</v>
      </c>
      <c r="Y6" s="11">
        <v>2.1628511037473062</v>
      </c>
      <c r="Z6" s="7">
        <v>14396726.300000001</v>
      </c>
      <c r="AA6" s="11">
        <v>2.21731531681616E-2</v>
      </c>
      <c r="AB6" s="11">
        <v>0.37626428372472598</v>
      </c>
      <c r="AC6" s="11">
        <v>0.3762550868266078</v>
      </c>
      <c r="AD6" s="11">
        <v>5.8929731380997684E-2</v>
      </c>
      <c r="AE6" s="11">
        <v>5.893117181530573E-2</v>
      </c>
      <c r="AF6" s="7">
        <v>30596203.899999999</v>
      </c>
      <c r="AG6" s="11">
        <v>2.02347733425845E-2</v>
      </c>
      <c r="AH6" s="11">
        <v>0.357267383502819</v>
      </c>
      <c r="AI6" s="11">
        <v>0.35725762588376603</v>
      </c>
      <c r="AJ6" s="11">
        <v>5.6637617305540677E-2</v>
      </c>
      <c r="AK6" s="11">
        <v>5.6639164223657175E-2</v>
      </c>
    </row>
    <row r="7" spans="1:37" x14ac:dyDescent="0.25">
      <c r="A7" s="6">
        <v>-100</v>
      </c>
      <c r="B7" s="7">
        <v>801287011.10000002</v>
      </c>
      <c r="C7" s="11">
        <v>0.44307316721400403</v>
      </c>
      <c r="D7" s="11">
        <v>0.512979332738281</v>
      </c>
      <c r="E7" s="11">
        <v>0.51296965458579569</v>
      </c>
      <c r="F7" s="11">
        <v>0.86372518138085952</v>
      </c>
      <c r="G7" s="11">
        <v>0.86374147720642358</v>
      </c>
      <c r="H7" s="7">
        <v>512156722.80000001</v>
      </c>
      <c r="I7" s="11">
        <v>0.53424388830203595</v>
      </c>
      <c r="J7" s="11">
        <v>0.45268241378479601</v>
      </c>
      <c r="K7" s="11">
        <v>0.45267244140271629</v>
      </c>
      <c r="L7" s="11">
        <v>1.1801737201039448</v>
      </c>
      <c r="M7" s="11">
        <v>1.1801997193523657</v>
      </c>
      <c r="N7" s="7">
        <v>1453521622.7</v>
      </c>
      <c r="O7" s="11">
        <v>0.42987270173513698</v>
      </c>
      <c r="P7" s="11">
        <v>0.45177932598139098</v>
      </c>
      <c r="Q7" s="11">
        <v>0.45176992600369587</v>
      </c>
      <c r="R7" s="11">
        <v>0.951510343686784</v>
      </c>
      <c r="S7" s="11">
        <v>0.9515301417642843</v>
      </c>
      <c r="T7" s="7">
        <v>407229186.80000001</v>
      </c>
      <c r="U7" s="11">
        <v>0.23412926729285699</v>
      </c>
      <c r="V7" s="11">
        <v>0.429231374854322</v>
      </c>
      <c r="W7" s="11">
        <v>0.42922209979793674</v>
      </c>
      <c r="X7" s="11">
        <v>0.5454616810626175</v>
      </c>
      <c r="Y7" s="11">
        <v>0.54547346793903939</v>
      </c>
      <c r="Z7" s="7">
        <v>321918174.60000002</v>
      </c>
      <c r="AA7" s="11">
        <v>0.42103478466148703</v>
      </c>
      <c r="AB7" s="11">
        <v>0.37514378318826702</v>
      </c>
      <c r="AC7" s="11">
        <v>0.3751346671453179</v>
      </c>
      <c r="AD7" s="11">
        <v>1.122329100280437</v>
      </c>
      <c r="AE7" s="11">
        <v>1.1223563736869686</v>
      </c>
      <c r="AF7" s="7">
        <v>871836147.5</v>
      </c>
      <c r="AG7" s="11">
        <v>0.291314319350999</v>
      </c>
      <c r="AH7" s="11">
        <v>0.36531867315830002</v>
      </c>
      <c r="AI7" s="11">
        <v>0.36530942520251919</v>
      </c>
      <c r="AJ7" s="11">
        <v>0.7974252091536711</v>
      </c>
      <c r="AK7" s="11">
        <v>0.79744539629521194</v>
      </c>
    </row>
    <row r="8" spans="1:37" x14ac:dyDescent="0.25">
      <c r="A8" s="8">
        <v>-75</v>
      </c>
      <c r="B8" s="9">
        <v>3699664523.1999998</v>
      </c>
      <c r="C8" s="12">
        <v>0.62562226344810801</v>
      </c>
      <c r="D8" s="12">
        <v>0.57668126060621405</v>
      </c>
      <c r="E8" s="12">
        <v>0.57633335105858752</v>
      </c>
      <c r="F8" s="12">
        <v>1.0848666433004024</v>
      </c>
      <c r="G8" s="12">
        <v>1.0855215341936892</v>
      </c>
      <c r="H8" s="9">
        <v>2138011205.0999999</v>
      </c>
      <c r="I8" s="12">
        <v>0.56134065302854996</v>
      </c>
      <c r="J8" s="12">
        <v>0.50651133342954402</v>
      </c>
      <c r="K8" s="12">
        <v>0.50616087542371324</v>
      </c>
      <c r="L8" s="12">
        <v>1.1082489491948015</v>
      </c>
      <c r="M8" s="12">
        <v>1.1090162837233224</v>
      </c>
      <c r="N8" s="9">
        <v>6562216122.3000002</v>
      </c>
      <c r="O8" s="12">
        <v>0.54745850111014904</v>
      </c>
      <c r="P8" s="12">
        <v>0.50582975600410096</v>
      </c>
      <c r="Q8" s="12">
        <v>0.50556295681580909</v>
      </c>
      <c r="R8" s="12">
        <v>1.0822979364339937</v>
      </c>
      <c r="S8" s="12">
        <v>1.0828690942038375</v>
      </c>
      <c r="T8" s="9">
        <v>7757779421</v>
      </c>
      <c r="U8" s="12">
        <v>0.50037555261239897</v>
      </c>
      <c r="V8" s="12">
        <v>0.45525997847327399</v>
      </c>
      <c r="W8" s="12">
        <v>0.45491114360453944</v>
      </c>
      <c r="X8" s="12">
        <v>1.09909848498087</v>
      </c>
      <c r="Y8" s="12">
        <v>1.0999412954530354</v>
      </c>
      <c r="Z8" s="9">
        <v>4739056427.6999998</v>
      </c>
      <c r="AA8" s="12">
        <v>0.34772049579884401</v>
      </c>
      <c r="AB8" s="12">
        <v>0.407699554746703</v>
      </c>
      <c r="AC8" s="12">
        <v>0.407358380815313</v>
      </c>
      <c r="AD8" s="12">
        <v>0.85288416862480265</v>
      </c>
      <c r="AE8" s="12">
        <v>0.85359848274851757</v>
      </c>
      <c r="AF8" s="9">
        <v>15505710519.6</v>
      </c>
      <c r="AG8" s="12">
        <v>0.38683622686380698</v>
      </c>
      <c r="AH8" s="12">
        <v>0.39777996206472499</v>
      </c>
      <c r="AI8" s="12">
        <v>0.39742956922018702</v>
      </c>
      <c r="AJ8" s="12">
        <v>0.97248796760874223</v>
      </c>
      <c r="AK8" s="12">
        <v>0.97334535933708788</v>
      </c>
    </row>
    <row r="9" spans="1:37" x14ac:dyDescent="0.25">
      <c r="A9" s="6">
        <v>-50</v>
      </c>
      <c r="B9" s="7">
        <v>7549932000.3999996</v>
      </c>
      <c r="C9" s="11">
        <v>0.69041848561994601</v>
      </c>
      <c r="D9" s="11">
        <v>0.69318044172364401</v>
      </c>
      <c r="E9" s="11">
        <v>0.66228355376503634</v>
      </c>
      <c r="F9" s="11">
        <v>0.99601553082364791</v>
      </c>
      <c r="G9" s="11">
        <v>1.0424817009194394</v>
      </c>
      <c r="H9" s="7">
        <v>4512693427</v>
      </c>
      <c r="I9" s="11">
        <v>0.59163471976598303</v>
      </c>
      <c r="J9" s="11">
        <v>0.61063526705571003</v>
      </c>
      <c r="K9" s="11">
        <v>0.57801279781131853</v>
      </c>
      <c r="L9" s="11">
        <v>0.96888396672314459</v>
      </c>
      <c r="M9" s="11">
        <v>1.023566817216236</v>
      </c>
      <c r="N9" s="7">
        <v>13636930076</v>
      </c>
      <c r="O9" s="11">
        <v>0.59382030774090799</v>
      </c>
      <c r="P9" s="11">
        <v>0.60953283422193205</v>
      </c>
      <c r="Q9" s="11">
        <v>0.57799128282923606</v>
      </c>
      <c r="R9" s="11">
        <v>0.97422201791461971</v>
      </c>
      <c r="S9" s="11">
        <v>1.0273862692776086</v>
      </c>
      <c r="T9" s="7">
        <v>56413240928.800003</v>
      </c>
      <c r="U9" s="11">
        <v>0.58312166886910799</v>
      </c>
      <c r="V9" s="11">
        <v>0.56404812131333104</v>
      </c>
      <c r="W9" s="11">
        <v>0.52466551095612979</v>
      </c>
      <c r="X9" s="11">
        <v>1.0338154615449584</v>
      </c>
      <c r="Y9" s="11">
        <v>1.1114160483056148</v>
      </c>
      <c r="Z9" s="7">
        <v>38359650093.400002</v>
      </c>
      <c r="AA9" s="11">
        <v>0.53013273496943802</v>
      </c>
      <c r="AB9" s="11">
        <v>0.50515662739863099</v>
      </c>
      <c r="AC9" s="11">
        <v>0.46683641926999747</v>
      </c>
      <c r="AD9" s="11">
        <v>1.0494423040620584</v>
      </c>
      <c r="AE9" s="11">
        <v>1.1355856421793706</v>
      </c>
      <c r="AF9" s="7">
        <v>122097364884.39999</v>
      </c>
      <c r="AG9" s="11">
        <v>0.52904190365691806</v>
      </c>
      <c r="AH9" s="11">
        <v>0.49625965073242501</v>
      </c>
      <c r="AI9" s="11">
        <v>0.45669270995378308</v>
      </c>
      <c r="AJ9" s="11">
        <v>1.0660586708512572</v>
      </c>
      <c r="AK9" s="11">
        <v>1.1584198567795327</v>
      </c>
    </row>
    <row r="10" spans="1:37" x14ac:dyDescent="0.25">
      <c r="A10" s="6">
        <v>-25</v>
      </c>
      <c r="B10" s="7">
        <v>8071317217.3000002</v>
      </c>
      <c r="C10" s="11">
        <v>0.88372570370113501</v>
      </c>
      <c r="D10" s="11">
        <v>0.85132037016108997</v>
      </c>
      <c r="E10" s="11">
        <v>0.74788722514051398</v>
      </c>
      <c r="F10" s="11">
        <v>1.0380647928510311</v>
      </c>
      <c r="G10" s="11">
        <v>1.1816296280968024</v>
      </c>
      <c r="H10" s="7">
        <v>5706277257</v>
      </c>
      <c r="I10" s="11">
        <v>0.53333880474008999</v>
      </c>
      <c r="J10" s="11">
        <v>0.76154469363367505</v>
      </c>
      <c r="K10" s="11">
        <v>0.65488028643652607</v>
      </c>
      <c r="L10" s="11">
        <v>0.70033815375337816</v>
      </c>
      <c r="M10" s="11">
        <v>0.8144065652704352</v>
      </c>
      <c r="N10" s="7">
        <v>15962175739.299999</v>
      </c>
      <c r="O10" s="11">
        <v>0.74146060891530996</v>
      </c>
      <c r="P10" s="11">
        <v>0.756705676703888</v>
      </c>
      <c r="Q10" s="11">
        <v>0.65668911967617194</v>
      </c>
      <c r="R10" s="11">
        <v>0.9798533719807897</v>
      </c>
      <c r="S10" s="11">
        <v>1.1290892245647997</v>
      </c>
      <c r="T10" s="7">
        <v>135632174824.5</v>
      </c>
      <c r="U10" s="11">
        <v>0.715995363602139</v>
      </c>
      <c r="V10" s="11">
        <v>0.71433467890138302</v>
      </c>
      <c r="W10" s="11">
        <v>0.60222284957326699</v>
      </c>
      <c r="X10" s="11">
        <v>1.0023247992149982</v>
      </c>
      <c r="Y10" s="11">
        <v>1.1889209519524058</v>
      </c>
      <c r="Z10" s="7">
        <v>94334908553.899994</v>
      </c>
      <c r="AA10" s="11">
        <v>0.64168470141488099</v>
      </c>
      <c r="AB10" s="11">
        <v>0.64958711264702795</v>
      </c>
      <c r="AC10" s="11">
        <v>0.5399614312831239</v>
      </c>
      <c r="AD10" s="11">
        <v>0.98783471673268719</v>
      </c>
      <c r="AE10" s="11">
        <v>1.1883898816440084</v>
      </c>
      <c r="AF10" s="7">
        <v>278258900927.79999</v>
      </c>
      <c r="AG10" s="11">
        <v>0.62527840382801503</v>
      </c>
      <c r="AH10" s="11">
        <v>0.63901515472758896</v>
      </c>
      <c r="AI10" s="11">
        <v>0.52759182441065799</v>
      </c>
      <c r="AJ10" s="11">
        <v>0.97850324707020464</v>
      </c>
      <c r="AK10" s="11">
        <v>1.1851555973720347</v>
      </c>
    </row>
    <row r="11" spans="1:37" x14ac:dyDescent="0.25">
      <c r="A11" s="6">
        <v>0</v>
      </c>
      <c r="B11" s="7">
        <v>7009595960.6999998</v>
      </c>
      <c r="C11" s="11">
        <v>0.76528766955804395</v>
      </c>
      <c r="D11" s="11">
        <v>0.95346975479652896</v>
      </c>
      <c r="E11" s="11">
        <v>0.77776391624368801</v>
      </c>
      <c r="F11" s="11">
        <v>0.80263444719476895</v>
      </c>
      <c r="G11" s="11">
        <v>0.98395882551880298</v>
      </c>
      <c r="H11" s="7">
        <v>5202582703.6999998</v>
      </c>
      <c r="I11" s="11">
        <v>0.87895776425759398</v>
      </c>
      <c r="J11" s="11">
        <v>0.86152064869243905</v>
      </c>
      <c r="K11" s="11">
        <v>0.684174773738498</v>
      </c>
      <c r="L11" s="11">
        <v>1.0202399276112766</v>
      </c>
      <c r="M11" s="11">
        <v>1.2846977088248288</v>
      </c>
      <c r="N11" s="7">
        <v>13798650982.299999</v>
      </c>
      <c r="O11" s="11">
        <v>0.896394438491111</v>
      </c>
      <c r="P11" s="11">
        <v>0.857560257698331</v>
      </c>
      <c r="Q11" s="11">
        <v>0.69548478242516698</v>
      </c>
      <c r="R11" s="11">
        <v>1.0452844921906828</v>
      </c>
      <c r="S11" s="11">
        <v>1.2888771417332363</v>
      </c>
      <c r="T11" s="7">
        <v>129288414366.7</v>
      </c>
      <c r="U11" s="11">
        <v>0.78182207119421498</v>
      </c>
      <c r="V11" s="11">
        <v>0.80899873571314995</v>
      </c>
      <c r="W11" s="11">
        <v>0.63162601363564197</v>
      </c>
      <c r="X11" s="11">
        <v>0.96640703709508502</v>
      </c>
      <c r="Y11" s="11">
        <v>1.2377927037774203</v>
      </c>
      <c r="Z11" s="7">
        <v>104096762385.2</v>
      </c>
      <c r="AA11" s="11">
        <v>0.75059145657280701</v>
      </c>
      <c r="AB11" s="11">
        <v>0.74566123682912999</v>
      </c>
      <c r="AC11" s="11">
        <v>0.57117750251138699</v>
      </c>
      <c r="AD11" s="11">
        <v>1.0066118761445109</v>
      </c>
      <c r="AE11" s="11">
        <v>1.3141124313765198</v>
      </c>
      <c r="AF11" s="7">
        <v>277905874878.70001</v>
      </c>
      <c r="AG11" s="11">
        <v>0.71734652041178204</v>
      </c>
      <c r="AH11" s="11">
        <v>0.732242963472018</v>
      </c>
      <c r="AI11" s="11">
        <v>0.55985885275693603</v>
      </c>
      <c r="AJ11" s="11">
        <v>0.97965642033676548</v>
      </c>
      <c r="AK11" s="11">
        <v>1.2812988789572997</v>
      </c>
    </row>
    <row r="12" spans="1:37" x14ac:dyDescent="0.25">
      <c r="D12" s="17" t="s">
        <v>58</v>
      </c>
      <c r="E12" s="17" t="s">
        <v>59</v>
      </c>
    </row>
    <row r="13" spans="1:37" x14ac:dyDescent="0.25">
      <c r="D13" s="18">
        <f>(B7*D7+H7*J7+N7*P7+T7*V7+Z7*AB7+AF7*AH7)/(AF7+Z7+T7+N7+H7+B7)</f>
        <v>0.43810453509658848</v>
      </c>
      <c r="E13" s="18">
        <f>100*(1-(1-D13/100)^12)</f>
        <v>5.1324087603634716</v>
      </c>
    </row>
    <row r="14" spans="1:37" s="3" customFormat="1" x14ac:dyDescent="0.25">
      <c r="D14" s="18">
        <f>(B8*D8+H8*J8+N8*P8+T8*V8+Z8*AB8+AF8*AH8)/(AF8+Z8+T8+N8+H8+B8)</f>
        <v>0.44966585479246723</v>
      </c>
      <c r="E14" s="18">
        <f>100*(1-(1-D14/100)^12)</f>
        <v>5.2645188605081721</v>
      </c>
    </row>
    <row r="15" spans="1:37" s="3" customFormat="1" x14ac:dyDescent="0.25"/>
    <row r="16" spans="1:37" x14ac:dyDescent="0.25">
      <c r="C16" t="s">
        <v>49</v>
      </c>
      <c r="D16" s="3"/>
      <c r="E16" s="3"/>
      <c r="I16" t="s">
        <v>49</v>
      </c>
      <c r="O16" s="3" t="s">
        <v>49</v>
      </c>
      <c r="U16" t="str">
        <f>T1</f>
        <v>NONINV</v>
      </c>
      <c r="AA16" t="str">
        <f>T1</f>
        <v>NONINV</v>
      </c>
      <c r="AG16" s="3" t="str">
        <f>T1</f>
        <v>NONINV</v>
      </c>
    </row>
    <row r="17" spans="1:35" x14ac:dyDescent="0.25">
      <c r="C17" t="str">
        <f>B2</f>
        <v>PURCH</v>
      </c>
      <c r="D17" s="3" t="str">
        <f>B2</f>
        <v>PURCH</v>
      </c>
      <c r="E17" s="3" t="str">
        <f>B2</f>
        <v>PURCH</v>
      </c>
      <c r="I17" s="3" t="str">
        <f>$H$2</f>
        <v>RE-FI-CO</v>
      </c>
      <c r="J17" s="3" t="str">
        <f t="shared" ref="J17:K17" si="0">$H$2</f>
        <v>RE-FI-CO</v>
      </c>
      <c r="K17" s="3" t="str">
        <f t="shared" si="0"/>
        <v>RE-FI-CO</v>
      </c>
      <c r="L17" s="3"/>
      <c r="O17" s="3" t="str">
        <f>$N$2</f>
        <v>RE-FI-NCO</v>
      </c>
      <c r="P17" s="3" t="str">
        <f t="shared" ref="P17:Q17" si="1">$N$2</f>
        <v>RE-FI-NCO</v>
      </c>
      <c r="Q17" s="3" t="str">
        <f t="shared" si="1"/>
        <v>RE-FI-NCO</v>
      </c>
      <c r="U17" s="3" t="str">
        <f>$T$2</f>
        <v>PURCH</v>
      </c>
      <c r="V17" s="3" t="str">
        <f t="shared" ref="V17:W17" si="2">$T$2</f>
        <v>PURCH</v>
      </c>
      <c r="W17" s="3" t="str">
        <f t="shared" si="2"/>
        <v>PURCH</v>
      </c>
      <c r="AA17" s="3" t="str">
        <f>$Z$2</f>
        <v>RE-FI-CO</v>
      </c>
      <c r="AB17" s="3" t="str">
        <f t="shared" ref="AB17:AC17" si="3">$Z$2</f>
        <v>RE-FI-CO</v>
      </c>
      <c r="AC17" s="3" t="str">
        <f t="shared" si="3"/>
        <v>RE-FI-CO</v>
      </c>
      <c r="AG17" s="3" t="str">
        <f>$AF$2</f>
        <v>RE-FI-NCO</v>
      </c>
      <c r="AH17" s="3" t="str">
        <f t="shared" ref="AH17:AI17" si="4">$AF$2</f>
        <v>RE-FI-NCO</v>
      </c>
      <c r="AI17" s="3" t="str">
        <f t="shared" si="4"/>
        <v>RE-FI-NCO</v>
      </c>
    </row>
    <row r="18" spans="1:35" x14ac:dyDescent="0.25">
      <c r="C18" s="3" t="s">
        <v>46</v>
      </c>
      <c r="D18" s="3" t="s">
        <v>47</v>
      </c>
      <c r="E18" s="3" t="s">
        <v>48</v>
      </c>
      <c r="I18" s="3" t="s">
        <v>46</v>
      </c>
      <c r="J18" s="3" t="s">
        <v>47</v>
      </c>
      <c r="K18" s="3" t="s">
        <v>48</v>
      </c>
      <c r="O18" s="3" t="s">
        <v>46</v>
      </c>
      <c r="P18" s="3" t="s">
        <v>47</v>
      </c>
      <c r="Q18" s="3" t="s">
        <v>48</v>
      </c>
      <c r="U18" s="3" t="s">
        <v>46</v>
      </c>
      <c r="V18" s="3" t="s">
        <v>47</v>
      </c>
      <c r="W18" s="3" t="s">
        <v>48</v>
      </c>
      <c r="AA18" s="3" t="s">
        <v>46</v>
      </c>
      <c r="AB18" s="3" t="s">
        <v>47</v>
      </c>
      <c r="AC18" s="3" t="s">
        <v>48</v>
      </c>
      <c r="AG18" s="3" t="s">
        <v>46</v>
      </c>
      <c r="AH18" s="3" t="s">
        <v>47</v>
      </c>
      <c r="AI18" s="3" t="s">
        <v>48</v>
      </c>
    </row>
    <row r="19" spans="1:35" x14ac:dyDescent="0.25">
      <c r="A19" s="13">
        <f>A7</f>
        <v>-100</v>
      </c>
      <c r="B19" s="13"/>
      <c r="C19" s="2">
        <f>100*(1-(1-C7/100)^12)</f>
        <v>5.1892055260568508</v>
      </c>
      <c r="D19" s="2">
        <f>100*(1-(1-D7/100)^12)</f>
        <v>5.985010216507769</v>
      </c>
      <c r="E19" s="2">
        <f t="shared" ref="E19:E22" si="5">C19/D19</f>
        <v>0.86703369557232479</v>
      </c>
      <c r="F19" s="13"/>
      <c r="G19" s="13"/>
      <c r="H19" s="13"/>
      <c r="I19" s="2">
        <f>100*(1-(1-I7/100)^12)</f>
        <v>6.2258663717764566</v>
      </c>
      <c r="J19" s="2">
        <f>100*(1-(1-J7/100)^12)</f>
        <v>5.2989610406317889</v>
      </c>
      <c r="K19" s="2">
        <f t="shared" ref="K19:K22" si="6">I19/J19</f>
        <v>1.1749220883183082</v>
      </c>
      <c r="L19" s="13"/>
      <c r="M19" s="13"/>
      <c r="N19" s="13"/>
      <c r="O19" s="2">
        <f>100*(1-(1-O7/100)^12)</f>
        <v>5.0382414782532248</v>
      </c>
      <c r="P19" s="2">
        <f>100*(1-(1-P7/100)^12)</f>
        <v>5.288651054662818</v>
      </c>
      <c r="Q19" s="2">
        <f t="shared" ref="Q19:Q22" si="7">O19/P19</f>
        <v>0.95265152232178074</v>
      </c>
      <c r="R19" s="13"/>
      <c r="S19" s="13"/>
      <c r="T19" s="13"/>
      <c r="U19" s="2">
        <f>100*(1-(1-U7/100)^12)</f>
        <v>2.7736531778648432</v>
      </c>
      <c r="V19" s="2">
        <f>100*(1-(1-V7/100)^12)</f>
        <v>5.0309014833121228</v>
      </c>
      <c r="W19" s="2">
        <f t="shared" ref="W19:W22" si="8">U19/V19</f>
        <v>0.55132329405878022</v>
      </c>
      <c r="X19" s="13"/>
      <c r="Y19" s="13"/>
      <c r="Z19" s="13"/>
      <c r="AA19" s="2">
        <f>100*(1-(1-AA7/100)^12)</f>
        <v>4.9370455867124408</v>
      </c>
      <c r="AB19" s="2">
        <f>100*(1-(1-AB7/100)^12)</f>
        <v>4.4099934579347906</v>
      </c>
      <c r="AC19" s="2">
        <f t="shared" ref="AC19:AC22" si="9">AA19/AB19</f>
        <v>1.1195131316644786</v>
      </c>
      <c r="AG19" s="2">
        <f t="shared" ref="AG19:AH19" si="10">100*(1-(1-AG7/100)^12)</f>
        <v>3.4403019086486131</v>
      </c>
      <c r="AH19" s="2">
        <f t="shared" si="10"/>
        <v>4.2968058102751394</v>
      </c>
      <c r="AI19" s="2">
        <f t="shared" ref="AI19:AI22" si="11">AG19/AH19</f>
        <v>0.8006649731346176</v>
      </c>
    </row>
    <row r="20" spans="1:35" x14ac:dyDescent="0.25">
      <c r="A20" s="3">
        <f>A8</f>
        <v>-75</v>
      </c>
      <c r="C20" s="15">
        <f>100*(1-(1-C8/100)^12)</f>
        <v>7.2544531122403111</v>
      </c>
      <c r="D20" s="15">
        <f>100*(1-(1-D8/100)^12)</f>
        <v>6.7048496419607861</v>
      </c>
      <c r="E20" s="15">
        <f t="shared" si="5"/>
        <v>1.081971035836502</v>
      </c>
      <c r="I20" s="15">
        <f>100*(1-(1-I8/100)^12)</f>
        <v>6.5319622961011126</v>
      </c>
      <c r="J20" s="15">
        <f>100*(1-(1-J8/100)^12)</f>
        <v>5.9116370626346448</v>
      </c>
      <c r="K20" s="15">
        <f t="shared" si="6"/>
        <v>1.1049329021545187</v>
      </c>
      <c r="O20" s="15">
        <f>100*(1-(1-O8/100)^12)</f>
        <v>6.3752585443643923</v>
      </c>
      <c r="P20" s="15">
        <f>100*(1-(1-P8/100)^12)</f>
        <v>5.9039021740949877</v>
      </c>
      <c r="Q20" s="15">
        <f t="shared" si="7"/>
        <v>1.0798381064540012</v>
      </c>
      <c r="U20" s="15">
        <f>100*(1-(1-U8/100)^12)</f>
        <v>5.8419840912447114</v>
      </c>
      <c r="V20" s="15">
        <f>100*(1-(1-V8/100)^12)</f>
        <v>5.3283818186964034</v>
      </c>
      <c r="W20" s="15">
        <f t="shared" si="8"/>
        <v>1.0963899153672065</v>
      </c>
      <c r="AA20" s="15">
        <f>100*(1-(1-AA8/100)^12)</f>
        <v>4.0937633946879881</v>
      </c>
      <c r="AB20" s="15">
        <f>100*(1-(1-AB8/100)^12)</f>
        <v>4.7841674601622586</v>
      </c>
      <c r="AC20" s="15">
        <f t="shared" si="9"/>
        <v>0.85568982038708674</v>
      </c>
      <c r="AG20" s="15">
        <f t="shared" ref="AG20:AH20" si="12">100*(1-(1-AG8/100)^12)</f>
        <v>4.5445333254834352</v>
      </c>
      <c r="AH20" s="15">
        <f t="shared" si="12"/>
        <v>4.6703008437243065</v>
      </c>
      <c r="AI20" s="15">
        <f t="shared" si="11"/>
        <v>0.9730707887030724</v>
      </c>
    </row>
    <row r="21" spans="1:35" x14ac:dyDescent="0.25">
      <c r="A21" s="3">
        <f>A9</f>
        <v>-50</v>
      </c>
      <c r="C21" s="15">
        <f>100*(1-(1-C9/100)^12)</f>
        <v>7.9775436688590879</v>
      </c>
      <c r="D21" s="15">
        <f>100*(1-(1-D9/100)^12)</f>
        <v>8.0082504474540244</v>
      </c>
      <c r="E21" s="15">
        <f t="shared" si="5"/>
        <v>0.99616560710776736</v>
      </c>
      <c r="I21" s="15">
        <f>100*(1-(1-I9/100)^12)</f>
        <v>6.8730916746036712</v>
      </c>
      <c r="J21" s="15">
        <f>100*(1-(1-J9/100)^12)</f>
        <v>7.0864664655884591</v>
      </c>
      <c r="K21" s="15">
        <f t="shared" si="6"/>
        <v>0.96988981856882761</v>
      </c>
      <c r="O21" s="15">
        <f>100*(1-(1-O9/100)^12)</f>
        <v>6.8976585134139512</v>
      </c>
      <c r="P21" s="15">
        <f>100*(1-(1-P9/100)^12)</f>
        <v>7.074098480803082</v>
      </c>
      <c r="Q21" s="15">
        <f t="shared" si="7"/>
        <v>0.97505831055816727</v>
      </c>
      <c r="U21" s="15">
        <f>100*(1-(1-U9/100)^12)</f>
        <v>6.7773450893716891</v>
      </c>
      <c r="V21" s="15">
        <f>100*(1-(1-V9/100)^12)</f>
        <v>6.5624965599153429</v>
      </c>
      <c r="W21" s="15">
        <f t="shared" si="8"/>
        <v>1.032738840698016</v>
      </c>
      <c r="AA21" s="15">
        <f>100*(1-(1-AA9/100)^12)</f>
        <v>6.1793449346245861</v>
      </c>
      <c r="AB21" s="15">
        <f>100*(1-(1-AB9/100)^12)</f>
        <v>5.8962625949884657</v>
      </c>
      <c r="AC21" s="15">
        <f t="shared" si="9"/>
        <v>1.0480104702047577</v>
      </c>
      <c r="AG21" s="15">
        <f t="shared" ref="AG21:AH21" si="13">100*(1-(1-AG9/100)^12)</f>
        <v>6.1669976357872418</v>
      </c>
      <c r="AH21" s="15">
        <f t="shared" si="13"/>
        <v>5.795234165434449</v>
      </c>
      <c r="AI21" s="15">
        <f t="shared" si="11"/>
        <v>1.0641498617208893</v>
      </c>
    </row>
    <row r="22" spans="1:35" x14ac:dyDescent="0.25">
      <c r="A22" s="3">
        <f>A10</f>
        <v>-25</v>
      </c>
      <c r="C22" s="15">
        <f>100*(1-(1-C10/100)^12)</f>
        <v>10.104153435987129</v>
      </c>
      <c r="D22" s="15">
        <f>100*(1-(1-D10/100)^12)</f>
        <v>9.7508291499283075</v>
      </c>
      <c r="E22" s="15">
        <f t="shared" si="5"/>
        <v>1.0362353068263348</v>
      </c>
      <c r="I22" s="15">
        <f>100*(1-(1-I10/100)^12)</f>
        <v>6.2156263440941384</v>
      </c>
      <c r="J22" s="15">
        <f>100*(1-(1-J10/100)^12)</f>
        <v>8.7653211113436384</v>
      </c>
      <c r="K22" s="15">
        <f t="shared" si="6"/>
        <v>0.70911564620835021</v>
      </c>
      <c r="O22" s="15">
        <f>100*(1-(1-O10/100)^12)</f>
        <v>8.5435031478459216</v>
      </c>
      <c r="P22" s="15">
        <f>100*(1-(1-P10/100)^12)</f>
        <v>8.7119219033410253</v>
      </c>
      <c r="Q22" s="15">
        <f t="shared" si="7"/>
        <v>0.98066801362963152</v>
      </c>
      <c r="U22" s="15">
        <f>100*(1-(1-U10/100)^12)</f>
        <v>8.2615423729020634</v>
      </c>
      <c r="V22" s="15">
        <f>100*(1-(1-V10/100)^12)</f>
        <v>8.2431269993588625</v>
      </c>
      <c r="W22" s="15">
        <f t="shared" si="8"/>
        <v>1.0022340276383748</v>
      </c>
      <c r="AA22" s="15">
        <f>100*(1-(1-AA10/100)^12)</f>
        <v>7.4341850696605816</v>
      </c>
      <c r="AB22" s="15">
        <f>100*(1-(1-AB10/100)^12)</f>
        <v>7.5224925133817067</v>
      </c>
      <c r="AC22" s="15">
        <f t="shared" si="9"/>
        <v>0.988260879812903</v>
      </c>
      <c r="AG22" s="15">
        <f t="shared" ref="AG22:AH22" si="14">100*(1-(1-AG10/100)^12)</f>
        <v>7.2506019719939747</v>
      </c>
      <c r="AH22" s="15">
        <f t="shared" si="14"/>
        <v>7.4043360993098943</v>
      </c>
      <c r="AI22" s="15">
        <f t="shared" si="11"/>
        <v>0.97923728403816679</v>
      </c>
    </row>
    <row r="24" spans="1:35" x14ac:dyDescent="0.25">
      <c r="E24" s="16">
        <f>AVERAGE(E21:E22)</f>
        <v>1.0162004569670511</v>
      </c>
      <c r="K24" s="16">
        <f>AVERAGE(K21:K22)</f>
        <v>0.83950273238858886</v>
      </c>
      <c r="Q24" s="16">
        <f>AVERAGE(Q21:Q22)</f>
        <v>0.97786316209389934</v>
      </c>
      <c r="W24" s="16">
        <f>AVERAGE(W21:W22)</f>
        <v>1.0174864341681955</v>
      </c>
      <c r="AC24" s="16">
        <f>AVERAGE(AC21:AC22)</f>
        <v>1.0181356750088304</v>
      </c>
    </row>
    <row r="28" spans="1:35" x14ac:dyDescent="0.25">
      <c r="U28" s="3"/>
      <c r="V28" s="3"/>
    </row>
    <row r="29" spans="1:35" x14ac:dyDescent="0.25">
      <c r="U29" s="3"/>
      <c r="V29" s="3"/>
    </row>
    <row r="30" spans="1:35" x14ac:dyDescent="0.25">
      <c r="U30" s="3"/>
      <c r="V30" s="3"/>
    </row>
    <row r="31" spans="1:35" x14ac:dyDescent="0.25">
      <c r="U31" s="3"/>
      <c r="V31" s="3"/>
    </row>
    <row r="32" spans="1:35" x14ac:dyDescent="0.25">
      <c r="U32" s="3"/>
      <c r="V32" s="3"/>
    </row>
    <row r="33" spans="21:22" x14ac:dyDescent="0.25">
      <c r="U33" s="3"/>
      <c r="V33" s="3"/>
    </row>
    <row r="34" spans="21:22" x14ac:dyDescent="0.25">
      <c r="U34" s="3"/>
      <c r="V34" s="3"/>
    </row>
    <row r="35" spans="21:22" x14ac:dyDescent="0.25">
      <c r="U35" s="3"/>
      <c r="V35" s="3"/>
    </row>
    <row r="36" spans="21:22" x14ac:dyDescent="0.25">
      <c r="U36" s="3"/>
      <c r="V36" s="3"/>
    </row>
    <row r="37" spans="21:22" x14ac:dyDescent="0.25">
      <c r="U37" s="3"/>
      <c r="V37" s="3"/>
    </row>
  </sheetData>
  <pageMargins left="0.7" right="0.7" top="0.75" bottom="0.75" header="0.3" footer="0.3"/>
  <pageSetup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2018-04-27T15:12:52Z</cp:lastPrinted>
  <dcterms:created xsi:type="dcterms:W3CDTF">2018-04-26T15:06:17Z</dcterms:created>
  <dcterms:modified xsi:type="dcterms:W3CDTF">2018-04-30T20:48:57Z</dcterms:modified>
</cp:coreProperties>
</file>