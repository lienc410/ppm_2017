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295" yWindow="1170" windowWidth="42270" windowHeight="14865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0" r:id="rId4"/>
  </pivotCaches>
</workbook>
</file>

<file path=xl/calcChain.xml><?xml version="1.0" encoding="utf-8"?>
<calcChain xmlns="http://schemas.openxmlformats.org/spreadsheetml/2006/main">
  <c r="K29" i="4" l="1"/>
  <c r="J29" i="4"/>
  <c r="I29" i="4"/>
  <c r="J28" i="4"/>
  <c r="I28" i="4"/>
  <c r="K28" i="4" s="1"/>
  <c r="J27" i="4"/>
  <c r="I27" i="4"/>
  <c r="K27" i="4" s="1"/>
  <c r="J26" i="4"/>
  <c r="I26" i="4"/>
  <c r="K26" i="4" s="1"/>
  <c r="J25" i="4"/>
  <c r="I25" i="4"/>
  <c r="K25" i="4" s="1"/>
  <c r="J24" i="4"/>
  <c r="K24" i="4" s="1"/>
  <c r="I24" i="4"/>
  <c r="J23" i="4"/>
  <c r="I23" i="4"/>
  <c r="K23" i="4" s="1"/>
  <c r="J22" i="4"/>
  <c r="I22" i="4"/>
  <c r="K22" i="4" s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C23" i="4"/>
  <c r="D23" i="4"/>
  <c r="C24" i="4"/>
  <c r="D24" i="4"/>
  <c r="E24" i="4"/>
  <c r="C25" i="4"/>
  <c r="D25" i="4"/>
  <c r="C26" i="4"/>
  <c r="D26" i="4"/>
  <c r="C27" i="4"/>
  <c r="D27" i="4"/>
  <c r="E27" i="4"/>
  <c r="C28" i="4"/>
  <c r="D28" i="4"/>
  <c r="C29" i="4"/>
  <c r="D29" i="4"/>
  <c r="D22" i="4"/>
  <c r="C22" i="4"/>
  <c r="A29" i="4"/>
  <c r="A23" i="4"/>
  <c r="A24" i="4"/>
  <c r="A25" i="4"/>
  <c r="A26" i="4"/>
  <c r="A27" i="4"/>
  <c r="A28" i="4"/>
  <c r="A22" i="4"/>
  <c r="E25" i="4" l="1"/>
  <c r="E23" i="4"/>
  <c r="E26" i="4"/>
  <c r="E29" i="4"/>
  <c r="E28" i="4"/>
  <c r="E22" i="4"/>
  <c r="AH26" i="4" l="1"/>
  <c r="AG26" i="4"/>
  <c r="AH25" i="4"/>
  <c r="AG25" i="4"/>
  <c r="AH24" i="4"/>
  <c r="AG24" i="4"/>
  <c r="AH23" i="4"/>
  <c r="AG23" i="4"/>
  <c r="AI23" i="4" s="1"/>
  <c r="AI25" i="4" l="1"/>
  <c r="AI24" i="4"/>
  <c r="AI26" i="4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N2" i="1"/>
  <c r="AM2" i="1"/>
  <c r="AL2" i="1"/>
  <c r="F25" i="4" l="1"/>
</calcChain>
</file>

<file path=xl/sharedStrings.xml><?xml version="1.0" encoding="utf-8"?>
<sst xmlns="http://schemas.openxmlformats.org/spreadsheetml/2006/main" count="118" uniqueCount="54">
  <si>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</si>
  <si>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</si>
  <si>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</si>
  <si>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</si>
  <si>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</si>
  <si>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</si>
  <si>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</si>
  <si>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</si>
  <si>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</si>
  <si>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</si>
  <si>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</si>
  <si>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</si>
  <si>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</si>
  <si>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</si>
  <si>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</si>
  <si>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</si>
  <si>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</si>
  <si>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</si>
  <si>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</si>
  <si>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</si>
  <si>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</si>
  <si>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</si>
  <si>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</si>
  <si>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</si>
  <si>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</si>
  <si>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</si>
  <si>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</si>
  <si>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</si>
  <si>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</si>
  <si>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</si>
  <si>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</si>
  <si>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</si>
  <si>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</si>
  <si>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</si>
  <si>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</si>
  <si>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</si>
  <si>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</si>
  <si>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</si>
  <si>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</si>
  <si>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</si>
  <si>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</si>
  <si>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</si>
  <si>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</si>
  <si>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</si>
  <si>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</si>
  <si>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</si>
  <si>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</si>
  <si>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</si>
  <si>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</si>
  <si>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</si>
  <si>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ACLS</t>
  </si>
  <si>
    <t>AOLS</t>
  </si>
  <si>
    <t>by</t>
  </si>
  <si>
    <t>ALCS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</si>
</sst>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Border="1"/>
    <xf numFmtId="2" fontId="0" fillId="0" borderId="0" xfId="0" applyNumberFormat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00374029221707"/>
          <c:y val="6.0659813356663747E-2"/>
          <c:w val="0.64875831999439493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Analysis!$C$20:$C$21</c:f>
              <c:strCache>
                <c:ptCount val="1"/>
                <c:pt idx="0">
                  <c:v>ALCS actual</c:v>
                </c:pt>
              </c:strCache>
            </c:strRef>
          </c:tx>
          <c:marker>
            <c:symbol val="none"/>
          </c:marker>
          <c:cat>
            <c:numRef>
              <c:f>Analysis!$A$22:$A$29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</c:numCache>
            </c:numRef>
          </c:cat>
          <c:val>
            <c:numRef>
              <c:f>Analysis!$C$22:$C$29</c:f>
              <c:numCache>
                <c:formatCode>_(* #,##0.00_);_(* \(#,##0.00\);_(* "-"??_);_(@_)</c:formatCode>
                <c:ptCount val="8"/>
                <c:pt idx="0">
                  <c:v>74.408040983085272</c:v>
                </c:pt>
                <c:pt idx="1">
                  <c:v>33.687661469555152</c:v>
                </c:pt>
                <c:pt idx="2">
                  <c:v>14.15986627703365</c:v>
                </c:pt>
                <c:pt idx="3">
                  <c:v>10.738831000167693</c:v>
                </c:pt>
                <c:pt idx="4">
                  <c:v>9.823810336775729</c:v>
                </c:pt>
                <c:pt idx="5">
                  <c:v>9.7217345194264393</c:v>
                </c:pt>
                <c:pt idx="6">
                  <c:v>9.2194135927553553</c:v>
                </c:pt>
                <c:pt idx="7">
                  <c:v>8.9284092603542078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Analysis!$D$20:$D$21</c:f>
              <c:strCache>
                <c:ptCount val="1"/>
                <c:pt idx="0">
                  <c:v>ALCS model</c:v>
                </c:pt>
              </c:strCache>
            </c:strRef>
          </c:tx>
          <c:marker>
            <c:symbol val="none"/>
          </c:marker>
          <c:cat>
            <c:numRef>
              <c:f>Analysis!$A$22:$A$29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</c:numCache>
            </c:numRef>
          </c:cat>
          <c:val>
            <c:numRef>
              <c:f>Analysis!$D$22:$D$29</c:f>
              <c:numCache>
                <c:formatCode>_(* #,##0.00_);_(* \(#,##0.00\);_(* "-"??_);_(@_)</c:formatCode>
                <c:ptCount val="8"/>
                <c:pt idx="0">
                  <c:v>18.460681630874888</c:v>
                </c:pt>
                <c:pt idx="1">
                  <c:v>11.839422461095872</c:v>
                </c:pt>
                <c:pt idx="2">
                  <c:v>10.440707586942766</c:v>
                </c:pt>
                <c:pt idx="3">
                  <c:v>9.489556027858292</c:v>
                </c:pt>
                <c:pt idx="4">
                  <c:v>9.5854724715080604</c:v>
                </c:pt>
                <c:pt idx="5">
                  <c:v>9.5534604099127289</c:v>
                </c:pt>
                <c:pt idx="6">
                  <c:v>9.3273827409605445</c:v>
                </c:pt>
                <c:pt idx="7">
                  <c:v>9.0604865358500994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101120"/>
        <c:axId val="244102656"/>
      </c:lineChart>
      <c:catAx>
        <c:axId val="2441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4102656"/>
        <c:crosses val="autoZero"/>
        <c:auto val="1"/>
        <c:lblAlgn val="ctr"/>
        <c:lblOffset val="100"/>
        <c:noMultiLvlLbl val="0"/>
      </c:catAx>
      <c:valAx>
        <c:axId val="2441026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44101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Analysis!$I$20:$I$21</c:f>
              <c:strCache>
                <c:ptCount val="1"/>
                <c:pt idx="0">
                  <c:v>AOLS actual</c:v>
                </c:pt>
              </c:strCache>
            </c:strRef>
          </c:tx>
          <c:marker>
            <c:symbol val="none"/>
          </c:marker>
          <c:cat>
            <c:numRef>
              <c:f>Analysis!$A$22:$A$29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</c:numCache>
            </c:numRef>
          </c:cat>
          <c:val>
            <c:numRef>
              <c:f>Analysis!$I$22:$I$29</c:f>
              <c:numCache>
                <c:formatCode>_(* #,##0.00_);_(* \(#,##0.00\);_(* "-"??_);_(@_)</c:formatCode>
                <c:ptCount val="8"/>
                <c:pt idx="0">
                  <c:v>21.029244568289485</c:v>
                </c:pt>
                <c:pt idx="1">
                  <c:v>10.011253812145071</c:v>
                </c:pt>
                <c:pt idx="2">
                  <c:v>10.677509239707305</c:v>
                </c:pt>
                <c:pt idx="3">
                  <c:v>9.0586239999065672</c:v>
                </c:pt>
                <c:pt idx="4">
                  <c:v>10.096190783928428</c:v>
                </c:pt>
                <c:pt idx="5">
                  <c:v>9.13930913085672</c:v>
                </c:pt>
                <c:pt idx="6">
                  <c:v>9.23229672553928</c:v>
                </c:pt>
                <c:pt idx="7">
                  <c:v>9.1515404396550597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Analysis!$J$20:$J$21</c:f>
              <c:strCache>
                <c:ptCount val="1"/>
                <c:pt idx="0">
                  <c:v>AOLS model</c:v>
                </c:pt>
              </c:strCache>
            </c:strRef>
          </c:tx>
          <c:marker>
            <c:symbol val="none"/>
          </c:marker>
          <c:cat>
            <c:numRef>
              <c:f>Analysis!$A$22:$A$29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</c:numCache>
            </c:numRef>
          </c:cat>
          <c:val>
            <c:numRef>
              <c:f>Analysis!$J$22:$J$29</c:f>
              <c:numCache>
                <c:formatCode>_(* #,##0.00_);_(* \(#,##0.00\);_(* "-"??_);_(@_)</c:formatCode>
                <c:ptCount val="8"/>
                <c:pt idx="0">
                  <c:v>13.926255355513906</c:v>
                </c:pt>
                <c:pt idx="1">
                  <c:v>12.262800644432314</c:v>
                </c:pt>
                <c:pt idx="2">
                  <c:v>10.415699417369783</c:v>
                </c:pt>
                <c:pt idx="3">
                  <c:v>9.5731742461322984</c:v>
                </c:pt>
                <c:pt idx="4">
                  <c:v>9.6068748976718137</c:v>
                </c:pt>
                <c:pt idx="5">
                  <c:v>9.5220378090977054</c:v>
                </c:pt>
                <c:pt idx="6">
                  <c:v>9.3988120711697825</c:v>
                </c:pt>
                <c:pt idx="7">
                  <c:v>9.3984690920634666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6122368"/>
        <c:axId val="246123904"/>
      </c:lineChart>
      <c:catAx>
        <c:axId val="246122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6123904"/>
        <c:crosses val="autoZero"/>
        <c:auto val="1"/>
        <c:lblAlgn val="ctr"/>
        <c:lblOffset val="100"/>
        <c:noMultiLvlLbl val="0"/>
      </c:catAx>
      <c:valAx>
        <c:axId val="2461239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461223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233362</xdr:colOff>
      <xdr:row>32</xdr:row>
      <xdr:rowOff>161925</xdr:rowOff>
    </xdr:from>
    <xdr:to>
      <xdr:col>7</xdr:col>
      <xdr:colOff>128587</xdr:colOff>
      <xdr:row>47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280987</xdr:colOff>
      <xdr:row>32</xdr:row>
      <xdr:rowOff>171450</xdr:rowOff>
    </xdr:from>
    <xdr:to>
      <xdr:col>13</xdr:col>
      <xdr:colOff>785812</xdr:colOff>
      <xdr:row>47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866775</xdr:colOff>
      <xdr:row>49</xdr:row>
      <xdr:rowOff>19050</xdr:rowOff>
    </xdr:from>
    <xdr:to>
      <xdr:col>16</xdr:col>
      <xdr:colOff>142178</xdr:colOff>
      <xdr:row>79</xdr:row>
      <xdr:rowOff>104050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0225" y="935355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161925</xdr:rowOff>
    </xdr:from>
    <xdr:to>
      <xdr:col>7</xdr:col>
      <xdr:colOff>837503</xdr:colOff>
      <xdr:row>79</xdr:row>
      <xdr:rowOff>56425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305925"/>
          <a:ext cx="5580953" cy="5800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561395949073" createdVersion="4" refreshedVersion="4" minRefreshableVersion="3" recordCount="30">
  <cacheSource type="worksheet">
    <worksheetSource ref="B1:AN31" sheet="Tracking_aggData_by_incentive_2"/>
  </cacheSource>
  <cacheFields count="39">
    <cacheField name="by" numFmtId="0">
      <sharedItems count="2">
        <s v="ACLS"/>
        <s v="AOLS"/>
      </sharedItems>
    </cacheField>
    <cacheField name="x" numFmtId="0">
      <sharedItems containsSemiMixedTypes="0" containsString="0" containsNumber="1" containsInteger="1" minValue="20" maxValue="300" count="15">
        <n v="20"/>
        <n v="40"/>
        <n v="60"/>
        <n v="80"/>
        <n v="100"/>
        <n v="120"/>
        <n v="140"/>
        <n v="160"/>
        <n v="180"/>
        <n v="200"/>
        <n v="220"/>
        <n v="240"/>
        <n v="260"/>
        <n v="280"/>
        <n v="300"/>
      </sharedItems>
    </cacheField>
    <cacheField name="actual.smm" numFmtId="0">
      <sharedItems containsSemiMixedTypes="0" containsString="0" containsNumber="1" minValue="0.61865807364986503" maxValue="10.736215766636899"/>
    </cacheField>
    <cacheField name="model.smm" numFmtId="0">
      <sharedItems containsSemiMixedTypes="0" containsString="0" containsNumber="1" minValue="0.64410149192148403" maxValue="1.68632668298342"/>
    </cacheField>
    <cacheField name="track.err" numFmtId="0">
      <sharedItems containsSemiMixedTypes="0" containsString="0" containsNumber="1" minValue="-9.04988908365352" maxValue="0.20908652713220999"/>
    </cacheField>
    <cacheField name="curt.smm" numFmtId="0">
      <sharedItems containsSemiMixedTypes="0" containsString="0" containsNumber="1" minValue="5.1290345287221498E-2" maxValue="0.67245049886571895"/>
    </cacheField>
    <cacheField name="dflt.smm" numFmtId="0">
      <sharedItems containsSemiMixedTypes="0" containsString="0" containsNumber="1" minValue="8.3241493137346505E-3" maxValue="2.7899984381949201E-2"/>
    </cacheField>
    <cacheField name="cout.smm" numFmtId="0">
      <sharedItems containsSemiMixedTypes="0" containsString="0" containsNumber="1" minValue="1.91353295135143E-3" maxValue="4.4489241330246697E-2"/>
    </cacheField>
    <cacheField name="turn.smm" numFmtId="0">
      <sharedItems containsSemiMixedTypes="0" containsString="0" containsNumber="1" minValue="0.44115619546148099" maxValue="1.1455975184993601"/>
    </cacheField>
    <cacheField name="refi.smm" numFmtId="0">
      <sharedItems containsSemiMixedTypes="0" containsString="0" containsNumber="1" minValue="9.0705246357267802E-7" maxValue="0.137233737156715"/>
    </cacheField>
    <cacheField name="pct_inv" numFmtId="0">
      <sharedItems containsSemiMixedTypes="0" containsString="0" containsNumber="1" minValue="5.6060301359123503" maxValue="58.966301619196003"/>
    </cacheField>
    <cacheField name="pct_2nd" numFmtId="0">
      <sharedItems containsSemiMixedTypes="0" containsString="0" containsNumber="1" minValue="3.9711945329713099" maxValue="21.9981394066611"/>
    </cacheField>
    <cacheField name="pct_owner" numFmtId="0">
      <sharedItems containsSemiMixedTypes="0" containsString="0" containsNumber="1" minValue="29.537190946803101" maxValue="90.331039446750495"/>
    </cacheField>
    <cacheField name="pct_purchase" numFmtId="0">
      <sharedItems containsSemiMixedTypes="0" containsString="0" containsNumber="1" minValue="25.057466895818099" maxValue="60.196965542515599"/>
    </cacheField>
    <cacheField name="pct_REFI_NCO" numFmtId="0">
      <sharedItems containsSemiMixedTypes="0" containsString="0" containsNumber="1" minValue="24.686196335930301" maxValue="57.871122866982802"/>
    </cacheField>
    <cacheField name="pct_REFI_CO" numFmtId="0">
      <sharedItems containsSemiMixedTypes="0" containsString="0" containsNumber="1" minValue="13.38404051356" maxValue="31.0715978276233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minValue="24.686196335930301" maxValue="57.871122866982802"/>
    </cacheField>
    <cacheField name="pct_dq" numFmtId="0">
      <sharedItems containsSemiMixedTypes="0" containsString="0" containsNumber="1" minValue="0.31011019554756603" maxValue="0.86106334738616497"/>
    </cacheField>
    <cacheField name="incentive" numFmtId="0">
      <sharedItems containsSemiMixedTypes="0" containsString="0" containsNumber="1" minValue="-35.864564386066" maxValue="-24.037814029274099"/>
    </cacheField>
    <cacheField name="burnout" numFmtId="0">
      <sharedItems containsSemiMixedTypes="0" containsString="0" containsNumber="1" minValue="251.00364717762201" maxValue="468.42193630033501"/>
    </cacheField>
    <cacheField name="refi_elig_pct" numFmtId="0">
      <sharedItems containsSemiMixedTypes="0" containsString="0" containsNumber="1" minValue="98.922761436361895" maxValue="100"/>
    </cacheField>
    <cacheField name="cltv" numFmtId="0">
      <sharedItems containsSemiMixedTypes="0" containsString="0" containsNumber="1" minValue="8.2640888555853103" maxValue="52.459520100989202"/>
    </cacheField>
    <cacheField name="wacls" numFmtId="0">
      <sharedItems containsSemiMixedTypes="0" containsString="0" containsNumber="1" minValue="14.340003863860201" maxValue="379.98302629236503"/>
    </cacheField>
    <cacheField name="wala" numFmtId="0">
      <sharedItems containsSemiMixedTypes="0" containsString="0" containsNumber="1" minValue="54.087976147605303" maxValue="58.321658369867102"/>
    </cacheField>
    <cacheField name="wac" numFmtId="0">
      <sharedItems containsSemiMixedTypes="0" containsString="0" containsNumber="1" minValue="3.5575602848023502" maxValue="4.0483539300627296"/>
    </cacheField>
    <cacheField name="fico" numFmtId="0">
      <sharedItems containsSemiMixedTypes="0" containsString="0" containsNumber="1" minValue="707.38776262613396" maxValue="774.14315718017804"/>
    </cacheField>
    <cacheField name="pct_HARPed" numFmtId="0">
      <sharedItems containsSemiMixedTypes="0" containsString="0" containsNumber="1" minValue="2.9932587363413998" maxValue="28.032050071371501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1.978401612016" maxValue="173.217776983482"/>
    </cacheField>
    <cacheField name="hpa2yr" numFmtId="0">
      <sharedItems containsSemiMixedTypes="0" containsString="0" containsNumber="1" minValue="111.316448268128" maxValue="112.17372010506"/>
    </cacheField>
    <cacheField name="media_effect" numFmtId="0">
      <sharedItems containsSemiMixedTypes="0" containsString="0" containsNumber="1" minValue="29.515126671143701" maxValue="32.253770427417997"/>
    </cacheField>
    <cacheField name="sato" numFmtId="0">
      <sharedItems containsSemiMixedTypes="0" containsString="0" containsNumber="1" minValue="-22.992185575895299" maxValue="-1.21129584997274"/>
    </cacheField>
    <cacheField name="bal" numFmtId="0">
      <sharedItems containsSemiMixedTypes="0" containsString="0" containsNumber="1" minValue="1710206.8" maxValue="865571698530.30005"/>
    </cacheField>
    <cacheField name="std" numFmtId="0">
      <sharedItems containsSemiMixedTypes="0" containsString="0" containsNumber="1" minValue="4.1930311672551297E-2" maxValue="0.26554415694956701"/>
    </cacheField>
    <cacheField name="n" numFmtId="0">
      <sharedItems containsSemiMixedTypes="0" containsString="0" containsNumber="1" containsInteger="1" minValue="120" maxValue="129608"/>
    </cacheField>
    <cacheField name="Ratio" numFmtId="0">
      <sharedItems containsSemiMixedTypes="0" containsString="0" containsNumber="1" minValue="0.8071656648885277" maxValue="6.3666286461426154"/>
    </cacheField>
    <cacheField name="model w/o refi" numFmtId="11">
      <sharedItems containsSemiMixedTypes="0" containsString="0" containsNumber="1" minValue="0.51040485051653506" maxValue="1.6863256786162912"/>
    </cacheField>
    <cacheField name="Ratio w/o refi" numFmtId="11">
      <sharedItems containsSemiMixedTypes="0" containsString="0" containsNumber="1" minValue="0.80756466864526089" maxValue="6.36663243807475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n v="10.736215766636899"/>
    <n v="1.68632668298342"/>
    <n v="-9.04988908365352"/>
    <n v="0.67245049886571895"/>
    <n v="1.5399625822457399E-2"/>
    <n v="1.91353295135143E-3"/>
    <n v="0.99656202097675795"/>
    <n v="1.00436712870276E-6"/>
    <n v="31.020031376959601"/>
    <n v="11.800260124436599"/>
    <n v="57.179708498603802"/>
    <n v="60.196965542515599"/>
    <n v="25.7711261884638"/>
    <n v="14.031908269020599"/>
    <n v="0"/>
    <n v="25.7711261884638"/>
    <n v="0.63986910737948299"/>
    <n v="-30.862992193714401"/>
    <n v="389.23736738528203"/>
    <n v="99.920991613352001"/>
    <n v="8.2640888555853103"/>
    <n v="15.0994118514548"/>
    <n v="57.799411784792802"/>
    <n v="3.73593797071719"/>
    <n v="762.13898982502201"/>
    <n v="9.7862248394375602"/>
    <n v="0"/>
    <n v="171.68573400551901"/>
    <n v="112.072245351747"/>
    <n v="29.820191958651701"/>
    <n v="-10.1498059651218"/>
    <n v="85955938.200000003"/>
    <n v="0.26554415694956701"/>
    <n v="5053"/>
    <n v="6.3666286461426154"/>
    <n v="1.6863256786162912"/>
    <n v="6.3666324380747525"/>
  </r>
  <r>
    <x v="0"/>
    <x v="1"/>
    <n v="3.3653535706163802"/>
    <n v="1.0445915939947501"/>
    <n v="-2.3207619766216299"/>
    <n v="0.17621477051912501"/>
    <n v="1.7345948921899002E-2"/>
    <n v="1.0166918098845099E-2"/>
    <n v="0.83946343483998098"/>
    <n v="1.40052161489918E-3"/>
    <n v="29.210543735990701"/>
    <n v="7.0579229286622498"/>
    <n v="63.731533335347102"/>
    <n v="53.927979759207602"/>
    <n v="32.687979727232403"/>
    <n v="13.38404051356"/>
    <n v="0"/>
    <n v="32.687979727232403"/>
    <n v="0.70159940098194695"/>
    <n v="-31.238727296465399"/>
    <n v="388.621225984391"/>
    <n v="99.874989055730197"/>
    <n v="25.1981999638618"/>
    <n v="35.438869668455702"/>
    <n v="57.040232479780201"/>
    <n v="3.7179432495229801"/>
    <n v="765.09452008061703"/>
    <n v="13.0000784518851"/>
    <n v="0"/>
    <n v="172.18217444789099"/>
    <n v="112.10188978796"/>
    <n v="29.7098584018533"/>
    <n v="-7.4815159738485804"/>
    <n v="2197702577.1999998"/>
    <n v="0.121661314514368"/>
    <n v="21821"/>
    <n v="3.2216931382211502"/>
    <n v="1.043191072379851"/>
    <n v="3.2260183773802216"/>
  </r>
  <r>
    <x v="0"/>
    <x v="2"/>
    <n v="1.2643024356212"/>
    <n v="0.91470170882017598"/>
    <n v="-0.349600726801023"/>
    <n v="7.9716607736081802E-2"/>
    <n v="2.0647573000072202E-2"/>
    <n v="1.4740786878796401E-2"/>
    <n v="0.792660833177397"/>
    <n v="6.9359080278285704E-3"/>
    <n v="30.992728756396399"/>
    <n v="6.5825770870884401"/>
    <n v="62.424694156515201"/>
    <n v="43.7122692471956"/>
    <n v="38.136745461218702"/>
    <n v="18.150985291585702"/>
    <n v="0"/>
    <n v="38.136745461218702"/>
    <n v="0.80611819071447099"/>
    <n v="-30.145694762343801"/>
    <n v="378.14152323458302"/>
    <n v="99.763553153149502"/>
    <n v="38.922836069564397"/>
    <n v="45.630254336578503"/>
    <n v="56.7150230301596"/>
    <n v="3.7446051249532402"/>
    <n v="760.07602135797902"/>
    <n v="17.956273874851298"/>
    <n v="0"/>
    <n v="171.679660240944"/>
    <n v="112.07443342978399"/>
    <n v="29.8381273848299"/>
    <n v="-5.0157825982414401"/>
    <n v="6727455421.1999998"/>
    <n v="9.3727248476184702E-2"/>
    <n v="43683"/>
    <n v="1.382201895361008"/>
    <n v="0.90776580079234737"/>
    <n v="1.3927627968773975"/>
  </r>
  <r>
    <x v="0"/>
    <x v="3"/>
    <n v="0.94222985155042205"/>
    <n v="0.82743226912499501"/>
    <n v="-0.11479758242542799"/>
    <n v="6.44524135428787E-2"/>
    <n v="1.8262290807862701E-2"/>
    <n v="1.2615481999139E-2"/>
    <n v="0.70779176770817798"/>
    <n v="2.43103150669364E-2"/>
    <n v="19.540182782120599"/>
    <n v="4.6882328359975798"/>
    <n v="75.771584381881794"/>
    <n v="33.1206845317461"/>
    <n v="49.274816326755897"/>
    <n v="17.604499141498"/>
    <n v="0"/>
    <n v="49.274816326755897"/>
    <n v="0.72466553991271998"/>
    <n v="-29.955768011596501"/>
    <n v="379.42909135308003"/>
    <n v="99.869146029207997"/>
    <n v="40.419291376612399"/>
    <n v="69.767225805782999"/>
    <n v="56.575557257254403"/>
    <n v="3.67834441358763"/>
    <n v="767.70378685766002"/>
    <n v="21.8347270373398"/>
    <n v="0"/>
    <n v="172.414043817124"/>
    <n v="112.120770176992"/>
    <n v="29.515126671143701"/>
    <n v="-8.7294838183593892"/>
    <n v="48593436311.599998"/>
    <n v="7.4524863584535903E-2"/>
    <n v="79135"/>
    <n v="1.1387395521168455"/>
    <n v="0.80312195405805864"/>
    <n v="1.1732089339476668"/>
  </r>
  <r>
    <x v="0"/>
    <x v="4"/>
    <n v="0.85800433888834504"/>
    <n v="0.83619452067083799"/>
    <n v="-2.18098182175069E-2"/>
    <n v="5.6756966979109001E-2"/>
    <n v="1.6241803742033899E-2"/>
    <n v="1.48810721942698E-2"/>
    <n v="0.71027801980064698"/>
    <n v="3.8036657954778598E-2"/>
    <n v="18.029808142617998"/>
    <n v="5.8503253204917796"/>
    <n v="76.1198665368902"/>
    <n v="34.850316160304899"/>
    <n v="45.1822749818418"/>
    <n v="19.9674088578534"/>
    <n v="0"/>
    <n v="45.1822749818418"/>
    <n v="0.619837631586314"/>
    <n v="-30.319213392920201"/>
    <n v="341.39555475874198"/>
    <n v="99.896177823982896"/>
    <n v="45.037270992925201"/>
    <n v="90.564618106816795"/>
    <n v="55.907056158625203"/>
    <n v="3.6697757674331899"/>
    <n v="763.939953641638"/>
    <n v="16.5668673520223"/>
    <n v="0"/>
    <n v="171.74782786390301"/>
    <n v="112.086998138032"/>
    <n v="29.7640841936031"/>
    <n v="-10.091882869769201"/>
    <n v="56831329496.400002"/>
    <n v="7.1960428759290304E-2"/>
    <n v="88623"/>
    <n v="1.0260822304838952"/>
    <n v="0.79815786271605937"/>
    <n v="1.0749807512622045"/>
  </r>
  <r>
    <x v="0"/>
    <x v="5"/>
    <n v="0.84865712496404599"/>
    <n v="0.83326917696580405"/>
    <n v="-1.53879479982419E-2"/>
    <n v="5.9577155090909197E-2"/>
    <n v="1.47964802032078E-2"/>
    <n v="1.46987766111448E-2"/>
    <n v="0.696551765759856"/>
    <n v="4.7644999300685997E-2"/>
    <n v="16.257100636738802"/>
    <n v="6.07828098612283"/>
    <n v="77.664618377138396"/>
    <n v="32.831029332237499"/>
    <n v="47.311494493387002"/>
    <n v="19.857476174375499"/>
    <n v="0"/>
    <n v="47.311494493387002"/>
    <n v="0.55962051064963503"/>
    <n v="-29.956491206855802"/>
    <n v="364.19255603344698"/>
    <n v="99.898233313499901"/>
    <n v="44.467582518106902"/>
    <n v="105.011107668706"/>
    <n v="57.053403991141899"/>
    <n v="3.6650014533987298"/>
    <n v="765.10340065843695"/>
    <n v="15.151978072982001"/>
    <n v="0"/>
    <n v="172.08272023135501"/>
    <n v="112.097213962117"/>
    <n v="29.660894516884301"/>
    <n v="-12.186626709754901"/>
    <n v="50232980223.699997"/>
    <n v="7.2714496382219398E-2"/>
    <n v="64815"/>
    <n v="1.018466959325526"/>
    <n v="0.78562417766511805"/>
    <n v="1.0802329524611405"/>
  </r>
  <r>
    <x v="0"/>
    <x v="6"/>
    <n v="0.80279962390522497"/>
    <n v="0.81263660227635603"/>
    <n v="9.8369783711313701E-3"/>
    <n v="5.6135444415635699E-2"/>
    <n v="1.2400745576211699E-2"/>
    <n v="1.140160447719E-2"/>
    <n v="0.67357815489770601"/>
    <n v="5.9120652909612902E-2"/>
    <n v="10.651234501432199"/>
    <n v="4.8612910900140696"/>
    <n v="84.487474408553695"/>
    <n v="30.570820346786999"/>
    <n v="49.226833140221501"/>
    <n v="20.202346512991401"/>
    <n v="0"/>
    <n v="49.226833140221501"/>
    <n v="0.47011465210672898"/>
    <n v="-30.222191176245701"/>
    <n v="353.00243219714901"/>
    <n v="99.958037379329099"/>
    <n v="43.781878436971503"/>
    <n v="126.334672655519"/>
    <n v="56.520513489344403"/>
    <n v="3.6288971199865698"/>
    <n v="769.22461250153106"/>
    <n v="12.194429393449999"/>
    <n v="0"/>
    <n v="172.257758342447"/>
    <n v="112.11444284304601"/>
    <n v="29.5947358801875"/>
    <n v="-13.9326687008662"/>
    <n v="133831320835"/>
    <n v="6.1585935590094697E-2"/>
    <n v="70038"/>
    <n v="0.98789498486337468"/>
    <n v="0.75351594936674315"/>
    <n v="1.0654049520516453"/>
  </r>
  <r>
    <x v="0"/>
    <x v="7"/>
    <n v="0.77633977250074204"/>
    <n v="0.78833940718380702"/>
    <n v="1.19996346830652E-2"/>
    <n v="5.3040650421299601E-2"/>
    <n v="1.15764092928757E-2"/>
    <n v="1.4087374172300901E-2"/>
    <n v="0.63919952989751305"/>
    <n v="7.0435443399817999E-2"/>
    <n v="11.6090395675905"/>
    <n v="4.7807574714697498"/>
    <n v="83.610202960939702"/>
    <n v="26.855065357674899"/>
    <n v="48.7774111969578"/>
    <n v="24.367523445367301"/>
    <n v="0"/>
    <n v="48.7774111969578"/>
    <n v="0.42685063744829399"/>
    <n v="-30.132959347907502"/>
    <n v="326.14900172465599"/>
    <n v="99.940249564054099"/>
    <n v="47.5660710191679"/>
    <n v="147.04211018067301"/>
    <n v="55.469087327212897"/>
    <n v="3.6366864234668701"/>
    <n v="764.81719600909298"/>
    <n v="10.7793937276554"/>
    <n v="0"/>
    <n v="171.62522568268599"/>
    <n v="112.08521306778201"/>
    <n v="29.7631674410936"/>
    <n v="-12.411595980572001"/>
    <n v="91259866729"/>
    <n v="6.6602264715024298E-2"/>
    <n v="74591"/>
    <n v="0.98477859336509466"/>
    <n v="0.71790396378398902"/>
    <n v="1.0813978075963595"/>
  </r>
  <r>
    <x v="0"/>
    <x v="8"/>
    <n v="0.74242861319875997"/>
    <n v="0.73385778689508097"/>
    <n v="-8.5708263036788999E-3"/>
    <n v="5.5394695172319097E-2"/>
    <n v="8.9726262751832295E-3"/>
    <n v="9.8896559328633896E-3"/>
    <n v="0.57092101538057305"/>
    <n v="8.8679794134142301E-2"/>
    <n v="6.8910121570817999"/>
    <n v="4.0524932572286501"/>
    <n v="89.056494585689506"/>
    <n v="28.1921786183939"/>
    <n v="52.465864500545898"/>
    <n v="19.341956881060199"/>
    <n v="0"/>
    <n v="52.465864500545898"/>
    <n v="0.33107119338449997"/>
    <n v="-29.6711273440689"/>
    <n v="352.563242339927"/>
    <n v="99.9755902793041"/>
    <n v="45.339788392718603"/>
    <n v="177.686790183879"/>
    <n v="56.872196712257399"/>
    <n v="3.6107087122738299"/>
    <n v="770.97868613614105"/>
    <n v="8.4099180361502803"/>
    <n v="0"/>
    <n v="172.74816774090701"/>
    <n v="112.15017714292"/>
    <n v="29.541226883706699"/>
    <n v="-15.659557770292199"/>
    <n v="205284383056.29999"/>
    <n v="5.8716722733955798E-2"/>
    <n v="40705"/>
    <n v="1.0116791379157286"/>
    <n v="0.64517799276093868"/>
    <n v="1.1507345593448599"/>
  </r>
  <r>
    <x v="0"/>
    <x v="9"/>
    <n v="0.75954895182264803"/>
    <n v="0.76898255135162397"/>
    <n v="9.4335995289760999E-3"/>
    <n v="5.2907509242309102E-2"/>
    <n v="1.11209019971076E-2"/>
    <n v="2.0278987674014402E-2"/>
    <n v="0.60033160132992802"/>
    <n v="8.4343551108265302E-2"/>
    <n v="19.072341597113802"/>
    <n v="10.525549545514"/>
    <n v="70.402108857372198"/>
    <n v="27.698426867764599"/>
    <n v="43.331771915948302"/>
    <n v="28.969801216287198"/>
    <n v="0"/>
    <n v="43.331771915948302"/>
    <n v="0.379515473981062"/>
    <n v="-32.854520901235297"/>
    <n v="280.65989660224301"/>
    <n v="99.873582869877694"/>
    <n v="47.4299329806746"/>
    <n v="182.36742706268799"/>
    <n v="54.165277920966801"/>
    <n v="3.66890497068988"/>
    <n v="753.18275745376002"/>
    <n v="9.5921918255463705"/>
    <n v="0"/>
    <n v="169.19219653622901"/>
    <n v="111.91318463441699"/>
    <n v="30.3807849329751"/>
    <n v="-12.600613583909601"/>
    <n v="31181063520.799999"/>
    <n v="6.3477291540247005E-2"/>
    <n v="23620"/>
    <n v="0.98773236205113535"/>
    <n v="0.68463900024335866"/>
    <n v="1.1094152561461765"/>
  </r>
  <r>
    <x v="0"/>
    <x v="10"/>
    <n v="0.92205230454579201"/>
    <n v="0.82940307383044398"/>
    <n v="-9.2649230715347697E-2"/>
    <n v="5.5795038498658703E-2"/>
    <n v="1.8428095333469799E-2"/>
    <n v="4.4489241330246697E-2"/>
    <n v="0.60759944597414495"/>
    <n v="0.103091252693924"/>
    <n v="42.5876359455388"/>
    <n v="16.811824364917399"/>
    <n v="40.600539689543801"/>
    <n v="33.325613215380798"/>
    <n v="37.759578281211702"/>
    <n v="28.9148085034075"/>
    <n v="0"/>
    <n v="37.759578281211702"/>
    <n v="0.56878675788717503"/>
    <n v="-31.290196263884599"/>
    <n v="327.78783581130801"/>
    <n v="98.922761436361895"/>
    <n v="44.531203638207799"/>
    <n v="211.590115390856"/>
    <n v="57.722476084963198"/>
    <n v="3.86844792906837"/>
    <n v="731.184571828049"/>
    <n v="13.7866444174783"/>
    <n v="0"/>
    <n v="163.844484651144"/>
    <n v="111.535750237024"/>
    <n v="32.253770427417997"/>
    <n v="-17.035737274614998"/>
    <n v="2449786836.0999999"/>
    <n v="8.9031742848157097E-2"/>
    <n v="8618"/>
    <n v="1.1117059167474082"/>
    <n v="0.72631182113652004"/>
    <n v="1.2694992394629909"/>
  </r>
  <r>
    <x v="0"/>
    <x v="11"/>
    <n v="0.785291728103787"/>
    <n v="0.782867686666745"/>
    <n v="-2.4240414370415202E-3"/>
    <n v="5.3790986282857597E-2"/>
    <n v="1.41777900405413E-2"/>
    <n v="3.7595911699621197E-2"/>
    <n v="0.56622653171715298"/>
    <n v="0.111076466926572"/>
    <n v="36.869374734905698"/>
    <n v="13.3568724059029"/>
    <n v="49.773752859191397"/>
    <n v="31.016452262416902"/>
    <n v="42.997808220264197"/>
    <n v="25.985739517318802"/>
    <n v="0"/>
    <n v="42.997808220264197"/>
    <n v="0.48997799514288898"/>
    <n v="-31.478288032465599"/>
    <n v="339.85758680166498"/>
    <n v="99.732875206575599"/>
    <n v="43.161836176353802"/>
    <n v="234.32113309668901"/>
    <n v="56.378894494124197"/>
    <n v="3.7970789638034699"/>
    <n v="741.85644444794502"/>
    <n v="13.1119804395336"/>
    <n v="0"/>
    <n v="169.35642014863399"/>
    <n v="111.894909793938"/>
    <n v="30.198255722912101"/>
    <n v="-6.5086793983536602"/>
    <n v="14893288211.1"/>
    <n v="6.0330962575034501E-2"/>
    <n v="14280"/>
    <n v="1.0030963615925483"/>
    <n v="0.67179121974017297"/>
    <n v="1.1689520568719436"/>
  </r>
  <r>
    <x v="0"/>
    <x v="12"/>
    <n v="0.67802190002255702"/>
    <n v="0.66445805738944397"/>
    <n v="-1.35638426331137E-2"/>
    <n v="5.3166691599600101E-2"/>
    <n v="8.6104903052110406E-3"/>
    <n v="9.0745147969655791E-3"/>
    <n v="0.48131645257094502"/>
    <n v="0.112289908116722"/>
    <n v="5.6977660202781797"/>
    <n v="3.9711945329713099"/>
    <n v="90.331039446750495"/>
    <n v="25.548342562258998"/>
    <n v="54.383902289601203"/>
    <n v="20.067755148139899"/>
    <n v="0"/>
    <n v="54.383902289601203"/>
    <n v="0.31572191712576497"/>
    <n v="-32.785280521488801"/>
    <n v="287.739717748342"/>
    <n v="99.992057277965401"/>
    <n v="46.094788793137702"/>
    <n v="249.09017563849"/>
    <n v="56.077217054838101"/>
    <n v="3.57640662465993"/>
    <n v="770.05332073366299"/>
    <n v="5.7874382122566397"/>
    <n v="0"/>
    <n v="172.580605208972"/>
    <n v="112.14752450588399"/>
    <n v="29.538360881265099"/>
    <n v="-17.1989786218513"/>
    <n v="479612188153.09998"/>
    <n v="4.1930311672551297E-2"/>
    <n v="31358"/>
    <n v="1.0204133917592983"/>
    <n v="0.55216814927272195"/>
    <n v="1.2279264947020232"/>
  </r>
  <r>
    <x v="0"/>
    <x v="13"/>
    <n v="0.66868071319748201"/>
    <n v="0.71389347408753201"/>
    <n v="4.5212760890049997E-2"/>
    <n v="5.3271974557525498E-2"/>
    <n v="1.43666808980638E-2"/>
    <n v="3.2199075226521497E-2"/>
    <n v="0.49815469887011499"/>
    <n v="0.115901044535307"/>
    <n v="26.886779760260499"/>
    <n v="21.9981394066611"/>
    <n v="51.115080833078302"/>
    <n v="26.1374171752819"/>
    <n v="42.790984997094803"/>
    <n v="31.0715978276233"/>
    <n v="0"/>
    <n v="42.790984997094803"/>
    <n v="0.45413382136585501"/>
    <n v="-34.341020209913701"/>
    <n v="295.97490107362"/>
    <n v="99.851009170785304"/>
    <n v="43.669955278867903"/>
    <n v="266.17381070786598"/>
    <n v="56.2138411453343"/>
    <n v="3.7297451516884399"/>
    <n v="737.74334125476798"/>
    <n v="8.7314465741419305"/>
    <n v="0"/>
    <n v="166.69068132142701"/>
    <n v="111.69174432774599"/>
    <n v="31.089433441459601"/>
    <n v="-18.376143011437701"/>
    <n v="7105847325.1000004"/>
    <n v="5.8842859938310003E-2"/>
    <n v="8868"/>
    <n v="0.93666735650183808"/>
    <n v="0.59799242955222498"/>
    <n v="1.1182093286669001"/>
  </r>
  <r>
    <x v="0"/>
    <x v="14"/>
    <n v="0.61865807364986503"/>
    <n v="0.64763858767325"/>
    <n v="2.89805140233854E-2"/>
    <n v="5.1290345287221498E-2"/>
    <n v="8.4546692680820806E-3"/>
    <n v="9.5036404997504396E-3"/>
    <n v="0.44115619546148099"/>
    <n v="0.137233737156715"/>
    <n v="6.5708043188784497"/>
    <n v="4.2636989094213904"/>
    <n v="89.165496771700205"/>
    <n v="25.6803162379721"/>
    <n v="56.892570951174797"/>
    <n v="17.427112810853199"/>
    <n v="0"/>
    <n v="56.892570951174797"/>
    <n v="0.31261625893975897"/>
    <n v="-35.864564386066"/>
    <n v="251.00364717762201"/>
    <n v="99.986380492467802"/>
    <n v="44.241841744869397"/>
    <n v="379.98302629236503"/>
    <n v="55.749703735123902"/>
    <n v="3.5670753750386202"/>
    <n v="767.78870873228595"/>
    <n v="2.9932587363413998"/>
    <n v="0"/>
    <n v="172.519904382627"/>
    <n v="112.14569155576601"/>
    <n v="29.588383141799198"/>
    <n v="-17.4762451170775"/>
    <n v="615467043651.09998"/>
    <n v="5.9863294173178802E-2"/>
    <n v="96969"/>
    <n v="0.95525202701787382"/>
    <n v="0.51040485051653506"/>
    <n v="1.2120928573146916"/>
  </r>
  <r>
    <x v="1"/>
    <x v="0"/>
    <n v="1.94821045936082"/>
    <n v="1.2419381721088001"/>
    <n v="-0.70627228725202096"/>
    <n v="6.3862879341733597E-2"/>
    <n v="2.7899984381949201E-2"/>
    <n v="4.5768828332913101E-3"/>
    <n v="1.1455975184993601"/>
    <n v="9.0705246357267802E-7"/>
    <n v="58.966301619196003"/>
    <n v="9.1953207062444093"/>
    <n v="31.838377674559599"/>
    <n v="31.416300063828501"/>
    <n v="46.311984024388202"/>
    <n v="22.2717159117833"/>
    <n v="0"/>
    <n v="46.311984024388202"/>
    <n v="0.83698639837006805"/>
    <n v="-24.037814029274099"/>
    <n v="468.42193630033501"/>
    <n v="100"/>
    <n v="33.771630039127402"/>
    <n v="14.340003863860201"/>
    <n v="55.5961041670516"/>
    <n v="4.0483539300627296"/>
    <n v="707.38776262613396"/>
    <n v="28.032050071371501"/>
    <n v="0"/>
    <n v="161.978401612016"/>
    <n v="111.316448268128"/>
    <n v="31.2868026895929"/>
    <n v="-5.1908415812637401"/>
    <n v="1710206.8"/>
    <n v="0.12848606444008201"/>
    <n v="120"/>
    <n v="1.5686855457971598"/>
    <n v="1.2419372650563365"/>
    <n v="1.5686866914911726"/>
  </r>
  <r>
    <x v="1"/>
    <x v="1"/>
    <n v="0.87519406538436395"/>
    <n v="1.0842805925165699"/>
    <n v="0.20908652713220999"/>
    <n v="5.8640462455483801E-2"/>
    <n v="2.35133627359536E-2"/>
    <n v="2.1513832954889001E-2"/>
    <n v="0.980077210054209"/>
    <n v="5.3572431603868004E-4"/>
    <n v="55.628594085204"/>
    <n v="14.834214967993001"/>
    <n v="29.537190946803101"/>
    <n v="52.039822629557598"/>
    <n v="24.686196335930301"/>
    <n v="23.273981034512101"/>
    <n v="0"/>
    <n v="24.686196335930301"/>
    <n v="0.86106334738616497"/>
    <n v="-32.9281307935833"/>
    <n v="339.684489289856"/>
    <n v="99.872778515081805"/>
    <n v="42.8874669111431"/>
    <n v="31.421120692551298"/>
    <n v="56.423980966536099"/>
    <n v="3.8645902808983901"/>
    <n v="724.63385209274895"/>
    <n v="15.0736894247982"/>
    <n v="0"/>
    <n v="168.436407241371"/>
    <n v="111.84804377201699"/>
    <n v="31.260829684197599"/>
    <n v="-1.21129584997274"/>
    <n v="193597803.19999999"/>
    <n v="9.42373111998768E-2"/>
    <n v="4843"/>
    <n v="0.8071656648885277"/>
    <n v="1.0837448682005313"/>
    <n v="0.80756466864526089"/>
  </r>
  <r>
    <x v="1"/>
    <x v="2"/>
    <n v="0.93656064034240605"/>
    <n v="0.91239632282307503"/>
    <n v="-2.4164317519330899E-2"/>
    <n v="6.3794653429492199E-2"/>
    <n v="2.1320520484663898E-2"/>
    <n v="1.29016318319567E-2"/>
    <n v="0.80971576120620903"/>
    <n v="4.6637558707524496E-3"/>
    <n v="31.8228188094869"/>
    <n v="4.99112837272909"/>
    <n v="63.186052817784002"/>
    <n v="46.022750158275102"/>
    <n v="37.296074273069102"/>
    <n v="16.681175568655799"/>
    <n v="0"/>
    <n v="37.296074273069102"/>
    <n v="0.84536866159942703"/>
    <n v="-30.2151524694853"/>
    <n v="382.36950529352498"/>
    <n v="99.783049347301002"/>
    <n v="40.185954720517898"/>
    <n v="42.299971323047302"/>
    <n v="56.419815706486403"/>
    <n v="3.7451631699272001"/>
    <n v="762.42609608146199"/>
    <n v="18.817386871508301"/>
    <n v="0"/>
    <n v="172.16538687870201"/>
    <n v="112.107233414367"/>
    <n v="29.635397559937001"/>
    <n v="-2.8062674831707501"/>
    <n v="6243700711.1000004"/>
    <n v="7.7839903090585194E-2"/>
    <n v="33565"/>
    <n v="1.0264844529892048"/>
    <n v="0.90773256695232263"/>
    <n v="1.0317583332796714"/>
  </r>
  <r>
    <x v="1"/>
    <x v="3"/>
    <n v="0.78817007892900004"/>
    <n v="0.83507056522594603"/>
    <n v="4.6900486296945799E-2"/>
    <n v="5.4723632334503801E-2"/>
    <n v="2.0186500495256401E-2"/>
    <n v="1.44298506721096E-2"/>
    <n v="0.72430230542025698"/>
    <n v="2.14282763038189E-2"/>
    <n v="22.118052910362799"/>
    <n v="4.7960982436057202"/>
    <n v="73.085848846031496"/>
    <n v="34.5020984571075"/>
    <n v="46.269925820813803"/>
    <n v="19.227975722078799"/>
    <n v="0"/>
    <n v="46.269925820813803"/>
    <n v="0.79656053412837802"/>
    <n v="-29.951727680877401"/>
    <n v="366.051998209158"/>
    <n v="99.838190205917499"/>
    <n v="43.163192204383698"/>
    <n v="65.422164532852904"/>
    <n v="55.967910709299197"/>
    <n v="3.6935539584660502"/>
    <n v="764.010941515593"/>
    <n v="21.324231799037999"/>
    <n v="0"/>
    <n v="172.085644036715"/>
    <n v="112.10428628788399"/>
    <n v="29.592988354559299"/>
    <n v="-6.6399011203966696"/>
    <n v="31993343352.5"/>
    <n v="7.3184020410623593E-2"/>
    <n v="50455"/>
    <n v="0.94383649927326074"/>
    <n v="0.81364228892212709"/>
    <n v="0.96869360118084402"/>
  </r>
  <r>
    <x v="1"/>
    <x v="4"/>
    <n v="0.88299411969138597"/>
    <n v="0.838150858496026"/>
    <n v="-4.4843261195359398E-2"/>
    <n v="6.1516746897239301E-2"/>
    <n v="1.7182978124304801E-2"/>
    <n v="1.6296839803511601E-2"/>
    <n v="0.71249138059983597"/>
    <n v="3.06629130711343E-2"/>
    <n v="21.664948374570798"/>
    <n v="5.8110532362924303"/>
    <n v="72.523998389136807"/>
    <n v="32.102740300264301"/>
    <n v="49.700865024228797"/>
    <n v="18.196394675506902"/>
    <n v="0"/>
    <n v="49.700865024228797"/>
    <n v="0.65823703985604698"/>
    <n v="-30.436187970125602"/>
    <n v="362.13744879793097"/>
    <n v="99.829641212393696"/>
    <n v="43.013241039552398"/>
    <n v="79.519718185595806"/>
    <n v="56.608015315016701"/>
    <n v="3.6907785941484899"/>
    <n v="762.83392658671198"/>
    <n v="22.326366907705701"/>
    <n v="0"/>
    <n v="171.770684886711"/>
    <n v="112.078256493716"/>
    <n v="29.793667663540301"/>
    <n v="-9.2126422451996408"/>
    <n v="26239260837.900002"/>
    <n v="8.1654959782105199E-2"/>
    <n v="64213"/>
    <n v="1.0535026132119301"/>
    <n v="0.80748794542489166"/>
    <n v="1.0935074940676219"/>
  </r>
  <r>
    <x v="1"/>
    <x v="5"/>
    <n v="0.79550830130274797"/>
    <n v="0.830398622584126"/>
    <n v="3.4890321281377999E-2"/>
    <n v="5.4192169188094497E-2"/>
    <n v="1.5802234878205899E-2"/>
    <n v="1.36486512556117E-2"/>
    <n v="0.70447826404637304"/>
    <n v="4.2277303215840403E-2"/>
    <n v="16.373371111971998"/>
    <n v="5.4565213207293803"/>
    <n v="78.170107567298601"/>
    <n v="32.868002386369803"/>
    <n v="46.898488583521797"/>
    <n v="20.233509030108401"/>
    <n v="0"/>
    <n v="46.898488583521797"/>
    <n v="0.60224570948703005"/>
    <n v="-30.0897788525902"/>
    <n v="342.90312483028998"/>
    <n v="99.928585595473095"/>
    <n v="46.612405633058302"/>
    <n v="97.035745557262999"/>
    <n v="55.871757046354098"/>
    <n v="3.6618753830000199"/>
    <n v="765.25590146388095"/>
    <n v="16.3206230800768"/>
    <n v="0"/>
    <n v="171.90377155274399"/>
    <n v="112.096432782124"/>
    <n v="29.671972447907802"/>
    <n v="-10.045816137912199"/>
    <n v="74286286607.199997"/>
    <n v="7.2185864036831499E-2"/>
    <n v="80973"/>
    <n v="0.95798364745259035"/>
    <n v="0.78812131936828556"/>
    <n v="1.009372899518038"/>
  </r>
  <r>
    <x v="1"/>
    <x v="6"/>
    <n v="0.80397283164269095"/>
    <n v="0.81915037173908201"/>
    <n v="1.51775400963914E-2"/>
    <n v="5.4863903861919298E-2"/>
    <n v="1.31067942662595E-2"/>
    <n v="1.1781385154016701E-2"/>
    <n v="0.68421046358499005"/>
    <n v="5.5187824871896801E-2"/>
    <n v="11.492531679592901"/>
    <n v="4.6896163619746796"/>
    <n v="83.817851958432499"/>
    <n v="30.720520155639601"/>
    <n v="48.305167464213"/>
    <n v="20.974312380147399"/>
    <n v="0"/>
    <n v="48.305167464213"/>
    <n v="0.497728245651472"/>
    <n v="-30.2371168003184"/>
    <n v="344.74911683268198"/>
    <n v="99.947761401897694"/>
    <n v="44.847833174593298"/>
    <n v="119.65714290986899"/>
    <n v="56.174860701234699"/>
    <n v="3.6327209695610798"/>
    <n v="768.66829976174802"/>
    <n v="12.914574498818601"/>
    <n v="0"/>
    <n v="172.10268395413499"/>
    <n v="112.108551554973"/>
    <n v="29.641183848614599"/>
    <n v="-13.0110671014584"/>
    <n v="117820538639.39999"/>
    <n v="7.6170532638948699E-2"/>
    <n v="65531"/>
    <n v="0.98147160689902557"/>
    <n v="0.76396254686718523"/>
    <n v="1.0523720500953582"/>
  </r>
  <r>
    <x v="1"/>
    <x v="7"/>
    <n v="0.79662124650915001"/>
    <n v="0.81911908360982399"/>
    <n v="2.2497837100673799E-2"/>
    <n v="5.4977866096536203E-2"/>
    <n v="1.1959939350712699E-2"/>
    <n v="1.5752849009171399E-2"/>
    <n v="0.66980067050080905"/>
    <n v="6.6627758652595098E-2"/>
    <n v="12.438933712725801"/>
    <n v="5.6509741953730703"/>
    <n v="81.910092091901205"/>
    <n v="29.131521833218802"/>
    <n v="46.912101586520897"/>
    <n v="23.956376580260301"/>
    <n v="0"/>
    <n v="46.912101586520897"/>
    <n v="0.43736917021976601"/>
    <n v="-29.6053580951091"/>
    <n v="330.31256402067498"/>
    <n v="99.9299587007269"/>
    <n v="46.315655981448998"/>
    <n v="138.316468023997"/>
    <n v="55.352780843507297"/>
    <n v="3.64784044674894"/>
    <n v="762.18823851182105"/>
    <n v="11.656342401524499"/>
    <n v="0"/>
    <n v="171.14345436512099"/>
    <n v="112.061596418804"/>
    <n v="29.9172547403031"/>
    <n v="-12.2929317726876"/>
    <n v="54739389407.099998"/>
    <n v="8.0983406366687896E-2"/>
    <n v="54499"/>
    <n v="0.97253410700489729"/>
    <n v="0.75249132495722892"/>
    <n v="1.0586450901004465"/>
  </r>
  <r>
    <x v="1"/>
    <x v="8"/>
    <n v="0.77671511404168203"/>
    <n v="0.76824984772190297"/>
    <n v="-8.4652663197792508E-3"/>
    <n v="5.5294847037931603E-2"/>
    <n v="1.1394429045638499E-2"/>
    <n v="1.26460401388014E-2"/>
    <n v="0.618756809105515"/>
    <n v="7.0157722394015895E-2"/>
    <n v="11.2112044544456"/>
    <n v="5.0380198909309097"/>
    <n v="83.750775654623496"/>
    <n v="27.319934325688099"/>
    <n v="50.735545940914101"/>
    <n v="21.944519733397801"/>
    <n v="0"/>
    <n v="50.735545940914101"/>
    <n v="0.42781338508722"/>
    <n v="-30.511059098365401"/>
    <n v="364.02268403785399"/>
    <n v="99.930285712281204"/>
    <n v="43.831710572782903"/>
    <n v="147.34158052106301"/>
    <n v="57.2159659010225"/>
    <n v="3.6328982012451601"/>
    <n v="768.37204940068898"/>
    <n v="10.647082782263199"/>
    <n v="0"/>
    <n v="172.481887496513"/>
    <n v="112.113940537866"/>
    <n v="29.522335965891699"/>
    <n v="-14.9130001780526"/>
    <n v="65982357933.599998"/>
    <n v="7.6864966683975702E-2"/>
    <n v="65897"/>
    <n v="1.0110188974913319"/>
    <n v="0.69809212532788711"/>
    <n v="1.1126255201301209"/>
  </r>
  <r>
    <x v="1"/>
    <x v="9"/>
    <n v="0.77762979171453805"/>
    <n v="0.78441101134178703"/>
    <n v="6.7812196272482601E-3"/>
    <n v="5.3641762035048501E-2"/>
    <n v="1.08073713892203E-2"/>
    <n v="1.7204619635906301E-2"/>
    <n v="0.61447151694789603"/>
    <n v="8.8285741333715903E-2"/>
    <n v="13.941300168717801"/>
    <n v="6.0007148357901201"/>
    <n v="80.057984995492006"/>
    <n v="32.5535773914497"/>
    <n v="41.402961738610799"/>
    <n v="26.043460869939501"/>
    <n v="0"/>
    <n v="41.402961738610799"/>
    <n v="0.37389588713008398"/>
    <n v="-29.5428338371037"/>
    <n v="315.440141777375"/>
    <n v="99.938659842763002"/>
    <n v="52.459520100989202"/>
    <n v="175.42687827103401"/>
    <n v="54.348145956196298"/>
    <n v="3.6685891323515198"/>
    <n v="758.25046737775801"/>
    <n v="8.4646051552066996"/>
    <n v="0"/>
    <n v="170.54037844052999"/>
    <n v="112.017206138699"/>
    <n v="29.752949319600301"/>
    <n v="-9.9035447143588193"/>
    <n v="81510335387.5"/>
    <n v="7.2014373213556304E-2"/>
    <n v="38947"/>
    <n v="0.9913550172942508"/>
    <n v="0.69612527000807112"/>
    <n v="1.1170831245725672"/>
  </r>
  <r>
    <x v="1"/>
    <x v="10"/>
    <n v="0.73918970559978203"/>
    <n v="0.71854241225906801"/>
    <n v="-2.0647293340713899E-2"/>
    <n v="5.7071953571686401E-2"/>
    <n v="8.4443484012881997E-3"/>
    <n v="8.0115891509365596E-3"/>
    <n v="0.55755286413437599"/>
    <n v="8.7461657000780305E-2"/>
    <n v="5.6060301359123503"/>
    <n v="4.1224140459753196"/>
    <n v="90.271555818112304"/>
    <n v="25.057466895818099"/>
    <n v="56.969206750639302"/>
    <n v="17.9733263535425"/>
    <n v="0"/>
    <n v="56.969206750639302"/>
    <n v="0.31824811171694201"/>
    <n v="-30.087107952693099"/>
    <n v="362.18821202275001"/>
    <n v="99.978828912777104"/>
    <n v="42.690507964443398"/>
    <n v="177.714771482782"/>
    <n v="57.636184436694201"/>
    <n v="3.5951843890645399"/>
    <n v="774.14315718017804"/>
    <n v="8.7336523674663802"/>
    <n v="0"/>
    <n v="173.217776983482"/>
    <n v="112.17372010506"/>
    <n v="29.556302141740101"/>
    <n v="-17.638327795414298"/>
    <n v="152249723174.39999"/>
    <n v="6.9295005735656001E-2"/>
    <n v="31356"/>
    <n v="1.0287349681639526"/>
    <n v="0.63108075525828766"/>
    <n v="1.1713076328832872"/>
  </r>
  <r>
    <x v="1"/>
    <x v="11"/>
    <n v="1.1478584679010799"/>
    <n v="0.75279137744951397"/>
    <n v="-0.39506709045156402"/>
    <n v="7.75269591734178E-2"/>
    <n v="9.6426051775795E-3"/>
    <n v="1.4014487104565199E-2"/>
    <n v="0.57433234096714203"/>
    <n v="7.7274985026809198E-2"/>
    <n v="13.5647560925193"/>
    <n v="7.8492896831155097"/>
    <n v="78.585954224365196"/>
    <n v="35.7824499719068"/>
    <n v="49.9749941176118"/>
    <n v="14.2425559104814"/>
    <n v="0"/>
    <n v="49.9749941176118"/>
    <n v="0.350857063398687"/>
    <n v="-33.640725636027398"/>
    <n v="314.97600402601302"/>
    <n v="99.8260301936578"/>
    <n v="29.5129118097713"/>
    <n v="173.421177936275"/>
    <n v="58.321658369867102"/>
    <n v="3.6132403811593798"/>
    <n v="770.11771546376599"/>
    <n v="7.62611061914287"/>
    <n v="0"/>
    <n v="171.40996550242301"/>
    <n v="112.053125497914"/>
    <n v="30.379154395566001"/>
    <n v="-22.992185575895299"/>
    <n v="9799213888.7999992"/>
    <n v="9.4550514391186599E-2"/>
    <n v="13043"/>
    <n v="1.5248028899986452"/>
    <n v="0.67551639242270478"/>
    <n v="1.6992311079000535"/>
  </r>
  <r>
    <x v="1"/>
    <x v="12"/>
    <n v="1.1829748560465501"/>
    <n v="0.81299171158286798"/>
    <n v="-0.36998314446368502"/>
    <n v="7.1531740733034796E-2"/>
    <n v="1.4664130593404901E-2"/>
    <n v="3.4864743783908303E-2"/>
    <n v="0.59619568709279303"/>
    <n v="9.5735409379727202E-2"/>
    <n v="31.580849772884001"/>
    <n v="12.322872430374"/>
    <n v="56.096277796742001"/>
    <n v="38.434734301862498"/>
    <n v="37.990094548894298"/>
    <n v="23.5751711492432"/>
    <n v="0"/>
    <n v="37.990094548894298"/>
    <n v="0.49675739868896102"/>
    <n v="-31.687463545670798"/>
    <n v="332.08365797169103"/>
    <n v="99.577777182535598"/>
    <n v="39.8470945706812"/>
    <n v="203.85154284186601"/>
    <n v="55.822662745771098"/>
    <n v="3.7754426188744401"/>
    <n v="745.62534799977402"/>
    <n v="11.938713593521101"/>
    <n v="0"/>
    <n v="167.91530061328999"/>
    <n v="111.789683885928"/>
    <n v="30.699763863906899"/>
    <n v="-10.5130156074731"/>
    <n v="8599272409.7999992"/>
    <n v="8.2533706771506704E-2"/>
    <n v="13587"/>
    <n v="1.4550884580893662"/>
    <n v="0.71725630220314074"/>
    <n v="1.6493056281456122"/>
  </r>
  <r>
    <x v="1"/>
    <x v="13"/>
    <n v="0.73284062324222299"/>
    <n v="0.70248627058048996"/>
    <n v="-3.0354352661732899E-2"/>
    <n v="5.1747736909391599E-2"/>
    <n v="9.4887192538467696E-3"/>
    <n v="1.23822412861136E-2"/>
    <n v="0.50953285429944495"/>
    <n v="0.119334718831693"/>
    <n v="8.8386339607797009"/>
    <n v="5.0383775319575896"/>
    <n v="86.122988507262704"/>
    <n v="27.405975277361499"/>
    <n v="47.4877180271287"/>
    <n v="25.106306695509801"/>
    <n v="0"/>
    <n v="47.4877180271287"/>
    <n v="0.33598074633888902"/>
    <n v="-30.0325989651136"/>
    <n v="301.070659579888"/>
    <n v="99.983698638607095"/>
    <n v="50.8491990459314"/>
    <n v="246.724815391905"/>
    <n v="54.087976147605303"/>
    <n v="3.6297087568965698"/>
    <n v="764.47653202444599"/>
    <n v="6.4417051764733699"/>
    <n v="0"/>
    <n v="171.104451564085"/>
    <n v="112.069729697375"/>
    <n v="29.565751373950501"/>
    <n v="-11.5751505657517"/>
    <n v="250523219396.29999"/>
    <n v="6.1260748557619697E-2"/>
    <n v="25540"/>
    <n v="1.0432098874140987"/>
    <n v="0.58315155174879696"/>
    <n v="1.2566898279607208"/>
  </r>
  <r>
    <x v="1"/>
    <x v="14"/>
    <n v="0.634284262840351"/>
    <n v="0.64410149192148403"/>
    <n v="9.8172290811332392E-3"/>
    <n v="5.2874380866479297E-2"/>
    <n v="8.3241493137346505E-3"/>
    <n v="8.8472450701648601E-3"/>
    <n v="0.44629947885694299"/>
    <n v="0.12775623781416301"/>
    <n v="5.8878971490905299"/>
    <n v="4.1558542961696396"/>
    <n v="89.956248554739801"/>
    <n v="25.325078865864299"/>
    <n v="57.871122866982802"/>
    <n v="16.8037982671528"/>
    <n v="0"/>
    <n v="57.871122866982802"/>
    <n v="0.31011019554756603"/>
    <n v="-35.764275607667201"/>
    <n v="258.874313184615"/>
    <n v="99.987788354921904"/>
    <n v="43.176093979027002"/>
    <n v="342.26220642196103"/>
    <n v="56.450657329330902"/>
    <n v="3.5575602848023502"/>
    <n v="769.58414039253205"/>
    <n v="3.68572953994705"/>
    <n v="0"/>
    <n v="172.91013588075"/>
    <n v="112.16436259577"/>
    <n v="29.581169932673799"/>
    <n v="-18.974367235920401"/>
    <n v="865571698530.30005"/>
    <n v="6.9310530224337599E-2"/>
    <n v="129608"/>
    <n v="0.98475825750403678"/>
    <n v="0.51634525410732102"/>
    <n v="1.22841114117903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M19" firstHeaderRow="1" firstDataRow="3" firstDataCol="1"/>
  <pivotFields count="39">
    <pivotField axis="axisCol" showAll="0" defaultSubtotal="0">
      <items count="2">
        <item x="0"/>
        <item x="1"/>
      </items>
    </pivotField>
    <pivotField axis="axisRow" showAll="0" sortType="ascending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5">
    <format dxfId="4">
      <pivotArea outline="0" collapsedLevelsAreSubtotals="1" fieldPosition="0"/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1"/>
  <sheetViews>
    <sheetView topLeftCell="H1" workbookViewId="0">
      <selection activeCell="AL9" sqref="AL9:AN31"/>
    </sheetView>
  </sheetViews>
  <sheetFormatPr defaultRowHeight="15" x14ac:dyDescent="0.25"/>
  <cols>
    <col min="2" max="2" width="9.140625" style="3"/>
  </cols>
  <sheetData>
    <row r="1" spans="1:40" x14ac:dyDescent="0.25">
      <c r="B1" s="3" t="s">
        <v>52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s="3" t="s">
        <v>43</v>
      </c>
      <c r="AM1" s="3" t="s">
        <v>44</v>
      </c>
      <c r="AN1" s="3" t="s">
        <v>45</v>
      </c>
    </row>
    <row r="2" spans="1:40" x14ac:dyDescent="0.25">
      <c r="A2" s="3">
        <v>1</v>
      </c>
      <c r="B2" s="3" t="s">
        <v>50</v>
      </c>
      <c r="C2" s="3">
        <v>20</v>
      </c>
      <c r="D2" s="3">
        <v>10.736215766636899</v>
      </c>
      <c r="E2" s="3">
        <v>1.68632668298342</v>
      </c>
      <c r="F2" s="3">
        <v>-9.04988908365352</v>
      </c>
      <c r="G2" s="3">
        <v>0.67245049886571895</v>
      </c>
      <c r="H2" s="3">
        <v>1.5399625822457399E-2</v>
      </c>
      <c r="I2" s="3">
        <v>1.91353295135143E-3</v>
      </c>
      <c r="J2" s="3">
        <v>0.99656202097675795</v>
      </c>
      <c r="K2" s="4">
        <v>1.00436712870276E-6</v>
      </c>
      <c r="L2" s="3">
        <v>31.020031376959601</v>
      </c>
      <c r="M2" s="3">
        <v>11.800260124436599</v>
      </c>
      <c r="N2" s="3">
        <v>57.179708498603802</v>
      </c>
      <c r="O2" s="3">
        <v>60.196965542515599</v>
      </c>
      <c r="P2" s="3">
        <v>25.7711261884638</v>
      </c>
      <c r="Q2" s="3">
        <v>14.031908269020599</v>
      </c>
      <c r="R2" s="3">
        <v>0</v>
      </c>
      <c r="S2" s="3">
        <v>25.7711261884638</v>
      </c>
      <c r="T2" s="3">
        <v>0.63986910737948299</v>
      </c>
      <c r="U2" s="3">
        <v>-30.862992193714401</v>
      </c>
      <c r="V2" s="3">
        <v>389.23736738528203</v>
      </c>
      <c r="W2" s="3">
        <v>99.920991613352001</v>
      </c>
      <c r="X2" s="3">
        <v>8.2640888555853103</v>
      </c>
      <c r="Y2" s="3">
        <v>15.0994118514548</v>
      </c>
      <c r="Z2" s="3">
        <v>57.799411784792802</v>
      </c>
      <c r="AA2" s="3">
        <v>3.73593797071719</v>
      </c>
      <c r="AB2" s="3">
        <v>762.13898982502201</v>
      </c>
      <c r="AC2" s="3">
        <v>9.7862248394375602</v>
      </c>
      <c r="AD2" s="3">
        <v>0</v>
      </c>
      <c r="AE2" s="3">
        <v>171.68573400551901</v>
      </c>
      <c r="AF2" s="3">
        <v>112.072245351747</v>
      </c>
      <c r="AG2" s="3">
        <v>29.820191958651701</v>
      </c>
      <c r="AH2" s="3">
        <v>-10.1498059651218</v>
      </c>
      <c r="AI2" s="3">
        <v>85955938.200000003</v>
      </c>
      <c r="AJ2" s="3">
        <v>0.26554415694956701</v>
      </c>
      <c r="AK2" s="3">
        <v>5053</v>
      </c>
      <c r="AL2" s="3">
        <f>D2/E2</f>
        <v>6.3666286461426154</v>
      </c>
      <c r="AM2" s="4">
        <f>E2-K2</f>
        <v>1.6863256786162912</v>
      </c>
      <c r="AN2" s="4">
        <f>D2/(E2-K2)</f>
        <v>6.3666324380747525</v>
      </c>
    </row>
    <row r="3" spans="1:40" x14ac:dyDescent="0.25">
      <c r="A3" s="3">
        <v>2</v>
      </c>
      <c r="B3" s="3" t="s">
        <v>50</v>
      </c>
      <c r="C3" s="3">
        <v>40</v>
      </c>
      <c r="D3" s="3">
        <v>3.3653535706163802</v>
      </c>
      <c r="E3" s="3">
        <v>1.0445915939947501</v>
      </c>
      <c r="F3" s="3">
        <v>-2.3207619766216299</v>
      </c>
      <c r="G3" s="3">
        <v>0.17621477051912501</v>
      </c>
      <c r="H3" s="3">
        <v>1.7345948921899002E-2</v>
      </c>
      <c r="I3" s="3">
        <v>1.0166918098845099E-2</v>
      </c>
      <c r="J3" s="3">
        <v>0.83946343483998098</v>
      </c>
      <c r="K3" s="3">
        <v>1.40052161489918E-3</v>
      </c>
      <c r="L3" s="3">
        <v>29.210543735990701</v>
      </c>
      <c r="M3" s="3">
        <v>7.0579229286622498</v>
      </c>
      <c r="N3" s="3">
        <v>63.731533335347102</v>
      </c>
      <c r="O3" s="3">
        <v>53.927979759207602</v>
      </c>
      <c r="P3" s="3">
        <v>32.687979727232403</v>
      </c>
      <c r="Q3" s="3">
        <v>13.38404051356</v>
      </c>
      <c r="R3" s="3">
        <v>0</v>
      </c>
      <c r="S3" s="3">
        <v>32.687979727232403</v>
      </c>
      <c r="T3" s="3">
        <v>0.70159940098194695</v>
      </c>
      <c r="U3" s="3">
        <v>-31.238727296465399</v>
      </c>
      <c r="V3" s="3">
        <v>388.621225984391</v>
      </c>
      <c r="W3" s="3">
        <v>99.874989055730197</v>
      </c>
      <c r="X3" s="3">
        <v>25.1981999638618</v>
      </c>
      <c r="Y3" s="3">
        <v>35.438869668455702</v>
      </c>
      <c r="Z3" s="3">
        <v>57.040232479780201</v>
      </c>
      <c r="AA3" s="3">
        <v>3.7179432495229801</v>
      </c>
      <c r="AB3" s="3">
        <v>765.09452008061703</v>
      </c>
      <c r="AC3" s="3">
        <v>13.0000784518851</v>
      </c>
      <c r="AD3" s="3">
        <v>0</v>
      </c>
      <c r="AE3" s="3">
        <v>172.18217444789099</v>
      </c>
      <c r="AF3" s="3">
        <v>112.10188978796</v>
      </c>
      <c r="AG3" s="3">
        <v>29.7098584018533</v>
      </c>
      <c r="AH3" s="3">
        <v>-7.4815159738485804</v>
      </c>
      <c r="AI3" s="3">
        <v>2197702577.1999998</v>
      </c>
      <c r="AJ3" s="3">
        <v>0.121661314514368</v>
      </c>
      <c r="AK3" s="3">
        <v>21821</v>
      </c>
      <c r="AL3" s="3">
        <f t="shared" ref="AL3:AL9" si="0">D3/E3</f>
        <v>3.2216931382211502</v>
      </c>
      <c r="AM3" s="4">
        <f t="shared" ref="AM3:AM9" si="1">E3-K3</f>
        <v>1.043191072379851</v>
      </c>
      <c r="AN3" s="4">
        <f t="shared" ref="AN3:AN9" si="2">D3/(E3-K3)</f>
        <v>3.2260183773802216</v>
      </c>
    </row>
    <row r="4" spans="1:40" x14ac:dyDescent="0.25">
      <c r="A4" s="3">
        <v>3</v>
      </c>
      <c r="B4" s="3" t="s">
        <v>50</v>
      </c>
      <c r="C4" s="3">
        <v>60</v>
      </c>
      <c r="D4" s="3">
        <v>1.2643024356212</v>
      </c>
      <c r="E4" s="3">
        <v>0.91470170882017598</v>
      </c>
      <c r="F4" s="3">
        <v>-0.349600726801023</v>
      </c>
      <c r="G4" s="3">
        <v>7.9716607736081802E-2</v>
      </c>
      <c r="H4" s="3">
        <v>2.0647573000072202E-2</v>
      </c>
      <c r="I4" s="3">
        <v>1.4740786878796401E-2</v>
      </c>
      <c r="J4" s="3">
        <v>0.792660833177397</v>
      </c>
      <c r="K4" s="3">
        <v>6.9359080278285704E-3</v>
      </c>
      <c r="L4" s="3">
        <v>30.992728756396399</v>
      </c>
      <c r="M4" s="3">
        <v>6.5825770870884401</v>
      </c>
      <c r="N4" s="3">
        <v>62.424694156515201</v>
      </c>
      <c r="O4" s="3">
        <v>43.7122692471956</v>
      </c>
      <c r="P4" s="3">
        <v>38.136745461218702</v>
      </c>
      <c r="Q4" s="3">
        <v>18.150985291585702</v>
      </c>
      <c r="R4" s="3">
        <v>0</v>
      </c>
      <c r="S4" s="3">
        <v>38.136745461218702</v>
      </c>
      <c r="T4" s="3">
        <v>0.80611819071447099</v>
      </c>
      <c r="U4" s="3">
        <v>-30.145694762343801</v>
      </c>
      <c r="V4" s="3">
        <v>378.14152323458302</v>
      </c>
      <c r="W4" s="3">
        <v>99.763553153149502</v>
      </c>
      <c r="X4" s="3">
        <v>38.922836069564397</v>
      </c>
      <c r="Y4" s="3">
        <v>45.630254336578503</v>
      </c>
      <c r="Z4" s="3">
        <v>56.7150230301596</v>
      </c>
      <c r="AA4" s="3">
        <v>3.7446051249532402</v>
      </c>
      <c r="AB4" s="3">
        <v>760.07602135797902</v>
      </c>
      <c r="AC4" s="3">
        <v>17.956273874851298</v>
      </c>
      <c r="AD4" s="3">
        <v>0</v>
      </c>
      <c r="AE4" s="3">
        <v>171.679660240944</v>
      </c>
      <c r="AF4" s="3">
        <v>112.07443342978399</v>
      </c>
      <c r="AG4" s="3">
        <v>29.8381273848299</v>
      </c>
      <c r="AH4" s="3">
        <v>-5.0157825982414401</v>
      </c>
      <c r="AI4" s="3">
        <v>6727455421.1999998</v>
      </c>
      <c r="AJ4" s="3">
        <v>9.3727248476184702E-2</v>
      </c>
      <c r="AK4" s="3">
        <v>43683</v>
      </c>
      <c r="AL4" s="3">
        <f t="shared" si="0"/>
        <v>1.382201895361008</v>
      </c>
      <c r="AM4" s="4">
        <f t="shared" si="1"/>
        <v>0.90776580079234737</v>
      </c>
      <c r="AN4" s="4">
        <f t="shared" si="2"/>
        <v>1.3927627968773975</v>
      </c>
    </row>
    <row r="5" spans="1:40" x14ac:dyDescent="0.25">
      <c r="A5" s="3">
        <v>4</v>
      </c>
      <c r="B5" s="3" t="s">
        <v>50</v>
      </c>
      <c r="C5" s="3">
        <v>80</v>
      </c>
      <c r="D5" s="3">
        <v>0.94222985155042205</v>
      </c>
      <c r="E5" s="3">
        <v>0.82743226912499501</v>
      </c>
      <c r="F5" s="3">
        <v>-0.11479758242542799</v>
      </c>
      <c r="G5" s="3">
        <v>6.44524135428787E-2</v>
      </c>
      <c r="H5" s="3">
        <v>1.8262290807862701E-2</v>
      </c>
      <c r="I5" s="3">
        <v>1.2615481999139E-2</v>
      </c>
      <c r="J5" s="3">
        <v>0.70779176770817798</v>
      </c>
      <c r="K5" s="3">
        <v>2.43103150669364E-2</v>
      </c>
      <c r="L5" s="3">
        <v>19.540182782120599</v>
      </c>
      <c r="M5" s="3">
        <v>4.6882328359975798</v>
      </c>
      <c r="N5" s="3">
        <v>75.771584381881794</v>
      </c>
      <c r="O5" s="3">
        <v>33.1206845317461</v>
      </c>
      <c r="P5" s="3">
        <v>49.274816326755897</v>
      </c>
      <c r="Q5" s="3">
        <v>17.604499141498</v>
      </c>
      <c r="R5" s="3">
        <v>0</v>
      </c>
      <c r="S5" s="3">
        <v>49.274816326755897</v>
      </c>
      <c r="T5" s="3">
        <v>0.72466553991271998</v>
      </c>
      <c r="U5" s="3">
        <v>-29.955768011596501</v>
      </c>
      <c r="V5" s="3">
        <v>379.42909135308003</v>
      </c>
      <c r="W5" s="3">
        <v>99.869146029207997</v>
      </c>
      <c r="X5" s="3">
        <v>40.419291376612399</v>
      </c>
      <c r="Y5" s="3">
        <v>69.767225805782999</v>
      </c>
      <c r="Z5" s="3">
        <v>56.575557257254403</v>
      </c>
      <c r="AA5" s="3">
        <v>3.67834441358763</v>
      </c>
      <c r="AB5" s="3">
        <v>767.70378685766002</v>
      </c>
      <c r="AC5" s="3">
        <v>21.8347270373398</v>
      </c>
      <c r="AD5" s="3">
        <v>0</v>
      </c>
      <c r="AE5" s="3">
        <v>172.414043817124</v>
      </c>
      <c r="AF5" s="3">
        <v>112.120770176992</v>
      </c>
      <c r="AG5" s="3">
        <v>29.515126671143701</v>
      </c>
      <c r="AH5" s="3">
        <v>-8.7294838183593892</v>
      </c>
      <c r="AI5" s="3">
        <v>48593436311.599998</v>
      </c>
      <c r="AJ5" s="3">
        <v>7.4524863584535903E-2</v>
      </c>
      <c r="AK5" s="3">
        <v>79135</v>
      </c>
      <c r="AL5" s="3">
        <f t="shared" si="0"/>
        <v>1.1387395521168455</v>
      </c>
      <c r="AM5" s="4">
        <f t="shared" si="1"/>
        <v>0.80312195405805864</v>
      </c>
      <c r="AN5" s="4">
        <f t="shared" si="2"/>
        <v>1.1732089339476668</v>
      </c>
    </row>
    <row r="6" spans="1:40" x14ac:dyDescent="0.25">
      <c r="A6" s="3">
        <v>5</v>
      </c>
      <c r="B6" s="3" t="s">
        <v>50</v>
      </c>
      <c r="C6" s="3">
        <v>100</v>
      </c>
      <c r="D6" s="3">
        <v>0.85800433888834504</v>
      </c>
      <c r="E6" s="3">
        <v>0.83619452067083799</v>
      </c>
      <c r="F6" s="3">
        <v>-2.18098182175069E-2</v>
      </c>
      <c r="G6" s="3">
        <v>5.6756966979109001E-2</v>
      </c>
      <c r="H6" s="3">
        <v>1.6241803742033899E-2</v>
      </c>
      <c r="I6" s="3">
        <v>1.48810721942698E-2</v>
      </c>
      <c r="J6" s="3">
        <v>0.71027801980064698</v>
      </c>
      <c r="K6" s="3">
        <v>3.8036657954778598E-2</v>
      </c>
      <c r="L6" s="3">
        <v>18.029808142617998</v>
      </c>
      <c r="M6" s="3">
        <v>5.8503253204917796</v>
      </c>
      <c r="N6" s="3">
        <v>76.1198665368902</v>
      </c>
      <c r="O6" s="3">
        <v>34.850316160304899</v>
      </c>
      <c r="P6" s="3">
        <v>45.1822749818418</v>
      </c>
      <c r="Q6" s="3">
        <v>19.9674088578534</v>
      </c>
      <c r="R6" s="3">
        <v>0</v>
      </c>
      <c r="S6" s="3">
        <v>45.1822749818418</v>
      </c>
      <c r="T6" s="3">
        <v>0.619837631586314</v>
      </c>
      <c r="U6" s="3">
        <v>-30.319213392920201</v>
      </c>
      <c r="V6" s="3">
        <v>341.39555475874198</v>
      </c>
      <c r="W6" s="3">
        <v>99.896177823982896</v>
      </c>
      <c r="X6" s="3">
        <v>45.037270992925201</v>
      </c>
      <c r="Y6" s="3">
        <v>90.564618106816795</v>
      </c>
      <c r="Z6" s="3">
        <v>55.907056158625203</v>
      </c>
      <c r="AA6" s="3">
        <v>3.6697757674331899</v>
      </c>
      <c r="AB6" s="3">
        <v>763.939953641638</v>
      </c>
      <c r="AC6" s="3">
        <v>16.5668673520223</v>
      </c>
      <c r="AD6" s="3">
        <v>0</v>
      </c>
      <c r="AE6" s="3">
        <v>171.74782786390301</v>
      </c>
      <c r="AF6" s="3">
        <v>112.086998138032</v>
      </c>
      <c r="AG6" s="3">
        <v>29.7640841936031</v>
      </c>
      <c r="AH6" s="3">
        <v>-10.091882869769201</v>
      </c>
      <c r="AI6" s="3">
        <v>56831329496.400002</v>
      </c>
      <c r="AJ6" s="3">
        <v>7.1960428759290304E-2</v>
      </c>
      <c r="AK6" s="3">
        <v>88623</v>
      </c>
      <c r="AL6" s="3">
        <f t="shared" si="0"/>
        <v>1.0260822304838952</v>
      </c>
      <c r="AM6" s="4">
        <f t="shared" si="1"/>
        <v>0.79815786271605937</v>
      </c>
      <c r="AN6" s="4">
        <f t="shared" si="2"/>
        <v>1.0749807512622045</v>
      </c>
    </row>
    <row r="7" spans="1:40" x14ac:dyDescent="0.25">
      <c r="A7" s="3">
        <v>6</v>
      </c>
      <c r="B7" s="3" t="s">
        <v>50</v>
      </c>
      <c r="C7" s="3">
        <v>120</v>
      </c>
      <c r="D7" s="3">
        <v>0.84865712496404599</v>
      </c>
      <c r="E7" s="3">
        <v>0.83326917696580405</v>
      </c>
      <c r="F7" s="3">
        <v>-1.53879479982419E-2</v>
      </c>
      <c r="G7" s="3">
        <v>5.9577155090909197E-2</v>
      </c>
      <c r="H7" s="3">
        <v>1.47964802032078E-2</v>
      </c>
      <c r="I7" s="3">
        <v>1.46987766111448E-2</v>
      </c>
      <c r="J7" s="3">
        <v>0.696551765759856</v>
      </c>
      <c r="K7" s="3">
        <v>4.7644999300685997E-2</v>
      </c>
      <c r="L7" s="3">
        <v>16.257100636738802</v>
      </c>
      <c r="M7" s="3">
        <v>6.07828098612283</v>
      </c>
      <c r="N7" s="3">
        <v>77.664618377138396</v>
      </c>
      <c r="O7" s="3">
        <v>32.831029332237499</v>
      </c>
      <c r="P7" s="3">
        <v>47.311494493387002</v>
      </c>
      <c r="Q7" s="3">
        <v>19.857476174375499</v>
      </c>
      <c r="R7" s="3">
        <v>0</v>
      </c>
      <c r="S7" s="3">
        <v>47.311494493387002</v>
      </c>
      <c r="T7" s="3">
        <v>0.55962051064963503</v>
      </c>
      <c r="U7" s="3">
        <v>-29.956491206855802</v>
      </c>
      <c r="V7" s="3">
        <v>364.19255603344698</v>
      </c>
      <c r="W7" s="3">
        <v>99.898233313499901</v>
      </c>
      <c r="X7" s="3">
        <v>44.467582518106902</v>
      </c>
      <c r="Y7" s="3">
        <v>105.011107668706</v>
      </c>
      <c r="Z7" s="3">
        <v>57.053403991141899</v>
      </c>
      <c r="AA7" s="3">
        <v>3.6650014533987298</v>
      </c>
      <c r="AB7" s="3">
        <v>765.10340065843695</v>
      </c>
      <c r="AC7" s="3">
        <v>15.151978072982001</v>
      </c>
      <c r="AD7" s="3">
        <v>0</v>
      </c>
      <c r="AE7" s="3">
        <v>172.08272023135501</v>
      </c>
      <c r="AF7" s="3">
        <v>112.097213962117</v>
      </c>
      <c r="AG7" s="3">
        <v>29.660894516884301</v>
      </c>
      <c r="AH7" s="3">
        <v>-12.186626709754901</v>
      </c>
      <c r="AI7" s="3">
        <v>50232980223.699997</v>
      </c>
      <c r="AJ7" s="3">
        <v>7.2714496382219398E-2</v>
      </c>
      <c r="AK7" s="3">
        <v>64815</v>
      </c>
      <c r="AL7" s="3">
        <f t="shared" si="0"/>
        <v>1.018466959325526</v>
      </c>
      <c r="AM7" s="4">
        <f t="shared" si="1"/>
        <v>0.78562417766511805</v>
      </c>
      <c r="AN7" s="4">
        <f t="shared" si="2"/>
        <v>1.0802329524611405</v>
      </c>
    </row>
    <row r="8" spans="1:40" x14ac:dyDescent="0.25">
      <c r="A8" s="3">
        <v>7</v>
      </c>
      <c r="B8" s="3" t="s">
        <v>50</v>
      </c>
      <c r="C8" s="3">
        <v>140</v>
      </c>
      <c r="D8" s="3">
        <v>0.80279962390522497</v>
      </c>
      <c r="E8" s="3">
        <v>0.81263660227635603</v>
      </c>
      <c r="F8" s="3">
        <v>9.8369783711313701E-3</v>
      </c>
      <c r="G8" s="3">
        <v>5.6135444415635699E-2</v>
      </c>
      <c r="H8" s="3">
        <v>1.2400745576211699E-2</v>
      </c>
      <c r="I8" s="3">
        <v>1.140160447719E-2</v>
      </c>
      <c r="J8" s="3">
        <v>0.67357815489770601</v>
      </c>
      <c r="K8" s="3">
        <v>5.9120652909612902E-2</v>
      </c>
      <c r="L8" s="3">
        <v>10.651234501432199</v>
      </c>
      <c r="M8" s="3">
        <v>4.8612910900140696</v>
      </c>
      <c r="N8" s="3">
        <v>84.487474408553695</v>
      </c>
      <c r="O8" s="3">
        <v>30.570820346786999</v>
      </c>
      <c r="P8" s="3">
        <v>49.226833140221501</v>
      </c>
      <c r="Q8" s="3">
        <v>20.202346512991401</v>
      </c>
      <c r="R8" s="3">
        <v>0</v>
      </c>
      <c r="S8" s="3">
        <v>49.226833140221501</v>
      </c>
      <c r="T8" s="3">
        <v>0.47011465210672898</v>
      </c>
      <c r="U8" s="3">
        <v>-30.222191176245701</v>
      </c>
      <c r="V8" s="3">
        <v>353.00243219714901</v>
      </c>
      <c r="W8" s="3">
        <v>99.958037379329099</v>
      </c>
      <c r="X8" s="3">
        <v>43.781878436971503</v>
      </c>
      <c r="Y8" s="3">
        <v>126.334672655519</v>
      </c>
      <c r="Z8" s="3">
        <v>56.520513489344403</v>
      </c>
      <c r="AA8" s="3">
        <v>3.6288971199865698</v>
      </c>
      <c r="AB8" s="3">
        <v>769.22461250153106</v>
      </c>
      <c r="AC8" s="3">
        <v>12.194429393449999</v>
      </c>
      <c r="AD8" s="3">
        <v>0</v>
      </c>
      <c r="AE8" s="3">
        <v>172.257758342447</v>
      </c>
      <c r="AF8" s="3">
        <v>112.11444284304601</v>
      </c>
      <c r="AG8" s="3">
        <v>29.5947358801875</v>
      </c>
      <c r="AH8" s="3">
        <v>-13.9326687008662</v>
      </c>
      <c r="AI8" s="3">
        <v>133831320835</v>
      </c>
      <c r="AJ8" s="3">
        <v>6.1585935590094697E-2</v>
      </c>
      <c r="AK8" s="3">
        <v>70038</v>
      </c>
      <c r="AL8" s="3">
        <f t="shared" si="0"/>
        <v>0.98789498486337468</v>
      </c>
      <c r="AM8" s="4">
        <f t="shared" si="1"/>
        <v>0.75351594936674315</v>
      </c>
      <c r="AN8" s="4">
        <f t="shared" si="2"/>
        <v>1.0654049520516453</v>
      </c>
    </row>
    <row r="9" spans="1:40" x14ac:dyDescent="0.25">
      <c r="A9" s="3">
        <v>8</v>
      </c>
      <c r="B9" s="3" t="s">
        <v>50</v>
      </c>
      <c r="C9" s="3">
        <v>160</v>
      </c>
      <c r="D9" s="3">
        <v>0.77633977250074204</v>
      </c>
      <c r="E9" s="3">
        <v>0.78833940718380702</v>
      </c>
      <c r="F9" s="3">
        <v>1.19996346830652E-2</v>
      </c>
      <c r="G9" s="3">
        <v>5.3040650421299601E-2</v>
      </c>
      <c r="H9" s="3">
        <v>1.15764092928757E-2</v>
      </c>
      <c r="I9" s="3">
        <v>1.4087374172300901E-2</v>
      </c>
      <c r="J9" s="3">
        <v>0.63919952989751305</v>
      </c>
      <c r="K9" s="3">
        <v>7.0435443399817999E-2</v>
      </c>
      <c r="L9" s="3">
        <v>11.6090395675905</v>
      </c>
      <c r="M9" s="3">
        <v>4.7807574714697498</v>
      </c>
      <c r="N9" s="3">
        <v>83.610202960939702</v>
      </c>
      <c r="O9" s="3">
        <v>26.855065357674899</v>
      </c>
      <c r="P9" s="3">
        <v>48.7774111969578</v>
      </c>
      <c r="Q9" s="3">
        <v>24.367523445367301</v>
      </c>
      <c r="R9" s="3">
        <v>0</v>
      </c>
      <c r="S9" s="3">
        <v>48.7774111969578</v>
      </c>
      <c r="T9" s="3">
        <v>0.42685063744829399</v>
      </c>
      <c r="U9" s="3">
        <v>-30.132959347907502</v>
      </c>
      <c r="V9" s="3">
        <v>326.14900172465599</v>
      </c>
      <c r="W9" s="3">
        <v>99.940249564054099</v>
      </c>
      <c r="X9" s="3">
        <v>47.5660710191679</v>
      </c>
      <c r="Y9" s="3">
        <v>147.04211018067301</v>
      </c>
      <c r="Z9" s="3">
        <v>55.469087327212897</v>
      </c>
      <c r="AA9" s="3">
        <v>3.6366864234668701</v>
      </c>
      <c r="AB9" s="3">
        <v>764.81719600909298</v>
      </c>
      <c r="AC9" s="3">
        <v>10.7793937276554</v>
      </c>
      <c r="AD9" s="3">
        <v>0</v>
      </c>
      <c r="AE9" s="3">
        <v>171.62522568268599</v>
      </c>
      <c r="AF9" s="3">
        <v>112.08521306778201</v>
      </c>
      <c r="AG9" s="3">
        <v>29.7631674410936</v>
      </c>
      <c r="AH9" s="3">
        <v>-12.411595980572001</v>
      </c>
      <c r="AI9" s="3">
        <v>91259866729</v>
      </c>
      <c r="AJ9" s="3">
        <v>6.6602264715024298E-2</v>
      </c>
      <c r="AK9" s="3">
        <v>74591</v>
      </c>
      <c r="AL9" s="3">
        <f t="shared" si="0"/>
        <v>0.98477859336509466</v>
      </c>
      <c r="AM9" s="4">
        <f t="shared" si="1"/>
        <v>0.71790396378398902</v>
      </c>
      <c r="AN9" s="4">
        <f t="shared" si="2"/>
        <v>1.0813978075963595</v>
      </c>
    </row>
    <row r="10" spans="1:40" x14ac:dyDescent="0.25">
      <c r="A10" s="3">
        <v>9</v>
      </c>
      <c r="B10" s="3" t="s">
        <v>50</v>
      </c>
      <c r="C10" s="3">
        <v>180</v>
      </c>
      <c r="D10" s="3">
        <v>0.74242861319875997</v>
      </c>
      <c r="E10" s="3">
        <v>0.73385778689508097</v>
      </c>
      <c r="F10" s="3">
        <v>-8.5708263036788999E-3</v>
      </c>
      <c r="G10" s="3">
        <v>5.5394695172319097E-2</v>
      </c>
      <c r="H10" s="3">
        <v>8.9726262751832295E-3</v>
      </c>
      <c r="I10" s="3">
        <v>9.8896559328633896E-3</v>
      </c>
      <c r="J10" s="3">
        <v>0.57092101538057305</v>
      </c>
      <c r="K10" s="3">
        <v>8.8679794134142301E-2</v>
      </c>
      <c r="L10" s="3">
        <v>6.8910121570817999</v>
      </c>
      <c r="M10" s="3">
        <v>4.0524932572286501</v>
      </c>
      <c r="N10" s="3">
        <v>89.056494585689506</v>
      </c>
      <c r="O10" s="3">
        <v>28.1921786183939</v>
      </c>
      <c r="P10" s="3">
        <v>52.465864500545898</v>
      </c>
      <c r="Q10" s="3">
        <v>19.341956881060199</v>
      </c>
      <c r="R10" s="3">
        <v>0</v>
      </c>
      <c r="S10" s="3">
        <v>52.465864500545898</v>
      </c>
      <c r="T10" s="3">
        <v>0.33107119338449997</v>
      </c>
      <c r="U10" s="3">
        <v>-29.6711273440689</v>
      </c>
      <c r="V10" s="3">
        <v>352.563242339927</v>
      </c>
      <c r="W10" s="3">
        <v>99.9755902793041</v>
      </c>
      <c r="X10" s="3">
        <v>45.339788392718603</v>
      </c>
      <c r="Y10" s="3">
        <v>177.686790183879</v>
      </c>
      <c r="Z10" s="3">
        <v>56.872196712257399</v>
      </c>
      <c r="AA10" s="3">
        <v>3.6107087122738299</v>
      </c>
      <c r="AB10" s="3">
        <v>770.97868613614105</v>
      </c>
      <c r="AC10" s="3">
        <v>8.4099180361502803</v>
      </c>
      <c r="AD10" s="3">
        <v>0</v>
      </c>
      <c r="AE10" s="3">
        <v>172.74816774090701</v>
      </c>
      <c r="AF10" s="3">
        <v>112.15017714292</v>
      </c>
      <c r="AG10" s="3">
        <v>29.541226883706699</v>
      </c>
      <c r="AH10" s="3">
        <v>-15.659557770292199</v>
      </c>
      <c r="AI10" s="3">
        <v>205284383056.29999</v>
      </c>
      <c r="AJ10" s="3">
        <v>5.8716722733955798E-2</v>
      </c>
      <c r="AK10" s="3">
        <v>40705</v>
      </c>
      <c r="AL10" s="3">
        <f t="shared" ref="AL10:AL31" si="3">D10/E10</f>
        <v>1.0116791379157286</v>
      </c>
      <c r="AM10" s="4">
        <f t="shared" ref="AM10:AM31" si="4">E10-K10</f>
        <v>0.64517799276093868</v>
      </c>
      <c r="AN10" s="4">
        <f t="shared" ref="AN10:AN31" si="5">D10/(E10-K10)</f>
        <v>1.1507345593448599</v>
      </c>
    </row>
    <row r="11" spans="1:40" x14ac:dyDescent="0.25">
      <c r="A11" s="3">
        <v>10</v>
      </c>
      <c r="B11" s="3" t="s">
        <v>50</v>
      </c>
      <c r="C11" s="3">
        <v>200</v>
      </c>
      <c r="D11" s="3">
        <v>0.75954895182264803</v>
      </c>
      <c r="E11" s="3">
        <v>0.76898255135162397</v>
      </c>
      <c r="F11" s="3">
        <v>9.4335995289760999E-3</v>
      </c>
      <c r="G11" s="3">
        <v>5.2907509242309102E-2</v>
      </c>
      <c r="H11" s="3">
        <v>1.11209019971076E-2</v>
      </c>
      <c r="I11" s="3">
        <v>2.0278987674014402E-2</v>
      </c>
      <c r="J11" s="3">
        <v>0.60033160132992802</v>
      </c>
      <c r="K11" s="3">
        <v>8.4343551108265302E-2</v>
      </c>
      <c r="L11" s="3">
        <v>19.072341597113802</v>
      </c>
      <c r="M11" s="3">
        <v>10.525549545514</v>
      </c>
      <c r="N11" s="3">
        <v>70.402108857372198</v>
      </c>
      <c r="O11" s="3">
        <v>27.698426867764599</v>
      </c>
      <c r="P11" s="3">
        <v>43.331771915948302</v>
      </c>
      <c r="Q11" s="3">
        <v>28.969801216287198</v>
      </c>
      <c r="R11" s="3">
        <v>0</v>
      </c>
      <c r="S11" s="3">
        <v>43.331771915948302</v>
      </c>
      <c r="T11" s="3">
        <v>0.379515473981062</v>
      </c>
      <c r="U11" s="3">
        <v>-32.854520901235297</v>
      </c>
      <c r="V11" s="3">
        <v>280.65989660224301</v>
      </c>
      <c r="W11" s="3">
        <v>99.873582869877694</v>
      </c>
      <c r="X11" s="3">
        <v>47.4299329806746</v>
      </c>
      <c r="Y11" s="3">
        <v>182.36742706268799</v>
      </c>
      <c r="Z11" s="3">
        <v>54.165277920966801</v>
      </c>
      <c r="AA11" s="3">
        <v>3.66890497068988</v>
      </c>
      <c r="AB11" s="3">
        <v>753.18275745376002</v>
      </c>
      <c r="AC11" s="3">
        <v>9.5921918255463705</v>
      </c>
      <c r="AD11" s="3">
        <v>0</v>
      </c>
      <c r="AE11" s="3">
        <v>169.19219653622901</v>
      </c>
      <c r="AF11" s="3">
        <v>111.91318463441699</v>
      </c>
      <c r="AG11" s="3">
        <v>30.3807849329751</v>
      </c>
      <c r="AH11" s="3">
        <v>-12.600613583909601</v>
      </c>
      <c r="AI11" s="3">
        <v>31181063520.799999</v>
      </c>
      <c r="AJ11" s="3">
        <v>6.3477291540247005E-2</v>
      </c>
      <c r="AK11" s="3">
        <v>23620</v>
      </c>
      <c r="AL11" s="3">
        <f t="shared" si="3"/>
        <v>0.98773236205113535</v>
      </c>
      <c r="AM11" s="4">
        <f t="shared" si="4"/>
        <v>0.68463900024335866</v>
      </c>
      <c r="AN11" s="4">
        <f t="shared" si="5"/>
        <v>1.1094152561461765</v>
      </c>
    </row>
    <row r="12" spans="1:40" x14ac:dyDescent="0.25">
      <c r="A12" s="3">
        <v>11</v>
      </c>
      <c r="B12" s="3" t="s">
        <v>50</v>
      </c>
      <c r="C12" s="3">
        <v>220</v>
      </c>
      <c r="D12" s="3">
        <v>0.92205230454579201</v>
      </c>
      <c r="E12" s="3">
        <v>0.82940307383044398</v>
      </c>
      <c r="F12" s="3">
        <v>-9.2649230715347697E-2</v>
      </c>
      <c r="G12" s="3">
        <v>5.5795038498658703E-2</v>
      </c>
      <c r="H12" s="3">
        <v>1.8428095333469799E-2</v>
      </c>
      <c r="I12" s="3">
        <v>4.4489241330246697E-2</v>
      </c>
      <c r="J12" s="3">
        <v>0.60759944597414495</v>
      </c>
      <c r="K12" s="3">
        <v>0.103091252693924</v>
      </c>
      <c r="L12" s="3">
        <v>42.5876359455388</v>
      </c>
      <c r="M12" s="3">
        <v>16.811824364917399</v>
      </c>
      <c r="N12" s="3">
        <v>40.600539689543801</v>
      </c>
      <c r="O12" s="3">
        <v>33.325613215380798</v>
      </c>
      <c r="P12" s="3">
        <v>37.759578281211702</v>
      </c>
      <c r="Q12" s="3">
        <v>28.9148085034075</v>
      </c>
      <c r="R12" s="3">
        <v>0</v>
      </c>
      <c r="S12" s="3">
        <v>37.759578281211702</v>
      </c>
      <c r="T12" s="3">
        <v>0.56878675788717503</v>
      </c>
      <c r="U12" s="3">
        <v>-31.290196263884599</v>
      </c>
      <c r="V12" s="3">
        <v>327.78783581130801</v>
      </c>
      <c r="W12" s="3">
        <v>98.922761436361895</v>
      </c>
      <c r="X12" s="3">
        <v>44.531203638207799</v>
      </c>
      <c r="Y12" s="3">
        <v>211.590115390856</v>
      </c>
      <c r="Z12" s="3">
        <v>57.722476084963198</v>
      </c>
      <c r="AA12" s="3">
        <v>3.86844792906837</v>
      </c>
      <c r="AB12" s="3">
        <v>731.184571828049</v>
      </c>
      <c r="AC12" s="3">
        <v>13.7866444174783</v>
      </c>
      <c r="AD12" s="3">
        <v>0</v>
      </c>
      <c r="AE12" s="3">
        <v>163.844484651144</v>
      </c>
      <c r="AF12" s="3">
        <v>111.535750237024</v>
      </c>
      <c r="AG12" s="3">
        <v>32.253770427417997</v>
      </c>
      <c r="AH12" s="3">
        <v>-17.035737274614998</v>
      </c>
      <c r="AI12" s="3">
        <v>2449786836.0999999</v>
      </c>
      <c r="AJ12" s="3">
        <v>8.9031742848157097E-2</v>
      </c>
      <c r="AK12" s="3">
        <v>8618</v>
      </c>
      <c r="AL12" s="3">
        <f t="shared" si="3"/>
        <v>1.1117059167474082</v>
      </c>
      <c r="AM12" s="4">
        <f t="shared" si="4"/>
        <v>0.72631182113652004</v>
      </c>
      <c r="AN12" s="4">
        <f t="shared" si="5"/>
        <v>1.2694992394629909</v>
      </c>
    </row>
    <row r="13" spans="1:40" x14ac:dyDescent="0.25">
      <c r="A13" s="3">
        <v>12</v>
      </c>
      <c r="B13" s="3" t="s">
        <v>50</v>
      </c>
      <c r="C13" s="3">
        <v>240</v>
      </c>
      <c r="D13" s="3">
        <v>0.785291728103787</v>
      </c>
      <c r="E13" s="3">
        <v>0.782867686666745</v>
      </c>
      <c r="F13" s="3">
        <v>-2.4240414370415202E-3</v>
      </c>
      <c r="G13" s="3">
        <v>5.3790986282857597E-2</v>
      </c>
      <c r="H13" s="3">
        <v>1.41777900405413E-2</v>
      </c>
      <c r="I13" s="3">
        <v>3.7595911699621197E-2</v>
      </c>
      <c r="J13" s="3">
        <v>0.56622653171715298</v>
      </c>
      <c r="K13" s="3">
        <v>0.111076466926572</v>
      </c>
      <c r="L13" s="3">
        <v>36.869374734905698</v>
      </c>
      <c r="M13" s="3">
        <v>13.3568724059029</v>
      </c>
      <c r="N13" s="3">
        <v>49.773752859191397</v>
      </c>
      <c r="O13" s="3">
        <v>31.016452262416902</v>
      </c>
      <c r="P13" s="3">
        <v>42.997808220264197</v>
      </c>
      <c r="Q13" s="3">
        <v>25.985739517318802</v>
      </c>
      <c r="R13" s="3">
        <v>0</v>
      </c>
      <c r="S13" s="3">
        <v>42.997808220264197</v>
      </c>
      <c r="T13" s="3">
        <v>0.48997799514288898</v>
      </c>
      <c r="U13" s="3">
        <v>-31.478288032465599</v>
      </c>
      <c r="V13" s="3">
        <v>339.85758680166498</v>
      </c>
      <c r="W13" s="3">
        <v>99.732875206575599</v>
      </c>
      <c r="X13" s="3">
        <v>43.161836176353802</v>
      </c>
      <c r="Y13" s="3">
        <v>234.32113309668901</v>
      </c>
      <c r="Z13" s="3">
        <v>56.378894494124197</v>
      </c>
      <c r="AA13" s="3">
        <v>3.7970789638034699</v>
      </c>
      <c r="AB13" s="3">
        <v>741.85644444794502</v>
      </c>
      <c r="AC13" s="3">
        <v>13.1119804395336</v>
      </c>
      <c r="AD13" s="3">
        <v>0</v>
      </c>
      <c r="AE13" s="3">
        <v>169.35642014863399</v>
      </c>
      <c r="AF13" s="3">
        <v>111.894909793938</v>
      </c>
      <c r="AG13" s="3">
        <v>30.198255722912101</v>
      </c>
      <c r="AH13" s="3">
        <v>-6.5086793983536602</v>
      </c>
      <c r="AI13" s="3">
        <v>14893288211.1</v>
      </c>
      <c r="AJ13" s="3">
        <v>6.0330962575034501E-2</v>
      </c>
      <c r="AK13" s="3">
        <v>14280</v>
      </c>
      <c r="AL13" s="3">
        <f t="shared" si="3"/>
        <v>1.0030963615925483</v>
      </c>
      <c r="AM13" s="4">
        <f t="shared" si="4"/>
        <v>0.67179121974017297</v>
      </c>
      <c r="AN13" s="4">
        <f t="shared" si="5"/>
        <v>1.1689520568719436</v>
      </c>
    </row>
    <row r="14" spans="1:40" x14ac:dyDescent="0.25">
      <c r="A14" s="3">
        <v>13</v>
      </c>
      <c r="B14" s="3" t="s">
        <v>50</v>
      </c>
      <c r="C14" s="3">
        <v>260</v>
      </c>
      <c r="D14" s="3">
        <v>0.67802190002255702</v>
      </c>
      <c r="E14" s="3">
        <v>0.66445805738944397</v>
      </c>
      <c r="F14" s="3">
        <v>-1.35638426331137E-2</v>
      </c>
      <c r="G14" s="3">
        <v>5.3166691599600101E-2</v>
      </c>
      <c r="H14" s="3">
        <v>8.6104903052110406E-3</v>
      </c>
      <c r="I14" s="3">
        <v>9.0745147969655791E-3</v>
      </c>
      <c r="J14" s="3">
        <v>0.48131645257094502</v>
      </c>
      <c r="K14" s="3">
        <v>0.112289908116722</v>
      </c>
      <c r="L14" s="3">
        <v>5.6977660202781797</v>
      </c>
      <c r="M14" s="3">
        <v>3.9711945329713099</v>
      </c>
      <c r="N14" s="3">
        <v>90.331039446750495</v>
      </c>
      <c r="O14" s="3">
        <v>25.548342562258998</v>
      </c>
      <c r="P14" s="3">
        <v>54.383902289601203</v>
      </c>
      <c r="Q14" s="3">
        <v>20.067755148139899</v>
      </c>
      <c r="R14" s="3">
        <v>0</v>
      </c>
      <c r="S14" s="3">
        <v>54.383902289601203</v>
      </c>
      <c r="T14" s="3">
        <v>0.31572191712576497</v>
      </c>
      <c r="U14" s="3">
        <v>-32.785280521488801</v>
      </c>
      <c r="V14" s="3">
        <v>287.739717748342</v>
      </c>
      <c r="W14" s="3">
        <v>99.992057277965401</v>
      </c>
      <c r="X14" s="3">
        <v>46.094788793137702</v>
      </c>
      <c r="Y14" s="3">
        <v>249.09017563849</v>
      </c>
      <c r="Z14" s="3">
        <v>56.077217054838101</v>
      </c>
      <c r="AA14" s="3">
        <v>3.57640662465993</v>
      </c>
      <c r="AB14" s="3">
        <v>770.05332073366299</v>
      </c>
      <c r="AC14" s="3">
        <v>5.7874382122566397</v>
      </c>
      <c r="AD14" s="3">
        <v>0</v>
      </c>
      <c r="AE14" s="3">
        <v>172.580605208972</v>
      </c>
      <c r="AF14" s="3">
        <v>112.14752450588399</v>
      </c>
      <c r="AG14" s="3">
        <v>29.538360881265099</v>
      </c>
      <c r="AH14" s="3">
        <v>-17.1989786218513</v>
      </c>
      <c r="AI14" s="3">
        <v>479612188153.09998</v>
      </c>
      <c r="AJ14" s="3">
        <v>4.1930311672551297E-2</v>
      </c>
      <c r="AK14" s="3">
        <v>31358</v>
      </c>
      <c r="AL14" s="3">
        <f t="shared" si="3"/>
        <v>1.0204133917592983</v>
      </c>
      <c r="AM14" s="4">
        <f t="shared" si="4"/>
        <v>0.55216814927272195</v>
      </c>
      <c r="AN14" s="4">
        <f t="shared" si="5"/>
        <v>1.2279264947020232</v>
      </c>
    </row>
    <row r="15" spans="1:40" x14ac:dyDescent="0.25">
      <c r="A15" s="3">
        <v>14</v>
      </c>
      <c r="B15" s="3" t="s">
        <v>50</v>
      </c>
      <c r="C15" s="3">
        <v>280</v>
      </c>
      <c r="D15" s="3">
        <v>0.66868071319748201</v>
      </c>
      <c r="E15" s="3">
        <v>0.71389347408753201</v>
      </c>
      <c r="F15" s="3">
        <v>4.5212760890049997E-2</v>
      </c>
      <c r="G15" s="3">
        <v>5.3271974557525498E-2</v>
      </c>
      <c r="H15" s="3">
        <v>1.43666808980638E-2</v>
      </c>
      <c r="I15" s="3">
        <v>3.2199075226521497E-2</v>
      </c>
      <c r="J15" s="3">
        <v>0.49815469887011499</v>
      </c>
      <c r="K15" s="3">
        <v>0.115901044535307</v>
      </c>
      <c r="L15" s="3">
        <v>26.886779760260499</v>
      </c>
      <c r="M15" s="3">
        <v>21.9981394066611</v>
      </c>
      <c r="N15" s="3">
        <v>51.115080833078302</v>
      </c>
      <c r="O15" s="3">
        <v>26.1374171752819</v>
      </c>
      <c r="P15" s="3">
        <v>42.790984997094803</v>
      </c>
      <c r="Q15" s="3">
        <v>31.0715978276233</v>
      </c>
      <c r="R15" s="3">
        <v>0</v>
      </c>
      <c r="S15" s="3">
        <v>42.790984997094803</v>
      </c>
      <c r="T15" s="3">
        <v>0.45413382136585501</v>
      </c>
      <c r="U15" s="3">
        <v>-34.341020209913701</v>
      </c>
      <c r="V15" s="3">
        <v>295.97490107362</v>
      </c>
      <c r="W15" s="3">
        <v>99.851009170785304</v>
      </c>
      <c r="X15" s="3">
        <v>43.669955278867903</v>
      </c>
      <c r="Y15" s="3">
        <v>266.17381070786598</v>
      </c>
      <c r="Z15" s="3">
        <v>56.2138411453343</v>
      </c>
      <c r="AA15" s="3">
        <v>3.7297451516884399</v>
      </c>
      <c r="AB15" s="3">
        <v>737.74334125476798</v>
      </c>
      <c r="AC15" s="3">
        <v>8.7314465741419305</v>
      </c>
      <c r="AD15" s="3">
        <v>0</v>
      </c>
      <c r="AE15" s="3">
        <v>166.69068132142701</v>
      </c>
      <c r="AF15" s="3">
        <v>111.69174432774599</v>
      </c>
      <c r="AG15" s="3">
        <v>31.089433441459601</v>
      </c>
      <c r="AH15" s="3">
        <v>-18.376143011437701</v>
      </c>
      <c r="AI15" s="3">
        <v>7105847325.1000004</v>
      </c>
      <c r="AJ15" s="3">
        <v>5.8842859938310003E-2</v>
      </c>
      <c r="AK15" s="3">
        <v>8868</v>
      </c>
      <c r="AL15" s="3">
        <f t="shared" si="3"/>
        <v>0.93666735650183808</v>
      </c>
      <c r="AM15" s="4">
        <f t="shared" si="4"/>
        <v>0.59799242955222498</v>
      </c>
      <c r="AN15" s="4">
        <f t="shared" si="5"/>
        <v>1.1182093286669001</v>
      </c>
    </row>
    <row r="16" spans="1:40" x14ac:dyDescent="0.25">
      <c r="A16" s="3">
        <v>15</v>
      </c>
      <c r="B16" s="3" t="s">
        <v>50</v>
      </c>
      <c r="C16" s="3">
        <v>300</v>
      </c>
      <c r="D16" s="3">
        <v>0.61865807364986503</v>
      </c>
      <c r="E16" s="3">
        <v>0.64763858767325</v>
      </c>
      <c r="F16" s="3">
        <v>2.89805140233854E-2</v>
      </c>
      <c r="G16" s="3">
        <v>5.1290345287221498E-2</v>
      </c>
      <c r="H16" s="3">
        <v>8.4546692680820806E-3</v>
      </c>
      <c r="I16" s="3">
        <v>9.5036404997504396E-3</v>
      </c>
      <c r="J16" s="3">
        <v>0.44115619546148099</v>
      </c>
      <c r="K16" s="3">
        <v>0.137233737156715</v>
      </c>
      <c r="L16" s="3">
        <v>6.5708043188784497</v>
      </c>
      <c r="M16" s="3">
        <v>4.2636989094213904</v>
      </c>
      <c r="N16" s="3">
        <v>89.165496771700205</v>
      </c>
      <c r="O16" s="3">
        <v>25.6803162379721</v>
      </c>
      <c r="P16" s="3">
        <v>56.892570951174797</v>
      </c>
      <c r="Q16" s="3">
        <v>17.427112810853199</v>
      </c>
      <c r="R16" s="3">
        <v>0</v>
      </c>
      <c r="S16" s="3">
        <v>56.892570951174797</v>
      </c>
      <c r="T16" s="3">
        <v>0.31261625893975897</v>
      </c>
      <c r="U16" s="3">
        <v>-35.864564386066</v>
      </c>
      <c r="V16" s="3">
        <v>251.00364717762201</v>
      </c>
      <c r="W16" s="3">
        <v>99.986380492467802</v>
      </c>
      <c r="X16" s="3">
        <v>44.241841744869397</v>
      </c>
      <c r="Y16" s="3">
        <v>379.98302629236503</v>
      </c>
      <c r="Z16" s="3">
        <v>55.749703735123902</v>
      </c>
      <c r="AA16" s="3">
        <v>3.5670753750386202</v>
      </c>
      <c r="AB16" s="3">
        <v>767.78870873228595</v>
      </c>
      <c r="AC16" s="3">
        <v>2.9932587363413998</v>
      </c>
      <c r="AD16" s="3">
        <v>0</v>
      </c>
      <c r="AE16" s="3">
        <v>172.519904382627</v>
      </c>
      <c r="AF16" s="3">
        <v>112.14569155576601</v>
      </c>
      <c r="AG16" s="3">
        <v>29.588383141799198</v>
      </c>
      <c r="AH16" s="3">
        <v>-17.4762451170775</v>
      </c>
      <c r="AI16" s="3">
        <v>615467043651.09998</v>
      </c>
      <c r="AJ16" s="3">
        <v>5.9863294173178802E-2</v>
      </c>
      <c r="AK16" s="3">
        <v>96969</v>
      </c>
      <c r="AL16" s="3">
        <f t="shared" si="3"/>
        <v>0.95525202701787382</v>
      </c>
      <c r="AM16" s="4">
        <f t="shared" si="4"/>
        <v>0.51040485051653506</v>
      </c>
      <c r="AN16" s="4">
        <f t="shared" si="5"/>
        <v>1.2120928573146916</v>
      </c>
    </row>
    <row r="17" spans="1:40" x14ac:dyDescent="0.25">
      <c r="A17" s="3">
        <v>1</v>
      </c>
      <c r="B17" s="3" t="s">
        <v>51</v>
      </c>
      <c r="C17" s="3">
        <v>20</v>
      </c>
      <c r="D17" s="3">
        <v>1.94821045936082</v>
      </c>
      <c r="E17" s="3">
        <v>1.2419381721088001</v>
      </c>
      <c r="F17" s="3">
        <v>-0.70627228725202096</v>
      </c>
      <c r="G17" s="3">
        <v>6.3862879341733597E-2</v>
      </c>
      <c r="H17" s="3">
        <v>2.7899984381949201E-2</v>
      </c>
      <c r="I17" s="3">
        <v>4.5768828332913101E-3</v>
      </c>
      <c r="J17" s="3">
        <v>1.1455975184993601</v>
      </c>
      <c r="K17" s="4">
        <v>9.0705246357267802E-7</v>
      </c>
      <c r="L17" s="3">
        <v>58.966301619196003</v>
      </c>
      <c r="M17" s="3">
        <v>9.1953207062444093</v>
      </c>
      <c r="N17" s="3">
        <v>31.838377674559599</v>
      </c>
      <c r="O17" s="3">
        <v>31.416300063828501</v>
      </c>
      <c r="P17" s="3">
        <v>46.311984024388202</v>
      </c>
      <c r="Q17" s="3">
        <v>22.2717159117833</v>
      </c>
      <c r="R17" s="3">
        <v>0</v>
      </c>
      <c r="S17" s="3">
        <v>46.311984024388202</v>
      </c>
      <c r="T17" s="3">
        <v>0.83698639837006805</v>
      </c>
      <c r="U17" s="3">
        <v>-24.037814029274099</v>
      </c>
      <c r="V17" s="3">
        <v>468.42193630033501</v>
      </c>
      <c r="W17" s="3">
        <v>100</v>
      </c>
      <c r="X17" s="3">
        <v>33.771630039127402</v>
      </c>
      <c r="Y17" s="3">
        <v>14.340003863860201</v>
      </c>
      <c r="Z17" s="3">
        <v>55.5961041670516</v>
      </c>
      <c r="AA17" s="3">
        <v>4.0483539300627296</v>
      </c>
      <c r="AB17" s="3">
        <v>707.38776262613396</v>
      </c>
      <c r="AC17" s="3">
        <v>28.032050071371501</v>
      </c>
      <c r="AD17" s="3">
        <v>0</v>
      </c>
      <c r="AE17" s="3">
        <v>161.978401612016</v>
      </c>
      <c r="AF17" s="3">
        <v>111.316448268128</v>
      </c>
      <c r="AG17" s="3">
        <v>31.2868026895929</v>
      </c>
      <c r="AH17" s="3">
        <v>-5.1908415812637401</v>
      </c>
      <c r="AI17" s="3">
        <v>1710206.8</v>
      </c>
      <c r="AJ17" s="3">
        <v>0.12848606444008201</v>
      </c>
      <c r="AK17" s="3">
        <v>120</v>
      </c>
      <c r="AL17" s="3">
        <f t="shared" si="3"/>
        <v>1.5686855457971598</v>
      </c>
      <c r="AM17" s="4">
        <f t="shared" si="4"/>
        <v>1.2419372650563365</v>
      </c>
      <c r="AN17" s="4">
        <f t="shared" si="5"/>
        <v>1.5686866914911726</v>
      </c>
    </row>
    <row r="18" spans="1:40" x14ac:dyDescent="0.25">
      <c r="A18" s="3">
        <v>2</v>
      </c>
      <c r="B18" s="3" t="s">
        <v>51</v>
      </c>
      <c r="C18" s="3">
        <v>40</v>
      </c>
      <c r="D18" s="3">
        <v>0.87519406538436395</v>
      </c>
      <c r="E18" s="3">
        <v>1.0842805925165699</v>
      </c>
      <c r="F18" s="3">
        <v>0.20908652713220999</v>
      </c>
      <c r="G18" s="3">
        <v>5.8640462455483801E-2</v>
      </c>
      <c r="H18" s="3">
        <v>2.35133627359536E-2</v>
      </c>
      <c r="I18" s="3">
        <v>2.1513832954889001E-2</v>
      </c>
      <c r="J18" s="3">
        <v>0.980077210054209</v>
      </c>
      <c r="K18" s="3">
        <v>5.3572431603868004E-4</v>
      </c>
      <c r="L18" s="3">
        <v>55.628594085204</v>
      </c>
      <c r="M18" s="3">
        <v>14.834214967993001</v>
      </c>
      <c r="N18" s="3">
        <v>29.537190946803101</v>
      </c>
      <c r="O18" s="3">
        <v>52.039822629557598</v>
      </c>
      <c r="P18" s="3">
        <v>24.686196335930301</v>
      </c>
      <c r="Q18" s="3">
        <v>23.273981034512101</v>
      </c>
      <c r="R18" s="3">
        <v>0</v>
      </c>
      <c r="S18" s="3">
        <v>24.686196335930301</v>
      </c>
      <c r="T18" s="3">
        <v>0.86106334738616497</v>
      </c>
      <c r="U18" s="3">
        <v>-32.9281307935833</v>
      </c>
      <c r="V18" s="3">
        <v>339.684489289856</v>
      </c>
      <c r="W18" s="3">
        <v>99.872778515081805</v>
      </c>
      <c r="X18" s="3">
        <v>42.8874669111431</v>
      </c>
      <c r="Y18" s="3">
        <v>31.421120692551298</v>
      </c>
      <c r="Z18" s="3">
        <v>56.423980966536099</v>
      </c>
      <c r="AA18" s="3">
        <v>3.8645902808983901</v>
      </c>
      <c r="AB18" s="3">
        <v>724.63385209274895</v>
      </c>
      <c r="AC18" s="3">
        <v>15.0736894247982</v>
      </c>
      <c r="AD18" s="3">
        <v>0</v>
      </c>
      <c r="AE18" s="3">
        <v>168.436407241371</v>
      </c>
      <c r="AF18" s="3">
        <v>111.84804377201699</v>
      </c>
      <c r="AG18" s="3">
        <v>31.260829684197599</v>
      </c>
      <c r="AH18" s="3">
        <v>-1.21129584997274</v>
      </c>
      <c r="AI18" s="3">
        <v>193597803.19999999</v>
      </c>
      <c r="AJ18" s="3">
        <v>9.42373111998768E-2</v>
      </c>
      <c r="AK18" s="3">
        <v>4843</v>
      </c>
      <c r="AL18" s="3">
        <f t="shared" si="3"/>
        <v>0.8071656648885277</v>
      </c>
      <c r="AM18" s="4">
        <f t="shared" si="4"/>
        <v>1.0837448682005313</v>
      </c>
      <c r="AN18" s="4">
        <f t="shared" si="5"/>
        <v>0.80756466864526089</v>
      </c>
    </row>
    <row r="19" spans="1:40" x14ac:dyDescent="0.25">
      <c r="A19" s="3">
        <v>3</v>
      </c>
      <c r="B19" s="3" t="s">
        <v>51</v>
      </c>
      <c r="C19" s="3">
        <v>60</v>
      </c>
      <c r="D19" s="3">
        <v>0.93656064034240605</v>
      </c>
      <c r="E19" s="3">
        <v>0.91239632282307503</v>
      </c>
      <c r="F19" s="3">
        <v>-2.4164317519330899E-2</v>
      </c>
      <c r="G19" s="3">
        <v>6.3794653429492199E-2</v>
      </c>
      <c r="H19" s="3">
        <v>2.1320520484663898E-2</v>
      </c>
      <c r="I19" s="3">
        <v>1.29016318319567E-2</v>
      </c>
      <c r="J19" s="3">
        <v>0.80971576120620903</v>
      </c>
      <c r="K19" s="3">
        <v>4.6637558707524496E-3</v>
      </c>
      <c r="L19" s="3">
        <v>31.8228188094869</v>
      </c>
      <c r="M19" s="3">
        <v>4.99112837272909</v>
      </c>
      <c r="N19" s="3">
        <v>63.186052817784002</v>
      </c>
      <c r="O19" s="3">
        <v>46.022750158275102</v>
      </c>
      <c r="P19" s="3">
        <v>37.296074273069102</v>
      </c>
      <c r="Q19" s="3">
        <v>16.681175568655799</v>
      </c>
      <c r="R19" s="3">
        <v>0</v>
      </c>
      <c r="S19" s="3">
        <v>37.296074273069102</v>
      </c>
      <c r="T19" s="3">
        <v>0.84536866159942703</v>
      </c>
      <c r="U19" s="3">
        <v>-30.2151524694853</v>
      </c>
      <c r="V19" s="3">
        <v>382.36950529352498</v>
      </c>
      <c r="W19" s="3">
        <v>99.783049347301002</v>
      </c>
      <c r="X19" s="3">
        <v>40.185954720517898</v>
      </c>
      <c r="Y19" s="3">
        <v>42.299971323047302</v>
      </c>
      <c r="Z19" s="3">
        <v>56.419815706486403</v>
      </c>
      <c r="AA19" s="3">
        <v>3.7451631699272001</v>
      </c>
      <c r="AB19" s="3">
        <v>762.42609608146199</v>
      </c>
      <c r="AC19" s="3">
        <v>18.817386871508301</v>
      </c>
      <c r="AD19" s="3">
        <v>0</v>
      </c>
      <c r="AE19" s="3">
        <v>172.16538687870201</v>
      </c>
      <c r="AF19" s="3">
        <v>112.107233414367</v>
      </c>
      <c r="AG19" s="3">
        <v>29.635397559937001</v>
      </c>
      <c r="AH19" s="3">
        <v>-2.8062674831707501</v>
      </c>
      <c r="AI19" s="3">
        <v>6243700711.1000004</v>
      </c>
      <c r="AJ19" s="3">
        <v>7.7839903090585194E-2</v>
      </c>
      <c r="AK19" s="3">
        <v>33565</v>
      </c>
      <c r="AL19" s="3">
        <f t="shared" si="3"/>
        <v>1.0264844529892048</v>
      </c>
      <c r="AM19" s="4">
        <f t="shared" si="4"/>
        <v>0.90773256695232263</v>
      </c>
      <c r="AN19" s="4">
        <f t="shared" si="5"/>
        <v>1.0317583332796714</v>
      </c>
    </row>
    <row r="20" spans="1:40" x14ac:dyDescent="0.25">
      <c r="A20" s="3">
        <v>4</v>
      </c>
      <c r="B20" s="3" t="s">
        <v>51</v>
      </c>
      <c r="C20" s="3">
        <v>80</v>
      </c>
      <c r="D20" s="3">
        <v>0.78817007892900004</v>
      </c>
      <c r="E20" s="3">
        <v>0.83507056522594603</v>
      </c>
      <c r="F20" s="3">
        <v>4.6900486296945799E-2</v>
      </c>
      <c r="G20" s="3">
        <v>5.4723632334503801E-2</v>
      </c>
      <c r="H20" s="3">
        <v>2.0186500495256401E-2</v>
      </c>
      <c r="I20" s="3">
        <v>1.44298506721096E-2</v>
      </c>
      <c r="J20" s="3">
        <v>0.72430230542025698</v>
      </c>
      <c r="K20" s="3">
        <v>2.14282763038189E-2</v>
      </c>
      <c r="L20" s="3">
        <v>22.118052910362799</v>
      </c>
      <c r="M20" s="3">
        <v>4.7960982436057202</v>
      </c>
      <c r="N20" s="3">
        <v>73.085848846031496</v>
      </c>
      <c r="O20" s="3">
        <v>34.5020984571075</v>
      </c>
      <c r="P20" s="3">
        <v>46.269925820813803</v>
      </c>
      <c r="Q20" s="3">
        <v>19.227975722078799</v>
      </c>
      <c r="R20" s="3">
        <v>0</v>
      </c>
      <c r="S20" s="3">
        <v>46.269925820813803</v>
      </c>
      <c r="T20" s="3">
        <v>0.79656053412837802</v>
      </c>
      <c r="U20" s="3">
        <v>-29.951727680877401</v>
      </c>
      <c r="V20" s="3">
        <v>366.051998209158</v>
      </c>
      <c r="W20" s="3">
        <v>99.838190205917499</v>
      </c>
      <c r="X20" s="3">
        <v>43.163192204383698</v>
      </c>
      <c r="Y20" s="3">
        <v>65.422164532852904</v>
      </c>
      <c r="Z20" s="3">
        <v>55.967910709299197</v>
      </c>
      <c r="AA20" s="3">
        <v>3.6935539584660502</v>
      </c>
      <c r="AB20" s="3">
        <v>764.010941515593</v>
      </c>
      <c r="AC20" s="3">
        <v>21.324231799037999</v>
      </c>
      <c r="AD20" s="3">
        <v>0</v>
      </c>
      <c r="AE20" s="3">
        <v>172.085644036715</v>
      </c>
      <c r="AF20" s="3">
        <v>112.10428628788399</v>
      </c>
      <c r="AG20" s="3">
        <v>29.592988354559299</v>
      </c>
      <c r="AH20" s="3">
        <v>-6.6399011203966696</v>
      </c>
      <c r="AI20" s="3">
        <v>31993343352.5</v>
      </c>
      <c r="AJ20" s="3">
        <v>7.3184020410623593E-2</v>
      </c>
      <c r="AK20" s="3">
        <v>50455</v>
      </c>
      <c r="AL20" s="3">
        <f t="shared" si="3"/>
        <v>0.94383649927326074</v>
      </c>
      <c r="AM20" s="4">
        <f t="shared" si="4"/>
        <v>0.81364228892212709</v>
      </c>
      <c r="AN20" s="4">
        <f t="shared" si="5"/>
        <v>0.96869360118084402</v>
      </c>
    </row>
    <row r="21" spans="1:40" x14ac:dyDescent="0.25">
      <c r="A21" s="3">
        <v>5</v>
      </c>
      <c r="B21" s="3" t="s">
        <v>51</v>
      </c>
      <c r="C21" s="3">
        <v>100</v>
      </c>
      <c r="D21" s="3">
        <v>0.88299411969138597</v>
      </c>
      <c r="E21" s="3">
        <v>0.838150858496026</v>
      </c>
      <c r="F21" s="3">
        <v>-4.4843261195359398E-2</v>
      </c>
      <c r="G21" s="3">
        <v>6.1516746897239301E-2</v>
      </c>
      <c r="H21" s="3">
        <v>1.7182978124304801E-2</v>
      </c>
      <c r="I21" s="3">
        <v>1.6296839803511601E-2</v>
      </c>
      <c r="J21" s="3">
        <v>0.71249138059983597</v>
      </c>
      <c r="K21" s="3">
        <v>3.06629130711343E-2</v>
      </c>
      <c r="L21" s="3">
        <v>21.664948374570798</v>
      </c>
      <c r="M21" s="3">
        <v>5.8110532362924303</v>
      </c>
      <c r="N21" s="3">
        <v>72.523998389136807</v>
      </c>
      <c r="O21" s="3">
        <v>32.102740300264301</v>
      </c>
      <c r="P21" s="3">
        <v>49.700865024228797</v>
      </c>
      <c r="Q21" s="3">
        <v>18.196394675506902</v>
      </c>
      <c r="R21" s="3">
        <v>0</v>
      </c>
      <c r="S21" s="3">
        <v>49.700865024228797</v>
      </c>
      <c r="T21" s="3">
        <v>0.65823703985604698</v>
      </c>
      <c r="U21" s="3">
        <v>-30.436187970125602</v>
      </c>
      <c r="V21" s="3">
        <v>362.13744879793097</v>
      </c>
      <c r="W21" s="3">
        <v>99.829641212393696</v>
      </c>
      <c r="X21" s="3">
        <v>43.013241039552398</v>
      </c>
      <c r="Y21" s="3">
        <v>79.519718185595806</v>
      </c>
      <c r="Z21" s="3">
        <v>56.608015315016701</v>
      </c>
      <c r="AA21" s="3">
        <v>3.6907785941484899</v>
      </c>
      <c r="AB21" s="3">
        <v>762.83392658671198</v>
      </c>
      <c r="AC21" s="3">
        <v>22.326366907705701</v>
      </c>
      <c r="AD21" s="3">
        <v>0</v>
      </c>
      <c r="AE21" s="3">
        <v>171.770684886711</v>
      </c>
      <c r="AF21" s="3">
        <v>112.078256493716</v>
      </c>
      <c r="AG21" s="3">
        <v>29.793667663540301</v>
      </c>
      <c r="AH21" s="3">
        <v>-9.2126422451996408</v>
      </c>
      <c r="AI21" s="3">
        <v>26239260837.900002</v>
      </c>
      <c r="AJ21" s="3">
        <v>8.1654959782105199E-2</v>
      </c>
      <c r="AK21" s="3">
        <v>64213</v>
      </c>
      <c r="AL21" s="3">
        <f t="shared" si="3"/>
        <v>1.0535026132119301</v>
      </c>
      <c r="AM21" s="4">
        <f t="shared" si="4"/>
        <v>0.80748794542489166</v>
      </c>
      <c r="AN21" s="4">
        <f t="shared" si="5"/>
        <v>1.0935074940676219</v>
      </c>
    </row>
    <row r="22" spans="1:40" x14ac:dyDescent="0.25">
      <c r="A22" s="3">
        <v>6</v>
      </c>
      <c r="B22" s="3" t="s">
        <v>51</v>
      </c>
      <c r="C22" s="3">
        <v>120</v>
      </c>
      <c r="D22" s="3">
        <v>0.79550830130274797</v>
      </c>
      <c r="E22" s="3">
        <v>0.830398622584126</v>
      </c>
      <c r="F22" s="3">
        <v>3.4890321281377999E-2</v>
      </c>
      <c r="G22" s="3">
        <v>5.4192169188094497E-2</v>
      </c>
      <c r="H22" s="3">
        <v>1.5802234878205899E-2</v>
      </c>
      <c r="I22" s="3">
        <v>1.36486512556117E-2</v>
      </c>
      <c r="J22" s="3">
        <v>0.70447826404637304</v>
      </c>
      <c r="K22" s="3">
        <v>4.2277303215840403E-2</v>
      </c>
      <c r="L22" s="3">
        <v>16.373371111971998</v>
      </c>
      <c r="M22" s="3">
        <v>5.4565213207293803</v>
      </c>
      <c r="N22" s="3">
        <v>78.170107567298601</v>
      </c>
      <c r="O22" s="3">
        <v>32.868002386369803</v>
      </c>
      <c r="P22" s="3">
        <v>46.898488583521797</v>
      </c>
      <c r="Q22" s="3">
        <v>20.233509030108401</v>
      </c>
      <c r="R22" s="3">
        <v>0</v>
      </c>
      <c r="S22" s="3">
        <v>46.898488583521797</v>
      </c>
      <c r="T22" s="3">
        <v>0.60224570948703005</v>
      </c>
      <c r="U22" s="3">
        <v>-30.0897788525902</v>
      </c>
      <c r="V22" s="3">
        <v>342.90312483028998</v>
      </c>
      <c r="W22" s="3">
        <v>99.928585595473095</v>
      </c>
      <c r="X22" s="3">
        <v>46.612405633058302</v>
      </c>
      <c r="Y22" s="3">
        <v>97.035745557262999</v>
      </c>
      <c r="Z22" s="3">
        <v>55.871757046354098</v>
      </c>
      <c r="AA22" s="3">
        <v>3.6618753830000199</v>
      </c>
      <c r="AB22" s="3">
        <v>765.25590146388095</v>
      </c>
      <c r="AC22" s="3">
        <v>16.3206230800768</v>
      </c>
      <c r="AD22" s="3">
        <v>0</v>
      </c>
      <c r="AE22" s="3">
        <v>171.90377155274399</v>
      </c>
      <c r="AF22" s="3">
        <v>112.096432782124</v>
      </c>
      <c r="AG22" s="3">
        <v>29.671972447907802</v>
      </c>
      <c r="AH22" s="3">
        <v>-10.045816137912199</v>
      </c>
      <c r="AI22" s="3">
        <v>74286286607.199997</v>
      </c>
      <c r="AJ22" s="3">
        <v>7.2185864036831499E-2</v>
      </c>
      <c r="AK22" s="3">
        <v>80973</v>
      </c>
      <c r="AL22" s="3">
        <f t="shared" si="3"/>
        <v>0.95798364745259035</v>
      </c>
      <c r="AM22" s="4">
        <f t="shared" si="4"/>
        <v>0.78812131936828556</v>
      </c>
      <c r="AN22" s="4">
        <f t="shared" si="5"/>
        <v>1.009372899518038</v>
      </c>
    </row>
    <row r="23" spans="1:40" x14ac:dyDescent="0.25">
      <c r="A23" s="3">
        <v>7</v>
      </c>
      <c r="B23" s="3" t="s">
        <v>51</v>
      </c>
      <c r="C23" s="3">
        <v>140</v>
      </c>
      <c r="D23" s="3">
        <v>0.80397283164269095</v>
      </c>
      <c r="E23" s="3">
        <v>0.81915037173908201</v>
      </c>
      <c r="F23" s="3">
        <v>1.51775400963914E-2</v>
      </c>
      <c r="G23" s="3">
        <v>5.4863903861919298E-2</v>
      </c>
      <c r="H23" s="3">
        <v>1.31067942662595E-2</v>
      </c>
      <c r="I23" s="3">
        <v>1.1781385154016701E-2</v>
      </c>
      <c r="J23" s="3">
        <v>0.68421046358499005</v>
      </c>
      <c r="K23" s="3">
        <v>5.5187824871896801E-2</v>
      </c>
      <c r="L23" s="3">
        <v>11.492531679592901</v>
      </c>
      <c r="M23" s="3">
        <v>4.6896163619746796</v>
      </c>
      <c r="N23" s="3">
        <v>83.817851958432499</v>
      </c>
      <c r="O23" s="3">
        <v>30.720520155639601</v>
      </c>
      <c r="P23" s="3">
        <v>48.305167464213</v>
      </c>
      <c r="Q23" s="3">
        <v>20.974312380147399</v>
      </c>
      <c r="R23" s="3">
        <v>0</v>
      </c>
      <c r="S23" s="3">
        <v>48.305167464213</v>
      </c>
      <c r="T23" s="3">
        <v>0.497728245651472</v>
      </c>
      <c r="U23" s="3">
        <v>-30.2371168003184</v>
      </c>
      <c r="V23" s="3">
        <v>344.74911683268198</v>
      </c>
      <c r="W23" s="3">
        <v>99.947761401897694</v>
      </c>
      <c r="X23" s="3">
        <v>44.847833174593298</v>
      </c>
      <c r="Y23" s="3">
        <v>119.65714290986899</v>
      </c>
      <c r="Z23" s="3">
        <v>56.174860701234699</v>
      </c>
      <c r="AA23" s="3">
        <v>3.6327209695610798</v>
      </c>
      <c r="AB23" s="3">
        <v>768.66829976174802</v>
      </c>
      <c r="AC23" s="3">
        <v>12.914574498818601</v>
      </c>
      <c r="AD23" s="3">
        <v>0</v>
      </c>
      <c r="AE23" s="3">
        <v>172.10268395413499</v>
      </c>
      <c r="AF23" s="3">
        <v>112.108551554973</v>
      </c>
      <c r="AG23" s="3">
        <v>29.641183848614599</v>
      </c>
      <c r="AH23" s="3">
        <v>-13.0110671014584</v>
      </c>
      <c r="AI23" s="3">
        <v>117820538639.39999</v>
      </c>
      <c r="AJ23" s="3">
        <v>7.6170532638948699E-2</v>
      </c>
      <c r="AK23" s="3">
        <v>65531</v>
      </c>
      <c r="AL23" s="3">
        <f t="shared" si="3"/>
        <v>0.98147160689902557</v>
      </c>
      <c r="AM23" s="4">
        <f t="shared" si="4"/>
        <v>0.76396254686718523</v>
      </c>
      <c r="AN23" s="4">
        <f t="shared" si="5"/>
        <v>1.0523720500953582</v>
      </c>
    </row>
    <row r="24" spans="1:40" x14ac:dyDescent="0.25">
      <c r="A24" s="3">
        <v>8</v>
      </c>
      <c r="B24" s="3" t="s">
        <v>51</v>
      </c>
      <c r="C24" s="3">
        <v>160</v>
      </c>
      <c r="D24" s="3">
        <v>0.79662124650915001</v>
      </c>
      <c r="E24" s="3">
        <v>0.81911908360982399</v>
      </c>
      <c r="F24" s="3">
        <v>2.2497837100673799E-2</v>
      </c>
      <c r="G24" s="3">
        <v>5.4977866096536203E-2</v>
      </c>
      <c r="H24" s="3">
        <v>1.1959939350712699E-2</v>
      </c>
      <c r="I24" s="3">
        <v>1.5752849009171399E-2</v>
      </c>
      <c r="J24" s="3">
        <v>0.66980067050080905</v>
      </c>
      <c r="K24" s="3">
        <v>6.6627758652595098E-2</v>
      </c>
      <c r="L24" s="3">
        <v>12.438933712725801</v>
      </c>
      <c r="M24" s="3">
        <v>5.6509741953730703</v>
      </c>
      <c r="N24" s="3">
        <v>81.910092091901205</v>
      </c>
      <c r="O24" s="3">
        <v>29.131521833218802</v>
      </c>
      <c r="P24" s="3">
        <v>46.912101586520897</v>
      </c>
      <c r="Q24" s="3">
        <v>23.956376580260301</v>
      </c>
      <c r="R24" s="3">
        <v>0</v>
      </c>
      <c r="S24" s="3">
        <v>46.912101586520897</v>
      </c>
      <c r="T24" s="3">
        <v>0.43736917021976601</v>
      </c>
      <c r="U24" s="3">
        <v>-29.6053580951091</v>
      </c>
      <c r="V24" s="3">
        <v>330.31256402067498</v>
      </c>
      <c r="W24" s="3">
        <v>99.9299587007269</v>
      </c>
      <c r="X24" s="3">
        <v>46.315655981448998</v>
      </c>
      <c r="Y24" s="3">
        <v>138.316468023997</v>
      </c>
      <c r="Z24" s="3">
        <v>55.352780843507297</v>
      </c>
      <c r="AA24" s="3">
        <v>3.64784044674894</v>
      </c>
      <c r="AB24" s="3">
        <v>762.18823851182105</v>
      </c>
      <c r="AC24" s="3">
        <v>11.656342401524499</v>
      </c>
      <c r="AD24" s="3">
        <v>0</v>
      </c>
      <c r="AE24" s="3">
        <v>171.14345436512099</v>
      </c>
      <c r="AF24" s="3">
        <v>112.061596418804</v>
      </c>
      <c r="AG24" s="3">
        <v>29.9172547403031</v>
      </c>
      <c r="AH24" s="3">
        <v>-12.2929317726876</v>
      </c>
      <c r="AI24" s="3">
        <v>54739389407.099998</v>
      </c>
      <c r="AJ24" s="3">
        <v>8.0983406366687896E-2</v>
      </c>
      <c r="AK24" s="3">
        <v>54499</v>
      </c>
      <c r="AL24" s="3">
        <f t="shared" si="3"/>
        <v>0.97253410700489729</v>
      </c>
      <c r="AM24" s="4">
        <f t="shared" si="4"/>
        <v>0.75249132495722892</v>
      </c>
      <c r="AN24" s="4">
        <f t="shared" si="5"/>
        <v>1.0586450901004465</v>
      </c>
    </row>
    <row r="25" spans="1:40" x14ac:dyDescent="0.25">
      <c r="A25" s="3">
        <v>9</v>
      </c>
      <c r="B25" s="3" t="s">
        <v>51</v>
      </c>
      <c r="C25" s="3">
        <v>180</v>
      </c>
      <c r="D25" s="3">
        <v>0.77671511404168203</v>
      </c>
      <c r="E25" s="3">
        <v>0.76824984772190297</v>
      </c>
      <c r="F25" s="3">
        <v>-8.4652663197792508E-3</v>
      </c>
      <c r="G25" s="3">
        <v>5.5294847037931603E-2</v>
      </c>
      <c r="H25" s="3">
        <v>1.1394429045638499E-2</v>
      </c>
      <c r="I25" s="3">
        <v>1.26460401388014E-2</v>
      </c>
      <c r="J25" s="3">
        <v>0.618756809105515</v>
      </c>
      <c r="K25" s="3">
        <v>7.0157722394015895E-2</v>
      </c>
      <c r="L25" s="3">
        <v>11.2112044544456</v>
      </c>
      <c r="M25" s="3">
        <v>5.0380198909309097</v>
      </c>
      <c r="N25" s="3">
        <v>83.750775654623496</v>
      </c>
      <c r="O25" s="3">
        <v>27.319934325688099</v>
      </c>
      <c r="P25" s="3">
        <v>50.735545940914101</v>
      </c>
      <c r="Q25" s="3">
        <v>21.944519733397801</v>
      </c>
      <c r="R25" s="3">
        <v>0</v>
      </c>
      <c r="S25" s="3">
        <v>50.735545940914101</v>
      </c>
      <c r="T25" s="3">
        <v>0.42781338508722</v>
      </c>
      <c r="U25" s="3">
        <v>-30.511059098365401</v>
      </c>
      <c r="V25" s="3">
        <v>364.02268403785399</v>
      </c>
      <c r="W25" s="3">
        <v>99.930285712281204</v>
      </c>
      <c r="X25" s="3">
        <v>43.831710572782903</v>
      </c>
      <c r="Y25" s="3">
        <v>147.34158052106301</v>
      </c>
      <c r="Z25" s="3">
        <v>57.2159659010225</v>
      </c>
      <c r="AA25" s="3">
        <v>3.6328982012451601</v>
      </c>
      <c r="AB25" s="3">
        <v>768.37204940068898</v>
      </c>
      <c r="AC25" s="3">
        <v>10.647082782263199</v>
      </c>
      <c r="AD25" s="3">
        <v>0</v>
      </c>
      <c r="AE25" s="3">
        <v>172.481887496513</v>
      </c>
      <c r="AF25" s="3">
        <v>112.113940537866</v>
      </c>
      <c r="AG25" s="3">
        <v>29.522335965891699</v>
      </c>
      <c r="AH25" s="3">
        <v>-14.9130001780526</v>
      </c>
      <c r="AI25" s="3">
        <v>65982357933.599998</v>
      </c>
      <c r="AJ25" s="3">
        <v>7.6864966683975702E-2</v>
      </c>
      <c r="AK25" s="3">
        <v>65897</v>
      </c>
      <c r="AL25" s="3">
        <f t="shared" si="3"/>
        <v>1.0110188974913319</v>
      </c>
      <c r="AM25" s="4">
        <f t="shared" si="4"/>
        <v>0.69809212532788711</v>
      </c>
      <c r="AN25" s="4">
        <f t="shared" si="5"/>
        <v>1.1126255201301209</v>
      </c>
    </row>
    <row r="26" spans="1:40" x14ac:dyDescent="0.25">
      <c r="A26" s="3">
        <v>10</v>
      </c>
      <c r="B26" s="3" t="s">
        <v>51</v>
      </c>
      <c r="C26" s="3">
        <v>200</v>
      </c>
      <c r="D26" s="3">
        <v>0.77762979171453805</v>
      </c>
      <c r="E26" s="3">
        <v>0.78441101134178703</v>
      </c>
      <c r="F26" s="3">
        <v>6.7812196272482601E-3</v>
      </c>
      <c r="G26" s="3">
        <v>5.3641762035048501E-2</v>
      </c>
      <c r="H26" s="3">
        <v>1.08073713892203E-2</v>
      </c>
      <c r="I26" s="3">
        <v>1.7204619635906301E-2</v>
      </c>
      <c r="J26" s="3">
        <v>0.61447151694789603</v>
      </c>
      <c r="K26" s="3">
        <v>8.8285741333715903E-2</v>
      </c>
      <c r="L26" s="3">
        <v>13.941300168717801</v>
      </c>
      <c r="M26" s="3">
        <v>6.0007148357901201</v>
      </c>
      <c r="N26" s="3">
        <v>80.057984995492006</v>
      </c>
      <c r="O26" s="3">
        <v>32.5535773914497</v>
      </c>
      <c r="P26" s="3">
        <v>41.402961738610799</v>
      </c>
      <c r="Q26" s="3">
        <v>26.043460869939501</v>
      </c>
      <c r="R26" s="3">
        <v>0</v>
      </c>
      <c r="S26" s="3">
        <v>41.402961738610799</v>
      </c>
      <c r="T26" s="3">
        <v>0.37389588713008398</v>
      </c>
      <c r="U26" s="3">
        <v>-29.5428338371037</v>
      </c>
      <c r="V26" s="3">
        <v>315.440141777375</v>
      </c>
      <c r="W26" s="3">
        <v>99.938659842763002</v>
      </c>
      <c r="X26" s="3">
        <v>52.459520100989202</v>
      </c>
      <c r="Y26" s="3">
        <v>175.42687827103401</v>
      </c>
      <c r="Z26" s="3">
        <v>54.348145956196298</v>
      </c>
      <c r="AA26" s="3">
        <v>3.6685891323515198</v>
      </c>
      <c r="AB26" s="3">
        <v>758.25046737775801</v>
      </c>
      <c r="AC26" s="3">
        <v>8.4646051552066996</v>
      </c>
      <c r="AD26" s="3">
        <v>0</v>
      </c>
      <c r="AE26" s="3">
        <v>170.54037844052999</v>
      </c>
      <c r="AF26" s="3">
        <v>112.017206138699</v>
      </c>
      <c r="AG26" s="3">
        <v>29.752949319600301</v>
      </c>
      <c r="AH26" s="3">
        <v>-9.9035447143588193</v>
      </c>
      <c r="AI26" s="3">
        <v>81510335387.5</v>
      </c>
      <c r="AJ26" s="3">
        <v>7.2014373213556304E-2</v>
      </c>
      <c r="AK26" s="3">
        <v>38947</v>
      </c>
      <c r="AL26" s="3">
        <f t="shared" si="3"/>
        <v>0.9913550172942508</v>
      </c>
      <c r="AM26" s="4">
        <f t="shared" si="4"/>
        <v>0.69612527000807112</v>
      </c>
      <c r="AN26" s="4">
        <f t="shared" si="5"/>
        <v>1.1170831245725672</v>
      </c>
    </row>
    <row r="27" spans="1:40" x14ac:dyDescent="0.25">
      <c r="A27" s="3">
        <v>11</v>
      </c>
      <c r="B27" s="3" t="s">
        <v>51</v>
      </c>
      <c r="C27" s="3">
        <v>220</v>
      </c>
      <c r="D27" s="3">
        <v>0.73918970559978203</v>
      </c>
      <c r="E27" s="3">
        <v>0.71854241225906801</v>
      </c>
      <c r="F27" s="3">
        <v>-2.0647293340713899E-2</v>
      </c>
      <c r="G27" s="3">
        <v>5.7071953571686401E-2</v>
      </c>
      <c r="H27" s="3">
        <v>8.4443484012881997E-3</v>
      </c>
      <c r="I27" s="3">
        <v>8.0115891509365596E-3</v>
      </c>
      <c r="J27" s="3">
        <v>0.55755286413437599</v>
      </c>
      <c r="K27" s="3">
        <v>8.7461657000780305E-2</v>
      </c>
      <c r="L27" s="3">
        <v>5.6060301359123503</v>
      </c>
      <c r="M27" s="3">
        <v>4.1224140459753196</v>
      </c>
      <c r="N27" s="3">
        <v>90.271555818112304</v>
      </c>
      <c r="O27" s="3">
        <v>25.057466895818099</v>
      </c>
      <c r="P27" s="3">
        <v>56.969206750639302</v>
      </c>
      <c r="Q27" s="3">
        <v>17.9733263535425</v>
      </c>
      <c r="R27" s="3">
        <v>0</v>
      </c>
      <c r="S27" s="3">
        <v>56.969206750639302</v>
      </c>
      <c r="T27" s="3">
        <v>0.31824811171694201</v>
      </c>
      <c r="U27" s="3">
        <v>-30.087107952693099</v>
      </c>
      <c r="V27" s="3">
        <v>362.18821202275001</v>
      </c>
      <c r="W27" s="3">
        <v>99.978828912777104</v>
      </c>
      <c r="X27" s="3">
        <v>42.690507964443398</v>
      </c>
      <c r="Y27" s="3">
        <v>177.714771482782</v>
      </c>
      <c r="Z27" s="3">
        <v>57.636184436694201</v>
      </c>
      <c r="AA27" s="3">
        <v>3.5951843890645399</v>
      </c>
      <c r="AB27" s="3">
        <v>774.14315718017804</v>
      </c>
      <c r="AC27" s="3">
        <v>8.7336523674663802</v>
      </c>
      <c r="AD27" s="3">
        <v>0</v>
      </c>
      <c r="AE27" s="3">
        <v>173.217776983482</v>
      </c>
      <c r="AF27" s="3">
        <v>112.17372010506</v>
      </c>
      <c r="AG27" s="3">
        <v>29.556302141740101</v>
      </c>
      <c r="AH27" s="3">
        <v>-17.638327795414298</v>
      </c>
      <c r="AI27" s="3">
        <v>152249723174.39999</v>
      </c>
      <c r="AJ27" s="3">
        <v>6.9295005735656001E-2</v>
      </c>
      <c r="AK27" s="3">
        <v>31356</v>
      </c>
      <c r="AL27" s="3">
        <f t="shared" si="3"/>
        <v>1.0287349681639526</v>
      </c>
      <c r="AM27" s="4">
        <f t="shared" si="4"/>
        <v>0.63108075525828766</v>
      </c>
      <c r="AN27" s="4">
        <f t="shared" si="5"/>
        <v>1.1713076328832872</v>
      </c>
    </row>
    <row r="28" spans="1:40" x14ac:dyDescent="0.25">
      <c r="A28" s="3">
        <v>12</v>
      </c>
      <c r="B28" s="3" t="s">
        <v>51</v>
      </c>
      <c r="C28" s="3">
        <v>240</v>
      </c>
      <c r="D28" s="3">
        <v>1.1478584679010799</v>
      </c>
      <c r="E28" s="3">
        <v>0.75279137744951397</v>
      </c>
      <c r="F28" s="3">
        <v>-0.39506709045156402</v>
      </c>
      <c r="G28" s="3">
        <v>7.75269591734178E-2</v>
      </c>
      <c r="H28" s="3">
        <v>9.6426051775795E-3</v>
      </c>
      <c r="I28" s="3">
        <v>1.4014487104565199E-2</v>
      </c>
      <c r="J28" s="3">
        <v>0.57433234096714203</v>
      </c>
      <c r="K28" s="3">
        <v>7.7274985026809198E-2</v>
      </c>
      <c r="L28" s="3">
        <v>13.5647560925193</v>
      </c>
      <c r="M28" s="3">
        <v>7.8492896831155097</v>
      </c>
      <c r="N28" s="3">
        <v>78.585954224365196</v>
      </c>
      <c r="O28" s="3">
        <v>35.7824499719068</v>
      </c>
      <c r="P28" s="3">
        <v>49.9749941176118</v>
      </c>
      <c r="Q28" s="3">
        <v>14.2425559104814</v>
      </c>
      <c r="R28" s="3">
        <v>0</v>
      </c>
      <c r="S28" s="3">
        <v>49.9749941176118</v>
      </c>
      <c r="T28" s="3">
        <v>0.350857063398687</v>
      </c>
      <c r="U28" s="3">
        <v>-33.640725636027398</v>
      </c>
      <c r="V28" s="3">
        <v>314.97600402601302</v>
      </c>
      <c r="W28" s="3">
        <v>99.8260301936578</v>
      </c>
      <c r="X28" s="3">
        <v>29.5129118097713</v>
      </c>
      <c r="Y28" s="3">
        <v>173.421177936275</v>
      </c>
      <c r="Z28" s="3">
        <v>58.321658369867102</v>
      </c>
      <c r="AA28" s="3">
        <v>3.6132403811593798</v>
      </c>
      <c r="AB28" s="3">
        <v>770.11771546376599</v>
      </c>
      <c r="AC28" s="3">
        <v>7.62611061914287</v>
      </c>
      <c r="AD28" s="3">
        <v>0</v>
      </c>
      <c r="AE28" s="3">
        <v>171.40996550242301</v>
      </c>
      <c r="AF28" s="3">
        <v>112.053125497914</v>
      </c>
      <c r="AG28" s="3">
        <v>30.379154395566001</v>
      </c>
      <c r="AH28" s="3">
        <v>-22.992185575895299</v>
      </c>
      <c r="AI28" s="3">
        <v>9799213888.7999992</v>
      </c>
      <c r="AJ28" s="3">
        <v>9.4550514391186599E-2</v>
      </c>
      <c r="AK28" s="3">
        <v>13043</v>
      </c>
      <c r="AL28" s="3">
        <f t="shared" si="3"/>
        <v>1.5248028899986452</v>
      </c>
      <c r="AM28" s="4">
        <f t="shared" si="4"/>
        <v>0.67551639242270478</v>
      </c>
      <c r="AN28" s="4">
        <f t="shared" si="5"/>
        <v>1.6992311079000535</v>
      </c>
    </row>
    <row r="29" spans="1:40" x14ac:dyDescent="0.25">
      <c r="A29" s="3">
        <v>13</v>
      </c>
      <c r="B29" s="3" t="s">
        <v>51</v>
      </c>
      <c r="C29" s="3">
        <v>260</v>
      </c>
      <c r="D29" s="3">
        <v>1.1829748560465501</v>
      </c>
      <c r="E29" s="3">
        <v>0.81299171158286798</v>
      </c>
      <c r="F29" s="3">
        <v>-0.36998314446368502</v>
      </c>
      <c r="G29" s="3">
        <v>7.1531740733034796E-2</v>
      </c>
      <c r="H29" s="3">
        <v>1.4664130593404901E-2</v>
      </c>
      <c r="I29" s="3">
        <v>3.4864743783908303E-2</v>
      </c>
      <c r="J29" s="3">
        <v>0.59619568709279303</v>
      </c>
      <c r="K29" s="3">
        <v>9.5735409379727202E-2</v>
      </c>
      <c r="L29" s="3">
        <v>31.580849772884001</v>
      </c>
      <c r="M29" s="3">
        <v>12.322872430374</v>
      </c>
      <c r="N29" s="3">
        <v>56.096277796742001</v>
      </c>
      <c r="O29" s="3">
        <v>38.434734301862498</v>
      </c>
      <c r="P29" s="3">
        <v>37.990094548894298</v>
      </c>
      <c r="Q29" s="3">
        <v>23.5751711492432</v>
      </c>
      <c r="R29" s="3">
        <v>0</v>
      </c>
      <c r="S29" s="3">
        <v>37.990094548894298</v>
      </c>
      <c r="T29" s="3">
        <v>0.49675739868896102</v>
      </c>
      <c r="U29" s="3">
        <v>-31.687463545670798</v>
      </c>
      <c r="V29" s="3">
        <v>332.08365797169103</v>
      </c>
      <c r="W29" s="3">
        <v>99.577777182535598</v>
      </c>
      <c r="X29" s="3">
        <v>39.8470945706812</v>
      </c>
      <c r="Y29" s="3">
        <v>203.85154284186601</v>
      </c>
      <c r="Z29" s="3">
        <v>55.822662745771098</v>
      </c>
      <c r="AA29" s="3">
        <v>3.7754426188744401</v>
      </c>
      <c r="AB29" s="3">
        <v>745.62534799977402</v>
      </c>
      <c r="AC29" s="3">
        <v>11.938713593521101</v>
      </c>
      <c r="AD29" s="3">
        <v>0</v>
      </c>
      <c r="AE29" s="3">
        <v>167.91530061328999</v>
      </c>
      <c r="AF29" s="3">
        <v>111.789683885928</v>
      </c>
      <c r="AG29" s="3">
        <v>30.699763863906899</v>
      </c>
      <c r="AH29" s="3">
        <v>-10.5130156074731</v>
      </c>
      <c r="AI29" s="3">
        <v>8599272409.7999992</v>
      </c>
      <c r="AJ29" s="3">
        <v>8.2533706771506704E-2</v>
      </c>
      <c r="AK29" s="3">
        <v>13587</v>
      </c>
      <c r="AL29" s="3">
        <f t="shared" si="3"/>
        <v>1.4550884580893662</v>
      </c>
      <c r="AM29" s="4">
        <f t="shared" si="4"/>
        <v>0.71725630220314074</v>
      </c>
      <c r="AN29" s="4">
        <f t="shared" si="5"/>
        <v>1.6493056281456122</v>
      </c>
    </row>
    <row r="30" spans="1:40" x14ac:dyDescent="0.25">
      <c r="A30" s="3">
        <v>14</v>
      </c>
      <c r="B30" s="3" t="s">
        <v>51</v>
      </c>
      <c r="C30" s="3">
        <v>280</v>
      </c>
      <c r="D30" s="3">
        <v>0.73284062324222299</v>
      </c>
      <c r="E30" s="3">
        <v>0.70248627058048996</v>
      </c>
      <c r="F30" s="3">
        <v>-3.0354352661732899E-2</v>
      </c>
      <c r="G30" s="3">
        <v>5.1747736909391599E-2</v>
      </c>
      <c r="H30" s="3">
        <v>9.4887192538467696E-3</v>
      </c>
      <c r="I30" s="3">
        <v>1.23822412861136E-2</v>
      </c>
      <c r="J30" s="3">
        <v>0.50953285429944495</v>
      </c>
      <c r="K30" s="3">
        <v>0.119334718831693</v>
      </c>
      <c r="L30" s="3">
        <v>8.8386339607797009</v>
      </c>
      <c r="M30" s="3">
        <v>5.0383775319575896</v>
      </c>
      <c r="N30" s="3">
        <v>86.122988507262704</v>
      </c>
      <c r="O30" s="3">
        <v>27.405975277361499</v>
      </c>
      <c r="P30" s="3">
        <v>47.4877180271287</v>
      </c>
      <c r="Q30" s="3">
        <v>25.106306695509801</v>
      </c>
      <c r="R30" s="3">
        <v>0</v>
      </c>
      <c r="S30" s="3">
        <v>47.4877180271287</v>
      </c>
      <c r="T30" s="3">
        <v>0.33598074633888902</v>
      </c>
      <c r="U30" s="3">
        <v>-30.0325989651136</v>
      </c>
      <c r="V30" s="3">
        <v>301.070659579888</v>
      </c>
      <c r="W30" s="3">
        <v>99.983698638607095</v>
      </c>
      <c r="X30" s="3">
        <v>50.8491990459314</v>
      </c>
      <c r="Y30" s="3">
        <v>246.724815391905</v>
      </c>
      <c r="Z30" s="3">
        <v>54.087976147605303</v>
      </c>
      <c r="AA30" s="3">
        <v>3.6297087568965698</v>
      </c>
      <c r="AB30" s="3">
        <v>764.47653202444599</v>
      </c>
      <c r="AC30" s="3">
        <v>6.4417051764733699</v>
      </c>
      <c r="AD30" s="3">
        <v>0</v>
      </c>
      <c r="AE30" s="3">
        <v>171.104451564085</v>
      </c>
      <c r="AF30" s="3">
        <v>112.069729697375</v>
      </c>
      <c r="AG30" s="3">
        <v>29.565751373950501</v>
      </c>
      <c r="AH30" s="3">
        <v>-11.5751505657517</v>
      </c>
      <c r="AI30" s="3">
        <v>250523219396.29999</v>
      </c>
      <c r="AJ30" s="3">
        <v>6.1260748557619697E-2</v>
      </c>
      <c r="AK30" s="3">
        <v>25540</v>
      </c>
      <c r="AL30" s="3">
        <f t="shared" si="3"/>
        <v>1.0432098874140987</v>
      </c>
      <c r="AM30" s="4">
        <f t="shared" si="4"/>
        <v>0.58315155174879696</v>
      </c>
      <c r="AN30" s="4">
        <f t="shared" si="5"/>
        <v>1.2566898279607208</v>
      </c>
    </row>
    <row r="31" spans="1:40" x14ac:dyDescent="0.25">
      <c r="A31" s="3">
        <v>15</v>
      </c>
      <c r="B31" s="3" t="s">
        <v>51</v>
      </c>
      <c r="C31" s="3">
        <v>300</v>
      </c>
      <c r="D31" s="3">
        <v>0.634284262840351</v>
      </c>
      <c r="E31" s="3">
        <v>0.64410149192148403</v>
      </c>
      <c r="F31" s="3">
        <v>9.8172290811332392E-3</v>
      </c>
      <c r="G31" s="3">
        <v>5.2874380866479297E-2</v>
      </c>
      <c r="H31" s="3">
        <v>8.3241493137346505E-3</v>
      </c>
      <c r="I31" s="3">
        <v>8.8472450701648601E-3</v>
      </c>
      <c r="J31" s="3">
        <v>0.44629947885694299</v>
      </c>
      <c r="K31" s="3">
        <v>0.12775623781416301</v>
      </c>
      <c r="L31" s="3">
        <v>5.8878971490905299</v>
      </c>
      <c r="M31" s="3">
        <v>4.1558542961696396</v>
      </c>
      <c r="N31" s="3">
        <v>89.956248554739801</v>
      </c>
      <c r="O31" s="3">
        <v>25.325078865864299</v>
      </c>
      <c r="P31" s="3">
        <v>57.871122866982802</v>
      </c>
      <c r="Q31" s="3">
        <v>16.8037982671528</v>
      </c>
      <c r="R31" s="3">
        <v>0</v>
      </c>
      <c r="S31" s="3">
        <v>57.871122866982802</v>
      </c>
      <c r="T31" s="3">
        <v>0.31011019554756603</v>
      </c>
      <c r="U31" s="3">
        <v>-35.764275607667201</v>
      </c>
      <c r="V31" s="3">
        <v>258.874313184615</v>
      </c>
      <c r="W31" s="3">
        <v>99.987788354921904</v>
      </c>
      <c r="X31" s="3">
        <v>43.176093979027002</v>
      </c>
      <c r="Y31" s="3">
        <v>342.26220642196103</v>
      </c>
      <c r="Z31" s="3">
        <v>56.450657329330902</v>
      </c>
      <c r="AA31" s="3">
        <v>3.5575602848023502</v>
      </c>
      <c r="AB31" s="3">
        <v>769.58414039253205</v>
      </c>
      <c r="AC31" s="3">
        <v>3.68572953994705</v>
      </c>
      <c r="AD31" s="3">
        <v>0</v>
      </c>
      <c r="AE31" s="3">
        <v>172.91013588075</v>
      </c>
      <c r="AF31" s="3">
        <v>112.16436259577</v>
      </c>
      <c r="AG31" s="3">
        <v>29.581169932673799</v>
      </c>
      <c r="AH31" s="3">
        <v>-18.974367235920401</v>
      </c>
      <c r="AI31" s="3">
        <v>865571698530.30005</v>
      </c>
      <c r="AJ31" s="3">
        <v>6.9310530224337599E-2</v>
      </c>
      <c r="AK31" s="3">
        <v>129608</v>
      </c>
      <c r="AL31" s="3">
        <f t="shared" si="3"/>
        <v>0.98475825750403678</v>
      </c>
      <c r="AM31" s="4">
        <f t="shared" si="4"/>
        <v>0.51634525410732102</v>
      </c>
      <c r="AN31" s="4">
        <f t="shared" si="5"/>
        <v>1.2284111411790311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0"/>
  <sheetViews>
    <sheetView workbookViewId="0">
      <selection activeCell="A3" sqref="A3:M19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6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19" x14ac:dyDescent="0.25">
      <c r="B2" s="5" t="s">
        <v>35</v>
      </c>
      <c r="E2" s="8"/>
      <c r="J2" s="8"/>
    </row>
    <row r="3" spans="1:19" x14ac:dyDescent="0.25">
      <c r="B3" s="3" t="s">
        <v>50</v>
      </c>
      <c r="H3" s="3" t="s">
        <v>51</v>
      </c>
    </row>
    <row r="4" spans="1:19" x14ac:dyDescent="0.25">
      <c r="A4" s="5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</row>
    <row r="5" spans="1:19" x14ac:dyDescent="0.25">
      <c r="A5" s="6">
        <v>20</v>
      </c>
      <c r="B5" s="7">
        <v>85955938.200000003</v>
      </c>
      <c r="C5" s="9">
        <v>10.736215766636899</v>
      </c>
      <c r="D5" s="9">
        <v>1.68632668298342</v>
      </c>
      <c r="E5" s="9">
        <v>1.6863256786162912</v>
      </c>
      <c r="F5" s="9">
        <v>6.3666286461426154</v>
      </c>
      <c r="G5" s="9">
        <v>6.3666324380747525</v>
      </c>
      <c r="H5" s="7">
        <v>1710206.8</v>
      </c>
      <c r="I5" s="9">
        <v>1.94821045936082</v>
      </c>
      <c r="J5" s="9">
        <v>1.2419381721088001</v>
      </c>
      <c r="K5" s="9">
        <v>1.2419372650563365</v>
      </c>
      <c r="L5" s="9">
        <v>1.5686855457971598</v>
      </c>
      <c r="M5" s="9">
        <v>1.5686866914911726</v>
      </c>
    </row>
    <row r="6" spans="1:19" x14ac:dyDescent="0.25">
      <c r="A6" s="6">
        <v>40</v>
      </c>
      <c r="B6" s="7">
        <v>2197702577.1999998</v>
      </c>
      <c r="C6" s="9">
        <v>3.3653535706163802</v>
      </c>
      <c r="D6" s="9">
        <v>1.0445915939947501</v>
      </c>
      <c r="E6" s="9">
        <v>1.043191072379851</v>
      </c>
      <c r="F6" s="9">
        <v>3.2216931382211502</v>
      </c>
      <c r="G6" s="9">
        <v>3.2260183773802216</v>
      </c>
      <c r="H6" s="7">
        <v>193597803.19999999</v>
      </c>
      <c r="I6" s="9">
        <v>0.87519406538436395</v>
      </c>
      <c r="J6" s="9">
        <v>1.0842805925165699</v>
      </c>
      <c r="K6" s="9">
        <v>1.0837448682005313</v>
      </c>
      <c r="L6" s="9">
        <v>0.8071656648885277</v>
      </c>
      <c r="M6" s="9">
        <v>0.80756466864526089</v>
      </c>
    </row>
    <row r="7" spans="1:19" x14ac:dyDescent="0.25">
      <c r="A7" s="6">
        <v>60</v>
      </c>
      <c r="B7" s="7">
        <v>6727455421.1999998</v>
      </c>
      <c r="C7" s="9">
        <v>1.2643024356212</v>
      </c>
      <c r="D7" s="9">
        <v>0.91470170882017598</v>
      </c>
      <c r="E7" s="9">
        <v>0.90776580079234737</v>
      </c>
      <c r="F7" s="9">
        <v>1.382201895361008</v>
      </c>
      <c r="G7" s="9">
        <v>1.3927627968773975</v>
      </c>
      <c r="H7" s="7">
        <v>6243700711.1000004</v>
      </c>
      <c r="I7" s="9">
        <v>0.93656064034240605</v>
      </c>
      <c r="J7" s="9">
        <v>0.91239632282307503</v>
      </c>
      <c r="K7" s="9">
        <v>0.90773256695232263</v>
      </c>
      <c r="L7" s="9">
        <v>1.0264844529892048</v>
      </c>
      <c r="M7" s="9">
        <v>1.0317583332796714</v>
      </c>
    </row>
    <row r="8" spans="1:19" x14ac:dyDescent="0.25">
      <c r="A8" s="6">
        <v>80</v>
      </c>
      <c r="B8" s="7">
        <v>48593436311.599998</v>
      </c>
      <c r="C8" s="9">
        <v>0.94222985155042205</v>
      </c>
      <c r="D8" s="9">
        <v>0.82743226912499501</v>
      </c>
      <c r="E8" s="9">
        <v>0.80312195405805864</v>
      </c>
      <c r="F8" s="9">
        <v>1.1387395521168455</v>
      </c>
      <c r="G8" s="9">
        <v>1.1732089339476668</v>
      </c>
      <c r="H8" s="7">
        <v>31993343352.5</v>
      </c>
      <c r="I8" s="9">
        <v>0.78817007892900004</v>
      </c>
      <c r="J8" s="9">
        <v>0.83507056522594603</v>
      </c>
      <c r="K8" s="9">
        <v>0.81364228892212709</v>
      </c>
      <c r="L8" s="9">
        <v>0.94383649927326074</v>
      </c>
      <c r="M8" s="9">
        <v>0.96869360118084402</v>
      </c>
    </row>
    <row r="9" spans="1:19" x14ac:dyDescent="0.25">
      <c r="A9" s="6">
        <v>100</v>
      </c>
      <c r="B9" s="7">
        <v>56831329496.400002</v>
      </c>
      <c r="C9" s="9">
        <v>0.85800433888834504</v>
      </c>
      <c r="D9" s="9">
        <v>0.83619452067083799</v>
      </c>
      <c r="E9" s="9">
        <v>0.79815786271605937</v>
      </c>
      <c r="F9" s="9">
        <v>1.0260822304838952</v>
      </c>
      <c r="G9" s="9">
        <v>1.0749807512622045</v>
      </c>
      <c r="H9" s="7">
        <v>26239260837.900002</v>
      </c>
      <c r="I9" s="9">
        <v>0.88299411969138597</v>
      </c>
      <c r="J9" s="9">
        <v>0.838150858496026</v>
      </c>
      <c r="K9" s="9">
        <v>0.80748794542489166</v>
      </c>
      <c r="L9" s="9">
        <v>1.0535026132119301</v>
      </c>
      <c r="M9" s="9">
        <v>1.0935074940676219</v>
      </c>
    </row>
    <row r="10" spans="1:19" x14ac:dyDescent="0.25">
      <c r="A10" s="6">
        <v>120</v>
      </c>
      <c r="B10" s="7">
        <v>50232980223.699997</v>
      </c>
      <c r="C10" s="9">
        <v>0.84865712496404599</v>
      </c>
      <c r="D10" s="9">
        <v>0.83326917696580405</v>
      </c>
      <c r="E10" s="9">
        <v>0.78562417766511805</v>
      </c>
      <c r="F10" s="9">
        <v>1.018466959325526</v>
      </c>
      <c r="G10" s="9">
        <v>1.0802329524611405</v>
      </c>
      <c r="H10" s="7">
        <v>74286286607.199997</v>
      </c>
      <c r="I10" s="9">
        <v>0.79550830130274797</v>
      </c>
      <c r="J10" s="9">
        <v>0.830398622584126</v>
      </c>
      <c r="K10" s="9">
        <v>0.78812131936828556</v>
      </c>
      <c r="L10" s="9">
        <v>0.95798364745259035</v>
      </c>
      <c r="M10" s="9">
        <v>1.009372899518038</v>
      </c>
    </row>
    <row r="11" spans="1:19" x14ac:dyDescent="0.25">
      <c r="A11" s="6">
        <v>140</v>
      </c>
      <c r="B11" s="7">
        <v>133831320835</v>
      </c>
      <c r="C11" s="9">
        <v>0.80279962390522497</v>
      </c>
      <c r="D11" s="9">
        <v>0.81263660227635603</v>
      </c>
      <c r="E11" s="9">
        <v>0.75351594936674315</v>
      </c>
      <c r="F11" s="9">
        <v>0.98789498486337468</v>
      </c>
      <c r="G11" s="9">
        <v>1.0654049520516453</v>
      </c>
      <c r="H11" s="7">
        <v>117820538639.39999</v>
      </c>
      <c r="I11" s="9">
        <v>0.80397283164269095</v>
      </c>
      <c r="J11" s="9">
        <v>0.81915037173908201</v>
      </c>
      <c r="K11" s="9">
        <v>0.76396254686718523</v>
      </c>
      <c r="L11" s="9">
        <v>0.98147160689902557</v>
      </c>
      <c r="M11" s="9">
        <v>1.0523720500953582</v>
      </c>
    </row>
    <row r="12" spans="1:19" x14ac:dyDescent="0.25">
      <c r="A12" s="6">
        <v>160</v>
      </c>
      <c r="B12" s="7">
        <v>91259866729</v>
      </c>
      <c r="C12" s="9">
        <v>0.77633977250074204</v>
      </c>
      <c r="D12" s="9">
        <v>0.78833940718380702</v>
      </c>
      <c r="E12" s="9">
        <v>0.71790396378398902</v>
      </c>
      <c r="F12" s="9">
        <v>0.98477859336509466</v>
      </c>
      <c r="G12" s="9">
        <v>1.0813978075963595</v>
      </c>
      <c r="H12" s="7">
        <v>54739389407.099998</v>
      </c>
      <c r="I12" s="9">
        <v>0.79662124650915001</v>
      </c>
      <c r="J12" s="9">
        <v>0.81911908360982399</v>
      </c>
      <c r="K12" s="9">
        <v>0.75249132495722892</v>
      </c>
      <c r="L12" s="9">
        <v>0.97253410700489729</v>
      </c>
      <c r="M12" s="9">
        <v>1.0586450901004465</v>
      </c>
    </row>
    <row r="13" spans="1:19" x14ac:dyDescent="0.25">
      <c r="A13" s="6">
        <v>180</v>
      </c>
      <c r="B13" s="7">
        <v>205284383056.29999</v>
      </c>
      <c r="C13" s="9">
        <v>0.74242861319875997</v>
      </c>
      <c r="D13" s="9">
        <v>0.73385778689508097</v>
      </c>
      <c r="E13" s="9">
        <v>0.64517799276093868</v>
      </c>
      <c r="F13" s="9">
        <v>1.0116791379157286</v>
      </c>
      <c r="G13" s="9">
        <v>1.1507345593448599</v>
      </c>
      <c r="H13" s="7">
        <v>65982357933.599998</v>
      </c>
      <c r="I13" s="9">
        <v>0.77671511404168203</v>
      </c>
      <c r="J13" s="9">
        <v>0.76824984772190297</v>
      </c>
      <c r="K13" s="9">
        <v>0.69809212532788711</v>
      </c>
      <c r="L13" s="9">
        <v>1.0110188974913319</v>
      </c>
      <c r="M13" s="9">
        <v>1.1126255201301209</v>
      </c>
    </row>
    <row r="14" spans="1:19" x14ac:dyDescent="0.25">
      <c r="A14" s="6">
        <v>200</v>
      </c>
      <c r="B14" s="7">
        <v>31181063520.799999</v>
      </c>
      <c r="C14" s="9">
        <v>0.75954895182264803</v>
      </c>
      <c r="D14" s="9">
        <v>0.76898255135162397</v>
      </c>
      <c r="E14" s="9">
        <v>0.68463900024335866</v>
      </c>
      <c r="F14" s="9">
        <v>0.98773236205113535</v>
      </c>
      <c r="G14" s="9">
        <v>1.1094152561461765</v>
      </c>
      <c r="H14" s="7">
        <v>81510335387.5</v>
      </c>
      <c r="I14" s="9">
        <v>0.77762979171453805</v>
      </c>
      <c r="J14" s="9">
        <v>0.78441101134178703</v>
      </c>
      <c r="K14" s="9">
        <v>0.69612527000807112</v>
      </c>
      <c r="L14" s="9">
        <v>0.9913550172942508</v>
      </c>
      <c r="M14" s="9">
        <v>1.1170831245725672</v>
      </c>
      <c r="N14" s="3"/>
      <c r="O14" s="3"/>
      <c r="P14" s="3"/>
      <c r="Q14" s="3"/>
      <c r="R14" s="3"/>
      <c r="S14" s="3"/>
    </row>
    <row r="15" spans="1:19" x14ac:dyDescent="0.25">
      <c r="A15" s="6">
        <v>220</v>
      </c>
      <c r="B15" s="7">
        <v>2449786836.0999999</v>
      </c>
      <c r="C15" s="9">
        <v>0.92205230454579201</v>
      </c>
      <c r="D15" s="9">
        <v>0.82940307383044398</v>
      </c>
      <c r="E15" s="9">
        <v>0.72631182113652004</v>
      </c>
      <c r="F15" s="9">
        <v>1.1117059167474082</v>
      </c>
      <c r="G15" s="9">
        <v>1.2694992394629909</v>
      </c>
      <c r="H15" s="7">
        <v>152249723174.39999</v>
      </c>
      <c r="I15" s="9">
        <v>0.73918970559978203</v>
      </c>
      <c r="J15" s="9">
        <v>0.71854241225906801</v>
      </c>
      <c r="K15" s="9">
        <v>0.63108075525828766</v>
      </c>
      <c r="L15" s="9">
        <v>1.0287349681639526</v>
      </c>
      <c r="M15" s="9">
        <v>1.1713076328832872</v>
      </c>
    </row>
    <row r="16" spans="1:19" x14ac:dyDescent="0.25">
      <c r="A16" s="6">
        <v>240</v>
      </c>
      <c r="B16" s="7">
        <v>14893288211.1</v>
      </c>
      <c r="C16" s="9">
        <v>0.785291728103787</v>
      </c>
      <c r="D16" s="9">
        <v>0.782867686666745</v>
      </c>
      <c r="E16" s="9">
        <v>0.67179121974017297</v>
      </c>
      <c r="F16" s="9">
        <v>1.0030963615925483</v>
      </c>
      <c r="G16" s="9">
        <v>1.1689520568719436</v>
      </c>
      <c r="H16" s="7">
        <v>9799213888.7999992</v>
      </c>
      <c r="I16" s="9">
        <v>1.1478584679010799</v>
      </c>
      <c r="J16" s="9">
        <v>0.75279137744951397</v>
      </c>
      <c r="K16" s="9">
        <v>0.67551639242270478</v>
      </c>
      <c r="L16" s="9">
        <v>1.5248028899986452</v>
      </c>
      <c r="M16" s="9">
        <v>1.6992311079000535</v>
      </c>
    </row>
    <row r="17" spans="1:13" x14ac:dyDescent="0.25">
      <c r="A17" s="6">
        <v>260</v>
      </c>
      <c r="B17" s="7">
        <v>479612188153.09998</v>
      </c>
      <c r="C17" s="9">
        <v>0.67802190002255702</v>
      </c>
      <c r="D17" s="9">
        <v>0.66445805738944397</v>
      </c>
      <c r="E17" s="9">
        <v>0.55216814927272195</v>
      </c>
      <c r="F17" s="9">
        <v>1.0204133917592983</v>
      </c>
      <c r="G17" s="9">
        <v>1.2279264947020232</v>
      </c>
      <c r="H17" s="7">
        <v>8599272409.7999992</v>
      </c>
      <c r="I17" s="9">
        <v>1.1829748560465501</v>
      </c>
      <c r="J17" s="9">
        <v>0.81299171158286798</v>
      </c>
      <c r="K17" s="9">
        <v>0.71725630220314074</v>
      </c>
      <c r="L17" s="9">
        <v>1.4550884580893662</v>
      </c>
      <c r="M17" s="9">
        <v>1.6493056281456122</v>
      </c>
    </row>
    <row r="18" spans="1:13" x14ac:dyDescent="0.25">
      <c r="A18" s="6">
        <v>280</v>
      </c>
      <c r="B18" s="7">
        <v>7105847325.1000004</v>
      </c>
      <c r="C18" s="9">
        <v>0.66868071319748201</v>
      </c>
      <c r="D18" s="9">
        <v>0.71389347408753201</v>
      </c>
      <c r="E18" s="9">
        <v>0.59799242955222498</v>
      </c>
      <c r="F18" s="9">
        <v>0.93666735650183808</v>
      </c>
      <c r="G18" s="9">
        <v>1.1182093286669001</v>
      </c>
      <c r="H18" s="7">
        <v>250523219396.29999</v>
      </c>
      <c r="I18" s="9">
        <v>0.73284062324222299</v>
      </c>
      <c r="J18" s="9">
        <v>0.70248627058048996</v>
      </c>
      <c r="K18" s="9">
        <v>0.58315155174879696</v>
      </c>
      <c r="L18" s="9">
        <v>1.0432098874140987</v>
      </c>
      <c r="M18" s="9">
        <v>1.2566898279607208</v>
      </c>
    </row>
    <row r="19" spans="1:13" x14ac:dyDescent="0.25">
      <c r="A19" s="6">
        <v>300</v>
      </c>
      <c r="B19" s="7">
        <v>615467043651.09998</v>
      </c>
      <c r="C19" s="9">
        <v>0.61865807364986503</v>
      </c>
      <c r="D19" s="9">
        <v>0.64763858767325</v>
      </c>
      <c r="E19" s="9">
        <v>0.51040485051653506</v>
      </c>
      <c r="F19" s="9">
        <v>0.95525202701787382</v>
      </c>
      <c r="G19" s="9">
        <v>1.2120928573146916</v>
      </c>
      <c r="H19" s="7">
        <v>865571698530.30005</v>
      </c>
      <c r="I19" s="9">
        <v>0.634284262840351</v>
      </c>
      <c r="J19" s="9">
        <v>0.64410149192148403</v>
      </c>
      <c r="K19" s="9">
        <v>0.51634525410732102</v>
      </c>
      <c r="L19" s="9">
        <v>0.98475825750403678</v>
      </c>
      <c r="M19" s="9">
        <v>1.2284111411790311</v>
      </c>
    </row>
    <row r="24" spans="1:13" x14ac:dyDescent="0.25">
      <c r="A24" s="3"/>
      <c r="C24" s="3"/>
    </row>
    <row r="25" spans="1:13" x14ac:dyDescent="0.25">
      <c r="A25" s="3"/>
      <c r="C25" s="3"/>
    </row>
    <row r="26" spans="1:13" x14ac:dyDescent="0.25">
      <c r="A26" s="3"/>
      <c r="C26" s="3"/>
    </row>
    <row r="27" spans="1:13" x14ac:dyDescent="0.25">
      <c r="A27" s="3"/>
      <c r="C27" s="3"/>
    </row>
    <row r="28" spans="1:13" x14ac:dyDescent="0.25">
      <c r="A28" s="3"/>
      <c r="C28" s="3"/>
    </row>
    <row r="29" spans="1:13" x14ac:dyDescent="0.25">
      <c r="A29" s="3"/>
      <c r="C29" s="3"/>
    </row>
    <row r="30" spans="1:1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tabSelected="1" topLeftCell="A22" workbookViewId="0">
      <selection activeCell="Q16" sqref="Q16"/>
    </sheetView>
  </sheetViews>
  <sheetFormatPr defaultRowHeight="15" x14ac:dyDescent="0.25"/>
  <cols>
    <col min="2" max="2" width="16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13" x14ac:dyDescent="0.25">
      <c r="A1" s="1"/>
      <c r="B1" s="1" t="s">
        <v>50</v>
      </c>
      <c r="C1" s="1"/>
      <c r="D1" s="1"/>
      <c r="E1" s="1"/>
      <c r="F1" s="1"/>
      <c r="G1" s="1"/>
      <c r="H1" s="1" t="s">
        <v>51</v>
      </c>
      <c r="I1" s="1"/>
      <c r="J1" s="1"/>
      <c r="K1" s="1"/>
      <c r="L1" s="1"/>
      <c r="M1" s="1"/>
    </row>
    <row r="2" spans="1:13" x14ac:dyDescent="0.25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37</v>
      </c>
      <c r="I2" s="11" t="s">
        <v>38</v>
      </c>
      <c r="J2" s="11" t="s">
        <v>39</v>
      </c>
      <c r="K2" s="11" t="s">
        <v>40</v>
      </c>
      <c r="L2" s="11" t="s">
        <v>41</v>
      </c>
      <c r="M2" s="11" t="s">
        <v>42</v>
      </c>
    </row>
    <row r="3" spans="1:13" x14ac:dyDescent="0.25">
      <c r="A3" s="6">
        <v>20</v>
      </c>
      <c r="B3" s="7">
        <v>85955938.200000003</v>
      </c>
      <c r="C3" s="9">
        <v>10.736215766636899</v>
      </c>
      <c r="D3" s="9">
        <v>1.68632668298342</v>
      </c>
      <c r="E3" s="9">
        <v>1.6863256786162912</v>
      </c>
      <c r="F3" s="9">
        <v>6.3666286461426154</v>
      </c>
      <c r="G3" s="9">
        <v>6.3666324380747525</v>
      </c>
      <c r="H3" s="7">
        <v>1710206.8</v>
      </c>
      <c r="I3" s="9">
        <v>1.94821045936082</v>
      </c>
      <c r="J3" s="9">
        <v>1.2419381721088001</v>
      </c>
      <c r="K3" s="9">
        <v>1.2419372650563365</v>
      </c>
      <c r="L3" s="9">
        <v>1.5686855457971598</v>
      </c>
      <c r="M3" s="9">
        <v>1.5686866914911726</v>
      </c>
    </row>
    <row r="4" spans="1:13" x14ac:dyDescent="0.25">
      <c r="A4" s="6">
        <v>40</v>
      </c>
      <c r="B4" s="7">
        <v>2197702577.1999998</v>
      </c>
      <c r="C4" s="9">
        <v>3.3653535706163802</v>
      </c>
      <c r="D4" s="9">
        <v>1.0445915939947501</v>
      </c>
      <c r="E4" s="9">
        <v>1.043191072379851</v>
      </c>
      <c r="F4" s="9">
        <v>3.2216931382211502</v>
      </c>
      <c r="G4" s="9">
        <v>3.2260183773802216</v>
      </c>
      <c r="H4" s="7">
        <v>193597803.19999999</v>
      </c>
      <c r="I4" s="9">
        <v>0.87519406538436395</v>
      </c>
      <c r="J4" s="9">
        <v>1.0842805925165699</v>
      </c>
      <c r="K4" s="9">
        <v>1.0837448682005313</v>
      </c>
      <c r="L4" s="9">
        <v>0.8071656648885277</v>
      </c>
      <c r="M4" s="9">
        <v>0.80756466864526089</v>
      </c>
    </row>
    <row r="5" spans="1:13" x14ac:dyDescent="0.25">
      <c r="A5" s="6">
        <v>60</v>
      </c>
      <c r="B5" s="7">
        <v>6727455421.1999998</v>
      </c>
      <c r="C5" s="9">
        <v>1.2643024356212</v>
      </c>
      <c r="D5" s="9">
        <v>0.91470170882017598</v>
      </c>
      <c r="E5" s="9">
        <v>0.90776580079234737</v>
      </c>
      <c r="F5" s="9">
        <v>1.382201895361008</v>
      </c>
      <c r="G5" s="9">
        <v>1.3927627968773975</v>
      </c>
      <c r="H5" s="7">
        <v>6243700711.1000004</v>
      </c>
      <c r="I5" s="9">
        <v>0.93656064034240605</v>
      </c>
      <c r="J5" s="9">
        <v>0.91239632282307503</v>
      </c>
      <c r="K5" s="9">
        <v>0.90773256695232263</v>
      </c>
      <c r="L5" s="9">
        <v>1.0264844529892048</v>
      </c>
      <c r="M5" s="9">
        <v>1.0317583332796714</v>
      </c>
    </row>
    <row r="6" spans="1:13" x14ac:dyDescent="0.25">
      <c r="A6" s="6">
        <v>80</v>
      </c>
      <c r="B6" s="7">
        <v>48593436311.599998</v>
      </c>
      <c r="C6" s="9">
        <v>0.94222985155042205</v>
      </c>
      <c r="D6" s="9">
        <v>0.82743226912499501</v>
      </c>
      <c r="E6" s="9">
        <v>0.80312195405805864</v>
      </c>
      <c r="F6" s="9">
        <v>1.1387395521168455</v>
      </c>
      <c r="G6" s="9">
        <v>1.1732089339476668</v>
      </c>
      <c r="H6" s="7">
        <v>31993343352.5</v>
      </c>
      <c r="I6" s="9">
        <v>0.78817007892900004</v>
      </c>
      <c r="J6" s="9">
        <v>0.83507056522594603</v>
      </c>
      <c r="K6" s="9">
        <v>0.81364228892212709</v>
      </c>
      <c r="L6" s="9">
        <v>0.94383649927326074</v>
      </c>
      <c r="M6" s="9">
        <v>0.96869360118084402</v>
      </c>
    </row>
    <row r="7" spans="1:13" x14ac:dyDescent="0.25">
      <c r="A7" s="6">
        <v>100</v>
      </c>
      <c r="B7" s="7">
        <v>56831329496.400002</v>
      </c>
      <c r="C7" s="9">
        <v>0.85800433888834504</v>
      </c>
      <c r="D7" s="9">
        <v>0.83619452067083799</v>
      </c>
      <c r="E7" s="9">
        <v>0.79815786271605937</v>
      </c>
      <c r="F7" s="9">
        <v>1.0260822304838952</v>
      </c>
      <c r="G7" s="9">
        <v>1.0749807512622045</v>
      </c>
      <c r="H7" s="7">
        <v>26239260837.900002</v>
      </c>
      <c r="I7" s="9">
        <v>0.88299411969138597</v>
      </c>
      <c r="J7" s="9">
        <v>0.838150858496026</v>
      </c>
      <c r="K7" s="9">
        <v>0.80748794542489166</v>
      </c>
      <c r="L7" s="9">
        <v>1.0535026132119301</v>
      </c>
      <c r="M7" s="9">
        <v>1.0935074940676219</v>
      </c>
    </row>
    <row r="8" spans="1:13" x14ac:dyDescent="0.25">
      <c r="A8" s="6">
        <v>120</v>
      </c>
      <c r="B8" s="7">
        <v>50232980223.699997</v>
      </c>
      <c r="C8" s="9">
        <v>0.84865712496404599</v>
      </c>
      <c r="D8" s="9">
        <v>0.83326917696580405</v>
      </c>
      <c r="E8" s="9">
        <v>0.78562417766511805</v>
      </c>
      <c r="F8" s="9">
        <v>1.018466959325526</v>
      </c>
      <c r="G8" s="9">
        <v>1.0802329524611405</v>
      </c>
      <c r="H8" s="7">
        <v>74286286607.199997</v>
      </c>
      <c r="I8" s="9">
        <v>0.79550830130274797</v>
      </c>
      <c r="J8" s="9">
        <v>0.830398622584126</v>
      </c>
      <c r="K8" s="9">
        <v>0.78812131936828556</v>
      </c>
      <c r="L8" s="9">
        <v>0.95798364745259035</v>
      </c>
      <c r="M8" s="9">
        <v>1.009372899518038</v>
      </c>
    </row>
    <row r="9" spans="1:13" x14ac:dyDescent="0.25">
      <c r="A9" s="6">
        <v>140</v>
      </c>
      <c r="B9" s="7">
        <v>133831320835</v>
      </c>
      <c r="C9" s="9">
        <v>0.80279962390522497</v>
      </c>
      <c r="D9" s="9">
        <v>0.81263660227635603</v>
      </c>
      <c r="E9" s="9">
        <v>0.75351594936674315</v>
      </c>
      <c r="F9" s="9">
        <v>0.98789498486337468</v>
      </c>
      <c r="G9" s="9">
        <v>1.0654049520516453</v>
      </c>
      <c r="H9" s="7">
        <v>117820538639.39999</v>
      </c>
      <c r="I9" s="9">
        <v>0.80397283164269095</v>
      </c>
      <c r="J9" s="9">
        <v>0.81915037173908201</v>
      </c>
      <c r="K9" s="9">
        <v>0.76396254686718523</v>
      </c>
      <c r="L9" s="9">
        <v>0.98147160689902557</v>
      </c>
      <c r="M9" s="9">
        <v>1.0523720500953582</v>
      </c>
    </row>
    <row r="10" spans="1:13" x14ac:dyDescent="0.25">
      <c r="A10" s="6">
        <v>160</v>
      </c>
      <c r="B10" s="7">
        <v>91259866729</v>
      </c>
      <c r="C10" s="9">
        <v>0.77633977250074204</v>
      </c>
      <c r="D10" s="9">
        <v>0.78833940718380702</v>
      </c>
      <c r="E10" s="9">
        <v>0.71790396378398902</v>
      </c>
      <c r="F10" s="9">
        <v>0.98477859336509466</v>
      </c>
      <c r="G10" s="9">
        <v>1.0813978075963595</v>
      </c>
      <c r="H10" s="7">
        <v>54739389407.099998</v>
      </c>
      <c r="I10" s="9">
        <v>0.79662124650915001</v>
      </c>
      <c r="J10" s="9">
        <v>0.81911908360982399</v>
      </c>
      <c r="K10" s="9">
        <v>0.75249132495722892</v>
      </c>
      <c r="L10" s="9">
        <v>0.97253410700489729</v>
      </c>
      <c r="M10" s="9">
        <v>1.0586450901004465</v>
      </c>
    </row>
    <row r="11" spans="1:13" x14ac:dyDescent="0.25">
      <c r="A11" s="6">
        <v>180</v>
      </c>
      <c r="B11" s="7">
        <v>205284383056.29999</v>
      </c>
      <c r="C11" s="9">
        <v>0.74242861319875997</v>
      </c>
      <c r="D11" s="9">
        <v>0.73385778689508097</v>
      </c>
      <c r="E11" s="9">
        <v>0.64517799276093868</v>
      </c>
      <c r="F11" s="9">
        <v>1.0116791379157286</v>
      </c>
      <c r="G11" s="9">
        <v>1.1507345593448599</v>
      </c>
      <c r="H11" s="7">
        <v>65982357933.599998</v>
      </c>
      <c r="I11" s="9">
        <v>0.77671511404168203</v>
      </c>
      <c r="J11" s="9">
        <v>0.76824984772190297</v>
      </c>
      <c r="K11" s="9">
        <v>0.69809212532788711</v>
      </c>
      <c r="L11" s="9">
        <v>1.0110188974913319</v>
      </c>
      <c r="M11" s="9">
        <v>1.1126255201301209</v>
      </c>
    </row>
    <row r="12" spans="1:13" s="3" customFormat="1" x14ac:dyDescent="0.25">
      <c r="A12" s="6">
        <v>200</v>
      </c>
      <c r="B12" s="7">
        <v>31181063520.799999</v>
      </c>
      <c r="C12" s="9">
        <v>0.75954895182264803</v>
      </c>
      <c r="D12" s="9">
        <v>0.76898255135162397</v>
      </c>
      <c r="E12" s="9">
        <v>0.68463900024335866</v>
      </c>
      <c r="F12" s="9">
        <v>0.98773236205113535</v>
      </c>
      <c r="G12" s="9">
        <v>1.1094152561461765</v>
      </c>
      <c r="H12" s="7">
        <v>81510335387.5</v>
      </c>
      <c r="I12" s="9">
        <v>0.77762979171453805</v>
      </c>
      <c r="J12" s="9">
        <v>0.78441101134178703</v>
      </c>
      <c r="K12" s="9">
        <v>0.69612527000807112</v>
      </c>
      <c r="L12" s="9">
        <v>0.9913550172942508</v>
      </c>
      <c r="M12" s="9">
        <v>1.1170831245725672</v>
      </c>
    </row>
    <row r="13" spans="1:13" s="3" customFormat="1" x14ac:dyDescent="0.25">
      <c r="A13" s="6">
        <v>220</v>
      </c>
      <c r="B13" s="7">
        <v>2449786836.0999999</v>
      </c>
      <c r="C13" s="9">
        <v>0.92205230454579201</v>
      </c>
      <c r="D13" s="9">
        <v>0.82940307383044398</v>
      </c>
      <c r="E13" s="9">
        <v>0.72631182113652004</v>
      </c>
      <c r="F13" s="9">
        <v>1.1117059167474082</v>
      </c>
      <c r="G13" s="9">
        <v>1.2694992394629909</v>
      </c>
      <c r="H13" s="7">
        <v>152249723174.39999</v>
      </c>
      <c r="I13" s="9">
        <v>0.73918970559978203</v>
      </c>
      <c r="J13" s="9">
        <v>0.71854241225906801</v>
      </c>
      <c r="K13" s="9">
        <v>0.63108075525828766</v>
      </c>
      <c r="L13" s="9">
        <v>1.0287349681639526</v>
      </c>
      <c r="M13" s="9">
        <v>1.1713076328832872</v>
      </c>
    </row>
    <row r="14" spans="1:13" s="3" customFormat="1" x14ac:dyDescent="0.25">
      <c r="A14" s="6">
        <v>240</v>
      </c>
      <c r="B14" s="7">
        <v>14893288211.1</v>
      </c>
      <c r="C14" s="9">
        <v>0.785291728103787</v>
      </c>
      <c r="D14" s="9">
        <v>0.782867686666745</v>
      </c>
      <c r="E14" s="9">
        <v>0.67179121974017297</v>
      </c>
      <c r="F14" s="9">
        <v>1.0030963615925483</v>
      </c>
      <c r="G14" s="9">
        <v>1.1689520568719436</v>
      </c>
      <c r="H14" s="7">
        <v>9799213888.7999992</v>
      </c>
      <c r="I14" s="9">
        <v>1.1478584679010799</v>
      </c>
      <c r="J14" s="9">
        <v>0.75279137744951397</v>
      </c>
      <c r="K14" s="9">
        <v>0.67551639242270478</v>
      </c>
      <c r="L14" s="9">
        <v>1.5248028899986452</v>
      </c>
      <c r="M14" s="9">
        <v>1.6992311079000535</v>
      </c>
    </row>
    <row r="15" spans="1:13" s="3" customFormat="1" x14ac:dyDescent="0.25">
      <c r="A15" s="6">
        <v>260</v>
      </c>
      <c r="B15" s="7">
        <v>479612188153.09998</v>
      </c>
      <c r="C15" s="9">
        <v>0.67802190002255702</v>
      </c>
      <c r="D15" s="9">
        <v>0.66445805738944397</v>
      </c>
      <c r="E15" s="9">
        <v>0.55216814927272195</v>
      </c>
      <c r="F15" s="9">
        <v>1.0204133917592983</v>
      </c>
      <c r="G15" s="9">
        <v>1.2279264947020232</v>
      </c>
      <c r="H15" s="7">
        <v>8599272409.7999992</v>
      </c>
      <c r="I15" s="9">
        <v>1.1829748560465501</v>
      </c>
      <c r="J15" s="9">
        <v>0.81299171158286798</v>
      </c>
      <c r="K15" s="9">
        <v>0.71725630220314074</v>
      </c>
      <c r="L15" s="9">
        <v>1.4550884580893662</v>
      </c>
      <c r="M15" s="9">
        <v>1.6493056281456122</v>
      </c>
    </row>
    <row r="16" spans="1:13" s="3" customFormat="1" x14ac:dyDescent="0.25">
      <c r="A16" s="6">
        <v>280</v>
      </c>
      <c r="B16" s="7">
        <v>7105847325.1000004</v>
      </c>
      <c r="C16" s="9">
        <v>0.66868071319748201</v>
      </c>
      <c r="D16" s="9">
        <v>0.71389347408753201</v>
      </c>
      <c r="E16" s="9">
        <v>0.59799242955222498</v>
      </c>
      <c r="F16" s="9">
        <v>0.93666735650183808</v>
      </c>
      <c r="G16" s="9">
        <v>1.1182093286669001</v>
      </c>
      <c r="H16" s="7">
        <v>250523219396.29999</v>
      </c>
      <c r="I16" s="9">
        <v>0.73284062324222299</v>
      </c>
      <c r="J16" s="9">
        <v>0.70248627058048996</v>
      </c>
      <c r="K16" s="9">
        <v>0.58315155174879696</v>
      </c>
      <c r="L16" s="9">
        <v>1.0432098874140987</v>
      </c>
      <c r="M16" s="9">
        <v>1.2566898279607208</v>
      </c>
    </row>
    <row r="17" spans="1:35" s="3" customFormat="1" x14ac:dyDescent="0.25">
      <c r="A17" s="6">
        <v>300</v>
      </c>
      <c r="B17" s="7">
        <v>615467043651.09998</v>
      </c>
      <c r="C17" s="9">
        <v>0.61865807364986503</v>
      </c>
      <c r="D17" s="9">
        <v>0.64763858767325</v>
      </c>
      <c r="E17" s="9">
        <v>0.51040485051653506</v>
      </c>
      <c r="F17" s="9">
        <v>0.95525202701787382</v>
      </c>
      <c r="G17" s="9">
        <v>1.2120928573146916</v>
      </c>
      <c r="H17" s="7">
        <v>865571698530.30005</v>
      </c>
      <c r="I17" s="9">
        <v>0.634284262840351</v>
      </c>
      <c r="J17" s="9">
        <v>0.64410149192148403</v>
      </c>
      <c r="K17" s="9">
        <v>0.51634525410732102</v>
      </c>
      <c r="L17" s="9">
        <v>0.98475825750403678</v>
      </c>
      <c r="M17" s="9">
        <v>1.2284111411790311</v>
      </c>
    </row>
    <row r="18" spans="1:35" s="3" customFormat="1" x14ac:dyDescent="0.25"/>
    <row r="20" spans="1:35" x14ac:dyDescent="0.25">
      <c r="C20" t="s">
        <v>53</v>
      </c>
      <c r="D20" s="3" t="s">
        <v>53</v>
      </c>
      <c r="E20" s="3" t="s">
        <v>53</v>
      </c>
      <c r="I20" s="3" t="s">
        <v>51</v>
      </c>
      <c r="J20" s="3" t="s">
        <v>51</v>
      </c>
      <c r="K20" s="3" t="s">
        <v>51</v>
      </c>
      <c r="O20" s="3"/>
      <c r="P20" s="3"/>
      <c r="Q20" s="3"/>
      <c r="U20" s="3"/>
      <c r="V20" s="3"/>
      <c r="W20" s="3"/>
      <c r="AA20" s="3"/>
      <c r="AB20" s="3"/>
      <c r="AC20" s="3"/>
      <c r="AG20" s="3" t="s">
        <v>49</v>
      </c>
      <c r="AH20" s="3" t="s">
        <v>49</v>
      </c>
      <c r="AI20" s="3" t="s">
        <v>49</v>
      </c>
    </row>
    <row r="21" spans="1:35" x14ac:dyDescent="0.25">
      <c r="C21" s="3" t="s">
        <v>46</v>
      </c>
      <c r="D21" s="3" t="s">
        <v>47</v>
      </c>
      <c r="E21" s="3" t="s">
        <v>48</v>
      </c>
      <c r="I21" s="3" t="s">
        <v>46</v>
      </c>
      <c r="J21" s="3" t="s">
        <v>47</v>
      </c>
      <c r="K21" s="3" t="s">
        <v>48</v>
      </c>
      <c r="O21" s="3"/>
      <c r="P21" s="3"/>
      <c r="Q21" s="3"/>
      <c r="U21" s="3"/>
      <c r="V21" s="3"/>
      <c r="W21" s="3"/>
      <c r="AA21" s="3"/>
      <c r="AB21" s="3"/>
      <c r="AC21" s="3"/>
      <c r="AG21" s="3" t="s">
        <v>46</v>
      </c>
      <c r="AH21" s="3" t="s">
        <v>47</v>
      </c>
      <c r="AI21" s="3" t="s">
        <v>48</v>
      </c>
    </row>
    <row r="22" spans="1:35" s="3" customFormat="1" x14ac:dyDescent="0.25">
      <c r="A22" s="3">
        <f>A3</f>
        <v>20</v>
      </c>
      <c r="C22" s="2">
        <f>100*(1-(1-C3/100)^12)</f>
        <v>74.408040983085272</v>
      </c>
      <c r="D22" s="2">
        <f>100*(1-(1-D3/100)^12)</f>
        <v>18.460681630874888</v>
      </c>
      <c r="E22" s="2">
        <f t="shared" ref="E22" si="0">C22/D22</f>
        <v>4.0306226211409362</v>
      </c>
      <c r="H22"/>
      <c r="I22" s="2">
        <f>100*(1-(1-I3/100)^12)</f>
        <v>21.029244568289485</v>
      </c>
      <c r="J22" s="2">
        <f>100*(1-(1-J3/100)^12)</f>
        <v>13.926255355513906</v>
      </c>
      <c r="K22" s="2">
        <f t="shared" ref="K22:K29" si="1">I22/J22</f>
        <v>1.5100430109493326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35" x14ac:dyDescent="0.25">
      <c r="A23" s="3">
        <f t="shared" ref="A23:A28" si="2">A4</f>
        <v>40</v>
      </c>
      <c r="B23" s="10"/>
      <c r="C23" s="2">
        <f t="shared" ref="C23:D23" si="3">100*(1-(1-C4/100)^12)</f>
        <v>33.687661469555152</v>
      </c>
      <c r="D23" s="2">
        <f t="shared" si="3"/>
        <v>11.839422461095872</v>
      </c>
      <c r="E23" s="2">
        <f t="shared" ref="E23:E29" si="4">C23/D23</f>
        <v>2.8453804719150955</v>
      </c>
      <c r="F23" s="10"/>
      <c r="G23" s="10"/>
      <c r="I23" s="2">
        <f t="shared" ref="I23:J23" si="5">100*(1-(1-I4/100)^12)</f>
        <v>10.011253812145071</v>
      </c>
      <c r="J23" s="2">
        <f t="shared" si="5"/>
        <v>12.262800644432314</v>
      </c>
      <c r="K23" s="2">
        <f t="shared" si="1"/>
        <v>0.81639211974717096</v>
      </c>
      <c r="AG23" s="2">
        <f>100*(1-(1-AG7/100)^12)</f>
        <v>0</v>
      </c>
      <c r="AH23" s="2">
        <f>100*(1-(1-AH7/100)^12)</f>
        <v>0</v>
      </c>
      <c r="AI23" s="2" t="e">
        <f t="shared" ref="AI23:AI26" si="6">AG23/AH23</f>
        <v>#DIV/0!</v>
      </c>
    </row>
    <row r="24" spans="1:35" x14ac:dyDescent="0.25">
      <c r="A24" s="3">
        <f t="shared" si="2"/>
        <v>60</v>
      </c>
      <c r="C24" s="2">
        <f t="shared" ref="C24:D24" si="7">100*(1-(1-C5/100)^12)</f>
        <v>14.15986627703365</v>
      </c>
      <c r="D24" s="2">
        <f t="shared" si="7"/>
        <v>10.440707586942766</v>
      </c>
      <c r="E24" s="2">
        <f t="shared" si="4"/>
        <v>1.3562171106814729</v>
      </c>
      <c r="I24" s="2">
        <f t="shared" ref="I24:J24" si="8">100*(1-(1-I5/100)^12)</f>
        <v>10.677509239707305</v>
      </c>
      <c r="J24" s="2">
        <f t="shared" si="8"/>
        <v>10.415699417369783</v>
      </c>
      <c r="K24" s="2">
        <f t="shared" si="1"/>
        <v>1.0251360769782694</v>
      </c>
      <c r="AG24" s="12">
        <f t="shared" ref="AG24:AH24" si="9">100*(1-(1-AG8/100)^12)</f>
        <v>0</v>
      </c>
      <c r="AH24" s="12">
        <f t="shared" si="9"/>
        <v>0</v>
      </c>
      <c r="AI24" s="12" t="e">
        <f t="shared" si="6"/>
        <v>#DIV/0!</v>
      </c>
    </row>
    <row r="25" spans="1:35" x14ac:dyDescent="0.25">
      <c r="A25" s="3">
        <f t="shared" si="2"/>
        <v>80</v>
      </c>
      <c r="C25" s="2">
        <f t="shared" ref="C25:D25" si="10">100*(1-(1-C6/100)^12)</f>
        <v>10.738831000167693</v>
      </c>
      <c r="D25" s="2">
        <f t="shared" si="10"/>
        <v>9.489556027858292</v>
      </c>
      <c r="E25" s="2">
        <f t="shared" si="4"/>
        <v>1.1316473572253465</v>
      </c>
      <c r="F25" s="13">
        <f>AVERAGE(E23:E25)</f>
        <v>1.7777483132739713</v>
      </c>
      <c r="G25">
        <v>60</v>
      </c>
      <c r="I25" s="2">
        <f t="shared" ref="I25:J25" si="11">100*(1-(1-I6/100)^12)</f>
        <v>9.0586239999065672</v>
      </c>
      <c r="J25" s="2">
        <f t="shared" si="11"/>
        <v>9.5731742461322984</v>
      </c>
      <c r="K25" s="2">
        <f t="shared" si="1"/>
        <v>0.94625082203704614</v>
      </c>
      <c r="AD25" s="13"/>
      <c r="AG25" s="12">
        <f t="shared" ref="AG25:AH25" si="12">100*(1-(1-AG9/100)^12)</f>
        <v>0</v>
      </c>
      <c r="AH25" s="12">
        <f t="shared" si="12"/>
        <v>0</v>
      </c>
      <c r="AI25" s="12" t="e">
        <f t="shared" si="6"/>
        <v>#DIV/0!</v>
      </c>
    </row>
    <row r="26" spans="1:35" x14ac:dyDescent="0.25">
      <c r="A26" s="3">
        <f t="shared" si="2"/>
        <v>100</v>
      </c>
      <c r="C26" s="2">
        <f t="shared" ref="C26:D26" si="13">100*(1-(1-C7/100)^12)</f>
        <v>9.823810336775729</v>
      </c>
      <c r="D26" s="2">
        <f t="shared" si="13"/>
        <v>9.5854724715080604</v>
      </c>
      <c r="E26" s="2">
        <f t="shared" si="4"/>
        <v>1.0248644880026629</v>
      </c>
      <c r="I26" s="2">
        <f t="shared" ref="I26:J26" si="14">100*(1-(1-I7/100)^12)</f>
        <v>10.096190783928428</v>
      </c>
      <c r="J26" s="2">
        <f t="shared" si="14"/>
        <v>9.6068748976718137</v>
      </c>
      <c r="K26" s="2">
        <f t="shared" si="1"/>
        <v>1.050933929240111</v>
      </c>
      <c r="AG26" s="12">
        <f t="shared" ref="AG26:AH26" si="15">100*(1-(1-AG10/100)^12)</f>
        <v>0</v>
      </c>
      <c r="AH26" s="12">
        <f t="shared" si="15"/>
        <v>0</v>
      </c>
      <c r="AI26" s="12" t="e">
        <f t="shared" si="6"/>
        <v>#DIV/0!</v>
      </c>
    </row>
    <row r="27" spans="1:35" x14ac:dyDescent="0.25">
      <c r="A27" s="3">
        <f t="shared" si="2"/>
        <v>120</v>
      </c>
      <c r="C27" s="2">
        <f t="shared" ref="C27:D27" si="16">100*(1-(1-C8/100)^12)</f>
        <v>9.7217345194264393</v>
      </c>
      <c r="D27" s="2">
        <f t="shared" si="16"/>
        <v>9.5534604099127289</v>
      </c>
      <c r="E27" s="2">
        <f t="shared" si="4"/>
        <v>1.0176139432512965</v>
      </c>
      <c r="I27" s="2">
        <f t="shared" ref="I27:J27" si="17">100*(1-(1-I8/100)^12)</f>
        <v>9.13930913085672</v>
      </c>
      <c r="J27" s="2">
        <f t="shared" si="17"/>
        <v>9.5220378090977054</v>
      </c>
      <c r="K27" s="2">
        <f t="shared" si="1"/>
        <v>0.95980601149521672</v>
      </c>
    </row>
    <row r="28" spans="1:35" x14ac:dyDescent="0.25">
      <c r="A28" s="3">
        <f t="shared" si="2"/>
        <v>140</v>
      </c>
      <c r="C28" s="2">
        <f t="shared" ref="C28:D28" si="18">100*(1-(1-C9/100)^12)</f>
        <v>9.2194135927553553</v>
      </c>
      <c r="D28" s="2">
        <f t="shared" si="18"/>
        <v>9.3273827409605445</v>
      </c>
      <c r="E28" s="2">
        <f t="shared" si="4"/>
        <v>0.98842449686008382</v>
      </c>
      <c r="I28" s="2">
        <f t="shared" ref="I28:J28" si="19">100*(1-(1-I9/100)^12)</f>
        <v>9.23229672553928</v>
      </c>
      <c r="J28" s="2">
        <f t="shared" si="19"/>
        <v>9.3988120711697825</v>
      </c>
      <c r="K28" s="2">
        <f t="shared" si="1"/>
        <v>0.98228336258139715</v>
      </c>
    </row>
    <row r="29" spans="1:35" x14ac:dyDescent="0.25">
      <c r="A29" s="3">
        <f>A10</f>
        <v>160</v>
      </c>
      <c r="C29" s="2">
        <f t="shared" ref="C29:D29" si="20">100*(1-(1-C10/100)^12)</f>
        <v>8.9284092603542078</v>
      </c>
      <c r="D29" s="2">
        <f t="shared" si="20"/>
        <v>9.0604865358500994</v>
      </c>
      <c r="E29" s="2">
        <f t="shared" si="4"/>
        <v>0.98542271709435314</v>
      </c>
      <c r="I29" s="2">
        <f t="shared" ref="I29:J29" si="21">100*(1-(1-I10/100)^12)</f>
        <v>9.1515404396550597</v>
      </c>
      <c r="J29" s="2">
        <f t="shared" si="21"/>
        <v>9.3984690920634666</v>
      </c>
      <c r="K29" s="2">
        <f t="shared" si="1"/>
        <v>0.97372671549061907</v>
      </c>
    </row>
    <row r="30" spans="1:35" x14ac:dyDescent="0.25">
      <c r="A30" s="10"/>
    </row>
    <row r="31" spans="1:35" s="3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2018-04-26T15:06:17Z</dcterms:created>
  <dcterms:modified xsi:type="dcterms:W3CDTF">2018-04-30T17:41:12Z</dcterms:modified>
</cp:coreProperties>
</file>