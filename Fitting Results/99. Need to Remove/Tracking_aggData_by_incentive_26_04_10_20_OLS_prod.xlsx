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60" windowWidth="35475" windowHeight="19980" activeTab="2"/>
  </bookViews>
  <sheets>
    <sheet name="Tracking_aggData_by_incentive_2" sheetId="1" r:id="rId1"/>
    <sheet name="Pivot" sheetId="2" r:id="rId2"/>
    <sheet name="Analysis" sheetId="4" r:id="rId3"/>
  </sheets>
  <calcPr calcId="0"/>
  <pivotCaches>
    <pivotCache cacheId="109" r:id="rId4"/>
  </pivotCaches>
</workbook>
</file>

<file path=xl/calcChain.xml><?xml version="1.0" encoding="utf-8"?>
<calcChain xmlns="http://schemas.openxmlformats.org/spreadsheetml/2006/main">
  <c r="AB20" i="4" l="1"/>
  <c r="AA20" i="4"/>
  <c r="AC20" i="4" s="1"/>
  <c r="AB19" i="4"/>
  <c r="AA19" i="4"/>
  <c r="AC19" i="4" s="1"/>
  <c r="AB18" i="4"/>
  <c r="AC18" i="4" s="1"/>
  <c r="AA18" i="4"/>
  <c r="AB17" i="4"/>
  <c r="AA17" i="4"/>
  <c r="AC17" i="4" s="1"/>
  <c r="V20" i="4"/>
  <c r="U20" i="4"/>
  <c r="W20" i="4" s="1"/>
  <c r="V19" i="4"/>
  <c r="U19" i="4"/>
  <c r="W19" i="4" s="1"/>
  <c r="V18" i="4"/>
  <c r="W18" i="4" s="1"/>
  <c r="U18" i="4"/>
  <c r="V17" i="4"/>
  <c r="U17" i="4"/>
  <c r="W17" i="4" s="1"/>
  <c r="P20" i="4"/>
  <c r="O20" i="4"/>
  <c r="Q20" i="4" s="1"/>
  <c r="P19" i="4"/>
  <c r="O19" i="4"/>
  <c r="Q19" i="4" s="1"/>
  <c r="P18" i="4"/>
  <c r="Q18" i="4" s="1"/>
  <c r="O18" i="4"/>
  <c r="P17" i="4"/>
  <c r="O17" i="4"/>
  <c r="Q17" i="4" s="1"/>
  <c r="J20" i="4"/>
  <c r="I20" i="4"/>
  <c r="K20" i="4" s="1"/>
  <c r="J19" i="4"/>
  <c r="I19" i="4"/>
  <c r="J18" i="4"/>
  <c r="I18" i="4"/>
  <c r="J17" i="4"/>
  <c r="I17" i="4"/>
  <c r="D17" i="4"/>
  <c r="D18" i="4"/>
  <c r="D19" i="4"/>
  <c r="D20" i="4"/>
  <c r="C17" i="4"/>
  <c r="E17" i="4" s="1"/>
  <c r="C18" i="4"/>
  <c r="E18" i="4" s="1"/>
  <c r="C19" i="4"/>
  <c r="E19" i="4" s="1"/>
  <c r="C20" i="4"/>
  <c r="E20" i="4" s="1"/>
  <c r="A20" i="4"/>
  <c r="A17" i="4"/>
  <c r="A18" i="4"/>
  <c r="A19" i="4"/>
  <c r="AL24" i="1"/>
  <c r="AM24" i="1"/>
  <c r="AN24" i="1"/>
  <c r="AL25" i="1"/>
  <c r="AM25" i="1"/>
  <c r="AN25" i="1"/>
  <c r="AL26" i="1"/>
  <c r="AM26" i="1"/>
  <c r="AN26" i="1"/>
  <c r="AL27" i="1"/>
  <c r="AM27" i="1"/>
  <c r="AN27" i="1"/>
  <c r="AL28" i="1"/>
  <c r="AM28" i="1"/>
  <c r="AN28" i="1"/>
  <c r="AL29" i="1"/>
  <c r="AM29" i="1"/>
  <c r="AN29" i="1"/>
  <c r="AL30" i="1"/>
  <c r="AM30" i="1"/>
  <c r="AN30" i="1"/>
  <c r="AL31" i="1"/>
  <c r="AM31" i="1"/>
  <c r="AN31" i="1"/>
  <c r="AL32" i="1"/>
  <c r="AM32" i="1"/>
  <c r="AN32" i="1"/>
  <c r="AL33" i="1"/>
  <c r="AM33" i="1"/>
  <c r="AN33" i="1"/>
  <c r="AL34" i="1"/>
  <c r="AM34" i="1"/>
  <c r="AN34" i="1"/>
  <c r="AL35" i="1"/>
  <c r="AM35" i="1"/>
  <c r="AN35" i="1"/>
  <c r="AL36" i="1"/>
  <c r="AM36" i="1"/>
  <c r="AN36" i="1"/>
  <c r="AL37" i="1"/>
  <c r="AM37" i="1"/>
  <c r="AN37" i="1"/>
  <c r="AL38" i="1"/>
  <c r="AM38" i="1"/>
  <c r="AN38" i="1"/>
  <c r="AL39" i="1"/>
  <c r="AM39" i="1"/>
  <c r="AN39" i="1"/>
  <c r="AL40" i="1"/>
  <c r="AM40" i="1"/>
  <c r="AN40" i="1"/>
  <c r="AL41" i="1"/>
  <c r="AM41" i="1"/>
  <c r="AN41" i="1"/>
  <c r="AL42" i="1"/>
  <c r="AM42" i="1"/>
  <c r="AN42" i="1"/>
  <c r="AL43" i="1"/>
  <c r="AM43" i="1"/>
  <c r="AN43" i="1"/>
  <c r="AL44" i="1"/>
  <c r="AM44" i="1"/>
  <c r="AN44" i="1"/>
  <c r="AL45" i="1"/>
  <c r="AM45" i="1"/>
  <c r="AN45" i="1"/>
  <c r="AL3" i="1"/>
  <c r="AM3" i="1"/>
  <c r="AN3" i="1"/>
  <c r="AL4" i="1"/>
  <c r="AM4" i="1"/>
  <c r="AN4" i="1"/>
  <c r="AL5" i="1"/>
  <c r="AM5" i="1"/>
  <c r="AN5" i="1"/>
  <c r="AL6" i="1"/>
  <c r="AM6" i="1"/>
  <c r="AN6" i="1"/>
  <c r="AL7" i="1"/>
  <c r="AM7" i="1"/>
  <c r="AN7" i="1"/>
  <c r="AL8" i="1"/>
  <c r="AM8" i="1"/>
  <c r="AN8" i="1"/>
  <c r="AL9" i="1"/>
  <c r="AM9" i="1"/>
  <c r="AN9" i="1"/>
  <c r="AL10" i="1"/>
  <c r="AM10" i="1"/>
  <c r="AN10" i="1"/>
  <c r="AL11" i="1"/>
  <c r="AM11" i="1"/>
  <c r="AN11" i="1"/>
  <c r="AL12" i="1"/>
  <c r="AM12" i="1"/>
  <c r="AN12" i="1"/>
  <c r="AL13" i="1"/>
  <c r="AM13" i="1"/>
  <c r="AN13" i="1"/>
  <c r="AL14" i="1"/>
  <c r="AM14" i="1"/>
  <c r="AN14" i="1"/>
  <c r="AL15" i="1"/>
  <c r="AM15" i="1"/>
  <c r="AN15" i="1"/>
  <c r="AL16" i="1"/>
  <c r="AM16" i="1"/>
  <c r="AN16" i="1"/>
  <c r="AL17" i="1"/>
  <c r="AM17" i="1"/>
  <c r="AN17" i="1"/>
  <c r="AL18" i="1"/>
  <c r="AM18" i="1"/>
  <c r="AN18" i="1"/>
  <c r="AL19" i="1"/>
  <c r="AM19" i="1"/>
  <c r="AN19" i="1"/>
  <c r="AL20" i="1"/>
  <c r="AM20" i="1"/>
  <c r="AN20" i="1"/>
  <c r="AL21" i="1"/>
  <c r="AM21" i="1"/>
  <c r="AN21" i="1"/>
  <c r="AL22" i="1"/>
  <c r="AM22" i="1"/>
  <c r="AN22" i="1"/>
  <c r="AL23" i="1"/>
  <c r="AM23" i="1"/>
  <c r="AN23" i="1"/>
  <c r="AN2" i="1"/>
  <c r="AM2" i="1"/>
  <c r="AL2" i="1"/>
  <c r="K18" i="4" l="1"/>
  <c r="K19" i="4"/>
  <c r="K17" i="4"/>
</calcChain>
</file>

<file path=xl/sharedStrings.xml><?xml version="1.0" encoding="utf-8"?>
<sst xmlns="http://schemas.openxmlformats.org/spreadsheetml/2006/main" count="123" uniqueCount="52">
  <si>
    <t>waolsBucket</t>
  </si>
  <si>
    <t>x</t>
  </si>
  <si>
    <t>actual.smm</t>
  </si>
  <si>
    <t>model.smm</t>
  </si>
  <si>
    <t>track.err</t>
  </si>
  <si>
    <t>curt.smm</t>
  </si>
  <si>
    <t>dflt.smm</t>
  </si>
  <si>
    <t>cout.smm</t>
  </si>
  <si>
    <t>turn.smm</t>
  </si>
  <si>
    <t>refi.smm</t>
  </si>
  <si>
    <t>pct_inv</t>
  </si>
  <si>
    <t>pct_2nd</t>
  </si>
  <si>
    <t>pct_owner</t>
  </si>
  <si>
    <t>pct_purchase</t>
  </si>
  <si>
    <t>pct_REFI_NCO</t>
  </si>
  <si>
    <t>pct_REFI_CO</t>
  </si>
  <si>
    <t>pct_REFI_other</t>
  </si>
  <si>
    <t>pct_REFI</t>
  </si>
  <si>
    <t>pct_dq</t>
  </si>
  <si>
    <t>incentive</t>
  </si>
  <si>
    <t>burnout</t>
  </si>
  <si>
    <t>refi_elig_pct</t>
  </si>
  <si>
    <t>cltv</t>
  </si>
  <si>
    <t>wacls</t>
  </si>
  <si>
    <t>wala</t>
  </si>
  <si>
    <t>wac</t>
  </si>
  <si>
    <t>fico</t>
  </si>
  <si>
    <t>pct_HARPed</t>
  </si>
  <si>
    <t>pct_tpo</t>
  </si>
  <si>
    <t>cai</t>
  </si>
  <si>
    <t>hpa2yr</t>
  </si>
  <si>
    <t>media_effect</t>
  </si>
  <si>
    <t>sato</t>
  </si>
  <si>
    <t>bal</t>
  </si>
  <si>
    <t>std</t>
  </si>
  <si>
    <t>n</t>
  </si>
  <si>
    <t>NA</t>
  </si>
  <si>
    <t>Column Labels</t>
  </si>
  <si>
    <t>Row Labels</t>
  </si>
  <si>
    <t>'bal</t>
  </si>
  <si>
    <t>'actual.smm</t>
  </si>
  <si>
    <t>'model.smm</t>
  </si>
  <si>
    <t>'model w/o refi</t>
  </si>
  <si>
    <t>'Ratio</t>
  </si>
  <si>
    <t>'Ratio w/o refi</t>
  </si>
  <si>
    <t>Ratio</t>
  </si>
  <si>
    <t>model w/o refi</t>
  </si>
  <si>
    <t>Ratio w/o refi</t>
  </si>
  <si>
    <t>actual</t>
  </si>
  <si>
    <t>model</t>
  </si>
  <si>
    <t>ratio</t>
  </si>
  <si>
    <t>175+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</si>
</sst>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6">
    <xf numFmtId="0" fontId="0" fillId="0" borderId="0" xfId="0"/>
    <xf numFmtId="0" fontId="16" fillId="33" borderId="0" xfId="0" applyFont="1" applyFill="1"/>
    <xf numFmtId="43" fontId="0" fillId="34" borderId="0" xfId="1" applyFont="1" applyFill="1"/>
    <xf numFmtId="0" fontId="0" fillId="0" borderId="0" xfId="0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34" borderId="0" xfId="0" applyFill="1" applyAlignment="1">
      <alignment horizontal="left"/>
    </xf>
    <xf numFmtId="164" fontId="0" fillId="34" borderId="0" xfId="0" applyNumberFormat="1" applyFill="1"/>
    <xf numFmtId="0" fontId="0" fillId="0" borderId="0" xfId="0" applyBorder="1"/>
    <xf numFmtId="2" fontId="0" fillId="0" borderId="0" xfId="0" applyNumberFormat="1"/>
    <xf numFmtId="2" fontId="0" fillId="34" borderId="0" xfId="0" applyNumberFormat="1" applyFill="1"/>
    <xf numFmtId="0" fontId="0" fillId="34" borderId="0" xfId="0" applyFill="1"/>
    <xf numFmtId="0" fontId="16" fillId="33" borderId="10" xfId="0" applyFont="1" applyFill="1" applyBorder="1"/>
    <xf numFmtId="43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30">
    <dxf>
      <numFmt numFmtId="167" formatCode="0.0000"/>
    </dxf>
    <dxf>
      <fill>
        <patternFill patternType="solid">
          <bgColor theme="0" tint="-4.9989318521683403E-2"/>
        </patternFill>
      </fill>
    </dxf>
    <dxf>
      <border>
        <left/>
      </border>
    </dxf>
    <dxf>
      <border>
        <left/>
      </border>
    </dxf>
    <dxf>
      <numFmt numFmtId="164" formatCode="_(* #,##0_);_(* \(#,##0\);_(* &quot;-&quot;??_);_(@_)"/>
    </dxf>
    <dxf>
      <numFmt numFmtId="2" formatCode="0.00"/>
    </dxf>
    <dxf>
      <numFmt numFmtId="167" formatCode="0.0000"/>
    </dxf>
    <dxf>
      <fill>
        <patternFill patternType="solid">
          <bgColor theme="0" tint="-4.9989318521683403E-2"/>
        </patternFill>
      </fill>
    </dxf>
    <dxf>
      <border>
        <left/>
      </border>
    </dxf>
    <dxf>
      <border>
        <left/>
      </border>
    </dxf>
    <dxf>
      <numFmt numFmtId="164" formatCode="_(* #,##0_);_(* \(#,##0\);_(* &quot;-&quot;??_);_(@_)"/>
    </dxf>
    <dxf>
      <numFmt numFmtId="2" formatCode="0.00"/>
    </dxf>
    <dxf>
      <numFmt numFmtId="167" formatCode="0.0000"/>
    </dxf>
    <dxf>
      <fill>
        <patternFill patternType="solid">
          <bgColor theme="0" tint="-4.9989318521683403E-2"/>
        </patternFill>
      </fill>
    </dxf>
    <dxf>
      <border>
        <left/>
      </border>
    </dxf>
    <dxf>
      <border>
        <left/>
      </border>
    </dxf>
    <dxf>
      <numFmt numFmtId="164" formatCode="_(* #,##0_);_(* \(#,##0\);_(* &quot;-&quot;??_);_(@_)"/>
    </dxf>
    <dxf>
      <numFmt numFmtId="2" formatCode="0.00"/>
    </dxf>
    <dxf>
      <numFmt numFmtId="167" formatCode="0.0000"/>
    </dxf>
    <dxf>
      <fill>
        <patternFill patternType="solid">
          <bgColor theme="0" tint="-4.9989318521683403E-2"/>
        </patternFill>
      </fill>
    </dxf>
    <dxf>
      <border>
        <left/>
      </border>
    </dxf>
    <dxf>
      <border>
        <left/>
      </border>
    </dxf>
    <dxf>
      <numFmt numFmtId="164" formatCode="_(* #,##0_);_(* \(#,##0\);_(* &quot;-&quot;??_);_(@_)"/>
    </dxf>
    <dxf>
      <numFmt numFmtId="2" formatCode="0.00"/>
    </dxf>
    <dxf>
      <numFmt numFmtId="167" formatCode="0.0000"/>
    </dxf>
    <dxf>
      <fill>
        <patternFill patternType="solid">
          <bgColor theme="0" tint="-4.9989318521683403E-2"/>
        </patternFill>
      </fill>
    </dxf>
    <dxf>
      <border>
        <left/>
      </border>
    </dxf>
    <dxf>
      <border>
        <left/>
      </border>
    </dxf>
    <dxf>
      <numFmt numFmtId="164" formatCode="_(* #,##0_);_(* \(#,##0\);_(* &quot;-&quot;??_);_(@_)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Analysis!$A$17</c:f>
              <c:strCache>
                <c:ptCount val="1"/>
                <c:pt idx="0">
                  <c:v>-75</c:v>
                </c:pt>
              </c:strCache>
            </c:strRef>
          </c:tx>
          <c:marker>
            <c:symbol val="none"/>
          </c:marker>
          <c:cat>
            <c:multiLvlStrRef>
              <c:f>(Analysis!$C$15:$C$16,Analysis!$I$15:$I$16,Analysis!$O$15:$O$16,Analysis!$U$15:$U$16,Analysis!$AA$15:$AA$16)</c:f>
              <c:multiLvlStrCache>
                <c:ptCount val="5"/>
                <c:lvl>
                  <c:pt idx="0">
                    <c:v>actual</c:v>
                  </c:pt>
                  <c:pt idx="1">
                    <c:v>actual</c:v>
                  </c:pt>
                  <c:pt idx="2">
                    <c:v>actual</c:v>
                  </c:pt>
                  <c:pt idx="3">
                    <c:v>actual</c:v>
                  </c:pt>
                  <c:pt idx="4">
                    <c:v>actual</c:v>
                  </c:pt>
                </c:lvl>
                <c:lvl>
                  <c:pt idx="0">
                    <c:v>85</c:v>
                  </c:pt>
                  <c:pt idx="1">
                    <c:v>110</c:v>
                  </c:pt>
                  <c:pt idx="2">
                    <c:v>150</c:v>
                  </c:pt>
                  <c:pt idx="3">
                    <c:v>175</c:v>
                  </c:pt>
                  <c:pt idx="4">
                    <c:v>175+</c:v>
                  </c:pt>
                </c:lvl>
              </c:multiLvlStrCache>
            </c:multiLvlStrRef>
          </c:cat>
          <c:val>
            <c:numRef>
              <c:f>(Analysis!$C$17,Analysis!$I$17,Analysis!$O$17,Analysis!$U$17,Analysis!$AA$17)</c:f>
              <c:numCache>
                <c:formatCode>_(* #,##0.00_);_(* \(#,##0.00\);_(* "-"??_);_(@_)</c:formatCode>
                <c:ptCount val="5"/>
                <c:pt idx="0">
                  <c:v>8.7588561871538175</c:v>
                </c:pt>
                <c:pt idx="1">
                  <c:v>7.666293124468937</c:v>
                </c:pt>
                <c:pt idx="2">
                  <c:v>8.5675067916609944</c:v>
                </c:pt>
                <c:pt idx="3">
                  <c:v>6.7860173260783974</c:v>
                </c:pt>
                <c:pt idx="4">
                  <c:v>5.5371244960777606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Analysis!$A$18</c:f>
              <c:strCache>
                <c:ptCount val="1"/>
                <c:pt idx="0">
                  <c:v>-50</c:v>
                </c:pt>
              </c:strCache>
            </c:strRef>
          </c:tx>
          <c:marker>
            <c:symbol val="none"/>
          </c:marker>
          <c:cat>
            <c:multiLvlStrRef>
              <c:f>(Analysis!$C$15:$C$16,Analysis!$I$15:$I$16,Analysis!$O$15:$O$16,Analysis!$U$15:$U$16,Analysis!$AA$15:$AA$16)</c:f>
              <c:multiLvlStrCache>
                <c:ptCount val="5"/>
                <c:lvl>
                  <c:pt idx="0">
                    <c:v>actual</c:v>
                  </c:pt>
                  <c:pt idx="1">
                    <c:v>actual</c:v>
                  </c:pt>
                  <c:pt idx="2">
                    <c:v>actual</c:v>
                  </c:pt>
                  <c:pt idx="3">
                    <c:v>actual</c:v>
                  </c:pt>
                  <c:pt idx="4">
                    <c:v>actual</c:v>
                  </c:pt>
                </c:lvl>
                <c:lvl>
                  <c:pt idx="0">
                    <c:v>85</c:v>
                  </c:pt>
                  <c:pt idx="1">
                    <c:v>110</c:v>
                  </c:pt>
                  <c:pt idx="2">
                    <c:v>150</c:v>
                  </c:pt>
                  <c:pt idx="3">
                    <c:v>175</c:v>
                  </c:pt>
                  <c:pt idx="4">
                    <c:v>175+</c:v>
                  </c:pt>
                </c:lvl>
              </c:multiLvlStrCache>
            </c:multiLvlStrRef>
          </c:cat>
          <c:val>
            <c:numRef>
              <c:f>(Analysis!$C$18,Analysis!$I$18,Analysis!$O$18,Analysis!$U$18,Analysis!$AA$18)</c:f>
              <c:numCache>
                <c:formatCode>_(* #,##0.00_);_(* \(#,##0.00\);_(* "-"??_);_(@_)</c:formatCode>
                <c:ptCount val="5"/>
                <c:pt idx="0">
                  <c:v>8.8247395080245266</c:v>
                </c:pt>
                <c:pt idx="1">
                  <c:v>8.6631357164313467</c:v>
                </c:pt>
                <c:pt idx="2">
                  <c:v>8.0486040970754065</c:v>
                </c:pt>
                <c:pt idx="3">
                  <c:v>8.155747829119619</c:v>
                </c:pt>
                <c:pt idx="4">
                  <c:v>6.558319164989701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Analysis!$A$19</c:f>
              <c:strCache>
                <c:ptCount val="1"/>
                <c:pt idx="0">
                  <c:v>-25</c:v>
                </c:pt>
              </c:strCache>
            </c:strRef>
          </c:tx>
          <c:marker>
            <c:symbol val="none"/>
          </c:marker>
          <c:cat>
            <c:multiLvlStrRef>
              <c:f>(Analysis!$C$15:$C$16,Analysis!$I$15:$I$16,Analysis!$O$15:$O$16,Analysis!$U$15:$U$16,Analysis!$AA$15:$AA$16)</c:f>
              <c:multiLvlStrCache>
                <c:ptCount val="5"/>
                <c:lvl>
                  <c:pt idx="0">
                    <c:v>actual</c:v>
                  </c:pt>
                  <c:pt idx="1">
                    <c:v>actual</c:v>
                  </c:pt>
                  <c:pt idx="2">
                    <c:v>actual</c:v>
                  </c:pt>
                  <c:pt idx="3">
                    <c:v>actual</c:v>
                  </c:pt>
                  <c:pt idx="4">
                    <c:v>actual</c:v>
                  </c:pt>
                </c:lvl>
                <c:lvl>
                  <c:pt idx="0">
                    <c:v>85</c:v>
                  </c:pt>
                  <c:pt idx="1">
                    <c:v>110</c:v>
                  </c:pt>
                  <c:pt idx="2">
                    <c:v>150</c:v>
                  </c:pt>
                  <c:pt idx="3">
                    <c:v>175</c:v>
                  </c:pt>
                  <c:pt idx="4">
                    <c:v>175+</c:v>
                  </c:pt>
                </c:lvl>
              </c:multiLvlStrCache>
            </c:multiLvlStrRef>
          </c:cat>
          <c:val>
            <c:numRef>
              <c:f>(Analysis!$C$19,Analysis!$I$19,Analysis!$O$19,Analysis!$U$19,Analysis!$AA$19)</c:f>
              <c:numCache>
                <c:formatCode>_(* #,##0.00_);_(* \(#,##0.00\);_(* "-"??_);_(@_)</c:formatCode>
                <c:ptCount val="5"/>
                <c:pt idx="0">
                  <c:v>9.4107873577290562</c:v>
                </c:pt>
                <c:pt idx="1">
                  <c:v>8.9975341728277485</c:v>
                </c:pt>
                <c:pt idx="2">
                  <c:v>9.0118410693269428</c:v>
                </c:pt>
                <c:pt idx="3">
                  <c:v>8.8155633304505479</c:v>
                </c:pt>
                <c:pt idx="4">
                  <c:v>7.7391459369218989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Analysis!$A$20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multiLvlStrRef>
              <c:f>(Analysis!$C$15:$C$16,Analysis!$I$15:$I$16,Analysis!$O$15:$O$16,Analysis!$U$15:$U$16,Analysis!$AA$15:$AA$16)</c:f>
              <c:multiLvlStrCache>
                <c:ptCount val="5"/>
                <c:lvl>
                  <c:pt idx="0">
                    <c:v>actual</c:v>
                  </c:pt>
                  <c:pt idx="1">
                    <c:v>actual</c:v>
                  </c:pt>
                  <c:pt idx="2">
                    <c:v>actual</c:v>
                  </c:pt>
                  <c:pt idx="3">
                    <c:v>actual</c:v>
                  </c:pt>
                  <c:pt idx="4">
                    <c:v>actual</c:v>
                  </c:pt>
                </c:lvl>
                <c:lvl>
                  <c:pt idx="0">
                    <c:v>85</c:v>
                  </c:pt>
                  <c:pt idx="1">
                    <c:v>110</c:v>
                  </c:pt>
                  <c:pt idx="2">
                    <c:v>150</c:v>
                  </c:pt>
                  <c:pt idx="3">
                    <c:v>175</c:v>
                  </c:pt>
                  <c:pt idx="4">
                    <c:v>175+</c:v>
                  </c:pt>
                </c:lvl>
              </c:multiLvlStrCache>
            </c:multiLvlStrRef>
          </c:cat>
          <c:val>
            <c:numRef>
              <c:f>(Analysis!$C$20,Analysis!$I$20,Analysis!$O$20,Analysis!$U$20,Analysis!$AA$20)</c:f>
              <c:numCache>
                <c:formatCode>_(* #,##0.00_);_(* \(#,##0.00\);_(* "-"??_);_(@_)</c:formatCode>
                <c:ptCount val="5"/>
                <c:pt idx="0">
                  <c:v>9.4630623469689201</c:v>
                </c:pt>
                <c:pt idx="1">
                  <c:v>9.9740949025583614</c:v>
                </c:pt>
                <c:pt idx="2">
                  <c:v>9.884441601138505</c:v>
                </c:pt>
                <c:pt idx="3">
                  <c:v>9.5259634316378623</c:v>
                </c:pt>
                <c:pt idx="4">
                  <c:v>8.7596443631480003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2578688"/>
        <c:axId val="362580224"/>
      </c:lineChart>
      <c:catAx>
        <c:axId val="362578688"/>
        <c:scaling>
          <c:orientation val="minMax"/>
        </c:scaling>
        <c:delete val="0"/>
        <c:axPos val="b"/>
        <c:majorTickMark val="out"/>
        <c:minorTickMark val="none"/>
        <c:tickLblPos val="nextTo"/>
        <c:crossAx val="362580224"/>
        <c:crosses val="autoZero"/>
        <c:auto val="1"/>
        <c:lblAlgn val="ctr"/>
        <c:lblOffset val="100"/>
        <c:noMultiLvlLbl val="0"/>
      </c:catAx>
      <c:valAx>
        <c:axId val="362580224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36257868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Analysis!$C$15:$C$16</c:f>
              <c:strCache>
                <c:ptCount val="1"/>
                <c:pt idx="0">
                  <c:v>85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Analysis!$C$17:$C$20</c:f>
              <c:numCache>
                <c:formatCode>_(* #,##0.00_);_(* \(#,##0.00\);_(* "-"??_);_(@_)</c:formatCode>
                <c:ptCount val="4"/>
                <c:pt idx="0">
                  <c:v>8.7588561871538175</c:v>
                </c:pt>
                <c:pt idx="1">
                  <c:v>8.8247395080245266</c:v>
                </c:pt>
                <c:pt idx="2">
                  <c:v>9.4107873577290562</c:v>
                </c:pt>
                <c:pt idx="3">
                  <c:v>9.4630623469689201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Analysis!$D$15:$D$16</c:f>
              <c:strCache>
                <c:ptCount val="1"/>
                <c:pt idx="0">
                  <c:v>85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Analysis!$D$17:$D$20</c:f>
              <c:numCache>
                <c:formatCode>_(* #,##0.00_);_(* \(#,##0.00\);_(* "-"??_);_(@_)</c:formatCode>
                <c:ptCount val="4"/>
                <c:pt idx="0">
                  <c:v>8.2030811421268996</c:v>
                </c:pt>
                <c:pt idx="1">
                  <c:v>9.0924843775762927</c:v>
                </c:pt>
                <c:pt idx="2">
                  <c:v>10.273128591326774</c:v>
                </c:pt>
                <c:pt idx="3">
                  <c:v>10.743463233024976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3698944"/>
        <c:axId val="373700480"/>
      </c:lineChart>
      <c:catAx>
        <c:axId val="373698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73700480"/>
        <c:crosses val="autoZero"/>
        <c:auto val="1"/>
        <c:lblAlgn val="ctr"/>
        <c:lblOffset val="100"/>
        <c:noMultiLvlLbl val="0"/>
      </c:catAx>
      <c:valAx>
        <c:axId val="373700480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37369894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Analysis!$I$15:$I$16</c:f>
              <c:strCache>
                <c:ptCount val="1"/>
                <c:pt idx="0">
                  <c:v>110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Analysis!$I$17:$I$20</c:f>
              <c:numCache>
                <c:formatCode>_(* #,##0.00_);_(* \(#,##0.00\);_(* "-"??_);_(@_)</c:formatCode>
                <c:ptCount val="4"/>
                <c:pt idx="0">
                  <c:v>7.666293124468937</c:v>
                </c:pt>
                <c:pt idx="1">
                  <c:v>8.6631357164313467</c:v>
                </c:pt>
                <c:pt idx="2">
                  <c:v>8.9975341728277485</c:v>
                </c:pt>
                <c:pt idx="3">
                  <c:v>9.9740949025583614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Analysis!$J$15:$J$16</c:f>
              <c:strCache>
                <c:ptCount val="1"/>
                <c:pt idx="0">
                  <c:v>110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Analysis!$J$17:$J$20</c:f>
              <c:numCache>
                <c:formatCode>_(* #,##0.00_);_(* \(#,##0.00\);_(* "-"??_);_(@_)</c:formatCode>
                <c:ptCount val="4"/>
                <c:pt idx="0">
                  <c:v>7.6217384176686114</c:v>
                </c:pt>
                <c:pt idx="1">
                  <c:v>8.4983778682188991</c:v>
                </c:pt>
                <c:pt idx="2">
                  <c:v>9.6874839039930993</c:v>
                </c:pt>
                <c:pt idx="3">
                  <c:v>10.237230368223926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9029760"/>
        <c:axId val="379031552"/>
      </c:lineChart>
      <c:catAx>
        <c:axId val="379029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79031552"/>
        <c:crosses val="autoZero"/>
        <c:auto val="1"/>
        <c:lblAlgn val="ctr"/>
        <c:lblOffset val="100"/>
        <c:noMultiLvlLbl val="0"/>
      </c:catAx>
      <c:valAx>
        <c:axId val="379031552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37902976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Analysis!$O$15:$O$16</c:f>
              <c:strCache>
                <c:ptCount val="1"/>
                <c:pt idx="0">
                  <c:v>150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Analysis!$O$17:$O$20</c:f>
              <c:numCache>
                <c:formatCode>_(* #,##0.00_);_(* \(#,##0.00\);_(* "-"??_);_(@_)</c:formatCode>
                <c:ptCount val="4"/>
                <c:pt idx="0">
                  <c:v>8.5675067916609944</c:v>
                </c:pt>
                <c:pt idx="1">
                  <c:v>8.0486040970754065</c:v>
                </c:pt>
                <c:pt idx="2">
                  <c:v>9.0118410693269428</c:v>
                </c:pt>
                <c:pt idx="3">
                  <c:v>9.884441601138505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Analysis!$P$15:$P$16</c:f>
              <c:strCache>
                <c:ptCount val="1"/>
                <c:pt idx="0">
                  <c:v>150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Analysis!$P$17:$P$20</c:f>
              <c:numCache>
                <c:formatCode>_(* #,##0.00_);_(* \(#,##0.00\);_(* "-"??_);_(@_)</c:formatCode>
                <c:ptCount val="4"/>
                <c:pt idx="0">
                  <c:v>7.0494221577480314</c:v>
                </c:pt>
                <c:pt idx="1">
                  <c:v>7.9136857982556874</c:v>
                </c:pt>
                <c:pt idx="2">
                  <c:v>9.0792417878718936</c:v>
                </c:pt>
                <c:pt idx="3">
                  <c:v>9.7097875042544413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9699584"/>
        <c:axId val="379701120"/>
      </c:lineChart>
      <c:catAx>
        <c:axId val="3796995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79701120"/>
        <c:crosses val="autoZero"/>
        <c:auto val="1"/>
        <c:lblAlgn val="ctr"/>
        <c:lblOffset val="100"/>
        <c:noMultiLvlLbl val="0"/>
      </c:catAx>
      <c:valAx>
        <c:axId val="379701120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37969958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Analysis!$U$15:$U$16</c:f>
              <c:strCache>
                <c:ptCount val="1"/>
                <c:pt idx="0">
                  <c:v>175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Analysis!$U$17:$U$20</c:f>
              <c:numCache>
                <c:formatCode>_(* #,##0.00_);_(* \(#,##0.00\);_(* "-"??_);_(@_)</c:formatCode>
                <c:ptCount val="4"/>
                <c:pt idx="0">
                  <c:v>6.7860173260783974</c:v>
                </c:pt>
                <c:pt idx="1">
                  <c:v>8.155747829119619</c:v>
                </c:pt>
                <c:pt idx="2">
                  <c:v>8.8155633304505479</c:v>
                </c:pt>
                <c:pt idx="3">
                  <c:v>9.5259634316378623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Analysis!$V$15:$V$16</c:f>
              <c:strCache>
                <c:ptCount val="1"/>
                <c:pt idx="0">
                  <c:v>175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Analysis!$V$17:$V$20</c:f>
              <c:numCache>
                <c:formatCode>_(* #,##0.00_);_(* \(#,##0.00\);_(* "-"??_);_(@_)</c:formatCode>
                <c:ptCount val="4"/>
                <c:pt idx="0">
                  <c:v>6.6492508283504392</c:v>
                </c:pt>
                <c:pt idx="1">
                  <c:v>7.5014572441388871</c:v>
                </c:pt>
                <c:pt idx="2">
                  <c:v>8.6364745905534122</c:v>
                </c:pt>
                <c:pt idx="3">
                  <c:v>9.3382741685903881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9175936"/>
        <c:axId val="389423488"/>
      </c:lineChart>
      <c:catAx>
        <c:axId val="389175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89423488"/>
        <c:crosses val="autoZero"/>
        <c:auto val="1"/>
        <c:lblAlgn val="ctr"/>
        <c:lblOffset val="100"/>
        <c:noMultiLvlLbl val="0"/>
      </c:catAx>
      <c:valAx>
        <c:axId val="389423488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38917593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Analysis!$AA$15:$AA$16</c:f>
              <c:strCache>
                <c:ptCount val="1"/>
                <c:pt idx="0">
                  <c:v>175+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Analysis!$AA$17:$AA$20</c:f>
              <c:numCache>
                <c:formatCode>_(* #,##0.00_);_(* \(#,##0.00\);_(* "-"??_);_(@_)</c:formatCode>
                <c:ptCount val="4"/>
                <c:pt idx="0">
                  <c:v>5.5371244960777606</c:v>
                </c:pt>
                <c:pt idx="1">
                  <c:v>6.558319164989701</c:v>
                </c:pt>
                <c:pt idx="2">
                  <c:v>7.7391459369218989</c:v>
                </c:pt>
                <c:pt idx="3">
                  <c:v>8.7596443631480003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Analysis!$AB$15:$AB$16</c:f>
              <c:strCache>
                <c:ptCount val="1"/>
                <c:pt idx="0">
                  <c:v>175+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Analysis!$AB$17:$AB$20</c:f>
              <c:numCache>
                <c:formatCode>_(* #,##0.00_);_(* \(#,##0.00\);_(* "-"??_);_(@_)</c:formatCode>
                <c:ptCount val="4"/>
                <c:pt idx="0">
                  <c:v>6.1545449792045126</c:v>
                </c:pt>
                <c:pt idx="1">
                  <c:v>7.0844948865179669</c:v>
                </c:pt>
                <c:pt idx="2">
                  <c:v>8.3592166389014686</c:v>
                </c:pt>
                <c:pt idx="3">
                  <c:v>9.2856020904900856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0849280"/>
        <c:axId val="390850816"/>
      </c:lineChart>
      <c:catAx>
        <c:axId val="3908492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90850816"/>
        <c:crosses val="autoZero"/>
        <c:auto val="1"/>
        <c:lblAlgn val="ctr"/>
        <c:lblOffset val="100"/>
        <c:noMultiLvlLbl val="0"/>
      </c:catAx>
      <c:valAx>
        <c:axId val="390850816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39084928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Analysis!$A$17</c:f>
              <c:strCache>
                <c:ptCount val="1"/>
                <c:pt idx="0">
                  <c:v>-75</c:v>
                </c:pt>
              </c:strCache>
            </c:strRef>
          </c:tx>
          <c:marker>
            <c:symbol val="none"/>
          </c:marker>
          <c:cat>
            <c:multiLvlStrRef>
              <c:f>(Analysis!$D$15:$D$16,Analysis!$J$15:$J$16,Analysis!$P$15:$P$16,Analysis!$V$15:$V$16,Analysis!$AB$15:$AB$16)</c:f>
              <c:multiLvlStrCache>
                <c:ptCount val="5"/>
                <c:lvl>
                  <c:pt idx="0">
                    <c:v>model</c:v>
                  </c:pt>
                  <c:pt idx="1">
                    <c:v>model</c:v>
                  </c:pt>
                  <c:pt idx="2">
                    <c:v>model</c:v>
                  </c:pt>
                  <c:pt idx="3">
                    <c:v>model</c:v>
                  </c:pt>
                  <c:pt idx="4">
                    <c:v>model</c:v>
                  </c:pt>
                </c:lvl>
                <c:lvl>
                  <c:pt idx="0">
                    <c:v>85</c:v>
                  </c:pt>
                  <c:pt idx="1">
                    <c:v>110</c:v>
                  </c:pt>
                  <c:pt idx="2">
                    <c:v>150</c:v>
                  </c:pt>
                  <c:pt idx="3">
                    <c:v>175</c:v>
                  </c:pt>
                  <c:pt idx="4">
                    <c:v>175+</c:v>
                  </c:pt>
                </c:lvl>
              </c:multiLvlStrCache>
            </c:multiLvlStrRef>
          </c:cat>
          <c:val>
            <c:numRef>
              <c:f>(Analysis!$D$17,Analysis!$J$17,Analysis!$P$17,Analysis!$V$17,Analysis!$AB$17)</c:f>
              <c:numCache>
                <c:formatCode>_(* #,##0.00_);_(* \(#,##0.00\);_(* "-"??_);_(@_)</c:formatCode>
                <c:ptCount val="5"/>
                <c:pt idx="0">
                  <c:v>8.2030811421268996</c:v>
                </c:pt>
                <c:pt idx="1">
                  <c:v>7.6217384176686114</c:v>
                </c:pt>
                <c:pt idx="2">
                  <c:v>7.0494221577480314</c:v>
                </c:pt>
                <c:pt idx="3">
                  <c:v>6.6492508283504392</c:v>
                </c:pt>
                <c:pt idx="4">
                  <c:v>6.1545449792045126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Analysis!$A$18</c:f>
              <c:strCache>
                <c:ptCount val="1"/>
                <c:pt idx="0">
                  <c:v>-50</c:v>
                </c:pt>
              </c:strCache>
            </c:strRef>
          </c:tx>
          <c:marker>
            <c:symbol val="none"/>
          </c:marker>
          <c:cat>
            <c:multiLvlStrRef>
              <c:f>(Analysis!$D$15:$D$16,Analysis!$J$15:$J$16,Analysis!$P$15:$P$16,Analysis!$V$15:$V$16,Analysis!$AB$15:$AB$16)</c:f>
              <c:multiLvlStrCache>
                <c:ptCount val="5"/>
                <c:lvl>
                  <c:pt idx="0">
                    <c:v>model</c:v>
                  </c:pt>
                  <c:pt idx="1">
                    <c:v>model</c:v>
                  </c:pt>
                  <c:pt idx="2">
                    <c:v>model</c:v>
                  </c:pt>
                  <c:pt idx="3">
                    <c:v>model</c:v>
                  </c:pt>
                  <c:pt idx="4">
                    <c:v>model</c:v>
                  </c:pt>
                </c:lvl>
                <c:lvl>
                  <c:pt idx="0">
                    <c:v>85</c:v>
                  </c:pt>
                  <c:pt idx="1">
                    <c:v>110</c:v>
                  </c:pt>
                  <c:pt idx="2">
                    <c:v>150</c:v>
                  </c:pt>
                  <c:pt idx="3">
                    <c:v>175</c:v>
                  </c:pt>
                  <c:pt idx="4">
                    <c:v>175+</c:v>
                  </c:pt>
                </c:lvl>
              </c:multiLvlStrCache>
            </c:multiLvlStrRef>
          </c:cat>
          <c:val>
            <c:numRef>
              <c:f>(Analysis!$D$18,Analysis!$J$18,Analysis!$P$18,Analysis!$V$18,Analysis!$AB$18)</c:f>
              <c:numCache>
                <c:formatCode>_(* #,##0.00_);_(* \(#,##0.00\);_(* "-"??_);_(@_)</c:formatCode>
                <c:ptCount val="5"/>
                <c:pt idx="0">
                  <c:v>9.0924843775762927</c:v>
                </c:pt>
                <c:pt idx="1">
                  <c:v>8.4983778682188991</c:v>
                </c:pt>
                <c:pt idx="2">
                  <c:v>7.9136857982556874</c:v>
                </c:pt>
                <c:pt idx="3">
                  <c:v>7.5014572441388871</c:v>
                </c:pt>
                <c:pt idx="4">
                  <c:v>7.0844948865179669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Analysis!$A$19</c:f>
              <c:strCache>
                <c:ptCount val="1"/>
                <c:pt idx="0">
                  <c:v>-25</c:v>
                </c:pt>
              </c:strCache>
            </c:strRef>
          </c:tx>
          <c:marker>
            <c:symbol val="none"/>
          </c:marker>
          <c:cat>
            <c:multiLvlStrRef>
              <c:f>(Analysis!$D$15:$D$16,Analysis!$J$15:$J$16,Analysis!$P$15:$P$16,Analysis!$V$15:$V$16,Analysis!$AB$15:$AB$16)</c:f>
              <c:multiLvlStrCache>
                <c:ptCount val="5"/>
                <c:lvl>
                  <c:pt idx="0">
                    <c:v>model</c:v>
                  </c:pt>
                  <c:pt idx="1">
                    <c:v>model</c:v>
                  </c:pt>
                  <c:pt idx="2">
                    <c:v>model</c:v>
                  </c:pt>
                  <c:pt idx="3">
                    <c:v>model</c:v>
                  </c:pt>
                  <c:pt idx="4">
                    <c:v>model</c:v>
                  </c:pt>
                </c:lvl>
                <c:lvl>
                  <c:pt idx="0">
                    <c:v>85</c:v>
                  </c:pt>
                  <c:pt idx="1">
                    <c:v>110</c:v>
                  </c:pt>
                  <c:pt idx="2">
                    <c:v>150</c:v>
                  </c:pt>
                  <c:pt idx="3">
                    <c:v>175</c:v>
                  </c:pt>
                  <c:pt idx="4">
                    <c:v>175+</c:v>
                  </c:pt>
                </c:lvl>
              </c:multiLvlStrCache>
            </c:multiLvlStrRef>
          </c:cat>
          <c:val>
            <c:numRef>
              <c:f>(Analysis!$D$19,Analysis!$J$19,Analysis!$P$19,Analysis!$V$19,Analysis!$AB$19)</c:f>
              <c:numCache>
                <c:formatCode>_(* #,##0.00_);_(* \(#,##0.00\);_(* "-"??_);_(@_)</c:formatCode>
                <c:ptCount val="5"/>
                <c:pt idx="0">
                  <c:v>10.273128591326774</c:v>
                </c:pt>
                <c:pt idx="1">
                  <c:v>9.6874839039930993</c:v>
                </c:pt>
                <c:pt idx="2">
                  <c:v>9.0792417878718936</c:v>
                </c:pt>
                <c:pt idx="3">
                  <c:v>8.6364745905534122</c:v>
                </c:pt>
                <c:pt idx="4">
                  <c:v>8.3592166389014686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Analysis!$A$20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multiLvlStrRef>
              <c:f>(Analysis!$D$15:$D$16,Analysis!$J$15:$J$16,Analysis!$P$15:$P$16,Analysis!$V$15:$V$16,Analysis!$AB$15:$AB$16)</c:f>
              <c:multiLvlStrCache>
                <c:ptCount val="5"/>
                <c:lvl>
                  <c:pt idx="0">
                    <c:v>model</c:v>
                  </c:pt>
                  <c:pt idx="1">
                    <c:v>model</c:v>
                  </c:pt>
                  <c:pt idx="2">
                    <c:v>model</c:v>
                  </c:pt>
                  <c:pt idx="3">
                    <c:v>model</c:v>
                  </c:pt>
                  <c:pt idx="4">
                    <c:v>model</c:v>
                  </c:pt>
                </c:lvl>
                <c:lvl>
                  <c:pt idx="0">
                    <c:v>85</c:v>
                  </c:pt>
                  <c:pt idx="1">
                    <c:v>110</c:v>
                  </c:pt>
                  <c:pt idx="2">
                    <c:v>150</c:v>
                  </c:pt>
                  <c:pt idx="3">
                    <c:v>175</c:v>
                  </c:pt>
                  <c:pt idx="4">
                    <c:v>175+</c:v>
                  </c:pt>
                </c:lvl>
              </c:multiLvlStrCache>
            </c:multiLvlStrRef>
          </c:cat>
          <c:val>
            <c:numRef>
              <c:f>(Analysis!$D$20,Analysis!$J$20,Analysis!$P$20,Analysis!$V$20,Analysis!$AB$20)</c:f>
              <c:numCache>
                <c:formatCode>_(* #,##0.00_);_(* \(#,##0.00\);_(* "-"??_);_(@_)</c:formatCode>
                <c:ptCount val="5"/>
                <c:pt idx="0">
                  <c:v>10.743463233024976</c:v>
                </c:pt>
                <c:pt idx="1">
                  <c:v>10.237230368223926</c:v>
                </c:pt>
                <c:pt idx="2">
                  <c:v>9.7097875042544413</c:v>
                </c:pt>
                <c:pt idx="3">
                  <c:v>9.3382741685903881</c:v>
                </c:pt>
                <c:pt idx="4">
                  <c:v>9.2856020904900856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8378112"/>
        <c:axId val="418379648"/>
      </c:lineChart>
      <c:catAx>
        <c:axId val="418378112"/>
        <c:scaling>
          <c:orientation val="minMax"/>
        </c:scaling>
        <c:delete val="0"/>
        <c:axPos val="b"/>
        <c:majorTickMark val="out"/>
        <c:minorTickMark val="none"/>
        <c:tickLblPos val="nextTo"/>
        <c:crossAx val="418379648"/>
        <c:crosses val="autoZero"/>
        <c:auto val="1"/>
        <c:lblAlgn val="ctr"/>
        <c:lblOffset val="100"/>
        <c:noMultiLvlLbl val="0"/>
      </c:catAx>
      <c:valAx>
        <c:axId val="418379648"/>
        <c:scaling>
          <c:orientation val="minMax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nextTo"/>
        <c:crossAx val="41837811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242887</xdr:colOff>
      <xdr:row>25</xdr:row>
      <xdr:rowOff>133350</xdr:rowOff>
    </xdr:from>
    <xdr:to>
      <xdr:col>7</xdr:col>
      <xdr:colOff>138112</xdr:colOff>
      <xdr:row>40</xdr:row>
      <xdr:rowOff>19050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233362</xdr:colOff>
      <xdr:row>41</xdr:row>
      <xdr:rowOff>161925</xdr:rowOff>
    </xdr:from>
    <xdr:to>
      <xdr:col>7</xdr:col>
      <xdr:colOff>128587</xdr:colOff>
      <xdr:row>56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280987</xdr:colOff>
      <xdr:row>41</xdr:row>
      <xdr:rowOff>171450</xdr:rowOff>
    </xdr:from>
    <xdr:to>
      <xdr:col>13</xdr:col>
      <xdr:colOff>785812</xdr:colOff>
      <xdr:row>56</xdr:row>
      <xdr:rowOff>57150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966787</xdr:colOff>
      <xdr:row>41</xdr:row>
      <xdr:rowOff>180975</xdr:rowOff>
    </xdr:from>
    <xdr:to>
      <xdr:col>20</xdr:col>
      <xdr:colOff>452437</xdr:colOff>
      <xdr:row>56</xdr:row>
      <xdr:rowOff>66675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52387</xdr:colOff>
      <xdr:row>42</xdr:row>
      <xdr:rowOff>0</xdr:rowOff>
    </xdr:from>
    <xdr:to>
      <xdr:col>27</xdr:col>
      <xdr:colOff>490537</xdr:colOff>
      <xdr:row>56</xdr:row>
      <xdr:rowOff>76200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28</xdr:col>
      <xdr:colOff>71436</xdr:colOff>
      <xdr:row>42</xdr:row>
      <xdr:rowOff>66675</xdr:rowOff>
    </xdr:from>
    <xdr:to>
      <xdr:col>35</xdr:col>
      <xdr:colOff>304799</xdr:colOff>
      <xdr:row>56</xdr:row>
      <xdr:rowOff>142875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280987</xdr:colOff>
      <xdr:row>25</xdr:row>
      <xdr:rowOff>123825</xdr:rowOff>
    </xdr:from>
    <xdr:to>
      <xdr:col>13</xdr:col>
      <xdr:colOff>785812</xdr:colOff>
      <xdr:row>40</xdr:row>
      <xdr:rowOff>9525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ien Chen" refreshedDate="43216.578754629627" createdVersion="4" refreshedVersion="4" minRefreshableVersion="3" recordCount="45">
  <cacheSource type="worksheet">
    <worksheetSource ref="B1:AN46" sheet="Tracking_aggData_by_incentive_2"/>
  </cacheSource>
  <cacheFields count="39">
    <cacheField name="waolsBucket" numFmtId="0">
      <sharedItems containsString="0" containsBlank="1" containsNumber="1" containsInteger="1" minValue="85" maxValue="200" count="6">
        <n v="110"/>
        <n v="150"/>
        <n v="175"/>
        <n v="200"/>
        <n v="85"/>
        <m/>
      </sharedItems>
    </cacheField>
    <cacheField name="x" numFmtId="0">
      <sharedItems containsString="0" containsBlank="1" containsNumber="1" containsInteger="1" minValue="-200" maxValue="0" count="10">
        <n v="-200"/>
        <n v="-175"/>
        <n v="-150"/>
        <n v="-125"/>
        <n v="-100"/>
        <n v="-75"/>
        <n v="-50"/>
        <n v="-25"/>
        <n v="0"/>
        <m/>
      </sharedItems>
    </cacheField>
    <cacheField name="actual.smm" numFmtId="0">
      <sharedItems containsString="0" containsBlank="1" containsNumber="1" minValue="0" maxValue="2.2170798696812399"/>
    </cacheField>
    <cacheField name="model.smm" numFmtId="0">
      <sharedItems containsString="0" containsBlank="1" containsNumber="1" minValue="0.41724639901406901" maxValue="0.94265824758688899"/>
    </cacheField>
    <cacheField name="track.err" numFmtId="0">
      <sharedItems containsString="0" containsBlank="1" containsNumber="1" minValue="-1.7777840958562601" maxValue="0.58296020143094196"/>
    </cacheField>
    <cacheField name="curt.smm" numFmtId="0">
      <sharedItems containsString="0" containsBlank="1" containsNumber="1" minValue="4.63679339383231E-2" maxValue="5.2374562962963001E-2"/>
    </cacheField>
    <cacheField name="dflt.smm" numFmtId="0">
      <sharedItems containsString="0" containsBlank="1" containsNumber="1" minValue="6.6130836168570297E-4" maxValue="2.1161238430802001E-2"/>
    </cacheField>
    <cacheField name="cout.smm" numFmtId="0">
      <sharedItems containsString="0" containsBlank="1" containsNumber="1" minValue="4.63679339383231E-2" maxValue="5.2374562962963001E-2"/>
    </cacheField>
    <cacheField name="turn.smm" numFmtId="0">
      <sharedItems containsString="0" containsBlank="1" containsNumber="1" minValue="0.31123531643202001" maxValue="0.787780113989484"/>
    </cacheField>
    <cacheField name="refi.smm" numFmtId="0">
      <sharedItems containsString="0" containsBlank="1" containsNumber="1" minValue="2.9528327006597501E-6" maxValue="0.17197415157052101"/>
    </cacheField>
    <cacheField name="pct_inv" numFmtId="0">
      <sharedItems containsString="0" containsBlank="1" containsNumber="1" minValue="0" maxValue="100"/>
    </cacheField>
    <cacheField name="pct_2nd" numFmtId="0">
      <sharedItems containsString="0" containsBlank="1" containsNumber="1" minValue="0" maxValue="5.6362434331480404"/>
    </cacheField>
    <cacheField name="pct_owner" numFmtId="0">
      <sharedItems containsString="0" containsBlank="1" containsNumber="1" minValue="0" maxValue="100"/>
    </cacheField>
    <cacheField name="pct_purchase" numFmtId="0">
      <sharedItems containsString="0" containsBlank="1" containsNumber="1" minValue="0" maxValue="100"/>
    </cacheField>
    <cacheField name="pct_REFI_NCO" numFmtId="0">
      <sharedItems containsString="0" containsBlank="1" containsNumber="1" minValue="0" maxValue="100"/>
    </cacheField>
    <cacheField name="pct_REFI_CO" numFmtId="0">
      <sharedItems containsString="0" containsBlank="1" containsNumber="1" minValue="0" maxValue="24.372209431574198"/>
    </cacheField>
    <cacheField name="pct_REFI_other" numFmtId="0">
      <sharedItems containsString="0" containsBlank="1" containsNumber="1" containsInteger="1" minValue="0" maxValue="0"/>
    </cacheField>
    <cacheField name="pct_REFI" numFmtId="0">
      <sharedItems containsString="0" containsBlank="1" containsNumber="1" minValue="0" maxValue="100"/>
    </cacheField>
    <cacheField name="pct_dq" numFmtId="0">
      <sharedItems containsString="0" containsBlank="1" containsNumber="1" minValue="0" maxValue="0.82352015779479704"/>
    </cacheField>
    <cacheField name="incentive" numFmtId="0">
      <sharedItems containsString="0" containsBlank="1" containsNumber="1" minValue="-207.20459285984401" maxValue="-12.135709342727299"/>
    </cacheField>
    <cacheField name="burnout" numFmtId="0">
      <sharedItems containsString="0" containsBlank="1" containsNumber="1" minValue="0" maxValue="610.18664213930799"/>
    </cacheField>
    <cacheField name="refi_elig_pct" numFmtId="0">
      <sharedItems containsString="0" containsBlank="1" containsNumber="1" minValue="95.184569289696498" maxValue="100"/>
    </cacheField>
    <cacheField name="cltv" numFmtId="0">
      <sharedItems containsString="0" containsBlank="1" containsNumber="1" minValue="26.3" maxValue="69.034099070848399"/>
    </cacheField>
    <cacheField name="wacls" numFmtId="0">
      <sharedItems containsString="0" containsBlank="1" containsNumber="1" minValue="58.415630955625701" maxValue="336.94012688623002"/>
    </cacheField>
    <cacheField name="wala" numFmtId="0">
      <sharedItems containsString="0" containsBlank="1" containsNumber="1" minValue="49.998468904423603" maxValue="64"/>
    </cacheField>
    <cacheField name="wac" numFmtId="0">
      <sharedItems containsString="0" containsBlank="1" containsNumber="1" minValue="2.5" maxValue="3.83527945019312"/>
    </cacheField>
    <cacheField name="fico" numFmtId="0">
      <sharedItems containsString="0" containsBlank="1" containsNumber="1" minValue="647" maxValue="778"/>
    </cacheField>
    <cacheField name="pct_HARPed" numFmtId="0">
      <sharedItems containsString="0" containsBlank="1" containsNumber="1" minValue="0" maxValue="100"/>
    </cacheField>
    <cacheField name="pct_tpo" numFmtId="0">
      <sharedItems containsString="0" containsBlank="1" containsNumber="1" containsInteger="1" minValue="0" maxValue="0"/>
    </cacheField>
    <cacheField name="cai" numFmtId="0">
      <sharedItems containsString="0" containsBlank="1" containsNumber="1" minValue="168.031419440147" maxValue="179.2"/>
    </cacheField>
    <cacheField name="hpa2yr" numFmtId="0">
      <sharedItems containsString="0" containsBlank="1" containsNumber="1" minValue="111.599770264516" maxValue="112.208743425252"/>
    </cacheField>
    <cacheField name="media_effect" numFmtId="0">
      <sharedItems containsString="0" containsBlank="1" containsNumber="1" minValue="20.9" maxValue="31.2585844880705"/>
    </cacheField>
    <cacheField name="sato" numFmtId="0">
      <sharedItems containsString="0" containsBlank="1" containsNumber="1" minValue="-139.822816714986" maxValue="-0.11372950533618501"/>
    </cacheField>
    <cacheField name="bal" numFmtId="0">
      <sharedItems containsString="0" containsBlank="1" containsNumber="1" minValue="58820.3" maxValue="540376511070.20001"/>
    </cacheField>
    <cacheField name="std" numFmtId="0">
      <sharedItems containsBlank="1" containsMixedTypes="1" containsNumber="1" minValue="0" maxValue="0.12503485203294101"/>
    </cacheField>
    <cacheField name="n" numFmtId="0">
      <sharedItems containsString="0" containsBlank="1" containsNumber="1" containsInteger="1" minValue="1" maxValue="116654"/>
    </cacheField>
    <cacheField name="Ratio" numFmtId="0">
      <sharedItems containsString="0" containsBlank="1" containsNumber="1" minValue="0" maxValue="5.0468955127360777"/>
    </cacheField>
    <cacheField name="model w/o refi" numFmtId="0">
      <sharedItems containsString="0" containsBlank="1" containsNumber="1" minValue="0.41723783619698662" maxValue="0.9077344014360067"/>
    </cacheField>
    <cacheField name="Ratio w/o refi" numFmtId="0">
      <sharedItems containsString="0" containsBlank="1" containsNumber="1" minValue="0" maxValue="5.07409232961422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5">
  <r>
    <x v="0"/>
    <x v="0"/>
    <n v="0"/>
    <n v="0.51832392876529998"/>
    <n v="0.51832392876529998"/>
    <n v="4.63679339383231E-2"/>
    <n v="7.0095480037455603E-3"/>
    <n v="4.63679339383231E-2"/>
    <n v="0.41857365550137499"/>
    <n v="4.8573835333944901E-6"/>
    <n v="0"/>
    <n v="0"/>
    <n v="100"/>
    <n v="100"/>
    <n v="0"/>
    <n v="0"/>
    <n v="0"/>
    <n v="0"/>
    <n v="0"/>
    <n v="-207.20459285984401"/>
    <n v="0"/>
    <n v="100"/>
    <n v="69.034099070848399"/>
    <n v="93.667049464276602"/>
    <n v="49.998468904423603"/>
    <n v="2.5"/>
    <n v="647"/>
    <n v="0"/>
    <n v="0"/>
    <n v="168.031419440147"/>
    <n v="111.599770264516"/>
    <n v="24.7665912739647"/>
    <n v="-110.7"/>
    <n v="281105.90000000002"/>
    <n v="0"/>
    <n v="3"/>
    <n v="0"/>
    <n v="0.51831907138176658"/>
    <n v="0"/>
  </r>
  <r>
    <x v="0"/>
    <x v="1"/>
    <n v="0"/>
    <n v="0.58296020143094196"/>
    <n v="0.58296020143094196"/>
    <n v="4.8825977875538502E-2"/>
    <n v="7.0621007871939402E-3"/>
    <n v="4.8825977875538502E-2"/>
    <n v="0.478237149921176"/>
    <n v="8.9949714951673092E-6"/>
    <n v="17.796536668190399"/>
    <n v="0"/>
    <n v="82.203463331809601"/>
    <n v="82.203463331809601"/>
    <n v="17.796536668190399"/>
    <n v="0"/>
    <n v="0"/>
    <n v="17.796536668190399"/>
    <n v="5.3389610004571098E-2"/>
    <n v="-187.85595102234799"/>
    <n v="0"/>
    <n v="100"/>
    <n v="63.328055328524499"/>
    <n v="90.624981691238403"/>
    <n v="55.701480454207697"/>
    <n v="2.5533896100045701"/>
    <n v="662.48298690132594"/>
    <n v="0"/>
    <n v="0"/>
    <n v="172.987487515748"/>
    <n v="112.11597718783599"/>
    <n v="25.3284846496245"/>
    <n v="-106.944930763012"/>
    <n v="451969.4"/>
    <n v="0"/>
    <n v="5"/>
    <n v="0"/>
    <n v="0.58295120645944676"/>
    <n v="0"/>
  </r>
  <r>
    <x v="0"/>
    <x v="2"/>
    <n v="0.80176924152882501"/>
    <n v="0.55592840034694502"/>
    <n v="-0.24584084118187999"/>
    <n v="4.8826038693448502E-2"/>
    <n v="5.90533291641125E-3"/>
    <n v="4.8826038693448502E-2"/>
    <n v="0.45203141100293398"/>
    <n v="3.3957904070313998E-4"/>
    <n v="57.830990067897297"/>
    <n v="0"/>
    <n v="42.169009932102703"/>
    <n v="49.010422149699998"/>
    <n v="41.707540237676703"/>
    <n v="9.2820376126232897"/>
    <n v="0"/>
    <n v="41.707540237676703"/>
    <n v="8.9880487320662297E-2"/>
    <n v="-159.03651918454599"/>
    <n v="0"/>
    <n v="100"/>
    <n v="60.509717753423899"/>
    <n v="87.122493776337507"/>
    <n v="55.643546372113697"/>
    <n v="2.8455322114736199"/>
    <n v="723.18690189669303"/>
    <n v="5.8011329727239298"/>
    <n v="0"/>
    <n v="172.85268779200601"/>
    <n v="112.034770238642"/>
    <n v="26.372850506749501"/>
    <n v="-82.086953698355401"/>
    <n v="3028281.2"/>
    <n v="3.2879311436662097E-2"/>
    <n v="34"/>
    <n v="1.4422167333571285"/>
    <n v="0.55558882130624188"/>
    <n v="1.4430982244095367"/>
  </r>
  <r>
    <x v="0"/>
    <x v="3"/>
    <n v="0.25237078541822899"/>
    <n v="0.55704686011262405"/>
    <n v="0.304676074694395"/>
    <n v="4.8616782253292599E-2"/>
    <n v="1.23485300185101E-2"/>
    <n v="4.8616782253292599E-2"/>
    <n v="0.445570826324382"/>
    <n v="1.89393926314656E-3"/>
    <n v="84.008434706145593"/>
    <n v="0"/>
    <n v="15.9915652938544"/>
    <n v="33.6009496469647"/>
    <n v="48.787248476217201"/>
    <n v="17.611801876818198"/>
    <n v="0"/>
    <n v="48.787248476217201"/>
    <n v="0.45294671009222698"/>
    <n v="-132.54226861597999"/>
    <n v="0"/>
    <n v="100"/>
    <n v="49.018061667763597"/>
    <n v="86.123752790886002"/>
    <n v="55.2046453354642"/>
    <n v="3.1780868009415202"/>
    <n v="770.84983199836904"/>
    <n v="23.083586315136301"/>
    <n v="0"/>
    <n v="173.10434369219101"/>
    <n v="111.964832762949"/>
    <n v="24.1604648980835"/>
    <n v="-44.472551593368202"/>
    <n v="39035811.600000001"/>
    <n v="2.9490900091469201E-2"/>
    <n v="289"/>
    <n v="0.45305126640010956"/>
    <n v="0.55515292084947754"/>
    <n v="0.45459687941848376"/>
  </r>
  <r>
    <x v="0"/>
    <x v="4"/>
    <n v="0.78584576868868605"/>
    <n v="0.60288913650730103"/>
    <n v="-0.182956632181385"/>
    <n v="4.8309876020482402E-2"/>
    <n v="1.0654983856745201E-2"/>
    <n v="4.8309876020482402E-2"/>
    <n v="0.49030432244647498"/>
    <n v="5.31007816311568E-3"/>
    <n v="74.356331581869199"/>
    <n v="0.85800957763434604"/>
    <n v="24.785658840496499"/>
    <n v="31.856813095054399"/>
    <n v="49.924814966646998"/>
    <n v="18.218371938298599"/>
    <n v="0"/>
    <n v="49.924814966646998"/>
    <n v="0.40320447740593301"/>
    <n v="-109.10618208425799"/>
    <n v="9.87795815265698E-3"/>
    <n v="100"/>
    <n v="46.855817068907903"/>
    <n v="86.6548829896022"/>
    <n v="54.477160914831501"/>
    <n v="3.2885903486232602"/>
    <n v="769.82801561745498"/>
    <n v="18.099820478759298"/>
    <n v="0"/>
    <n v="172.17428033824501"/>
    <n v="111.967523211451"/>
    <n v="25.323958848695099"/>
    <n v="-33.570690494040697"/>
    <n v="392191752.60000002"/>
    <n v="8.2967304490871599E-2"/>
    <n v="1627"/>
    <n v="1.3034664602538735"/>
    <n v="0.59757905834418534"/>
    <n v="1.3150490428265065"/>
  </r>
  <r>
    <x v="0"/>
    <x v="5"/>
    <n v="0.66247028344860104"/>
    <n v="0.65847663900060704"/>
    <n v="-3.9936444479935903E-3"/>
    <n v="4.8263871639751002E-2"/>
    <n v="1.3406272639541099E-2"/>
    <n v="4.8263871639751002E-2"/>
    <n v="0.53670171137870204"/>
    <n v="1.18409117028619E-2"/>
    <n v="50.099919860744102"/>
    <n v="3.0672600061806499"/>
    <n v="46.832820133075302"/>
    <n v="37.184844854034303"/>
    <n v="45.263147563231101"/>
    <n v="17.552007582734699"/>
    <n v="0"/>
    <n v="45.263147563231101"/>
    <n v="0.51905823419326003"/>
    <n v="-84.552756442767304"/>
    <n v="0.83255626185293596"/>
    <n v="99.901808393574896"/>
    <n v="46.001376737472498"/>
    <n v="87.232573069225296"/>
    <n v="54.364122242127998"/>
    <n v="3.3796586685926902"/>
    <n v="769.55341853910704"/>
    <n v="13.6194261854166"/>
    <n v="0"/>
    <n v="172.09760711766"/>
    <n v="111.993728340388"/>
    <n v="26.308694989560301"/>
    <n v="-25.297059812794799"/>
    <n v="2144100766.4000001"/>
    <n v="6.21342916391429E-2"/>
    <n v="4854"/>
    <n v="1.0060649751433175"/>
    <n v="0.6466357272977451"/>
    <n v="1.024487598631501"/>
  </r>
  <r>
    <x v="0"/>
    <x v="6"/>
    <n v="0.75228695771266696"/>
    <n v="0.73738029304561203"/>
    <n v="-1.4906664667054899E-2"/>
    <n v="4.83975426975383E-2"/>
    <n v="1.40277843127187E-2"/>
    <n v="4.83975426975383E-2"/>
    <n v="0.60593966040916702"/>
    <n v="2.06177629286497E-2"/>
    <n v="24.271223211319001"/>
    <n v="5.0317585834765897"/>
    <n v="70.697018205204401"/>
    <n v="37.7242021039877"/>
    <n v="43.701056467934798"/>
    <n v="18.574741428077498"/>
    <n v="0"/>
    <n v="43.701056467934798"/>
    <n v="0.54783242542936095"/>
    <n v="-60.155596818898402"/>
    <n v="41.256730490566902"/>
    <n v="99.927709154440905"/>
    <n v="44.833403669037899"/>
    <n v="87.415126533997807"/>
    <n v="54.662113964449098"/>
    <n v="3.4650275317386598"/>
    <n v="769.27382011176599"/>
    <n v="12.448164205848901"/>
    <n v="0"/>
    <n v="172.16096401258599"/>
    <n v="112.02862658801401"/>
    <n v="26.939713077399201"/>
    <n v="-19.792475279049899"/>
    <n v="9870188707.6000004"/>
    <n v="7.7739479357627303E-2"/>
    <n v="13617"/>
    <n v="1.020215707970016"/>
    <n v="0.71676253011696234"/>
    <n v="1.0495623391333078"/>
  </r>
  <r>
    <x v="0"/>
    <x v="7"/>
    <n v="0.78261799640429697"/>
    <n v="0.84552292269056994"/>
    <n v="6.2904926286272797E-2"/>
    <n v="4.87590885353478E-2"/>
    <n v="1.5075200404070401E-2"/>
    <n v="4.87590885353478E-2"/>
    <n v="0.69944916304600402"/>
    <n v="3.3480382169799698E-2"/>
    <n v="16.4140791946175"/>
    <n v="5.6362434331480404"/>
    <n v="77.949677372234504"/>
    <n v="34.871236644142598"/>
    <n v="45.935205718038901"/>
    <n v="19.1935576378185"/>
    <n v="0"/>
    <n v="45.935205718038901"/>
    <n v="0.58927435706989495"/>
    <n v="-36.465225330140903"/>
    <n v="175.51275015863399"/>
    <n v="99.905811539072602"/>
    <n v="44.213916563529402"/>
    <n v="87.421914873900704"/>
    <n v="55.482292648199099"/>
    <n v="3.5988541613759901"/>
    <n v="766.56300917793897"/>
    <n v="17.120929045888399"/>
    <n v="0"/>
    <n v="172.76898784933601"/>
    <n v="112.171340821207"/>
    <n v="29.3616042501679"/>
    <n v="-11.474915461483601"/>
    <n v="22538638913.799999"/>
    <n v="7.1546799049604606E-2"/>
    <n v="29256"/>
    <n v="0.92560234075487757"/>
    <n v="0.8120425405207703"/>
    <n v="0.96376477506017966"/>
  </r>
  <r>
    <x v="0"/>
    <x v="8"/>
    <n v="0.87178375675221098"/>
    <n v="0.89596120369309695"/>
    <n v="2.41774469408856E-2"/>
    <n v="4.9485138753192201E-2"/>
    <n v="1.83533129715002E-2"/>
    <n v="4.9485138753192201E-2"/>
    <n v="0.72167684095100204"/>
    <n v="5.6960772264209703E-2"/>
    <n v="14.031786508676401"/>
    <n v="5.3741273248709902"/>
    <n v="80.594086166452598"/>
    <n v="30.310516154201601"/>
    <n v="50.068340196433503"/>
    <n v="19.621143649364999"/>
    <n v="0"/>
    <n v="50.068340196433503"/>
    <n v="0.69829929431724702"/>
    <n v="-12.249196932098499"/>
    <n v="596.17131428688106"/>
    <n v="99.890882334087394"/>
    <n v="44.065614364044997"/>
    <n v="87.419564735907002"/>
    <n v="57.157106784774903"/>
    <n v="3.80225893574486"/>
    <n v="763.30566466459095"/>
    <n v="22.503739665169899"/>
    <n v="0"/>
    <n v="171.33504213793299"/>
    <n v="112.075980099201"/>
    <n v="31.050414920165501"/>
    <n v="-4.5168701772823097"/>
    <n v="32534589612.5"/>
    <n v="7.9223993900239001E-2"/>
    <n v="49889"/>
    <n v="0.97301507382102259"/>
    <n v="0.83900043142888725"/>
    <n v="1.0390742651556102"/>
  </r>
  <r>
    <x v="1"/>
    <x v="0"/>
    <n v="0"/>
    <n v="0.43912895608317298"/>
    <n v="0.43912895608317298"/>
    <n v="5.2374562962963001E-2"/>
    <n v="6.6130836168570297E-4"/>
    <n v="5.2374562962963001E-2"/>
    <n v="0.33371388366523003"/>
    <n v="4.6381303316231602E-6"/>
    <n v="100"/>
    <n v="0"/>
    <n v="0"/>
    <n v="0"/>
    <n v="100"/>
    <n v="0"/>
    <n v="0"/>
    <n v="100"/>
    <n v="0"/>
    <n v="-202.1"/>
    <n v="0"/>
    <n v="100"/>
    <n v="41.5"/>
    <n v="128.80000000000001"/>
    <n v="64"/>
    <n v="2.6"/>
    <n v="778"/>
    <n v="100"/>
    <n v="0"/>
    <n v="179.2"/>
    <n v="112.2"/>
    <n v="20.9"/>
    <n v="-107"/>
    <n v="128882.9"/>
    <s v="NA"/>
    <n v="1"/>
    <n v="0"/>
    <n v="0.43912431795284135"/>
    <n v="0"/>
  </r>
  <r>
    <x v="1"/>
    <x v="1"/>
    <n v="3.0158558698900298E-3"/>
    <n v="0.44957722307672998"/>
    <n v="0.44656136720683998"/>
    <n v="4.8630407047420797E-2"/>
    <n v="1.7276102316230899E-3"/>
    <n v="4.8630407047420797E-2"/>
    <n v="0.35053831084916198"/>
    <n v="5.0487901103355602E-5"/>
    <n v="88.576303523143807"/>
    <n v="0"/>
    <n v="11.4236964768562"/>
    <n v="11.4236964768562"/>
    <n v="88.576303523143807"/>
    <n v="0"/>
    <n v="0"/>
    <n v="88.576303523143807"/>
    <n v="2.64679679540081E-2"/>
    <n v="-186.03614616698599"/>
    <n v="0"/>
    <n v="100"/>
    <n v="48.6466334602164"/>
    <n v="129.30280914065699"/>
    <n v="55.1954912753624"/>
    <n v="2.6062216154924802"/>
    <n v="771.394646733586"/>
    <n v="79.753647538474496"/>
    <n v="0"/>
    <n v="171.86805111117599"/>
    <n v="111.958665939696"/>
    <n v="25.509406906328"/>
    <n v="-106.862025066144"/>
    <n v="1158048.1000000001"/>
    <n v="8.7999999999999998E-5"/>
    <n v="9"/>
    <n v="6.7082043197177485E-3"/>
    <n v="0.44952673517562663"/>
    <n v="6.7089577413271271E-3"/>
  </r>
  <r>
    <x v="1"/>
    <x v="2"/>
    <n v="1.4011899431400699E-2"/>
    <n v="0.49483061008781498"/>
    <n v="0.48081871065641402"/>
    <n v="4.8585020112481198E-2"/>
    <n v="7.0348562869350598E-3"/>
    <n v="4.8585020112481198E-2"/>
    <n v="0.389982239892395"/>
    <n v="6.4347368352182799E-4"/>
    <n v="46.245221253371199"/>
    <n v="0"/>
    <n v="53.754778746628801"/>
    <n v="51.6517079900064"/>
    <n v="33.645855523879"/>
    <n v="14.702436486114699"/>
    <n v="0"/>
    <n v="33.645855523879"/>
    <n v="0.186571316806347"/>
    <n v="-160.11096525009199"/>
    <n v="0"/>
    <n v="100"/>
    <n v="57.741150102339901"/>
    <n v="116.886829500019"/>
    <n v="55.094196456430097"/>
    <n v="2.743851515757"/>
    <n v="740.64837394070105"/>
    <n v="21.347281791713201"/>
    <n v="0"/>
    <n v="173.01221755506299"/>
    <n v="112.01504481361199"/>
    <n v="25.3650229063342"/>
    <n v="-99.439555009017994"/>
    <n v="6808924.5"/>
    <n v="7.9337144618607004E-4"/>
    <n v="56"/>
    <n v="2.831655751634702E-2"/>
    <n v="0.49418713640429313"/>
    <n v="2.835342808263144E-2"/>
  </r>
  <r>
    <x v="1"/>
    <x v="3"/>
    <n v="0.35037417787806702"/>
    <n v="0.51629125531676801"/>
    <n v="0.16591707743870099"/>
    <n v="4.8323393376962301E-2"/>
    <n v="1.0485796320760601E-2"/>
    <n v="4.8323393376962301E-2"/>
    <n v="0.405996419293019"/>
    <n v="3.1622529490638799E-3"/>
    <n v="69.897877135231099"/>
    <n v="0.66289910022544196"/>
    <n v="29.439223764543399"/>
    <n v="38.216127598591697"/>
    <n v="37.411662969834097"/>
    <n v="24.372209431574198"/>
    <n v="0"/>
    <n v="37.411662969834097"/>
    <n v="0.368590236933729"/>
    <n v="-133.44991956317801"/>
    <n v="0"/>
    <n v="100"/>
    <n v="51.374661584888301"/>
    <n v="115.794912570253"/>
    <n v="54.515062057575797"/>
    <n v="3.07293876931125"/>
    <n v="761.16819877731803"/>
    <n v="8.3101131079493999"/>
    <n v="0"/>
    <n v="173.00087146882399"/>
    <n v="111.997955975756"/>
    <n v="25.2777879225346"/>
    <n v="-60.634587742803397"/>
    <n v="70532001"/>
    <n v="5.4546957042708601E-2"/>
    <n v="424"/>
    <n v="0.67863666926354704"/>
    <n v="0.51312900236770409"/>
    <n v="0.68281889400395213"/>
  </r>
  <r>
    <x v="1"/>
    <x v="4"/>
    <n v="0.71376871313629697"/>
    <n v="0.55585861026251004"/>
    <n v="-0.15791010287378701"/>
    <n v="4.8312030645874499E-2"/>
    <n v="9.6760258073164997E-3"/>
    <n v="4.8312030645874499E-2"/>
    <n v="0.441230312033214"/>
    <n v="8.3282111302304396E-3"/>
    <n v="65.766596402811601"/>
    <n v="1.33825016870159"/>
    <n v="32.8951534284869"/>
    <n v="31.713459239175901"/>
    <n v="47.899341252539998"/>
    <n v="20.387199508283999"/>
    <n v="0"/>
    <n v="47.899341252539998"/>
    <n v="0.36153481687246802"/>
    <n v="-108.753633329943"/>
    <n v="2.47741933424778E-2"/>
    <n v="99.850998832568607"/>
    <n v="46.577556001674502"/>
    <n v="116.056006127031"/>
    <n v="54.4831442003699"/>
    <n v="3.2520953952006302"/>
    <n v="770.58928828171202"/>
    <n v="9.7707823356016892"/>
    <n v="0"/>
    <n v="172.135014310278"/>
    <n v="111.953747465798"/>
    <n v="25.266862876201898"/>
    <n v="-37.544938745641403"/>
    <n v="731421249.10000002"/>
    <n v="6.4145393123455102E-2"/>
    <n v="2032"/>
    <n v="1.2840832182112143"/>
    <n v="0.54753039913227963"/>
    <n v="1.3036147659882813"/>
  </r>
  <r>
    <x v="1"/>
    <x v="5"/>
    <n v="0.74363181723453298"/>
    <n v="0.60733368703151802"/>
    <n v="-0.13629813020301401"/>
    <n v="4.8159461999574701E-2"/>
    <n v="1.0876871701301E-2"/>
    <n v="4.8159461999574701E-2"/>
    <n v="0.483060846535876"/>
    <n v="1.7077044795191301E-2"/>
    <n v="41.437734737139003"/>
    <n v="3.3278236258922198"/>
    <n v="55.234441636968803"/>
    <n v="34.572157702928202"/>
    <n v="45.604409935071999"/>
    <n v="19.823432361999799"/>
    <n v="0"/>
    <n v="45.604409935071999"/>
    <n v="0.412806127398817"/>
    <n v="-84.197318220663405"/>
    <n v="0.76758663734605204"/>
    <n v="99.934946028726202"/>
    <n v="46.3666586460091"/>
    <n v="116.626708220068"/>
    <n v="54.126577897129401"/>
    <n v="3.3467199975127602"/>
    <n v="771.37683899306501"/>
    <n v="7.8834644809988301"/>
    <n v="0"/>
    <n v="171.870815478282"/>
    <n v="111.963237351462"/>
    <n v="25.986938191055501"/>
    <n v="-28.005481032138899"/>
    <n v="4734935979.6000004"/>
    <n v="7.0698471397528495E-2"/>
    <n v="5846"/>
    <n v="1.2244205008110174"/>
    <n v="0.59025664223632668"/>
    <n v="1.2598448946158542"/>
  </r>
  <r>
    <x v="1"/>
    <x v="6"/>
    <n v="0.69681138195660197"/>
    <n v="0.68467742111561902"/>
    <n v="-1.2133960840982699E-2"/>
    <n v="4.83628969264569E-2"/>
    <n v="1.1897032527530001E-2"/>
    <n v="4.83628969264569E-2"/>
    <n v="0.54745112249461303"/>
    <n v="2.8603472240562301E-2"/>
    <n v="18.440368687485801"/>
    <n v="5.0943298925529996"/>
    <n v="76.465301419961193"/>
    <n v="35.0946832471679"/>
    <n v="44.003311004257803"/>
    <n v="20.9020057485743"/>
    <n v="0"/>
    <n v="44.003311004257803"/>
    <n v="0.45540641428786699"/>
    <n v="-60.127089348989301"/>
    <n v="39.434236918698801"/>
    <n v="99.962803509938993"/>
    <n v="45.793067435976901"/>
    <n v="116.91968312745"/>
    <n v="54.582529595901697"/>
    <n v="3.4358833003244298"/>
    <n v="770.73962104159602"/>
    <n v="7.4796759656448897"/>
    <n v="0"/>
    <n v="172.15594309893501"/>
    <n v="112.02548921518201"/>
    <n v="26.824447736100598"/>
    <n v="-22.082344076666601"/>
    <n v="23474302159.900002"/>
    <n v="7.3236694493439503E-2"/>
    <n v="16353"/>
    <n v="1.0177221571308892"/>
    <n v="0.65607394887505677"/>
    <n v="1.0620927460256515"/>
  </r>
  <r>
    <x v="1"/>
    <x v="7"/>
    <n v="0.78391795670064501"/>
    <n v="0.79004467582764104"/>
    <n v="6.12671912699641E-3"/>
    <n v="4.8766924029624403E-2"/>
    <n v="1.250086823555E-2"/>
    <n v="4.8766924029624403E-2"/>
    <n v="0.63294207066758601"/>
    <n v="4.7067888865256202E-2"/>
    <n v="11.6648481802043"/>
    <n v="5.5920946075474802"/>
    <n v="82.743057212248303"/>
    <n v="32.7615088612257"/>
    <n v="45.772348155242099"/>
    <n v="21.466142983532201"/>
    <n v="0"/>
    <n v="45.772348155242099"/>
    <n v="0.47913078443106799"/>
    <n v="-36.446221315988097"/>
    <n v="171.871412975868"/>
    <n v="99.953429424805293"/>
    <n v="45.188287646918603"/>
    <n v="116.825983934901"/>
    <n v="55.499201478865402"/>
    <n v="3.5730702445146698"/>
    <n v="767.74927412951195"/>
    <n v="11.515645648920501"/>
    <n v="0"/>
    <n v="172.80645561047501"/>
    <n v="112.174652423713"/>
    <n v="29.348992363849199"/>
    <n v="-13.8766695837274"/>
    <n v="53937995797.300003"/>
    <n v="7.6671943448201496E-2"/>
    <n v="36146"/>
    <n v="0.99224509788566351"/>
    <n v="0.74297678696238489"/>
    <n v="1.0551042380551963"/>
  </r>
  <r>
    <x v="1"/>
    <x v="8"/>
    <n v="0.86356101428058196"/>
    <n v="0.84756375478865098"/>
    <n v="-1.5997259491930999E-2"/>
    <n v="4.9582621902595103E-2"/>
    <n v="1.5224202316597E-2"/>
    <n v="4.9582621902595103E-2"/>
    <n v="0.65296793497050098"/>
    <n v="8.0206373696363104E-2"/>
    <n v="10.1972072401575"/>
    <n v="5.4071835171754197"/>
    <n v="84.395609242667106"/>
    <n v="28.910715000072301"/>
    <n v="49.089295490720403"/>
    <n v="21.9999895092073"/>
    <n v="0"/>
    <n v="49.089295490720403"/>
    <n v="0.56737673620283402"/>
    <n v="-12.356503194380901"/>
    <n v="587.65131550649903"/>
    <n v="99.9212977241896"/>
    <n v="45.020719940601403"/>
    <n v="116.45020484824001"/>
    <n v="57.382517279721398"/>
    <n v="3.7794444205474602"/>
    <n v="764.24239043899695"/>
    <n v="16.5859758941865"/>
    <n v="0"/>
    <n v="171.28134257186599"/>
    <n v="112.07413651488"/>
    <n v="31.107588501896899"/>
    <n v="-7.3996050338241197"/>
    <n v="75485525496.5"/>
    <n v="8.0039515535107394E-2"/>
    <n v="63968"/>
    <n v="1.0188744025467678"/>
    <n v="0.7673573810922879"/>
    <n v="1.1253700499386008"/>
  </r>
  <r>
    <x v="2"/>
    <x v="1"/>
    <n v="0"/>
    <n v="0.45165785065955399"/>
    <n v="0.45165785065955399"/>
    <n v="4.8567768974877801E-2"/>
    <n v="3.2702461795712698E-3"/>
    <n v="4.8567768974877801E-2"/>
    <n v="0.35107471288011999"/>
    <n v="1.7735365010737599E-4"/>
    <n v="48.979135589346797"/>
    <n v="0"/>
    <n v="51.020864410653203"/>
    <n v="51.020864410653203"/>
    <n v="48.979135589346797"/>
    <n v="0"/>
    <n v="0"/>
    <n v="48.979135589346797"/>
    <n v="0"/>
    <n v="-177.66122950851701"/>
    <n v="0"/>
    <n v="100"/>
    <n v="54.934821170572199"/>
    <n v="140.70818927140701"/>
    <n v="54.979582711786897"/>
    <n v="2.7489791355893498"/>
    <n v="725.26475406310999"/>
    <n v="0"/>
    <n v="0"/>
    <n v="179.2"/>
    <n v="112.2"/>
    <n v="20.9"/>
    <n v="-139.822816714986"/>
    <n v="281354.7"/>
    <n v="0"/>
    <n v="2"/>
    <n v="0"/>
    <n v="0.45148049700944659"/>
    <n v="0"/>
  </r>
  <r>
    <x v="2"/>
    <x v="2"/>
    <n v="2.59566697283704E-2"/>
    <n v="0.460021184583571"/>
    <n v="0.43406451485520098"/>
    <n v="4.7934321340072701E-2"/>
    <n v="7.44715668120684E-3"/>
    <n v="4.7934321340072701E-2"/>
    <n v="0.355575964905393"/>
    <n v="1.12942031682574E-3"/>
    <n v="30.6106979569883"/>
    <n v="0"/>
    <n v="69.389302043011696"/>
    <n v="72.238820254136797"/>
    <n v="8.9600223335973794"/>
    <n v="18.801157412265901"/>
    <n v="0"/>
    <n v="8.9600223335973794"/>
    <n v="0.18251793655925999"/>
    <n v="-158.94860082406601"/>
    <n v="0"/>
    <n v="100"/>
    <n v="62.286342111046302"/>
    <n v="144.36661463770801"/>
    <n v="53.616387664459701"/>
    <n v="2.74709194722608"/>
    <n v="730.93115818480999"/>
    <n v="0"/>
    <n v="0"/>
    <n v="174.68971241524301"/>
    <n v="112.126250969292"/>
    <n v="24.650110094639299"/>
    <n v="-111.844393864116"/>
    <n v="3149335.9"/>
    <n v="1.6164865332322499E-3"/>
    <n v="22"/>
    <n v="5.6424944324830133E-2"/>
    <n v="0.45889176426674527"/>
    <n v="5.6563816894482921E-2"/>
  </r>
  <r>
    <x v="2"/>
    <x v="3"/>
    <n v="0.45182697437541902"/>
    <n v="0.48077306214642901"/>
    <n v="2.8946087771010799E-2"/>
    <n v="4.8351167836982401E-2"/>
    <n v="8.5568914610602807E-3"/>
    <n v="4.8351167836982401E-2"/>
    <n v="0.37127457435443501"/>
    <n v="4.2392606569689904E-3"/>
    <n v="69.846575803443102"/>
    <n v="0"/>
    <n v="30.153424196556902"/>
    <n v="38.240059512625699"/>
    <n v="41.542447593804802"/>
    <n v="20.217492893569499"/>
    <n v="0"/>
    <n v="41.542447593804802"/>
    <n v="0.29671783005007601"/>
    <n v="-133.883733438495"/>
    <n v="0"/>
    <n v="100"/>
    <n v="48.416406393874198"/>
    <n v="144.22877278352601"/>
    <n v="54.577546132023002"/>
    <n v="3.0588141616299702"/>
    <n v="761.29183912032204"/>
    <n v="10.8818916373137"/>
    <n v="0"/>
    <n v="173.02703334146"/>
    <n v="112.00210198195499"/>
    <n v="25.3769187736854"/>
    <n v="-63.713750820979897"/>
    <n v="38724152.600000001"/>
    <n v="6.64616289985209E-2"/>
    <n v="227"/>
    <n v="0.93979261724486163"/>
    <n v="0.47653380148946001"/>
    <n v="0.94815304384113563"/>
  </r>
  <r>
    <x v="2"/>
    <x v="4"/>
    <n v="0.55552322521742603"/>
    <n v="0.52126422451976995"/>
    <n v="-3.4259000697655501E-2"/>
    <n v="4.82700513509133E-2"/>
    <n v="8.3288565171176897E-3"/>
    <n v="4.82700513509133E-2"/>
    <n v="0.40545231580827501"/>
    <n v="1.09429494925509E-2"/>
    <n v="64.483020693846498"/>
    <n v="0.99895046095241802"/>
    <n v="34.518028845201101"/>
    <n v="29.504838727619301"/>
    <n v="50.249553414148203"/>
    <n v="20.2456078582324"/>
    <n v="0"/>
    <n v="50.249553414148203"/>
    <n v="0.30983761664139198"/>
    <n v="-108.67345474702699"/>
    <n v="6.5081209616206399E-3"/>
    <n v="100"/>
    <n v="45.095290456265197"/>
    <n v="144.608423954139"/>
    <n v="54.388984547619202"/>
    <n v="3.2503326431551098"/>
    <n v="770.35268068152698"/>
    <n v="8.9574481606804994"/>
    <n v="0"/>
    <n v="172.12663012117201"/>
    <n v="111.949079575517"/>
    <n v="25.135660425512"/>
    <n v="-37.751683836786498"/>
    <n v="424766759.30000001"/>
    <n v="6.9344802879145295E-2"/>
    <n v="1294"/>
    <n v="1.0657229080495947"/>
    <n v="0.51032127502721902"/>
    <n v="1.0885754766696647"/>
  </r>
  <r>
    <x v="2"/>
    <x v="5"/>
    <n v="0.58389240736353099"/>
    <n v="0.57174503648028396"/>
    <n v="-1.21473708832466E-2"/>
    <n v="4.8117572214494198E-2"/>
    <n v="8.6552039642488806E-3"/>
    <n v="4.8117572214494198E-2"/>
    <n v="0.44547120825918302"/>
    <n v="2.13834798278634E-2"/>
    <n v="36.8742173373602"/>
    <n v="2.9465557061363401"/>
    <n v="60.179226956503399"/>
    <n v="30.170386038573401"/>
    <n v="50.461892827685901"/>
    <n v="19.367721133740599"/>
    <n v="0"/>
    <n v="50.461892827685901"/>
    <n v="0.32139446440105401"/>
    <n v="-84.080065125103204"/>
    <n v="0.557604444866863"/>
    <n v="99.907774249126703"/>
    <n v="46.231740673797603"/>
    <n v="144.690140600642"/>
    <n v="54.032148105238299"/>
    <n v="3.3337738042340601"/>
    <n v="770.28041042718201"/>
    <n v="6.0526830150739004"/>
    <n v="0"/>
    <n v="171.894687875465"/>
    <n v="111.955365274893"/>
    <n v="25.815614475140801"/>
    <n v="-29.442093795889001"/>
    <n v="3117240112.1999998"/>
    <n v="5.8715392769896797E-2"/>
    <n v="4362"/>
    <n v="1.0212461326433673"/>
    <n v="0.55036155665242059"/>
    <n v="1.0609251324076161"/>
  </r>
  <r>
    <x v="2"/>
    <x v="6"/>
    <n v="0.706459051979482"/>
    <n v="0.64770409184910804"/>
    <n v="-5.8754960130373797E-2"/>
    <n v="4.8337096283761198E-2"/>
    <n v="9.7600375946156007E-3"/>
    <n v="4.8337096283761198E-2"/>
    <n v="0.505885475544402"/>
    <n v="3.5384386142567698E-2"/>
    <n v="16.0323624315151"/>
    <n v="4.4193643732682402"/>
    <n v="79.548273195216694"/>
    <n v="30.304914229523"/>
    <n v="49.186188472590501"/>
    <n v="20.508897297886499"/>
    <n v="0"/>
    <n v="49.186188472590501"/>
    <n v="0.37020673347730898"/>
    <n v="-60.109777251195403"/>
    <n v="38.273862658217197"/>
    <n v="99.947430721518003"/>
    <n v="45.917052340003103"/>
    <n v="144.58518224548899"/>
    <n v="54.522920972909503"/>
    <n v="3.4241815706358798"/>
    <n v="771.02776761714904"/>
    <n v="6.0539222447816501"/>
    <n v="0"/>
    <n v="172.23767833956799"/>
    <n v="112.03070298256399"/>
    <n v="26.767031131458701"/>
    <n v="-23.142829940499901"/>
    <n v="16067322671.9"/>
    <n v="6.3881024892799801E-2"/>
    <n v="12566"/>
    <n v="1.0907126585577627"/>
    <n v="0.61231970570654037"/>
    <n v="1.1537421471097629"/>
  </r>
  <r>
    <x v="2"/>
    <x v="7"/>
    <n v="0.76609999648758498"/>
    <n v="0.74987308951034004"/>
    <n v="-1.6226906977244701E-2"/>
    <n v="4.8750457210168102E-2"/>
    <n v="1.0541613951804901E-2"/>
    <n v="4.8750457210168102E-2"/>
    <n v="0.58308618258160005"/>
    <n v="5.8744378556599003E-2"/>
    <n v="9.8306097699977197"/>
    <n v="4.8598199219006899"/>
    <n v="85.309570308101598"/>
    <n v="28.794880093272301"/>
    <n v="49.645564382829903"/>
    <n v="21.559555523897799"/>
    <n v="0"/>
    <n v="49.645564382829903"/>
    <n v="0.39958047117286299"/>
    <n v="-36.4536246924065"/>
    <n v="174.78464128883101"/>
    <n v="99.951849676374096"/>
    <n v="45.4808475650484"/>
    <n v="144.59774371146801"/>
    <n v="55.460650851675197"/>
    <n v="3.5664371462277602"/>
    <n v="768.18349625970598"/>
    <n v="9.6843836227838196"/>
    <n v="0"/>
    <n v="172.84484174374401"/>
    <n v="112.17339848610401"/>
    <n v="29.2259070682158"/>
    <n v="-14.6169178032149"/>
    <n v="38072425699.599998"/>
    <n v="7.8574306442267705E-2"/>
    <n v="27514"/>
    <n v="1.0216395376820908"/>
    <n v="0.69112871095374107"/>
    <n v="1.1084765895926756"/>
  </r>
  <r>
    <x v="2"/>
    <x v="8"/>
    <n v="0.83075719071396603"/>
    <n v="0.81362950721100502"/>
    <n v="-1.7127683502961601E-2"/>
    <n v="4.9610069137206697E-2"/>
    <n v="1.27583999404617E-2"/>
    <n v="4.9610069137206697E-2"/>
    <n v="0.60129816719695794"/>
    <n v="0.100352801799172"/>
    <n v="8.1137928576943601"/>
    <n v="4.8008241503761298"/>
    <n v="87.085382991929507"/>
    <n v="25.232813448948399"/>
    <n v="51.986281849834903"/>
    <n v="22.780904701216699"/>
    <n v="0"/>
    <n v="51.986281849834903"/>
    <n v="0.46982384919265902"/>
    <n v="-12.3776246549109"/>
    <n v="587.53625068774204"/>
    <n v="99.925538339617205"/>
    <n v="45.310049788236803"/>
    <n v="144.37843432385301"/>
    <n v="57.446477873213802"/>
    <n v="3.7683374152697402"/>
    <n v="764.619153926482"/>
    <n v="14.468395931949599"/>
    <n v="0"/>
    <n v="171.42338791614199"/>
    <n v="112.08590325201"/>
    <n v="31.023627418161801"/>
    <n v="-8.3379737277496204"/>
    <n v="53559789764.400002"/>
    <n v="7.9936269974080695E-2"/>
    <n v="47424"/>
    <n v="1.0210509615877528"/>
    <n v="0.71327670541183297"/>
    <n v="1.1647053442384634"/>
  </r>
  <r>
    <x v="3"/>
    <x v="0"/>
    <n v="0"/>
    <n v="0.41724639901406901"/>
    <n v="0.41724639901406901"/>
    <n v="5.2374562962963001E-2"/>
    <n v="1.2533938390408301E-3"/>
    <n v="5.2374562962963001E-2"/>
    <n v="0.31123531643202001"/>
    <n v="8.5628170823840798E-6"/>
    <n v="100"/>
    <n v="0"/>
    <n v="0"/>
    <n v="0"/>
    <n v="100"/>
    <n v="0"/>
    <n v="0"/>
    <n v="100"/>
    <n v="0"/>
    <n v="-202.1"/>
    <n v="0"/>
    <n v="100"/>
    <n v="33.200000000000003"/>
    <n v="256.60000000000002"/>
    <n v="64"/>
    <n v="2.6"/>
    <n v="726"/>
    <n v="100"/>
    <n v="0"/>
    <n v="179.2"/>
    <n v="112.2"/>
    <n v="20.9"/>
    <n v="-107"/>
    <n v="256666.2"/>
    <s v="NA"/>
    <n v="1"/>
    <n v="0"/>
    <n v="0.41723783619698662"/>
    <n v="0"/>
  </r>
  <r>
    <x v="3"/>
    <x v="1"/>
    <n v="7.3962218421947E-5"/>
    <n v="0.434222354511827"/>
    <n v="0.43414839229340502"/>
    <n v="4.7760158202091299E-2"/>
    <n v="2.8927834655613498E-3"/>
    <n v="4.7760158202091299E-2"/>
    <n v="0.33562893570313901"/>
    <n v="1.80318938943783E-4"/>
    <n v="68.072842230738203"/>
    <n v="0"/>
    <n v="31.9271577692618"/>
    <n v="31.9271577692618"/>
    <n v="68.072842230738203"/>
    <n v="0"/>
    <n v="0"/>
    <n v="68.072842230738203"/>
    <n v="0"/>
    <n v="-186.37678124629201"/>
    <n v="0"/>
    <n v="100"/>
    <n v="46.372032680914899"/>
    <n v="234.46317358054799"/>
    <n v="53.192991388194301"/>
    <n v="2.6246638224836101"/>
    <n v="708.69797251993305"/>
    <n v="62.591577620473899"/>
    <n v="0"/>
    <n v="170.68705272253999"/>
    <n v="111.901201990459"/>
    <n v="25.608482589307101"/>
    <n v="-105.83271587085"/>
    <n v="2938559.1"/>
    <n v="2.4961508830135298E-6"/>
    <n v="13"/>
    <n v="1.7033259032713498E-4"/>
    <n v="0.43404203557288323"/>
    <n v="1.7040335350083265E-4"/>
  </r>
  <r>
    <x v="3"/>
    <x v="2"/>
    <n v="2.2170798696812399"/>
    <n v="0.43929577382498503"/>
    <n v="-1.7777840958562601"/>
    <n v="4.79690871429952E-2"/>
    <n v="1.07620635196815E-2"/>
    <n v="4.79690871429952E-2"/>
    <n v="0.33024093820359501"/>
    <n v="2.3545978157185599E-3"/>
    <n v="57.986424465708303"/>
    <n v="0"/>
    <n v="42.013575534291697"/>
    <n v="48.266435619322998"/>
    <n v="37.618241571372501"/>
    <n v="14.1153228093045"/>
    <n v="0"/>
    <n v="37.618241571372501"/>
    <n v="0.33922127949292302"/>
    <n v="-159.66477637488501"/>
    <n v="0"/>
    <n v="95.184569289696498"/>
    <n v="49.738880065120298"/>
    <n v="269.992054430363"/>
    <n v="53.693014528642301"/>
    <n v="2.8422657210725699"/>
    <n v="730.01609015782003"/>
    <n v="13.8430322622185"/>
    <n v="0"/>
    <n v="172.666932967321"/>
    <n v="111.995424074978"/>
    <n v="25.393043352127499"/>
    <n v="-86.006953900532494"/>
    <n v="20139479.899999999"/>
    <n v="0.12503485203294101"/>
    <n v="81"/>
    <n v="5.0468955127360777"/>
    <n v="0.43694117600926646"/>
    <n v="5.0740923296142295"/>
  </r>
  <r>
    <x v="3"/>
    <x v="3"/>
    <n v="0.41364190189466499"/>
    <n v="0.438652807876656"/>
    <n v="2.50109059819906E-2"/>
    <n v="4.8397763501454402E-2"/>
    <n v="6.3025099187786603E-3"/>
    <n v="4.8397763501454402E-2"/>
    <n v="0.32536960839339402"/>
    <n v="1.01851625615742E-2"/>
    <n v="74.007087830461003"/>
    <n v="0.55940062530903101"/>
    <n v="25.433511544230001"/>
    <n v="34.442461349076702"/>
    <n v="45.874151992181503"/>
    <n v="19.683386658741799"/>
    <n v="0"/>
    <n v="45.874151992181503"/>
    <n v="0.21634945063816799"/>
    <n v="-133.22913224031601"/>
    <n v="4.8349940563992503E-3"/>
    <n v="99.424039618100394"/>
    <n v="45.691390199147399"/>
    <n v="336.94012688623002"/>
    <n v="54.691600131581801"/>
    <n v="3.13565099442134"/>
    <n v="763.60805431731899"/>
    <n v="5.1076754349936397"/>
    <n v="0"/>
    <n v="172.67518289510301"/>
    <n v="111.944329933547"/>
    <n v="24.535689906641"/>
    <n v="-50.682051112685798"/>
    <n v="335218091.5"/>
    <n v="5.3160905521352601E-2"/>
    <n v="789"/>
    <n v="0.94298245552545557"/>
    <n v="0.4284676453150818"/>
    <n v="0.96539821948629423"/>
  </r>
  <r>
    <x v="3"/>
    <x v="4"/>
    <n v="0.41371681785979397"/>
    <n v="0.47816965083777002"/>
    <n v="6.4452832977976604E-2"/>
    <n v="4.8348265967077503E-2"/>
    <n v="5.9611014674706697E-3"/>
    <n v="4.8348265967077503E-2"/>
    <n v="0.35312849015469999"/>
    <n v="2.2383527281444701E-2"/>
    <n v="63.349753893862399"/>
    <n v="1.6618452454332799"/>
    <n v="34.988400860704402"/>
    <n v="27.735645554027201"/>
    <n v="53.161058762932598"/>
    <n v="19.103295683040098"/>
    <n v="0"/>
    <n v="53.161058762932598"/>
    <n v="0.214467415046248"/>
    <n v="-108.394980917027"/>
    <n v="8.7907487637100004E-2"/>
    <n v="99.957848410457501"/>
    <n v="43.911659093918303"/>
    <n v="311.87579933083498"/>
    <n v="54.571086340005799"/>
    <n v="3.2683814459140401"/>
    <n v="772.61018940960503"/>
    <n v="3.87160616852817"/>
    <n v="0"/>
    <n v="172.22306858005399"/>
    <n v="111.941075916644"/>
    <n v="24.894704136701598"/>
    <n v="-35.041601766716902"/>
    <n v="4381810081.3000002"/>
    <n v="6.0151417550216101E-2"/>
    <n v="4350"/>
    <n v="0.86520927694793592"/>
    <n v="0.45578612355632531"/>
    <n v="0.90769945919309569"/>
  </r>
  <r>
    <x v="3"/>
    <x v="5"/>
    <n v="0.47356911269068602"/>
    <n v="0.52794189769530997"/>
    <n v="5.4372785004624599E-2"/>
    <n v="4.80807306663898E-2"/>
    <n v="6.6391731348292198E-3"/>
    <n v="4.80807306663898E-2"/>
    <n v="0.38509359504090701"/>
    <n v="4.0047668186794498E-2"/>
    <n v="30.700335935249701"/>
    <n v="3.06213153237195"/>
    <n v="66.237532532378395"/>
    <n v="28.4472100777569"/>
    <n v="54.561912123919598"/>
    <n v="16.990877798323599"/>
    <n v="0"/>
    <n v="54.561912123919598"/>
    <n v="0.24320138156227"/>
    <n v="-83.849086539708594"/>
    <n v="0.61747857520537097"/>
    <n v="99.978631958914093"/>
    <n v="44.765685517860597"/>
    <n v="308.16149435118302"/>
    <n v="53.949456235292097"/>
    <n v="3.3238001824335499"/>
    <n v="772.44877703282305"/>
    <n v="2.26634301590085"/>
    <n v="0"/>
    <n v="171.911635516481"/>
    <n v="111.93787382558401"/>
    <n v="25.438281179927301"/>
    <n v="-30.224769602035401"/>
    <n v="40557876203.900002"/>
    <n v="6.8182001372595696E-2"/>
    <n v="14150"/>
    <n v="0.89700990726065843"/>
    <n v="0.48789422950851546"/>
    <n v="0.97063888861268155"/>
  </r>
  <r>
    <x v="3"/>
    <x v="6"/>
    <n v="0.56367766448916701"/>
    <n v="0.61045951934873299"/>
    <n v="4.6781854859566201E-2"/>
    <n v="4.8369426714607297E-2"/>
    <n v="7.5976344827189696E-3"/>
    <n v="4.8369426714607297E-2"/>
    <n v="0.44053170443976197"/>
    <n v="6.5591326997037305E-2"/>
    <n v="10.6002750926292"/>
    <n v="4.0936595437086103"/>
    <n v="85.306065363662199"/>
    <n v="26.442929998780201"/>
    <n v="55.9149862782049"/>
    <n v="17.642083723014899"/>
    <n v="0"/>
    <n v="55.9149862782049"/>
    <n v="0.28313032949268802"/>
    <n v="-60.1268373636455"/>
    <n v="40.220828184632097"/>
    <n v="99.987552217089899"/>
    <n v="44.642133858742802"/>
    <n v="302.64444640542098"/>
    <n v="54.596400389046799"/>
    <n v="3.4066129669655298"/>
    <n v="771.73681571055795"/>
    <n v="2.2985852945959802"/>
    <n v="0"/>
    <n v="172.27953774105501"/>
    <n v="112.030007480807"/>
    <n v="26.635491927992401"/>
    <n v="-25.311372266754201"/>
    <n v="243551740603.89999"/>
    <n v="6.3676017167258903E-2"/>
    <n v="39108"/>
    <n v="0.92336616372290325"/>
    <n v="0.5448681923516957"/>
    <n v="1.0345211418128264"/>
  </r>
  <r>
    <x v="3"/>
    <x v="7"/>
    <n v="0.66900422532126103"/>
    <n v="0.724808668314463"/>
    <n v="5.5804442993201697E-2"/>
    <n v="4.8816888104872502E-2"/>
    <n v="8.1984497320323705E-3"/>
    <n v="4.8816888104872502E-2"/>
    <n v="0.50906940638749498"/>
    <n v="0.109907035985191"/>
    <n v="5.5347786308647802"/>
    <n v="4.5653467161332397"/>
    <n v="89.899874653002001"/>
    <n v="26.7960769780838"/>
    <n v="54.641556123533299"/>
    <n v="18.562366898382901"/>
    <n v="0"/>
    <n v="54.641556123533299"/>
    <n v="0.30505768527044802"/>
    <n v="-36.609340851118503"/>
    <n v="164.06680803307501"/>
    <n v="99.982372934702795"/>
    <n v="44.808867227962402"/>
    <n v="300.75009063454399"/>
    <n v="55.613760315105999"/>
    <n v="3.5385703570492502"/>
    <n v="769.06736957018995"/>
    <n v="4.0917845303728102"/>
    <n v="0"/>
    <n v="173.09208165930201"/>
    <n v="112.208743425252"/>
    <n v="29.632123521064202"/>
    <n v="-17.7423361981716"/>
    <n v="540234429640.20001"/>
    <n v="7.0662158097894001E-2"/>
    <n v="83881"/>
    <n v="0.92300803586831437"/>
    <n v="0.61490163232927197"/>
    <n v="1.0879857690197476"/>
  </r>
  <r>
    <x v="3"/>
    <x v="8"/>
    <n v="0.76103014545249004"/>
    <n v="0.80882872939026995"/>
    <n v="4.7798583937779401E-2"/>
    <n v="4.9536037223324197E-2"/>
    <n v="1.0011113072660499E-2"/>
    <n v="4.9536037223324197E-2"/>
    <n v="0.52777139030043896"/>
    <n v="0.17197415157052101"/>
    <n v="4.8478567000475703"/>
    <n v="4.7734852889912203"/>
    <n v="90.378658010961203"/>
    <n v="25.4872692592125"/>
    <n v="54.222796372016198"/>
    <n v="20.289934368771299"/>
    <n v="0"/>
    <n v="54.222796372016198"/>
    <n v="0.36112453942106898"/>
    <n v="-14.366106306862701"/>
    <n v="533.43774912150002"/>
    <n v="99.972589232536095"/>
    <n v="45.280678579065501"/>
    <n v="282.91318211037702"/>
    <n v="57.275813180675698"/>
    <n v="3.7305263026641802"/>
    <n v="765.67275497978699"/>
    <n v="7.64474510400865"/>
    <n v="0"/>
    <n v="171.863708573487"/>
    <n v="112.127003603603"/>
    <n v="31.2585844880705"/>
    <n v="-11.116264703170801"/>
    <n v="540376511070.20001"/>
    <n v="7.6032973835876094E-2"/>
    <n v="116654"/>
    <n v="0.94090394888196838"/>
    <n v="0.63685457781974897"/>
    <n v="1.1949826097785967"/>
  </r>
  <r>
    <x v="4"/>
    <x v="0"/>
    <n v="8.0000000000000004E-4"/>
    <n v="0.57073163375397995"/>
    <n v="0.56993163375398004"/>
    <n v="5.1949714062499999E-2"/>
    <n v="9.9256774362153194E-4"/>
    <n v="5.1949714062499999E-2"/>
    <n v="0.46583662330675701"/>
    <n v="3.0145786018786401E-6"/>
    <n v="100"/>
    <n v="0"/>
    <n v="0"/>
    <n v="0"/>
    <n v="100"/>
    <n v="0"/>
    <n v="0"/>
    <n v="100"/>
    <n v="0"/>
    <n v="-202.1"/>
    <n v="0"/>
    <n v="100"/>
    <n v="26.3"/>
    <n v="58.8"/>
    <n v="63"/>
    <n v="2.6"/>
    <n v="728"/>
    <n v="100"/>
    <n v="0"/>
    <n v="179.2"/>
    <n v="112.2"/>
    <n v="20.9"/>
    <n v="-100"/>
    <n v="58820.3"/>
    <s v="NA"/>
    <n v="1"/>
    <n v="1.4017095823793933E-3"/>
    <n v="0.57072861917537809"/>
    <n v="1.4017169861849342E-3"/>
  </r>
  <r>
    <x v="4"/>
    <x v="1"/>
    <n v="7.5213920846779205E-4"/>
    <n v="0.57764538083851102"/>
    <n v="0.57689324163004296"/>
    <n v="4.8249027111232502E-2"/>
    <n v="1.5834711428251299E-3"/>
    <n v="4.8249027111232502E-2"/>
    <n v="0.47956090264051998"/>
    <n v="2.9528327006597501E-6"/>
    <n v="100"/>
    <n v="0"/>
    <n v="0"/>
    <n v="0"/>
    <n v="100"/>
    <n v="0"/>
    <n v="0"/>
    <n v="100"/>
    <n v="2.7443399480281301E-2"/>
    <n v="-187.01434429778101"/>
    <n v="0"/>
    <n v="100"/>
    <n v="30.375699025757701"/>
    <n v="61.1005372610067"/>
    <n v="54.3403074712379"/>
    <n v="2.6274433994802799"/>
    <n v="734.99806686747195"/>
    <n v="86.278300259859293"/>
    <n v="0"/>
    <n v="171.268256731626"/>
    <n v="111.93892386090199"/>
    <n v="25.886510259787698"/>
    <n v="-96.569575064964795"/>
    <n v="488533.5"/>
    <n v="4.5961940777125603E-6"/>
    <n v="8"/>
    <n v="1.3020777685021656E-3"/>
    <n v="0.57764242800581034"/>
    <n v="1.3020844245537769E-3"/>
  </r>
  <r>
    <x v="4"/>
    <x v="2"/>
    <n v="9.6399666998062006E-3"/>
    <n v="0.55477070561323905"/>
    <n v="0.545130738913433"/>
    <n v="4.9368286832847698E-2"/>
    <n v="8.5463896581082499E-3"/>
    <n v="4.9368286832847698E-2"/>
    <n v="0.44742132568043702"/>
    <n v="6.6416608998667504E-5"/>
    <n v="84.536686256406"/>
    <n v="0"/>
    <n v="15.463313743594"/>
    <n v="45.189572525705202"/>
    <n v="34.305358895601103"/>
    <n v="20.505068578693699"/>
    <n v="0"/>
    <n v="34.305358895601103"/>
    <n v="0.30206504853913402"/>
    <n v="-160.03852834944701"/>
    <n v="0"/>
    <n v="100"/>
    <n v="47.199015875660798"/>
    <n v="58.415630955625701"/>
    <n v="56.793581206482898"/>
    <n v="2.8777102457363499"/>
    <n v="765.28844342686398"/>
    <n v="12.519851009153101"/>
    <n v="0"/>
    <n v="171.70443441704001"/>
    <n v="111.932469452001"/>
    <n v="25.255095769421999"/>
    <n v="-85.274189704206094"/>
    <n v="4838230.0999999996"/>
    <n v="2.7651780543365298E-4"/>
    <n v="79"/>
    <n v="1.7376488344225494E-2"/>
    <n v="0.5547042890042404"/>
    <n v="1.737856888958093E-2"/>
  </r>
  <r>
    <x v="4"/>
    <x v="3"/>
    <n v="0.14115249188214901"/>
    <n v="0.60276184377935804"/>
    <n v="0.46160935189720997"/>
    <n v="4.8804531330933099E-2"/>
    <n v="1.7513520548055699E-2"/>
    <n v="4.8804531330933099E-2"/>
    <n v="0.48694488184481999"/>
    <n v="6.9437872461657296E-4"/>
    <n v="90.001226913255394"/>
    <n v="0"/>
    <n v="9.9987730867446096"/>
    <n v="37.6714377780932"/>
    <n v="44.905550722260898"/>
    <n v="17.423011499645899"/>
    <n v="0"/>
    <n v="44.905550722260898"/>
    <n v="0.690470002645034"/>
    <n v="-133.12080055489301"/>
    <n v="0"/>
    <n v="100"/>
    <n v="47.410320721498501"/>
    <n v="58.711937733355597"/>
    <n v="55.589670983048002"/>
    <n v="3.1564457737434699"/>
    <n v="768.37130457085902"/>
    <n v="23.113455991075"/>
    <n v="0"/>
    <n v="172.79743428782501"/>
    <n v="111.990249351918"/>
    <n v="25.108658814666999"/>
    <n v="-48.731555049428302"/>
    <n v="40793430"/>
    <n v="1.63432249347094E-2"/>
    <n v="426"/>
    <n v="0.23417622289611634"/>
    <n v="0.60206746505474151"/>
    <n v="0.2344463039026948"/>
  </r>
  <r>
    <x v="4"/>
    <x v="4"/>
    <n v="0.90706868060088996"/>
    <n v="0.65285235250417295"/>
    <n v="-0.25421632809671602"/>
    <n v="4.8376106392566398E-2"/>
    <n v="1.7488354049582999E-2"/>
    <n v="4.8376106392566398E-2"/>
    <n v="0.53604499482316403"/>
    <n v="2.5667908462929201E-3"/>
    <n v="80.917392809808206"/>
    <n v="0.41989199133710797"/>
    <n v="18.662715198854698"/>
    <n v="37.757924733796202"/>
    <n v="44.740803778108898"/>
    <n v="17.501271488095"/>
    <n v="0"/>
    <n v="44.740803778108898"/>
    <n v="0.68504521675443997"/>
    <n v="-109.163904269113"/>
    <n v="2.8742042902109199E-2"/>
    <n v="99.763497444347806"/>
    <n v="46.954982549606001"/>
    <n v="59.750874453629102"/>
    <n v="54.625054713048797"/>
    <n v="3.3131996670323498"/>
    <n v="766.40042409415196"/>
    <n v="18.0264700895099"/>
    <n v="0"/>
    <n v="172.22083352425199"/>
    <n v="111.98486918781001"/>
    <n v="25.6685831280084"/>
    <n v="-32.211756358000798"/>
    <n v="292461448.5"/>
    <n v="8.2752552046808606E-2"/>
    <n v="1776"/>
    <n v="1.3893932940910894"/>
    <n v="0.65028556165787998"/>
    <n v="1.3948774724266528"/>
  </r>
  <r>
    <x v="4"/>
    <x v="5"/>
    <n v="0.76095870642797703"/>
    <n v="0.71072442756958298"/>
    <n v="-5.02342788583943E-2"/>
    <n v="4.8319816271105799E-2"/>
    <n v="1.8583312724752301E-2"/>
    <n v="4.8319816271105799E-2"/>
    <n v="0.58890061634278001"/>
    <n v="6.6008659598388603E-3"/>
    <n v="58.648727997411697"/>
    <n v="2.0224149644622398"/>
    <n v="39.328857038126003"/>
    <n v="40.973885927819502"/>
    <n v="40.060149488570602"/>
    <n v="18.9659645836099"/>
    <n v="0"/>
    <n v="40.060149488570602"/>
    <n v="0.73618946474736102"/>
    <n v="-84.715076817155094"/>
    <n v="0.88425165945157702"/>
    <n v="99.827574314644394"/>
    <n v="45.456370910382397"/>
    <n v="60.769939254552099"/>
    <n v="54.4914306966973"/>
    <n v="3.4142877394780702"/>
    <n v="765.78828990433794"/>
    <n v="13.794965083123699"/>
    <n v="0"/>
    <n v="172.14494554989301"/>
    <n v="112.012714523887"/>
    <n v="26.7253979007344"/>
    <n v="-22.771077717510298"/>
    <n v="1362747447.2"/>
    <n v="6.4555039854858096E-2"/>
    <n v="4934"/>
    <n v="1.0706803887832825"/>
    <n v="0.7041235616097441"/>
    <n v="1.0807175727627951"/>
  </r>
  <r>
    <x v="4"/>
    <x v="6"/>
    <n v="0.76693221991233096"/>
    <n v="0.79124891534984199"/>
    <n v="2.43166954375111E-2"/>
    <n v="4.8436428503806903E-2"/>
    <n v="1.9960504762415E-2"/>
    <n v="4.8436428503806903E-2"/>
    <n v="0.66144357587070801"/>
    <n v="1.29719777091056E-2"/>
    <n v="32.213785392876296"/>
    <n v="4.0655286116554796"/>
    <n v="63.720685995468202"/>
    <n v="40.527241304550998"/>
    <n v="39.680707367690403"/>
    <n v="19.7920513277586"/>
    <n v="0"/>
    <n v="39.680707367690403"/>
    <n v="0.79686923514841501"/>
    <n v="-60.256100896367002"/>
    <n v="42.597235861731797"/>
    <n v="99.866005323585796"/>
    <n v="43.3033716722178"/>
    <n v="61.6769879913263"/>
    <n v="54.751453529952997"/>
    <n v="3.49995936520002"/>
    <n v="766.51563823501203"/>
    <n v="13.4235247082197"/>
    <n v="0"/>
    <n v="172.14628594883399"/>
    <n v="112.031471687435"/>
    <n v="27.165402627006799"/>
    <n v="-16.7301479362355"/>
    <n v="5414954180.1000004"/>
    <n v="7.2395992185729993E-2"/>
    <n v="12917"/>
    <n v="0.96926795731939841"/>
    <n v="0.77827693764073635"/>
    <n v="0.98542328934634027"/>
  </r>
  <r>
    <x v="4"/>
    <x v="7"/>
    <n v="0.82024288045910798"/>
    <n v="0.899264643776302"/>
    <n v="7.9021763317194502E-2"/>
    <n v="4.8746607503963403E-2"/>
    <n v="1.9833526613671999E-2"/>
    <n v="4.8746607503963403E-2"/>
    <n v="0.76080544926351301"/>
    <n v="2.1132452891190399E-2"/>
    <n v="22.425253448136498"/>
    <n v="5.1251744834420396"/>
    <n v="72.449572068421404"/>
    <n v="38.099501198178601"/>
    <n v="42.657715464400603"/>
    <n v="19.2427833374208"/>
    <n v="0"/>
    <n v="42.657715464400603"/>
    <n v="0.79039047639828197"/>
    <n v="-36.417066423795802"/>
    <n v="185.69905208359"/>
    <n v="99.830364067113095"/>
    <n v="42.6054046072882"/>
    <n v="61.902917210939698"/>
    <n v="55.4543189067575"/>
    <n v="3.6352381281817698"/>
    <n v="764.06892953525403"/>
    <n v="18.3608101900561"/>
    <n v="0"/>
    <n v="172.65669128835901"/>
    <n v="112.156261106209"/>
    <n v="29.2606176628762"/>
    <n v="-8.1881607295432204"/>
    <n v="12558200935"/>
    <n v="8.19881714091905E-2"/>
    <n v="27872"/>
    <n v="0.91212624240917983"/>
    <n v="0.87813219088511163"/>
    <n v="0.93407676995913991"/>
  </r>
  <r>
    <x v="4"/>
    <x v="8"/>
    <n v="0.82501349307622196"/>
    <n v="0.94265824758688899"/>
    <n v="0.117644754510667"/>
    <n v="4.93965245078603E-2"/>
    <n v="2.1161238430802001E-2"/>
    <n v="4.93965245078603E-2"/>
    <n v="0.787780113989484"/>
    <n v="3.4923846150882301E-2"/>
    <n v="19.537962157881299"/>
    <n v="5.5501925171908404"/>
    <n v="74.911845324927896"/>
    <n v="33.573063315869199"/>
    <n v="47.743112674918798"/>
    <n v="18.6838240092119"/>
    <n v="0"/>
    <n v="47.743112674918798"/>
    <n v="0.82352015779479704"/>
    <n v="-12.135709342727299"/>
    <n v="610.18664213930799"/>
    <n v="99.794974294620005"/>
    <n v="42.284064141918002"/>
    <n v="61.607393500710899"/>
    <n v="56.951775177585503"/>
    <n v="3.83527945019312"/>
    <n v="761.17357587880201"/>
    <n v="25.154324635066502"/>
    <n v="0"/>
    <n v="171.46038315133501"/>
    <n v="112.08185642535599"/>
    <n v="30.864216657301299"/>
    <n v="-0.11372950533618501"/>
    <n v="19368821291.700001"/>
    <n v="7.7014135703379005E-2"/>
    <n v="47319"/>
    <n v="0.87519893364130019"/>
    <n v="0.9077344014360067"/>
    <n v="0.90887102193227121"/>
  </r>
  <r>
    <x v="5"/>
    <x v="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109" applyNumberFormats="0" applyBorderFormats="0" applyFontFormats="0" applyPatternFormats="0" applyAlignmentFormats="0" applyWidthHeightFormats="1" dataCaption="Values" updatedVersion="4" minRefreshableVersion="3" useAutoFormatting="1" rowGrandTotals="0" colGrandTotals="0" itemPrintTitles="1" createdVersion="4" indent="0" outline="1" outlineData="1" multipleFieldFilters="0" chartFormat="1">
  <location ref="A2:AE12" firstHeaderRow="1" firstDataRow="3" firstDataCol="1"/>
  <pivotFields count="39">
    <pivotField axis="axisCol" showAll="0" defaultSubtotal="0">
      <items count="6">
        <item x="4"/>
        <item x="0"/>
        <item x="1"/>
        <item x="2"/>
        <item x="3"/>
        <item x="5"/>
      </items>
    </pivotField>
    <pivotField axis="axisRow" showAll="0" defaultSubtotal="0">
      <items count="10">
        <item x="1"/>
        <item x="2"/>
        <item x="3"/>
        <item x="4"/>
        <item x="5"/>
        <item x="6"/>
        <item x="7"/>
        <item x="8"/>
        <item h="1" x="0"/>
        <item h="1" x="9"/>
      </items>
    </pivotField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numFmtId="11" showAll="0" defaultSubtotal="0"/>
    <pivotField dataField="1" numFmtId="11" showAll="0" defaultSubtota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Fields count="2">
    <field x="0"/>
    <field x="-2"/>
  </colFields>
  <colItems count="30">
    <i>
      <x/>
      <x/>
    </i>
    <i r="1" i="1">
      <x v="1"/>
    </i>
    <i r="1" i="2">
      <x v="2"/>
    </i>
    <i r="1" i="3">
      <x v="3"/>
    </i>
    <i r="1" i="4">
      <x v="4"/>
    </i>
    <i r="1" i="5">
      <x v="5"/>
    </i>
    <i>
      <x v="1"/>
      <x/>
    </i>
    <i r="1" i="1">
      <x v="1"/>
    </i>
    <i r="1" i="2">
      <x v="2"/>
    </i>
    <i r="1" i="3">
      <x v="3"/>
    </i>
    <i r="1" i="4">
      <x v="4"/>
    </i>
    <i r="1" i="5">
      <x v="5"/>
    </i>
    <i>
      <x v="2"/>
      <x/>
    </i>
    <i r="1" i="1">
      <x v="1"/>
    </i>
    <i r="1" i="2">
      <x v="2"/>
    </i>
    <i r="1" i="3">
      <x v="3"/>
    </i>
    <i r="1" i="4">
      <x v="4"/>
    </i>
    <i r="1" i="5">
      <x v="5"/>
    </i>
    <i>
      <x v="3"/>
      <x/>
    </i>
    <i r="1" i="1">
      <x v="1"/>
    </i>
    <i r="1" i="2">
      <x v="2"/>
    </i>
    <i r="1" i="3">
      <x v="3"/>
    </i>
    <i r="1" i="4">
      <x v="4"/>
    </i>
    <i r="1" i="5">
      <x v="5"/>
    </i>
    <i>
      <x v="4"/>
      <x/>
    </i>
    <i r="1" i="1">
      <x v="1"/>
    </i>
    <i r="1" i="2">
      <x v="2"/>
    </i>
    <i r="1" i="3">
      <x v="3"/>
    </i>
    <i r="1" i="4">
      <x v="4"/>
    </i>
    <i r="1" i="5">
      <x v="5"/>
    </i>
  </colItems>
  <dataFields count="6">
    <dataField name="'bal" fld="33" baseField="0" baseItem="0" numFmtId="164"/>
    <dataField name="'actual.smm" fld="2" subtotal="average" baseField="0" baseItem="0" numFmtId="2"/>
    <dataField name="'model.smm" fld="3" subtotal="average" baseField="0" baseItem="0" numFmtId="2"/>
    <dataField name="'model w/o refi" fld="37" subtotal="average" baseField="0" baseItem="0" numFmtId="2"/>
    <dataField name="'Ratio" fld="36" subtotal="average" baseField="0" baseItem="0" numFmtId="2"/>
    <dataField name="'Ratio w/o refi" fld="38" subtotal="average" baseField="0" baseItem="0" numFmtId="2"/>
  </dataFields>
  <formats count="6">
    <format dxfId="24">
      <pivotArea outline="0" collapsedLevelsAreSubtotals="1" fieldPosition="0"/>
    </format>
    <format dxfId="25">
      <pivotArea dataOnly="0" fieldPosition="0">
        <references count="1">
          <reference field="1" count="1">
            <x v="4"/>
          </reference>
        </references>
      </pivotArea>
    </format>
    <format dxfId="26">
      <pivotArea type="topRight" dataOnly="0" labelOnly="1" outline="0" offset="B1" fieldPosition="0"/>
    </format>
    <format dxfId="27">
      <pivotArea type="topRight" dataOnly="0" labelOnly="1" outline="0" offset="G1" fieldPosition="0"/>
    </format>
    <format dxfId="2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9">
      <pivotArea outline="0" collapsedLevelsAreSubtotals="1" fieldPosition="0">
        <references count="1">
          <reference field="4294967294" count="5" selected="0">
            <x v="1"/>
            <x v="2"/>
            <x v="3"/>
            <x v="4"/>
            <x v="5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0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14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45"/>
  <sheetViews>
    <sheetView workbookViewId="0">
      <selection activeCell="B2" sqref="B2:AK45"/>
    </sheetView>
  </sheetViews>
  <sheetFormatPr defaultRowHeight="15" x14ac:dyDescent="0.25"/>
  <sheetData>
    <row r="1" spans="1:40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s="3" t="s">
        <v>45</v>
      </c>
      <c r="AM1" s="3" t="s">
        <v>46</v>
      </c>
      <c r="AN1" s="3" t="s">
        <v>47</v>
      </c>
    </row>
    <row r="2" spans="1:40" x14ac:dyDescent="0.25">
      <c r="A2">
        <v>1</v>
      </c>
      <c r="B2" s="3">
        <v>110</v>
      </c>
      <c r="C2" s="3">
        <v>-200</v>
      </c>
      <c r="D2" s="3">
        <v>0</v>
      </c>
      <c r="E2" s="3">
        <v>0.51832392876529998</v>
      </c>
      <c r="F2" s="3">
        <v>0.51832392876529998</v>
      </c>
      <c r="G2" s="3">
        <v>4.63679339383231E-2</v>
      </c>
      <c r="H2" s="3">
        <v>7.0095480037455603E-3</v>
      </c>
      <c r="I2" s="3">
        <v>4.63679339383231E-2</v>
      </c>
      <c r="J2" s="3">
        <v>0.41857365550137499</v>
      </c>
      <c r="K2" s="4">
        <v>4.8573835333944901E-6</v>
      </c>
      <c r="L2" s="3">
        <v>0</v>
      </c>
      <c r="M2" s="3">
        <v>0</v>
      </c>
      <c r="N2" s="3">
        <v>100</v>
      </c>
      <c r="O2" s="3">
        <v>100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-207.20459285984401</v>
      </c>
      <c r="V2" s="3">
        <v>0</v>
      </c>
      <c r="W2" s="3">
        <v>100</v>
      </c>
      <c r="X2" s="3">
        <v>69.034099070848399</v>
      </c>
      <c r="Y2" s="3">
        <v>93.667049464276602</v>
      </c>
      <c r="Z2" s="3">
        <v>49.998468904423603</v>
      </c>
      <c r="AA2" s="3">
        <v>2.5</v>
      </c>
      <c r="AB2" s="3">
        <v>647</v>
      </c>
      <c r="AC2" s="3">
        <v>0</v>
      </c>
      <c r="AD2" s="3">
        <v>0</v>
      </c>
      <c r="AE2" s="3">
        <v>168.031419440147</v>
      </c>
      <c r="AF2" s="3">
        <v>111.599770264516</v>
      </c>
      <c r="AG2" s="3">
        <v>24.7665912739647</v>
      </c>
      <c r="AH2" s="3">
        <v>-110.7</v>
      </c>
      <c r="AI2" s="3">
        <v>281105.90000000002</v>
      </c>
      <c r="AJ2" s="3">
        <v>0</v>
      </c>
      <c r="AK2" s="3">
        <v>3</v>
      </c>
      <c r="AL2" s="3">
        <f>D2/E2</f>
        <v>0</v>
      </c>
      <c r="AM2" s="4">
        <f>E2-K2</f>
        <v>0.51831907138176658</v>
      </c>
      <c r="AN2" s="4">
        <f>D2/(E2-K2)</f>
        <v>0</v>
      </c>
    </row>
    <row r="3" spans="1:40" x14ac:dyDescent="0.25">
      <c r="A3">
        <v>2</v>
      </c>
      <c r="B3" s="3">
        <v>110</v>
      </c>
      <c r="C3" s="3">
        <v>-175</v>
      </c>
      <c r="D3" s="3">
        <v>0</v>
      </c>
      <c r="E3" s="3">
        <v>0.58296020143094196</v>
      </c>
      <c r="F3" s="3">
        <v>0.58296020143094196</v>
      </c>
      <c r="G3" s="3">
        <v>4.8825977875538502E-2</v>
      </c>
      <c r="H3" s="3">
        <v>7.0621007871939402E-3</v>
      </c>
      <c r="I3" s="3">
        <v>4.8825977875538502E-2</v>
      </c>
      <c r="J3" s="3">
        <v>0.478237149921176</v>
      </c>
      <c r="K3" s="4">
        <v>8.9949714951673092E-6</v>
      </c>
      <c r="L3" s="3">
        <v>17.796536668190399</v>
      </c>
      <c r="M3" s="3">
        <v>0</v>
      </c>
      <c r="N3" s="3">
        <v>82.203463331809601</v>
      </c>
      <c r="O3" s="3">
        <v>82.203463331809601</v>
      </c>
      <c r="P3" s="3">
        <v>17.796536668190399</v>
      </c>
      <c r="Q3" s="3">
        <v>0</v>
      </c>
      <c r="R3" s="3">
        <v>0</v>
      </c>
      <c r="S3" s="3">
        <v>17.796536668190399</v>
      </c>
      <c r="T3" s="3">
        <v>5.3389610004571098E-2</v>
      </c>
      <c r="U3" s="3">
        <v>-187.85595102234799</v>
      </c>
      <c r="V3" s="3">
        <v>0</v>
      </c>
      <c r="W3" s="3">
        <v>100</v>
      </c>
      <c r="X3" s="3">
        <v>63.328055328524499</v>
      </c>
      <c r="Y3" s="3">
        <v>90.624981691238403</v>
      </c>
      <c r="Z3" s="3">
        <v>55.701480454207697</v>
      </c>
      <c r="AA3" s="3">
        <v>2.5533896100045701</v>
      </c>
      <c r="AB3" s="3">
        <v>662.48298690132594</v>
      </c>
      <c r="AC3" s="3">
        <v>0</v>
      </c>
      <c r="AD3" s="3">
        <v>0</v>
      </c>
      <c r="AE3" s="3">
        <v>172.987487515748</v>
      </c>
      <c r="AF3" s="3">
        <v>112.11597718783599</v>
      </c>
      <c r="AG3" s="3">
        <v>25.3284846496245</v>
      </c>
      <c r="AH3" s="3">
        <v>-106.944930763012</v>
      </c>
      <c r="AI3" s="3">
        <v>451969.4</v>
      </c>
      <c r="AJ3" s="3">
        <v>0</v>
      </c>
      <c r="AK3" s="3">
        <v>5</v>
      </c>
      <c r="AL3" s="3">
        <f t="shared" ref="AL3:AL23" si="0">D3/E3</f>
        <v>0</v>
      </c>
      <c r="AM3" s="4">
        <f t="shared" ref="AM3:AM23" si="1">E3-K3</f>
        <v>0.58295120645944676</v>
      </c>
      <c r="AN3" s="4">
        <f t="shared" ref="AN3:AN23" si="2">D3/(E3-K3)</f>
        <v>0</v>
      </c>
    </row>
    <row r="4" spans="1:40" x14ac:dyDescent="0.25">
      <c r="A4">
        <v>3</v>
      </c>
      <c r="B4" s="3">
        <v>110</v>
      </c>
      <c r="C4" s="3">
        <v>-150</v>
      </c>
      <c r="D4" s="3">
        <v>0.80176924152882501</v>
      </c>
      <c r="E4" s="3">
        <v>0.55592840034694502</v>
      </c>
      <c r="F4" s="3">
        <v>-0.24584084118187999</v>
      </c>
      <c r="G4" s="3">
        <v>4.8826038693448502E-2</v>
      </c>
      <c r="H4" s="3">
        <v>5.90533291641125E-3</v>
      </c>
      <c r="I4" s="3">
        <v>4.8826038693448502E-2</v>
      </c>
      <c r="J4" s="3">
        <v>0.45203141100293398</v>
      </c>
      <c r="K4" s="3">
        <v>3.3957904070313998E-4</v>
      </c>
      <c r="L4" s="3">
        <v>57.830990067897297</v>
      </c>
      <c r="M4" s="3">
        <v>0</v>
      </c>
      <c r="N4" s="3">
        <v>42.169009932102703</v>
      </c>
      <c r="O4" s="3">
        <v>49.010422149699998</v>
      </c>
      <c r="P4" s="3">
        <v>41.707540237676703</v>
      </c>
      <c r="Q4" s="3">
        <v>9.2820376126232897</v>
      </c>
      <c r="R4" s="3">
        <v>0</v>
      </c>
      <c r="S4" s="3">
        <v>41.707540237676703</v>
      </c>
      <c r="T4" s="3">
        <v>8.9880487320662297E-2</v>
      </c>
      <c r="U4" s="3">
        <v>-159.03651918454599</v>
      </c>
      <c r="V4" s="3">
        <v>0</v>
      </c>
      <c r="W4" s="3">
        <v>100</v>
      </c>
      <c r="X4" s="3">
        <v>60.509717753423899</v>
      </c>
      <c r="Y4" s="3">
        <v>87.122493776337507</v>
      </c>
      <c r="Z4" s="3">
        <v>55.643546372113697</v>
      </c>
      <c r="AA4" s="3">
        <v>2.8455322114736199</v>
      </c>
      <c r="AB4" s="3">
        <v>723.18690189669303</v>
      </c>
      <c r="AC4" s="3">
        <v>5.8011329727239298</v>
      </c>
      <c r="AD4" s="3">
        <v>0</v>
      </c>
      <c r="AE4" s="3">
        <v>172.85268779200601</v>
      </c>
      <c r="AF4" s="3">
        <v>112.034770238642</v>
      </c>
      <c r="AG4" s="3">
        <v>26.372850506749501</v>
      </c>
      <c r="AH4" s="3">
        <v>-82.086953698355401</v>
      </c>
      <c r="AI4" s="3">
        <v>3028281.2</v>
      </c>
      <c r="AJ4" s="3">
        <v>3.2879311436662097E-2</v>
      </c>
      <c r="AK4" s="3">
        <v>34</v>
      </c>
      <c r="AL4" s="3">
        <f t="shared" si="0"/>
        <v>1.4422167333571285</v>
      </c>
      <c r="AM4" s="4">
        <f t="shared" si="1"/>
        <v>0.55558882130624188</v>
      </c>
      <c r="AN4" s="4">
        <f t="shared" si="2"/>
        <v>1.4430982244095367</v>
      </c>
    </row>
    <row r="5" spans="1:40" x14ac:dyDescent="0.25">
      <c r="A5">
        <v>4</v>
      </c>
      <c r="B5" s="3">
        <v>110</v>
      </c>
      <c r="C5" s="3">
        <v>-125</v>
      </c>
      <c r="D5" s="3">
        <v>0.25237078541822899</v>
      </c>
      <c r="E5" s="3">
        <v>0.55704686011262405</v>
      </c>
      <c r="F5" s="3">
        <v>0.304676074694395</v>
      </c>
      <c r="G5" s="3">
        <v>4.8616782253292599E-2</v>
      </c>
      <c r="H5" s="3">
        <v>1.23485300185101E-2</v>
      </c>
      <c r="I5" s="3">
        <v>4.8616782253292599E-2</v>
      </c>
      <c r="J5" s="3">
        <v>0.445570826324382</v>
      </c>
      <c r="K5" s="3">
        <v>1.89393926314656E-3</v>
      </c>
      <c r="L5" s="3">
        <v>84.008434706145593</v>
      </c>
      <c r="M5" s="3">
        <v>0</v>
      </c>
      <c r="N5" s="3">
        <v>15.9915652938544</v>
      </c>
      <c r="O5" s="3">
        <v>33.6009496469647</v>
      </c>
      <c r="P5" s="3">
        <v>48.787248476217201</v>
      </c>
      <c r="Q5" s="3">
        <v>17.611801876818198</v>
      </c>
      <c r="R5" s="3">
        <v>0</v>
      </c>
      <c r="S5" s="3">
        <v>48.787248476217201</v>
      </c>
      <c r="T5" s="3">
        <v>0.45294671009222698</v>
      </c>
      <c r="U5" s="3">
        <v>-132.54226861597999</v>
      </c>
      <c r="V5" s="3">
        <v>0</v>
      </c>
      <c r="W5" s="3">
        <v>100</v>
      </c>
      <c r="X5" s="3">
        <v>49.018061667763597</v>
      </c>
      <c r="Y5" s="3">
        <v>86.123752790886002</v>
      </c>
      <c r="Z5" s="3">
        <v>55.2046453354642</v>
      </c>
      <c r="AA5" s="3">
        <v>3.1780868009415202</v>
      </c>
      <c r="AB5" s="3">
        <v>770.84983199836904</v>
      </c>
      <c r="AC5" s="3">
        <v>23.083586315136301</v>
      </c>
      <c r="AD5" s="3">
        <v>0</v>
      </c>
      <c r="AE5" s="3">
        <v>173.10434369219101</v>
      </c>
      <c r="AF5" s="3">
        <v>111.964832762949</v>
      </c>
      <c r="AG5" s="3">
        <v>24.1604648980835</v>
      </c>
      <c r="AH5" s="3">
        <v>-44.472551593368202</v>
      </c>
      <c r="AI5" s="3">
        <v>39035811.600000001</v>
      </c>
      <c r="AJ5" s="3">
        <v>2.9490900091469201E-2</v>
      </c>
      <c r="AK5" s="3">
        <v>289</v>
      </c>
      <c r="AL5" s="3">
        <f t="shared" si="0"/>
        <v>0.45305126640010956</v>
      </c>
      <c r="AM5" s="4">
        <f t="shared" si="1"/>
        <v>0.55515292084947754</v>
      </c>
      <c r="AN5" s="4">
        <f t="shared" si="2"/>
        <v>0.45459687941848376</v>
      </c>
    </row>
    <row r="6" spans="1:40" x14ac:dyDescent="0.25">
      <c r="A6">
        <v>5</v>
      </c>
      <c r="B6" s="3">
        <v>110</v>
      </c>
      <c r="C6" s="3">
        <v>-100</v>
      </c>
      <c r="D6" s="3">
        <v>0.78584576868868605</v>
      </c>
      <c r="E6" s="3">
        <v>0.60288913650730103</v>
      </c>
      <c r="F6" s="3">
        <v>-0.182956632181385</v>
      </c>
      <c r="G6" s="3">
        <v>4.8309876020482402E-2</v>
      </c>
      <c r="H6" s="3">
        <v>1.0654983856745201E-2</v>
      </c>
      <c r="I6" s="3">
        <v>4.8309876020482402E-2</v>
      </c>
      <c r="J6" s="3">
        <v>0.49030432244647498</v>
      </c>
      <c r="K6" s="3">
        <v>5.31007816311568E-3</v>
      </c>
      <c r="L6" s="3">
        <v>74.356331581869199</v>
      </c>
      <c r="M6" s="3">
        <v>0.85800957763434604</v>
      </c>
      <c r="N6" s="3">
        <v>24.785658840496499</v>
      </c>
      <c r="O6" s="3">
        <v>31.856813095054399</v>
      </c>
      <c r="P6" s="3">
        <v>49.924814966646998</v>
      </c>
      <c r="Q6" s="3">
        <v>18.218371938298599</v>
      </c>
      <c r="R6" s="3">
        <v>0</v>
      </c>
      <c r="S6" s="3">
        <v>49.924814966646998</v>
      </c>
      <c r="T6" s="3">
        <v>0.40320447740593301</v>
      </c>
      <c r="U6" s="3">
        <v>-109.10618208425799</v>
      </c>
      <c r="V6" s="3">
        <v>9.87795815265698E-3</v>
      </c>
      <c r="W6" s="3">
        <v>100</v>
      </c>
      <c r="X6" s="3">
        <v>46.855817068907903</v>
      </c>
      <c r="Y6" s="3">
        <v>86.6548829896022</v>
      </c>
      <c r="Z6" s="3">
        <v>54.477160914831501</v>
      </c>
      <c r="AA6" s="3">
        <v>3.2885903486232602</v>
      </c>
      <c r="AB6" s="3">
        <v>769.82801561745498</v>
      </c>
      <c r="AC6" s="3">
        <v>18.099820478759298</v>
      </c>
      <c r="AD6" s="3">
        <v>0</v>
      </c>
      <c r="AE6" s="3">
        <v>172.17428033824501</v>
      </c>
      <c r="AF6" s="3">
        <v>111.967523211451</v>
      </c>
      <c r="AG6" s="3">
        <v>25.323958848695099</v>
      </c>
      <c r="AH6" s="3">
        <v>-33.570690494040697</v>
      </c>
      <c r="AI6" s="3">
        <v>392191752.60000002</v>
      </c>
      <c r="AJ6" s="3">
        <v>8.2967304490871599E-2</v>
      </c>
      <c r="AK6" s="3">
        <v>1627</v>
      </c>
      <c r="AL6" s="3">
        <f t="shared" si="0"/>
        <v>1.3034664602538735</v>
      </c>
      <c r="AM6" s="4">
        <f t="shared" si="1"/>
        <v>0.59757905834418534</v>
      </c>
      <c r="AN6" s="4">
        <f t="shared" si="2"/>
        <v>1.3150490428265065</v>
      </c>
    </row>
    <row r="7" spans="1:40" x14ac:dyDescent="0.25">
      <c r="A7">
        <v>6</v>
      </c>
      <c r="B7" s="3">
        <v>110</v>
      </c>
      <c r="C7" s="3">
        <v>-75</v>
      </c>
      <c r="D7" s="3">
        <v>0.66247028344860104</v>
      </c>
      <c r="E7" s="3">
        <v>0.65847663900060704</v>
      </c>
      <c r="F7" s="3">
        <v>-3.9936444479935903E-3</v>
      </c>
      <c r="G7" s="3">
        <v>4.8263871639751002E-2</v>
      </c>
      <c r="H7" s="3">
        <v>1.3406272639541099E-2</v>
      </c>
      <c r="I7" s="3">
        <v>4.8263871639751002E-2</v>
      </c>
      <c r="J7" s="3">
        <v>0.53670171137870204</v>
      </c>
      <c r="K7" s="3">
        <v>1.18409117028619E-2</v>
      </c>
      <c r="L7" s="3">
        <v>50.099919860744102</v>
      </c>
      <c r="M7" s="3">
        <v>3.0672600061806499</v>
      </c>
      <c r="N7" s="3">
        <v>46.832820133075302</v>
      </c>
      <c r="O7" s="3">
        <v>37.184844854034303</v>
      </c>
      <c r="P7" s="3">
        <v>45.263147563231101</v>
      </c>
      <c r="Q7" s="3">
        <v>17.552007582734699</v>
      </c>
      <c r="R7" s="3">
        <v>0</v>
      </c>
      <c r="S7" s="3">
        <v>45.263147563231101</v>
      </c>
      <c r="T7" s="3">
        <v>0.51905823419326003</v>
      </c>
      <c r="U7" s="3">
        <v>-84.552756442767304</v>
      </c>
      <c r="V7" s="3">
        <v>0.83255626185293596</v>
      </c>
      <c r="W7" s="3">
        <v>99.901808393574896</v>
      </c>
      <c r="X7" s="3">
        <v>46.001376737472498</v>
      </c>
      <c r="Y7" s="3">
        <v>87.232573069225296</v>
      </c>
      <c r="Z7" s="3">
        <v>54.364122242127998</v>
      </c>
      <c r="AA7" s="3">
        <v>3.3796586685926902</v>
      </c>
      <c r="AB7" s="3">
        <v>769.55341853910704</v>
      </c>
      <c r="AC7" s="3">
        <v>13.6194261854166</v>
      </c>
      <c r="AD7" s="3">
        <v>0</v>
      </c>
      <c r="AE7" s="3">
        <v>172.09760711766</v>
      </c>
      <c r="AF7" s="3">
        <v>111.993728340388</v>
      </c>
      <c r="AG7" s="3">
        <v>26.308694989560301</v>
      </c>
      <c r="AH7" s="3">
        <v>-25.297059812794799</v>
      </c>
      <c r="AI7" s="3">
        <v>2144100766.4000001</v>
      </c>
      <c r="AJ7" s="3">
        <v>6.21342916391429E-2</v>
      </c>
      <c r="AK7" s="3">
        <v>4854</v>
      </c>
      <c r="AL7" s="3">
        <f t="shared" si="0"/>
        <v>1.0060649751433175</v>
      </c>
      <c r="AM7" s="4">
        <f t="shared" si="1"/>
        <v>0.6466357272977451</v>
      </c>
      <c r="AN7" s="4">
        <f t="shared" si="2"/>
        <v>1.024487598631501</v>
      </c>
    </row>
    <row r="8" spans="1:40" x14ac:dyDescent="0.25">
      <c r="A8">
        <v>7</v>
      </c>
      <c r="B8" s="3">
        <v>110</v>
      </c>
      <c r="C8" s="3">
        <v>-50</v>
      </c>
      <c r="D8" s="3">
        <v>0.75228695771266696</v>
      </c>
      <c r="E8" s="3">
        <v>0.73738029304561203</v>
      </c>
      <c r="F8" s="3">
        <v>-1.4906664667054899E-2</v>
      </c>
      <c r="G8" s="3">
        <v>4.83975426975383E-2</v>
      </c>
      <c r="H8" s="3">
        <v>1.40277843127187E-2</v>
      </c>
      <c r="I8" s="3">
        <v>4.83975426975383E-2</v>
      </c>
      <c r="J8" s="3">
        <v>0.60593966040916702</v>
      </c>
      <c r="K8" s="3">
        <v>2.06177629286497E-2</v>
      </c>
      <c r="L8" s="3">
        <v>24.271223211319001</v>
      </c>
      <c r="M8" s="3">
        <v>5.0317585834765897</v>
      </c>
      <c r="N8" s="3">
        <v>70.697018205204401</v>
      </c>
      <c r="O8" s="3">
        <v>37.7242021039877</v>
      </c>
      <c r="P8" s="3">
        <v>43.701056467934798</v>
      </c>
      <c r="Q8" s="3">
        <v>18.574741428077498</v>
      </c>
      <c r="R8" s="3">
        <v>0</v>
      </c>
      <c r="S8" s="3">
        <v>43.701056467934798</v>
      </c>
      <c r="T8" s="3">
        <v>0.54783242542936095</v>
      </c>
      <c r="U8" s="3">
        <v>-60.155596818898402</v>
      </c>
      <c r="V8" s="3">
        <v>41.256730490566902</v>
      </c>
      <c r="W8" s="3">
        <v>99.927709154440905</v>
      </c>
      <c r="X8" s="3">
        <v>44.833403669037899</v>
      </c>
      <c r="Y8" s="3">
        <v>87.415126533997807</v>
      </c>
      <c r="Z8" s="3">
        <v>54.662113964449098</v>
      </c>
      <c r="AA8" s="3">
        <v>3.4650275317386598</v>
      </c>
      <c r="AB8" s="3">
        <v>769.27382011176599</v>
      </c>
      <c r="AC8" s="3">
        <v>12.448164205848901</v>
      </c>
      <c r="AD8" s="3">
        <v>0</v>
      </c>
      <c r="AE8" s="3">
        <v>172.16096401258599</v>
      </c>
      <c r="AF8" s="3">
        <v>112.02862658801401</v>
      </c>
      <c r="AG8" s="3">
        <v>26.939713077399201</v>
      </c>
      <c r="AH8" s="3">
        <v>-19.792475279049899</v>
      </c>
      <c r="AI8" s="3">
        <v>9870188707.6000004</v>
      </c>
      <c r="AJ8" s="3">
        <v>7.7739479357627303E-2</v>
      </c>
      <c r="AK8" s="3">
        <v>13617</v>
      </c>
      <c r="AL8" s="3">
        <f t="shared" si="0"/>
        <v>1.020215707970016</v>
      </c>
      <c r="AM8" s="4">
        <f t="shared" si="1"/>
        <v>0.71676253011696234</v>
      </c>
      <c r="AN8" s="4">
        <f t="shared" si="2"/>
        <v>1.0495623391333078</v>
      </c>
    </row>
    <row r="9" spans="1:40" x14ac:dyDescent="0.25">
      <c r="A9">
        <v>8</v>
      </c>
      <c r="B9" s="3">
        <v>110</v>
      </c>
      <c r="C9" s="3">
        <v>-25</v>
      </c>
      <c r="D9" s="3">
        <v>0.78261799640429697</v>
      </c>
      <c r="E9" s="3">
        <v>0.84552292269056994</v>
      </c>
      <c r="F9" s="3">
        <v>6.2904926286272797E-2</v>
      </c>
      <c r="G9" s="3">
        <v>4.87590885353478E-2</v>
      </c>
      <c r="H9" s="3">
        <v>1.5075200404070401E-2</v>
      </c>
      <c r="I9" s="3">
        <v>4.87590885353478E-2</v>
      </c>
      <c r="J9" s="3">
        <v>0.69944916304600402</v>
      </c>
      <c r="K9" s="3">
        <v>3.3480382169799698E-2</v>
      </c>
      <c r="L9" s="3">
        <v>16.4140791946175</v>
      </c>
      <c r="M9" s="3">
        <v>5.6362434331480404</v>
      </c>
      <c r="N9" s="3">
        <v>77.949677372234504</v>
      </c>
      <c r="O9" s="3">
        <v>34.871236644142598</v>
      </c>
      <c r="P9" s="3">
        <v>45.935205718038901</v>
      </c>
      <c r="Q9" s="3">
        <v>19.1935576378185</v>
      </c>
      <c r="R9" s="3">
        <v>0</v>
      </c>
      <c r="S9" s="3">
        <v>45.935205718038901</v>
      </c>
      <c r="T9" s="3">
        <v>0.58927435706989495</v>
      </c>
      <c r="U9" s="3">
        <v>-36.465225330140903</v>
      </c>
      <c r="V9" s="3">
        <v>175.51275015863399</v>
      </c>
      <c r="W9" s="3">
        <v>99.905811539072602</v>
      </c>
      <c r="X9" s="3">
        <v>44.213916563529402</v>
      </c>
      <c r="Y9" s="3">
        <v>87.421914873900704</v>
      </c>
      <c r="Z9" s="3">
        <v>55.482292648199099</v>
      </c>
      <c r="AA9" s="3">
        <v>3.5988541613759901</v>
      </c>
      <c r="AB9" s="3">
        <v>766.56300917793897</v>
      </c>
      <c r="AC9" s="3">
        <v>17.120929045888399</v>
      </c>
      <c r="AD9" s="3">
        <v>0</v>
      </c>
      <c r="AE9" s="3">
        <v>172.76898784933601</v>
      </c>
      <c r="AF9" s="3">
        <v>112.171340821207</v>
      </c>
      <c r="AG9" s="3">
        <v>29.3616042501679</v>
      </c>
      <c r="AH9" s="3">
        <v>-11.474915461483601</v>
      </c>
      <c r="AI9" s="3">
        <v>22538638913.799999</v>
      </c>
      <c r="AJ9" s="3">
        <v>7.1546799049604606E-2</v>
      </c>
      <c r="AK9" s="3">
        <v>29256</v>
      </c>
      <c r="AL9" s="3">
        <f t="shared" si="0"/>
        <v>0.92560234075487757</v>
      </c>
      <c r="AM9" s="4">
        <f t="shared" si="1"/>
        <v>0.8120425405207703</v>
      </c>
      <c r="AN9" s="4">
        <f t="shared" si="2"/>
        <v>0.96376477506017966</v>
      </c>
    </row>
    <row r="10" spans="1:40" x14ac:dyDescent="0.25">
      <c r="A10">
        <v>9</v>
      </c>
      <c r="B10" s="3">
        <v>110</v>
      </c>
      <c r="C10" s="3">
        <v>0</v>
      </c>
      <c r="D10" s="3">
        <v>0.87178375675221098</v>
      </c>
      <c r="E10" s="3">
        <v>0.89596120369309695</v>
      </c>
      <c r="F10" s="3">
        <v>2.41774469408856E-2</v>
      </c>
      <c r="G10" s="3">
        <v>4.9485138753192201E-2</v>
      </c>
      <c r="H10" s="3">
        <v>1.83533129715002E-2</v>
      </c>
      <c r="I10" s="3">
        <v>4.9485138753192201E-2</v>
      </c>
      <c r="J10" s="3">
        <v>0.72167684095100204</v>
      </c>
      <c r="K10" s="3">
        <v>5.6960772264209703E-2</v>
      </c>
      <c r="L10" s="3">
        <v>14.031786508676401</v>
      </c>
      <c r="M10" s="3">
        <v>5.3741273248709902</v>
      </c>
      <c r="N10" s="3">
        <v>80.594086166452598</v>
      </c>
      <c r="O10" s="3">
        <v>30.310516154201601</v>
      </c>
      <c r="P10" s="3">
        <v>50.068340196433503</v>
      </c>
      <c r="Q10" s="3">
        <v>19.621143649364999</v>
      </c>
      <c r="R10" s="3">
        <v>0</v>
      </c>
      <c r="S10" s="3">
        <v>50.068340196433503</v>
      </c>
      <c r="T10" s="3">
        <v>0.69829929431724702</v>
      </c>
      <c r="U10" s="3">
        <v>-12.249196932098499</v>
      </c>
      <c r="V10" s="3">
        <v>596.17131428688106</v>
      </c>
      <c r="W10" s="3">
        <v>99.890882334087394</v>
      </c>
      <c r="X10" s="3">
        <v>44.065614364044997</v>
      </c>
      <c r="Y10" s="3">
        <v>87.419564735907002</v>
      </c>
      <c r="Z10" s="3">
        <v>57.157106784774903</v>
      </c>
      <c r="AA10" s="3">
        <v>3.80225893574486</v>
      </c>
      <c r="AB10" s="3">
        <v>763.30566466459095</v>
      </c>
      <c r="AC10" s="3">
        <v>22.503739665169899</v>
      </c>
      <c r="AD10" s="3">
        <v>0</v>
      </c>
      <c r="AE10" s="3">
        <v>171.33504213793299</v>
      </c>
      <c r="AF10" s="3">
        <v>112.075980099201</v>
      </c>
      <c r="AG10" s="3">
        <v>31.050414920165501</v>
      </c>
      <c r="AH10" s="3">
        <v>-4.5168701772823097</v>
      </c>
      <c r="AI10" s="3">
        <v>32534589612.5</v>
      </c>
      <c r="AJ10" s="3">
        <v>7.9223993900239001E-2</v>
      </c>
      <c r="AK10" s="3">
        <v>49889</v>
      </c>
      <c r="AL10" s="3">
        <f t="shared" si="0"/>
        <v>0.97301507382102259</v>
      </c>
      <c r="AM10" s="4">
        <f t="shared" si="1"/>
        <v>0.83900043142888725</v>
      </c>
      <c r="AN10" s="4">
        <f t="shared" si="2"/>
        <v>1.0390742651556102</v>
      </c>
    </row>
    <row r="11" spans="1:40" x14ac:dyDescent="0.25">
      <c r="A11">
        <v>10</v>
      </c>
      <c r="B11" s="3">
        <v>150</v>
      </c>
      <c r="C11" s="3">
        <v>-200</v>
      </c>
      <c r="D11" s="3">
        <v>0</v>
      </c>
      <c r="E11" s="3">
        <v>0.43912895608317298</v>
      </c>
      <c r="F11" s="3">
        <v>0.43912895608317298</v>
      </c>
      <c r="G11" s="3">
        <v>5.2374562962963001E-2</v>
      </c>
      <c r="H11" s="3">
        <v>6.6130836168570297E-4</v>
      </c>
      <c r="I11" s="3">
        <v>5.2374562962963001E-2</v>
      </c>
      <c r="J11" s="3">
        <v>0.33371388366523003</v>
      </c>
      <c r="K11" s="4">
        <v>4.6381303316231602E-6</v>
      </c>
      <c r="L11" s="3">
        <v>100</v>
      </c>
      <c r="M11" s="3">
        <v>0</v>
      </c>
      <c r="N11" s="3">
        <v>0</v>
      </c>
      <c r="O11" s="3">
        <v>0</v>
      </c>
      <c r="P11" s="3">
        <v>100</v>
      </c>
      <c r="Q11" s="3">
        <v>0</v>
      </c>
      <c r="R11" s="3">
        <v>0</v>
      </c>
      <c r="S11" s="3">
        <v>100</v>
      </c>
      <c r="T11" s="3">
        <v>0</v>
      </c>
      <c r="U11" s="3">
        <v>-202.1</v>
      </c>
      <c r="V11" s="3">
        <v>0</v>
      </c>
      <c r="W11" s="3">
        <v>100</v>
      </c>
      <c r="X11" s="3">
        <v>41.5</v>
      </c>
      <c r="Y11" s="3">
        <v>128.80000000000001</v>
      </c>
      <c r="Z11" s="3">
        <v>64</v>
      </c>
      <c r="AA11" s="3">
        <v>2.6</v>
      </c>
      <c r="AB11" s="3">
        <v>778</v>
      </c>
      <c r="AC11" s="3">
        <v>100</v>
      </c>
      <c r="AD11" s="3">
        <v>0</v>
      </c>
      <c r="AE11" s="3">
        <v>179.2</v>
      </c>
      <c r="AF11" s="3">
        <v>112.2</v>
      </c>
      <c r="AG11" s="3">
        <v>20.9</v>
      </c>
      <c r="AH11" s="3">
        <v>-107</v>
      </c>
      <c r="AI11" s="3">
        <v>128882.9</v>
      </c>
      <c r="AJ11" s="3" t="s">
        <v>36</v>
      </c>
      <c r="AK11" s="3">
        <v>1</v>
      </c>
      <c r="AL11" s="3">
        <f t="shared" si="0"/>
        <v>0</v>
      </c>
      <c r="AM11" s="4">
        <f t="shared" si="1"/>
        <v>0.43912431795284135</v>
      </c>
      <c r="AN11" s="4">
        <f t="shared" si="2"/>
        <v>0</v>
      </c>
    </row>
    <row r="12" spans="1:40" x14ac:dyDescent="0.25">
      <c r="A12">
        <v>11</v>
      </c>
      <c r="B12" s="3">
        <v>150</v>
      </c>
      <c r="C12" s="3">
        <v>-175</v>
      </c>
      <c r="D12" s="3">
        <v>3.0158558698900298E-3</v>
      </c>
      <c r="E12" s="3">
        <v>0.44957722307672998</v>
      </c>
      <c r="F12" s="3">
        <v>0.44656136720683998</v>
      </c>
      <c r="G12" s="3">
        <v>4.8630407047420797E-2</v>
      </c>
      <c r="H12" s="3">
        <v>1.7276102316230899E-3</v>
      </c>
      <c r="I12" s="3">
        <v>4.8630407047420797E-2</v>
      </c>
      <c r="J12" s="3">
        <v>0.35053831084916198</v>
      </c>
      <c r="K12" s="4">
        <v>5.0487901103355602E-5</v>
      </c>
      <c r="L12" s="3">
        <v>88.576303523143807</v>
      </c>
      <c r="M12" s="3">
        <v>0</v>
      </c>
      <c r="N12" s="3">
        <v>11.4236964768562</v>
      </c>
      <c r="O12" s="3">
        <v>11.4236964768562</v>
      </c>
      <c r="P12" s="3">
        <v>88.576303523143807</v>
      </c>
      <c r="Q12" s="3">
        <v>0</v>
      </c>
      <c r="R12" s="3">
        <v>0</v>
      </c>
      <c r="S12" s="3">
        <v>88.576303523143807</v>
      </c>
      <c r="T12" s="3">
        <v>2.64679679540081E-2</v>
      </c>
      <c r="U12" s="3">
        <v>-186.03614616698599</v>
      </c>
      <c r="V12" s="3">
        <v>0</v>
      </c>
      <c r="W12" s="3">
        <v>100</v>
      </c>
      <c r="X12" s="3">
        <v>48.6466334602164</v>
      </c>
      <c r="Y12" s="3">
        <v>129.30280914065699</v>
      </c>
      <c r="Z12" s="3">
        <v>55.1954912753624</v>
      </c>
      <c r="AA12" s="3">
        <v>2.6062216154924802</v>
      </c>
      <c r="AB12" s="3">
        <v>771.394646733586</v>
      </c>
      <c r="AC12" s="3">
        <v>79.753647538474496</v>
      </c>
      <c r="AD12" s="3">
        <v>0</v>
      </c>
      <c r="AE12" s="3">
        <v>171.86805111117599</v>
      </c>
      <c r="AF12" s="3">
        <v>111.958665939696</v>
      </c>
      <c r="AG12" s="3">
        <v>25.509406906328</v>
      </c>
      <c r="AH12" s="3">
        <v>-106.862025066144</v>
      </c>
      <c r="AI12" s="3">
        <v>1158048.1000000001</v>
      </c>
      <c r="AJ12" s="4">
        <v>8.7999999999999998E-5</v>
      </c>
      <c r="AK12" s="3">
        <v>9</v>
      </c>
      <c r="AL12" s="3">
        <f t="shared" si="0"/>
        <v>6.7082043197177485E-3</v>
      </c>
      <c r="AM12" s="4">
        <f t="shared" si="1"/>
        <v>0.44952673517562663</v>
      </c>
      <c r="AN12" s="4">
        <f t="shared" si="2"/>
        <v>6.7089577413271271E-3</v>
      </c>
    </row>
    <row r="13" spans="1:40" x14ac:dyDescent="0.25">
      <c r="A13">
        <v>12</v>
      </c>
      <c r="B13" s="3">
        <v>150</v>
      </c>
      <c r="C13" s="3">
        <v>-150</v>
      </c>
      <c r="D13" s="3">
        <v>1.4011899431400699E-2</v>
      </c>
      <c r="E13" s="3">
        <v>0.49483061008781498</v>
      </c>
      <c r="F13" s="3">
        <v>0.48081871065641402</v>
      </c>
      <c r="G13" s="3">
        <v>4.8585020112481198E-2</v>
      </c>
      <c r="H13" s="3">
        <v>7.0348562869350598E-3</v>
      </c>
      <c r="I13" s="3">
        <v>4.8585020112481198E-2</v>
      </c>
      <c r="J13" s="3">
        <v>0.389982239892395</v>
      </c>
      <c r="K13" s="3">
        <v>6.4347368352182799E-4</v>
      </c>
      <c r="L13" s="3">
        <v>46.245221253371199</v>
      </c>
      <c r="M13" s="3">
        <v>0</v>
      </c>
      <c r="N13" s="3">
        <v>53.754778746628801</v>
      </c>
      <c r="O13" s="3">
        <v>51.6517079900064</v>
      </c>
      <c r="P13" s="3">
        <v>33.645855523879</v>
      </c>
      <c r="Q13" s="3">
        <v>14.702436486114699</v>
      </c>
      <c r="R13" s="3">
        <v>0</v>
      </c>
      <c r="S13" s="3">
        <v>33.645855523879</v>
      </c>
      <c r="T13" s="3">
        <v>0.186571316806347</v>
      </c>
      <c r="U13" s="3">
        <v>-160.11096525009199</v>
      </c>
      <c r="V13" s="3">
        <v>0</v>
      </c>
      <c r="W13" s="3">
        <v>100</v>
      </c>
      <c r="X13" s="3">
        <v>57.741150102339901</v>
      </c>
      <c r="Y13" s="3">
        <v>116.886829500019</v>
      </c>
      <c r="Z13" s="3">
        <v>55.094196456430097</v>
      </c>
      <c r="AA13" s="3">
        <v>2.743851515757</v>
      </c>
      <c r="AB13" s="3">
        <v>740.64837394070105</v>
      </c>
      <c r="AC13" s="3">
        <v>21.347281791713201</v>
      </c>
      <c r="AD13" s="3">
        <v>0</v>
      </c>
      <c r="AE13" s="3">
        <v>173.01221755506299</v>
      </c>
      <c r="AF13" s="3">
        <v>112.01504481361199</v>
      </c>
      <c r="AG13" s="3">
        <v>25.3650229063342</v>
      </c>
      <c r="AH13" s="3">
        <v>-99.439555009017994</v>
      </c>
      <c r="AI13" s="3">
        <v>6808924.5</v>
      </c>
      <c r="AJ13" s="3">
        <v>7.9337144618607004E-4</v>
      </c>
      <c r="AK13" s="3">
        <v>56</v>
      </c>
      <c r="AL13" s="3">
        <f t="shared" si="0"/>
        <v>2.831655751634702E-2</v>
      </c>
      <c r="AM13" s="4">
        <f t="shared" si="1"/>
        <v>0.49418713640429313</v>
      </c>
      <c r="AN13" s="4">
        <f t="shared" si="2"/>
        <v>2.835342808263144E-2</v>
      </c>
    </row>
    <row r="14" spans="1:40" x14ac:dyDescent="0.25">
      <c r="A14">
        <v>13</v>
      </c>
      <c r="B14" s="3">
        <v>150</v>
      </c>
      <c r="C14" s="3">
        <v>-125</v>
      </c>
      <c r="D14" s="3">
        <v>0.35037417787806702</v>
      </c>
      <c r="E14" s="3">
        <v>0.51629125531676801</v>
      </c>
      <c r="F14" s="3">
        <v>0.16591707743870099</v>
      </c>
      <c r="G14" s="3">
        <v>4.8323393376962301E-2</v>
      </c>
      <c r="H14" s="3">
        <v>1.0485796320760601E-2</v>
      </c>
      <c r="I14" s="3">
        <v>4.8323393376962301E-2</v>
      </c>
      <c r="J14" s="3">
        <v>0.405996419293019</v>
      </c>
      <c r="K14" s="3">
        <v>3.1622529490638799E-3</v>
      </c>
      <c r="L14" s="3">
        <v>69.897877135231099</v>
      </c>
      <c r="M14" s="3">
        <v>0.66289910022544196</v>
      </c>
      <c r="N14" s="3">
        <v>29.439223764543399</v>
      </c>
      <c r="O14" s="3">
        <v>38.216127598591697</v>
      </c>
      <c r="P14" s="3">
        <v>37.411662969834097</v>
      </c>
      <c r="Q14" s="3">
        <v>24.372209431574198</v>
      </c>
      <c r="R14" s="3">
        <v>0</v>
      </c>
      <c r="S14" s="3">
        <v>37.411662969834097</v>
      </c>
      <c r="T14" s="3">
        <v>0.368590236933729</v>
      </c>
      <c r="U14" s="3">
        <v>-133.44991956317801</v>
      </c>
      <c r="V14" s="3">
        <v>0</v>
      </c>
      <c r="W14" s="3">
        <v>100</v>
      </c>
      <c r="X14" s="3">
        <v>51.374661584888301</v>
      </c>
      <c r="Y14" s="3">
        <v>115.794912570253</v>
      </c>
      <c r="Z14" s="3">
        <v>54.515062057575797</v>
      </c>
      <c r="AA14" s="3">
        <v>3.07293876931125</v>
      </c>
      <c r="AB14" s="3">
        <v>761.16819877731803</v>
      </c>
      <c r="AC14" s="3">
        <v>8.3101131079493999</v>
      </c>
      <c r="AD14" s="3">
        <v>0</v>
      </c>
      <c r="AE14" s="3">
        <v>173.00087146882399</v>
      </c>
      <c r="AF14" s="3">
        <v>111.997955975756</v>
      </c>
      <c r="AG14" s="3">
        <v>25.2777879225346</v>
      </c>
      <c r="AH14" s="3">
        <v>-60.634587742803397</v>
      </c>
      <c r="AI14" s="3">
        <v>70532001</v>
      </c>
      <c r="AJ14" s="3">
        <v>5.4546957042708601E-2</v>
      </c>
      <c r="AK14" s="3">
        <v>424</v>
      </c>
      <c r="AL14" s="3">
        <f t="shared" si="0"/>
        <v>0.67863666926354704</v>
      </c>
      <c r="AM14" s="4">
        <f t="shared" si="1"/>
        <v>0.51312900236770409</v>
      </c>
      <c r="AN14" s="4">
        <f t="shared" si="2"/>
        <v>0.68281889400395213</v>
      </c>
    </row>
    <row r="15" spans="1:40" x14ac:dyDescent="0.25">
      <c r="A15">
        <v>14</v>
      </c>
      <c r="B15" s="3">
        <v>150</v>
      </c>
      <c r="C15" s="3">
        <v>-100</v>
      </c>
      <c r="D15" s="3">
        <v>0.71376871313629697</v>
      </c>
      <c r="E15" s="3">
        <v>0.55585861026251004</v>
      </c>
      <c r="F15" s="3">
        <v>-0.15791010287378701</v>
      </c>
      <c r="G15" s="3">
        <v>4.8312030645874499E-2</v>
      </c>
      <c r="H15" s="3">
        <v>9.6760258073164997E-3</v>
      </c>
      <c r="I15" s="3">
        <v>4.8312030645874499E-2</v>
      </c>
      <c r="J15" s="3">
        <v>0.441230312033214</v>
      </c>
      <c r="K15" s="3">
        <v>8.3282111302304396E-3</v>
      </c>
      <c r="L15" s="3">
        <v>65.766596402811601</v>
      </c>
      <c r="M15" s="3">
        <v>1.33825016870159</v>
      </c>
      <c r="N15" s="3">
        <v>32.8951534284869</v>
      </c>
      <c r="O15" s="3">
        <v>31.713459239175901</v>
      </c>
      <c r="P15" s="3">
        <v>47.899341252539998</v>
      </c>
      <c r="Q15" s="3">
        <v>20.387199508283999</v>
      </c>
      <c r="R15" s="3">
        <v>0</v>
      </c>
      <c r="S15" s="3">
        <v>47.899341252539998</v>
      </c>
      <c r="T15" s="3">
        <v>0.36153481687246802</v>
      </c>
      <c r="U15" s="3">
        <v>-108.753633329943</v>
      </c>
      <c r="V15" s="3">
        <v>2.47741933424778E-2</v>
      </c>
      <c r="W15" s="3">
        <v>99.850998832568607</v>
      </c>
      <c r="X15" s="3">
        <v>46.577556001674502</v>
      </c>
      <c r="Y15" s="3">
        <v>116.056006127031</v>
      </c>
      <c r="Z15" s="3">
        <v>54.4831442003699</v>
      </c>
      <c r="AA15" s="3">
        <v>3.2520953952006302</v>
      </c>
      <c r="AB15" s="3">
        <v>770.58928828171202</v>
      </c>
      <c r="AC15" s="3">
        <v>9.7707823356016892</v>
      </c>
      <c r="AD15" s="3">
        <v>0</v>
      </c>
      <c r="AE15" s="3">
        <v>172.135014310278</v>
      </c>
      <c r="AF15" s="3">
        <v>111.953747465798</v>
      </c>
      <c r="AG15" s="3">
        <v>25.266862876201898</v>
      </c>
      <c r="AH15" s="3">
        <v>-37.544938745641403</v>
      </c>
      <c r="AI15" s="3">
        <v>731421249.10000002</v>
      </c>
      <c r="AJ15" s="3">
        <v>6.4145393123455102E-2</v>
      </c>
      <c r="AK15" s="3">
        <v>2032</v>
      </c>
      <c r="AL15" s="3">
        <f t="shared" si="0"/>
        <v>1.2840832182112143</v>
      </c>
      <c r="AM15" s="4">
        <f t="shared" si="1"/>
        <v>0.54753039913227963</v>
      </c>
      <c r="AN15" s="4">
        <f t="shared" si="2"/>
        <v>1.3036147659882813</v>
      </c>
    </row>
    <row r="16" spans="1:40" x14ac:dyDescent="0.25">
      <c r="A16">
        <v>15</v>
      </c>
      <c r="B16" s="3">
        <v>150</v>
      </c>
      <c r="C16" s="3">
        <v>-75</v>
      </c>
      <c r="D16" s="3">
        <v>0.74363181723453298</v>
      </c>
      <c r="E16" s="3">
        <v>0.60733368703151802</v>
      </c>
      <c r="F16" s="3">
        <v>-0.13629813020301401</v>
      </c>
      <c r="G16" s="3">
        <v>4.8159461999574701E-2</v>
      </c>
      <c r="H16" s="3">
        <v>1.0876871701301E-2</v>
      </c>
      <c r="I16" s="3">
        <v>4.8159461999574701E-2</v>
      </c>
      <c r="J16" s="3">
        <v>0.483060846535876</v>
      </c>
      <c r="K16" s="3">
        <v>1.7077044795191301E-2</v>
      </c>
      <c r="L16" s="3">
        <v>41.437734737139003</v>
      </c>
      <c r="M16" s="3">
        <v>3.3278236258922198</v>
      </c>
      <c r="N16" s="3">
        <v>55.234441636968803</v>
      </c>
      <c r="O16" s="3">
        <v>34.572157702928202</v>
      </c>
      <c r="P16" s="3">
        <v>45.604409935071999</v>
      </c>
      <c r="Q16" s="3">
        <v>19.823432361999799</v>
      </c>
      <c r="R16" s="3">
        <v>0</v>
      </c>
      <c r="S16" s="3">
        <v>45.604409935071999</v>
      </c>
      <c r="T16" s="3">
        <v>0.412806127398817</v>
      </c>
      <c r="U16" s="3">
        <v>-84.197318220663405</v>
      </c>
      <c r="V16" s="3">
        <v>0.76758663734605204</v>
      </c>
      <c r="W16" s="3">
        <v>99.934946028726202</v>
      </c>
      <c r="X16" s="3">
        <v>46.3666586460091</v>
      </c>
      <c r="Y16" s="3">
        <v>116.626708220068</v>
      </c>
      <c r="Z16" s="3">
        <v>54.126577897129401</v>
      </c>
      <c r="AA16" s="3">
        <v>3.3467199975127602</v>
      </c>
      <c r="AB16" s="3">
        <v>771.37683899306501</v>
      </c>
      <c r="AC16" s="3">
        <v>7.8834644809988301</v>
      </c>
      <c r="AD16" s="3">
        <v>0</v>
      </c>
      <c r="AE16" s="3">
        <v>171.870815478282</v>
      </c>
      <c r="AF16" s="3">
        <v>111.963237351462</v>
      </c>
      <c r="AG16" s="3">
        <v>25.986938191055501</v>
      </c>
      <c r="AH16" s="3">
        <v>-28.005481032138899</v>
      </c>
      <c r="AI16" s="3">
        <v>4734935979.6000004</v>
      </c>
      <c r="AJ16" s="3">
        <v>7.0698471397528495E-2</v>
      </c>
      <c r="AK16" s="3">
        <v>5846</v>
      </c>
      <c r="AL16" s="3">
        <f t="shared" si="0"/>
        <v>1.2244205008110174</v>
      </c>
      <c r="AM16" s="4">
        <f t="shared" si="1"/>
        <v>0.59025664223632668</v>
      </c>
      <c r="AN16" s="4">
        <f t="shared" si="2"/>
        <v>1.2598448946158542</v>
      </c>
    </row>
    <row r="17" spans="1:40" x14ac:dyDescent="0.25">
      <c r="A17">
        <v>16</v>
      </c>
      <c r="B17" s="3">
        <v>150</v>
      </c>
      <c r="C17" s="3">
        <v>-50</v>
      </c>
      <c r="D17" s="3">
        <v>0.69681138195660197</v>
      </c>
      <c r="E17" s="3">
        <v>0.68467742111561902</v>
      </c>
      <c r="F17" s="3">
        <v>-1.2133960840982699E-2</v>
      </c>
      <c r="G17" s="3">
        <v>4.83628969264569E-2</v>
      </c>
      <c r="H17" s="3">
        <v>1.1897032527530001E-2</v>
      </c>
      <c r="I17" s="3">
        <v>4.83628969264569E-2</v>
      </c>
      <c r="J17" s="3">
        <v>0.54745112249461303</v>
      </c>
      <c r="K17" s="3">
        <v>2.8603472240562301E-2</v>
      </c>
      <c r="L17" s="3">
        <v>18.440368687485801</v>
      </c>
      <c r="M17" s="3">
        <v>5.0943298925529996</v>
      </c>
      <c r="N17" s="3">
        <v>76.465301419961193</v>
      </c>
      <c r="O17" s="3">
        <v>35.0946832471679</v>
      </c>
      <c r="P17" s="3">
        <v>44.003311004257803</v>
      </c>
      <c r="Q17" s="3">
        <v>20.9020057485743</v>
      </c>
      <c r="R17" s="3">
        <v>0</v>
      </c>
      <c r="S17" s="3">
        <v>44.003311004257803</v>
      </c>
      <c r="T17" s="3">
        <v>0.45540641428786699</v>
      </c>
      <c r="U17" s="3">
        <v>-60.127089348989301</v>
      </c>
      <c r="V17" s="3">
        <v>39.434236918698801</v>
      </c>
      <c r="W17" s="3">
        <v>99.962803509938993</v>
      </c>
      <c r="X17" s="3">
        <v>45.793067435976901</v>
      </c>
      <c r="Y17" s="3">
        <v>116.91968312745</v>
      </c>
      <c r="Z17" s="3">
        <v>54.582529595901697</v>
      </c>
      <c r="AA17" s="3">
        <v>3.4358833003244298</v>
      </c>
      <c r="AB17" s="3">
        <v>770.73962104159602</v>
      </c>
      <c r="AC17" s="3">
        <v>7.4796759656448897</v>
      </c>
      <c r="AD17" s="3">
        <v>0</v>
      </c>
      <c r="AE17" s="3">
        <v>172.15594309893501</v>
      </c>
      <c r="AF17" s="3">
        <v>112.02548921518201</v>
      </c>
      <c r="AG17" s="3">
        <v>26.824447736100598</v>
      </c>
      <c r="AH17" s="3">
        <v>-22.082344076666601</v>
      </c>
      <c r="AI17" s="3">
        <v>23474302159.900002</v>
      </c>
      <c r="AJ17" s="3">
        <v>7.3236694493439503E-2</v>
      </c>
      <c r="AK17" s="3">
        <v>16353</v>
      </c>
      <c r="AL17" s="3">
        <f t="shared" si="0"/>
        <v>1.0177221571308892</v>
      </c>
      <c r="AM17" s="4">
        <f t="shared" si="1"/>
        <v>0.65607394887505677</v>
      </c>
      <c r="AN17" s="4">
        <f t="shared" si="2"/>
        <v>1.0620927460256515</v>
      </c>
    </row>
    <row r="18" spans="1:40" x14ac:dyDescent="0.25">
      <c r="A18">
        <v>17</v>
      </c>
      <c r="B18" s="3">
        <v>150</v>
      </c>
      <c r="C18" s="3">
        <v>-25</v>
      </c>
      <c r="D18" s="3">
        <v>0.78391795670064501</v>
      </c>
      <c r="E18" s="3">
        <v>0.79004467582764104</v>
      </c>
      <c r="F18" s="3">
        <v>6.12671912699641E-3</v>
      </c>
      <c r="G18" s="3">
        <v>4.8766924029624403E-2</v>
      </c>
      <c r="H18" s="3">
        <v>1.250086823555E-2</v>
      </c>
      <c r="I18" s="3">
        <v>4.8766924029624403E-2</v>
      </c>
      <c r="J18" s="3">
        <v>0.63294207066758601</v>
      </c>
      <c r="K18" s="3">
        <v>4.7067888865256202E-2</v>
      </c>
      <c r="L18" s="3">
        <v>11.6648481802043</v>
      </c>
      <c r="M18" s="3">
        <v>5.5920946075474802</v>
      </c>
      <c r="N18" s="3">
        <v>82.743057212248303</v>
      </c>
      <c r="O18" s="3">
        <v>32.7615088612257</v>
      </c>
      <c r="P18" s="3">
        <v>45.772348155242099</v>
      </c>
      <c r="Q18" s="3">
        <v>21.466142983532201</v>
      </c>
      <c r="R18" s="3">
        <v>0</v>
      </c>
      <c r="S18" s="3">
        <v>45.772348155242099</v>
      </c>
      <c r="T18" s="3">
        <v>0.47913078443106799</v>
      </c>
      <c r="U18" s="3">
        <v>-36.446221315988097</v>
      </c>
      <c r="V18" s="3">
        <v>171.871412975868</v>
      </c>
      <c r="W18" s="3">
        <v>99.953429424805293</v>
      </c>
      <c r="X18" s="3">
        <v>45.188287646918603</v>
      </c>
      <c r="Y18" s="3">
        <v>116.825983934901</v>
      </c>
      <c r="Z18" s="3">
        <v>55.499201478865402</v>
      </c>
      <c r="AA18" s="3">
        <v>3.5730702445146698</v>
      </c>
      <c r="AB18" s="3">
        <v>767.74927412951195</v>
      </c>
      <c r="AC18" s="3">
        <v>11.515645648920501</v>
      </c>
      <c r="AD18" s="3">
        <v>0</v>
      </c>
      <c r="AE18" s="3">
        <v>172.80645561047501</v>
      </c>
      <c r="AF18" s="3">
        <v>112.174652423713</v>
      </c>
      <c r="AG18" s="3">
        <v>29.348992363849199</v>
      </c>
      <c r="AH18" s="3">
        <v>-13.8766695837274</v>
      </c>
      <c r="AI18" s="3">
        <v>53937995797.300003</v>
      </c>
      <c r="AJ18" s="3">
        <v>7.6671943448201496E-2</v>
      </c>
      <c r="AK18" s="3">
        <v>36146</v>
      </c>
      <c r="AL18" s="3">
        <f t="shared" si="0"/>
        <v>0.99224509788566351</v>
      </c>
      <c r="AM18" s="4">
        <f t="shared" si="1"/>
        <v>0.74297678696238489</v>
      </c>
      <c r="AN18" s="4">
        <f t="shared" si="2"/>
        <v>1.0551042380551963</v>
      </c>
    </row>
    <row r="19" spans="1:40" x14ac:dyDescent="0.25">
      <c r="A19">
        <v>18</v>
      </c>
      <c r="B19" s="3">
        <v>150</v>
      </c>
      <c r="C19" s="3">
        <v>0</v>
      </c>
      <c r="D19" s="3">
        <v>0.86356101428058196</v>
      </c>
      <c r="E19" s="3">
        <v>0.84756375478865098</v>
      </c>
      <c r="F19" s="3">
        <v>-1.5997259491930999E-2</v>
      </c>
      <c r="G19" s="3">
        <v>4.9582621902595103E-2</v>
      </c>
      <c r="H19" s="3">
        <v>1.5224202316597E-2</v>
      </c>
      <c r="I19" s="3">
        <v>4.9582621902595103E-2</v>
      </c>
      <c r="J19" s="3">
        <v>0.65296793497050098</v>
      </c>
      <c r="K19" s="3">
        <v>8.0206373696363104E-2</v>
      </c>
      <c r="L19" s="3">
        <v>10.1972072401575</v>
      </c>
      <c r="M19" s="3">
        <v>5.4071835171754197</v>
      </c>
      <c r="N19" s="3">
        <v>84.395609242667106</v>
      </c>
      <c r="O19" s="3">
        <v>28.910715000072301</v>
      </c>
      <c r="P19" s="3">
        <v>49.089295490720403</v>
      </c>
      <c r="Q19" s="3">
        <v>21.9999895092073</v>
      </c>
      <c r="R19" s="3">
        <v>0</v>
      </c>
      <c r="S19" s="3">
        <v>49.089295490720403</v>
      </c>
      <c r="T19" s="3">
        <v>0.56737673620283402</v>
      </c>
      <c r="U19" s="3">
        <v>-12.356503194380901</v>
      </c>
      <c r="V19" s="3">
        <v>587.65131550649903</v>
      </c>
      <c r="W19" s="3">
        <v>99.9212977241896</v>
      </c>
      <c r="X19" s="3">
        <v>45.020719940601403</v>
      </c>
      <c r="Y19" s="3">
        <v>116.45020484824001</v>
      </c>
      <c r="Z19" s="3">
        <v>57.382517279721398</v>
      </c>
      <c r="AA19" s="3">
        <v>3.7794444205474602</v>
      </c>
      <c r="AB19" s="3">
        <v>764.24239043899695</v>
      </c>
      <c r="AC19" s="3">
        <v>16.5859758941865</v>
      </c>
      <c r="AD19" s="3">
        <v>0</v>
      </c>
      <c r="AE19" s="3">
        <v>171.28134257186599</v>
      </c>
      <c r="AF19" s="3">
        <v>112.07413651488</v>
      </c>
      <c r="AG19" s="3">
        <v>31.107588501896899</v>
      </c>
      <c r="AH19" s="3">
        <v>-7.3996050338241197</v>
      </c>
      <c r="AI19" s="3">
        <v>75485525496.5</v>
      </c>
      <c r="AJ19" s="3">
        <v>8.0039515535107394E-2</v>
      </c>
      <c r="AK19" s="3">
        <v>63968</v>
      </c>
      <c r="AL19" s="3">
        <f t="shared" si="0"/>
        <v>1.0188744025467678</v>
      </c>
      <c r="AM19" s="4">
        <f t="shared" si="1"/>
        <v>0.7673573810922879</v>
      </c>
      <c r="AN19" s="4">
        <f t="shared" si="2"/>
        <v>1.1253700499386008</v>
      </c>
    </row>
    <row r="20" spans="1:40" x14ac:dyDescent="0.25">
      <c r="A20">
        <v>19</v>
      </c>
      <c r="B20" s="3">
        <v>175</v>
      </c>
      <c r="C20" s="3">
        <v>-175</v>
      </c>
      <c r="D20" s="3">
        <v>0</v>
      </c>
      <c r="E20" s="3">
        <v>0.45165785065955399</v>
      </c>
      <c r="F20" s="3">
        <v>0.45165785065955399</v>
      </c>
      <c r="G20" s="3">
        <v>4.8567768974877801E-2</v>
      </c>
      <c r="H20" s="3">
        <v>3.2702461795712698E-3</v>
      </c>
      <c r="I20" s="3">
        <v>4.8567768974877801E-2</v>
      </c>
      <c r="J20" s="3">
        <v>0.35107471288011999</v>
      </c>
      <c r="K20" s="3">
        <v>1.7735365010737599E-4</v>
      </c>
      <c r="L20" s="3">
        <v>48.979135589346797</v>
      </c>
      <c r="M20" s="3">
        <v>0</v>
      </c>
      <c r="N20" s="3">
        <v>51.020864410653203</v>
      </c>
      <c r="O20" s="3">
        <v>51.020864410653203</v>
      </c>
      <c r="P20" s="3">
        <v>48.979135589346797</v>
      </c>
      <c r="Q20" s="3">
        <v>0</v>
      </c>
      <c r="R20" s="3">
        <v>0</v>
      </c>
      <c r="S20" s="3">
        <v>48.979135589346797</v>
      </c>
      <c r="T20" s="3">
        <v>0</v>
      </c>
      <c r="U20" s="3">
        <v>-177.66122950851701</v>
      </c>
      <c r="V20" s="3">
        <v>0</v>
      </c>
      <c r="W20" s="3">
        <v>100</v>
      </c>
      <c r="X20" s="3">
        <v>54.934821170572199</v>
      </c>
      <c r="Y20" s="3">
        <v>140.70818927140701</v>
      </c>
      <c r="Z20" s="3">
        <v>54.979582711786897</v>
      </c>
      <c r="AA20" s="3">
        <v>2.7489791355893498</v>
      </c>
      <c r="AB20" s="3">
        <v>725.26475406310999</v>
      </c>
      <c r="AC20" s="3">
        <v>0</v>
      </c>
      <c r="AD20" s="3">
        <v>0</v>
      </c>
      <c r="AE20" s="3">
        <v>179.2</v>
      </c>
      <c r="AF20" s="3">
        <v>112.2</v>
      </c>
      <c r="AG20" s="3">
        <v>20.9</v>
      </c>
      <c r="AH20" s="3">
        <v>-139.822816714986</v>
      </c>
      <c r="AI20" s="3">
        <v>281354.7</v>
      </c>
      <c r="AJ20" s="3">
        <v>0</v>
      </c>
      <c r="AK20" s="3">
        <v>2</v>
      </c>
      <c r="AL20" s="3">
        <f t="shared" si="0"/>
        <v>0</v>
      </c>
      <c r="AM20" s="4">
        <f t="shared" si="1"/>
        <v>0.45148049700944659</v>
      </c>
      <c r="AN20" s="4">
        <f t="shared" si="2"/>
        <v>0</v>
      </c>
    </row>
    <row r="21" spans="1:40" x14ac:dyDescent="0.25">
      <c r="A21">
        <v>20</v>
      </c>
      <c r="B21" s="3">
        <v>175</v>
      </c>
      <c r="C21" s="3">
        <v>-150</v>
      </c>
      <c r="D21" s="3">
        <v>2.59566697283704E-2</v>
      </c>
      <c r="E21" s="3">
        <v>0.460021184583571</v>
      </c>
      <c r="F21" s="3">
        <v>0.43406451485520098</v>
      </c>
      <c r="G21" s="3">
        <v>4.7934321340072701E-2</v>
      </c>
      <c r="H21" s="3">
        <v>7.44715668120684E-3</v>
      </c>
      <c r="I21" s="3">
        <v>4.7934321340072701E-2</v>
      </c>
      <c r="J21" s="3">
        <v>0.355575964905393</v>
      </c>
      <c r="K21" s="3">
        <v>1.12942031682574E-3</v>
      </c>
      <c r="L21" s="3">
        <v>30.6106979569883</v>
      </c>
      <c r="M21" s="3">
        <v>0</v>
      </c>
      <c r="N21" s="3">
        <v>69.389302043011696</v>
      </c>
      <c r="O21" s="3">
        <v>72.238820254136797</v>
      </c>
      <c r="P21" s="3">
        <v>8.9600223335973794</v>
      </c>
      <c r="Q21" s="3">
        <v>18.801157412265901</v>
      </c>
      <c r="R21" s="3">
        <v>0</v>
      </c>
      <c r="S21" s="3">
        <v>8.9600223335973794</v>
      </c>
      <c r="T21" s="3">
        <v>0.18251793655925999</v>
      </c>
      <c r="U21" s="3">
        <v>-158.94860082406601</v>
      </c>
      <c r="V21" s="3">
        <v>0</v>
      </c>
      <c r="W21" s="3">
        <v>100</v>
      </c>
      <c r="X21" s="3">
        <v>62.286342111046302</v>
      </c>
      <c r="Y21" s="3">
        <v>144.36661463770801</v>
      </c>
      <c r="Z21" s="3">
        <v>53.616387664459701</v>
      </c>
      <c r="AA21" s="3">
        <v>2.74709194722608</v>
      </c>
      <c r="AB21" s="3">
        <v>730.93115818480999</v>
      </c>
      <c r="AC21" s="3">
        <v>0</v>
      </c>
      <c r="AD21" s="3">
        <v>0</v>
      </c>
      <c r="AE21" s="3">
        <v>174.68971241524301</v>
      </c>
      <c r="AF21" s="3">
        <v>112.126250969292</v>
      </c>
      <c r="AG21" s="3">
        <v>24.650110094639299</v>
      </c>
      <c r="AH21" s="3">
        <v>-111.844393864116</v>
      </c>
      <c r="AI21" s="3">
        <v>3149335.9</v>
      </c>
      <c r="AJ21" s="3">
        <v>1.6164865332322499E-3</v>
      </c>
      <c r="AK21" s="3">
        <v>22</v>
      </c>
      <c r="AL21" s="3">
        <f t="shared" si="0"/>
        <v>5.6424944324830133E-2</v>
      </c>
      <c r="AM21" s="4">
        <f t="shared" si="1"/>
        <v>0.45889176426674527</v>
      </c>
      <c r="AN21" s="4">
        <f t="shared" si="2"/>
        <v>5.6563816894482921E-2</v>
      </c>
    </row>
    <row r="22" spans="1:40" x14ac:dyDescent="0.25">
      <c r="A22">
        <v>21</v>
      </c>
      <c r="B22" s="3">
        <v>175</v>
      </c>
      <c r="C22" s="3">
        <v>-125</v>
      </c>
      <c r="D22" s="3">
        <v>0.45182697437541902</v>
      </c>
      <c r="E22" s="3">
        <v>0.48077306214642901</v>
      </c>
      <c r="F22" s="3">
        <v>2.8946087771010799E-2</v>
      </c>
      <c r="G22" s="3">
        <v>4.8351167836982401E-2</v>
      </c>
      <c r="H22" s="3">
        <v>8.5568914610602807E-3</v>
      </c>
      <c r="I22" s="3">
        <v>4.8351167836982401E-2</v>
      </c>
      <c r="J22" s="3">
        <v>0.37127457435443501</v>
      </c>
      <c r="K22" s="3">
        <v>4.2392606569689904E-3</v>
      </c>
      <c r="L22" s="3">
        <v>69.846575803443102</v>
      </c>
      <c r="M22" s="3">
        <v>0</v>
      </c>
      <c r="N22" s="3">
        <v>30.153424196556902</v>
      </c>
      <c r="O22" s="3">
        <v>38.240059512625699</v>
      </c>
      <c r="P22" s="3">
        <v>41.542447593804802</v>
      </c>
      <c r="Q22" s="3">
        <v>20.217492893569499</v>
      </c>
      <c r="R22" s="3">
        <v>0</v>
      </c>
      <c r="S22" s="3">
        <v>41.542447593804802</v>
      </c>
      <c r="T22" s="3">
        <v>0.29671783005007601</v>
      </c>
      <c r="U22" s="3">
        <v>-133.883733438495</v>
      </c>
      <c r="V22" s="3">
        <v>0</v>
      </c>
      <c r="W22" s="3">
        <v>100</v>
      </c>
      <c r="X22" s="3">
        <v>48.416406393874198</v>
      </c>
      <c r="Y22" s="3">
        <v>144.22877278352601</v>
      </c>
      <c r="Z22" s="3">
        <v>54.577546132023002</v>
      </c>
      <c r="AA22" s="3">
        <v>3.0588141616299702</v>
      </c>
      <c r="AB22" s="3">
        <v>761.29183912032204</v>
      </c>
      <c r="AC22" s="3">
        <v>10.8818916373137</v>
      </c>
      <c r="AD22" s="3">
        <v>0</v>
      </c>
      <c r="AE22" s="3">
        <v>173.02703334146</v>
      </c>
      <c r="AF22" s="3">
        <v>112.00210198195499</v>
      </c>
      <c r="AG22" s="3">
        <v>25.3769187736854</v>
      </c>
      <c r="AH22" s="3">
        <v>-63.713750820979897</v>
      </c>
      <c r="AI22" s="3">
        <v>38724152.600000001</v>
      </c>
      <c r="AJ22" s="3">
        <v>6.64616289985209E-2</v>
      </c>
      <c r="AK22" s="3">
        <v>227</v>
      </c>
      <c r="AL22" s="3">
        <f t="shared" si="0"/>
        <v>0.93979261724486163</v>
      </c>
      <c r="AM22" s="4">
        <f t="shared" si="1"/>
        <v>0.47653380148946001</v>
      </c>
      <c r="AN22" s="4">
        <f t="shared" si="2"/>
        <v>0.94815304384113563</v>
      </c>
    </row>
    <row r="23" spans="1:40" x14ac:dyDescent="0.25">
      <c r="A23">
        <v>22</v>
      </c>
      <c r="B23" s="3">
        <v>175</v>
      </c>
      <c r="C23" s="3">
        <v>-100</v>
      </c>
      <c r="D23" s="3">
        <v>0.55552322521742603</v>
      </c>
      <c r="E23" s="3">
        <v>0.52126422451976995</v>
      </c>
      <c r="F23" s="3">
        <v>-3.4259000697655501E-2</v>
      </c>
      <c r="G23" s="3">
        <v>4.82700513509133E-2</v>
      </c>
      <c r="H23" s="3">
        <v>8.3288565171176897E-3</v>
      </c>
      <c r="I23" s="3">
        <v>4.82700513509133E-2</v>
      </c>
      <c r="J23" s="3">
        <v>0.40545231580827501</v>
      </c>
      <c r="K23" s="3">
        <v>1.09429494925509E-2</v>
      </c>
      <c r="L23" s="3">
        <v>64.483020693846498</v>
      </c>
      <c r="M23" s="3">
        <v>0.99895046095241802</v>
      </c>
      <c r="N23" s="3">
        <v>34.518028845201101</v>
      </c>
      <c r="O23" s="3">
        <v>29.504838727619301</v>
      </c>
      <c r="P23" s="3">
        <v>50.249553414148203</v>
      </c>
      <c r="Q23" s="3">
        <v>20.2456078582324</v>
      </c>
      <c r="R23" s="3">
        <v>0</v>
      </c>
      <c r="S23" s="3">
        <v>50.249553414148203</v>
      </c>
      <c r="T23" s="3">
        <v>0.30983761664139198</v>
      </c>
      <c r="U23" s="3">
        <v>-108.67345474702699</v>
      </c>
      <c r="V23" s="3">
        <v>6.5081209616206399E-3</v>
      </c>
      <c r="W23" s="3">
        <v>100</v>
      </c>
      <c r="X23" s="3">
        <v>45.095290456265197</v>
      </c>
      <c r="Y23" s="3">
        <v>144.608423954139</v>
      </c>
      <c r="Z23" s="3">
        <v>54.388984547619202</v>
      </c>
      <c r="AA23" s="3">
        <v>3.2503326431551098</v>
      </c>
      <c r="AB23" s="3">
        <v>770.35268068152698</v>
      </c>
      <c r="AC23" s="3">
        <v>8.9574481606804994</v>
      </c>
      <c r="AD23" s="3">
        <v>0</v>
      </c>
      <c r="AE23" s="3">
        <v>172.12663012117201</v>
      </c>
      <c r="AF23" s="3">
        <v>111.949079575517</v>
      </c>
      <c r="AG23" s="3">
        <v>25.135660425512</v>
      </c>
      <c r="AH23" s="3">
        <v>-37.751683836786498</v>
      </c>
      <c r="AI23" s="3">
        <v>424766759.30000001</v>
      </c>
      <c r="AJ23" s="3">
        <v>6.9344802879145295E-2</v>
      </c>
      <c r="AK23" s="3">
        <v>1294</v>
      </c>
      <c r="AL23" s="3">
        <f t="shared" si="0"/>
        <v>1.0657229080495947</v>
      </c>
      <c r="AM23" s="4">
        <f t="shared" si="1"/>
        <v>0.51032127502721902</v>
      </c>
      <c r="AN23" s="4">
        <f t="shared" si="2"/>
        <v>1.0885754766696647</v>
      </c>
    </row>
    <row r="24" spans="1:40" x14ac:dyDescent="0.25">
      <c r="A24">
        <v>23</v>
      </c>
      <c r="B24" s="3">
        <v>175</v>
      </c>
      <c r="C24" s="3">
        <v>-75</v>
      </c>
      <c r="D24" s="3">
        <v>0.58389240736353099</v>
      </c>
      <c r="E24" s="3">
        <v>0.57174503648028396</v>
      </c>
      <c r="F24" s="3">
        <v>-1.21473708832466E-2</v>
      </c>
      <c r="G24" s="3">
        <v>4.8117572214494198E-2</v>
      </c>
      <c r="H24" s="3">
        <v>8.6552039642488806E-3</v>
      </c>
      <c r="I24" s="3">
        <v>4.8117572214494198E-2</v>
      </c>
      <c r="J24" s="3">
        <v>0.44547120825918302</v>
      </c>
      <c r="K24" s="3">
        <v>2.13834798278634E-2</v>
      </c>
      <c r="L24" s="3">
        <v>36.8742173373602</v>
      </c>
      <c r="M24" s="3">
        <v>2.9465557061363401</v>
      </c>
      <c r="N24" s="3">
        <v>60.179226956503399</v>
      </c>
      <c r="O24" s="3">
        <v>30.170386038573401</v>
      </c>
      <c r="P24" s="3">
        <v>50.461892827685901</v>
      </c>
      <c r="Q24" s="3">
        <v>19.367721133740599</v>
      </c>
      <c r="R24" s="3">
        <v>0</v>
      </c>
      <c r="S24" s="3">
        <v>50.461892827685901</v>
      </c>
      <c r="T24" s="3">
        <v>0.32139446440105401</v>
      </c>
      <c r="U24" s="3">
        <v>-84.080065125103204</v>
      </c>
      <c r="V24" s="3">
        <v>0.557604444866863</v>
      </c>
      <c r="W24" s="3">
        <v>99.907774249126703</v>
      </c>
      <c r="X24" s="3">
        <v>46.231740673797603</v>
      </c>
      <c r="Y24" s="3">
        <v>144.690140600642</v>
      </c>
      <c r="Z24" s="3">
        <v>54.032148105238299</v>
      </c>
      <c r="AA24" s="3">
        <v>3.3337738042340601</v>
      </c>
      <c r="AB24" s="3">
        <v>770.28041042718201</v>
      </c>
      <c r="AC24" s="3">
        <v>6.0526830150739004</v>
      </c>
      <c r="AD24" s="3">
        <v>0</v>
      </c>
      <c r="AE24" s="3">
        <v>171.894687875465</v>
      </c>
      <c r="AF24" s="3">
        <v>111.955365274893</v>
      </c>
      <c r="AG24" s="3">
        <v>25.815614475140801</v>
      </c>
      <c r="AH24" s="3">
        <v>-29.442093795889001</v>
      </c>
      <c r="AI24" s="3">
        <v>3117240112.1999998</v>
      </c>
      <c r="AJ24" s="3">
        <v>5.8715392769896797E-2</v>
      </c>
      <c r="AK24" s="3">
        <v>4362</v>
      </c>
      <c r="AL24" s="3">
        <f>D24/E24</f>
        <v>1.0212461326433673</v>
      </c>
      <c r="AM24" s="4">
        <f>E24-K24</f>
        <v>0.55036155665242059</v>
      </c>
      <c r="AN24" s="4">
        <f>D24/(E24-K24)</f>
        <v>1.0609251324076161</v>
      </c>
    </row>
    <row r="25" spans="1:40" x14ac:dyDescent="0.25">
      <c r="A25">
        <v>24</v>
      </c>
      <c r="B25" s="3">
        <v>175</v>
      </c>
      <c r="C25" s="3">
        <v>-50</v>
      </c>
      <c r="D25" s="3">
        <v>0.706459051979482</v>
      </c>
      <c r="E25" s="3">
        <v>0.64770409184910804</v>
      </c>
      <c r="F25" s="3">
        <v>-5.8754960130373797E-2</v>
      </c>
      <c r="G25" s="3">
        <v>4.8337096283761198E-2</v>
      </c>
      <c r="H25" s="3">
        <v>9.7600375946156007E-3</v>
      </c>
      <c r="I25" s="3">
        <v>4.8337096283761198E-2</v>
      </c>
      <c r="J25" s="3">
        <v>0.505885475544402</v>
      </c>
      <c r="K25" s="3">
        <v>3.5384386142567698E-2</v>
      </c>
      <c r="L25" s="3">
        <v>16.0323624315151</v>
      </c>
      <c r="M25" s="3">
        <v>4.4193643732682402</v>
      </c>
      <c r="N25" s="3">
        <v>79.548273195216694</v>
      </c>
      <c r="O25" s="3">
        <v>30.304914229523</v>
      </c>
      <c r="P25" s="3">
        <v>49.186188472590501</v>
      </c>
      <c r="Q25" s="3">
        <v>20.508897297886499</v>
      </c>
      <c r="R25" s="3">
        <v>0</v>
      </c>
      <c r="S25" s="3">
        <v>49.186188472590501</v>
      </c>
      <c r="T25" s="3">
        <v>0.37020673347730898</v>
      </c>
      <c r="U25" s="3">
        <v>-60.109777251195403</v>
      </c>
      <c r="V25" s="3">
        <v>38.273862658217197</v>
      </c>
      <c r="W25" s="3">
        <v>99.947430721518003</v>
      </c>
      <c r="X25" s="3">
        <v>45.917052340003103</v>
      </c>
      <c r="Y25" s="3">
        <v>144.58518224548899</v>
      </c>
      <c r="Z25" s="3">
        <v>54.522920972909503</v>
      </c>
      <c r="AA25" s="3">
        <v>3.4241815706358798</v>
      </c>
      <c r="AB25" s="3">
        <v>771.02776761714904</v>
      </c>
      <c r="AC25" s="3">
        <v>6.0539222447816501</v>
      </c>
      <c r="AD25" s="3">
        <v>0</v>
      </c>
      <c r="AE25" s="3">
        <v>172.23767833956799</v>
      </c>
      <c r="AF25" s="3">
        <v>112.03070298256399</v>
      </c>
      <c r="AG25" s="3">
        <v>26.767031131458701</v>
      </c>
      <c r="AH25" s="3">
        <v>-23.142829940499901</v>
      </c>
      <c r="AI25" s="3">
        <v>16067322671.9</v>
      </c>
      <c r="AJ25" s="3">
        <v>6.3881024892799801E-2</v>
      </c>
      <c r="AK25" s="3">
        <v>12566</v>
      </c>
      <c r="AL25" s="3">
        <f t="shared" ref="AL25:AL45" si="3">D25/E25</f>
        <v>1.0907126585577627</v>
      </c>
      <c r="AM25" s="4">
        <f t="shared" ref="AM25:AM45" si="4">E25-K25</f>
        <v>0.61231970570654037</v>
      </c>
      <c r="AN25" s="4">
        <f t="shared" ref="AN25:AN45" si="5">D25/(E25-K25)</f>
        <v>1.1537421471097629</v>
      </c>
    </row>
    <row r="26" spans="1:40" x14ac:dyDescent="0.25">
      <c r="A26">
        <v>25</v>
      </c>
      <c r="B26" s="3">
        <v>175</v>
      </c>
      <c r="C26" s="3">
        <v>-25</v>
      </c>
      <c r="D26" s="3">
        <v>0.76609999648758498</v>
      </c>
      <c r="E26" s="3">
        <v>0.74987308951034004</v>
      </c>
      <c r="F26" s="3">
        <v>-1.6226906977244701E-2</v>
      </c>
      <c r="G26" s="3">
        <v>4.8750457210168102E-2</v>
      </c>
      <c r="H26" s="3">
        <v>1.0541613951804901E-2</v>
      </c>
      <c r="I26" s="3">
        <v>4.8750457210168102E-2</v>
      </c>
      <c r="J26" s="3">
        <v>0.58308618258160005</v>
      </c>
      <c r="K26" s="3">
        <v>5.8744378556599003E-2</v>
      </c>
      <c r="L26" s="3">
        <v>9.8306097699977197</v>
      </c>
      <c r="M26" s="3">
        <v>4.8598199219006899</v>
      </c>
      <c r="N26" s="3">
        <v>85.309570308101598</v>
      </c>
      <c r="O26" s="3">
        <v>28.794880093272301</v>
      </c>
      <c r="P26" s="3">
        <v>49.645564382829903</v>
      </c>
      <c r="Q26" s="3">
        <v>21.559555523897799</v>
      </c>
      <c r="R26" s="3">
        <v>0</v>
      </c>
      <c r="S26" s="3">
        <v>49.645564382829903</v>
      </c>
      <c r="T26" s="3">
        <v>0.39958047117286299</v>
      </c>
      <c r="U26" s="3">
        <v>-36.4536246924065</v>
      </c>
      <c r="V26" s="3">
        <v>174.78464128883101</v>
      </c>
      <c r="W26" s="3">
        <v>99.951849676374096</v>
      </c>
      <c r="X26" s="3">
        <v>45.4808475650484</v>
      </c>
      <c r="Y26" s="3">
        <v>144.59774371146801</v>
      </c>
      <c r="Z26" s="3">
        <v>55.460650851675197</v>
      </c>
      <c r="AA26" s="3">
        <v>3.5664371462277602</v>
      </c>
      <c r="AB26" s="3">
        <v>768.18349625970598</v>
      </c>
      <c r="AC26" s="3">
        <v>9.6843836227838196</v>
      </c>
      <c r="AD26" s="3">
        <v>0</v>
      </c>
      <c r="AE26" s="3">
        <v>172.84484174374401</v>
      </c>
      <c r="AF26" s="3">
        <v>112.17339848610401</v>
      </c>
      <c r="AG26" s="3">
        <v>29.2259070682158</v>
      </c>
      <c r="AH26" s="3">
        <v>-14.6169178032149</v>
      </c>
      <c r="AI26" s="3">
        <v>38072425699.599998</v>
      </c>
      <c r="AJ26" s="3">
        <v>7.8574306442267705E-2</v>
      </c>
      <c r="AK26" s="3">
        <v>27514</v>
      </c>
      <c r="AL26" s="3">
        <f t="shared" si="3"/>
        <v>1.0216395376820908</v>
      </c>
      <c r="AM26" s="4">
        <f t="shared" si="4"/>
        <v>0.69112871095374107</v>
      </c>
      <c r="AN26" s="4">
        <f t="shared" si="5"/>
        <v>1.1084765895926756</v>
      </c>
    </row>
    <row r="27" spans="1:40" x14ac:dyDescent="0.25">
      <c r="A27">
        <v>26</v>
      </c>
      <c r="B27" s="3">
        <v>175</v>
      </c>
      <c r="C27" s="3">
        <v>0</v>
      </c>
      <c r="D27" s="3">
        <v>0.83075719071396603</v>
      </c>
      <c r="E27" s="3">
        <v>0.81362950721100502</v>
      </c>
      <c r="F27" s="3">
        <v>-1.7127683502961601E-2</v>
      </c>
      <c r="G27" s="3">
        <v>4.9610069137206697E-2</v>
      </c>
      <c r="H27" s="3">
        <v>1.27583999404617E-2</v>
      </c>
      <c r="I27" s="3">
        <v>4.9610069137206697E-2</v>
      </c>
      <c r="J27" s="3">
        <v>0.60129816719695794</v>
      </c>
      <c r="K27" s="3">
        <v>0.100352801799172</v>
      </c>
      <c r="L27" s="3">
        <v>8.1137928576943601</v>
      </c>
      <c r="M27" s="3">
        <v>4.8008241503761298</v>
      </c>
      <c r="N27" s="3">
        <v>87.085382991929507</v>
      </c>
      <c r="O27" s="3">
        <v>25.232813448948399</v>
      </c>
      <c r="P27" s="3">
        <v>51.986281849834903</v>
      </c>
      <c r="Q27" s="3">
        <v>22.780904701216699</v>
      </c>
      <c r="R27" s="3">
        <v>0</v>
      </c>
      <c r="S27" s="3">
        <v>51.986281849834903</v>
      </c>
      <c r="T27" s="3">
        <v>0.46982384919265902</v>
      </c>
      <c r="U27" s="3">
        <v>-12.3776246549109</v>
      </c>
      <c r="V27" s="3">
        <v>587.53625068774204</v>
      </c>
      <c r="W27" s="3">
        <v>99.925538339617205</v>
      </c>
      <c r="X27" s="3">
        <v>45.310049788236803</v>
      </c>
      <c r="Y27" s="3">
        <v>144.37843432385301</v>
      </c>
      <c r="Z27" s="3">
        <v>57.446477873213802</v>
      </c>
      <c r="AA27" s="3">
        <v>3.7683374152697402</v>
      </c>
      <c r="AB27" s="3">
        <v>764.619153926482</v>
      </c>
      <c r="AC27" s="3">
        <v>14.468395931949599</v>
      </c>
      <c r="AD27" s="3">
        <v>0</v>
      </c>
      <c r="AE27" s="3">
        <v>171.42338791614199</v>
      </c>
      <c r="AF27" s="3">
        <v>112.08590325201</v>
      </c>
      <c r="AG27" s="3">
        <v>31.023627418161801</v>
      </c>
      <c r="AH27" s="3">
        <v>-8.3379737277496204</v>
      </c>
      <c r="AI27" s="3">
        <v>53559789764.400002</v>
      </c>
      <c r="AJ27" s="3">
        <v>7.9936269974080695E-2</v>
      </c>
      <c r="AK27" s="3">
        <v>47424</v>
      </c>
      <c r="AL27" s="3">
        <f t="shared" si="3"/>
        <v>1.0210509615877528</v>
      </c>
      <c r="AM27" s="4">
        <f t="shared" si="4"/>
        <v>0.71327670541183297</v>
      </c>
      <c r="AN27" s="4">
        <f t="shared" si="5"/>
        <v>1.1647053442384634</v>
      </c>
    </row>
    <row r="28" spans="1:40" x14ac:dyDescent="0.25">
      <c r="A28">
        <v>27</v>
      </c>
      <c r="B28" s="3">
        <v>200</v>
      </c>
      <c r="C28" s="3">
        <v>-200</v>
      </c>
      <c r="D28" s="3">
        <v>0</v>
      </c>
      <c r="E28" s="3">
        <v>0.41724639901406901</v>
      </c>
      <c r="F28" s="3">
        <v>0.41724639901406901</v>
      </c>
      <c r="G28" s="3">
        <v>5.2374562962963001E-2</v>
      </c>
      <c r="H28" s="3">
        <v>1.2533938390408301E-3</v>
      </c>
      <c r="I28" s="3">
        <v>5.2374562962963001E-2</v>
      </c>
      <c r="J28" s="3">
        <v>0.31123531643202001</v>
      </c>
      <c r="K28" s="4">
        <v>8.5628170823840798E-6</v>
      </c>
      <c r="L28" s="3">
        <v>100</v>
      </c>
      <c r="M28" s="3">
        <v>0</v>
      </c>
      <c r="N28" s="3">
        <v>0</v>
      </c>
      <c r="O28" s="3">
        <v>0</v>
      </c>
      <c r="P28" s="3">
        <v>100</v>
      </c>
      <c r="Q28" s="3">
        <v>0</v>
      </c>
      <c r="R28" s="3">
        <v>0</v>
      </c>
      <c r="S28" s="3">
        <v>100</v>
      </c>
      <c r="T28" s="3">
        <v>0</v>
      </c>
      <c r="U28" s="3">
        <v>-202.1</v>
      </c>
      <c r="V28" s="3">
        <v>0</v>
      </c>
      <c r="W28" s="3">
        <v>100</v>
      </c>
      <c r="X28" s="3">
        <v>33.200000000000003</v>
      </c>
      <c r="Y28" s="3">
        <v>256.60000000000002</v>
      </c>
      <c r="Z28" s="3">
        <v>64</v>
      </c>
      <c r="AA28" s="3">
        <v>2.6</v>
      </c>
      <c r="AB28" s="3">
        <v>726</v>
      </c>
      <c r="AC28" s="3">
        <v>100</v>
      </c>
      <c r="AD28" s="3">
        <v>0</v>
      </c>
      <c r="AE28" s="3">
        <v>179.2</v>
      </c>
      <c r="AF28" s="3">
        <v>112.2</v>
      </c>
      <c r="AG28" s="3">
        <v>20.9</v>
      </c>
      <c r="AH28" s="3">
        <v>-107</v>
      </c>
      <c r="AI28" s="3">
        <v>256666.2</v>
      </c>
      <c r="AJ28" s="3" t="s">
        <v>36</v>
      </c>
      <c r="AK28" s="3">
        <v>1</v>
      </c>
      <c r="AL28" s="3">
        <f t="shared" si="3"/>
        <v>0</v>
      </c>
      <c r="AM28" s="4">
        <f t="shared" si="4"/>
        <v>0.41723783619698662</v>
      </c>
      <c r="AN28" s="4">
        <f t="shared" si="5"/>
        <v>0</v>
      </c>
    </row>
    <row r="29" spans="1:40" x14ac:dyDescent="0.25">
      <c r="A29">
        <v>28</v>
      </c>
      <c r="B29" s="3">
        <v>200</v>
      </c>
      <c r="C29" s="3">
        <v>-175</v>
      </c>
      <c r="D29" s="4">
        <v>7.3962218421947E-5</v>
      </c>
      <c r="E29" s="3">
        <v>0.434222354511827</v>
      </c>
      <c r="F29" s="3">
        <v>0.43414839229340502</v>
      </c>
      <c r="G29" s="3">
        <v>4.7760158202091299E-2</v>
      </c>
      <c r="H29" s="3">
        <v>2.8927834655613498E-3</v>
      </c>
      <c r="I29" s="3">
        <v>4.7760158202091299E-2</v>
      </c>
      <c r="J29" s="3">
        <v>0.33562893570313901</v>
      </c>
      <c r="K29" s="3">
        <v>1.80318938943783E-4</v>
      </c>
      <c r="L29" s="3">
        <v>68.072842230738203</v>
      </c>
      <c r="M29" s="3">
        <v>0</v>
      </c>
      <c r="N29" s="3">
        <v>31.9271577692618</v>
      </c>
      <c r="O29" s="3">
        <v>31.9271577692618</v>
      </c>
      <c r="P29" s="3">
        <v>68.072842230738203</v>
      </c>
      <c r="Q29" s="3">
        <v>0</v>
      </c>
      <c r="R29" s="3">
        <v>0</v>
      </c>
      <c r="S29" s="3">
        <v>68.072842230738203</v>
      </c>
      <c r="T29" s="3">
        <v>0</v>
      </c>
      <c r="U29" s="3">
        <v>-186.37678124629201</v>
      </c>
      <c r="V29" s="3">
        <v>0</v>
      </c>
      <c r="W29" s="3">
        <v>100</v>
      </c>
      <c r="X29" s="3">
        <v>46.372032680914899</v>
      </c>
      <c r="Y29" s="3">
        <v>234.46317358054799</v>
      </c>
      <c r="Z29" s="3">
        <v>53.192991388194301</v>
      </c>
      <c r="AA29" s="3">
        <v>2.6246638224836101</v>
      </c>
      <c r="AB29" s="3">
        <v>708.69797251993305</v>
      </c>
      <c r="AC29" s="3">
        <v>62.591577620473899</v>
      </c>
      <c r="AD29" s="3">
        <v>0</v>
      </c>
      <c r="AE29" s="3">
        <v>170.68705272253999</v>
      </c>
      <c r="AF29" s="3">
        <v>111.901201990459</v>
      </c>
      <c r="AG29" s="3">
        <v>25.608482589307101</v>
      </c>
      <c r="AH29" s="3">
        <v>-105.83271587085</v>
      </c>
      <c r="AI29" s="3">
        <v>2938559.1</v>
      </c>
      <c r="AJ29" s="4">
        <v>2.4961508830135298E-6</v>
      </c>
      <c r="AK29" s="3">
        <v>13</v>
      </c>
      <c r="AL29" s="3">
        <f t="shared" si="3"/>
        <v>1.7033259032713498E-4</v>
      </c>
      <c r="AM29" s="4">
        <f t="shared" si="4"/>
        <v>0.43404203557288323</v>
      </c>
      <c r="AN29" s="4">
        <f t="shared" si="5"/>
        <v>1.7040335350083265E-4</v>
      </c>
    </row>
    <row r="30" spans="1:40" x14ac:dyDescent="0.25">
      <c r="A30">
        <v>29</v>
      </c>
      <c r="B30" s="3">
        <v>200</v>
      </c>
      <c r="C30" s="3">
        <v>-150</v>
      </c>
      <c r="D30" s="3">
        <v>2.2170798696812399</v>
      </c>
      <c r="E30" s="3">
        <v>0.43929577382498503</v>
      </c>
      <c r="F30" s="3">
        <v>-1.7777840958562601</v>
      </c>
      <c r="G30" s="3">
        <v>4.79690871429952E-2</v>
      </c>
      <c r="H30" s="3">
        <v>1.07620635196815E-2</v>
      </c>
      <c r="I30" s="3">
        <v>4.79690871429952E-2</v>
      </c>
      <c r="J30" s="3">
        <v>0.33024093820359501</v>
      </c>
      <c r="K30" s="3">
        <v>2.3545978157185599E-3</v>
      </c>
      <c r="L30" s="3">
        <v>57.986424465708303</v>
      </c>
      <c r="M30" s="3">
        <v>0</v>
      </c>
      <c r="N30" s="3">
        <v>42.013575534291697</v>
      </c>
      <c r="O30" s="3">
        <v>48.266435619322998</v>
      </c>
      <c r="P30" s="3">
        <v>37.618241571372501</v>
      </c>
      <c r="Q30" s="3">
        <v>14.1153228093045</v>
      </c>
      <c r="R30" s="3">
        <v>0</v>
      </c>
      <c r="S30" s="3">
        <v>37.618241571372501</v>
      </c>
      <c r="T30" s="3">
        <v>0.33922127949292302</v>
      </c>
      <c r="U30" s="3">
        <v>-159.66477637488501</v>
      </c>
      <c r="V30" s="3">
        <v>0</v>
      </c>
      <c r="W30" s="3">
        <v>95.184569289696498</v>
      </c>
      <c r="X30" s="3">
        <v>49.738880065120298</v>
      </c>
      <c r="Y30" s="3">
        <v>269.992054430363</v>
      </c>
      <c r="Z30" s="3">
        <v>53.693014528642301</v>
      </c>
      <c r="AA30" s="3">
        <v>2.8422657210725699</v>
      </c>
      <c r="AB30" s="3">
        <v>730.01609015782003</v>
      </c>
      <c r="AC30" s="3">
        <v>13.8430322622185</v>
      </c>
      <c r="AD30" s="3">
        <v>0</v>
      </c>
      <c r="AE30" s="3">
        <v>172.666932967321</v>
      </c>
      <c r="AF30" s="3">
        <v>111.995424074978</v>
      </c>
      <c r="AG30" s="3">
        <v>25.393043352127499</v>
      </c>
      <c r="AH30" s="3">
        <v>-86.006953900532494</v>
      </c>
      <c r="AI30" s="3">
        <v>20139479.899999999</v>
      </c>
      <c r="AJ30" s="3">
        <v>0.12503485203294101</v>
      </c>
      <c r="AK30" s="3">
        <v>81</v>
      </c>
      <c r="AL30" s="3">
        <f t="shared" si="3"/>
        <v>5.0468955127360777</v>
      </c>
      <c r="AM30" s="4">
        <f t="shared" si="4"/>
        <v>0.43694117600926646</v>
      </c>
      <c r="AN30" s="4">
        <f t="shared" si="5"/>
        <v>5.0740923296142295</v>
      </c>
    </row>
    <row r="31" spans="1:40" x14ac:dyDescent="0.25">
      <c r="A31">
        <v>30</v>
      </c>
      <c r="B31" s="3">
        <v>200</v>
      </c>
      <c r="C31" s="3">
        <v>-125</v>
      </c>
      <c r="D31" s="3">
        <v>0.41364190189466499</v>
      </c>
      <c r="E31" s="3">
        <v>0.438652807876656</v>
      </c>
      <c r="F31" s="3">
        <v>2.50109059819906E-2</v>
      </c>
      <c r="G31" s="3">
        <v>4.8397763501454402E-2</v>
      </c>
      <c r="H31" s="3">
        <v>6.3025099187786603E-3</v>
      </c>
      <c r="I31" s="3">
        <v>4.8397763501454402E-2</v>
      </c>
      <c r="J31" s="3">
        <v>0.32536960839339402</v>
      </c>
      <c r="K31" s="3">
        <v>1.01851625615742E-2</v>
      </c>
      <c r="L31" s="3">
        <v>74.007087830461003</v>
      </c>
      <c r="M31" s="3">
        <v>0.55940062530903101</v>
      </c>
      <c r="N31" s="3">
        <v>25.433511544230001</v>
      </c>
      <c r="O31" s="3">
        <v>34.442461349076702</v>
      </c>
      <c r="P31" s="3">
        <v>45.874151992181503</v>
      </c>
      <c r="Q31" s="3">
        <v>19.683386658741799</v>
      </c>
      <c r="R31" s="3">
        <v>0</v>
      </c>
      <c r="S31" s="3">
        <v>45.874151992181503</v>
      </c>
      <c r="T31" s="3">
        <v>0.21634945063816799</v>
      </c>
      <c r="U31" s="3">
        <v>-133.22913224031601</v>
      </c>
      <c r="V31" s="3">
        <v>4.8349940563992503E-3</v>
      </c>
      <c r="W31" s="3">
        <v>99.424039618100394</v>
      </c>
      <c r="X31" s="3">
        <v>45.691390199147399</v>
      </c>
      <c r="Y31" s="3">
        <v>336.94012688623002</v>
      </c>
      <c r="Z31" s="3">
        <v>54.691600131581801</v>
      </c>
      <c r="AA31" s="3">
        <v>3.13565099442134</v>
      </c>
      <c r="AB31" s="3">
        <v>763.60805431731899</v>
      </c>
      <c r="AC31" s="3">
        <v>5.1076754349936397</v>
      </c>
      <c r="AD31" s="3">
        <v>0</v>
      </c>
      <c r="AE31" s="3">
        <v>172.67518289510301</v>
      </c>
      <c r="AF31" s="3">
        <v>111.944329933547</v>
      </c>
      <c r="AG31" s="3">
        <v>24.535689906641</v>
      </c>
      <c r="AH31" s="3">
        <v>-50.682051112685798</v>
      </c>
      <c r="AI31" s="3">
        <v>335218091.5</v>
      </c>
      <c r="AJ31" s="3">
        <v>5.3160905521352601E-2</v>
      </c>
      <c r="AK31" s="3">
        <v>789</v>
      </c>
      <c r="AL31" s="3">
        <f t="shared" si="3"/>
        <v>0.94298245552545557</v>
      </c>
      <c r="AM31" s="4">
        <f t="shared" si="4"/>
        <v>0.4284676453150818</v>
      </c>
      <c r="AN31" s="4">
        <f t="shared" si="5"/>
        <v>0.96539821948629423</v>
      </c>
    </row>
    <row r="32" spans="1:40" x14ac:dyDescent="0.25">
      <c r="A32">
        <v>31</v>
      </c>
      <c r="B32" s="3">
        <v>200</v>
      </c>
      <c r="C32" s="3">
        <v>-100</v>
      </c>
      <c r="D32" s="3">
        <v>0.41371681785979397</v>
      </c>
      <c r="E32" s="3">
        <v>0.47816965083777002</v>
      </c>
      <c r="F32" s="3">
        <v>6.4452832977976604E-2</v>
      </c>
      <c r="G32" s="3">
        <v>4.8348265967077503E-2</v>
      </c>
      <c r="H32" s="3">
        <v>5.9611014674706697E-3</v>
      </c>
      <c r="I32" s="3">
        <v>4.8348265967077503E-2</v>
      </c>
      <c r="J32" s="3">
        <v>0.35312849015469999</v>
      </c>
      <c r="K32" s="3">
        <v>2.2383527281444701E-2</v>
      </c>
      <c r="L32" s="3">
        <v>63.349753893862399</v>
      </c>
      <c r="M32" s="3">
        <v>1.6618452454332799</v>
      </c>
      <c r="N32" s="3">
        <v>34.988400860704402</v>
      </c>
      <c r="O32" s="3">
        <v>27.735645554027201</v>
      </c>
      <c r="P32" s="3">
        <v>53.161058762932598</v>
      </c>
      <c r="Q32" s="3">
        <v>19.103295683040098</v>
      </c>
      <c r="R32" s="3">
        <v>0</v>
      </c>
      <c r="S32" s="3">
        <v>53.161058762932598</v>
      </c>
      <c r="T32" s="3">
        <v>0.214467415046248</v>
      </c>
      <c r="U32" s="3">
        <v>-108.394980917027</v>
      </c>
      <c r="V32" s="3">
        <v>8.7907487637100004E-2</v>
      </c>
      <c r="W32" s="3">
        <v>99.957848410457501</v>
      </c>
      <c r="X32" s="3">
        <v>43.911659093918303</v>
      </c>
      <c r="Y32" s="3">
        <v>311.87579933083498</v>
      </c>
      <c r="Z32" s="3">
        <v>54.571086340005799</v>
      </c>
      <c r="AA32" s="3">
        <v>3.2683814459140401</v>
      </c>
      <c r="AB32" s="3">
        <v>772.61018940960503</v>
      </c>
      <c r="AC32" s="3">
        <v>3.87160616852817</v>
      </c>
      <c r="AD32" s="3">
        <v>0</v>
      </c>
      <c r="AE32" s="3">
        <v>172.22306858005399</v>
      </c>
      <c r="AF32" s="3">
        <v>111.941075916644</v>
      </c>
      <c r="AG32" s="3">
        <v>24.894704136701598</v>
      </c>
      <c r="AH32" s="3">
        <v>-35.041601766716902</v>
      </c>
      <c r="AI32" s="3">
        <v>4381810081.3000002</v>
      </c>
      <c r="AJ32" s="3">
        <v>6.0151417550216101E-2</v>
      </c>
      <c r="AK32" s="3">
        <v>4350</v>
      </c>
      <c r="AL32" s="3">
        <f t="shared" si="3"/>
        <v>0.86520927694793592</v>
      </c>
      <c r="AM32" s="4">
        <f t="shared" si="4"/>
        <v>0.45578612355632531</v>
      </c>
      <c r="AN32" s="4">
        <f t="shared" si="5"/>
        <v>0.90769945919309569</v>
      </c>
    </row>
    <row r="33" spans="1:40" x14ac:dyDescent="0.25">
      <c r="A33">
        <v>32</v>
      </c>
      <c r="B33" s="3">
        <v>200</v>
      </c>
      <c r="C33" s="3">
        <v>-75</v>
      </c>
      <c r="D33" s="3">
        <v>0.47356911269068602</v>
      </c>
      <c r="E33" s="3">
        <v>0.52794189769530997</v>
      </c>
      <c r="F33" s="3">
        <v>5.4372785004624599E-2</v>
      </c>
      <c r="G33" s="3">
        <v>4.80807306663898E-2</v>
      </c>
      <c r="H33" s="3">
        <v>6.6391731348292198E-3</v>
      </c>
      <c r="I33" s="3">
        <v>4.80807306663898E-2</v>
      </c>
      <c r="J33" s="3">
        <v>0.38509359504090701</v>
      </c>
      <c r="K33" s="3">
        <v>4.0047668186794498E-2</v>
      </c>
      <c r="L33" s="3">
        <v>30.700335935249701</v>
      </c>
      <c r="M33" s="3">
        <v>3.06213153237195</v>
      </c>
      <c r="N33" s="3">
        <v>66.237532532378395</v>
      </c>
      <c r="O33" s="3">
        <v>28.4472100777569</v>
      </c>
      <c r="P33" s="3">
        <v>54.561912123919598</v>
      </c>
      <c r="Q33" s="3">
        <v>16.990877798323599</v>
      </c>
      <c r="R33" s="3">
        <v>0</v>
      </c>
      <c r="S33" s="3">
        <v>54.561912123919598</v>
      </c>
      <c r="T33" s="3">
        <v>0.24320138156227</v>
      </c>
      <c r="U33" s="3">
        <v>-83.849086539708594</v>
      </c>
      <c r="V33" s="3">
        <v>0.61747857520537097</v>
      </c>
      <c r="W33" s="3">
        <v>99.978631958914093</v>
      </c>
      <c r="X33" s="3">
        <v>44.765685517860597</v>
      </c>
      <c r="Y33" s="3">
        <v>308.16149435118302</v>
      </c>
      <c r="Z33" s="3">
        <v>53.949456235292097</v>
      </c>
      <c r="AA33" s="3">
        <v>3.3238001824335499</v>
      </c>
      <c r="AB33" s="3">
        <v>772.44877703282305</v>
      </c>
      <c r="AC33" s="3">
        <v>2.26634301590085</v>
      </c>
      <c r="AD33" s="3">
        <v>0</v>
      </c>
      <c r="AE33" s="3">
        <v>171.911635516481</v>
      </c>
      <c r="AF33" s="3">
        <v>111.93787382558401</v>
      </c>
      <c r="AG33" s="3">
        <v>25.438281179927301</v>
      </c>
      <c r="AH33" s="3">
        <v>-30.224769602035401</v>
      </c>
      <c r="AI33" s="3">
        <v>40557876203.900002</v>
      </c>
      <c r="AJ33" s="3">
        <v>6.8182001372595696E-2</v>
      </c>
      <c r="AK33" s="3">
        <v>14150</v>
      </c>
      <c r="AL33" s="3">
        <f t="shared" si="3"/>
        <v>0.89700990726065843</v>
      </c>
      <c r="AM33" s="4">
        <f t="shared" si="4"/>
        <v>0.48789422950851546</v>
      </c>
      <c r="AN33" s="4">
        <f t="shared" si="5"/>
        <v>0.97063888861268155</v>
      </c>
    </row>
    <row r="34" spans="1:40" x14ac:dyDescent="0.25">
      <c r="A34">
        <v>33</v>
      </c>
      <c r="B34" s="3">
        <v>200</v>
      </c>
      <c r="C34" s="3">
        <v>-50</v>
      </c>
      <c r="D34" s="3">
        <v>0.56367766448916701</v>
      </c>
      <c r="E34" s="3">
        <v>0.61045951934873299</v>
      </c>
      <c r="F34" s="3">
        <v>4.6781854859566201E-2</v>
      </c>
      <c r="G34" s="3">
        <v>4.8369426714607297E-2</v>
      </c>
      <c r="H34" s="3">
        <v>7.5976344827189696E-3</v>
      </c>
      <c r="I34" s="3">
        <v>4.8369426714607297E-2</v>
      </c>
      <c r="J34" s="3">
        <v>0.44053170443976197</v>
      </c>
      <c r="K34" s="3">
        <v>6.5591326997037305E-2</v>
      </c>
      <c r="L34" s="3">
        <v>10.6002750926292</v>
      </c>
      <c r="M34" s="3">
        <v>4.0936595437086103</v>
      </c>
      <c r="N34" s="3">
        <v>85.306065363662199</v>
      </c>
      <c r="O34" s="3">
        <v>26.442929998780201</v>
      </c>
      <c r="P34" s="3">
        <v>55.9149862782049</v>
      </c>
      <c r="Q34" s="3">
        <v>17.642083723014899</v>
      </c>
      <c r="R34" s="3">
        <v>0</v>
      </c>
      <c r="S34" s="3">
        <v>55.9149862782049</v>
      </c>
      <c r="T34" s="3">
        <v>0.28313032949268802</v>
      </c>
      <c r="U34" s="3">
        <v>-60.1268373636455</v>
      </c>
      <c r="V34" s="3">
        <v>40.220828184632097</v>
      </c>
      <c r="W34" s="3">
        <v>99.987552217089899</v>
      </c>
      <c r="X34" s="3">
        <v>44.642133858742802</v>
      </c>
      <c r="Y34" s="3">
        <v>302.64444640542098</v>
      </c>
      <c r="Z34" s="3">
        <v>54.596400389046799</v>
      </c>
      <c r="AA34" s="3">
        <v>3.4066129669655298</v>
      </c>
      <c r="AB34" s="3">
        <v>771.73681571055795</v>
      </c>
      <c r="AC34" s="3">
        <v>2.2985852945959802</v>
      </c>
      <c r="AD34" s="3">
        <v>0</v>
      </c>
      <c r="AE34" s="3">
        <v>172.27953774105501</v>
      </c>
      <c r="AF34" s="3">
        <v>112.030007480807</v>
      </c>
      <c r="AG34" s="3">
        <v>26.635491927992401</v>
      </c>
      <c r="AH34" s="3">
        <v>-25.311372266754201</v>
      </c>
      <c r="AI34" s="3">
        <v>243551740603.89999</v>
      </c>
      <c r="AJ34" s="3">
        <v>6.3676017167258903E-2</v>
      </c>
      <c r="AK34" s="3">
        <v>39108</v>
      </c>
      <c r="AL34" s="3">
        <f t="shared" si="3"/>
        <v>0.92336616372290325</v>
      </c>
      <c r="AM34" s="4">
        <f t="shared" si="4"/>
        <v>0.5448681923516957</v>
      </c>
      <c r="AN34" s="4">
        <f t="shared" si="5"/>
        <v>1.0345211418128264</v>
      </c>
    </row>
    <row r="35" spans="1:40" x14ac:dyDescent="0.25">
      <c r="A35">
        <v>34</v>
      </c>
      <c r="B35" s="3">
        <v>200</v>
      </c>
      <c r="C35" s="3">
        <v>-25</v>
      </c>
      <c r="D35" s="3">
        <v>0.66900422532126103</v>
      </c>
      <c r="E35" s="3">
        <v>0.724808668314463</v>
      </c>
      <c r="F35" s="3">
        <v>5.5804442993201697E-2</v>
      </c>
      <c r="G35" s="3">
        <v>4.8816888104872502E-2</v>
      </c>
      <c r="H35" s="3">
        <v>8.1984497320323705E-3</v>
      </c>
      <c r="I35" s="3">
        <v>4.8816888104872502E-2</v>
      </c>
      <c r="J35" s="3">
        <v>0.50906940638749498</v>
      </c>
      <c r="K35" s="3">
        <v>0.109907035985191</v>
      </c>
      <c r="L35" s="3">
        <v>5.5347786308647802</v>
      </c>
      <c r="M35" s="3">
        <v>4.5653467161332397</v>
      </c>
      <c r="N35" s="3">
        <v>89.899874653002001</v>
      </c>
      <c r="O35" s="3">
        <v>26.7960769780838</v>
      </c>
      <c r="P35" s="3">
        <v>54.641556123533299</v>
      </c>
      <c r="Q35" s="3">
        <v>18.562366898382901</v>
      </c>
      <c r="R35" s="3">
        <v>0</v>
      </c>
      <c r="S35" s="3">
        <v>54.641556123533299</v>
      </c>
      <c r="T35" s="3">
        <v>0.30505768527044802</v>
      </c>
      <c r="U35" s="3">
        <v>-36.609340851118503</v>
      </c>
      <c r="V35" s="3">
        <v>164.06680803307501</v>
      </c>
      <c r="W35" s="3">
        <v>99.982372934702795</v>
      </c>
      <c r="X35" s="3">
        <v>44.808867227962402</v>
      </c>
      <c r="Y35" s="3">
        <v>300.75009063454399</v>
      </c>
      <c r="Z35" s="3">
        <v>55.613760315105999</v>
      </c>
      <c r="AA35" s="3">
        <v>3.5385703570492502</v>
      </c>
      <c r="AB35" s="3">
        <v>769.06736957018995</v>
      </c>
      <c r="AC35" s="3">
        <v>4.0917845303728102</v>
      </c>
      <c r="AD35" s="3">
        <v>0</v>
      </c>
      <c r="AE35" s="3">
        <v>173.09208165930201</v>
      </c>
      <c r="AF35" s="3">
        <v>112.208743425252</v>
      </c>
      <c r="AG35" s="3">
        <v>29.632123521064202</v>
      </c>
      <c r="AH35" s="3">
        <v>-17.7423361981716</v>
      </c>
      <c r="AI35" s="3">
        <v>540234429640.20001</v>
      </c>
      <c r="AJ35" s="3">
        <v>7.0662158097894001E-2</v>
      </c>
      <c r="AK35" s="3">
        <v>83881</v>
      </c>
      <c r="AL35" s="3">
        <f t="shared" si="3"/>
        <v>0.92300803586831437</v>
      </c>
      <c r="AM35" s="4">
        <f t="shared" si="4"/>
        <v>0.61490163232927197</v>
      </c>
      <c r="AN35" s="4">
        <f t="shared" si="5"/>
        <v>1.0879857690197476</v>
      </c>
    </row>
    <row r="36" spans="1:40" x14ac:dyDescent="0.25">
      <c r="A36">
        <v>35</v>
      </c>
      <c r="B36" s="3">
        <v>200</v>
      </c>
      <c r="C36" s="3">
        <v>0</v>
      </c>
      <c r="D36" s="3">
        <v>0.76103014545249004</v>
      </c>
      <c r="E36" s="3">
        <v>0.80882872939026995</v>
      </c>
      <c r="F36" s="3">
        <v>4.7798583937779401E-2</v>
      </c>
      <c r="G36" s="3">
        <v>4.9536037223324197E-2</v>
      </c>
      <c r="H36" s="3">
        <v>1.0011113072660499E-2</v>
      </c>
      <c r="I36" s="3">
        <v>4.9536037223324197E-2</v>
      </c>
      <c r="J36" s="3">
        <v>0.52777139030043896</v>
      </c>
      <c r="K36" s="3">
        <v>0.17197415157052101</v>
      </c>
      <c r="L36" s="3">
        <v>4.8478567000475703</v>
      </c>
      <c r="M36" s="3">
        <v>4.7734852889912203</v>
      </c>
      <c r="N36" s="3">
        <v>90.378658010961203</v>
      </c>
      <c r="O36" s="3">
        <v>25.4872692592125</v>
      </c>
      <c r="P36" s="3">
        <v>54.222796372016198</v>
      </c>
      <c r="Q36" s="3">
        <v>20.289934368771299</v>
      </c>
      <c r="R36" s="3">
        <v>0</v>
      </c>
      <c r="S36" s="3">
        <v>54.222796372016198</v>
      </c>
      <c r="T36" s="3">
        <v>0.36112453942106898</v>
      </c>
      <c r="U36" s="3">
        <v>-14.366106306862701</v>
      </c>
      <c r="V36" s="3">
        <v>533.43774912150002</v>
      </c>
      <c r="W36" s="3">
        <v>99.972589232536095</v>
      </c>
      <c r="X36" s="3">
        <v>45.280678579065501</v>
      </c>
      <c r="Y36" s="3">
        <v>282.91318211037702</v>
      </c>
      <c r="Z36" s="3">
        <v>57.275813180675698</v>
      </c>
      <c r="AA36" s="3">
        <v>3.7305263026641802</v>
      </c>
      <c r="AB36" s="3">
        <v>765.67275497978699</v>
      </c>
      <c r="AC36" s="3">
        <v>7.64474510400865</v>
      </c>
      <c r="AD36" s="3">
        <v>0</v>
      </c>
      <c r="AE36" s="3">
        <v>171.863708573487</v>
      </c>
      <c r="AF36" s="3">
        <v>112.127003603603</v>
      </c>
      <c r="AG36" s="3">
        <v>31.2585844880705</v>
      </c>
      <c r="AH36" s="3">
        <v>-11.116264703170801</v>
      </c>
      <c r="AI36" s="3">
        <v>540376511070.20001</v>
      </c>
      <c r="AJ36" s="3">
        <v>7.6032973835876094E-2</v>
      </c>
      <c r="AK36" s="3">
        <v>116654</v>
      </c>
      <c r="AL36" s="3">
        <f t="shared" si="3"/>
        <v>0.94090394888196838</v>
      </c>
      <c r="AM36" s="4">
        <f t="shared" si="4"/>
        <v>0.63685457781974897</v>
      </c>
      <c r="AN36" s="4">
        <f t="shared" si="5"/>
        <v>1.1949826097785967</v>
      </c>
    </row>
    <row r="37" spans="1:40" x14ac:dyDescent="0.25">
      <c r="A37">
        <v>36</v>
      </c>
      <c r="B37" s="3">
        <v>85</v>
      </c>
      <c r="C37" s="3">
        <v>-200</v>
      </c>
      <c r="D37" s="4">
        <v>8.0000000000000004E-4</v>
      </c>
      <c r="E37" s="3">
        <v>0.57073163375397995</v>
      </c>
      <c r="F37" s="3">
        <v>0.56993163375398004</v>
      </c>
      <c r="G37" s="3">
        <v>5.1949714062499999E-2</v>
      </c>
      <c r="H37" s="3">
        <v>9.9256774362153194E-4</v>
      </c>
      <c r="I37" s="3">
        <v>5.1949714062499999E-2</v>
      </c>
      <c r="J37" s="3">
        <v>0.46583662330675701</v>
      </c>
      <c r="K37" s="4">
        <v>3.0145786018786401E-6</v>
      </c>
      <c r="L37" s="3">
        <v>100</v>
      </c>
      <c r="M37" s="3">
        <v>0</v>
      </c>
      <c r="N37" s="3">
        <v>0</v>
      </c>
      <c r="O37" s="3">
        <v>0</v>
      </c>
      <c r="P37" s="3">
        <v>100</v>
      </c>
      <c r="Q37" s="3">
        <v>0</v>
      </c>
      <c r="R37" s="3">
        <v>0</v>
      </c>
      <c r="S37" s="3">
        <v>100</v>
      </c>
      <c r="T37" s="3">
        <v>0</v>
      </c>
      <c r="U37" s="3">
        <v>-202.1</v>
      </c>
      <c r="V37" s="3">
        <v>0</v>
      </c>
      <c r="W37" s="3">
        <v>100</v>
      </c>
      <c r="X37" s="3">
        <v>26.3</v>
      </c>
      <c r="Y37" s="3">
        <v>58.8</v>
      </c>
      <c r="Z37" s="3">
        <v>63</v>
      </c>
      <c r="AA37" s="3">
        <v>2.6</v>
      </c>
      <c r="AB37" s="3">
        <v>728</v>
      </c>
      <c r="AC37" s="3">
        <v>100</v>
      </c>
      <c r="AD37" s="3">
        <v>0</v>
      </c>
      <c r="AE37" s="3">
        <v>179.2</v>
      </c>
      <c r="AF37" s="3">
        <v>112.2</v>
      </c>
      <c r="AG37" s="3">
        <v>20.9</v>
      </c>
      <c r="AH37" s="3">
        <v>-100</v>
      </c>
      <c r="AI37" s="3">
        <v>58820.3</v>
      </c>
      <c r="AJ37" s="3" t="s">
        <v>36</v>
      </c>
      <c r="AK37" s="3">
        <v>1</v>
      </c>
      <c r="AL37" s="3">
        <f t="shared" si="3"/>
        <v>1.4017095823793933E-3</v>
      </c>
      <c r="AM37" s="4">
        <f t="shared" si="4"/>
        <v>0.57072861917537809</v>
      </c>
      <c r="AN37" s="4">
        <f t="shared" si="5"/>
        <v>1.4017169861849342E-3</v>
      </c>
    </row>
    <row r="38" spans="1:40" x14ac:dyDescent="0.25">
      <c r="A38">
        <v>37</v>
      </c>
      <c r="B38" s="3">
        <v>85</v>
      </c>
      <c r="C38" s="3">
        <v>-175</v>
      </c>
      <c r="D38" s="3">
        <v>7.5213920846779205E-4</v>
      </c>
      <c r="E38" s="3">
        <v>0.57764538083851102</v>
      </c>
      <c r="F38" s="3">
        <v>0.57689324163004296</v>
      </c>
      <c r="G38" s="3">
        <v>4.8249027111232502E-2</v>
      </c>
      <c r="H38" s="3">
        <v>1.5834711428251299E-3</v>
      </c>
      <c r="I38" s="3">
        <v>4.8249027111232502E-2</v>
      </c>
      <c r="J38" s="3">
        <v>0.47956090264051998</v>
      </c>
      <c r="K38" s="4">
        <v>2.9528327006597501E-6</v>
      </c>
      <c r="L38" s="3">
        <v>100</v>
      </c>
      <c r="M38" s="3">
        <v>0</v>
      </c>
      <c r="N38" s="3">
        <v>0</v>
      </c>
      <c r="O38" s="3">
        <v>0</v>
      </c>
      <c r="P38" s="3">
        <v>100</v>
      </c>
      <c r="Q38" s="3">
        <v>0</v>
      </c>
      <c r="R38" s="3">
        <v>0</v>
      </c>
      <c r="S38" s="3">
        <v>100</v>
      </c>
      <c r="T38" s="3">
        <v>2.7443399480281301E-2</v>
      </c>
      <c r="U38" s="3">
        <v>-187.01434429778101</v>
      </c>
      <c r="V38" s="3">
        <v>0</v>
      </c>
      <c r="W38" s="3">
        <v>100</v>
      </c>
      <c r="X38" s="3">
        <v>30.375699025757701</v>
      </c>
      <c r="Y38" s="3">
        <v>61.1005372610067</v>
      </c>
      <c r="Z38" s="3">
        <v>54.3403074712379</v>
      </c>
      <c r="AA38" s="3">
        <v>2.6274433994802799</v>
      </c>
      <c r="AB38" s="3">
        <v>734.99806686747195</v>
      </c>
      <c r="AC38" s="3">
        <v>86.278300259859293</v>
      </c>
      <c r="AD38" s="3">
        <v>0</v>
      </c>
      <c r="AE38" s="3">
        <v>171.268256731626</v>
      </c>
      <c r="AF38" s="3">
        <v>111.93892386090199</v>
      </c>
      <c r="AG38" s="3">
        <v>25.886510259787698</v>
      </c>
      <c r="AH38" s="3">
        <v>-96.569575064964795</v>
      </c>
      <c r="AI38" s="3">
        <v>488533.5</v>
      </c>
      <c r="AJ38" s="4">
        <v>4.5961940777125603E-6</v>
      </c>
      <c r="AK38" s="3">
        <v>8</v>
      </c>
      <c r="AL38" s="3">
        <f t="shared" si="3"/>
        <v>1.3020777685021656E-3</v>
      </c>
      <c r="AM38" s="4">
        <f t="shared" si="4"/>
        <v>0.57764242800581034</v>
      </c>
      <c r="AN38" s="4">
        <f t="shared" si="5"/>
        <v>1.3020844245537769E-3</v>
      </c>
    </row>
    <row r="39" spans="1:40" x14ac:dyDescent="0.25">
      <c r="A39">
        <v>38</v>
      </c>
      <c r="B39" s="3">
        <v>85</v>
      </c>
      <c r="C39" s="3">
        <v>-150</v>
      </c>
      <c r="D39" s="3">
        <v>9.6399666998062006E-3</v>
      </c>
      <c r="E39" s="3">
        <v>0.55477070561323905</v>
      </c>
      <c r="F39" s="3">
        <v>0.545130738913433</v>
      </c>
      <c r="G39" s="3">
        <v>4.9368286832847698E-2</v>
      </c>
      <c r="H39" s="3">
        <v>8.5463896581082499E-3</v>
      </c>
      <c r="I39" s="3">
        <v>4.9368286832847698E-2</v>
      </c>
      <c r="J39" s="3">
        <v>0.44742132568043702</v>
      </c>
      <c r="K39" s="4">
        <v>6.6416608998667504E-5</v>
      </c>
      <c r="L39" s="3">
        <v>84.536686256406</v>
      </c>
      <c r="M39" s="3">
        <v>0</v>
      </c>
      <c r="N39" s="3">
        <v>15.463313743594</v>
      </c>
      <c r="O39" s="3">
        <v>45.189572525705202</v>
      </c>
      <c r="P39" s="3">
        <v>34.305358895601103</v>
      </c>
      <c r="Q39" s="3">
        <v>20.505068578693699</v>
      </c>
      <c r="R39" s="3">
        <v>0</v>
      </c>
      <c r="S39" s="3">
        <v>34.305358895601103</v>
      </c>
      <c r="T39" s="3">
        <v>0.30206504853913402</v>
      </c>
      <c r="U39" s="3">
        <v>-160.03852834944701</v>
      </c>
      <c r="V39" s="3">
        <v>0</v>
      </c>
      <c r="W39" s="3">
        <v>100</v>
      </c>
      <c r="X39" s="3">
        <v>47.199015875660798</v>
      </c>
      <c r="Y39" s="3">
        <v>58.415630955625701</v>
      </c>
      <c r="Z39" s="3">
        <v>56.793581206482898</v>
      </c>
      <c r="AA39" s="3">
        <v>2.8777102457363499</v>
      </c>
      <c r="AB39" s="3">
        <v>765.28844342686398</v>
      </c>
      <c r="AC39" s="3">
        <v>12.519851009153101</v>
      </c>
      <c r="AD39" s="3">
        <v>0</v>
      </c>
      <c r="AE39" s="3">
        <v>171.70443441704001</v>
      </c>
      <c r="AF39" s="3">
        <v>111.932469452001</v>
      </c>
      <c r="AG39" s="3">
        <v>25.255095769421999</v>
      </c>
      <c r="AH39" s="3">
        <v>-85.274189704206094</v>
      </c>
      <c r="AI39" s="3">
        <v>4838230.0999999996</v>
      </c>
      <c r="AJ39" s="3">
        <v>2.7651780543365298E-4</v>
      </c>
      <c r="AK39" s="3">
        <v>79</v>
      </c>
      <c r="AL39" s="3">
        <f t="shared" si="3"/>
        <v>1.7376488344225494E-2</v>
      </c>
      <c r="AM39" s="4">
        <f t="shared" si="4"/>
        <v>0.5547042890042404</v>
      </c>
      <c r="AN39" s="4">
        <f t="shared" si="5"/>
        <v>1.737856888958093E-2</v>
      </c>
    </row>
    <row r="40" spans="1:40" x14ac:dyDescent="0.25">
      <c r="A40">
        <v>39</v>
      </c>
      <c r="B40" s="3">
        <v>85</v>
      </c>
      <c r="C40" s="3">
        <v>-125</v>
      </c>
      <c r="D40" s="3">
        <v>0.14115249188214901</v>
      </c>
      <c r="E40" s="3">
        <v>0.60276184377935804</v>
      </c>
      <c r="F40" s="3">
        <v>0.46160935189720997</v>
      </c>
      <c r="G40" s="3">
        <v>4.8804531330933099E-2</v>
      </c>
      <c r="H40" s="3">
        <v>1.7513520548055699E-2</v>
      </c>
      <c r="I40" s="3">
        <v>4.8804531330933099E-2</v>
      </c>
      <c r="J40" s="3">
        <v>0.48694488184481999</v>
      </c>
      <c r="K40" s="3">
        <v>6.9437872461657296E-4</v>
      </c>
      <c r="L40" s="3">
        <v>90.001226913255394</v>
      </c>
      <c r="M40" s="3">
        <v>0</v>
      </c>
      <c r="N40" s="3">
        <v>9.9987730867446096</v>
      </c>
      <c r="O40" s="3">
        <v>37.6714377780932</v>
      </c>
      <c r="P40" s="3">
        <v>44.905550722260898</v>
      </c>
      <c r="Q40" s="3">
        <v>17.423011499645899</v>
      </c>
      <c r="R40" s="3">
        <v>0</v>
      </c>
      <c r="S40" s="3">
        <v>44.905550722260898</v>
      </c>
      <c r="T40" s="3">
        <v>0.690470002645034</v>
      </c>
      <c r="U40" s="3">
        <v>-133.12080055489301</v>
      </c>
      <c r="V40" s="3">
        <v>0</v>
      </c>
      <c r="W40" s="3">
        <v>100</v>
      </c>
      <c r="X40" s="3">
        <v>47.410320721498501</v>
      </c>
      <c r="Y40" s="3">
        <v>58.711937733355597</v>
      </c>
      <c r="Z40" s="3">
        <v>55.589670983048002</v>
      </c>
      <c r="AA40" s="3">
        <v>3.1564457737434699</v>
      </c>
      <c r="AB40" s="3">
        <v>768.37130457085902</v>
      </c>
      <c r="AC40" s="3">
        <v>23.113455991075</v>
      </c>
      <c r="AD40" s="3">
        <v>0</v>
      </c>
      <c r="AE40" s="3">
        <v>172.79743428782501</v>
      </c>
      <c r="AF40" s="3">
        <v>111.990249351918</v>
      </c>
      <c r="AG40" s="3">
        <v>25.108658814666999</v>
      </c>
      <c r="AH40" s="3">
        <v>-48.731555049428302</v>
      </c>
      <c r="AI40" s="3">
        <v>40793430</v>
      </c>
      <c r="AJ40" s="3">
        <v>1.63432249347094E-2</v>
      </c>
      <c r="AK40" s="3">
        <v>426</v>
      </c>
      <c r="AL40" s="3">
        <f t="shared" si="3"/>
        <v>0.23417622289611634</v>
      </c>
      <c r="AM40" s="4">
        <f t="shared" si="4"/>
        <v>0.60206746505474151</v>
      </c>
      <c r="AN40" s="4">
        <f t="shared" si="5"/>
        <v>0.2344463039026948</v>
      </c>
    </row>
    <row r="41" spans="1:40" x14ac:dyDescent="0.25">
      <c r="A41">
        <v>40</v>
      </c>
      <c r="B41" s="3">
        <v>85</v>
      </c>
      <c r="C41" s="3">
        <v>-100</v>
      </c>
      <c r="D41" s="3">
        <v>0.90706868060088996</v>
      </c>
      <c r="E41" s="3">
        <v>0.65285235250417295</v>
      </c>
      <c r="F41" s="3">
        <v>-0.25421632809671602</v>
      </c>
      <c r="G41" s="3">
        <v>4.8376106392566398E-2</v>
      </c>
      <c r="H41" s="3">
        <v>1.7488354049582999E-2</v>
      </c>
      <c r="I41" s="3">
        <v>4.8376106392566398E-2</v>
      </c>
      <c r="J41" s="3">
        <v>0.53604499482316403</v>
      </c>
      <c r="K41" s="3">
        <v>2.5667908462929201E-3</v>
      </c>
      <c r="L41" s="3">
        <v>80.917392809808206</v>
      </c>
      <c r="M41" s="3">
        <v>0.41989199133710797</v>
      </c>
      <c r="N41" s="3">
        <v>18.662715198854698</v>
      </c>
      <c r="O41" s="3">
        <v>37.757924733796202</v>
      </c>
      <c r="P41" s="3">
        <v>44.740803778108898</v>
      </c>
      <c r="Q41" s="3">
        <v>17.501271488095</v>
      </c>
      <c r="R41" s="3">
        <v>0</v>
      </c>
      <c r="S41" s="3">
        <v>44.740803778108898</v>
      </c>
      <c r="T41" s="3">
        <v>0.68504521675443997</v>
      </c>
      <c r="U41" s="3">
        <v>-109.163904269113</v>
      </c>
      <c r="V41" s="3">
        <v>2.8742042902109199E-2</v>
      </c>
      <c r="W41" s="3">
        <v>99.763497444347806</v>
      </c>
      <c r="X41" s="3">
        <v>46.954982549606001</v>
      </c>
      <c r="Y41" s="3">
        <v>59.750874453629102</v>
      </c>
      <c r="Z41" s="3">
        <v>54.625054713048797</v>
      </c>
      <c r="AA41" s="3">
        <v>3.3131996670323498</v>
      </c>
      <c r="AB41" s="3">
        <v>766.40042409415196</v>
      </c>
      <c r="AC41" s="3">
        <v>18.0264700895099</v>
      </c>
      <c r="AD41" s="3">
        <v>0</v>
      </c>
      <c r="AE41" s="3">
        <v>172.22083352425199</v>
      </c>
      <c r="AF41" s="3">
        <v>111.98486918781001</v>
      </c>
      <c r="AG41" s="3">
        <v>25.6685831280084</v>
      </c>
      <c r="AH41" s="3">
        <v>-32.211756358000798</v>
      </c>
      <c r="AI41" s="3">
        <v>292461448.5</v>
      </c>
      <c r="AJ41" s="3">
        <v>8.2752552046808606E-2</v>
      </c>
      <c r="AK41" s="3">
        <v>1776</v>
      </c>
      <c r="AL41" s="3">
        <f t="shared" si="3"/>
        <v>1.3893932940910894</v>
      </c>
      <c r="AM41" s="4">
        <f t="shared" si="4"/>
        <v>0.65028556165787998</v>
      </c>
      <c r="AN41" s="4">
        <f t="shared" si="5"/>
        <v>1.3948774724266528</v>
      </c>
    </row>
    <row r="42" spans="1:40" x14ac:dyDescent="0.25">
      <c r="A42">
        <v>41</v>
      </c>
      <c r="B42" s="3">
        <v>85</v>
      </c>
      <c r="C42" s="3">
        <v>-75</v>
      </c>
      <c r="D42" s="3">
        <v>0.76095870642797703</v>
      </c>
      <c r="E42" s="3">
        <v>0.71072442756958298</v>
      </c>
      <c r="F42" s="3">
        <v>-5.02342788583943E-2</v>
      </c>
      <c r="G42" s="3">
        <v>4.8319816271105799E-2</v>
      </c>
      <c r="H42" s="3">
        <v>1.8583312724752301E-2</v>
      </c>
      <c r="I42" s="3">
        <v>4.8319816271105799E-2</v>
      </c>
      <c r="J42" s="3">
        <v>0.58890061634278001</v>
      </c>
      <c r="K42" s="3">
        <v>6.6008659598388603E-3</v>
      </c>
      <c r="L42" s="3">
        <v>58.648727997411697</v>
      </c>
      <c r="M42" s="3">
        <v>2.0224149644622398</v>
      </c>
      <c r="N42" s="3">
        <v>39.328857038126003</v>
      </c>
      <c r="O42" s="3">
        <v>40.973885927819502</v>
      </c>
      <c r="P42" s="3">
        <v>40.060149488570602</v>
      </c>
      <c r="Q42" s="3">
        <v>18.9659645836099</v>
      </c>
      <c r="R42" s="3">
        <v>0</v>
      </c>
      <c r="S42" s="3">
        <v>40.060149488570602</v>
      </c>
      <c r="T42" s="3">
        <v>0.73618946474736102</v>
      </c>
      <c r="U42" s="3">
        <v>-84.715076817155094</v>
      </c>
      <c r="V42" s="3">
        <v>0.88425165945157702</v>
      </c>
      <c r="W42" s="3">
        <v>99.827574314644394</v>
      </c>
      <c r="X42" s="3">
        <v>45.456370910382397</v>
      </c>
      <c r="Y42" s="3">
        <v>60.769939254552099</v>
      </c>
      <c r="Z42" s="3">
        <v>54.4914306966973</v>
      </c>
      <c r="AA42" s="3">
        <v>3.4142877394780702</v>
      </c>
      <c r="AB42" s="3">
        <v>765.78828990433794</v>
      </c>
      <c r="AC42" s="3">
        <v>13.794965083123699</v>
      </c>
      <c r="AD42" s="3">
        <v>0</v>
      </c>
      <c r="AE42" s="3">
        <v>172.14494554989301</v>
      </c>
      <c r="AF42" s="3">
        <v>112.012714523887</v>
      </c>
      <c r="AG42" s="3">
        <v>26.7253979007344</v>
      </c>
      <c r="AH42" s="3">
        <v>-22.771077717510298</v>
      </c>
      <c r="AI42" s="3">
        <v>1362747447.2</v>
      </c>
      <c r="AJ42" s="3">
        <v>6.4555039854858096E-2</v>
      </c>
      <c r="AK42" s="3">
        <v>4934</v>
      </c>
      <c r="AL42" s="3">
        <f t="shared" si="3"/>
        <v>1.0706803887832825</v>
      </c>
      <c r="AM42" s="4">
        <f t="shared" si="4"/>
        <v>0.7041235616097441</v>
      </c>
      <c r="AN42" s="4">
        <f t="shared" si="5"/>
        <v>1.0807175727627951</v>
      </c>
    </row>
    <row r="43" spans="1:40" x14ac:dyDescent="0.25">
      <c r="A43">
        <v>42</v>
      </c>
      <c r="B43" s="3">
        <v>85</v>
      </c>
      <c r="C43" s="3">
        <v>-50</v>
      </c>
      <c r="D43" s="3">
        <v>0.76693221991233096</v>
      </c>
      <c r="E43" s="3">
        <v>0.79124891534984199</v>
      </c>
      <c r="F43" s="3">
        <v>2.43166954375111E-2</v>
      </c>
      <c r="G43" s="3">
        <v>4.8436428503806903E-2</v>
      </c>
      <c r="H43" s="3">
        <v>1.9960504762415E-2</v>
      </c>
      <c r="I43" s="3">
        <v>4.8436428503806903E-2</v>
      </c>
      <c r="J43" s="3">
        <v>0.66144357587070801</v>
      </c>
      <c r="K43" s="3">
        <v>1.29719777091056E-2</v>
      </c>
      <c r="L43" s="3">
        <v>32.213785392876296</v>
      </c>
      <c r="M43" s="3">
        <v>4.0655286116554796</v>
      </c>
      <c r="N43" s="3">
        <v>63.720685995468202</v>
      </c>
      <c r="O43" s="3">
        <v>40.527241304550998</v>
      </c>
      <c r="P43" s="3">
        <v>39.680707367690403</v>
      </c>
      <c r="Q43" s="3">
        <v>19.7920513277586</v>
      </c>
      <c r="R43" s="3">
        <v>0</v>
      </c>
      <c r="S43" s="3">
        <v>39.680707367690403</v>
      </c>
      <c r="T43" s="3">
        <v>0.79686923514841501</v>
      </c>
      <c r="U43" s="3">
        <v>-60.256100896367002</v>
      </c>
      <c r="V43" s="3">
        <v>42.597235861731797</v>
      </c>
      <c r="W43" s="3">
        <v>99.866005323585796</v>
      </c>
      <c r="X43" s="3">
        <v>43.3033716722178</v>
      </c>
      <c r="Y43" s="3">
        <v>61.6769879913263</v>
      </c>
      <c r="Z43" s="3">
        <v>54.751453529952997</v>
      </c>
      <c r="AA43" s="3">
        <v>3.49995936520002</v>
      </c>
      <c r="AB43" s="3">
        <v>766.51563823501203</v>
      </c>
      <c r="AC43" s="3">
        <v>13.4235247082197</v>
      </c>
      <c r="AD43" s="3">
        <v>0</v>
      </c>
      <c r="AE43" s="3">
        <v>172.14628594883399</v>
      </c>
      <c r="AF43" s="3">
        <v>112.031471687435</v>
      </c>
      <c r="AG43" s="3">
        <v>27.165402627006799</v>
      </c>
      <c r="AH43" s="3">
        <v>-16.7301479362355</v>
      </c>
      <c r="AI43" s="3">
        <v>5414954180.1000004</v>
      </c>
      <c r="AJ43" s="3">
        <v>7.2395992185729993E-2</v>
      </c>
      <c r="AK43" s="3">
        <v>12917</v>
      </c>
      <c r="AL43" s="3">
        <f t="shared" si="3"/>
        <v>0.96926795731939841</v>
      </c>
      <c r="AM43" s="4">
        <f t="shared" si="4"/>
        <v>0.77827693764073635</v>
      </c>
      <c r="AN43" s="4">
        <f t="shared" si="5"/>
        <v>0.98542328934634027</v>
      </c>
    </row>
    <row r="44" spans="1:40" x14ac:dyDescent="0.25">
      <c r="A44">
        <v>43</v>
      </c>
      <c r="B44" s="3">
        <v>85</v>
      </c>
      <c r="C44" s="3">
        <v>-25</v>
      </c>
      <c r="D44" s="3">
        <v>0.82024288045910798</v>
      </c>
      <c r="E44" s="3">
        <v>0.899264643776302</v>
      </c>
      <c r="F44" s="3">
        <v>7.9021763317194502E-2</v>
      </c>
      <c r="G44" s="3">
        <v>4.8746607503963403E-2</v>
      </c>
      <c r="H44" s="3">
        <v>1.9833526613671999E-2</v>
      </c>
      <c r="I44" s="3">
        <v>4.8746607503963403E-2</v>
      </c>
      <c r="J44" s="3">
        <v>0.76080544926351301</v>
      </c>
      <c r="K44" s="3">
        <v>2.1132452891190399E-2</v>
      </c>
      <c r="L44" s="3">
        <v>22.425253448136498</v>
      </c>
      <c r="M44" s="3">
        <v>5.1251744834420396</v>
      </c>
      <c r="N44" s="3">
        <v>72.449572068421404</v>
      </c>
      <c r="O44" s="3">
        <v>38.099501198178601</v>
      </c>
      <c r="P44" s="3">
        <v>42.657715464400603</v>
      </c>
      <c r="Q44" s="3">
        <v>19.2427833374208</v>
      </c>
      <c r="R44" s="3">
        <v>0</v>
      </c>
      <c r="S44" s="3">
        <v>42.657715464400603</v>
      </c>
      <c r="T44" s="3">
        <v>0.79039047639828197</v>
      </c>
      <c r="U44" s="3">
        <v>-36.417066423795802</v>
      </c>
      <c r="V44" s="3">
        <v>185.69905208359</v>
      </c>
      <c r="W44" s="3">
        <v>99.830364067113095</v>
      </c>
      <c r="X44" s="3">
        <v>42.6054046072882</v>
      </c>
      <c r="Y44" s="3">
        <v>61.902917210939698</v>
      </c>
      <c r="Z44" s="3">
        <v>55.4543189067575</v>
      </c>
      <c r="AA44" s="3">
        <v>3.6352381281817698</v>
      </c>
      <c r="AB44" s="3">
        <v>764.06892953525403</v>
      </c>
      <c r="AC44" s="3">
        <v>18.3608101900561</v>
      </c>
      <c r="AD44" s="3">
        <v>0</v>
      </c>
      <c r="AE44" s="3">
        <v>172.65669128835901</v>
      </c>
      <c r="AF44" s="3">
        <v>112.156261106209</v>
      </c>
      <c r="AG44" s="3">
        <v>29.2606176628762</v>
      </c>
      <c r="AH44" s="3">
        <v>-8.1881607295432204</v>
      </c>
      <c r="AI44" s="3">
        <v>12558200935</v>
      </c>
      <c r="AJ44" s="3">
        <v>8.19881714091905E-2</v>
      </c>
      <c r="AK44" s="3">
        <v>27872</v>
      </c>
      <c r="AL44" s="3">
        <f t="shared" si="3"/>
        <v>0.91212624240917983</v>
      </c>
      <c r="AM44" s="4">
        <f t="shared" si="4"/>
        <v>0.87813219088511163</v>
      </c>
      <c r="AN44" s="4">
        <f t="shared" si="5"/>
        <v>0.93407676995913991</v>
      </c>
    </row>
    <row r="45" spans="1:40" x14ac:dyDescent="0.25">
      <c r="A45">
        <v>44</v>
      </c>
      <c r="B45" s="3">
        <v>85</v>
      </c>
      <c r="C45" s="3">
        <v>0</v>
      </c>
      <c r="D45" s="3">
        <v>0.82501349307622196</v>
      </c>
      <c r="E45" s="3">
        <v>0.94265824758688899</v>
      </c>
      <c r="F45" s="3">
        <v>0.117644754510667</v>
      </c>
      <c r="G45" s="3">
        <v>4.93965245078603E-2</v>
      </c>
      <c r="H45" s="3">
        <v>2.1161238430802001E-2</v>
      </c>
      <c r="I45" s="3">
        <v>4.93965245078603E-2</v>
      </c>
      <c r="J45" s="3">
        <v>0.787780113989484</v>
      </c>
      <c r="K45" s="3">
        <v>3.4923846150882301E-2</v>
      </c>
      <c r="L45" s="3">
        <v>19.537962157881299</v>
      </c>
      <c r="M45" s="3">
        <v>5.5501925171908404</v>
      </c>
      <c r="N45" s="3">
        <v>74.911845324927896</v>
      </c>
      <c r="O45" s="3">
        <v>33.573063315869199</v>
      </c>
      <c r="P45" s="3">
        <v>47.743112674918798</v>
      </c>
      <c r="Q45" s="3">
        <v>18.6838240092119</v>
      </c>
      <c r="R45" s="3">
        <v>0</v>
      </c>
      <c r="S45" s="3">
        <v>47.743112674918798</v>
      </c>
      <c r="T45" s="3">
        <v>0.82352015779479704</v>
      </c>
      <c r="U45" s="3">
        <v>-12.135709342727299</v>
      </c>
      <c r="V45" s="3">
        <v>610.18664213930799</v>
      </c>
      <c r="W45" s="3">
        <v>99.794974294620005</v>
      </c>
      <c r="X45" s="3">
        <v>42.284064141918002</v>
      </c>
      <c r="Y45" s="3">
        <v>61.607393500710899</v>
      </c>
      <c r="Z45" s="3">
        <v>56.951775177585503</v>
      </c>
      <c r="AA45" s="3">
        <v>3.83527945019312</v>
      </c>
      <c r="AB45" s="3">
        <v>761.17357587880201</v>
      </c>
      <c r="AC45" s="3">
        <v>25.154324635066502</v>
      </c>
      <c r="AD45" s="3">
        <v>0</v>
      </c>
      <c r="AE45" s="3">
        <v>171.46038315133501</v>
      </c>
      <c r="AF45" s="3">
        <v>112.08185642535599</v>
      </c>
      <c r="AG45" s="3">
        <v>30.864216657301299</v>
      </c>
      <c r="AH45" s="3">
        <v>-0.11372950533618501</v>
      </c>
      <c r="AI45" s="3">
        <v>19368821291.700001</v>
      </c>
      <c r="AJ45" s="3">
        <v>7.7014135703379005E-2</v>
      </c>
      <c r="AK45" s="3">
        <v>47319</v>
      </c>
      <c r="AL45" s="3">
        <f t="shared" si="3"/>
        <v>0.87519893364130019</v>
      </c>
      <c r="AM45" s="4">
        <f t="shared" si="4"/>
        <v>0.9077344014360067</v>
      </c>
      <c r="AN45" s="4">
        <f t="shared" si="5"/>
        <v>0.90887102193227121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E30"/>
  <sheetViews>
    <sheetView topLeftCell="H1" workbookViewId="0">
      <selection activeCell="A3" sqref="A3:AE12"/>
    </sheetView>
  </sheetViews>
  <sheetFormatPr defaultRowHeight="15" x14ac:dyDescent="0.25"/>
  <cols>
    <col min="1" max="1" width="13.140625" customWidth="1"/>
    <col min="2" max="2" width="16.28515625" customWidth="1"/>
    <col min="3" max="3" width="11.7109375" customWidth="1"/>
    <col min="4" max="4" width="12.140625" customWidth="1"/>
    <col min="5" max="5" width="15" customWidth="1"/>
    <col min="6" max="6" width="6.140625" customWidth="1"/>
    <col min="7" max="7" width="13.85546875" customWidth="1"/>
    <col min="8" max="8" width="15.28515625" customWidth="1"/>
    <col min="9" max="9" width="11.7109375" customWidth="1"/>
    <col min="10" max="10" width="12.140625" customWidth="1"/>
    <col min="11" max="11" width="15" customWidth="1"/>
    <col min="12" max="12" width="6.140625" customWidth="1"/>
    <col min="13" max="13" width="13.85546875" customWidth="1"/>
    <col min="14" max="14" width="15.28515625" customWidth="1"/>
    <col min="15" max="15" width="11.7109375" customWidth="1"/>
    <col min="16" max="16" width="12.140625" customWidth="1"/>
    <col min="17" max="17" width="15" customWidth="1"/>
    <col min="18" max="18" width="6.140625" customWidth="1"/>
    <col min="19" max="19" width="13.85546875" bestFit="1" customWidth="1"/>
    <col min="20" max="20" width="15.28515625" bestFit="1" customWidth="1"/>
    <col min="21" max="21" width="11.7109375" bestFit="1" customWidth="1"/>
    <col min="22" max="22" width="12.140625" bestFit="1" customWidth="1"/>
    <col min="23" max="23" width="15" bestFit="1" customWidth="1"/>
    <col min="24" max="24" width="6.140625" customWidth="1"/>
    <col min="25" max="25" width="13.85546875" bestFit="1" customWidth="1"/>
    <col min="26" max="26" width="16.28515625" bestFit="1" customWidth="1"/>
    <col min="27" max="27" width="11.7109375" bestFit="1" customWidth="1"/>
    <col min="28" max="28" width="12.140625" bestFit="1" customWidth="1"/>
    <col min="29" max="29" width="15" bestFit="1" customWidth="1"/>
    <col min="30" max="30" width="6.140625" customWidth="1"/>
    <col min="31" max="31" width="13.85546875" bestFit="1" customWidth="1"/>
    <col min="32" max="32" width="16.28515625" bestFit="1" customWidth="1"/>
    <col min="33" max="33" width="11.7109375" bestFit="1" customWidth="1"/>
    <col min="34" max="34" width="12.140625" bestFit="1" customWidth="1"/>
    <col min="35" max="35" width="15" bestFit="1" customWidth="1"/>
    <col min="36" max="36" width="6.140625" customWidth="1"/>
    <col min="37" max="37" width="13.85546875" bestFit="1" customWidth="1"/>
    <col min="38" max="38" width="11.5703125" bestFit="1" customWidth="1"/>
    <col min="39" max="39" width="11.7109375" bestFit="1" customWidth="1"/>
    <col min="40" max="40" width="12.140625" bestFit="1" customWidth="1"/>
    <col min="41" max="41" width="15" bestFit="1" customWidth="1"/>
    <col min="42" max="42" width="6.140625" customWidth="1"/>
    <col min="43" max="43" width="13.85546875" bestFit="1" customWidth="1"/>
    <col min="44" max="44" width="12.5703125" bestFit="1" customWidth="1"/>
    <col min="45" max="45" width="11.7109375" bestFit="1" customWidth="1"/>
    <col min="46" max="46" width="12.140625" bestFit="1" customWidth="1"/>
    <col min="47" max="47" width="15" bestFit="1" customWidth="1"/>
    <col min="48" max="48" width="6.140625" customWidth="1"/>
    <col min="49" max="49" width="13.85546875" bestFit="1" customWidth="1"/>
    <col min="50" max="50" width="14.28515625" bestFit="1" customWidth="1"/>
    <col min="51" max="51" width="11.7109375" bestFit="1" customWidth="1"/>
    <col min="52" max="52" width="12.140625" bestFit="1" customWidth="1"/>
    <col min="53" max="53" width="15" bestFit="1" customWidth="1"/>
    <col min="54" max="54" width="6.140625" customWidth="1"/>
    <col min="55" max="55" width="13.85546875" bestFit="1" customWidth="1"/>
    <col min="56" max="56" width="15.28515625" bestFit="1" customWidth="1"/>
    <col min="57" max="57" width="11.7109375" bestFit="1" customWidth="1"/>
    <col min="58" max="58" width="12.140625" bestFit="1" customWidth="1"/>
    <col min="59" max="59" width="15" bestFit="1" customWidth="1"/>
    <col min="60" max="60" width="6.140625" customWidth="1"/>
    <col min="61" max="61" width="13.85546875" bestFit="1" customWidth="1"/>
    <col min="62" max="62" width="16.28515625" bestFit="1" customWidth="1"/>
    <col min="63" max="63" width="11.7109375" bestFit="1" customWidth="1"/>
    <col min="64" max="64" width="12.140625" bestFit="1" customWidth="1"/>
    <col min="65" max="65" width="15" bestFit="1" customWidth="1"/>
    <col min="66" max="66" width="6.140625" customWidth="1"/>
    <col min="67" max="67" width="13.85546875" bestFit="1" customWidth="1"/>
    <col min="68" max="68" width="16.28515625" bestFit="1" customWidth="1"/>
    <col min="69" max="69" width="11.7109375" bestFit="1" customWidth="1"/>
    <col min="70" max="70" width="12.140625" bestFit="1" customWidth="1"/>
    <col min="71" max="71" width="15" bestFit="1" customWidth="1"/>
    <col min="72" max="72" width="6.140625" customWidth="1"/>
    <col min="73" max="73" width="13.85546875" bestFit="1" customWidth="1"/>
    <col min="74" max="74" width="16.28515625" bestFit="1" customWidth="1"/>
    <col min="75" max="75" width="11.7109375" bestFit="1" customWidth="1"/>
    <col min="76" max="76" width="12.140625" bestFit="1" customWidth="1"/>
    <col min="77" max="77" width="15" bestFit="1" customWidth="1"/>
    <col min="78" max="78" width="6.140625" customWidth="1"/>
    <col min="79" max="79" width="13.85546875" bestFit="1" customWidth="1"/>
  </cols>
  <sheetData>
    <row r="2" spans="1:31" x14ac:dyDescent="0.25">
      <c r="B2" s="5" t="s">
        <v>37</v>
      </c>
      <c r="E2" s="10"/>
      <c r="J2" s="10"/>
    </row>
    <row r="3" spans="1:31" x14ac:dyDescent="0.25">
      <c r="B3" s="3">
        <v>85</v>
      </c>
      <c r="H3" s="3">
        <v>110</v>
      </c>
      <c r="N3" s="3">
        <v>150</v>
      </c>
      <c r="T3" s="3">
        <v>175</v>
      </c>
      <c r="Z3" s="3">
        <v>200</v>
      </c>
    </row>
    <row r="4" spans="1:31" x14ac:dyDescent="0.25">
      <c r="A4" s="5" t="s">
        <v>38</v>
      </c>
      <c r="B4" s="3" t="s">
        <v>39</v>
      </c>
      <c r="C4" s="3" t="s">
        <v>40</v>
      </c>
      <c r="D4" s="3" t="s">
        <v>41</v>
      </c>
      <c r="E4" s="3" t="s">
        <v>42</v>
      </c>
      <c r="F4" s="3" t="s">
        <v>43</v>
      </c>
      <c r="G4" s="3" t="s">
        <v>44</v>
      </c>
      <c r="H4" s="3" t="s">
        <v>39</v>
      </c>
      <c r="I4" s="3" t="s">
        <v>40</v>
      </c>
      <c r="J4" s="3" t="s">
        <v>41</v>
      </c>
      <c r="K4" s="3" t="s">
        <v>42</v>
      </c>
      <c r="L4" s="3" t="s">
        <v>43</v>
      </c>
      <c r="M4" s="3" t="s">
        <v>44</v>
      </c>
      <c r="N4" s="3" t="s">
        <v>39</v>
      </c>
      <c r="O4" s="3" t="s">
        <v>40</v>
      </c>
      <c r="P4" s="3" t="s">
        <v>41</v>
      </c>
      <c r="Q4" s="3" t="s">
        <v>42</v>
      </c>
      <c r="R4" s="3" t="s">
        <v>43</v>
      </c>
      <c r="S4" s="3" t="s">
        <v>44</v>
      </c>
      <c r="T4" s="3" t="s">
        <v>39</v>
      </c>
      <c r="U4" s="3" t="s">
        <v>40</v>
      </c>
      <c r="V4" s="3" t="s">
        <v>41</v>
      </c>
      <c r="W4" s="3" t="s">
        <v>42</v>
      </c>
      <c r="X4" s="3" t="s">
        <v>43</v>
      </c>
      <c r="Y4" s="3" t="s">
        <v>44</v>
      </c>
      <c r="Z4" s="3" t="s">
        <v>39</v>
      </c>
      <c r="AA4" s="3" t="s">
        <v>40</v>
      </c>
      <c r="AB4" s="3" t="s">
        <v>41</v>
      </c>
      <c r="AC4" s="3" t="s">
        <v>42</v>
      </c>
      <c r="AD4" s="3" t="s">
        <v>43</v>
      </c>
      <c r="AE4" s="3" t="s">
        <v>44</v>
      </c>
    </row>
    <row r="5" spans="1:31" x14ac:dyDescent="0.25">
      <c r="A5" s="6">
        <v>-175</v>
      </c>
      <c r="B5" s="7">
        <v>488533.5</v>
      </c>
      <c r="C5" s="11">
        <v>7.5213920846779205E-4</v>
      </c>
      <c r="D5" s="11">
        <v>0.57764538083851102</v>
      </c>
      <c r="E5" s="11">
        <v>0.57764242800581034</v>
      </c>
      <c r="F5" s="11">
        <v>1.3020777685021656E-3</v>
      </c>
      <c r="G5" s="11">
        <v>1.3020844245537769E-3</v>
      </c>
      <c r="H5" s="7">
        <v>451969.4</v>
      </c>
      <c r="I5" s="11">
        <v>0</v>
      </c>
      <c r="J5" s="11">
        <v>0.58296020143094196</v>
      </c>
      <c r="K5" s="11">
        <v>0.58295120645944676</v>
      </c>
      <c r="L5" s="11">
        <v>0</v>
      </c>
      <c r="M5" s="11">
        <v>0</v>
      </c>
      <c r="N5" s="7">
        <v>1158048.1000000001</v>
      </c>
      <c r="O5" s="11">
        <v>3.0158558698900298E-3</v>
      </c>
      <c r="P5" s="11">
        <v>0.44957722307672998</v>
      </c>
      <c r="Q5" s="11">
        <v>0.44952673517562663</v>
      </c>
      <c r="R5" s="11">
        <v>6.7082043197177485E-3</v>
      </c>
      <c r="S5" s="11">
        <v>6.7089577413271271E-3</v>
      </c>
      <c r="T5" s="7">
        <v>281354.7</v>
      </c>
      <c r="U5" s="11">
        <v>0</v>
      </c>
      <c r="V5" s="11">
        <v>0.45165785065955399</v>
      </c>
      <c r="W5" s="11">
        <v>0.45148049700944659</v>
      </c>
      <c r="X5" s="11">
        <v>0</v>
      </c>
      <c r="Y5" s="11">
        <v>0</v>
      </c>
      <c r="Z5" s="7">
        <v>2938559.1</v>
      </c>
      <c r="AA5" s="11">
        <v>7.3962218421947E-5</v>
      </c>
      <c r="AB5" s="11">
        <v>0.434222354511827</v>
      </c>
      <c r="AC5" s="11">
        <v>0.43404203557288323</v>
      </c>
      <c r="AD5" s="11">
        <v>1.7033259032713498E-4</v>
      </c>
      <c r="AE5" s="11">
        <v>1.7040335350083265E-4</v>
      </c>
    </row>
    <row r="6" spans="1:31" x14ac:dyDescent="0.25">
      <c r="A6" s="6">
        <v>-150</v>
      </c>
      <c r="B6" s="7">
        <v>4838230.0999999996</v>
      </c>
      <c r="C6" s="11">
        <v>9.6399666998062006E-3</v>
      </c>
      <c r="D6" s="11">
        <v>0.55477070561323905</v>
      </c>
      <c r="E6" s="11">
        <v>0.5547042890042404</v>
      </c>
      <c r="F6" s="11">
        <v>1.7376488344225494E-2</v>
      </c>
      <c r="G6" s="11">
        <v>1.737856888958093E-2</v>
      </c>
      <c r="H6" s="7">
        <v>3028281.2</v>
      </c>
      <c r="I6" s="11">
        <v>0.80176924152882501</v>
      </c>
      <c r="J6" s="11">
        <v>0.55592840034694502</v>
      </c>
      <c r="K6" s="11">
        <v>0.55558882130624188</v>
      </c>
      <c r="L6" s="11">
        <v>1.4422167333571285</v>
      </c>
      <c r="M6" s="11">
        <v>1.4430982244095367</v>
      </c>
      <c r="N6" s="7">
        <v>6808924.5</v>
      </c>
      <c r="O6" s="11">
        <v>1.4011899431400699E-2</v>
      </c>
      <c r="P6" s="11">
        <v>0.49483061008781498</v>
      </c>
      <c r="Q6" s="11">
        <v>0.49418713640429313</v>
      </c>
      <c r="R6" s="11">
        <v>2.831655751634702E-2</v>
      </c>
      <c r="S6" s="11">
        <v>2.835342808263144E-2</v>
      </c>
      <c r="T6" s="7">
        <v>3149335.9</v>
      </c>
      <c r="U6" s="11">
        <v>2.59566697283704E-2</v>
      </c>
      <c r="V6" s="11">
        <v>0.460021184583571</v>
      </c>
      <c r="W6" s="11">
        <v>0.45889176426674527</v>
      </c>
      <c r="X6" s="11">
        <v>5.6424944324830133E-2</v>
      </c>
      <c r="Y6" s="11">
        <v>5.6563816894482921E-2</v>
      </c>
      <c r="Z6" s="7">
        <v>20139479.899999999</v>
      </c>
      <c r="AA6" s="11">
        <v>2.2170798696812399</v>
      </c>
      <c r="AB6" s="11">
        <v>0.43929577382498503</v>
      </c>
      <c r="AC6" s="11">
        <v>0.43694117600926646</v>
      </c>
      <c r="AD6" s="11">
        <v>5.0468955127360777</v>
      </c>
      <c r="AE6" s="11">
        <v>5.0740923296142295</v>
      </c>
    </row>
    <row r="7" spans="1:31" x14ac:dyDescent="0.25">
      <c r="A7" s="6">
        <v>-125</v>
      </c>
      <c r="B7" s="7">
        <v>40793430</v>
      </c>
      <c r="C7" s="11">
        <v>0.14115249188214901</v>
      </c>
      <c r="D7" s="11">
        <v>0.60276184377935804</v>
      </c>
      <c r="E7" s="11">
        <v>0.60206746505474151</v>
      </c>
      <c r="F7" s="11">
        <v>0.23417622289611634</v>
      </c>
      <c r="G7" s="11">
        <v>0.2344463039026948</v>
      </c>
      <c r="H7" s="7">
        <v>39035811.600000001</v>
      </c>
      <c r="I7" s="11">
        <v>0.25237078541822899</v>
      </c>
      <c r="J7" s="11">
        <v>0.55704686011262405</v>
      </c>
      <c r="K7" s="11">
        <v>0.55515292084947754</v>
      </c>
      <c r="L7" s="11">
        <v>0.45305126640010956</v>
      </c>
      <c r="M7" s="11">
        <v>0.45459687941848376</v>
      </c>
      <c r="N7" s="7">
        <v>70532001</v>
      </c>
      <c r="O7" s="11">
        <v>0.35037417787806702</v>
      </c>
      <c r="P7" s="11">
        <v>0.51629125531676801</v>
      </c>
      <c r="Q7" s="11">
        <v>0.51312900236770409</v>
      </c>
      <c r="R7" s="11">
        <v>0.67863666926354704</v>
      </c>
      <c r="S7" s="11">
        <v>0.68281889400395213</v>
      </c>
      <c r="T7" s="7">
        <v>38724152.600000001</v>
      </c>
      <c r="U7" s="11">
        <v>0.45182697437541902</v>
      </c>
      <c r="V7" s="11">
        <v>0.48077306214642901</v>
      </c>
      <c r="W7" s="11">
        <v>0.47653380148946001</v>
      </c>
      <c r="X7" s="11">
        <v>0.93979261724486163</v>
      </c>
      <c r="Y7" s="11">
        <v>0.94815304384113563</v>
      </c>
      <c r="Z7" s="7">
        <v>335218091.5</v>
      </c>
      <c r="AA7" s="11">
        <v>0.41364190189466499</v>
      </c>
      <c r="AB7" s="11">
        <v>0.438652807876656</v>
      </c>
      <c r="AC7" s="11">
        <v>0.4284676453150818</v>
      </c>
      <c r="AD7" s="11">
        <v>0.94298245552545557</v>
      </c>
      <c r="AE7" s="11">
        <v>0.96539821948629423</v>
      </c>
    </row>
    <row r="8" spans="1:31" x14ac:dyDescent="0.25">
      <c r="A8" s="6">
        <v>-100</v>
      </c>
      <c r="B8" s="7">
        <v>292461448.5</v>
      </c>
      <c r="C8" s="11">
        <v>0.90706868060088996</v>
      </c>
      <c r="D8" s="11">
        <v>0.65285235250417295</v>
      </c>
      <c r="E8" s="11">
        <v>0.65028556165787998</v>
      </c>
      <c r="F8" s="11">
        <v>1.3893932940910894</v>
      </c>
      <c r="G8" s="11">
        <v>1.3948774724266528</v>
      </c>
      <c r="H8" s="7">
        <v>392191752.60000002</v>
      </c>
      <c r="I8" s="11">
        <v>0.78584576868868605</v>
      </c>
      <c r="J8" s="11">
        <v>0.60288913650730103</v>
      </c>
      <c r="K8" s="11">
        <v>0.59757905834418534</v>
      </c>
      <c r="L8" s="11">
        <v>1.3034664602538735</v>
      </c>
      <c r="M8" s="11">
        <v>1.3150490428265065</v>
      </c>
      <c r="N8" s="7">
        <v>731421249.10000002</v>
      </c>
      <c r="O8" s="11">
        <v>0.71376871313629697</v>
      </c>
      <c r="P8" s="11">
        <v>0.55585861026251004</v>
      </c>
      <c r="Q8" s="11">
        <v>0.54753039913227963</v>
      </c>
      <c r="R8" s="11">
        <v>1.2840832182112143</v>
      </c>
      <c r="S8" s="11">
        <v>1.3036147659882813</v>
      </c>
      <c r="T8" s="7">
        <v>424766759.30000001</v>
      </c>
      <c r="U8" s="11">
        <v>0.55552322521742603</v>
      </c>
      <c r="V8" s="11">
        <v>0.52126422451976995</v>
      </c>
      <c r="W8" s="11">
        <v>0.51032127502721902</v>
      </c>
      <c r="X8" s="11">
        <v>1.0657229080495947</v>
      </c>
      <c r="Y8" s="11">
        <v>1.0885754766696647</v>
      </c>
      <c r="Z8" s="7">
        <v>4381810081.3000002</v>
      </c>
      <c r="AA8" s="11">
        <v>0.41371681785979397</v>
      </c>
      <c r="AB8" s="11">
        <v>0.47816965083777002</v>
      </c>
      <c r="AC8" s="11">
        <v>0.45578612355632531</v>
      </c>
      <c r="AD8" s="11">
        <v>0.86520927694793592</v>
      </c>
      <c r="AE8" s="11">
        <v>0.90769945919309569</v>
      </c>
    </row>
    <row r="9" spans="1:31" x14ac:dyDescent="0.25">
      <c r="A9" s="8">
        <v>-75</v>
      </c>
      <c r="B9" s="9">
        <v>1362747447.2</v>
      </c>
      <c r="C9" s="12">
        <v>0.76095870642797703</v>
      </c>
      <c r="D9" s="12">
        <v>0.71072442756958298</v>
      </c>
      <c r="E9" s="12">
        <v>0.7041235616097441</v>
      </c>
      <c r="F9" s="12">
        <v>1.0706803887832825</v>
      </c>
      <c r="G9" s="12">
        <v>1.0807175727627951</v>
      </c>
      <c r="H9" s="9">
        <v>2144100766.4000001</v>
      </c>
      <c r="I9" s="12">
        <v>0.66247028344860104</v>
      </c>
      <c r="J9" s="12">
        <v>0.65847663900060704</v>
      </c>
      <c r="K9" s="12">
        <v>0.6466357272977451</v>
      </c>
      <c r="L9" s="12">
        <v>1.0060649751433175</v>
      </c>
      <c r="M9" s="12">
        <v>1.024487598631501</v>
      </c>
      <c r="N9" s="9">
        <v>4734935979.6000004</v>
      </c>
      <c r="O9" s="12">
        <v>0.74363181723453298</v>
      </c>
      <c r="P9" s="12">
        <v>0.60733368703151802</v>
      </c>
      <c r="Q9" s="12">
        <v>0.59025664223632668</v>
      </c>
      <c r="R9" s="12">
        <v>1.2244205008110174</v>
      </c>
      <c r="S9" s="12">
        <v>1.2598448946158542</v>
      </c>
      <c r="T9" s="9">
        <v>3117240112.1999998</v>
      </c>
      <c r="U9" s="12">
        <v>0.58389240736353099</v>
      </c>
      <c r="V9" s="12">
        <v>0.57174503648028396</v>
      </c>
      <c r="W9" s="12">
        <v>0.55036155665242059</v>
      </c>
      <c r="X9" s="12">
        <v>1.0212461326433673</v>
      </c>
      <c r="Y9" s="12">
        <v>1.0609251324076161</v>
      </c>
      <c r="Z9" s="9">
        <v>40557876203.900002</v>
      </c>
      <c r="AA9" s="12">
        <v>0.47356911269068602</v>
      </c>
      <c r="AB9" s="12">
        <v>0.52794189769530997</v>
      </c>
      <c r="AC9" s="12">
        <v>0.48789422950851546</v>
      </c>
      <c r="AD9" s="12">
        <v>0.89700990726065843</v>
      </c>
      <c r="AE9" s="12">
        <v>0.97063888861268155</v>
      </c>
    </row>
    <row r="10" spans="1:31" x14ac:dyDescent="0.25">
      <c r="A10" s="6">
        <v>-50</v>
      </c>
      <c r="B10" s="7">
        <v>5414954180.1000004</v>
      </c>
      <c r="C10" s="11">
        <v>0.76693221991233096</v>
      </c>
      <c r="D10" s="11">
        <v>0.79124891534984199</v>
      </c>
      <c r="E10" s="11">
        <v>0.77827693764073635</v>
      </c>
      <c r="F10" s="11">
        <v>0.96926795731939841</v>
      </c>
      <c r="G10" s="11">
        <v>0.98542328934634027</v>
      </c>
      <c r="H10" s="7">
        <v>9870188707.6000004</v>
      </c>
      <c r="I10" s="11">
        <v>0.75228695771266696</v>
      </c>
      <c r="J10" s="11">
        <v>0.73738029304561203</v>
      </c>
      <c r="K10" s="11">
        <v>0.71676253011696234</v>
      </c>
      <c r="L10" s="11">
        <v>1.020215707970016</v>
      </c>
      <c r="M10" s="11">
        <v>1.0495623391333078</v>
      </c>
      <c r="N10" s="7">
        <v>23474302159.900002</v>
      </c>
      <c r="O10" s="11">
        <v>0.69681138195660197</v>
      </c>
      <c r="P10" s="11">
        <v>0.68467742111561902</v>
      </c>
      <c r="Q10" s="11">
        <v>0.65607394887505677</v>
      </c>
      <c r="R10" s="11">
        <v>1.0177221571308892</v>
      </c>
      <c r="S10" s="11">
        <v>1.0620927460256515</v>
      </c>
      <c r="T10" s="7">
        <v>16067322671.9</v>
      </c>
      <c r="U10" s="11">
        <v>0.706459051979482</v>
      </c>
      <c r="V10" s="11">
        <v>0.64770409184910804</v>
      </c>
      <c r="W10" s="11">
        <v>0.61231970570654037</v>
      </c>
      <c r="X10" s="11">
        <v>1.0907126585577627</v>
      </c>
      <c r="Y10" s="11">
        <v>1.1537421471097629</v>
      </c>
      <c r="Z10" s="7">
        <v>243551740603.89999</v>
      </c>
      <c r="AA10" s="11">
        <v>0.56367766448916701</v>
      </c>
      <c r="AB10" s="11">
        <v>0.61045951934873299</v>
      </c>
      <c r="AC10" s="11">
        <v>0.5448681923516957</v>
      </c>
      <c r="AD10" s="11">
        <v>0.92336616372290325</v>
      </c>
      <c r="AE10" s="11">
        <v>1.0345211418128264</v>
      </c>
    </row>
    <row r="11" spans="1:31" x14ac:dyDescent="0.25">
      <c r="A11" s="6">
        <v>-25</v>
      </c>
      <c r="B11" s="7">
        <v>12558200935</v>
      </c>
      <c r="C11" s="11">
        <v>0.82024288045910798</v>
      </c>
      <c r="D11" s="11">
        <v>0.899264643776302</v>
      </c>
      <c r="E11" s="11">
        <v>0.87813219088511163</v>
      </c>
      <c r="F11" s="11">
        <v>0.91212624240917983</v>
      </c>
      <c r="G11" s="11">
        <v>0.93407676995913991</v>
      </c>
      <c r="H11" s="7">
        <v>22538638913.799999</v>
      </c>
      <c r="I11" s="11">
        <v>0.78261799640429697</v>
      </c>
      <c r="J11" s="11">
        <v>0.84552292269056994</v>
      </c>
      <c r="K11" s="11">
        <v>0.8120425405207703</v>
      </c>
      <c r="L11" s="11">
        <v>0.92560234075487757</v>
      </c>
      <c r="M11" s="11">
        <v>0.96376477506017966</v>
      </c>
      <c r="N11" s="7">
        <v>53937995797.300003</v>
      </c>
      <c r="O11" s="11">
        <v>0.78391795670064501</v>
      </c>
      <c r="P11" s="11">
        <v>0.79004467582764104</v>
      </c>
      <c r="Q11" s="11">
        <v>0.74297678696238489</v>
      </c>
      <c r="R11" s="11">
        <v>0.99224509788566351</v>
      </c>
      <c r="S11" s="11">
        <v>1.0551042380551963</v>
      </c>
      <c r="T11" s="7">
        <v>38072425699.599998</v>
      </c>
      <c r="U11" s="11">
        <v>0.76609999648758498</v>
      </c>
      <c r="V11" s="11">
        <v>0.74987308951034004</v>
      </c>
      <c r="W11" s="11">
        <v>0.69112871095374107</v>
      </c>
      <c r="X11" s="11">
        <v>1.0216395376820908</v>
      </c>
      <c r="Y11" s="11">
        <v>1.1084765895926756</v>
      </c>
      <c r="Z11" s="7">
        <v>540234429640.20001</v>
      </c>
      <c r="AA11" s="11">
        <v>0.66900422532126103</v>
      </c>
      <c r="AB11" s="11">
        <v>0.724808668314463</v>
      </c>
      <c r="AC11" s="11">
        <v>0.61490163232927197</v>
      </c>
      <c r="AD11" s="11">
        <v>0.92300803586831437</v>
      </c>
      <c r="AE11" s="11">
        <v>1.0879857690197476</v>
      </c>
    </row>
    <row r="12" spans="1:31" x14ac:dyDescent="0.25">
      <c r="A12" s="6">
        <v>0</v>
      </c>
      <c r="B12" s="7">
        <v>19368821291.700001</v>
      </c>
      <c r="C12" s="11">
        <v>0.82501349307622196</v>
      </c>
      <c r="D12" s="11">
        <v>0.94265824758688899</v>
      </c>
      <c r="E12" s="11">
        <v>0.9077344014360067</v>
      </c>
      <c r="F12" s="11">
        <v>0.87519893364130019</v>
      </c>
      <c r="G12" s="11">
        <v>0.90887102193227121</v>
      </c>
      <c r="H12" s="7">
        <v>32534589612.5</v>
      </c>
      <c r="I12" s="11">
        <v>0.87178375675221098</v>
      </c>
      <c r="J12" s="11">
        <v>0.89596120369309695</v>
      </c>
      <c r="K12" s="11">
        <v>0.83900043142888725</v>
      </c>
      <c r="L12" s="11">
        <v>0.97301507382102259</v>
      </c>
      <c r="M12" s="11">
        <v>1.0390742651556102</v>
      </c>
      <c r="N12" s="7">
        <v>75485525496.5</v>
      </c>
      <c r="O12" s="11">
        <v>0.86356101428058196</v>
      </c>
      <c r="P12" s="11">
        <v>0.84756375478865098</v>
      </c>
      <c r="Q12" s="11">
        <v>0.7673573810922879</v>
      </c>
      <c r="R12" s="11">
        <v>1.0188744025467678</v>
      </c>
      <c r="S12" s="11">
        <v>1.1253700499386008</v>
      </c>
      <c r="T12" s="7">
        <v>53559789764.400002</v>
      </c>
      <c r="U12" s="11">
        <v>0.83075719071396603</v>
      </c>
      <c r="V12" s="11">
        <v>0.81362950721100502</v>
      </c>
      <c r="W12" s="11">
        <v>0.71327670541183297</v>
      </c>
      <c r="X12" s="11">
        <v>1.0210509615877528</v>
      </c>
      <c r="Y12" s="11">
        <v>1.1647053442384634</v>
      </c>
      <c r="Z12" s="7">
        <v>540376511070.20001</v>
      </c>
      <c r="AA12" s="11">
        <v>0.76103014545249004</v>
      </c>
      <c r="AB12" s="11">
        <v>0.80882872939026995</v>
      </c>
      <c r="AC12" s="11">
        <v>0.63685457781974897</v>
      </c>
      <c r="AD12" s="11">
        <v>0.94090394888196838</v>
      </c>
      <c r="AE12" s="11">
        <v>1.1949826097785967</v>
      </c>
    </row>
    <row r="14" spans="1:3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24" spans="1:3" x14ac:dyDescent="0.25">
      <c r="A24" s="3"/>
      <c r="C24" s="3"/>
    </row>
    <row r="25" spans="1:3" x14ac:dyDescent="0.25">
      <c r="A25" s="3"/>
      <c r="C25" s="3"/>
    </row>
    <row r="26" spans="1:3" x14ac:dyDescent="0.25">
      <c r="A26" s="3"/>
      <c r="C26" s="3"/>
    </row>
    <row r="27" spans="1:3" x14ac:dyDescent="0.25">
      <c r="A27" s="3"/>
      <c r="C27" s="3"/>
    </row>
    <row r="28" spans="1:3" x14ac:dyDescent="0.25">
      <c r="A28" s="3"/>
      <c r="C28" s="3"/>
    </row>
    <row r="29" spans="1:3" x14ac:dyDescent="0.25">
      <c r="A29" s="3"/>
      <c r="C29" s="3"/>
    </row>
    <row r="30" spans="1:3" x14ac:dyDescent="0.25">
      <c r="A30" s="3"/>
      <c r="C30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0"/>
  <sheetViews>
    <sheetView tabSelected="1" workbookViewId="0">
      <selection activeCell="AD34" sqref="AD34"/>
    </sheetView>
  </sheetViews>
  <sheetFormatPr defaultRowHeight="15" x14ac:dyDescent="0.25"/>
  <cols>
    <col min="2" max="2" width="15.28515625" bestFit="1" customWidth="1"/>
    <col min="8" max="8" width="15.28515625" bestFit="1" customWidth="1"/>
    <col min="14" max="14" width="15.28515625" bestFit="1" customWidth="1"/>
    <col min="20" max="20" width="15.28515625" bestFit="1" customWidth="1"/>
    <col min="26" max="26" width="16.28515625" bestFit="1" customWidth="1"/>
  </cols>
  <sheetData>
    <row r="1" spans="1:31" x14ac:dyDescent="0.25">
      <c r="A1" s="1"/>
      <c r="B1" s="1">
        <v>85</v>
      </c>
      <c r="C1" s="1"/>
      <c r="D1" s="1"/>
      <c r="E1" s="1"/>
      <c r="F1" s="1"/>
      <c r="G1" s="1"/>
      <c r="H1" s="1">
        <v>110</v>
      </c>
      <c r="I1" s="1"/>
      <c r="J1" s="1"/>
      <c r="K1" s="1"/>
      <c r="L1" s="1"/>
      <c r="M1" s="1"/>
      <c r="N1" s="1">
        <v>150</v>
      </c>
      <c r="O1" s="1"/>
      <c r="P1" s="1"/>
      <c r="Q1" s="1"/>
      <c r="R1" s="1"/>
      <c r="S1" s="1"/>
      <c r="T1" s="1">
        <v>175</v>
      </c>
      <c r="U1" s="1"/>
      <c r="V1" s="1"/>
      <c r="W1" s="1"/>
      <c r="X1" s="1"/>
      <c r="Y1" s="1"/>
      <c r="Z1" s="1">
        <v>200</v>
      </c>
      <c r="AA1" s="1"/>
      <c r="AB1" s="1"/>
      <c r="AC1" s="1"/>
      <c r="AD1" s="1"/>
      <c r="AE1" s="1"/>
    </row>
    <row r="2" spans="1:31" x14ac:dyDescent="0.25">
      <c r="A2" s="14" t="s">
        <v>38</v>
      </c>
      <c r="B2" s="14" t="s">
        <v>39</v>
      </c>
      <c r="C2" s="14" t="s">
        <v>40</v>
      </c>
      <c r="D2" s="14" t="s">
        <v>41</v>
      </c>
      <c r="E2" s="14" t="s">
        <v>42</v>
      </c>
      <c r="F2" s="14" t="s">
        <v>43</v>
      </c>
      <c r="G2" s="14" t="s">
        <v>44</v>
      </c>
      <c r="H2" s="14" t="s">
        <v>39</v>
      </c>
      <c r="I2" s="14" t="s">
        <v>40</v>
      </c>
      <c r="J2" s="14" t="s">
        <v>41</v>
      </c>
      <c r="K2" s="14" t="s">
        <v>42</v>
      </c>
      <c r="L2" s="14" t="s">
        <v>43</v>
      </c>
      <c r="M2" s="14" t="s">
        <v>44</v>
      </c>
      <c r="N2" s="14" t="s">
        <v>39</v>
      </c>
      <c r="O2" s="14" t="s">
        <v>40</v>
      </c>
      <c r="P2" s="14" t="s">
        <v>41</v>
      </c>
      <c r="Q2" s="14" t="s">
        <v>42</v>
      </c>
      <c r="R2" s="14" t="s">
        <v>43</v>
      </c>
      <c r="S2" s="14" t="s">
        <v>44</v>
      </c>
      <c r="T2" s="14" t="s">
        <v>39</v>
      </c>
      <c r="U2" s="14" t="s">
        <v>40</v>
      </c>
      <c r="V2" s="14" t="s">
        <v>41</v>
      </c>
      <c r="W2" s="14" t="s">
        <v>42</v>
      </c>
      <c r="X2" s="14" t="s">
        <v>43</v>
      </c>
      <c r="Y2" s="14" t="s">
        <v>44</v>
      </c>
      <c r="Z2" s="14" t="s">
        <v>39</v>
      </c>
      <c r="AA2" s="14" t="s">
        <v>40</v>
      </c>
      <c r="AB2" s="14" t="s">
        <v>41</v>
      </c>
      <c r="AC2" s="14" t="s">
        <v>42</v>
      </c>
      <c r="AD2" s="14" t="s">
        <v>43</v>
      </c>
      <c r="AE2" s="14" t="s">
        <v>44</v>
      </c>
    </row>
    <row r="3" spans="1:31" x14ac:dyDescent="0.25">
      <c r="A3" s="6">
        <v>-175</v>
      </c>
      <c r="B3" s="7">
        <v>488533.5</v>
      </c>
      <c r="C3" s="11">
        <v>7.5213920846779205E-4</v>
      </c>
      <c r="D3" s="11">
        <v>0.57764538083851102</v>
      </c>
      <c r="E3" s="11">
        <v>0.57764242800581034</v>
      </c>
      <c r="F3" s="11">
        <v>1.3020777685021656E-3</v>
      </c>
      <c r="G3" s="11">
        <v>1.3020844245537769E-3</v>
      </c>
      <c r="H3" s="7">
        <v>451969.4</v>
      </c>
      <c r="I3" s="11">
        <v>0</v>
      </c>
      <c r="J3" s="11">
        <v>0.58296020143094196</v>
      </c>
      <c r="K3" s="11">
        <v>0.58295120645944676</v>
      </c>
      <c r="L3" s="11">
        <v>0</v>
      </c>
      <c r="M3" s="11">
        <v>0</v>
      </c>
      <c r="N3" s="7">
        <v>1158048.1000000001</v>
      </c>
      <c r="O3" s="11">
        <v>3.0158558698900298E-3</v>
      </c>
      <c r="P3" s="11">
        <v>0.44957722307672998</v>
      </c>
      <c r="Q3" s="11">
        <v>0.44952673517562663</v>
      </c>
      <c r="R3" s="11">
        <v>6.7082043197177485E-3</v>
      </c>
      <c r="S3" s="11">
        <v>6.7089577413271271E-3</v>
      </c>
      <c r="T3" s="7">
        <v>281354.7</v>
      </c>
      <c r="U3" s="11">
        <v>0</v>
      </c>
      <c r="V3" s="11">
        <v>0.45165785065955399</v>
      </c>
      <c r="W3" s="11">
        <v>0.45148049700944659</v>
      </c>
      <c r="X3" s="11">
        <v>0</v>
      </c>
      <c r="Y3" s="11">
        <v>0</v>
      </c>
      <c r="Z3" s="7">
        <v>2938559.1</v>
      </c>
      <c r="AA3" s="11">
        <v>7.3962218421947E-5</v>
      </c>
      <c r="AB3" s="11">
        <v>0.434222354511827</v>
      </c>
      <c r="AC3" s="11">
        <v>0.43404203557288323</v>
      </c>
      <c r="AD3" s="11">
        <v>1.7033259032713498E-4</v>
      </c>
      <c r="AE3" s="11">
        <v>1.7040335350083265E-4</v>
      </c>
    </row>
    <row r="4" spans="1:31" x14ac:dyDescent="0.25">
      <c r="A4" s="6">
        <v>-150</v>
      </c>
      <c r="B4" s="7">
        <v>4838230.0999999996</v>
      </c>
      <c r="C4" s="11">
        <v>9.6399666998062006E-3</v>
      </c>
      <c r="D4" s="11">
        <v>0.55477070561323905</v>
      </c>
      <c r="E4" s="11">
        <v>0.5547042890042404</v>
      </c>
      <c r="F4" s="11">
        <v>1.7376488344225494E-2</v>
      </c>
      <c r="G4" s="11">
        <v>1.737856888958093E-2</v>
      </c>
      <c r="H4" s="7">
        <v>3028281.2</v>
      </c>
      <c r="I4" s="11">
        <v>0.80176924152882501</v>
      </c>
      <c r="J4" s="11">
        <v>0.55592840034694502</v>
      </c>
      <c r="K4" s="11">
        <v>0.55558882130624188</v>
      </c>
      <c r="L4" s="11">
        <v>1.4422167333571285</v>
      </c>
      <c r="M4" s="11">
        <v>1.4430982244095367</v>
      </c>
      <c r="N4" s="7">
        <v>6808924.5</v>
      </c>
      <c r="O4" s="11">
        <v>1.4011899431400699E-2</v>
      </c>
      <c r="P4" s="11">
        <v>0.49483061008781498</v>
      </c>
      <c r="Q4" s="11">
        <v>0.49418713640429313</v>
      </c>
      <c r="R4" s="11">
        <v>2.831655751634702E-2</v>
      </c>
      <c r="S4" s="11">
        <v>2.835342808263144E-2</v>
      </c>
      <c r="T4" s="7">
        <v>3149335.9</v>
      </c>
      <c r="U4" s="11">
        <v>2.59566697283704E-2</v>
      </c>
      <c r="V4" s="11">
        <v>0.460021184583571</v>
      </c>
      <c r="W4" s="11">
        <v>0.45889176426674527</v>
      </c>
      <c r="X4" s="11">
        <v>5.6424944324830133E-2</v>
      </c>
      <c r="Y4" s="11">
        <v>5.6563816894482921E-2</v>
      </c>
      <c r="Z4" s="7">
        <v>20139479.899999999</v>
      </c>
      <c r="AA4" s="11">
        <v>2.2170798696812399</v>
      </c>
      <c r="AB4" s="11">
        <v>0.43929577382498503</v>
      </c>
      <c r="AC4" s="11">
        <v>0.43694117600926646</v>
      </c>
      <c r="AD4" s="11">
        <v>5.0468955127360777</v>
      </c>
      <c r="AE4" s="11">
        <v>5.0740923296142295</v>
      </c>
    </row>
    <row r="5" spans="1:31" x14ac:dyDescent="0.25">
      <c r="A5" s="6">
        <v>-125</v>
      </c>
      <c r="B5" s="7">
        <v>40793430</v>
      </c>
      <c r="C5" s="11">
        <v>0.14115249188214901</v>
      </c>
      <c r="D5" s="11">
        <v>0.60276184377935804</v>
      </c>
      <c r="E5" s="11">
        <v>0.60206746505474151</v>
      </c>
      <c r="F5" s="11">
        <v>0.23417622289611634</v>
      </c>
      <c r="G5" s="11">
        <v>0.2344463039026948</v>
      </c>
      <c r="H5" s="7">
        <v>39035811.600000001</v>
      </c>
      <c r="I5" s="11">
        <v>0.25237078541822899</v>
      </c>
      <c r="J5" s="11">
        <v>0.55704686011262405</v>
      </c>
      <c r="K5" s="11">
        <v>0.55515292084947754</v>
      </c>
      <c r="L5" s="11">
        <v>0.45305126640010956</v>
      </c>
      <c r="M5" s="11">
        <v>0.45459687941848376</v>
      </c>
      <c r="N5" s="7">
        <v>70532001</v>
      </c>
      <c r="O5" s="11">
        <v>0.35037417787806702</v>
      </c>
      <c r="P5" s="11">
        <v>0.51629125531676801</v>
      </c>
      <c r="Q5" s="11">
        <v>0.51312900236770409</v>
      </c>
      <c r="R5" s="11">
        <v>0.67863666926354704</v>
      </c>
      <c r="S5" s="11">
        <v>0.68281889400395213</v>
      </c>
      <c r="T5" s="7">
        <v>38724152.600000001</v>
      </c>
      <c r="U5" s="11">
        <v>0.45182697437541902</v>
      </c>
      <c r="V5" s="11">
        <v>0.48077306214642901</v>
      </c>
      <c r="W5" s="11">
        <v>0.47653380148946001</v>
      </c>
      <c r="X5" s="11">
        <v>0.93979261724486163</v>
      </c>
      <c r="Y5" s="11">
        <v>0.94815304384113563</v>
      </c>
      <c r="Z5" s="7">
        <v>335218091.5</v>
      </c>
      <c r="AA5" s="11">
        <v>0.41364190189466499</v>
      </c>
      <c r="AB5" s="11">
        <v>0.438652807876656</v>
      </c>
      <c r="AC5" s="11">
        <v>0.4284676453150818</v>
      </c>
      <c r="AD5" s="11">
        <v>0.94298245552545557</v>
      </c>
      <c r="AE5" s="11">
        <v>0.96539821948629423</v>
      </c>
    </row>
    <row r="6" spans="1:31" x14ac:dyDescent="0.25">
      <c r="A6" s="6">
        <v>-100</v>
      </c>
      <c r="B6" s="7">
        <v>292461448.5</v>
      </c>
      <c r="C6" s="11">
        <v>0.90706868060088996</v>
      </c>
      <c r="D6" s="11">
        <v>0.65285235250417295</v>
      </c>
      <c r="E6" s="11">
        <v>0.65028556165787998</v>
      </c>
      <c r="F6" s="11">
        <v>1.3893932940910894</v>
      </c>
      <c r="G6" s="11">
        <v>1.3948774724266528</v>
      </c>
      <c r="H6" s="7">
        <v>392191752.60000002</v>
      </c>
      <c r="I6" s="11">
        <v>0.78584576868868605</v>
      </c>
      <c r="J6" s="11">
        <v>0.60288913650730103</v>
      </c>
      <c r="K6" s="11">
        <v>0.59757905834418534</v>
      </c>
      <c r="L6" s="11">
        <v>1.3034664602538735</v>
      </c>
      <c r="M6" s="11">
        <v>1.3150490428265065</v>
      </c>
      <c r="N6" s="7">
        <v>731421249.10000002</v>
      </c>
      <c r="O6" s="11">
        <v>0.71376871313629697</v>
      </c>
      <c r="P6" s="11">
        <v>0.55585861026251004</v>
      </c>
      <c r="Q6" s="11">
        <v>0.54753039913227963</v>
      </c>
      <c r="R6" s="11">
        <v>1.2840832182112143</v>
      </c>
      <c r="S6" s="11">
        <v>1.3036147659882813</v>
      </c>
      <c r="T6" s="7">
        <v>424766759.30000001</v>
      </c>
      <c r="U6" s="11">
        <v>0.55552322521742603</v>
      </c>
      <c r="V6" s="11">
        <v>0.52126422451976995</v>
      </c>
      <c r="W6" s="11">
        <v>0.51032127502721902</v>
      </c>
      <c r="X6" s="11">
        <v>1.0657229080495947</v>
      </c>
      <c r="Y6" s="11">
        <v>1.0885754766696647</v>
      </c>
      <c r="Z6" s="7">
        <v>4381810081.3000002</v>
      </c>
      <c r="AA6" s="11">
        <v>0.41371681785979397</v>
      </c>
      <c r="AB6" s="11">
        <v>0.47816965083777002</v>
      </c>
      <c r="AC6" s="11">
        <v>0.45578612355632531</v>
      </c>
      <c r="AD6" s="11">
        <v>0.86520927694793592</v>
      </c>
      <c r="AE6" s="11">
        <v>0.90769945919309569</v>
      </c>
    </row>
    <row r="7" spans="1:31" x14ac:dyDescent="0.25">
      <c r="A7" s="8">
        <v>-75</v>
      </c>
      <c r="B7" s="9">
        <v>1362747447.2</v>
      </c>
      <c r="C7" s="12">
        <v>0.76095870642797703</v>
      </c>
      <c r="D7" s="12">
        <v>0.71072442756958298</v>
      </c>
      <c r="E7" s="12">
        <v>0.7041235616097441</v>
      </c>
      <c r="F7" s="12">
        <v>1.0706803887832825</v>
      </c>
      <c r="G7" s="12">
        <v>1.0807175727627951</v>
      </c>
      <c r="H7" s="9">
        <v>2144100766.4000001</v>
      </c>
      <c r="I7" s="12">
        <v>0.66247028344860104</v>
      </c>
      <c r="J7" s="12">
        <v>0.65847663900060704</v>
      </c>
      <c r="K7" s="12">
        <v>0.6466357272977451</v>
      </c>
      <c r="L7" s="12">
        <v>1.0060649751433175</v>
      </c>
      <c r="M7" s="12">
        <v>1.024487598631501</v>
      </c>
      <c r="N7" s="9">
        <v>4734935979.6000004</v>
      </c>
      <c r="O7" s="12">
        <v>0.74363181723453298</v>
      </c>
      <c r="P7" s="12">
        <v>0.60733368703151802</v>
      </c>
      <c r="Q7" s="12">
        <v>0.59025664223632668</v>
      </c>
      <c r="R7" s="12">
        <v>1.2244205008110174</v>
      </c>
      <c r="S7" s="12">
        <v>1.2598448946158542</v>
      </c>
      <c r="T7" s="9">
        <v>3117240112.1999998</v>
      </c>
      <c r="U7" s="12">
        <v>0.58389240736353099</v>
      </c>
      <c r="V7" s="12">
        <v>0.57174503648028396</v>
      </c>
      <c r="W7" s="12">
        <v>0.55036155665242059</v>
      </c>
      <c r="X7" s="12">
        <v>1.0212461326433673</v>
      </c>
      <c r="Y7" s="12">
        <v>1.0609251324076161</v>
      </c>
      <c r="Z7" s="9">
        <v>40557876203.900002</v>
      </c>
      <c r="AA7" s="12">
        <v>0.47356911269068602</v>
      </c>
      <c r="AB7" s="12">
        <v>0.52794189769530997</v>
      </c>
      <c r="AC7" s="12">
        <v>0.48789422950851546</v>
      </c>
      <c r="AD7" s="12">
        <v>0.89700990726065843</v>
      </c>
      <c r="AE7" s="12">
        <v>0.97063888861268155</v>
      </c>
    </row>
    <row r="8" spans="1:31" x14ac:dyDescent="0.25">
      <c r="A8" s="6">
        <v>-50</v>
      </c>
      <c r="B8" s="7">
        <v>5414954180.1000004</v>
      </c>
      <c r="C8" s="11">
        <v>0.76693221991233096</v>
      </c>
      <c r="D8" s="11">
        <v>0.79124891534984199</v>
      </c>
      <c r="E8" s="11">
        <v>0.77827693764073635</v>
      </c>
      <c r="F8" s="11">
        <v>0.96926795731939841</v>
      </c>
      <c r="G8" s="11">
        <v>0.98542328934634027</v>
      </c>
      <c r="H8" s="7">
        <v>9870188707.6000004</v>
      </c>
      <c r="I8" s="11">
        <v>0.75228695771266696</v>
      </c>
      <c r="J8" s="11">
        <v>0.73738029304561203</v>
      </c>
      <c r="K8" s="11">
        <v>0.71676253011696234</v>
      </c>
      <c r="L8" s="11">
        <v>1.020215707970016</v>
      </c>
      <c r="M8" s="11">
        <v>1.0495623391333078</v>
      </c>
      <c r="N8" s="7">
        <v>23474302159.900002</v>
      </c>
      <c r="O8" s="11">
        <v>0.69681138195660197</v>
      </c>
      <c r="P8" s="11">
        <v>0.68467742111561902</v>
      </c>
      <c r="Q8" s="11">
        <v>0.65607394887505677</v>
      </c>
      <c r="R8" s="11">
        <v>1.0177221571308892</v>
      </c>
      <c r="S8" s="11">
        <v>1.0620927460256515</v>
      </c>
      <c r="T8" s="7">
        <v>16067322671.9</v>
      </c>
      <c r="U8" s="11">
        <v>0.706459051979482</v>
      </c>
      <c r="V8" s="11">
        <v>0.64770409184910804</v>
      </c>
      <c r="W8" s="11">
        <v>0.61231970570654037</v>
      </c>
      <c r="X8" s="11">
        <v>1.0907126585577627</v>
      </c>
      <c r="Y8" s="11">
        <v>1.1537421471097629</v>
      </c>
      <c r="Z8" s="7">
        <v>243551740603.89999</v>
      </c>
      <c r="AA8" s="11">
        <v>0.56367766448916701</v>
      </c>
      <c r="AB8" s="11">
        <v>0.61045951934873299</v>
      </c>
      <c r="AC8" s="11">
        <v>0.5448681923516957</v>
      </c>
      <c r="AD8" s="11">
        <v>0.92336616372290325</v>
      </c>
      <c r="AE8" s="11">
        <v>1.0345211418128264</v>
      </c>
    </row>
    <row r="9" spans="1:31" x14ac:dyDescent="0.25">
      <c r="A9" s="6">
        <v>-25</v>
      </c>
      <c r="B9" s="7">
        <v>12558200935</v>
      </c>
      <c r="C9" s="11">
        <v>0.82024288045910798</v>
      </c>
      <c r="D9" s="11">
        <v>0.899264643776302</v>
      </c>
      <c r="E9" s="11">
        <v>0.87813219088511163</v>
      </c>
      <c r="F9" s="11">
        <v>0.91212624240917983</v>
      </c>
      <c r="G9" s="11">
        <v>0.93407676995913991</v>
      </c>
      <c r="H9" s="7">
        <v>22538638913.799999</v>
      </c>
      <c r="I9" s="11">
        <v>0.78261799640429697</v>
      </c>
      <c r="J9" s="11">
        <v>0.84552292269056994</v>
      </c>
      <c r="K9" s="11">
        <v>0.8120425405207703</v>
      </c>
      <c r="L9" s="11">
        <v>0.92560234075487757</v>
      </c>
      <c r="M9" s="11">
        <v>0.96376477506017966</v>
      </c>
      <c r="N9" s="7">
        <v>53937995797.300003</v>
      </c>
      <c r="O9" s="11">
        <v>0.78391795670064501</v>
      </c>
      <c r="P9" s="11">
        <v>0.79004467582764104</v>
      </c>
      <c r="Q9" s="11">
        <v>0.74297678696238489</v>
      </c>
      <c r="R9" s="11">
        <v>0.99224509788566351</v>
      </c>
      <c r="S9" s="11">
        <v>1.0551042380551963</v>
      </c>
      <c r="T9" s="7">
        <v>38072425699.599998</v>
      </c>
      <c r="U9" s="11">
        <v>0.76609999648758498</v>
      </c>
      <c r="V9" s="11">
        <v>0.74987308951034004</v>
      </c>
      <c r="W9" s="11">
        <v>0.69112871095374107</v>
      </c>
      <c r="X9" s="11">
        <v>1.0216395376820908</v>
      </c>
      <c r="Y9" s="11">
        <v>1.1084765895926756</v>
      </c>
      <c r="Z9" s="7">
        <v>540234429640.20001</v>
      </c>
      <c r="AA9" s="11">
        <v>0.66900422532126103</v>
      </c>
      <c r="AB9" s="11">
        <v>0.724808668314463</v>
      </c>
      <c r="AC9" s="11">
        <v>0.61490163232927197</v>
      </c>
      <c r="AD9" s="11">
        <v>0.92300803586831437</v>
      </c>
      <c r="AE9" s="11">
        <v>1.0879857690197476</v>
      </c>
    </row>
    <row r="10" spans="1:31" x14ac:dyDescent="0.25">
      <c r="A10" s="6">
        <v>0</v>
      </c>
      <c r="B10" s="7">
        <v>19368821291.700001</v>
      </c>
      <c r="C10" s="11">
        <v>0.82501349307622196</v>
      </c>
      <c r="D10" s="11">
        <v>0.94265824758688899</v>
      </c>
      <c r="E10" s="11">
        <v>0.9077344014360067</v>
      </c>
      <c r="F10" s="11">
        <v>0.87519893364130019</v>
      </c>
      <c r="G10" s="11">
        <v>0.90887102193227121</v>
      </c>
      <c r="H10" s="7">
        <v>32534589612.5</v>
      </c>
      <c r="I10" s="11">
        <v>0.87178375675221098</v>
      </c>
      <c r="J10" s="11">
        <v>0.89596120369309695</v>
      </c>
      <c r="K10" s="11">
        <v>0.83900043142888725</v>
      </c>
      <c r="L10" s="11">
        <v>0.97301507382102259</v>
      </c>
      <c r="M10" s="11">
        <v>1.0390742651556102</v>
      </c>
      <c r="N10" s="7">
        <v>75485525496.5</v>
      </c>
      <c r="O10" s="11">
        <v>0.86356101428058196</v>
      </c>
      <c r="P10" s="11">
        <v>0.84756375478865098</v>
      </c>
      <c r="Q10" s="11">
        <v>0.7673573810922879</v>
      </c>
      <c r="R10" s="11">
        <v>1.0188744025467678</v>
      </c>
      <c r="S10" s="11">
        <v>1.1253700499386008</v>
      </c>
      <c r="T10" s="7">
        <v>53559789764.400002</v>
      </c>
      <c r="U10" s="11">
        <v>0.83075719071396603</v>
      </c>
      <c r="V10" s="11">
        <v>0.81362950721100502</v>
      </c>
      <c r="W10" s="11">
        <v>0.71327670541183297</v>
      </c>
      <c r="X10" s="11">
        <v>1.0210509615877528</v>
      </c>
      <c r="Y10" s="11">
        <v>1.1647053442384634</v>
      </c>
      <c r="Z10" s="7">
        <v>540376511070.20001</v>
      </c>
      <c r="AA10" s="11">
        <v>0.76103014545249004</v>
      </c>
      <c r="AB10" s="11">
        <v>0.80882872939026995</v>
      </c>
      <c r="AC10" s="11">
        <v>0.63685457781974897</v>
      </c>
      <c r="AD10" s="11">
        <v>0.94090394888196838</v>
      </c>
      <c r="AE10" s="11">
        <v>1.1949826097785967</v>
      </c>
    </row>
    <row r="15" spans="1:31" x14ac:dyDescent="0.25">
      <c r="C15">
        <v>85</v>
      </c>
      <c r="D15" s="3">
        <v>85</v>
      </c>
      <c r="E15" s="3">
        <v>85</v>
      </c>
      <c r="I15" s="3">
        <v>110</v>
      </c>
      <c r="J15" s="3">
        <v>110</v>
      </c>
      <c r="K15" s="3">
        <v>110</v>
      </c>
      <c r="O15" s="3">
        <v>150</v>
      </c>
      <c r="P15" s="3">
        <v>150</v>
      </c>
      <c r="Q15" s="3">
        <v>150</v>
      </c>
      <c r="U15" s="3">
        <v>175</v>
      </c>
      <c r="V15" s="3">
        <v>175</v>
      </c>
      <c r="W15" s="3">
        <v>175</v>
      </c>
      <c r="AA15" s="3" t="s">
        <v>51</v>
      </c>
      <c r="AB15" s="3" t="s">
        <v>51</v>
      </c>
      <c r="AC15" s="3" t="s">
        <v>51</v>
      </c>
    </row>
    <row r="16" spans="1:31" x14ac:dyDescent="0.25">
      <c r="C16" s="3" t="s">
        <v>48</v>
      </c>
      <c r="D16" s="3" t="s">
        <v>49</v>
      </c>
      <c r="E16" s="3" t="s">
        <v>50</v>
      </c>
      <c r="I16" s="3" t="s">
        <v>48</v>
      </c>
      <c r="J16" s="3" t="s">
        <v>49</v>
      </c>
      <c r="K16" s="3" t="s">
        <v>50</v>
      </c>
      <c r="O16" s="3" t="s">
        <v>48</v>
      </c>
      <c r="P16" s="3" t="s">
        <v>49</v>
      </c>
      <c r="Q16" s="3" t="s">
        <v>50</v>
      </c>
      <c r="U16" s="3" t="s">
        <v>48</v>
      </c>
      <c r="V16" s="3" t="s">
        <v>49</v>
      </c>
      <c r="W16" s="3" t="s">
        <v>50</v>
      </c>
      <c r="AA16" s="3" t="s">
        <v>48</v>
      </c>
      <c r="AB16" s="3" t="s">
        <v>49</v>
      </c>
      <c r="AC16" s="3" t="s">
        <v>50</v>
      </c>
    </row>
    <row r="17" spans="1:29" x14ac:dyDescent="0.25">
      <c r="A17" s="13">
        <f>A7</f>
        <v>-75</v>
      </c>
      <c r="B17" s="13"/>
      <c r="C17" s="2">
        <f>100*(1-(1-C7/100)^12)</f>
        <v>8.7588561871538175</v>
      </c>
      <c r="D17" s="2">
        <f>100*(1-(1-D7/100)^12)</f>
        <v>8.2030811421268996</v>
      </c>
      <c r="E17" s="2">
        <f t="shared" ref="E17:E20" si="0">C17/D17</f>
        <v>1.0677519867714993</v>
      </c>
      <c r="F17" s="13"/>
      <c r="G17" s="13"/>
      <c r="H17" s="13"/>
      <c r="I17" s="2">
        <f>100*(1-(1-I7/100)^12)</f>
        <v>7.666293124468937</v>
      </c>
      <c r="J17" s="2">
        <f>100*(1-(1-J7/100)^12)</f>
        <v>7.6217384176686114</v>
      </c>
      <c r="K17" s="2">
        <f t="shared" ref="K17:K20" si="1">I17/J17</f>
        <v>1.0058457407429569</v>
      </c>
      <c r="L17" s="13"/>
      <c r="M17" s="13"/>
      <c r="N17" s="13"/>
      <c r="O17" s="2">
        <f>100*(1-(1-O7/100)^12)</f>
        <v>8.5675067916609944</v>
      </c>
      <c r="P17" s="2">
        <f>100*(1-(1-P7/100)^12)</f>
        <v>7.0494221577480314</v>
      </c>
      <c r="Q17" s="2">
        <f t="shared" ref="Q17:Q20" si="2">O17/P17</f>
        <v>1.2153488044753333</v>
      </c>
      <c r="R17" s="13"/>
      <c r="S17" s="13"/>
      <c r="T17" s="13"/>
      <c r="U17" s="2">
        <f>100*(1-(1-U7/100)^12)</f>
        <v>6.7860173260783974</v>
      </c>
      <c r="V17" s="2">
        <f>100*(1-(1-V7/100)^12)</f>
        <v>6.6492508283504392</v>
      </c>
      <c r="W17" s="2">
        <f t="shared" ref="W17:W20" si="3">U17/V17</f>
        <v>1.0205687078527443</v>
      </c>
      <c r="X17" s="13"/>
      <c r="Y17" s="13"/>
      <c r="Z17" s="13"/>
      <c r="AA17" s="2">
        <f>100*(1-(1-AA7/100)^12)</f>
        <v>5.5371244960777606</v>
      </c>
      <c r="AB17" s="2">
        <f>100*(1-(1-AB7/100)^12)</f>
        <v>6.1545449792045126</v>
      </c>
      <c r="AC17" s="2">
        <f t="shared" ref="AC17:AC20" si="4">AA17/AB17</f>
        <v>0.89968056367888394</v>
      </c>
    </row>
    <row r="18" spans="1:29" x14ac:dyDescent="0.25">
      <c r="A18" s="3">
        <f>A8</f>
        <v>-50</v>
      </c>
      <c r="C18" s="15">
        <f>100*(1-(1-C8/100)^12)</f>
        <v>8.8247395080245266</v>
      </c>
      <c r="D18" s="15">
        <f>100*(1-(1-D8/100)^12)</f>
        <v>9.0924843775762927</v>
      </c>
      <c r="E18" s="15">
        <f t="shared" si="0"/>
        <v>0.97055316694169158</v>
      </c>
      <c r="I18" s="15">
        <f>100*(1-(1-I8/100)^12)</f>
        <v>8.6631357164313467</v>
      </c>
      <c r="J18" s="15">
        <f>100*(1-(1-J8/100)^12)</f>
        <v>8.4983778682188991</v>
      </c>
      <c r="K18" s="15">
        <f t="shared" si="1"/>
        <v>1.019386976052052</v>
      </c>
      <c r="O18" s="15">
        <f>100*(1-(1-O8/100)^12)</f>
        <v>8.0486040970754065</v>
      </c>
      <c r="P18" s="15">
        <f>100*(1-(1-P8/100)^12)</f>
        <v>7.9136857982556874</v>
      </c>
      <c r="Q18" s="15">
        <f t="shared" si="2"/>
        <v>1.0170487308011973</v>
      </c>
      <c r="U18" s="15">
        <f>100*(1-(1-U8/100)^12)</f>
        <v>8.155747829119619</v>
      </c>
      <c r="V18" s="15">
        <f>100*(1-(1-V8/100)^12)</f>
        <v>7.5014572441388871</v>
      </c>
      <c r="W18" s="15">
        <f t="shared" si="3"/>
        <v>1.0872217975369984</v>
      </c>
      <c r="AA18" s="15">
        <f>100*(1-(1-AA8/100)^12)</f>
        <v>6.558319164989701</v>
      </c>
      <c r="AB18" s="15">
        <f>100*(1-(1-AB8/100)^12)</f>
        <v>7.0844948865179669</v>
      </c>
      <c r="AC18" s="15">
        <f t="shared" si="4"/>
        <v>0.92572854805363813</v>
      </c>
    </row>
    <row r="19" spans="1:29" x14ac:dyDescent="0.25">
      <c r="A19" s="3">
        <f>A9</f>
        <v>-25</v>
      </c>
      <c r="C19" s="15">
        <f>100*(1-(1-C9/100)^12)</f>
        <v>9.4107873577290562</v>
      </c>
      <c r="D19" s="15">
        <f>100*(1-(1-D9/100)^12)</f>
        <v>10.273128591326774</v>
      </c>
      <c r="E19" s="15">
        <f t="shared" si="0"/>
        <v>0.91605855743636255</v>
      </c>
      <c r="I19" s="15">
        <f>100*(1-(1-I9/100)^12)</f>
        <v>8.9975341728277485</v>
      </c>
      <c r="J19" s="15">
        <f>100*(1-(1-J9/100)^12)</f>
        <v>9.6874839039930993</v>
      </c>
      <c r="K19" s="15">
        <f t="shared" si="1"/>
        <v>0.92877926425447177</v>
      </c>
      <c r="O19" s="15">
        <f>100*(1-(1-O9/100)^12)</f>
        <v>9.0118410693269428</v>
      </c>
      <c r="P19" s="15">
        <f>100*(1-(1-P9/100)^12)</f>
        <v>9.0792417878718936</v>
      </c>
      <c r="Q19" s="15">
        <f t="shared" si="2"/>
        <v>0.99257639347869497</v>
      </c>
      <c r="U19" s="15">
        <f>100*(1-(1-U9/100)^12)</f>
        <v>8.8155633304505479</v>
      </c>
      <c r="V19" s="15">
        <f>100*(1-(1-V9/100)^12)</f>
        <v>8.6364745905534122</v>
      </c>
      <c r="W19" s="15">
        <f t="shared" si="3"/>
        <v>1.020736324529111</v>
      </c>
      <c r="AA19" s="15">
        <f>100*(1-(1-AA9/100)^12)</f>
        <v>7.7391459369218989</v>
      </c>
      <c r="AB19" s="15">
        <f>100*(1-(1-AB9/100)^12)</f>
        <v>8.3592166389014686</v>
      </c>
      <c r="AC19" s="15">
        <f t="shared" si="4"/>
        <v>0.92582191265459812</v>
      </c>
    </row>
    <row r="20" spans="1:29" x14ac:dyDescent="0.25">
      <c r="A20" s="3">
        <f>A10</f>
        <v>0</v>
      </c>
      <c r="C20" s="15">
        <f>100*(1-(1-C10/100)^12)</f>
        <v>9.4630623469689201</v>
      </c>
      <c r="D20" s="15">
        <f>100*(1-(1-D10/100)^12)</f>
        <v>10.743463233024976</v>
      </c>
      <c r="E20" s="15">
        <f t="shared" si="0"/>
        <v>0.88082047117542561</v>
      </c>
      <c r="I20" s="15">
        <f>100*(1-(1-I10/100)^12)</f>
        <v>9.9740949025583614</v>
      </c>
      <c r="J20" s="15">
        <f>100*(1-(1-J10/100)^12)</f>
        <v>10.237230368223926</v>
      </c>
      <c r="K20" s="15">
        <f t="shared" si="1"/>
        <v>0.97429622503344948</v>
      </c>
      <c r="O20" s="15">
        <f>100*(1-(1-O10/100)^12)</f>
        <v>9.884441601138505</v>
      </c>
      <c r="P20" s="15">
        <f>100*(1-(1-P10/100)^12)</f>
        <v>9.7097875042544413</v>
      </c>
      <c r="Q20" s="15">
        <f t="shared" si="2"/>
        <v>1.0179874273054417</v>
      </c>
      <c r="U20" s="15">
        <f>100*(1-(1-U10/100)^12)</f>
        <v>9.5259634316378623</v>
      </c>
      <c r="V20" s="15">
        <f>100*(1-(1-V10/100)^12)</f>
        <v>9.3382741685903881</v>
      </c>
      <c r="W20" s="15">
        <f t="shared" si="3"/>
        <v>1.0200989240258949</v>
      </c>
      <c r="AA20" s="15">
        <f>100*(1-(1-AA10/100)^12)</f>
        <v>8.7596443631480003</v>
      </c>
      <c r="AB20" s="15">
        <f>100*(1-(1-AB10/100)^12)</f>
        <v>9.2856020904900856</v>
      </c>
      <c r="AC20" s="15">
        <f t="shared" si="4"/>
        <v>0.94335771420996506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Tracking_aggData_by_incentive_2</vt:lpstr>
      <vt:lpstr>Pivot</vt:lpstr>
      <vt:lpstr>Analysis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2018-04-26T15:06:17Z</dcterms:created>
  <dcterms:modified xsi:type="dcterms:W3CDTF">2018-04-26T17:54:42Z</dcterms:modified>
</cp:coreProperties>
</file>