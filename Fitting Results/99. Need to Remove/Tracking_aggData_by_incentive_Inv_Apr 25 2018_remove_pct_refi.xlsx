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35235" windowHeight="19695" activeTab="1"/>
  </bookViews>
  <sheets>
    <sheet name="Sheet1" sheetId="2" r:id="rId1"/>
    <sheet name="Tracking_aggData_by_incentive_n" sheetId="1" r:id="rId2"/>
    <sheet name="Sheet2" sheetId="3" r:id="rId3"/>
  </sheets>
  <calcPr calcId="145621"/>
  <pivotCaches>
    <pivotCache cacheId="9" r:id="rId4"/>
  </pivotCaches>
</workbook>
</file>

<file path=xl/calcChain.xml><?xml version="1.0" encoding="utf-8"?>
<calcChain xmlns="http://schemas.openxmlformats.org/spreadsheetml/2006/main">
  <c r="P14" i="3" l="1"/>
  <c r="AK24" i="1" l="1"/>
  <c r="E20" i="3" l="1"/>
  <c r="E19" i="3"/>
  <c r="E18" i="3"/>
  <c r="E17" i="3"/>
  <c r="E16" i="3"/>
  <c r="E15" i="3"/>
  <c r="E14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P15" i="3"/>
  <c r="P16" i="3"/>
  <c r="P17" i="3"/>
  <c r="P18" i="3"/>
  <c r="P19" i="3"/>
  <c r="P20" i="3"/>
  <c r="C13" i="3" l="1"/>
  <c r="D13" i="3"/>
  <c r="I13" i="3"/>
  <c r="O13" i="3"/>
  <c r="C14" i="3"/>
  <c r="D14" i="3"/>
  <c r="O14" i="3"/>
  <c r="Q14" i="3"/>
  <c r="C15" i="3"/>
  <c r="D15" i="3"/>
  <c r="O15" i="3"/>
  <c r="Q15" i="3"/>
  <c r="C16" i="3"/>
  <c r="D16" i="3"/>
  <c r="O16" i="3"/>
  <c r="Q16" i="3"/>
  <c r="C17" i="3"/>
  <c r="D17" i="3"/>
  <c r="O17" i="3"/>
  <c r="Q17" i="3"/>
  <c r="C18" i="3"/>
  <c r="D18" i="3"/>
  <c r="O18" i="3"/>
  <c r="Q18" i="3"/>
  <c r="C19" i="3"/>
  <c r="D19" i="3"/>
  <c r="O19" i="3"/>
  <c r="Q19" i="3"/>
  <c r="C20" i="3"/>
  <c r="D20" i="3"/>
  <c r="O20" i="3"/>
  <c r="Q20" i="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<sst xmlns="http://schemas.openxmlformats.org/spreadsheetml/2006/main" count="114" uniqueCount="54">
  <si>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</si>
  <si>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</si>
  <si>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</si>
  <si>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</si>
  <si>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</si>
  <si>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</si>
  <si>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</si>
  <si>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</si>
  <si>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</si>
  <si>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</si>
  <si>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</si>
  <si>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</si>
  <si>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</si>
  <si>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</si>
  <si>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</si>
  <si>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</si>
  <si>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</si>
  <si>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</si>
  <si>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</si>
  <si>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</si>
  <si>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</si>
  <si>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</si>
  <si>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</si>
  <si>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</si>
  <si>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</si>
  <si>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</si>
  <si>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</si>
  <si>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</si>
  <si>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</si>
  <si>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</si>
  <si>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</si>
  <si>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</si>
  <si>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</si>
  <si>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</si>
  <si>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</si>
  <si>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</si>
  <si>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</si>
  <si>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</si>
  <si>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</si>
  <si>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</si>
  <si>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</si>
  <si>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</si>
  <si>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</si>
  <si>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</si>
  <si>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</si>
  <si>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</si>
  <si>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</si>
  <si>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</si>
  <si>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</si>
  <si>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</si>
  <si>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</si>
  <si>
    <t>actual</t>
  </si>
  <si>
    <t>model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</si>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</sst>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0" borderId="0" xfId="0" applyBorder="1"/>
    <xf numFmtId="165" fontId="0" fillId="0" borderId="0" xfId="0" applyNumberFormat="1"/>
    <xf numFmtId="165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64" fontId="0" fillId="0" borderId="0" xfId="1" applyNumberFormat="1" applyFont="1"/>
    <xf numFmtId="0" fontId="0" fillId="33" borderId="0" xfId="0" applyFill="1"/>
    <xf numFmtId="166" fontId="0" fillId="0" borderId="0" xfId="0" applyNumberFormat="1"/>
    <xf numFmtId="0" fontId="16" fillId="34" borderId="1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Sheet2!$C$17:$C$20</c:f>
              <c:numCache>
                <c:formatCode>General</c:formatCode>
                <c:ptCount val="4"/>
                <c:pt idx="0">
                  <c:v>6.1940703790964724</c:v>
                </c:pt>
                <c:pt idx="1">
                  <c:v>7.7795421257919939</c:v>
                </c:pt>
                <c:pt idx="2">
                  <c:v>10.039342040310695</c:v>
                </c:pt>
                <c:pt idx="3">
                  <c:v>8.5383676610233614</c:v>
                </c:pt>
              </c:numCache>
            </c:numRef>
          </c:val>
          <c:smooth val="0"/>
        </c:ser>
        <c:ser>
          <c:idx val="1"/>
          <c:order val="1"/>
          <c:tx>
            <c:v>NCO</c:v>
          </c:tx>
          <c:marker>
            <c:symbol val="none"/>
          </c:marker>
          <c:val>
            <c:numRef>
              <c:f>Sheet2!$O$17:$O$20</c:f>
              <c:numCache>
                <c:formatCode>General</c:formatCode>
                <c:ptCount val="4"/>
                <c:pt idx="0">
                  <c:v>6.1161721090353343</c:v>
                </c:pt>
                <c:pt idx="1">
                  <c:v>6.9614733664035704</c:v>
                </c:pt>
                <c:pt idx="2">
                  <c:v>8.5903341896324434</c:v>
                </c:pt>
                <c:pt idx="3">
                  <c:v>9.9889087169522828</c:v>
                </c:pt>
              </c:numCache>
            </c:numRef>
          </c:val>
          <c:smooth val="0"/>
        </c:ser>
        <c:ser>
          <c:idx val="2"/>
          <c:order val="2"/>
          <c:tx>
            <c:v>NCO</c:v>
          </c:tx>
          <c:marker>
            <c:symbol val="none"/>
          </c:marker>
          <c:val>
            <c:numRef>
              <c:f>Sheet2!$I$17:$I$20</c:f>
              <c:numCache>
                <c:formatCode>General</c:formatCode>
                <c:ptCount val="4"/>
                <c:pt idx="0">
                  <c:v>5.5360567482428795</c:v>
                </c:pt>
                <c:pt idx="1">
                  <c:v>6.6244695107428697</c:v>
                </c:pt>
                <c:pt idx="2">
                  <c:v>6.2118781153364893</c:v>
                </c:pt>
                <c:pt idx="3">
                  <c:v>10.112574532510299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68640"/>
        <c:axId val="81178624"/>
      </c:lineChart>
      <c:catAx>
        <c:axId val="81168640"/>
        <c:scaling>
          <c:orientation val="minMax"/>
        </c:scaling>
        <c:delete val="0"/>
        <c:axPos val="b"/>
        <c:majorTickMark val="out"/>
        <c:minorTickMark val="none"/>
        <c:tickLblPos val="nextTo"/>
        <c:crossAx val="81178624"/>
        <c:crosses val="autoZero"/>
        <c:auto val="1"/>
        <c:lblAlgn val="ctr"/>
        <c:lblOffset val="100"/>
        <c:noMultiLvlLbl val="0"/>
      </c:catAx>
      <c:valAx>
        <c:axId val="81178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1168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Sheet2!$C$17:$C$20</c:f>
              <c:numCache>
                <c:formatCode>General</c:formatCode>
                <c:ptCount val="4"/>
                <c:pt idx="0">
                  <c:v>6.1940703790964724</c:v>
                </c:pt>
                <c:pt idx="1">
                  <c:v>7.7795421257919939</c:v>
                </c:pt>
                <c:pt idx="2">
                  <c:v>10.039342040310695</c:v>
                </c:pt>
                <c:pt idx="3">
                  <c:v>8.5383676610233614</c:v>
                </c:pt>
              </c:numCache>
            </c:numRef>
          </c:val>
          <c:smooth val="0"/>
        </c:ser>
        <c:ser>
          <c:idx val="1"/>
          <c:order val="1"/>
          <c:tx>
            <c:v>Purchase Model</c:v>
          </c:tx>
          <c:marker>
            <c:symbol val="none"/>
          </c:marker>
          <c:val>
            <c:numRef>
              <c:f>Sheet2!$D$17:$D$20</c:f>
              <c:numCache>
                <c:formatCode>General</c:formatCode>
                <c:ptCount val="4"/>
                <c:pt idx="0">
                  <c:v>5.7482451519593187</c:v>
                </c:pt>
                <c:pt idx="1">
                  <c:v>6.8010997360882115</c:v>
                </c:pt>
                <c:pt idx="2">
                  <c:v>8.3175482235715812</c:v>
                </c:pt>
                <c:pt idx="3">
                  <c:v>9.2962218567588017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90016"/>
        <c:axId val="81991552"/>
      </c:lineChart>
      <c:catAx>
        <c:axId val="8199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81991552"/>
        <c:crosses val="autoZero"/>
        <c:auto val="1"/>
        <c:lblAlgn val="ctr"/>
        <c:lblOffset val="100"/>
        <c:noMultiLvlLbl val="0"/>
      </c:catAx>
      <c:valAx>
        <c:axId val="81991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19900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 - dial 0.87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Sheet2!$I$17:$I$20</c:f>
              <c:numCache>
                <c:formatCode>General</c:formatCode>
                <c:ptCount val="4"/>
                <c:pt idx="0">
                  <c:v>5.5360567482428795</c:v>
                </c:pt>
                <c:pt idx="1">
                  <c:v>6.6244695107428697</c:v>
                </c:pt>
                <c:pt idx="2">
                  <c:v>6.2118781153364893</c:v>
                </c:pt>
                <c:pt idx="3">
                  <c:v>10.112574532510299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Sheet2!$J$17:$J$20</c:f>
              <c:numCache>
                <c:formatCode>General</c:formatCode>
                <c:ptCount val="4"/>
                <c:pt idx="0">
                  <c:v>5.2696253756064131</c:v>
                </c:pt>
                <c:pt idx="1">
                  <c:v>6.2389949132653282</c:v>
                </c:pt>
                <c:pt idx="2">
                  <c:v>7.6786708360120244</c:v>
                </c:pt>
                <c:pt idx="3">
                  <c:v>8.6481747026195155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04224"/>
        <c:axId val="82010112"/>
      </c:lineChart>
      <c:catAx>
        <c:axId val="82004224"/>
        <c:scaling>
          <c:orientation val="minMax"/>
        </c:scaling>
        <c:delete val="0"/>
        <c:axPos val="b"/>
        <c:majorTickMark val="out"/>
        <c:minorTickMark val="none"/>
        <c:tickLblPos val="nextTo"/>
        <c:crossAx val="82010112"/>
        <c:crosses val="autoZero"/>
        <c:auto val="1"/>
        <c:lblAlgn val="ctr"/>
        <c:lblOffset val="100"/>
        <c:noMultiLvlLbl val="0"/>
      </c:catAx>
      <c:valAx>
        <c:axId val="82010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200422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NCO - dial 0.87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Sheet2!$O$17:$O$20</c:f>
              <c:numCache>
                <c:formatCode>General</c:formatCode>
                <c:ptCount val="4"/>
                <c:pt idx="0">
                  <c:v>6.1161721090353343</c:v>
                </c:pt>
                <c:pt idx="1">
                  <c:v>6.9614733664035704</c:v>
                </c:pt>
                <c:pt idx="2">
                  <c:v>8.5903341896324434</c:v>
                </c:pt>
                <c:pt idx="3">
                  <c:v>9.9889087169522828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Sheet2!$P$17:$P$20</c:f>
              <c:numCache>
                <c:formatCode>General</c:formatCode>
                <c:ptCount val="4"/>
                <c:pt idx="0">
                  <c:v>4.8226289706156056</c:v>
                </c:pt>
                <c:pt idx="1">
                  <c:v>5.6926912221260455</c:v>
                </c:pt>
                <c:pt idx="2">
                  <c:v>7.0516232974035091</c:v>
                </c:pt>
                <c:pt idx="3">
                  <c:v>7.9690239824174665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61632"/>
        <c:axId val="81463168"/>
      </c:lineChart>
      <c:catAx>
        <c:axId val="81461632"/>
        <c:scaling>
          <c:orientation val="minMax"/>
        </c:scaling>
        <c:delete val="0"/>
        <c:axPos val="b"/>
        <c:majorTickMark val="out"/>
        <c:minorTickMark val="none"/>
        <c:tickLblPos val="nextTo"/>
        <c:crossAx val="81463168"/>
        <c:crosses val="autoZero"/>
        <c:auto val="1"/>
        <c:lblAlgn val="ctr"/>
        <c:lblOffset val="100"/>
        <c:noMultiLvlLbl val="0"/>
      </c:catAx>
      <c:valAx>
        <c:axId val="81463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14616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20</xdr:row>
      <xdr:rowOff>100012</xdr:rowOff>
    </xdr:from>
    <xdr:to>
      <xdr:col>7</xdr:col>
      <xdr:colOff>519112</xdr:colOff>
      <xdr:row>34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37</xdr:row>
      <xdr:rowOff>57150</xdr:rowOff>
    </xdr:from>
    <xdr:to>
      <xdr:col>7</xdr:col>
      <xdr:colOff>495300</xdr:colOff>
      <xdr:row>51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80961</xdr:colOff>
      <xdr:row>37</xdr:row>
      <xdr:rowOff>95250</xdr:rowOff>
    </xdr:from>
    <xdr:to>
      <xdr:col>15</xdr:col>
      <xdr:colOff>361949</xdr:colOff>
      <xdr:row>51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157162</xdr:colOff>
      <xdr:row>37</xdr:row>
      <xdr:rowOff>57150</xdr:rowOff>
    </xdr:from>
    <xdr:to>
      <xdr:col>23</xdr:col>
      <xdr:colOff>461962</xdr:colOff>
      <xdr:row>51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5.678295949074" createdVersion="4" refreshedVersion="4" minRefreshableVersion="3" recordCount="23">
  <cacheSource type="worksheet">
    <worksheetSource ref="A1:AM24" sheet="Tracking_aggData_by_incentive_n"/>
  </cacheSource>
  <cacheFields count="39"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0.99827087349131005"/>
    </cacheField>
    <cacheField name="model.smm" numFmtId="0">
      <sharedItems containsSemiMixedTypes="0" containsString="0" containsNumber="1" minValue="0.32295647714650699" maxValue="0.80979645851605797"/>
    </cacheField>
    <cacheField name="track.err" numFmtId="0">
      <sharedItems containsSemiMixedTypes="0" containsString="0" containsNumber="1" minValue="-0.62441528612265396" maxValue="0.40755516849652901"/>
    </cacheField>
    <cacheField name="curt.smm" numFmtId="0">
      <sharedItems containsSemiMixedTypes="0" containsString="0" containsNumber="1" minValue="4.7118420177359101E-2" maxValue="5.2374562962963001E-2"/>
    </cacheField>
    <cacheField name="dflt.smm" numFmtId="0">
      <sharedItems containsSemiMixedTypes="0" containsString="0" containsNumber="1" minValue="1.2533938390408301E-3" maxValue="1.49662938926484E-2"/>
    </cacheField>
    <cacheField name="cout.smm" numFmtId="0">
      <sharedItems containsSemiMixedTypes="0" containsString="0" containsNumber="1" minValue="4.7118420177359101E-2" maxValue="5.2374562962963001E-2"/>
    </cacheField>
    <cacheField name="turn.smm" numFmtId="0">
      <sharedItems containsSemiMixedTypes="0" containsString="0" containsNumber="1" minValue="0.216946869362802" maxValue="0.51153443238186902"/>
    </cacheField>
    <cacheField name="refi.smm" numFmtId="0">
      <sharedItems containsSemiMixedTypes="0" containsString="0" containsNumber="1" minValue="6.3537206517031198E-6" maxValue="0.18527240575130499"/>
    </cacheField>
    <cacheField name="pct_inv" numFmtId="0">
      <sharedItems containsSemiMixedTypes="0" containsString="0" containsNumber="1" containsInteger="1" minValue="100" maxValue="100"/>
    </cacheField>
    <cacheField name="pct_2nd" numFmtId="0">
      <sharedItems containsSemiMixedTypes="0" containsString="0" containsNumber="1" containsInteger="1" minValue="0" maxValue="0"/>
    </cacheField>
    <cacheField name="pct_owner" numFmtId="0">
      <sharedItems containsSemiMixedTypes="0" containsString="0" containsNumber="1" containsInteger="1" minValue="0" maxValue="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6901548697035298"/>
    </cacheField>
    <cacheField name="incentive" numFmtId="0">
      <sharedItems containsSemiMixedTypes="0" containsString="0" containsNumber="1" minValue="-202.1" maxValue="-14.459114872495901"/>
    </cacheField>
    <cacheField name="burnout" numFmtId="0">
      <sharedItems containsSemiMixedTypes="0" containsString="0" containsNumber="1" minValue="0" maxValue="446.24766805810799"/>
    </cacheField>
    <cacheField name="refi_elig_pct" numFmtId="0">
      <sharedItems containsSemiMixedTypes="0" containsString="0" containsNumber="1" minValue="81.645731699158205" maxValue="100"/>
    </cacheField>
    <cacheField name="cltv" numFmtId="0">
      <sharedItems containsSemiMixedTypes="0" containsString="0" containsNumber="1" minValue="33.200000000000003" maxValue="53.602938087334202"/>
    </cacheField>
    <cacheField name="wacls" numFmtId="0">
      <sharedItems containsSemiMixedTypes="0" containsString="0" containsNumber="1" minValue="256.60000000000002" maxValue="416.57643959357398"/>
    </cacheField>
    <cacheField name="wala" numFmtId="0">
      <sharedItems containsSemiMixedTypes="0" containsString="0" containsNumber="1" minValue="51.751870698888297" maxValue="64"/>
    </cacheField>
    <cacheField name="wac" numFmtId="0">
      <sharedItems containsSemiMixedTypes="0" containsString="0" containsNumber="1" minValue="2.6" maxValue="4.2118879004076097"/>
    </cacheField>
    <cacheField name="fico" numFmtId="0">
      <sharedItems containsSemiMixedTypes="0" containsString="0" containsNumber="1" minValue="719.69485603858197" maxValue="775.53371259970504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9.79929156855999" maxValue="179.2"/>
    </cacheField>
    <cacheField name="hpa2yr" numFmtId="0">
      <sharedItems containsSemiMixedTypes="0" containsString="0" containsNumber="1" minValue="111.83705665407901" maxValue="112.24820845889499"/>
    </cacheField>
    <cacheField name="media_effect" numFmtId="0">
      <sharedItems containsSemiMixedTypes="0" containsString="0" containsNumber="1" minValue="20.9" maxValue="34.243289839154002"/>
    </cacheField>
    <cacheField name="sato" numFmtId="0">
      <sharedItems containsSemiMixedTypes="0" containsString="0" containsNumber="1" minValue="-107" maxValue="30.2047920617206"/>
    </cacheField>
    <cacheField name="bal" numFmtId="0">
      <sharedItems containsSemiMixedTypes="0" containsString="0" containsNumber="1" minValue="256666.2" maxValue="13066329059.9"/>
    </cacheField>
    <cacheField name="std" numFmtId="0">
      <sharedItems containsMixedTypes="1" containsNumber="1" minValue="0" maxValue="9.4908827328748002E-2"/>
    </cacheField>
    <cacheField name="n" numFmtId="0">
      <sharedItems containsSemiMixedTypes="0" containsString="0" containsNumber="1" containsInteger="1" minValue="1" maxValue="9086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0" maxValue="2.6702045046792979"/>
    </cacheField>
    <cacheField name="model w/o refi" numFmtId="0">
      <sharedItems containsString="0" containsBlank="1" containsNumber="1" minValue="0.32294938912776849" maxValue="0.62452405276475298"/>
    </cacheField>
    <cacheField name="Ratio w/o refi" numFmtId="0">
      <sharedItems containsString="0" containsBlank="1" containsNumber="1" minValue="0" maxValue="2.67028159864549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n v="0"/>
    <n v="0.32295647714650699"/>
    <n v="0.32295647714650699"/>
    <n v="5.2374562962963001E-2"/>
    <n v="1.2533938390408301E-3"/>
    <n v="5.2374562962963001E-2"/>
    <n v="0.216946869362802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x v="0"/>
    <n v="0"/>
    <n v="0.32294938912776849"/>
    <n v="0"/>
  </r>
  <r>
    <x v="1"/>
    <n v="0"/>
    <n v="0.32515487378339603"/>
    <n v="0.32515487378339603"/>
    <n v="4.8099953016545099E-2"/>
    <n v="1.3238753591557899E-3"/>
    <n v="4.8099953016545099E-2"/>
    <n v="0.22762473867049801"/>
    <n v="6.3537206517031198E-6"/>
    <n v="100"/>
    <n v="0"/>
    <n v="0"/>
    <n v="0"/>
    <n v="100"/>
    <n v="0"/>
    <n v="0"/>
    <n v="100"/>
    <n v="0"/>
    <n v="-188.59116013484501"/>
    <n v="0"/>
    <n v="100"/>
    <n v="36.328659208537204"/>
    <n v="262.70819349635099"/>
    <n v="53.963030635998003"/>
    <n v="2.6"/>
    <n v="726"/>
    <n v="100"/>
    <n v="0"/>
    <n v="170.00675512650099"/>
    <n v="111.897400666181"/>
    <n v="26.679556356105799"/>
    <n v="-107"/>
    <n v="1839290.5"/>
    <n v="0"/>
    <n v="7"/>
    <x v="0"/>
    <n v="0"/>
    <n v="0.32514852006274431"/>
    <n v="0"/>
  </r>
  <r>
    <x v="2"/>
    <n v="5.5572375733499201E-5"/>
    <n v="0.34437414464655203"/>
    <n v="0.34431857227081902"/>
    <n v="4.8503081453702301E-2"/>
    <n v="4.55680570037205E-3"/>
    <n v="4.8503081453702301E-2"/>
    <n v="0.242804042509315"/>
    <n v="7.1335294605614796E-6"/>
    <n v="100"/>
    <n v="0"/>
    <n v="0"/>
    <n v="0"/>
    <n v="100"/>
    <n v="0"/>
    <n v="0"/>
    <n v="100"/>
    <n v="0.15715818350632699"/>
    <n v="-161.315105320143"/>
    <n v="0"/>
    <n v="81.645731699158205"/>
    <n v="35.166546498085197"/>
    <n v="321.81808929608701"/>
    <n v="54.926685103274103"/>
    <n v="2.8977830914206"/>
    <n v="735.80594499492099"/>
    <n v="52.763448074191601"/>
    <n v="0"/>
    <n v="172.99510074502601"/>
    <n v="112.081733479165"/>
    <n v="27.212945226742399"/>
    <n v="-76.821396234713106"/>
    <n v="5283799.3"/>
    <n v="2.1828206253269999E-6"/>
    <n v="17"/>
    <x v="0"/>
    <n v="1.6137209078380678E-4"/>
    <n v="0.34436701111709145"/>
    <n v="1.6137543359112154E-4"/>
  </r>
  <r>
    <x v="3"/>
    <n v="0.41510695537835102"/>
    <n v="0.34032948442518002"/>
    <n v="-7.4777470953170402E-2"/>
    <n v="4.8477697455183703E-2"/>
    <n v="6.0158552132611601E-3"/>
    <n v="4.8477697455183703E-2"/>
    <n v="0.23734812222166601"/>
    <n v="1.01120798856936E-5"/>
    <n v="100"/>
    <n v="0"/>
    <n v="0"/>
    <n v="0"/>
    <n v="100"/>
    <n v="0"/>
    <n v="0"/>
    <n v="100"/>
    <n v="0.22739450502668701"/>
    <n v="-132.05946887703101"/>
    <n v="7.0388949211479196E-3"/>
    <n v="98.247758487163907"/>
    <n v="39.504033166826197"/>
    <n v="378.056153685163"/>
    <n v="54.891861680560901"/>
    <n v="3.2742674042534801"/>
    <n v="771.08245733900003"/>
    <n v="13.5510499870754"/>
    <n v="0"/>
    <n v="172.70639537475901"/>
    <n v="111.91843179476299"/>
    <n v="24.160245223604299"/>
    <n v="-32.728598664162099"/>
    <n v="110185918.2"/>
    <n v="7.3303377558737601E-2"/>
    <n v="187"/>
    <x v="0"/>
    <n v="1.2197208128454426"/>
    <n v="0.3403193723452943"/>
    <n v="1.2197570550205876"/>
  </r>
  <r>
    <x v="4"/>
    <n v="0.46846535216858298"/>
    <n v="0.37114441284041499"/>
    <n v="-9.7320939328168807E-2"/>
    <n v="4.86664376389443E-2"/>
    <n v="6.0214382339850402E-3"/>
    <n v="4.86664376389443E-2"/>
    <n v="0.26778050734593301"/>
    <n v="9.5919826077704306E-6"/>
    <n v="100"/>
    <n v="0"/>
    <n v="0"/>
    <n v="0"/>
    <n v="100"/>
    <n v="0"/>
    <n v="0"/>
    <n v="100"/>
    <n v="0.23036865397912401"/>
    <n v="-108.178305524783"/>
    <n v="1.0219777435796299E-2"/>
    <n v="99.856879365307506"/>
    <n v="39.029307802717398"/>
    <n v="325.625996049398"/>
    <n v="55.304569698681902"/>
    <n v="3.45166472111111"/>
    <n v="773.646253916506"/>
    <n v="9.1334280764126206"/>
    <n v="0"/>
    <n v="172.78834036843401"/>
    <n v="111.973600672773"/>
    <n v="24.611848161462198"/>
    <n v="-16.113250302683799"/>
    <n v="1290521526.8"/>
    <n v="3.0251936667264601E-2"/>
    <n v="753"/>
    <x v="0"/>
    <n v="1.2622185218507227"/>
    <n v="0.37113482085780725"/>
    <n v="1.2622511438991761"/>
  </r>
  <r>
    <x v="5"/>
    <n v="0.52455306974748195"/>
    <n v="0.41105262075482502"/>
    <n v="-0.113500448992657"/>
    <n v="4.88247656985294E-2"/>
    <n v="7.2281141214279396E-3"/>
    <n v="4.88247656985294E-2"/>
    <n v="0.30585191176877102"/>
    <n v="3.2306346756740402E-4"/>
    <n v="100"/>
    <n v="0"/>
    <n v="0"/>
    <n v="0"/>
    <n v="100"/>
    <n v="0"/>
    <n v="0"/>
    <n v="100"/>
    <n v="0.28124183528559399"/>
    <n v="-85.216135810450794"/>
    <n v="1.7029350658281199"/>
    <n v="99.906737503789898"/>
    <n v="39.2010186320203"/>
    <n v="321.23549902590702"/>
    <n v="55.643251676477902"/>
    <n v="3.61597981746046"/>
    <n v="772.35851861937795"/>
    <n v="7.9686660833405698"/>
    <n v="0"/>
    <n v="173.367793443934"/>
    <n v="112.130037330311"/>
    <n v="26.982423646815199"/>
    <n v="-2.48355185985245"/>
    <n v="5161209539.1000004"/>
    <n v="6.3990204358878894E-2"/>
    <n v="1752"/>
    <x v="0"/>
    <n v="1.2761214580854237"/>
    <n v="0.41072955728725763"/>
    <n v="1.2771252042633445"/>
  </r>
  <r>
    <x v="6"/>
    <n v="0.59950006507356501"/>
    <n v="0.48723823926842003"/>
    <n v="-0.112261825805145"/>
    <n v="4.8951746663451798E-2"/>
    <n v="9.6735973544712292E-3"/>
    <n v="4.8951746663451798E-2"/>
    <n v="0.34608737813592599"/>
    <n v="3.3573770451120102E-2"/>
    <n v="100"/>
    <n v="0"/>
    <n v="0"/>
    <n v="0"/>
    <n v="100"/>
    <n v="0"/>
    <n v="0"/>
    <n v="100"/>
    <n v="0.382080330816575"/>
    <n v="-61.656765922561299"/>
    <n v="30.572153669255499"/>
    <n v="99.815794242034698"/>
    <n v="39.570440642781399"/>
    <n v="314.04208197895599"/>
    <n v="55.914320745164801"/>
    <n v="3.7834095839170701"/>
    <n v="771.68093291662206"/>
    <n v="10.558472849608201"/>
    <n v="0"/>
    <n v="173.47124388330201"/>
    <n v="112.22547407978"/>
    <n v="29.923796670835198"/>
    <n v="7.4976823945942899"/>
    <n v="11642768878.4"/>
    <n v="5.1409316510080197E-2"/>
    <n v="3802"/>
    <x v="0"/>
    <n v="1.230404382820413"/>
    <n v="0.45366446881729994"/>
    <n v="1.3214613580747407"/>
  </r>
  <r>
    <x v="7"/>
    <n v="0.74569711503826697"/>
    <n v="0.60752983025707197"/>
    <n v="-0.138167284781195"/>
    <n v="4.92903011716294E-2"/>
    <n v="1.2929087054252501E-2"/>
    <n v="4.92903011716294E-2"/>
    <n v="0.39090336341502802"/>
    <n v="0.105116777444533"/>
    <n v="100"/>
    <n v="0"/>
    <n v="0"/>
    <n v="0"/>
    <n v="100"/>
    <n v="0"/>
    <n v="0"/>
    <n v="100"/>
    <n v="0.50836607831004998"/>
    <n v="-38.004450559555998"/>
    <n v="148.70545641561199"/>
    <n v="99.526463542756005"/>
    <n v="39.966617399071303"/>
    <n v="313.97465695773502"/>
    <n v="56.704330544915898"/>
    <n v="3.9938793727355701"/>
    <n v="767.66488222956605"/>
    <n v="18.2774358223914"/>
    <n v="0"/>
    <n v="172.81777358339099"/>
    <n v="112.20957297069999"/>
    <n v="31.300072679053599"/>
    <n v="20.465101808314401"/>
    <n v="13066329059.9"/>
    <n v="7.4363353497011897E-2"/>
    <n v="7514"/>
    <x v="0"/>
    <n v="1.2274246924183632"/>
    <n v="0.50241305281253901"/>
    <n v="1.4842311736604152"/>
  </r>
  <r>
    <x v="8"/>
    <n v="0.87314315969019396"/>
    <n v="0.68965232245681196"/>
    <n v="-0.183490837233382"/>
    <n v="4.9377025018334998E-2"/>
    <n v="1.49662938926484E-2"/>
    <n v="4.9377025018334998E-2"/>
    <n v="0.40708556150556702"/>
    <n v="0.16884641702192599"/>
    <n v="100"/>
    <n v="0"/>
    <n v="0"/>
    <n v="0"/>
    <n v="100"/>
    <n v="0"/>
    <n v="0"/>
    <n v="100"/>
    <n v="0.56901548697035298"/>
    <n v="-14.4661654300201"/>
    <n v="407.23122626786699"/>
    <n v="99.215288806799094"/>
    <n v="41.342511341028199"/>
    <n v="297.12623434475302"/>
    <n v="56.8950986406618"/>
    <n v="4.2008341347428999"/>
    <n v="762.74206873055095"/>
    <n v="29.121011575565099"/>
    <n v="0"/>
    <n v="170.79404025591899"/>
    <n v="112.111383872158"/>
    <n v="33.6752261800752"/>
    <n v="30.2047920617206"/>
    <n v="11056448407.700001"/>
    <n v="7.0957950175363202E-2"/>
    <n v="9086"/>
    <x v="0"/>
    <n v="1.2660628134763843"/>
    <n v="0.52080590543488592"/>
    <n v="1.6765231549383022"/>
  </r>
  <r>
    <x v="2"/>
    <n v="0"/>
    <n v="0.40755516849652901"/>
    <n v="0.40755516849652901"/>
    <n v="4.8465923220117398E-2"/>
    <n v="3.92726502937173E-3"/>
    <n v="4.8465923220117398E-2"/>
    <n v="0.30668484852567601"/>
    <n v="1.12085012466515E-5"/>
    <n v="100"/>
    <n v="0"/>
    <n v="0"/>
    <n v="100"/>
    <n v="0"/>
    <n v="0"/>
    <n v="0"/>
    <n v="0"/>
    <n v="0.10195946612326801"/>
    <n v="-153.297878448007"/>
    <n v="0"/>
    <n v="100"/>
    <n v="40.705426518274002"/>
    <n v="416.57643959357398"/>
    <n v="54.876576183764698"/>
    <n v="3.1"/>
    <n v="719.69485603858197"/>
    <n v="0"/>
    <n v="0"/>
    <n v="172.44652611616999"/>
    <n v="111.83705665407901"/>
    <n v="23.238108789053801"/>
    <n v="-49.7143060478518"/>
    <n v="2304704.2999999998"/>
    <n v="0"/>
    <n v="6"/>
    <x v="1"/>
    <n v="0"/>
    <n v="0.40754395999528237"/>
    <n v="0"/>
  </r>
  <r>
    <x v="3"/>
    <n v="1.22674663901127E-2"/>
    <n v="0.40914387103443101"/>
    <n v="0.396876404644319"/>
    <n v="4.8504592792116497E-2"/>
    <n v="5.2085519567055798E-3"/>
    <n v="4.8504592792116497E-2"/>
    <n v="0.30691562129484101"/>
    <n v="1.0512198651386001E-5"/>
    <n v="100"/>
    <n v="0"/>
    <n v="0"/>
    <n v="100"/>
    <n v="0"/>
    <n v="0"/>
    <n v="0"/>
    <n v="0"/>
    <n v="0.178134394866857"/>
    <n v="-133.88326392540199"/>
    <n v="1.3381433942792001E-2"/>
    <n v="100"/>
    <n v="46.356786125037502"/>
    <n v="383.10134359619798"/>
    <n v="54.939540711518397"/>
    <n v="3.2791547459096102"/>
    <n v="767.93489779566801"/>
    <n v="0"/>
    <n v="0"/>
    <n v="172.40599898917699"/>
    <n v="111.920726422511"/>
    <n v="24.116051191213799"/>
    <n v="-33.269401842147801"/>
    <n v="58438926.899999999"/>
    <n v="1.7091765844248701E-4"/>
    <n v="108"/>
    <x v="1"/>
    <n v="2.9983258356277191E-2"/>
    <n v="0.40913335883577961"/>
    <n v="2.9984028740703807E-2"/>
  </r>
  <r>
    <x v="4"/>
    <n v="0.373094352361517"/>
    <n v="0.443061246798238"/>
    <n v="6.9966894436721105E-2"/>
    <n v="4.8678278417769498E-2"/>
    <n v="5.6599800850989403E-3"/>
    <n v="4.8678278417769498E-2"/>
    <n v="0.34003455433522001"/>
    <n v="1.0155542379913001E-5"/>
    <n v="100"/>
    <n v="0"/>
    <n v="0"/>
    <n v="100"/>
    <n v="0"/>
    <n v="0"/>
    <n v="0"/>
    <n v="0"/>
    <n v="0.20749570265560499"/>
    <n v="-108.270210661878"/>
    <n v="2.9288078071623501E-2"/>
    <n v="100"/>
    <n v="46.150182215560598"/>
    <n v="347.87152679885401"/>
    <n v="55.329239223787098"/>
    <n v="3.4653753280974202"/>
    <n v="775.53371259970504"/>
    <n v="0"/>
    <n v="0"/>
    <n v="173.096637114"/>
    <n v="111.997798533875"/>
    <n v="24.768638439976002"/>
    <n v="-15.239569841525601"/>
    <n v="632344129.39999998"/>
    <n v="3.0705109259182298E-2"/>
    <n v="444"/>
    <x v="1"/>
    <n v="0.84208301912583516"/>
    <n v="0.44305109125585806"/>
    <n v="0.84210232121075701"/>
  </r>
  <r>
    <x v="5"/>
    <n v="0.53143383739832994"/>
    <n v="0.49212458567276901"/>
    <n v="-3.9309251725560698E-2"/>
    <n v="4.8669004361695502E-2"/>
    <n v="7.1365979696044997E-3"/>
    <n v="4.8669004361695502E-2"/>
    <n v="0.387201046363223"/>
    <n v="4.4893261655101698E-4"/>
    <n v="100"/>
    <n v="0"/>
    <n v="0"/>
    <n v="100"/>
    <n v="0"/>
    <n v="0"/>
    <n v="0"/>
    <n v="0"/>
    <n v="0.26822163037589902"/>
    <n v="-85.342407321853202"/>
    <n v="0.92403859829864399"/>
    <n v="99.984425599607306"/>
    <n v="45.898549091635601"/>
    <n v="326.14076045789199"/>
    <n v="55.281523595045101"/>
    <n v="3.63257090820415"/>
    <n v="774.006403705499"/>
    <n v="0"/>
    <n v="0"/>
    <n v="172.94739165984001"/>
    <n v="112.086667312579"/>
    <n v="26.8439997585218"/>
    <n v="-1.5655976502604201"/>
    <n v="2810096626.3000002"/>
    <n v="3.38373402507164E-2"/>
    <n v="1229"/>
    <x v="1"/>
    <n v="1.0798766265087578"/>
    <n v="0.49167565305621802"/>
    <n v="1.0808626257879115"/>
  </r>
  <r>
    <x v="6"/>
    <n v="0.67262927227810998"/>
    <n v="0.58523300175290205"/>
    <n v="-8.7396270525207403E-2"/>
    <n v="4.8974476392460303E-2"/>
    <n v="8.9536709585674099E-3"/>
    <n v="4.8974476392460303E-2"/>
    <n v="0.44427212530568999"/>
    <n v="3.4058252703724201E-2"/>
    <n v="100"/>
    <n v="0"/>
    <n v="0"/>
    <n v="100"/>
    <n v="0"/>
    <n v="0"/>
    <n v="0"/>
    <n v="0"/>
    <n v="0.34331511111808899"/>
    <n v="-61.843806963000603"/>
    <n v="20.4840782823164"/>
    <n v="99.992865957986695"/>
    <n v="45.971260338509097"/>
    <n v="316.37907818589201"/>
    <n v="55.969126833593599"/>
    <n v="3.7764526570496701"/>
    <n v="772.49747875499997"/>
    <n v="0"/>
    <n v="0"/>
    <n v="173.490584899222"/>
    <n v="112.24820845889499"/>
    <n v="30.1492882758285"/>
    <n v="6.3968463756037703"/>
    <n v="6113073054.3000002"/>
    <n v="5.2764277433320197E-2"/>
    <n v="2699"/>
    <x v="1"/>
    <n v="1.1493358547167314"/>
    <n v="0.55117474904917785"/>
    <n v="1.220355746409739"/>
  </r>
  <r>
    <x v="7"/>
    <n v="0.877772756865422"/>
    <n v="0.72104780813531599"/>
    <n v="-0.15672494873010601"/>
    <n v="4.9470602462859503E-2"/>
    <n v="1.13921638760208E-2"/>
    <n v="4.9470602462859503E-2"/>
    <n v="0.50022487012572903"/>
    <n v="0.110489569207847"/>
    <n v="100"/>
    <n v="0"/>
    <n v="0"/>
    <n v="100"/>
    <n v="0"/>
    <n v="0"/>
    <n v="0"/>
    <n v="0"/>
    <n v="0.434080032605967"/>
    <n v="-38.088257370250297"/>
    <n v="121.208900050248"/>
    <n v="99.973262066664006"/>
    <n v="46.584550613813697"/>
    <n v="315.709065739967"/>
    <n v="57.122516580143497"/>
    <n v="3.9899319175574202"/>
    <n v="770.26050540574204"/>
    <n v="0"/>
    <n v="0"/>
    <n v="172.942981039171"/>
    <n v="112.232817472604"/>
    <n v="31.408679248346001"/>
    <n v="18.766956217167898"/>
    <n v="6289507041.8000002"/>
    <n v="7.4705012039235602E-2"/>
    <n v="4734"/>
    <x v="1"/>
    <n v="1.2173572223115254"/>
    <n v="0.61055823892746897"/>
    <n v="1.4376560676789043"/>
  </r>
  <r>
    <x v="8"/>
    <n v="0.74099615512200501"/>
    <n v="0.80979645851605797"/>
    <n v="6.8800303394053103E-2"/>
    <n v="4.96580769344473E-2"/>
    <n v="1.36734665139899E-2"/>
    <n v="4.96580769344473E-2"/>
    <n v="0.51153443238186902"/>
    <n v="0.18527240575130499"/>
    <n v="100"/>
    <n v="0"/>
    <n v="0"/>
    <n v="100"/>
    <n v="0"/>
    <n v="0"/>
    <n v="0"/>
    <n v="0"/>
    <n v="0.50556664412477803"/>
    <n v="-14.467361000847401"/>
    <n v="367.89627074319202"/>
    <n v="99.956222882494899"/>
    <n v="47.941031891542799"/>
    <n v="300.03751036252999"/>
    <n v="57.548354024183098"/>
    <n v="4.2022608607601999"/>
    <n v="767.434297257048"/>
    <n v="0"/>
    <n v="0"/>
    <n v="170.57595400602301"/>
    <n v="112.09323092064101"/>
    <n v="34.243289839154002"/>
    <n v="25.186159555793399"/>
    <n v="5301984306.6000004"/>
    <n v="6.4379866346470097E-2"/>
    <n v="5594"/>
    <x v="1"/>
    <n v="0.91504000459556378"/>
    <n v="0.62452405276475298"/>
    <n v="1.1864973844348072"/>
  </r>
  <r>
    <x v="2"/>
    <n v="2.0121542736784099E-4"/>
    <n v="0.35973140415221899"/>
    <n v="0.35953018872485099"/>
    <n v="4.7118420177359101E-2"/>
    <n v="2.9668126288329502E-3"/>
    <n v="4.7118420177359101E-2"/>
    <n v="0.26251749417882198"/>
    <n v="1.0256989845479099E-5"/>
    <n v="100"/>
    <n v="0"/>
    <n v="0"/>
    <n v="0"/>
    <n v="0"/>
    <n v="100"/>
    <n v="0"/>
    <n v="0"/>
    <n v="5.8800454705948198E-2"/>
    <n v="-157.973138043278"/>
    <n v="0"/>
    <n v="100"/>
    <n v="53.602938087334202"/>
    <n v="352.99693957333199"/>
    <n v="51.751870698888297"/>
    <n v="3"/>
    <n v="745"/>
    <n v="0"/>
    <n v="0"/>
    <n v="170.695118477596"/>
    <n v="111.837685211541"/>
    <n v="24.175716455351399"/>
    <n v="-62"/>
    <n v="1765008.8"/>
    <n v="4.4721359549995799E-6"/>
    <n v="5"/>
    <x v="2"/>
    <n v="5.5934907279514979E-4"/>
    <n v="0.35972114716237352"/>
    <n v="5.5936502192075724E-4"/>
  </r>
  <r>
    <x v="3"/>
    <n v="0.99827087349131005"/>
    <n v="0.37385558736865598"/>
    <n v="-0.62441528612265396"/>
    <n v="4.8869765332847197E-2"/>
    <n v="6.3043725635491699E-3"/>
    <n v="4.8869765332847197E-2"/>
    <n v="0.26980089051748601"/>
    <n v="1.07936219269596E-5"/>
    <n v="100"/>
    <n v="0"/>
    <n v="0"/>
    <n v="0"/>
    <n v="0"/>
    <n v="100"/>
    <n v="0"/>
    <n v="0"/>
    <n v="0.22969987375312101"/>
    <n v="-133.41523429502499"/>
    <n v="1.3107782442133E-3"/>
    <n v="100"/>
    <n v="40.849232431681102"/>
    <n v="392.715652205472"/>
    <n v="55.7753059727414"/>
    <n v="3.26056943055548"/>
    <n v="762.76850408259997"/>
    <n v="0"/>
    <n v="0"/>
    <n v="172.788697081002"/>
    <n v="111.932694732892"/>
    <n v="24.0532012100735"/>
    <n v="-40.588543391755799"/>
    <n v="48210855.100000001"/>
    <n v="9.4908827328748002E-2"/>
    <n v="111"/>
    <x v="2"/>
    <n v="2.6702045046792979"/>
    <n v="0.37384479374672902"/>
    <n v="2.6702815986454929"/>
  </r>
  <r>
    <x v="4"/>
    <n v="0.514219258128777"/>
    <n v="0.40783773172311799"/>
    <n v="-0.106381526405659"/>
    <n v="4.8664338430169901E-2"/>
    <n v="6.1312317450723797E-3"/>
    <n v="4.8664338430169901E-2"/>
    <n v="0.30436761329037898"/>
    <n v="1.0209827327229801E-5"/>
    <n v="100"/>
    <n v="0"/>
    <n v="0"/>
    <n v="0"/>
    <n v="0"/>
    <n v="100"/>
    <n v="0"/>
    <n v="0"/>
    <n v="0.23158041732072099"/>
    <n v="-108.37601059444999"/>
    <n v="1.48375239119071E-2"/>
    <n v="100"/>
    <n v="39.281738909485597"/>
    <n v="354.91314825536898"/>
    <n v="55.298584096528501"/>
    <n v="3.45919592445345"/>
    <n v="767.99107109477302"/>
    <n v="0"/>
    <n v="0"/>
    <n v="172.94361447563"/>
    <n v="112.00517769680199"/>
    <n v="24.943102464858601"/>
    <n v="-18.3417690840941"/>
    <n v="452689948.80000001"/>
    <n v="6.7759865604944902E-2"/>
    <n v="504"/>
    <x v="2"/>
    <n v="1.2608427767489685"/>
    <n v="0.40782752189579075"/>
    <n v="1.2608743415314962"/>
  </r>
  <r>
    <x v="5"/>
    <n v="0.47347536459125"/>
    <n v="0.45011303663486202"/>
    <n v="-2.33623279563887E-2"/>
    <n v="4.8760766081342097E-2"/>
    <n v="6.8547854997385903E-3"/>
    <n v="4.8760766081342097E-2"/>
    <n v="0.34532546711316398"/>
    <n v="4.1125185927473802E-4"/>
    <n v="100"/>
    <n v="0"/>
    <n v="0"/>
    <n v="0"/>
    <n v="0"/>
    <n v="100"/>
    <n v="0"/>
    <n v="0"/>
    <n v="0.26398740123997599"/>
    <n v="-85.183982783500895"/>
    <n v="2.1203614677820899"/>
    <n v="100"/>
    <n v="38.9602025550343"/>
    <n v="326.72419169850599"/>
    <n v="55.493788486997197"/>
    <n v="3.6171014145646998"/>
    <n v="768.70676715330399"/>
    <n v="0"/>
    <n v="0"/>
    <n v="173.07426421528299"/>
    <n v="112.107146500821"/>
    <n v="27.254271956764299"/>
    <n v="-4.2535107093037103"/>
    <n v="1768846137"/>
    <n v="4.4213084335619698E-2"/>
    <n v="1173"/>
    <x v="2"/>
    <n v="1.0519032466401097"/>
    <n v="0.44970178477558725"/>
    <n v="1.0528652111699455"/>
  </r>
  <r>
    <x v="6"/>
    <n v="0.56954574737923702"/>
    <n v="0.535404410981417"/>
    <n v="-3.4141336397819799E-2"/>
    <n v="4.89893224230196E-2"/>
    <n v="9.0236782525263404E-3"/>
    <n v="4.89893224230196E-2"/>
    <n v="0.39401173888275398"/>
    <n v="3.4390349000097499E-2"/>
    <n v="100"/>
    <n v="0"/>
    <n v="0"/>
    <n v="0"/>
    <n v="0"/>
    <n v="100"/>
    <n v="0"/>
    <n v="0"/>
    <n v="0.35323398482038498"/>
    <n v="-61.797294305129597"/>
    <n v="34.004938393139398"/>
    <n v="100"/>
    <n v="39.004905810102102"/>
    <n v="315.47983266810797"/>
    <n v="55.999177588707703"/>
    <n v="3.78602786362744"/>
    <n v="768.22789615646298"/>
    <n v="0"/>
    <n v="0"/>
    <n v="173.146458337664"/>
    <n v="112.201881188904"/>
    <n v="29.794339988440399"/>
    <n v="6.7378771812865299"/>
    <n v="3909506314.0999999"/>
    <n v="5.5659508399930502E-2"/>
    <n v="2653"/>
    <x v="2"/>
    <n v="1.0637673797554967"/>
    <n v="0.50101406198131948"/>
    <n v="1.1367859519289756"/>
  </r>
  <r>
    <x v="7"/>
    <n v="0.53300753333866002"/>
    <n v="0.663580068526892"/>
    <n v="0.130572535188232"/>
    <n v="4.9357051949856498E-2"/>
    <n v="1.27069741609314E-2"/>
    <n v="4.9357051949856498E-2"/>
    <n v="0.44225738798106501"/>
    <n v="0.10990160248518301"/>
    <n v="100"/>
    <n v="0"/>
    <n v="0"/>
    <n v="0"/>
    <n v="0"/>
    <n v="100"/>
    <n v="0"/>
    <n v="0"/>
    <n v="0.50228022009489903"/>
    <n v="-37.924502576058401"/>
    <n v="156.60745781094801"/>
    <n v="100"/>
    <n v="39.453938253520597"/>
    <n v="310.51348071991498"/>
    <n v="56.854868810023703"/>
    <n v="3.9963173262079801"/>
    <n v="765.84626716170703"/>
    <n v="0"/>
    <n v="0"/>
    <n v="172.53163651827899"/>
    <n v="112.185051361524"/>
    <n v="31.288661966454502"/>
    <n v="18.945603647546601"/>
    <n v="4926868562"/>
    <n v="6.1068987779521897E-2"/>
    <n v="4890"/>
    <x v="2"/>
    <n v="0.80323017314535206"/>
    <n v="0.55367846604170901"/>
    <n v="0.96266617907171448"/>
  </r>
  <r>
    <x v="8"/>
    <n v="0.88449947281217201"/>
    <n v="0.750932324916608"/>
    <n v="-0.13356714789556301"/>
    <n v="4.9555146854162201E-2"/>
    <n v="1.4275221057864501E-2"/>
    <n v="4.9555146854162201E-2"/>
    <n v="0.45490679274396401"/>
    <n v="0.182640017406456"/>
    <n v="100"/>
    <n v="0"/>
    <n v="0"/>
    <n v="0"/>
    <n v="0"/>
    <n v="100"/>
    <n v="0"/>
    <n v="0"/>
    <n v="0.53332906090000198"/>
    <n v="-14.459114872495901"/>
    <n v="446.24766805810799"/>
    <n v="100"/>
    <n v="40.4158690244873"/>
    <n v="295.34015604093997"/>
    <n v="57.291974090771397"/>
    <n v="4.2118879004076097"/>
    <n v="763.02871637415603"/>
    <n v="0"/>
    <n v="0"/>
    <n v="169.79929156855999"/>
    <n v="112.03257039298001"/>
    <n v="33.621519152469098"/>
    <n v="26.2986553762135"/>
    <n v="4406710463.8999996"/>
    <n v="7.6497284324942905E-2"/>
    <n v="5875"/>
    <x v="2"/>
    <n v="1.177868422311420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4" firstHeaderRow="1" firstDataRow="3" firstDataCol="1"/>
  <pivotFields count="39">
    <pivotField axis="axisRow" showAll="0" defaultSubtotal="0">
      <items count="9">
        <item x="1"/>
        <item x="2"/>
        <item x="3"/>
        <item x="4"/>
        <item x="5"/>
        <item x="6"/>
        <item x="7"/>
        <item x="8"/>
        <item x="0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64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7">
      <pivotArea outline="0" collapsedLevelsAreSubtotals="1" fieldPosition="0"/>
    </format>
    <format dxfId="16">
      <pivotArea dataOnly="0" fieldPosition="0">
        <references count="1">
          <reference field="0" count="1">
            <x v="4"/>
          </reference>
        </references>
      </pivotArea>
    </format>
    <format dxfId="15">
      <pivotArea type="topRight" dataOnly="0" labelOnly="1" outline="0" offset="B1" fieldPosition="0"/>
    </format>
    <format dxfId="14">
      <pivotArea type="topRight" dataOnly="0" labelOnly="1" outline="0" offset="G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workbookViewId="0">
      <selection activeCell="P10" sqref="P10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t="s">
        <v>38</v>
      </c>
      <c r="H4" t="s">
        <v>39</v>
      </c>
      <c r="N4" t="s">
        <v>37</v>
      </c>
    </row>
    <row r="5" spans="1:19" x14ac:dyDescent="0.25">
      <c r="A5" s="2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47</v>
      </c>
      <c r="G5" t="s">
        <v>48</v>
      </c>
      <c r="H5" t="s">
        <v>44</v>
      </c>
      <c r="I5" t="s">
        <v>45</v>
      </c>
      <c r="J5" t="s">
        <v>46</v>
      </c>
      <c r="K5" t="s">
        <v>50</v>
      </c>
      <c r="L5" t="s">
        <v>47</v>
      </c>
      <c r="M5" t="s">
        <v>48</v>
      </c>
      <c r="N5" t="s">
        <v>44</v>
      </c>
      <c r="O5" t="s">
        <v>45</v>
      </c>
      <c r="P5" t="s">
        <v>46</v>
      </c>
      <c r="Q5" t="s">
        <v>50</v>
      </c>
      <c r="R5" t="s">
        <v>47</v>
      </c>
      <c r="S5" t="s">
        <v>48</v>
      </c>
    </row>
    <row r="6" spans="1:19" x14ac:dyDescent="0.25">
      <c r="A6" s="3">
        <v>-175</v>
      </c>
      <c r="B6" s="4"/>
      <c r="C6" s="10"/>
      <c r="D6" s="10"/>
      <c r="E6" s="10"/>
      <c r="F6" s="10"/>
      <c r="G6" s="10"/>
      <c r="H6" s="4"/>
      <c r="I6" s="10"/>
      <c r="J6" s="10"/>
      <c r="K6" s="10"/>
      <c r="L6" s="10"/>
      <c r="M6" s="10"/>
      <c r="N6" s="4">
        <v>1839290.5</v>
      </c>
      <c r="O6" s="10">
        <v>0</v>
      </c>
      <c r="P6" s="10">
        <v>0.32515487378339603</v>
      </c>
      <c r="Q6" s="10">
        <v>0.32514852006274431</v>
      </c>
      <c r="R6" s="10">
        <v>0</v>
      </c>
      <c r="S6" s="10">
        <v>0</v>
      </c>
    </row>
    <row r="7" spans="1:19" x14ac:dyDescent="0.25">
      <c r="A7" s="3">
        <v>-150</v>
      </c>
      <c r="B7" s="4">
        <v>2304704.2999999998</v>
      </c>
      <c r="C7" s="10">
        <v>0</v>
      </c>
      <c r="D7" s="10">
        <v>0.40755516849652901</v>
      </c>
      <c r="E7" s="10">
        <v>0.40754395999528237</v>
      </c>
      <c r="F7" s="10">
        <v>0</v>
      </c>
      <c r="G7" s="10">
        <v>0</v>
      </c>
      <c r="H7" s="4">
        <v>1765008.8</v>
      </c>
      <c r="I7" s="10">
        <v>2.0121542736784099E-4</v>
      </c>
      <c r="J7" s="10">
        <v>0.35973140415221899</v>
      </c>
      <c r="K7" s="10">
        <v>0.35972114716237352</v>
      </c>
      <c r="L7" s="10">
        <v>5.5934907279514979E-4</v>
      </c>
      <c r="M7" s="10">
        <v>5.5936502192075724E-4</v>
      </c>
      <c r="N7" s="4">
        <v>5283799.3</v>
      </c>
      <c r="O7" s="10">
        <v>5.5572375733499201E-5</v>
      </c>
      <c r="P7" s="10">
        <v>0.34437414464655203</v>
      </c>
      <c r="Q7" s="10">
        <v>0.34436701111709145</v>
      </c>
      <c r="R7" s="10">
        <v>1.6137209078380678E-4</v>
      </c>
      <c r="S7" s="10">
        <v>1.6137543359112154E-4</v>
      </c>
    </row>
    <row r="8" spans="1:19" x14ac:dyDescent="0.25">
      <c r="A8" s="3">
        <v>-125</v>
      </c>
      <c r="B8" s="4">
        <v>58438926.899999999</v>
      </c>
      <c r="C8" s="10">
        <v>1.22674663901127E-2</v>
      </c>
      <c r="D8" s="10">
        <v>0.40914387103443101</v>
      </c>
      <c r="E8" s="10">
        <v>0.40913335883577961</v>
      </c>
      <c r="F8" s="10">
        <v>2.9983258356277191E-2</v>
      </c>
      <c r="G8" s="10">
        <v>2.9984028740703807E-2</v>
      </c>
      <c r="H8" s="4">
        <v>48210855.100000001</v>
      </c>
      <c r="I8" s="10">
        <v>0.99827087349131005</v>
      </c>
      <c r="J8" s="10">
        <v>0.37385558736865598</v>
      </c>
      <c r="K8" s="10">
        <v>0.37384479374672902</v>
      </c>
      <c r="L8" s="10">
        <v>2.6702045046792979</v>
      </c>
      <c r="M8" s="10">
        <v>2.6702815986454929</v>
      </c>
      <c r="N8" s="4">
        <v>110185918.2</v>
      </c>
      <c r="O8" s="10">
        <v>0.41510695537835102</v>
      </c>
      <c r="P8" s="10">
        <v>0.34032948442518002</v>
      </c>
      <c r="Q8" s="10">
        <v>0.3403193723452943</v>
      </c>
      <c r="R8" s="10">
        <v>1.2197208128454426</v>
      </c>
      <c r="S8" s="10">
        <v>1.2197570550205876</v>
      </c>
    </row>
    <row r="9" spans="1:19" x14ac:dyDescent="0.25">
      <c r="A9" s="3">
        <v>-100</v>
      </c>
      <c r="B9" s="4">
        <v>632344129.39999998</v>
      </c>
      <c r="C9" s="10">
        <v>0.373094352361517</v>
      </c>
      <c r="D9" s="10">
        <v>0.443061246798238</v>
      </c>
      <c r="E9" s="10">
        <v>0.44305109125585806</v>
      </c>
      <c r="F9" s="10">
        <v>0.84208301912583516</v>
      </c>
      <c r="G9" s="10">
        <v>0.84210232121075701</v>
      </c>
      <c r="H9" s="4">
        <v>452689948.80000001</v>
      </c>
      <c r="I9" s="10">
        <v>0.514219258128777</v>
      </c>
      <c r="J9" s="10">
        <v>0.40783773172311799</v>
      </c>
      <c r="K9" s="10">
        <v>0.40782752189579075</v>
      </c>
      <c r="L9" s="10">
        <v>1.2608427767489685</v>
      </c>
      <c r="M9" s="10">
        <v>1.2608743415314962</v>
      </c>
      <c r="N9" s="4">
        <v>1290521526.8</v>
      </c>
      <c r="O9" s="10">
        <v>0.46846535216858298</v>
      </c>
      <c r="P9" s="10">
        <v>0.37114441284041499</v>
      </c>
      <c r="Q9" s="10">
        <v>0.37113482085780725</v>
      </c>
      <c r="R9" s="10">
        <v>1.2622185218507227</v>
      </c>
      <c r="S9" s="10">
        <v>1.2622511438991761</v>
      </c>
    </row>
    <row r="10" spans="1:19" x14ac:dyDescent="0.25">
      <c r="A10" s="5">
        <v>-75</v>
      </c>
      <c r="B10" s="6">
        <v>2810096626.3000002</v>
      </c>
      <c r="C10" s="11">
        <v>0.53143383739832994</v>
      </c>
      <c r="D10" s="11">
        <v>0.49212458567276901</v>
      </c>
      <c r="E10" s="11">
        <v>0.49167565305621802</v>
      </c>
      <c r="F10" s="11">
        <v>1.0798766265087578</v>
      </c>
      <c r="G10" s="11">
        <v>1.0808626257879115</v>
      </c>
      <c r="H10" s="6">
        <v>1768846137</v>
      </c>
      <c r="I10" s="11">
        <v>0.47347536459125</v>
      </c>
      <c r="J10" s="11">
        <v>0.45011303663486202</v>
      </c>
      <c r="K10" s="11">
        <v>0.44970178477558725</v>
      </c>
      <c r="L10" s="11">
        <v>1.0519032466401097</v>
      </c>
      <c r="M10" s="11">
        <v>1.0528652111699455</v>
      </c>
      <c r="N10" s="6">
        <v>5161209539.1000004</v>
      </c>
      <c r="O10" s="11">
        <v>0.52455306974748195</v>
      </c>
      <c r="P10" s="11">
        <v>0.41105262075482502</v>
      </c>
      <c r="Q10" s="11">
        <v>0.41072955728725763</v>
      </c>
      <c r="R10" s="11">
        <v>1.2761214580854237</v>
      </c>
      <c r="S10" s="11">
        <v>1.2771252042633445</v>
      </c>
    </row>
    <row r="11" spans="1:19" x14ac:dyDescent="0.25">
      <c r="A11" s="3">
        <v>-50</v>
      </c>
      <c r="B11" s="4">
        <v>6113073054.3000002</v>
      </c>
      <c r="C11" s="10">
        <v>0.67262927227810998</v>
      </c>
      <c r="D11" s="10">
        <v>0.58523300175290205</v>
      </c>
      <c r="E11" s="10">
        <v>0.55117474904917785</v>
      </c>
      <c r="F11" s="10">
        <v>1.1493358547167314</v>
      </c>
      <c r="G11" s="10">
        <v>1.220355746409739</v>
      </c>
      <c r="H11" s="4">
        <v>3909506314.0999999</v>
      </c>
      <c r="I11" s="10">
        <v>0.56954574737923702</v>
      </c>
      <c r="J11" s="10">
        <v>0.535404410981417</v>
      </c>
      <c r="K11" s="10">
        <v>0.50101406198131948</v>
      </c>
      <c r="L11" s="10">
        <v>1.0637673797554967</v>
      </c>
      <c r="M11" s="10">
        <v>1.1367859519289756</v>
      </c>
      <c r="N11" s="4">
        <v>11642768878.4</v>
      </c>
      <c r="O11" s="10">
        <v>0.59950006507356501</v>
      </c>
      <c r="P11" s="10">
        <v>0.48723823926842003</v>
      </c>
      <c r="Q11" s="10">
        <v>0.45366446881729994</v>
      </c>
      <c r="R11" s="10">
        <v>1.230404382820413</v>
      </c>
      <c r="S11" s="10">
        <v>1.3214613580747407</v>
      </c>
    </row>
    <row r="12" spans="1:19" x14ac:dyDescent="0.25">
      <c r="A12" s="3">
        <v>-25</v>
      </c>
      <c r="B12" s="4">
        <v>6289507041.8000002</v>
      </c>
      <c r="C12" s="10">
        <v>0.877772756865422</v>
      </c>
      <c r="D12" s="10">
        <v>0.72104780813531599</v>
      </c>
      <c r="E12" s="10">
        <v>0.61055823892746897</v>
      </c>
      <c r="F12" s="10">
        <v>1.2173572223115254</v>
      </c>
      <c r="G12" s="10">
        <v>1.4376560676789043</v>
      </c>
      <c r="H12" s="4">
        <v>4926868562</v>
      </c>
      <c r="I12" s="10">
        <v>0.53300753333866002</v>
      </c>
      <c r="J12" s="10">
        <v>0.663580068526892</v>
      </c>
      <c r="K12" s="10">
        <v>0.55367846604170901</v>
      </c>
      <c r="L12" s="10">
        <v>0.80323017314535206</v>
      </c>
      <c r="M12" s="10">
        <v>0.96266617907171448</v>
      </c>
      <c r="N12" s="4">
        <v>13066329059.9</v>
      </c>
      <c r="O12" s="10">
        <v>0.74569711503826697</v>
      </c>
      <c r="P12" s="10">
        <v>0.60752983025707197</v>
      </c>
      <c r="Q12" s="10">
        <v>0.50241305281253901</v>
      </c>
      <c r="R12" s="10">
        <v>1.2274246924183632</v>
      </c>
      <c r="S12" s="10">
        <v>1.4842311736604152</v>
      </c>
    </row>
    <row r="13" spans="1:19" x14ac:dyDescent="0.25">
      <c r="A13" s="3">
        <v>0</v>
      </c>
      <c r="B13" s="4">
        <v>5301984306.6000004</v>
      </c>
      <c r="C13" s="10">
        <v>0.74099615512200501</v>
      </c>
      <c r="D13" s="10">
        <v>0.80979645851605797</v>
      </c>
      <c r="E13" s="10">
        <v>0.62452405276475298</v>
      </c>
      <c r="F13" s="10">
        <v>0.91504000459556378</v>
      </c>
      <c r="G13" s="10">
        <v>1.1864973844348072</v>
      </c>
      <c r="H13" s="4">
        <v>4406710463.8999996</v>
      </c>
      <c r="I13" s="10">
        <v>0.88449947281217201</v>
      </c>
      <c r="J13" s="10">
        <v>0.750932324916608</v>
      </c>
      <c r="K13" s="10"/>
      <c r="L13" s="10">
        <v>1.1778684223114204</v>
      </c>
      <c r="M13" s="10"/>
      <c r="N13" s="4">
        <v>11056448407.700001</v>
      </c>
      <c r="O13" s="10">
        <v>0.87314315969019396</v>
      </c>
      <c r="P13" s="10">
        <v>0.68965232245681196</v>
      </c>
      <c r="Q13" s="10">
        <v>0.52080590543488592</v>
      </c>
      <c r="R13" s="10">
        <v>1.2660628134763843</v>
      </c>
      <c r="S13" s="10">
        <v>1.6765231549383022</v>
      </c>
    </row>
    <row r="14" spans="1:19" x14ac:dyDescent="0.25">
      <c r="A14" s="3">
        <v>-200</v>
      </c>
      <c r="B14" s="4"/>
      <c r="C14" s="10"/>
      <c r="D14" s="10"/>
      <c r="E14" s="10"/>
      <c r="F14" s="10"/>
      <c r="G14" s="10"/>
      <c r="H14" s="4"/>
      <c r="I14" s="10"/>
      <c r="J14" s="10"/>
      <c r="K14" s="10"/>
      <c r="L14" s="10"/>
      <c r="M14" s="10"/>
      <c r="N14" s="4">
        <v>256666.2</v>
      </c>
      <c r="O14" s="10">
        <v>0</v>
      </c>
      <c r="P14" s="10">
        <v>0.32295647714650699</v>
      </c>
      <c r="Q14" s="10">
        <v>0.32294938912776849</v>
      </c>
      <c r="R14" s="10">
        <v>0</v>
      </c>
      <c r="S14" s="10">
        <v>0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tabSelected="1" topLeftCell="E1" workbookViewId="0">
      <selection activeCell="A2" sqref="A2:AM10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>
        <v>-200</v>
      </c>
      <c r="B2">
        <v>0</v>
      </c>
      <c r="C2">
        <v>0.32295647714650699</v>
      </c>
      <c r="D2">
        <v>0.32295647714650699</v>
      </c>
      <c r="E2">
        <v>5.2374562962963001E-2</v>
      </c>
      <c r="F2">
        <v>1.2533938390408301E-3</v>
      </c>
      <c r="G2">
        <v>5.2374562962963001E-2</v>
      </c>
      <c r="H2">
        <v>0.216946869362802</v>
      </c>
      <c r="I2" s="1">
        <v>7.08801873852613E-6</v>
      </c>
      <c r="J2">
        <v>100</v>
      </c>
      <c r="K2">
        <v>0</v>
      </c>
      <c r="L2">
        <v>0</v>
      </c>
      <c r="M2">
        <v>0</v>
      </c>
      <c r="N2">
        <v>100</v>
      </c>
      <c r="O2">
        <v>0</v>
      </c>
      <c r="P2">
        <v>0</v>
      </c>
      <c r="Q2">
        <v>100</v>
      </c>
      <c r="R2">
        <v>0</v>
      </c>
      <c r="S2">
        <v>-202.1</v>
      </c>
      <c r="T2">
        <v>0</v>
      </c>
      <c r="U2">
        <v>100</v>
      </c>
      <c r="V2">
        <v>33.200000000000003</v>
      </c>
      <c r="W2">
        <v>256.60000000000002</v>
      </c>
      <c r="X2">
        <v>64</v>
      </c>
      <c r="Y2">
        <v>2.6</v>
      </c>
      <c r="Z2">
        <v>726</v>
      </c>
      <c r="AA2">
        <v>100</v>
      </c>
      <c r="AB2">
        <v>0</v>
      </c>
      <c r="AC2">
        <v>179.2</v>
      </c>
      <c r="AD2">
        <v>112.2</v>
      </c>
      <c r="AE2">
        <v>20.9</v>
      </c>
      <c r="AF2">
        <v>-107</v>
      </c>
      <c r="AG2">
        <v>256666.2</v>
      </c>
      <c r="AH2" t="s">
        <v>35</v>
      </c>
      <c r="AI2">
        <v>1</v>
      </c>
      <c r="AJ2" t="s">
        <v>37</v>
      </c>
      <c r="AK2">
        <f>B2/C2</f>
        <v>0</v>
      </c>
      <c r="AL2" s="1">
        <f>C2-I2</f>
        <v>0.32294938912776849</v>
      </c>
      <c r="AM2" s="1">
        <f>B2/(C2-I2)</f>
        <v>0</v>
      </c>
    </row>
    <row r="3" spans="1:39" x14ac:dyDescent="0.25">
      <c r="A3">
        <v>-175</v>
      </c>
      <c r="B3">
        <v>0</v>
      </c>
      <c r="C3">
        <v>0.32515487378339603</v>
      </c>
      <c r="D3">
        <v>0.32515487378339603</v>
      </c>
      <c r="E3">
        <v>4.8099953016545099E-2</v>
      </c>
      <c r="F3">
        <v>1.3238753591557899E-3</v>
      </c>
      <c r="G3">
        <v>4.8099953016545099E-2</v>
      </c>
      <c r="H3">
        <v>0.22762473867049801</v>
      </c>
      <c r="I3" s="1">
        <v>6.3537206517031198E-6</v>
      </c>
      <c r="J3">
        <v>100</v>
      </c>
      <c r="K3">
        <v>0</v>
      </c>
      <c r="L3">
        <v>0</v>
      </c>
      <c r="M3">
        <v>0</v>
      </c>
      <c r="N3">
        <v>100</v>
      </c>
      <c r="O3">
        <v>0</v>
      </c>
      <c r="P3">
        <v>0</v>
      </c>
      <c r="Q3">
        <v>100</v>
      </c>
      <c r="R3">
        <v>0</v>
      </c>
      <c r="S3">
        <v>-188.59116013484501</v>
      </c>
      <c r="T3">
        <v>0</v>
      </c>
      <c r="U3">
        <v>100</v>
      </c>
      <c r="V3">
        <v>36.328659208537204</v>
      </c>
      <c r="W3">
        <v>262.70819349635099</v>
      </c>
      <c r="X3">
        <v>53.963030635998003</v>
      </c>
      <c r="Y3">
        <v>2.6</v>
      </c>
      <c r="Z3">
        <v>726</v>
      </c>
      <c r="AA3">
        <v>100</v>
      </c>
      <c r="AB3">
        <v>0</v>
      </c>
      <c r="AC3">
        <v>170.00675512650099</v>
      </c>
      <c r="AD3">
        <v>111.897400666181</v>
      </c>
      <c r="AE3">
        <v>26.679556356105799</v>
      </c>
      <c r="AF3">
        <v>-107</v>
      </c>
      <c r="AG3">
        <v>1839290.5</v>
      </c>
      <c r="AH3">
        <v>0</v>
      </c>
      <c r="AI3">
        <v>7</v>
      </c>
      <c r="AJ3" t="s">
        <v>37</v>
      </c>
      <c r="AK3">
        <f t="shared" ref="AK3:AK24" si="0">B3/C3</f>
        <v>0</v>
      </c>
      <c r="AL3" s="1">
        <f t="shared" ref="AL3:AL23" si="1">C3-I3</f>
        <v>0.32514852006274431</v>
      </c>
      <c r="AM3" s="1">
        <f t="shared" ref="AM3:AM23" si="2">B3/(C3-I3)</f>
        <v>0</v>
      </c>
    </row>
    <row r="4" spans="1:39" x14ac:dyDescent="0.25">
      <c r="A4">
        <v>-150</v>
      </c>
      <c r="B4" s="1">
        <v>5.5572375733499201E-5</v>
      </c>
      <c r="C4">
        <v>0.34437414464655203</v>
      </c>
      <c r="D4">
        <v>0.34431857227081902</v>
      </c>
      <c r="E4">
        <v>4.8503081453702301E-2</v>
      </c>
      <c r="F4">
        <v>4.55680570037205E-3</v>
      </c>
      <c r="G4">
        <v>4.8503081453702301E-2</v>
      </c>
      <c r="H4">
        <v>0.242804042509315</v>
      </c>
      <c r="I4" s="1">
        <v>7.1335294605614796E-6</v>
      </c>
      <c r="J4">
        <v>100</v>
      </c>
      <c r="K4">
        <v>0</v>
      </c>
      <c r="L4">
        <v>0</v>
      </c>
      <c r="M4">
        <v>0</v>
      </c>
      <c r="N4">
        <v>100</v>
      </c>
      <c r="O4">
        <v>0</v>
      </c>
      <c r="P4">
        <v>0</v>
      </c>
      <c r="Q4">
        <v>100</v>
      </c>
      <c r="R4">
        <v>0.15715818350632699</v>
      </c>
      <c r="S4">
        <v>-161.315105320143</v>
      </c>
      <c r="T4">
        <v>0</v>
      </c>
      <c r="U4">
        <v>81.645731699158205</v>
      </c>
      <c r="V4">
        <v>35.166546498085197</v>
      </c>
      <c r="W4">
        <v>321.81808929608701</v>
      </c>
      <c r="X4">
        <v>54.926685103274103</v>
      </c>
      <c r="Y4">
        <v>2.8977830914206</v>
      </c>
      <c r="Z4">
        <v>735.80594499492099</v>
      </c>
      <c r="AA4">
        <v>52.763448074191601</v>
      </c>
      <c r="AB4">
        <v>0</v>
      </c>
      <c r="AC4">
        <v>172.99510074502601</v>
      </c>
      <c r="AD4">
        <v>112.081733479165</v>
      </c>
      <c r="AE4">
        <v>27.212945226742399</v>
      </c>
      <c r="AF4">
        <v>-76.821396234713106</v>
      </c>
      <c r="AG4">
        <v>5283799.3</v>
      </c>
      <c r="AH4" s="1">
        <v>2.1828206253269999E-6</v>
      </c>
      <c r="AI4">
        <v>17</v>
      </c>
      <c r="AJ4" t="s">
        <v>37</v>
      </c>
      <c r="AK4">
        <f t="shared" si="0"/>
        <v>1.6137209078380678E-4</v>
      </c>
      <c r="AL4" s="1">
        <f t="shared" si="1"/>
        <v>0.34436701111709145</v>
      </c>
      <c r="AM4" s="1">
        <f t="shared" si="2"/>
        <v>1.6137543359112154E-4</v>
      </c>
    </row>
    <row r="5" spans="1:39" x14ac:dyDescent="0.25">
      <c r="A5">
        <v>-125</v>
      </c>
      <c r="B5">
        <v>0.41510695537835102</v>
      </c>
      <c r="C5">
        <v>0.34032948442518002</v>
      </c>
      <c r="D5">
        <v>-7.4777470953170402E-2</v>
      </c>
      <c r="E5">
        <v>4.8477697455183703E-2</v>
      </c>
      <c r="F5">
        <v>6.0158552132611601E-3</v>
      </c>
      <c r="G5">
        <v>4.8477697455183703E-2</v>
      </c>
      <c r="H5">
        <v>0.23734812222166601</v>
      </c>
      <c r="I5" s="1">
        <v>1.01120798856936E-5</v>
      </c>
      <c r="J5">
        <v>100</v>
      </c>
      <c r="K5">
        <v>0</v>
      </c>
      <c r="L5">
        <v>0</v>
      </c>
      <c r="M5">
        <v>0</v>
      </c>
      <c r="N5">
        <v>100</v>
      </c>
      <c r="O5">
        <v>0</v>
      </c>
      <c r="P5">
        <v>0</v>
      </c>
      <c r="Q5">
        <v>100</v>
      </c>
      <c r="R5">
        <v>0.22739450502668701</v>
      </c>
      <c r="S5">
        <v>-132.05946887703101</v>
      </c>
      <c r="T5">
        <v>7.0388949211479196E-3</v>
      </c>
      <c r="U5">
        <v>98.247758487163907</v>
      </c>
      <c r="V5">
        <v>39.504033166826197</v>
      </c>
      <c r="W5">
        <v>378.056153685163</v>
      </c>
      <c r="X5">
        <v>54.891861680560901</v>
      </c>
      <c r="Y5">
        <v>3.2742674042534801</v>
      </c>
      <c r="Z5">
        <v>771.08245733900003</v>
      </c>
      <c r="AA5">
        <v>13.5510499870754</v>
      </c>
      <c r="AB5">
        <v>0</v>
      </c>
      <c r="AC5">
        <v>172.70639537475901</v>
      </c>
      <c r="AD5">
        <v>111.91843179476299</v>
      </c>
      <c r="AE5">
        <v>24.160245223604299</v>
      </c>
      <c r="AF5">
        <v>-32.728598664162099</v>
      </c>
      <c r="AG5">
        <v>110185918.2</v>
      </c>
      <c r="AH5">
        <v>7.3303377558737601E-2</v>
      </c>
      <c r="AI5">
        <v>187</v>
      </c>
      <c r="AJ5" t="s">
        <v>37</v>
      </c>
      <c r="AK5">
        <f t="shared" si="0"/>
        <v>1.2197208128454426</v>
      </c>
      <c r="AL5" s="1">
        <f t="shared" si="1"/>
        <v>0.3403193723452943</v>
      </c>
      <c r="AM5" s="1">
        <f t="shared" si="2"/>
        <v>1.2197570550205876</v>
      </c>
    </row>
    <row r="6" spans="1:39" x14ac:dyDescent="0.25">
      <c r="A6">
        <v>-100</v>
      </c>
      <c r="B6">
        <v>0.46846535216858298</v>
      </c>
      <c r="C6">
        <v>0.37114441284041499</v>
      </c>
      <c r="D6">
        <v>-9.7320939328168807E-2</v>
      </c>
      <c r="E6">
        <v>4.86664376389443E-2</v>
      </c>
      <c r="F6">
        <v>6.0214382339850402E-3</v>
      </c>
      <c r="G6">
        <v>4.86664376389443E-2</v>
      </c>
      <c r="H6">
        <v>0.26778050734593301</v>
      </c>
      <c r="I6" s="1">
        <v>9.5919826077704306E-6</v>
      </c>
      <c r="J6">
        <v>100</v>
      </c>
      <c r="K6">
        <v>0</v>
      </c>
      <c r="L6">
        <v>0</v>
      </c>
      <c r="M6">
        <v>0</v>
      </c>
      <c r="N6">
        <v>100</v>
      </c>
      <c r="O6">
        <v>0</v>
      </c>
      <c r="P6">
        <v>0</v>
      </c>
      <c r="Q6">
        <v>100</v>
      </c>
      <c r="R6">
        <v>0.23036865397912401</v>
      </c>
      <c r="S6">
        <v>-108.178305524783</v>
      </c>
      <c r="T6">
        <v>1.0219777435796299E-2</v>
      </c>
      <c r="U6">
        <v>99.856879365307506</v>
      </c>
      <c r="V6">
        <v>39.029307802717398</v>
      </c>
      <c r="W6">
        <v>325.625996049398</v>
      </c>
      <c r="X6">
        <v>55.304569698681902</v>
      </c>
      <c r="Y6">
        <v>3.45166472111111</v>
      </c>
      <c r="Z6">
        <v>773.646253916506</v>
      </c>
      <c r="AA6">
        <v>9.1334280764126206</v>
      </c>
      <c r="AB6">
        <v>0</v>
      </c>
      <c r="AC6">
        <v>172.78834036843401</v>
      </c>
      <c r="AD6">
        <v>111.973600672773</v>
      </c>
      <c r="AE6">
        <v>24.611848161462198</v>
      </c>
      <c r="AF6">
        <v>-16.113250302683799</v>
      </c>
      <c r="AG6">
        <v>1290521526.8</v>
      </c>
      <c r="AH6">
        <v>3.0251936667264601E-2</v>
      </c>
      <c r="AI6">
        <v>753</v>
      </c>
      <c r="AJ6" t="s">
        <v>37</v>
      </c>
      <c r="AK6">
        <f t="shared" si="0"/>
        <v>1.2622185218507227</v>
      </c>
      <c r="AL6" s="1">
        <f t="shared" si="1"/>
        <v>0.37113482085780725</v>
      </c>
      <c r="AM6" s="1">
        <f t="shared" si="2"/>
        <v>1.2622511438991761</v>
      </c>
    </row>
    <row r="7" spans="1:39" x14ac:dyDescent="0.25">
      <c r="A7">
        <v>-75</v>
      </c>
      <c r="B7">
        <v>0.52455306974748195</v>
      </c>
      <c r="C7">
        <v>0.41105262075482502</v>
      </c>
      <c r="D7">
        <v>-0.113500448992657</v>
      </c>
      <c r="E7">
        <v>4.88247656985294E-2</v>
      </c>
      <c r="F7">
        <v>7.2281141214279396E-3</v>
      </c>
      <c r="G7">
        <v>4.88247656985294E-2</v>
      </c>
      <c r="H7">
        <v>0.30585191176877102</v>
      </c>
      <c r="I7">
        <v>3.2306346756740402E-4</v>
      </c>
      <c r="J7">
        <v>100</v>
      </c>
      <c r="K7">
        <v>0</v>
      </c>
      <c r="L7">
        <v>0</v>
      </c>
      <c r="M7">
        <v>0</v>
      </c>
      <c r="N7">
        <v>100</v>
      </c>
      <c r="O7">
        <v>0</v>
      </c>
      <c r="P7">
        <v>0</v>
      </c>
      <c r="Q7">
        <v>100</v>
      </c>
      <c r="R7">
        <v>0.28124183528559399</v>
      </c>
      <c r="S7">
        <v>-85.216135810450794</v>
      </c>
      <c r="T7">
        <v>1.7029350658281199</v>
      </c>
      <c r="U7">
        <v>99.906737503789898</v>
      </c>
      <c r="V7">
        <v>39.2010186320203</v>
      </c>
      <c r="W7">
        <v>321.23549902590702</v>
      </c>
      <c r="X7">
        <v>55.643251676477902</v>
      </c>
      <c r="Y7">
        <v>3.61597981746046</v>
      </c>
      <c r="Z7">
        <v>772.35851861937795</v>
      </c>
      <c r="AA7">
        <v>7.9686660833405698</v>
      </c>
      <c r="AB7">
        <v>0</v>
      </c>
      <c r="AC7">
        <v>173.367793443934</v>
      </c>
      <c r="AD7">
        <v>112.130037330311</v>
      </c>
      <c r="AE7">
        <v>26.982423646815199</v>
      </c>
      <c r="AF7">
        <v>-2.48355185985245</v>
      </c>
      <c r="AG7">
        <v>5161209539.1000004</v>
      </c>
      <c r="AH7">
        <v>6.3990204358878894E-2</v>
      </c>
      <c r="AI7">
        <v>1752</v>
      </c>
      <c r="AJ7" t="s">
        <v>37</v>
      </c>
      <c r="AK7">
        <f t="shared" si="0"/>
        <v>1.2761214580854237</v>
      </c>
      <c r="AL7" s="1">
        <f t="shared" si="1"/>
        <v>0.41072955728725763</v>
      </c>
      <c r="AM7" s="1">
        <f t="shared" si="2"/>
        <v>1.2771252042633445</v>
      </c>
    </row>
    <row r="8" spans="1:39" x14ac:dyDescent="0.25">
      <c r="A8">
        <v>-50</v>
      </c>
      <c r="B8">
        <v>0.59950006507356501</v>
      </c>
      <c r="C8">
        <v>0.48723823926842003</v>
      </c>
      <c r="D8">
        <v>-0.112261825805145</v>
      </c>
      <c r="E8">
        <v>4.8951746663451798E-2</v>
      </c>
      <c r="F8">
        <v>9.6735973544712292E-3</v>
      </c>
      <c r="G8">
        <v>4.8951746663451798E-2</v>
      </c>
      <c r="H8">
        <v>0.34608737813592599</v>
      </c>
      <c r="I8">
        <v>3.3573770451120102E-2</v>
      </c>
      <c r="J8">
        <v>100</v>
      </c>
      <c r="K8">
        <v>0</v>
      </c>
      <c r="L8">
        <v>0</v>
      </c>
      <c r="M8">
        <v>0</v>
      </c>
      <c r="N8">
        <v>100</v>
      </c>
      <c r="O8">
        <v>0</v>
      </c>
      <c r="P8">
        <v>0</v>
      </c>
      <c r="Q8">
        <v>100</v>
      </c>
      <c r="R8">
        <v>0.382080330816575</v>
      </c>
      <c r="S8">
        <v>-61.656765922561299</v>
      </c>
      <c r="T8">
        <v>30.572153669255499</v>
      </c>
      <c r="U8">
        <v>99.815794242034698</v>
      </c>
      <c r="V8">
        <v>39.570440642781399</v>
      </c>
      <c r="W8">
        <v>314.04208197895599</v>
      </c>
      <c r="X8">
        <v>55.914320745164801</v>
      </c>
      <c r="Y8">
        <v>3.7834095839170701</v>
      </c>
      <c r="Z8">
        <v>771.68093291662206</v>
      </c>
      <c r="AA8">
        <v>10.558472849608201</v>
      </c>
      <c r="AB8">
        <v>0</v>
      </c>
      <c r="AC8">
        <v>173.47124388330201</v>
      </c>
      <c r="AD8">
        <v>112.22547407978</v>
      </c>
      <c r="AE8">
        <v>29.923796670835198</v>
      </c>
      <c r="AF8">
        <v>7.4976823945942899</v>
      </c>
      <c r="AG8">
        <v>11642768878.4</v>
      </c>
      <c r="AH8">
        <v>5.1409316510080197E-2</v>
      </c>
      <c r="AI8">
        <v>3802</v>
      </c>
      <c r="AJ8" t="s">
        <v>37</v>
      </c>
      <c r="AK8">
        <f t="shared" si="0"/>
        <v>1.230404382820413</v>
      </c>
      <c r="AL8" s="1">
        <f t="shared" si="1"/>
        <v>0.45366446881729994</v>
      </c>
      <c r="AM8" s="1">
        <f t="shared" si="2"/>
        <v>1.3214613580747407</v>
      </c>
    </row>
    <row r="9" spans="1:39" x14ac:dyDescent="0.25">
      <c r="A9">
        <v>-25</v>
      </c>
      <c r="B9">
        <v>0.74569711503826697</v>
      </c>
      <c r="C9">
        <v>0.60752983025707197</v>
      </c>
      <c r="D9">
        <v>-0.138167284781195</v>
      </c>
      <c r="E9">
        <v>4.92903011716294E-2</v>
      </c>
      <c r="F9">
        <v>1.2929087054252501E-2</v>
      </c>
      <c r="G9">
        <v>4.92903011716294E-2</v>
      </c>
      <c r="H9">
        <v>0.39090336341502802</v>
      </c>
      <c r="I9">
        <v>0.105116777444533</v>
      </c>
      <c r="J9">
        <v>100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100</v>
      </c>
      <c r="R9">
        <v>0.50836607831004998</v>
      </c>
      <c r="S9">
        <v>-38.004450559555998</v>
      </c>
      <c r="T9">
        <v>148.70545641561199</v>
      </c>
      <c r="U9">
        <v>99.526463542756005</v>
      </c>
      <c r="V9">
        <v>39.966617399071303</v>
      </c>
      <c r="W9">
        <v>313.97465695773502</v>
      </c>
      <c r="X9">
        <v>56.704330544915898</v>
      </c>
      <c r="Y9">
        <v>3.9938793727355701</v>
      </c>
      <c r="Z9">
        <v>767.66488222956605</v>
      </c>
      <c r="AA9">
        <v>18.2774358223914</v>
      </c>
      <c r="AB9">
        <v>0</v>
      </c>
      <c r="AC9">
        <v>172.81777358339099</v>
      </c>
      <c r="AD9">
        <v>112.20957297069999</v>
      </c>
      <c r="AE9">
        <v>31.300072679053599</v>
      </c>
      <c r="AF9">
        <v>20.465101808314401</v>
      </c>
      <c r="AG9">
        <v>13066329059.9</v>
      </c>
      <c r="AH9">
        <v>7.4363353497011897E-2</v>
      </c>
      <c r="AI9">
        <v>7514</v>
      </c>
      <c r="AJ9" t="s">
        <v>37</v>
      </c>
      <c r="AK9">
        <f t="shared" si="0"/>
        <v>1.2274246924183632</v>
      </c>
      <c r="AL9" s="1">
        <f t="shared" si="1"/>
        <v>0.50241305281253901</v>
      </c>
      <c r="AM9" s="1">
        <f t="shared" si="2"/>
        <v>1.4842311736604152</v>
      </c>
    </row>
    <row r="10" spans="1:39" x14ac:dyDescent="0.25">
      <c r="A10">
        <v>0</v>
      </c>
      <c r="B10">
        <v>0.87314315969019396</v>
      </c>
      <c r="C10">
        <v>0.68965232245681196</v>
      </c>
      <c r="D10">
        <v>-0.183490837233382</v>
      </c>
      <c r="E10">
        <v>4.9377025018334998E-2</v>
      </c>
      <c r="F10">
        <v>1.49662938926484E-2</v>
      </c>
      <c r="G10">
        <v>4.9377025018334998E-2</v>
      </c>
      <c r="H10">
        <v>0.40708556150556702</v>
      </c>
      <c r="I10">
        <v>0.16884641702192599</v>
      </c>
      <c r="J10">
        <v>100</v>
      </c>
      <c r="K10">
        <v>0</v>
      </c>
      <c r="L10">
        <v>0</v>
      </c>
      <c r="M10">
        <v>0</v>
      </c>
      <c r="N10">
        <v>100</v>
      </c>
      <c r="O10">
        <v>0</v>
      </c>
      <c r="P10">
        <v>0</v>
      </c>
      <c r="Q10">
        <v>100</v>
      </c>
      <c r="R10">
        <v>0.56901548697035298</v>
      </c>
      <c r="S10">
        <v>-14.4661654300201</v>
      </c>
      <c r="T10">
        <v>407.23122626786699</v>
      </c>
      <c r="U10">
        <v>99.215288806799094</v>
      </c>
      <c r="V10">
        <v>41.342511341028199</v>
      </c>
      <c r="W10">
        <v>297.12623434475302</v>
      </c>
      <c r="X10">
        <v>56.8950986406618</v>
      </c>
      <c r="Y10">
        <v>4.2008341347428999</v>
      </c>
      <c r="Z10">
        <v>762.74206873055095</v>
      </c>
      <c r="AA10">
        <v>29.121011575565099</v>
      </c>
      <c r="AB10">
        <v>0</v>
      </c>
      <c r="AC10">
        <v>170.79404025591899</v>
      </c>
      <c r="AD10">
        <v>112.111383872158</v>
      </c>
      <c r="AE10">
        <v>33.6752261800752</v>
      </c>
      <c r="AF10">
        <v>30.2047920617206</v>
      </c>
      <c r="AG10">
        <v>11056448407.700001</v>
      </c>
      <c r="AH10">
        <v>7.0957950175363202E-2</v>
      </c>
      <c r="AI10">
        <v>9086</v>
      </c>
      <c r="AJ10" t="s">
        <v>37</v>
      </c>
      <c r="AK10">
        <f t="shared" si="0"/>
        <v>1.2660628134763843</v>
      </c>
      <c r="AL10" s="1">
        <f t="shared" si="1"/>
        <v>0.52080590543488592</v>
      </c>
      <c r="AM10" s="1">
        <f t="shared" si="2"/>
        <v>1.6765231549383022</v>
      </c>
    </row>
    <row r="11" spans="1:39" x14ac:dyDescent="0.25">
      <c r="A11">
        <v>-150</v>
      </c>
      <c r="B11">
        <v>0</v>
      </c>
      <c r="C11">
        <v>0.40755516849652901</v>
      </c>
      <c r="D11">
        <v>0.40755516849652901</v>
      </c>
      <c r="E11">
        <v>4.8465923220117398E-2</v>
      </c>
      <c r="F11">
        <v>3.92726502937173E-3</v>
      </c>
      <c r="G11">
        <v>4.8465923220117398E-2</v>
      </c>
      <c r="H11">
        <v>0.30668484852567601</v>
      </c>
      <c r="I11" s="1">
        <v>1.12085012466515E-5</v>
      </c>
      <c r="J11">
        <v>100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0.10195946612326801</v>
      </c>
      <c r="S11">
        <v>-153.297878448007</v>
      </c>
      <c r="T11">
        <v>0</v>
      </c>
      <c r="U11">
        <v>100</v>
      </c>
      <c r="V11">
        <v>40.705426518274002</v>
      </c>
      <c r="W11">
        <v>416.57643959357398</v>
      </c>
      <c r="X11">
        <v>54.876576183764698</v>
      </c>
      <c r="Y11">
        <v>3.1</v>
      </c>
      <c r="Z11">
        <v>719.69485603858197</v>
      </c>
      <c r="AA11">
        <v>0</v>
      </c>
      <c r="AB11">
        <v>0</v>
      </c>
      <c r="AC11">
        <v>172.44652611616999</v>
      </c>
      <c r="AD11">
        <v>111.83705665407901</v>
      </c>
      <c r="AE11">
        <v>23.238108789053801</v>
      </c>
      <c r="AF11">
        <v>-49.7143060478518</v>
      </c>
      <c r="AG11">
        <v>2304704.2999999998</v>
      </c>
      <c r="AH11">
        <v>0</v>
      </c>
      <c r="AI11">
        <v>6</v>
      </c>
      <c r="AJ11" t="s">
        <v>38</v>
      </c>
      <c r="AK11">
        <f t="shared" si="0"/>
        <v>0</v>
      </c>
      <c r="AL11" s="1">
        <f t="shared" si="1"/>
        <v>0.40754395999528237</v>
      </c>
      <c r="AM11" s="1">
        <f t="shared" si="2"/>
        <v>0</v>
      </c>
    </row>
    <row r="12" spans="1:39" x14ac:dyDescent="0.25">
      <c r="A12">
        <v>-125</v>
      </c>
      <c r="B12">
        <v>1.22674663901127E-2</v>
      </c>
      <c r="C12">
        <v>0.40914387103443101</v>
      </c>
      <c r="D12">
        <v>0.396876404644319</v>
      </c>
      <c r="E12">
        <v>4.8504592792116497E-2</v>
      </c>
      <c r="F12">
        <v>5.2085519567055798E-3</v>
      </c>
      <c r="G12">
        <v>4.8504592792116497E-2</v>
      </c>
      <c r="H12">
        <v>0.30691562129484101</v>
      </c>
      <c r="I12" s="1">
        <v>1.0512198651386001E-5</v>
      </c>
      <c r="J12">
        <v>100</v>
      </c>
      <c r="K12">
        <v>0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0.178134394866857</v>
      </c>
      <c r="S12">
        <v>-133.88326392540199</v>
      </c>
      <c r="T12">
        <v>1.3381433942792001E-2</v>
      </c>
      <c r="U12">
        <v>100</v>
      </c>
      <c r="V12">
        <v>46.356786125037502</v>
      </c>
      <c r="W12">
        <v>383.10134359619798</v>
      </c>
      <c r="X12">
        <v>54.939540711518397</v>
      </c>
      <c r="Y12">
        <v>3.2791547459096102</v>
      </c>
      <c r="Z12">
        <v>767.93489779566801</v>
      </c>
      <c r="AA12">
        <v>0</v>
      </c>
      <c r="AB12">
        <v>0</v>
      </c>
      <c r="AC12">
        <v>172.40599898917699</v>
      </c>
      <c r="AD12">
        <v>111.920726422511</v>
      </c>
      <c r="AE12">
        <v>24.116051191213799</v>
      </c>
      <c r="AF12">
        <v>-33.269401842147801</v>
      </c>
      <c r="AG12">
        <v>58438926.899999999</v>
      </c>
      <c r="AH12">
        <v>1.7091765844248701E-4</v>
      </c>
      <c r="AI12">
        <v>108</v>
      </c>
      <c r="AJ12" t="s">
        <v>38</v>
      </c>
      <c r="AK12">
        <f t="shared" si="0"/>
        <v>2.9983258356277191E-2</v>
      </c>
      <c r="AL12" s="1">
        <f t="shared" si="1"/>
        <v>0.40913335883577961</v>
      </c>
      <c r="AM12" s="1">
        <f t="shared" si="2"/>
        <v>2.9984028740703807E-2</v>
      </c>
    </row>
    <row r="13" spans="1:39" x14ac:dyDescent="0.25">
      <c r="A13">
        <v>-100</v>
      </c>
      <c r="B13">
        <v>0.373094352361517</v>
      </c>
      <c r="C13">
        <v>0.443061246798238</v>
      </c>
      <c r="D13">
        <v>6.9966894436721105E-2</v>
      </c>
      <c r="E13">
        <v>4.8678278417769498E-2</v>
      </c>
      <c r="F13">
        <v>5.6599800850989403E-3</v>
      </c>
      <c r="G13">
        <v>4.8678278417769498E-2</v>
      </c>
      <c r="H13">
        <v>0.34003455433522001</v>
      </c>
      <c r="I13" s="1">
        <v>1.0155542379913001E-5</v>
      </c>
      <c r="J13">
        <v>100</v>
      </c>
      <c r="K13">
        <v>0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0.20749570265560499</v>
      </c>
      <c r="S13">
        <v>-108.270210661878</v>
      </c>
      <c r="T13">
        <v>2.9288078071623501E-2</v>
      </c>
      <c r="U13">
        <v>100</v>
      </c>
      <c r="V13">
        <v>46.150182215560598</v>
      </c>
      <c r="W13">
        <v>347.87152679885401</v>
      </c>
      <c r="X13">
        <v>55.329239223787098</v>
      </c>
      <c r="Y13">
        <v>3.4653753280974202</v>
      </c>
      <c r="Z13">
        <v>775.53371259970504</v>
      </c>
      <c r="AA13">
        <v>0</v>
      </c>
      <c r="AB13">
        <v>0</v>
      </c>
      <c r="AC13">
        <v>173.096637114</v>
      </c>
      <c r="AD13">
        <v>111.997798533875</v>
      </c>
      <c r="AE13">
        <v>24.768638439976002</v>
      </c>
      <c r="AF13">
        <v>-15.239569841525601</v>
      </c>
      <c r="AG13">
        <v>632344129.39999998</v>
      </c>
      <c r="AH13">
        <v>3.0705109259182298E-2</v>
      </c>
      <c r="AI13">
        <v>444</v>
      </c>
      <c r="AJ13" t="s">
        <v>38</v>
      </c>
      <c r="AK13">
        <f t="shared" si="0"/>
        <v>0.84208301912583516</v>
      </c>
      <c r="AL13" s="1">
        <f t="shared" si="1"/>
        <v>0.44305109125585806</v>
      </c>
      <c r="AM13" s="1">
        <f t="shared" si="2"/>
        <v>0.84210232121075701</v>
      </c>
    </row>
    <row r="14" spans="1:39" x14ac:dyDescent="0.25">
      <c r="A14">
        <v>-75</v>
      </c>
      <c r="B14">
        <v>0.53143383739832994</v>
      </c>
      <c r="C14">
        <v>0.49212458567276901</v>
      </c>
      <c r="D14">
        <v>-3.9309251725560698E-2</v>
      </c>
      <c r="E14">
        <v>4.8669004361695502E-2</v>
      </c>
      <c r="F14">
        <v>7.1365979696044997E-3</v>
      </c>
      <c r="G14">
        <v>4.8669004361695502E-2</v>
      </c>
      <c r="H14">
        <v>0.387201046363223</v>
      </c>
      <c r="I14">
        <v>4.4893261655101698E-4</v>
      </c>
      <c r="J14">
        <v>100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0.26822163037589902</v>
      </c>
      <c r="S14">
        <v>-85.342407321853202</v>
      </c>
      <c r="T14">
        <v>0.92403859829864399</v>
      </c>
      <c r="U14">
        <v>99.984425599607306</v>
      </c>
      <c r="V14">
        <v>45.898549091635601</v>
      </c>
      <c r="W14">
        <v>326.14076045789199</v>
      </c>
      <c r="X14">
        <v>55.281523595045101</v>
      </c>
      <c r="Y14">
        <v>3.63257090820415</v>
      </c>
      <c r="Z14">
        <v>774.006403705499</v>
      </c>
      <c r="AA14">
        <v>0</v>
      </c>
      <c r="AB14">
        <v>0</v>
      </c>
      <c r="AC14">
        <v>172.94739165984001</v>
      </c>
      <c r="AD14">
        <v>112.086667312579</v>
      </c>
      <c r="AE14">
        <v>26.8439997585218</v>
      </c>
      <c r="AF14">
        <v>-1.5655976502604201</v>
      </c>
      <c r="AG14">
        <v>2810096626.3000002</v>
      </c>
      <c r="AH14">
        <v>3.38373402507164E-2</v>
      </c>
      <c r="AI14">
        <v>1229</v>
      </c>
      <c r="AJ14" t="s">
        <v>38</v>
      </c>
      <c r="AK14">
        <f t="shared" si="0"/>
        <v>1.0798766265087578</v>
      </c>
      <c r="AL14" s="1">
        <f t="shared" si="1"/>
        <v>0.49167565305621802</v>
      </c>
      <c r="AM14" s="1">
        <f t="shared" si="2"/>
        <v>1.0808626257879115</v>
      </c>
    </row>
    <row r="15" spans="1:39" x14ac:dyDescent="0.25">
      <c r="A15">
        <v>-50</v>
      </c>
      <c r="B15">
        <v>0.67262927227810998</v>
      </c>
      <c r="C15">
        <v>0.58523300175290205</v>
      </c>
      <c r="D15">
        <v>-8.7396270525207403E-2</v>
      </c>
      <c r="E15">
        <v>4.8974476392460303E-2</v>
      </c>
      <c r="F15">
        <v>8.9536709585674099E-3</v>
      </c>
      <c r="G15">
        <v>4.8974476392460303E-2</v>
      </c>
      <c r="H15">
        <v>0.44427212530568999</v>
      </c>
      <c r="I15">
        <v>3.4058252703724201E-2</v>
      </c>
      <c r="J15">
        <v>100</v>
      </c>
      <c r="K15">
        <v>0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0.34331511111808899</v>
      </c>
      <c r="S15">
        <v>-61.843806963000603</v>
      </c>
      <c r="T15">
        <v>20.4840782823164</v>
      </c>
      <c r="U15">
        <v>99.992865957986695</v>
      </c>
      <c r="V15">
        <v>45.971260338509097</v>
      </c>
      <c r="W15">
        <v>316.37907818589201</v>
      </c>
      <c r="X15">
        <v>55.969126833593599</v>
      </c>
      <c r="Y15">
        <v>3.7764526570496701</v>
      </c>
      <c r="Z15">
        <v>772.49747875499997</v>
      </c>
      <c r="AA15">
        <v>0</v>
      </c>
      <c r="AB15">
        <v>0</v>
      </c>
      <c r="AC15">
        <v>173.490584899222</v>
      </c>
      <c r="AD15">
        <v>112.24820845889499</v>
      </c>
      <c r="AE15">
        <v>30.1492882758285</v>
      </c>
      <c r="AF15">
        <v>6.3968463756037703</v>
      </c>
      <c r="AG15">
        <v>6113073054.3000002</v>
      </c>
      <c r="AH15">
        <v>5.2764277433320197E-2</v>
      </c>
      <c r="AI15">
        <v>2699</v>
      </c>
      <c r="AJ15" t="s">
        <v>38</v>
      </c>
      <c r="AK15">
        <f t="shared" si="0"/>
        <v>1.1493358547167314</v>
      </c>
      <c r="AL15" s="1">
        <f t="shared" si="1"/>
        <v>0.55117474904917785</v>
      </c>
      <c r="AM15" s="1">
        <f t="shared" si="2"/>
        <v>1.220355746409739</v>
      </c>
    </row>
    <row r="16" spans="1:39" x14ac:dyDescent="0.25">
      <c r="A16">
        <v>-25</v>
      </c>
      <c r="B16">
        <v>0.877772756865422</v>
      </c>
      <c r="C16">
        <v>0.72104780813531599</v>
      </c>
      <c r="D16">
        <v>-0.15672494873010601</v>
      </c>
      <c r="E16">
        <v>4.9470602462859503E-2</v>
      </c>
      <c r="F16">
        <v>1.13921638760208E-2</v>
      </c>
      <c r="G16">
        <v>4.9470602462859503E-2</v>
      </c>
      <c r="H16">
        <v>0.50022487012572903</v>
      </c>
      <c r="I16">
        <v>0.110489569207847</v>
      </c>
      <c r="J16">
        <v>100</v>
      </c>
      <c r="K16">
        <v>0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0.434080032605967</v>
      </c>
      <c r="S16">
        <v>-38.088257370250297</v>
      </c>
      <c r="T16">
        <v>121.208900050248</v>
      </c>
      <c r="U16">
        <v>99.973262066664006</v>
      </c>
      <c r="V16">
        <v>46.584550613813697</v>
      </c>
      <c r="W16">
        <v>315.709065739967</v>
      </c>
      <c r="X16">
        <v>57.122516580143497</v>
      </c>
      <c r="Y16">
        <v>3.9899319175574202</v>
      </c>
      <c r="Z16">
        <v>770.26050540574204</v>
      </c>
      <c r="AA16">
        <v>0</v>
      </c>
      <c r="AB16">
        <v>0</v>
      </c>
      <c r="AC16">
        <v>172.942981039171</v>
      </c>
      <c r="AD16">
        <v>112.232817472604</v>
      </c>
      <c r="AE16">
        <v>31.408679248346001</v>
      </c>
      <c r="AF16">
        <v>18.766956217167898</v>
      </c>
      <c r="AG16">
        <v>6289507041.8000002</v>
      </c>
      <c r="AH16">
        <v>7.4705012039235602E-2</v>
      </c>
      <c r="AI16">
        <v>4734</v>
      </c>
      <c r="AJ16" t="s">
        <v>38</v>
      </c>
      <c r="AK16">
        <f t="shared" si="0"/>
        <v>1.2173572223115254</v>
      </c>
      <c r="AL16" s="1">
        <f t="shared" si="1"/>
        <v>0.61055823892746897</v>
      </c>
      <c r="AM16" s="1">
        <f t="shared" si="2"/>
        <v>1.4376560676789043</v>
      </c>
    </row>
    <row r="17" spans="1:39" x14ac:dyDescent="0.25">
      <c r="A17">
        <v>0</v>
      </c>
      <c r="B17">
        <v>0.74099615512200501</v>
      </c>
      <c r="C17">
        <v>0.80979645851605797</v>
      </c>
      <c r="D17">
        <v>6.8800303394053103E-2</v>
      </c>
      <c r="E17">
        <v>4.96580769344473E-2</v>
      </c>
      <c r="F17">
        <v>1.36734665139899E-2</v>
      </c>
      <c r="G17">
        <v>4.96580769344473E-2</v>
      </c>
      <c r="H17">
        <v>0.51153443238186902</v>
      </c>
      <c r="I17">
        <v>0.18527240575130499</v>
      </c>
      <c r="J17">
        <v>100</v>
      </c>
      <c r="K17">
        <v>0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0.50556664412477803</v>
      </c>
      <c r="S17">
        <v>-14.467361000847401</v>
      </c>
      <c r="T17">
        <v>367.89627074319202</v>
      </c>
      <c r="U17">
        <v>99.956222882494899</v>
      </c>
      <c r="V17">
        <v>47.941031891542799</v>
      </c>
      <c r="W17">
        <v>300.03751036252999</v>
      </c>
      <c r="X17">
        <v>57.548354024183098</v>
      </c>
      <c r="Y17">
        <v>4.2022608607601999</v>
      </c>
      <c r="Z17">
        <v>767.434297257048</v>
      </c>
      <c r="AA17">
        <v>0</v>
      </c>
      <c r="AB17">
        <v>0</v>
      </c>
      <c r="AC17">
        <v>170.57595400602301</v>
      </c>
      <c r="AD17">
        <v>112.09323092064101</v>
      </c>
      <c r="AE17">
        <v>34.243289839154002</v>
      </c>
      <c r="AF17">
        <v>25.186159555793399</v>
      </c>
      <c r="AG17">
        <v>5301984306.6000004</v>
      </c>
      <c r="AH17">
        <v>6.4379866346470097E-2</v>
      </c>
      <c r="AI17">
        <v>5594</v>
      </c>
      <c r="AJ17" t="s">
        <v>38</v>
      </c>
      <c r="AK17">
        <f t="shared" si="0"/>
        <v>0.91504000459556378</v>
      </c>
      <c r="AL17" s="1">
        <f t="shared" si="1"/>
        <v>0.62452405276475298</v>
      </c>
      <c r="AM17" s="1">
        <f t="shared" si="2"/>
        <v>1.1864973844348072</v>
      </c>
    </row>
    <row r="18" spans="1:39" x14ac:dyDescent="0.25">
      <c r="A18">
        <v>-150</v>
      </c>
      <c r="B18">
        <v>2.0121542736784099E-4</v>
      </c>
      <c r="C18">
        <v>0.35973140415221899</v>
      </c>
      <c r="D18">
        <v>0.35953018872485099</v>
      </c>
      <c r="E18">
        <v>4.7118420177359101E-2</v>
      </c>
      <c r="F18">
        <v>2.9668126288329502E-3</v>
      </c>
      <c r="G18">
        <v>4.7118420177359101E-2</v>
      </c>
      <c r="H18">
        <v>0.26251749417882198</v>
      </c>
      <c r="I18" s="1">
        <v>1.0256989845479099E-5</v>
      </c>
      <c r="J18">
        <v>100</v>
      </c>
      <c r="K18">
        <v>0</v>
      </c>
      <c r="L18">
        <v>0</v>
      </c>
      <c r="M18">
        <v>0</v>
      </c>
      <c r="N18">
        <v>0</v>
      </c>
      <c r="O18">
        <v>100</v>
      </c>
      <c r="P18">
        <v>0</v>
      </c>
      <c r="Q18">
        <v>0</v>
      </c>
      <c r="R18">
        <v>5.8800454705948198E-2</v>
      </c>
      <c r="S18">
        <v>-157.973138043278</v>
      </c>
      <c r="T18">
        <v>0</v>
      </c>
      <c r="U18">
        <v>100</v>
      </c>
      <c r="V18">
        <v>53.602938087334202</v>
      </c>
      <c r="W18">
        <v>352.99693957333199</v>
      </c>
      <c r="X18">
        <v>51.751870698888297</v>
      </c>
      <c r="Y18">
        <v>3</v>
      </c>
      <c r="Z18">
        <v>745</v>
      </c>
      <c r="AA18">
        <v>0</v>
      </c>
      <c r="AB18">
        <v>0</v>
      </c>
      <c r="AC18">
        <v>170.695118477596</v>
      </c>
      <c r="AD18">
        <v>111.837685211541</v>
      </c>
      <c r="AE18">
        <v>24.175716455351399</v>
      </c>
      <c r="AF18">
        <v>-62</v>
      </c>
      <c r="AG18">
        <v>1765008.8</v>
      </c>
      <c r="AH18" s="1">
        <v>4.4721359549995799E-6</v>
      </c>
      <c r="AI18">
        <v>5</v>
      </c>
      <c r="AJ18" t="s">
        <v>39</v>
      </c>
      <c r="AK18">
        <f t="shared" si="0"/>
        <v>5.5934907279514979E-4</v>
      </c>
      <c r="AL18" s="1">
        <f t="shared" si="1"/>
        <v>0.35972114716237352</v>
      </c>
      <c r="AM18" s="1">
        <f t="shared" si="2"/>
        <v>5.5936502192075724E-4</v>
      </c>
    </row>
    <row r="19" spans="1:39" x14ac:dyDescent="0.25">
      <c r="A19">
        <v>-125</v>
      </c>
      <c r="B19">
        <v>0.99827087349131005</v>
      </c>
      <c r="C19">
        <v>0.37385558736865598</v>
      </c>
      <c r="D19">
        <v>-0.62441528612265396</v>
      </c>
      <c r="E19">
        <v>4.8869765332847197E-2</v>
      </c>
      <c r="F19">
        <v>6.3043725635491699E-3</v>
      </c>
      <c r="G19">
        <v>4.8869765332847197E-2</v>
      </c>
      <c r="H19">
        <v>0.26980089051748601</v>
      </c>
      <c r="I19" s="1">
        <v>1.07936219269596E-5</v>
      </c>
      <c r="J19">
        <v>100</v>
      </c>
      <c r="K19">
        <v>0</v>
      </c>
      <c r="L19">
        <v>0</v>
      </c>
      <c r="M19">
        <v>0</v>
      </c>
      <c r="N19">
        <v>0</v>
      </c>
      <c r="O19">
        <v>100</v>
      </c>
      <c r="P19">
        <v>0</v>
      </c>
      <c r="Q19">
        <v>0</v>
      </c>
      <c r="R19">
        <v>0.22969987375312101</v>
      </c>
      <c r="S19">
        <v>-133.41523429502499</v>
      </c>
      <c r="T19">
        <v>1.3107782442133E-3</v>
      </c>
      <c r="U19">
        <v>100</v>
      </c>
      <c r="V19">
        <v>40.849232431681102</v>
      </c>
      <c r="W19">
        <v>392.715652205472</v>
      </c>
      <c r="X19">
        <v>55.7753059727414</v>
      </c>
      <c r="Y19">
        <v>3.26056943055548</v>
      </c>
      <c r="Z19">
        <v>762.76850408259997</v>
      </c>
      <c r="AA19">
        <v>0</v>
      </c>
      <c r="AB19">
        <v>0</v>
      </c>
      <c r="AC19">
        <v>172.788697081002</v>
      </c>
      <c r="AD19">
        <v>111.932694732892</v>
      </c>
      <c r="AE19">
        <v>24.0532012100735</v>
      </c>
      <c r="AF19">
        <v>-40.588543391755799</v>
      </c>
      <c r="AG19">
        <v>48210855.100000001</v>
      </c>
      <c r="AH19">
        <v>9.4908827328748002E-2</v>
      </c>
      <c r="AI19">
        <v>111</v>
      </c>
      <c r="AJ19" t="s">
        <v>39</v>
      </c>
      <c r="AK19">
        <f t="shared" si="0"/>
        <v>2.6702045046792979</v>
      </c>
      <c r="AL19" s="1">
        <f t="shared" si="1"/>
        <v>0.37384479374672902</v>
      </c>
      <c r="AM19" s="1">
        <f t="shared" si="2"/>
        <v>2.6702815986454929</v>
      </c>
    </row>
    <row r="20" spans="1:39" x14ac:dyDescent="0.25">
      <c r="A20">
        <v>-100</v>
      </c>
      <c r="B20">
        <v>0.514219258128777</v>
      </c>
      <c r="C20">
        <v>0.40783773172311799</v>
      </c>
      <c r="D20">
        <v>-0.106381526405659</v>
      </c>
      <c r="E20">
        <v>4.8664338430169901E-2</v>
      </c>
      <c r="F20">
        <v>6.1312317450723797E-3</v>
      </c>
      <c r="G20">
        <v>4.8664338430169901E-2</v>
      </c>
      <c r="H20">
        <v>0.30436761329037898</v>
      </c>
      <c r="I20" s="1">
        <v>1.0209827327229801E-5</v>
      </c>
      <c r="J20">
        <v>100</v>
      </c>
      <c r="K20">
        <v>0</v>
      </c>
      <c r="L20">
        <v>0</v>
      </c>
      <c r="M20">
        <v>0</v>
      </c>
      <c r="N20">
        <v>0</v>
      </c>
      <c r="O20">
        <v>100</v>
      </c>
      <c r="P20">
        <v>0</v>
      </c>
      <c r="Q20">
        <v>0</v>
      </c>
      <c r="R20">
        <v>0.23158041732072099</v>
      </c>
      <c r="S20">
        <v>-108.37601059444999</v>
      </c>
      <c r="T20">
        <v>1.48375239119071E-2</v>
      </c>
      <c r="U20">
        <v>100</v>
      </c>
      <c r="V20">
        <v>39.281738909485597</v>
      </c>
      <c r="W20">
        <v>354.91314825536898</v>
      </c>
      <c r="X20">
        <v>55.298584096528501</v>
      </c>
      <c r="Y20">
        <v>3.45919592445345</v>
      </c>
      <c r="Z20">
        <v>767.99107109477302</v>
      </c>
      <c r="AA20">
        <v>0</v>
      </c>
      <c r="AB20">
        <v>0</v>
      </c>
      <c r="AC20">
        <v>172.94361447563</v>
      </c>
      <c r="AD20">
        <v>112.00517769680199</v>
      </c>
      <c r="AE20">
        <v>24.943102464858601</v>
      </c>
      <c r="AF20">
        <v>-18.3417690840941</v>
      </c>
      <c r="AG20">
        <v>452689948.80000001</v>
      </c>
      <c r="AH20">
        <v>6.7759865604944902E-2</v>
      </c>
      <c r="AI20">
        <v>504</v>
      </c>
      <c r="AJ20" t="s">
        <v>39</v>
      </c>
      <c r="AK20">
        <f t="shared" si="0"/>
        <v>1.2608427767489685</v>
      </c>
      <c r="AL20" s="1">
        <f t="shared" si="1"/>
        <v>0.40782752189579075</v>
      </c>
      <c r="AM20" s="1">
        <f t="shared" si="2"/>
        <v>1.2608743415314962</v>
      </c>
    </row>
    <row r="21" spans="1:39" x14ac:dyDescent="0.25">
      <c r="A21">
        <v>-75</v>
      </c>
      <c r="B21">
        <v>0.47347536459125</v>
      </c>
      <c r="C21">
        <v>0.45011303663486202</v>
      </c>
      <c r="D21">
        <v>-2.33623279563887E-2</v>
      </c>
      <c r="E21">
        <v>4.8760766081342097E-2</v>
      </c>
      <c r="F21">
        <v>6.8547854997385903E-3</v>
      </c>
      <c r="G21">
        <v>4.8760766081342097E-2</v>
      </c>
      <c r="H21">
        <v>0.34532546711316398</v>
      </c>
      <c r="I21">
        <v>4.1125185927473802E-4</v>
      </c>
      <c r="J21">
        <v>100</v>
      </c>
      <c r="K21">
        <v>0</v>
      </c>
      <c r="L21">
        <v>0</v>
      </c>
      <c r="M21">
        <v>0</v>
      </c>
      <c r="N21">
        <v>0</v>
      </c>
      <c r="O21">
        <v>100</v>
      </c>
      <c r="P21">
        <v>0</v>
      </c>
      <c r="Q21">
        <v>0</v>
      </c>
      <c r="R21">
        <v>0.26398740123997599</v>
      </c>
      <c r="S21">
        <v>-85.183982783500895</v>
      </c>
      <c r="T21">
        <v>2.1203614677820899</v>
      </c>
      <c r="U21">
        <v>100</v>
      </c>
      <c r="V21">
        <v>38.9602025550343</v>
      </c>
      <c r="W21">
        <v>326.72419169850599</v>
      </c>
      <c r="X21">
        <v>55.493788486997197</v>
      </c>
      <c r="Y21">
        <v>3.6171014145646998</v>
      </c>
      <c r="Z21">
        <v>768.70676715330399</v>
      </c>
      <c r="AA21">
        <v>0</v>
      </c>
      <c r="AB21">
        <v>0</v>
      </c>
      <c r="AC21">
        <v>173.07426421528299</v>
      </c>
      <c r="AD21">
        <v>112.107146500821</v>
      </c>
      <c r="AE21">
        <v>27.254271956764299</v>
      </c>
      <c r="AF21">
        <v>-4.2535107093037103</v>
      </c>
      <c r="AG21">
        <v>1768846137</v>
      </c>
      <c r="AH21">
        <v>4.4213084335619698E-2</v>
      </c>
      <c r="AI21">
        <v>1173</v>
      </c>
      <c r="AJ21" t="s">
        <v>39</v>
      </c>
      <c r="AK21">
        <f t="shared" si="0"/>
        <v>1.0519032466401097</v>
      </c>
      <c r="AL21" s="1">
        <f t="shared" si="1"/>
        <v>0.44970178477558725</v>
      </c>
      <c r="AM21" s="1">
        <f t="shared" si="2"/>
        <v>1.0528652111699455</v>
      </c>
    </row>
    <row r="22" spans="1:39" x14ac:dyDescent="0.25">
      <c r="A22">
        <v>-50</v>
      </c>
      <c r="B22">
        <v>0.56954574737923702</v>
      </c>
      <c r="C22">
        <v>0.535404410981417</v>
      </c>
      <c r="D22">
        <v>-3.4141336397819799E-2</v>
      </c>
      <c r="E22">
        <v>4.89893224230196E-2</v>
      </c>
      <c r="F22">
        <v>9.0236782525263404E-3</v>
      </c>
      <c r="G22">
        <v>4.89893224230196E-2</v>
      </c>
      <c r="H22">
        <v>0.39401173888275398</v>
      </c>
      <c r="I22">
        <v>3.4390349000097499E-2</v>
      </c>
      <c r="J22">
        <v>100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0.35323398482038498</v>
      </c>
      <c r="S22">
        <v>-61.797294305129597</v>
      </c>
      <c r="T22">
        <v>34.004938393139398</v>
      </c>
      <c r="U22">
        <v>100</v>
      </c>
      <c r="V22">
        <v>39.004905810102102</v>
      </c>
      <c r="W22">
        <v>315.47983266810797</v>
      </c>
      <c r="X22">
        <v>55.999177588707703</v>
      </c>
      <c r="Y22">
        <v>3.78602786362744</v>
      </c>
      <c r="Z22">
        <v>768.22789615646298</v>
      </c>
      <c r="AA22">
        <v>0</v>
      </c>
      <c r="AB22">
        <v>0</v>
      </c>
      <c r="AC22">
        <v>173.146458337664</v>
      </c>
      <c r="AD22">
        <v>112.201881188904</v>
      </c>
      <c r="AE22">
        <v>29.794339988440399</v>
      </c>
      <c r="AF22">
        <v>6.7378771812865299</v>
      </c>
      <c r="AG22">
        <v>3909506314.0999999</v>
      </c>
      <c r="AH22">
        <v>5.5659508399930502E-2</v>
      </c>
      <c r="AI22">
        <v>2653</v>
      </c>
      <c r="AJ22" t="s">
        <v>39</v>
      </c>
      <c r="AK22">
        <f t="shared" si="0"/>
        <v>1.0637673797554967</v>
      </c>
      <c r="AL22" s="1">
        <f t="shared" si="1"/>
        <v>0.50101406198131948</v>
      </c>
      <c r="AM22" s="1">
        <f t="shared" si="2"/>
        <v>1.1367859519289756</v>
      </c>
    </row>
    <row r="23" spans="1:39" x14ac:dyDescent="0.25">
      <c r="A23">
        <v>-25</v>
      </c>
      <c r="B23">
        <v>0.53300753333866002</v>
      </c>
      <c r="C23">
        <v>0.663580068526892</v>
      </c>
      <c r="D23">
        <v>0.130572535188232</v>
      </c>
      <c r="E23">
        <v>4.9357051949856498E-2</v>
      </c>
      <c r="F23">
        <v>1.27069741609314E-2</v>
      </c>
      <c r="G23">
        <v>4.9357051949856498E-2</v>
      </c>
      <c r="H23">
        <v>0.44225738798106501</v>
      </c>
      <c r="I23">
        <v>0.10990160248518301</v>
      </c>
      <c r="J23">
        <v>100</v>
      </c>
      <c r="K23">
        <v>0</v>
      </c>
      <c r="L23">
        <v>0</v>
      </c>
      <c r="M23">
        <v>0</v>
      </c>
      <c r="N23">
        <v>0</v>
      </c>
      <c r="O23">
        <v>100</v>
      </c>
      <c r="P23">
        <v>0</v>
      </c>
      <c r="Q23">
        <v>0</v>
      </c>
      <c r="R23">
        <v>0.50228022009489903</v>
      </c>
      <c r="S23">
        <v>-37.924502576058401</v>
      </c>
      <c r="T23">
        <v>156.60745781094801</v>
      </c>
      <c r="U23">
        <v>100</v>
      </c>
      <c r="V23">
        <v>39.453938253520597</v>
      </c>
      <c r="W23">
        <v>310.51348071991498</v>
      </c>
      <c r="X23">
        <v>56.854868810023703</v>
      </c>
      <c r="Y23">
        <v>3.9963173262079801</v>
      </c>
      <c r="Z23">
        <v>765.84626716170703</v>
      </c>
      <c r="AA23">
        <v>0</v>
      </c>
      <c r="AB23">
        <v>0</v>
      </c>
      <c r="AC23">
        <v>172.53163651827899</v>
      </c>
      <c r="AD23">
        <v>112.185051361524</v>
      </c>
      <c r="AE23">
        <v>31.288661966454502</v>
      </c>
      <c r="AF23">
        <v>18.945603647546601</v>
      </c>
      <c r="AG23">
        <v>4926868562</v>
      </c>
      <c r="AH23">
        <v>6.1068987779521897E-2</v>
      </c>
      <c r="AI23">
        <v>4890</v>
      </c>
      <c r="AJ23" t="s">
        <v>39</v>
      </c>
      <c r="AK23">
        <f t="shared" si="0"/>
        <v>0.80323017314535206</v>
      </c>
      <c r="AL23" s="1">
        <f t="shared" si="1"/>
        <v>0.55367846604170901</v>
      </c>
      <c r="AM23" s="1">
        <f t="shared" si="2"/>
        <v>0.96266617907171448</v>
      </c>
    </row>
    <row r="24" spans="1:39" x14ac:dyDescent="0.25">
      <c r="A24">
        <v>0</v>
      </c>
      <c r="B24">
        <v>0.88449947281217201</v>
      </c>
      <c r="C24">
        <v>0.750932324916608</v>
      </c>
      <c r="D24">
        <v>-0.13356714789556301</v>
      </c>
      <c r="E24">
        <v>4.9555146854162201E-2</v>
      </c>
      <c r="F24">
        <v>1.4275221057864501E-2</v>
      </c>
      <c r="G24">
        <v>4.9555146854162201E-2</v>
      </c>
      <c r="H24">
        <v>0.45490679274396401</v>
      </c>
      <c r="I24">
        <v>0.182640017406456</v>
      </c>
      <c r="J24">
        <v>100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0.53332906090000198</v>
      </c>
      <c r="S24">
        <v>-14.459114872495901</v>
      </c>
      <c r="T24">
        <v>446.24766805810799</v>
      </c>
      <c r="U24">
        <v>100</v>
      </c>
      <c r="V24">
        <v>40.4158690244873</v>
      </c>
      <c r="W24">
        <v>295.34015604093997</v>
      </c>
      <c r="X24">
        <v>57.291974090771397</v>
      </c>
      <c r="Y24">
        <v>4.2118879004076097</v>
      </c>
      <c r="Z24">
        <v>763.02871637415603</v>
      </c>
      <c r="AA24">
        <v>0</v>
      </c>
      <c r="AB24">
        <v>0</v>
      </c>
      <c r="AC24">
        <v>169.79929156855999</v>
      </c>
      <c r="AD24">
        <v>112.03257039298001</v>
      </c>
      <c r="AE24">
        <v>33.621519152469098</v>
      </c>
      <c r="AF24">
        <v>26.2986553762135</v>
      </c>
      <c r="AG24">
        <v>4406710463.8999996</v>
      </c>
      <c r="AH24">
        <v>7.6497284324942905E-2</v>
      </c>
      <c r="AI24">
        <v>5875</v>
      </c>
      <c r="AJ24" t="s">
        <v>39</v>
      </c>
      <c r="AK24">
        <f t="shared" si="0"/>
        <v>1.1778684223114204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P14" sqref="P14"/>
    </sheetView>
  </sheetViews>
  <sheetFormatPr defaultRowHeight="15" x14ac:dyDescent="0.25"/>
  <cols>
    <col min="2" max="2" width="15.85546875" style="14" bestFit="1" customWidth="1"/>
    <col min="8" max="8" width="15.85546875" style="14" bestFit="1" customWidth="1"/>
    <col min="14" max="14" width="15.85546875" style="14" bestFit="1" customWidth="1"/>
  </cols>
  <sheetData>
    <row r="1" spans="1:19" x14ac:dyDescent="0.25">
      <c r="A1" s="15" t="s">
        <v>40</v>
      </c>
      <c r="B1" s="15" t="s">
        <v>44</v>
      </c>
      <c r="C1" s="15" t="s">
        <v>45</v>
      </c>
      <c r="D1" s="15" t="s">
        <v>46</v>
      </c>
      <c r="E1" s="15" t="s">
        <v>50</v>
      </c>
      <c r="F1" s="15" t="s">
        <v>47</v>
      </c>
      <c r="G1" s="15" t="s">
        <v>48</v>
      </c>
      <c r="H1" s="15" t="s">
        <v>44</v>
      </c>
      <c r="I1" s="15" t="s">
        <v>45</v>
      </c>
      <c r="J1" s="15" t="s">
        <v>46</v>
      </c>
      <c r="K1" s="15" t="s">
        <v>50</v>
      </c>
      <c r="L1" s="15" t="s">
        <v>47</v>
      </c>
      <c r="M1" s="15" t="s">
        <v>48</v>
      </c>
      <c r="N1" s="15" t="s">
        <v>44</v>
      </c>
      <c r="O1" s="15" t="s">
        <v>45</v>
      </c>
      <c r="P1" s="15" t="s">
        <v>46</v>
      </c>
      <c r="Q1" s="15" t="s">
        <v>50</v>
      </c>
      <c r="R1" s="15" t="s">
        <v>47</v>
      </c>
      <c r="S1" s="15" t="s">
        <v>48</v>
      </c>
    </row>
    <row r="2" spans="1:19" x14ac:dyDescent="0.25">
      <c r="A2" s="3">
        <v>-175</v>
      </c>
      <c r="B2" s="4"/>
      <c r="C2" s="10"/>
      <c r="D2" s="10"/>
      <c r="E2" s="10"/>
      <c r="F2" s="10"/>
      <c r="G2" s="10"/>
      <c r="H2" s="4"/>
      <c r="I2" s="10"/>
      <c r="J2" s="10"/>
      <c r="K2" s="10"/>
      <c r="L2" s="10"/>
      <c r="M2" s="10"/>
      <c r="N2" s="4">
        <v>1839290.5</v>
      </c>
      <c r="O2" s="10">
        <v>0</v>
      </c>
      <c r="P2" s="10">
        <v>0.32515487378339603</v>
      </c>
      <c r="Q2" s="10">
        <v>0.32514852006274431</v>
      </c>
      <c r="R2" s="10">
        <v>0</v>
      </c>
      <c r="S2" s="10">
        <v>0</v>
      </c>
    </row>
    <row r="3" spans="1:19" x14ac:dyDescent="0.25">
      <c r="A3" s="3">
        <v>-150</v>
      </c>
      <c r="B3" s="4">
        <v>2304704.2999999998</v>
      </c>
      <c r="C3" s="10">
        <v>0</v>
      </c>
      <c r="D3" s="10">
        <v>0.40755516849652901</v>
      </c>
      <c r="E3" s="10">
        <v>0.40754395999528237</v>
      </c>
      <c r="F3" s="10">
        <v>0</v>
      </c>
      <c r="G3" s="10">
        <v>0</v>
      </c>
      <c r="H3" s="4">
        <v>1765008.8</v>
      </c>
      <c r="I3" s="10">
        <v>2.0121542736784099E-4</v>
      </c>
      <c r="J3" s="10">
        <v>0.35973140415221899</v>
      </c>
      <c r="K3" s="10">
        <v>0.35972114716237352</v>
      </c>
      <c r="L3" s="10">
        <v>5.5934907279514979E-4</v>
      </c>
      <c r="M3" s="10">
        <v>5.5936502192075724E-4</v>
      </c>
      <c r="N3" s="4">
        <v>5283799.3</v>
      </c>
      <c r="O3" s="10">
        <v>5.5572375733499201E-5</v>
      </c>
      <c r="P3" s="10">
        <v>0.34437414464655203</v>
      </c>
      <c r="Q3" s="10">
        <v>0.34436701111709145</v>
      </c>
      <c r="R3" s="10">
        <v>1.6137209078380678E-4</v>
      </c>
      <c r="S3" s="10">
        <v>1.6137543359112154E-4</v>
      </c>
    </row>
    <row r="4" spans="1:19" x14ac:dyDescent="0.25">
      <c r="A4" s="3">
        <v>-125</v>
      </c>
      <c r="B4" s="4">
        <v>58438926.899999999</v>
      </c>
      <c r="C4" s="10">
        <v>1.22674663901127E-2</v>
      </c>
      <c r="D4" s="10">
        <v>0.40914387103443101</v>
      </c>
      <c r="E4" s="10">
        <v>0.40913335883577961</v>
      </c>
      <c r="F4" s="10">
        <v>2.9983258356277191E-2</v>
      </c>
      <c r="G4" s="10">
        <v>2.9984028740703807E-2</v>
      </c>
      <c r="H4" s="4">
        <v>48210855.100000001</v>
      </c>
      <c r="I4" s="10">
        <v>0.99827087349131005</v>
      </c>
      <c r="J4" s="10">
        <v>0.37385558736865598</v>
      </c>
      <c r="K4" s="10">
        <v>0.37384479374672902</v>
      </c>
      <c r="L4" s="10">
        <v>2.6702045046792979</v>
      </c>
      <c r="M4" s="10">
        <v>2.6702815986454929</v>
      </c>
      <c r="N4" s="4">
        <v>110185918.2</v>
      </c>
      <c r="O4" s="10">
        <v>0.41510695537835102</v>
      </c>
      <c r="P4" s="10">
        <v>0.34032948442518002</v>
      </c>
      <c r="Q4" s="10">
        <v>0.3403193723452943</v>
      </c>
      <c r="R4" s="10">
        <v>1.2197208128454426</v>
      </c>
      <c r="S4" s="10">
        <v>1.2197570550205876</v>
      </c>
    </row>
    <row r="5" spans="1:19" x14ac:dyDescent="0.25">
      <c r="A5" s="3">
        <v>-100</v>
      </c>
      <c r="B5" s="4">
        <v>632344129.39999998</v>
      </c>
      <c r="C5" s="10">
        <v>0.373094352361517</v>
      </c>
      <c r="D5" s="10">
        <v>0.443061246798238</v>
      </c>
      <c r="E5" s="10">
        <v>0.44305109125585806</v>
      </c>
      <c r="F5" s="10">
        <v>0.84208301912583516</v>
      </c>
      <c r="G5" s="10">
        <v>0.84210232121075701</v>
      </c>
      <c r="H5" s="4">
        <v>452689948.80000001</v>
      </c>
      <c r="I5" s="10">
        <v>0.514219258128777</v>
      </c>
      <c r="J5" s="10">
        <v>0.40783773172311799</v>
      </c>
      <c r="K5" s="10">
        <v>0.40782752189579075</v>
      </c>
      <c r="L5" s="10">
        <v>1.2608427767489685</v>
      </c>
      <c r="M5" s="10">
        <v>1.2608743415314962</v>
      </c>
      <c r="N5" s="4">
        <v>1290521526.8</v>
      </c>
      <c r="O5" s="10">
        <v>0.46846535216858298</v>
      </c>
      <c r="P5" s="10">
        <v>0.37114441284041499</v>
      </c>
      <c r="Q5" s="10">
        <v>0.37113482085780725</v>
      </c>
      <c r="R5" s="10">
        <v>1.2622185218507227</v>
      </c>
      <c r="S5" s="10">
        <v>1.2622511438991761</v>
      </c>
    </row>
    <row r="6" spans="1:19" x14ac:dyDescent="0.25">
      <c r="A6" s="5">
        <v>-75</v>
      </c>
      <c r="B6" s="6">
        <v>2810096626.3000002</v>
      </c>
      <c r="C6" s="11">
        <v>0.53143383739832994</v>
      </c>
      <c r="D6" s="11">
        <v>0.49212458567276901</v>
      </c>
      <c r="E6" s="11">
        <v>0.49167565305621802</v>
      </c>
      <c r="F6" s="11">
        <v>1.0798766265087578</v>
      </c>
      <c r="G6" s="11">
        <v>1.0808626257879115</v>
      </c>
      <c r="H6" s="6">
        <v>1768846137</v>
      </c>
      <c r="I6" s="11">
        <v>0.47347536459125</v>
      </c>
      <c r="J6" s="11">
        <v>0.45011303663486202</v>
      </c>
      <c r="K6" s="11">
        <v>0.44970178477558725</v>
      </c>
      <c r="L6" s="11">
        <v>1.0519032466401097</v>
      </c>
      <c r="M6" s="11">
        <v>1.0528652111699455</v>
      </c>
      <c r="N6" s="6">
        <v>5161209539.1000004</v>
      </c>
      <c r="O6" s="11">
        <v>0.52455306974748195</v>
      </c>
      <c r="P6" s="11">
        <v>0.41105262075482502</v>
      </c>
      <c r="Q6" s="11">
        <v>0.41072955728725763</v>
      </c>
      <c r="R6" s="11">
        <v>1.2761214580854237</v>
      </c>
      <c r="S6" s="11">
        <v>1.2771252042633445</v>
      </c>
    </row>
    <row r="7" spans="1:19" x14ac:dyDescent="0.25">
      <c r="A7" s="3">
        <v>-50</v>
      </c>
      <c r="B7" s="4">
        <v>6113073054.3000002</v>
      </c>
      <c r="C7" s="10">
        <v>0.67262927227810998</v>
      </c>
      <c r="D7" s="10">
        <v>0.58523300175290205</v>
      </c>
      <c r="E7" s="10">
        <v>0.55117474904917785</v>
      </c>
      <c r="F7" s="10">
        <v>1.1493358547167314</v>
      </c>
      <c r="G7" s="10">
        <v>1.220355746409739</v>
      </c>
      <c r="H7" s="4">
        <v>3909506314.0999999</v>
      </c>
      <c r="I7" s="10">
        <v>0.56954574737923702</v>
      </c>
      <c r="J7" s="10">
        <v>0.535404410981417</v>
      </c>
      <c r="K7" s="10">
        <v>0.50101406198131948</v>
      </c>
      <c r="L7" s="10">
        <v>1.0637673797554967</v>
      </c>
      <c r="M7" s="10">
        <v>1.1367859519289756</v>
      </c>
      <c r="N7" s="4">
        <v>11642768878.4</v>
      </c>
      <c r="O7" s="10">
        <v>0.59950006507356501</v>
      </c>
      <c r="P7" s="10">
        <v>0.48723823926842003</v>
      </c>
      <c r="Q7" s="10">
        <v>0.45366446881729994</v>
      </c>
      <c r="R7" s="10">
        <v>1.230404382820413</v>
      </c>
      <c r="S7" s="10">
        <v>1.3214613580747407</v>
      </c>
    </row>
    <row r="8" spans="1:19" x14ac:dyDescent="0.25">
      <c r="A8" s="3">
        <v>-25</v>
      </c>
      <c r="B8" s="4">
        <v>6289507041.8000002</v>
      </c>
      <c r="C8" s="10">
        <v>0.877772756865422</v>
      </c>
      <c r="D8" s="10">
        <v>0.72104780813531599</v>
      </c>
      <c r="E8" s="10">
        <v>0.61055823892746897</v>
      </c>
      <c r="F8" s="10">
        <v>1.2173572223115254</v>
      </c>
      <c r="G8" s="10">
        <v>1.4376560676789043</v>
      </c>
      <c r="H8" s="4">
        <v>4926868562</v>
      </c>
      <c r="I8" s="10">
        <v>0.53300753333866002</v>
      </c>
      <c r="J8" s="10">
        <v>0.663580068526892</v>
      </c>
      <c r="K8" s="10">
        <v>0.55367846604170901</v>
      </c>
      <c r="L8" s="10">
        <v>0.80323017314535206</v>
      </c>
      <c r="M8" s="10">
        <v>0.96266617907171448</v>
      </c>
      <c r="N8" s="4">
        <v>13066329059.9</v>
      </c>
      <c r="O8" s="10">
        <v>0.74569711503826697</v>
      </c>
      <c r="P8" s="10">
        <v>0.60752983025707197</v>
      </c>
      <c r="Q8" s="10">
        <v>0.50241305281253901</v>
      </c>
      <c r="R8" s="10">
        <v>1.2274246924183632</v>
      </c>
      <c r="S8" s="10">
        <v>1.4842311736604152</v>
      </c>
    </row>
    <row r="9" spans="1:19" x14ac:dyDescent="0.25">
      <c r="A9" s="3">
        <v>0</v>
      </c>
      <c r="B9" s="4">
        <v>5301984306.6000004</v>
      </c>
      <c r="C9" s="10">
        <v>0.74099615512200501</v>
      </c>
      <c r="D9" s="10">
        <v>0.80979645851605797</v>
      </c>
      <c r="E9" s="10">
        <v>0.62452405276475298</v>
      </c>
      <c r="F9" s="10">
        <v>0.91504000459556378</v>
      </c>
      <c r="G9" s="10">
        <v>1.1864973844348072</v>
      </c>
      <c r="H9" s="4">
        <v>4406710463.8999996</v>
      </c>
      <c r="I9" s="10">
        <v>0.88449947281217201</v>
      </c>
      <c r="J9" s="10">
        <v>0.750932324916608</v>
      </c>
      <c r="K9" s="10"/>
      <c r="L9" s="10">
        <v>1.1778684223114204</v>
      </c>
      <c r="M9" s="10"/>
      <c r="N9" s="4">
        <v>11056448407.700001</v>
      </c>
      <c r="O9" s="10">
        <v>0.87314315969019396</v>
      </c>
      <c r="P9" s="10">
        <v>0.68965232245681196</v>
      </c>
      <c r="Q9" s="10">
        <v>0.52080590543488592</v>
      </c>
      <c r="R9" s="10">
        <v>1.2660628134763843</v>
      </c>
      <c r="S9" s="10">
        <v>1.6765231549383022</v>
      </c>
    </row>
    <row r="12" spans="1:19" x14ac:dyDescent="0.25">
      <c r="C12" t="s">
        <v>51</v>
      </c>
      <c r="D12" t="s">
        <v>52</v>
      </c>
      <c r="E12" t="s">
        <v>53</v>
      </c>
      <c r="I12" t="s">
        <v>51</v>
      </c>
      <c r="J12" t="s">
        <v>52</v>
      </c>
      <c r="K12" t="s">
        <v>53</v>
      </c>
      <c r="O12" t="s">
        <v>51</v>
      </c>
      <c r="P12" t="s">
        <v>52</v>
      </c>
      <c r="Q12" t="s">
        <v>53</v>
      </c>
    </row>
    <row r="13" spans="1:19" x14ac:dyDescent="0.25">
      <c r="A13">
        <v>-175</v>
      </c>
      <c r="C13">
        <f t="shared" ref="C13:D20" si="0">100*(1-(1-C2/100)^12)</f>
        <v>0</v>
      </c>
      <c r="D13">
        <f t="shared" si="0"/>
        <v>0</v>
      </c>
      <c r="I13">
        <f t="shared" ref="I13" si="1">100*(1-(1-I2/100)^12)</f>
        <v>0</v>
      </c>
      <c r="O13">
        <f t="shared" ref="O13:P20" si="2">100*(1-(1-O2/100)^12)</f>
        <v>0</v>
      </c>
    </row>
    <row r="14" spans="1:19" x14ac:dyDescent="0.25">
      <c r="A14">
        <v>-150</v>
      </c>
      <c r="C14">
        <f t="shared" si="0"/>
        <v>0</v>
      </c>
      <c r="D14">
        <f t="shared" si="0"/>
        <v>4.7825109505832959</v>
      </c>
      <c r="E14">
        <f t="shared" ref="E14:E20" si="3">C3/D3</f>
        <v>0</v>
      </c>
      <c r="I14">
        <f t="shared" ref="I14" si="4">100*(1-(1-I3/100)^12)</f>
        <v>2.414558406704792E-3</v>
      </c>
      <c r="J14">
        <f>100*(1-(1-J3/100)^12)</f>
        <v>4.2323843334077127</v>
      </c>
      <c r="K14">
        <f t="shared" ref="K14:K20" si="5">I3/J3</f>
        <v>5.5934907279514979E-4</v>
      </c>
      <c r="O14">
        <f t="shared" si="2"/>
        <v>6.6686647051117376E-4</v>
      </c>
      <c r="P14">
        <f>100*(1-(1-P3/100)^12)</f>
        <v>4.055109560244019</v>
      </c>
      <c r="Q14">
        <f t="shared" ref="Q14:Q20" si="6">O3/P3</f>
        <v>1.6137209078380678E-4</v>
      </c>
    </row>
    <row r="15" spans="1:19" x14ac:dyDescent="0.25">
      <c r="A15">
        <v>-125</v>
      </c>
      <c r="C15">
        <f t="shared" si="0"/>
        <v>0.14711031340234326</v>
      </c>
      <c r="D15">
        <f t="shared" si="0"/>
        <v>4.8007363083896859</v>
      </c>
      <c r="E15">
        <f t="shared" si="3"/>
        <v>2.9983258356277191E-2</v>
      </c>
      <c r="I15">
        <f t="shared" ref="I15:J15" si="7">100*(1-(1-I4/100)^12)</f>
        <v>11.342933206331962</v>
      </c>
      <c r="J15">
        <f t="shared" si="7"/>
        <v>4.3951601230584831</v>
      </c>
      <c r="K15">
        <f t="shared" si="5"/>
        <v>2.6702045046792979</v>
      </c>
      <c r="O15">
        <f t="shared" si="2"/>
        <v>4.8691153967289509</v>
      </c>
      <c r="P15">
        <f t="shared" si="2"/>
        <v>4.0083704685886179</v>
      </c>
      <c r="Q15">
        <f t="shared" si="6"/>
        <v>1.2197208128454426</v>
      </c>
    </row>
    <row r="16" spans="1:19" x14ac:dyDescent="0.25">
      <c r="A16">
        <v>-100</v>
      </c>
      <c r="C16">
        <f t="shared" si="0"/>
        <v>4.3863936519726421</v>
      </c>
      <c r="D16">
        <f t="shared" si="0"/>
        <v>5.1890693002970112</v>
      </c>
      <c r="E16">
        <f t="shared" si="3"/>
        <v>0.84208301912583516</v>
      </c>
      <c r="I16">
        <f t="shared" ref="I16:J16" si="8">100*(1-(1-I5/100)^12)</f>
        <v>5.9990699700446353</v>
      </c>
      <c r="J16">
        <f t="shared" si="8"/>
        <v>4.7857527074626312</v>
      </c>
      <c r="K16">
        <f t="shared" si="5"/>
        <v>1.2608427767489685</v>
      </c>
      <c r="O16">
        <f t="shared" si="2"/>
        <v>5.4789789091114427</v>
      </c>
      <c r="P16">
        <f t="shared" si="2"/>
        <v>4.3639345598347923</v>
      </c>
      <c r="Q16">
        <f t="shared" si="6"/>
        <v>1.2622185218507227</v>
      </c>
    </row>
    <row r="17" spans="1:17" x14ac:dyDescent="0.25">
      <c r="A17">
        <v>-75</v>
      </c>
      <c r="C17">
        <f t="shared" si="0"/>
        <v>6.1940703790964724</v>
      </c>
      <c r="D17">
        <f t="shared" si="0"/>
        <v>5.7482451519593187</v>
      </c>
      <c r="E17">
        <f t="shared" si="3"/>
        <v>1.0798766265087578</v>
      </c>
      <c r="I17">
        <f t="shared" ref="I17:J17" si="9">100*(1-(1-I6/100)^12)</f>
        <v>5.5360567482428795</v>
      </c>
      <c r="J17">
        <f t="shared" si="9"/>
        <v>5.2696253756064131</v>
      </c>
      <c r="K17">
        <f t="shared" si="5"/>
        <v>1.0519032466401097</v>
      </c>
      <c r="O17">
        <f t="shared" si="2"/>
        <v>6.1161721090353343</v>
      </c>
      <c r="P17">
        <f t="shared" si="2"/>
        <v>4.8226289706156056</v>
      </c>
      <c r="Q17">
        <f t="shared" si="6"/>
        <v>1.2761214580854237</v>
      </c>
    </row>
    <row r="18" spans="1:17" x14ac:dyDescent="0.25">
      <c r="A18">
        <v>-50</v>
      </c>
      <c r="C18">
        <f t="shared" si="0"/>
        <v>7.7795421257919939</v>
      </c>
      <c r="D18">
        <f t="shared" si="0"/>
        <v>6.8010997360882115</v>
      </c>
      <c r="E18">
        <f t="shared" si="3"/>
        <v>1.1493358547167314</v>
      </c>
      <c r="I18">
        <f t="shared" ref="I18:J18" si="10">100*(1-(1-I7/100)^12)</f>
        <v>6.6244695107428697</v>
      </c>
      <c r="J18">
        <f t="shared" si="10"/>
        <v>6.2389949132653282</v>
      </c>
      <c r="K18">
        <f t="shared" si="5"/>
        <v>1.0637673797554967</v>
      </c>
      <c r="O18">
        <f t="shared" si="2"/>
        <v>6.9614733664035704</v>
      </c>
      <c r="P18">
        <f t="shared" si="2"/>
        <v>5.6926912221260455</v>
      </c>
      <c r="Q18">
        <f t="shared" si="6"/>
        <v>1.230404382820413</v>
      </c>
    </row>
    <row r="19" spans="1:17" x14ac:dyDescent="0.25">
      <c r="A19">
        <v>-25</v>
      </c>
      <c r="C19">
        <f t="shared" si="0"/>
        <v>10.039342040310695</v>
      </c>
      <c r="D19">
        <f t="shared" si="0"/>
        <v>8.3175482235715812</v>
      </c>
      <c r="E19">
        <f t="shared" si="3"/>
        <v>1.2173572223115254</v>
      </c>
      <c r="I19">
        <f t="shared" ref="I19:J19" si="11">100*(1-(1-I8/100)^12)</f>
        <v>6.2118781153364893</v>
      </c>
      <c r="J19">
        <f t="shared" si="11"/>
        <v>7.6786708360120244</v>
      </c>
      <c r="K19">
        <f t="shared" si="5"/>
        <v>0.80323017314535206</v>
      </c>
      <c r="O19">
        <f t="shared" si="2"/>
        <v>8.5903341896324434</v>
      </c>
      <c r="P19">
        <f t="shared" si="2"/>
        <v>7.0516232974035091</v>
      </c>
      <c r="Q19">
        <f t="shared" si="6"/>
        <v>1.2274246924183632</v>
      </c>
    </row>
    <row r="20" spans="1:17" x14ac:dyDescent="0.25">
      <c r="A20">
        <v>0</v>
      </c>
      <c r="C20">
        <f t="shared" si="0"/>
        <v>8.5383676610233614</v>
      </c>
      <c r="D20">
        <f t="shared" si="0"/>
        <v>9.2962218567588017</v>
      </c>
      <c r="E20">
        <f t="shared" si="3"/>
        <v>0.91504000459556378</v>
      </c>
      <c r="I20">
        <f t="shared" ref="I20:J20" si="12">100*(1-(1-I9/100)^12)</f>
        <v>10.112574532510299</v>
      </c>
      <c r="J20">
        <f t="shared" si="12"/>
        <v>8.6481747026195155</v>
      </c>
      <c r="K20">
        <f t="shared" si="5"/>
        <v>1.1778684223114204</v>
      </c>
      <c r="O20">
        <f t="shared" si="2"/>
        <v>9.9889087169522828</v>
      </c>
      <c r="P20">
        <f t="shared" si="2"/>
        <v>7.9690239824174665</v>
      </c>
      <c r="Q20">
        <f t="shared" si="6"/>
        <v>1.2660628134763843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Tracking_aggData_by_incentive_n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2018-04-24T17:00:00Z</dcterms:created>
  <dcterms:modified xsi:type="dcterms:W3CDTF">2018-04-25T20:54:15Z</dcterms:modified>
</cp:coreProperties>
</file>