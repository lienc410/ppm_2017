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60" windowWidth="31635" windowHeight="19980"/>
  </bookViews>
  <sheets>
    <sheet name="Tracking_aggData_by_incentive_1" sheetId="1" r:id="rId1"/>
    <sheet name="Sheet1" sheetId="2" r:id="rId2"/>
  </sheets>
  <calcPr calcId="145621"/>
  <fileRecoveryPr repairLoad="1"/>
</workbook>
</file>

<file path=xl/calcChain.xml><?xml version="1.0" encoding="utf-8"?>
<calcChain xmlns="http://schemas.openxmlformats.org/spreadsheetml/2006/main">
  <c r="M58" i="1" l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57" i="1"/>
  <c r="A58" i="1"/>
  <c r="A59" i="1"/>
  <c r="A60" i="1"/>
  <c r="A61" i="1"/>
  <c r="A62" i="1"/>
  <c r="A63" i="1"/>
  <c r="A64" i="1"/>
  <c r="A65" i="1"/>
  <c r="A28" i="1"/>
  <c r="A29" i="1"/>
  <c r="A30" i="1"/>
  <c r="A31" i="1"/>
  <c r="A32" i="1"/>
  <c r="A33" i="1"/>
  <c r="A34" i="1"/>
  <c r="A35" i="1"/>
  <c r="AO29" i="1" l="1"/>
  <c r="AO30" i="1"/>
  <c r="AO31" i="1"/>
  <c r="AP31" i="1"/>
  <c r="AO32" i="1"/>
  <c r="AO33" i="1"/>
  <c r="AO34" i="1"/>
  <c r="AO35" i="1"/>
  <c r="AO36" i="1"/>
  <c r="AO37" i="1"/>
  <c r="AO38" i="1"/>
  <c r="AO39" i="1"/>
  <c r="AO40" i="1"/>
  <c r="AO41" i="1"/>
  <c r="AO42" i="1"/>
  <c r="AO43" i="1"/>
  <c r="AP43" i="1"/>
  <c r="AO44" i="1"/>
  <c r="AO45" i="1"/>
  <c r="AO46" i="1"/>
  <c r="AP46" i="1"/>
  <c r="AM28" i="1"/>
  <c r="AP28" i="1" s="1"/>
  <c r="AM29" i="1"/>
  <c r="AP29" i="1" s="1"/>
  <c r="AM30" i="1"/>
  <c r="AP30" i="1" s="1"/>
  <c r="AM31" i="1"/>
  <c r="AM32" i="1"/>
  <c r="AP32" i="1" s="1"/>
  <c r="AM33" i="1"/>
  <c r="AP33" i="1" s="1"/>
  <c r="AM34" i="1"/>
  <c r="AP34" i="1" s="1"/>
  <c r="AM35" i="1"/>
  <c r="AP35" i="1" s="1"/>
  <c r="AM36" i="1"/>
  <c r="AP36" i="1" s="1"/>
  <c r="AM37" i="1"/>
  <c r="AP37" i="1" s="1"/>
  <c r="AM38" i="1"/>
  <c r="AP38" i="1" s="1"/>
  <c r="AM39" i="1"/>
  <c r="AP39" i="1" s="1"/>
  <c r="AM40" i="1"/>
  <c r="AP40" i="1" s="1"/>
  <c r="AM41" i="1"/>
  <c r="AP41" i="1" s="1"/>
  <c r="AM42" i="1"/>
  <c r="AP42" i="1" s="1"/>
  <c r="AM43" i="1"/>
  <c r="AM44" i="1"/>
  <c r="AP44" i="1" s="1"/>
  <c r="AM45" i="1"/>
  <c r="AP45" i="1" s="1"/>
  <c r="AM46" i="1"/>
  <c r="AM47" i="1"/>
  <c r="AM48" i="1"/>
  <c r="AM49" i="1"/>
  <c r="AM50" i="1"/>
  <c r="AM51" i="1"/>
  <c r="AM52" i="1"/>
  <c r="AM27" i="1"/>
  <c r="AO28" i="1"/>
  <c r="AF29" i="1"/>
  <c r="AF30" i="1"/>
  <c r="AF31" i="1"/>
  <c r="AF32" i="1"/>
  <c r="AF33" i="1"/>
  <c r="AF34" i="1"/>
  <c r="AG34" i="1"/>
  <c r="AF35" i="1"/>
  <c r="AF36" i="1"/>
  <c r="AF37" i="1"/>
  <c r="AG37" i="1"/>
  <c r="AF38" i="1"/>
  <c r="AF39" i="1"/>
  <c r="AG39" i="1"/>
  <c r="AF40" i="1"/>
  <c r="AF41" i="1"/>
  <c r="AF42" i="1"/>
  <c r="AG42" i="1"/>
  <c r="AF43" i="1"/>
  <c r="AF44" i="1"/>
  <c r="AG44" i="1"/>
  <c r="AF45" i="1"/>
  <c r="AF46" i="1"/>
  <c r="AF28" i="1"/>
  <c r="AD52" i="1"/>
  <c r="AD51" i="1"/>
  <c r="AD50" i="1"/>
  <c r="AD49" i="1"/>
  <c r="AD48" i="1"/>
  <c r="AD47" i="1"/>
  <c r="AD46" i="1"/>
  <c r="AG46" i="1" s="1"/>
  <c r="AD45" i="1"/>
  <c r="AG45" i="1" s="1"/>
  <c r="AD44" i="1"/>
  <c r="AD43" i="1"/>
  <c r="AG43" i="1" s="1"/>
  <c r="AD42" i="1"/>
  <c r="AD41" i="1"/>
  <c r="AG41" i="1" s="1"/>
  <c r="AD40" i="1"/>
  <c r="AG40" i="1" s="1"/>
  <c r="AD39" i="1"/>
  <c r="AD38" i="1"/>
  <c r="AG38" i="1" s="1"/>
  <c r="AD37" i="1"/>
  <c r="AD36" i="1"/>
  <c r="AG36" i="1" s="1"/>
  <c r="AD35" i="1"/>
  <c r="AG35" i="1" s="1"/>
  <c r="AD34" i="1"/>
  <c r="AD33" i="1"/>
  <c r="AG33" i="1" s="1"/>
  <c r="AD32" i="1"/>
  <c r="AG32" i="1" s="1"/>
  <c r="AD31" i="1"/>
  <c r="AG31" i="1" s="1"/>
  <c r="AD30" i="1"/>
  <c r="AG30" i="1" s="1"/>
  <c r="AD29" i="1"/>
  <c r="AG29" i="1" s="1"/>
  <c r="AD28" i="1"/>
  <c r="AG28" i="1" s="1"/>
  <c r="AD27" i="1"/>
  <c r="V29" i="1"/>
  <c r="W29" i="1"/>
  <c r="V30" i="1"/>
  <c r="V31" i="1"/>
  <c r="W31" i="1"/>
  <c r="V32" i="1"/>
  <c r="V33" i="1"/>
  <c r="W33" i="1"/>
  <c r="V34" i="1"/>
  <c r="V35" i="1"/>
  <c r="W35" i="1"/>
  <c r="V36" i="1"/>
  <c r="V37" i="1"/>
  <c r="W37" i="1"/>
  <c r="V38" i="1"/>
  <c r="V39" i="1"/>
  <c r="W39" i="1"/>
  <c r="V40" i="1"/>
  <c r="V41" i="1"/>
  <c r="W41" i="1"/>
  <c r="V42" i="1"/>
  <c r="V43" i="1"/>
  <c r="W43" i="1"/>
  <c r="V44" i="1"/>
  <c r="V45" i="1"/>
  <c r="W45" i="1"/>
  <c r="V46" i="1"/>
  <c r="T28" i="1"/>
  <c r="W28" i="1" s="1"/>
  <c r="T29" i="1"/>
  <c r="T30" i="1"/>
  <c r="W30" i="1" s="1"/>
  <c r="T31" i="1"/>
  <c r="T32" i="1"/>
  <c r="W32" i="1" s="1"/>
  <c r="T33" i="1"/>
  <c r="T34" i="1"/>
  <c r="W34" i="1" s="1"/>
  <c r="T35" i="1"/>
  <c r="T36" i="1"/>
  <c r="W36" i="1" s="1"/>
  <c r="T37" i="1"/>
  <c r="T38" i="1"/>
  <c r="W38" i="1" s="1"/>
  <c r="T39" i="1"/>
  <c r="T40" i="1"/>
  <c r="W40" i="1" s="1"/>
  <c r="T41" i="1"/>
  <c r="T42" i="1"/>
  <c r="W42" i="1" s="1"/>
  <c r="T43" i="1"/>
  <c r="T44" i="1"/>
  <c r="W44" i="1" s="1"/>
  <c r="T45" i="1"/>
  <c r="T46" i="1"/>
  <c r="W46" i="1" s="1"/>
  <c r="T47" i="1"/>
  <c r="T48" i="1"/>
  <c r="T49" i="1"/>
  <c r="T50" i="1"/>
  <c r="T51" i="1"/>
  <c r="T52" i="1"/>
  <c r="T27" i="1"/>
  <c r="V28" i="1"/>
  <c r="L28" i="1"/>
  <c r="M28" i="1"/>
  <c r="L29" i="1"/>
  <c r="L30" i="1"/>
  <c r="L31" i="1"/>
  <c r="L32" i="1"/>
  <c r="M32" i="1"/>
  <c r="L33" i="1"/>
  <c r="L34" i="1"/>
  <c r="L35" i="1"/>
  <c r="L36" i="1"/>
  <c r="M36" i="1"/>
  <c r="L37" i="1"/>
  <c r="L38" i="1"/>
  <c r="L39" i="1"/>
  <c r="L40" i="1"/>
  <c r="M40" i="1"/>
  <c r="L41" i="1"/>
  <c r="L42" i="1"/>
  <c r="L43" i="1"/>
  <c r="L44" i="1"/>
  <c r="M44" i="1"/>
  <c r="L45" i="1"/>
  <c r="L27" i="1"/>
  <c r="J45" i="1"/>
  <c r="M45" i="1" s="1"/>
  <c r="J44" i="1"/>
  <c r="J43" i="1"/>
  <c r="M43" i="1" s="1"/>
  <c r="J42" i="1"/>
  <c r="M42" i="1" s="1"/>
  <c r="J41" i="1"/>
  <c r="M41" i="1" s="1"/>
  <c r="J40" i="1"/>
  <c r="J39" i="1"/>
  <c r="M39" i="1" s="1"/>
  <c r="J38" i="1"/>
  <c r="M38" i="1" s="1"/>
  <c r="J37" i="1"/>
  <c r="M37" i="1" s="1"/>
  <c r="J36" i="1"/>
  <c r="J35" i="1"/>
  <c r="M35" i="1" s="1"/>
  <c r="J34" i="1"/>
  <c r="M34" i="1" s="1"/>
  <c r="J33" i="1"/>
  <c r="M33" i="1" s="1"/>
  <c r="J32" i="1"/>
  <c r="J31" i="1"/>
  <c r="M31" i="1" s="1"/>
  <c r="J30" i="1"/>
  <c r="M30" i="1" s="1"/>
  <c r="J29" i="1"/>
  <c r="M29" i="1" s="1"/>
  <c r="J28" i="1"/>
  <c r="J27" i="1"/>
  <c r="M27" i="1" s="1"/>
</calcChain>
</file>

<file path=xl/sharedStrings.xml><?xml version="1.0" encoding="utf-8"?>
<sst xmlns="http://schemas.openxmlformats.org/spreadsheetml/2006/main" count="112" uniqueCount="60">
  <si>
    <t>x</t>
  </si>
  <si>
    <t>actual.smm</t>
  </si>
  <si>
    <t>model.smm</t>
  </si>
  <si>
    <t>curt.smm</t>
  </si>
  <si>
    <t>dflt.smm</t>
  </si>
  <si>
    <t>cout.smm</t>
  </si>
  <si>
    <t>turn.smm</t>
  </si>
  <si>
    <t>refi.smm</t>
  </si>
  <si>
    <t>pct_inv</t>
  </si>
  <si>
    <t>pct_2nd</t>
  </si>
  <si>
    <t>pct_owner</t>
  </si>
  <si>
    <t>pct_purchase</t>
  </si>
  <si>
    <t>pct_REFI_NCO</t>
  </si>
  <si>
    <t>pct_REFI_CO</t>
  </si>
  <si>
    <t>pct_REFI_other</t>
  </si>
  <si>
    <t>pct_REFI</t>
  </si>
  <si>
    <t>pct_dq</t>
  </si>
  <si>
    <t>incentive</t>
  </si>
  <si>
    <t>burnout</t>
  </si>
  <si>
    <t>refi_elig_pct</t>
  </si>
  <si>
    <t>cltv</t>
  </si>
  <si>
    <t>wacls</t>
  </si>
  <si>
    <t>wala</t>
  </si>
  <si>
    <t>wac</t>
  </si>
  <si>
    <t>fico</t>
  </si>
  <si>
    <t>pct_HARPed</t>
  </si>
  <si>
    <t>pct_tpo</t>
  </si>
  <si>
    <t>cai</t>
  </si>
  <si>
    <t>hpa2yr</t>
  </si>
  <si>
    <t>media_effect</t>
  </si>
  <si>
    <t>sato</t>
  </si>
  <si>
    <t>bal</t>
  </si>
  <si>
    <t>std</t>
  </si>
  <si>
    <t>n</t>
  </si>
  <si>
    <t>CPR</t>
  </si>
  <si>
    <t>0-25</t>
  </si>
  <si>
    <t>25-50</t>
  </si>
  <si>
    <t>50-75</t>
  </si>
  <si>
    <t>75-100</t>
  </si>
  <si>
    <t>100-125</t>
  </si>
  <si>
    <t>125-150</t>
  </si>
  <si>
    <t>150-175</t>
  </si>
  <si>
    <t>175-200</t>
  </si>
  <si>
    <t>200-225</t>
  </si>
  <si>
    <t>225-250</t>
  </si>
  <si>
    <t>Incentive (LLPA Based)</t>
  </si>
  <si>
    <t>Scham Balance(mm)</t>
  </si>
  <si>
    <t>Loan Count</t>
  </si>
  <si>
    <t>1m CPR</t>
  </si>
  <si>
    <t>&lt;= -200</t>
  </si>
  <si>
    <t>&gt;= 250</t>
  </si>
  <si>
    <t>cpr</t>
  </si>
  <si>
    <t>incentiveBucket</t>
  </si>
  <si>
    <t>bal_</t>
  </si>
  <si>
    <t>smm</t>
  </si>
  <si>
    <t>R</t>
  </si>
  <si>
    <t>Symphony</t>
  </si>
  <si>
    <t>DB</t>
  </si>
  <si>
    <t>cnt</t>
  </si>
  <si>
    <t>Repline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</si>
</sst>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(* #,##0.00_);_(* \(#,##0.00\);_(* &quot;-&quot;??_);_(@_)"/>
    <numFmt numFmtId="164" formatCode="_(* #,##0_);_(* \(#,##0\);_(* &quot;-&quot;??_);_(@_)"/>
    <numFmt numFmtId="168" formatCode="0.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8">
    <xf numFmtId="0" fontId="0" fillId="0" borderId="0" xfId="0"/>
    <xf numFmtId="11" fontId="0" fillId="0" borderId="0" xfId="0" applyNumberFormat="1"/>
    <xf numFmtId="3" fontId="0" fillId="0" borderId="0" xfId="0" applyNumberFormat="1"/>
    <xf numFmtId="43" fontId="0" fillId="0" borderId="0" xfId="1" applyFont="1"/>
    <xf numFmtId="2" fontId="0" fillId="0" borderId="0" xfId="0" applyNumberFormat="1"/>
    <xf numFmtId="164" fontId="0" fillId="0" borderId="0" xfId="1" applyNumberFormat="1" applyFont="1"/>
    <xf numFmtId="0" fontId="0" fillId="33" borderId="0" xfId="0" applyFill="1"/>
    <xf numFmtId="168" fontId="0" fillId="0" borderId="0" xfId="0" applyNumberForma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81"/>
  <sheetViews>
    <sheetView tabSelected="1" topLeftCell="A25" workbookViewId="0">
      <selection activeCell="X69" sqref="X69"/>
    </sheetView>
  </sheetViews>
  <sheetFormatPr defaultRowHeight="15" x14ac:dyDescent="0.25"/>
  <cols>
    <col min="2" max="2" width="19.140625" bestFit="1" customWidth="1"/>
    <col min="3" max="3" width="12" bestFit="1" customWidth="1"/>
    <col min="12" max="12" width="13.28515625" bestFit="1" customWidth="1"/>
    <col min="22" max="22" width="12.5703125" bestFit="1" customWidth="1"/>
    <col min="25" max="25" width="12" bestFit="1" customWidth="1"/>
    <col min="41" max="41" width="13.7109375" bestFit="1" customWidth="1"/>
  </cols>
  <sheetData>
    <row r="1" spans="1:35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</row>
    <row r="2" spans="1:35" x14ac:dyDescent="0.25">
      <c r="A2">
        <v>1</v>
      </c>
      <c r="B2">
        <v>-200</v>
      </c>
      <c r="C2">
        <v>0.19423407603287601</v>
      </c>
      <c r="D2">
        <v>0.237018143585594</v>
      </c>
      <c r="E2">
        <v>3.3802559262846602E-2</v>
      </c>
      <c r="F2">
        <v>1.2618710043468999E-2</v>
      </c>
      <c r="G2">
        <v>1.13634007389233E-4</v>
      </c>
      <c r="H2">
        <v>0.19047904160624299</v>
      </c>
      <c r="I2" s="1">
        <v>4.19866564657077E-6</v>
      </c>
      <c r="J2">
        <v>11.176340837011701</v>
      </c>
      <c r="K2">
        <v>2.3775007851089001</v>
      </c>
      <c r="L2">
        <v>86.394382983413706</v>
      </c>
      <c r="M2">
        <v>17.790327768569501</v>
      </c>
      <c r="N2">
        <v>81.509978919146107</v>
      </c>
      <c r="O2">
        <v>0.65587660566519201</v>
      </c>
      <c r="P2">
        <v>0</v>
      </c>
      <c r="Q2">
        <v>81.509978919146107</v>
      </c>
      <c r="R2">
        <v>0.30025256691156099</v>
      </c>
      <c r="S2">
        <v>-210.041966208503</v>
      </c>
      <c r="T2">
        <v>8.6331991462388204E-4</v>
      </c>
      <c r="U2">
        <v>81.557927894147696</v>
      </c>
      <c r="V2">
        <v>90.780270170350093</v>
      </c>
      <c r="W2">
        <v>208.00846006239999</v>
      </c>
      <c r="X2">
        <v>9.8270602492917494</v>
      </c>
      <c r="Y2">
        <v>3.3149806560777901</v>
      </c>
      <c r="Z2">
        <v>704.53289155162099</v>
      </c>
      <c r="AA2">
        <v>80.492265550373702</v>
      </c>
      <c r="AB2">
        <v>0</v>
      </c>
      <c r="AC2">
        <v>104.438957057924</v>
      </c>
      <c r="AD2">
        <v>105.431110081329</v>
      </c>
      <c r="AE2">
        <v>37.554171024735901</v>
      </c>
      <c r="AF2">
        <v>-34.6105192255432</v>
      </c>
      <c r="AG2">
        <v>1405460976.22296</v>
      </c>
      <c r="AH2">
        <v>2.72799538695589E-2</v>
      </c>
      <c r="AI2">
        <v>2268</v>
      </c>
    </row>
    <row r="3" spans="1:35" x14ac:dyDescent="0.25">
      <c r="A3">
        <v>2</v>
      </c>
      <c r="B3">
        <v>-175</v>
      </c>
      <c r="C3">
        <v>0.22413187234556201</v>
      </c>
      <c r="D3">
        <v>0.240304002336094</v>
      </c>
      <c r="E3">
        <v>3.2604825073118002E-2</v>
      </c>
      <c r="F3">
        <v>1.15211471643348E-2</v>
      </c>
      <c r="G3">
        <v>3.2099189650448498E-4</v>
      </c>
      <c r="H3">
        <v>0.19573454927363201</v>
      </c>
      <c r="I3">
        <v>1.2248892850457401E-4</v>
      </c>
      <c r="J3">
        <v>10.5249689041047</v>
      </c>
      <c r="K3">
        <v>3.1809395527734701</v>
      </c>
      <c r="L3">
        <v>86.202500665935901</v>
      </c>
      <c r="M3">
        <v>8.8842480828202604</v>
      </c>
      <c r="N3">
        <v>90.208504181887704</v>
      </c>
      <c r="O3">
        <v>0.86480046575122804</v>
      </c>
      <c r="P3">
        <v>0</v>
      </c>
      <c r="Q3">
        <v>90.208504181887704</v>
      </c>
      <c r="R3">
        <v>0.28521247029739799</v>
      </c>
      <c r="S3">
        <v>-184.12065818411099</v>
      </c>
      <c r="T3">
        <v>1.7390075687971501E-3</v>
      </c>
      <c r="U3">
        <v>81.583527200139301</v>
      </c>
      <c r="V3">
        <v>90.117100248161606</v>
      </c>
      <c r="W3">
        <v>232.11205516140799</v>
      </c>
      <c r="X3">
        <v>9.2495663853864603</v>
      </c>
      <c r="Y3">
        <v>3.52555741254633</v>
      </c>
      <c r="Z3">
        <v>707.01995319573098</v>
      </c>
      <c r="AA3">
        <v>88.718481434324303</v>
      </c>
      <c r="AB3">
        <v>0</v>
      </c>
      <c r="AC3">
        <v>104.929478959167</v>
      </c>
      <c r="AD3">
        <v>105.50729742452501</v>
      </c>
      <c r="AE3">
        <v>37.920519119730002</v>
      </c>
      <c r="AF3">
        <v>-17.467460233192998</v>
      </c>
      <c r="AG3">
        <v>10595845504.424801</v>
      </c>
      <c r="AH3">
        <v>3.7281114118649802E-2</v>
      </c>
      <c r="AI3">
        <v>6970</v>
      </c>
    </row>
    <row r="4" spans="1:35" x14ac:dyDescent="0.25">
      <c r="A4">
        <v>3</v>
      </c>
      <c r="B4">
        <v>-150</v>
      </c>
      <c r="C4">
        <v>0.25379995132619498</v>
      </c>
      <c r="D4">
        <v>0.26736903409699603</v>
      </c>
      <c r="E4">
        <v>3.3069744257294399E-2</v>
      </c>
      <c r="F4">
        <v>1.4174300043614699E-2</v>
      </c>
      <c r="G4">
        <v>1.0356778567940899E-3</v>
      </c>
      <c r="H4">
        <v>0.218042249910017</v>
      </c>
      <c r="I4">
        <v>1.04706202927577E-3</v>
      </c>
      <c r="J4">
        <v>12.1173231143124</v>
      </c>
      <c r="K4">
        <v>3.39797268539504</v>
      </c>
      <c r="L4">
        <v>84.369861420127407</v>
      </c>
      <c r="M4">
        <v>9.6379828038967705</v>
      </c>
      <c r="N4">
        <v>88.6171500405666</v>
      </c>
      <c r="O4">
        <v>1.68471147060189</v>
      </c>
      <c r="P4">
        <v>0</v>
      </c>
      <c r="Q4">
        <v>88.6171500405666</v>
      </c>
      <c r="R4">
        <v>0.385000031533063</v>
      </c>
      <c r="S4">
        <v>-159.846802983777</v>
      </c>
      <c r="T4">
        <v>3.5383323996131199E-3</v>
      </c>
      <c r="U4">
        <v>85.191159694272002</v>
      </c>
      <c r="V4">
        <v>87.816785946703007</v>
      </c>
      <c r="W4">
        <v>238.51743023964599</v>
      </c>
      <c r="X4">
        <v>10.0767141725096</v>
      </c>
      <c r="Y4">
        <v>3.6599849509748998</v>
      </c>
      <c r="Z4">
        <v>710.89523531507598</v>
      </c>
      <c r="AA4">
        <v>84.770035328860402</v>
      </c>
      <c r="AB4">
        <v>0</v>
      </c>
      <c r="AC4">
        <v>106.090756664125</v>
      </c>
      <c r="AD4">
        <v>105.64395541679001</v>
      </c>
      <c r="AE4">
        <v>38.4543632639338</v>
      </c>
      <c r="AF4">
        <v>-8.85003489860215</v>
      </c>
      <c r="AG4">
        <v>41838497999.694298</v>
      </c>
      <c r="AH4">
        <v>3.2453920010241097E-2</v>
      </c>
      <c r="AI4">
        <v>15889</v>
      </c>
    </row>
    <row r="5" spans="1:35" x14ac:dyDescent="0.25">
      <c r="A5">
        <v>4</v>
      </c>
      <c r="B5">
        <v>-125</v>
      </c>
      <c r="C5">
        <v>0.260698401688159</v>
      </c>
      <c r="D5">
        <v>0.27389974416905</v>
      </c>
      <c r="E5">
        <v>3.2982868195383701E-2</v>
      </c>
      <c r="F5">
        <v>1.30892823238993E-2</v>
      </c>
      <c r="G5">
        <v>1.9777041255154199E-3</v>
      </c>
      <c r="H5">
        <v>0.22168518434762399</v>
      </c>
      <c r="I5">
        <v>4.1647051766282002E-3</v>
      </c>
      <c r="J5">
        <v>16.895551774459001</v>
      </c>
      <c r="K5">
        <v>3.8491492031534902</v>
      </c>
      <c r="L5">
        <v>79.132484160048406</v>
      </c>
      <c r="M5">
        <v>18.9720550765201</v>
      </c>
      <c r="N5">
        <v>76.321709997709604</v>
      </c>
      <c r="O5">
        <v>4.6173045392008198</v>
      </c>
      <c r="P5">
        <v>0</v>
      </c>
      <c r="Q5">
        <v>76.321709997709604</v>
      </c>
      <c r="R5">
        <v>0.36837792241400502</v>
      </c>
      <c r="S5">
        <v>-135.00879634675599</v>
      </c>
      <c r="T5">
        <v>6.58505615655448E-3</v>
      </c>
      <c r="U5">
        <v>88.7627806662762</v>
      </c>
      <c r="V5">
        <v>82.951667698714004</v>
      </c>
      <c r="W5">
        <v>250.082694203568</v>
      </c>
      <c r="X5">
        <v>10.654167207875499</v>
      </c>
      <c r="Y5">
        <v>3.7426604166001001</v>
      </c>
      <c r="Z5">
        <v>725.11194650237405</v>
      </c>
      <c r="AA5">
        <v>64.633008490433795</v>
      </c>
      <c r="AB5">
        <v>0</v>
      </c>
      <c r="AC5">
        <v>106.92626320756</v>
      </c>
      <c r="AD5">
        <v>104.402308034697</v>
      </c>
      <c r="AE5">
        <v>40.285134391722302</v>
      </c>
      <c r="AF5">
        <v>-8.3884638563158607</v>
      </c>
      <c r="AG5">
        <v>132269485773.481</v>
      </c>
      <c r="AH5">
        <v>3.2866105308320799E-2</v>
      </c>
      <c r="AI5">
        <v>37014</v>
      </c>
    </row>
    <row r="6" spans="1:35" x14ac:dyDescent="0.25">
      <c r="A6">
        <v>5</v>
      </c>
      <c r="B6">
        <v>-100</v>
      </c>
      <c r="C6">
        <v>0.26474088498229498</v>
      </c>
      <c r="D6">
        <v>0.27232710362503099</v>
      </c>
      <c r="E6">
        <v>3.3079018458032503E-2</v>
      </c>
      <c r="F6">
        <v>9.0558507381745795E-3</v>
      </c>
      <c r="G6">
        <v>2.1310365167886498E-3</v>
      </c>
      <c r="H6">
        <v>0.21584678490468701</v>
      </c>
      <c r="I6">
        <v>1.2214413007348299E-2</v>
      </c>
      <c r="J6">
        <v>14.3342568770379</v>
      </c>
      <c r="K6">
        <v>3.9918093314479601</v>
      </c>
      <c r="L6">
        <v>81.542971028133493</v>
      </c>
      <c r="M6">
        <v>29.407280269475098</v>
      </c>
      <c r="N6">
        <v>61.198381397471103</v>
      </c>
      <c r="O6">
        <v>9.2773979391547492</v>
      </c>
      <c r="P6" s="1">
        <v>7.26765803647872E-5</v>
      </c>
      <c r="Q6">
        <v>61.198459931671898</v>
      </c>
      <c r="R6">
        <v>0.27026747262305501</v>
      </c>
      <c r="S6">
        <v>-109.976631696363</v>
      </c>
      <c r="T6">
        <v>0.35277831206432397</v>
      </c>
      <c r="U6">
        <v>93.586909512537005</v>
      </c>
      <c r="V6">
        <v>75.597698981890204</v>
      </c>
      <c r="W6">
        <v>266.67460358203698</v>
      </c>
      <c r="X6">
        <v>11.112315278491799</v>
      </c>
      <c r="Y6">
        <v>3.6895227188902102</v>
      </c>
      <c r="Z6">
        <v>745.33700768062101</v>
      </c>
      <c r="AA6">
        <v>35.257702379534003</v>
      </c>
      <c r="AB6">
        <v>0</v>
      </c>
      <c r="AC6">
        <v>108.41343894997701</v>
      </c>
      <c r="AD6">
        <v>104.01469960269399</v>
      </c>
      <c r="AE6">
        <v>40.714942252311502</v>
      </c>
      <c r="AF6">
        <v>-15.695239164097799</v>
      </c>
      <c r="AG6">
        <v>481466572235.06097</v>
      </c>
      <c r="AH6">
        <v>3.6510384325172798E-2</v>
      </c>
      <c r="AI6">
        <v>83086</v>
      </c>
    </row>
    <row r="7" spans="1:35" x14ac:dyDescent="0.25">
      <c r="A7">
        <v>6</v>
      </c>
      <c r="B7">
        <v>-75</v>
      </c>
      <c r="C7">
        <v>0.30047624243041199</v>
      </c>
      <c r="D7">
        <v>0.31464391448404799</v>
      </c>
      <c r="E7">
        <v>3.3838335186093998E-2</v>
      </c>
      <c r="F7">
        <v>7.6254936745635098E-3</v>
      </c>
      <c r="G7">
        <v>2.6441970420950402E-3</v>
      </c>
      <c r="H7">
        <v>0.245916551183606</v>
      </c>
      <c r="I7">
        <v>2.46193373976893E-2</v>
      </c>
      <c r="J7">
        <v>10.3387688694924</v>
      </c>
      <c r="K7">
        <v>4.0619105759255003</v>
      </c>
      <c r="L7">
        <v>85.463355043783196</v>
      </c>
      <c r="M7">
        <v>30.0631731400631</v>
      </c>
      <c r="N7">
        <v>57.021566080316902</v>
      </c>
      <c r="O7">
        <v>12.787827528145501</v>
      </c>
      <c r="P7" s="1">
        <v>7.4300022974683601E-5</v>
      </c>
      <c r="Q7">
        <v>57.021650385886403</v>
      </c>
      <c r="R7">
        <v>0.234805844950146</v>
      </c>
      <c r="S7">
        <v>-85.871387125758204</v>
      </c>
      <c r="T7">
        <v>11.445083941752999</v>
      </c>
      <c r="U7">
        <v>95.776877534072796</v>
      </c>
      <c r="V7">
        <v>70.154150026261306</v>
      </c>
      <c r="W7">
        <v>276.30047084735901</v>
      </c>
      <c r="X7">
        <v>13.3674708107936</v>
      </c>
      <c r="Y7">
        <v>3.7064630325190802</v>
      </c>
      <c r="Z7">
        <v>755.56266739375496</v>
      </c>
      <c r="AA7">
        <v>22.798539800263899</v>
      </c>
      <c r="AB7">
        <v>0</v>
      </c>
      <c r="AC7">
        <v>113.230578405971</v>
      </c>
      <c r="AD7">
        <v>104.64045546991299</v>
      </c>
      <c r="AE7">
        <v>40.769626427875203</v>
      </c>
      <c r="AF7">
        <v>-16.126897452394399</v>
      </c>
      <c r="AG7">
        <v>1493209009878.8101</v>
      </c>
      <c r="AH7">
        <v>3.7107589338846898E-2</v>
      </c>
      <c r="AI7">
        <v>173250</v>
      </c>
    </row>
    <row r="8" spans="1:35" x14ac:dyDescent="0.25">
      <c r="A8">
        <v>7</v>
      </c>
      <c r="B8">
        <v>-50</v>
      </c>
      <c r="C8">
        <v>0.38707885521015001</v>
      </c>
      <c r="D8">
        <v>0.398849032500668</v>
      </c>
      <c r="E8">
        <v>3.5159060886040601E-2</v>
      </c>
      <c r="F8">
        <v>8.05256177624822E-3</v>
      </c>
      <c r="G8">
        <v>4.5121000132806403E-3</v>
      </c>
      <c r="H8">
        <v>0.30586646370710402</v>
      </c>
      <c r="I8">
        <v>4.5258846117994599E-2</v>
      </c>
      <c r="J8">
        <v>8.5424501428517008</v>
      </c>
      <c r="K8">
        <v>4.1087123622535504</v>
      </c>
      <c r="L8">
        <v>87.2172408360438</v>
      </c>
      <c r="M8">
        <v>30.359649156139401</v>
      </c>
      <c r="N8">
        <v>55.211015864594998</v>
      </c>
      <c r="O8">
        <v>14.2984887838319</v>
      </c>
      <c r="P8" s="1">
        <v>6.6509408634396499E-5</v>
      </c>
      <c r="Q8">
        <v>55.211098268571497</v>
      </c>
      <c r="R8">
        <v>0.26820671938622098</v>
      </c>
      <c r="S8">
        <v>-61.1371795560447</v>
      </c>
      <c r="T8">
        <v>48.045992112344798</v>
      </c>
      <c r="U8">
        <v>97.129060092951207</v>
      </c>
      <c r="V8">
        <v>66.435043037978204</v>
      </c>
      <c r="W8">
        <v>279.06234029494698</v>
      </c>
      <c r="X8">
        <v>18.4128336482006</v>
      </c>
      <c r="Y8">
        <v>3.7829557406855101</v>
      </c>
      <c r="Z8">
        <v>758.42520434473602</v>
      </c>
      <c r="AA8">
        <v>19.646078178879101</v>
      </c>
      <c r="AB8">
        <v>0</v>
      </c>
      <c r="AC8">
        <v>126.13980262681601</v>
      </c>
      <c r="AD8">
        <v>105.822567630283</v>
      </c>
      <c r="AE8">
        <v>40.626497675977099</v>
      </c>
      <c r="AF8">
        <v>-14.344515286955399</v>
      </c>
      <c r="AG8">
        <v>3214158744593.6802</v>
      </c>
      <c r="AH8">
        <v>4.0125557488927897E-2</v>
      </c>
      <c r="AI8">
        <v>340799</v>
      </c>
    </row>
    <row r="9" spans="1:35" x14ac:dyDescent="0.25">
      <c r="A9">
        <v>8</v>
      </c>
      <c r="B9">
        <v>-25</v>
      </c>
      <c r="C9">
        <v>0.47999266148450598</v>
      </c>
      <c r="D9">
        <v>0.50080540775672</v>
      </c>
      <c r="E9">
        <v>3.6007377622046102E-2</v>
      </c>
      <c r="F9">
        <v>8.9742336787284396E-3</v>
      </c>
      <c r="G9">
        <v>6.9642534020022797E-3</v>
      </c>
      <c r="H9">
        <v>0.36369323670810599</v>
      </c>
      <c r="I9">
        <v>8.5166306345837703E-2</v>
      </c>
      <c r="J9">
        <v>7.2830626913819403</v>
      </c>
      <c r="K9">
        <v>4.2163690736570496</v>
      </c>
      <c r="L9">
        <v>88.369319289180297</v>
      </c>
      <c r="M9">
        <v>32.094937181768202</v>
      </c>
      <c r="N9">
        <v>52.080049491081901</v>
      </c>
      <c r="O9">
        <v>15.690512968765701</v>
      </c>
      <c r="P9">
        <v>1.1929091168606E-4</v>
      </c>
      <c r="Q9">
        <v>52.080169146945003</v>
      </c>
      <c r="R9">
        <v>0.316041505200157</v>
      </c>
      <c r="S9">
        <v>-36.455863696548001</v>
      </c>
      <c r="T9">
        <v>115.09014360604699</v>
      </c>
      <c r="U9">
        <v>97.752812037107503</v>
      </c>
      <c r="V9">
        <v>64.349828315970697</v>
      </c>
      <c r="W9">
        <v>278.90206012154903</v>
      </c>
      <c r="X9">
        <v>21.817970465113198</v>
      </c>
      <c r="Y9">
        <v>3.8722179274598698</v>
      </c>
      <c r="Z9">
        <v>758.92551543021705</v>
      </c>
      <c r="AA9">
        <v>18.244756537277201</v>
      </c>
      <c r="AB9">
        <v>0</v>
      </c>
      <c r="AC9">
        <v>136.62877445711499</v>
      </c>
      <c r="AD9">
        <v>106.77943666612499</v>
      </c>
      <c r="AE9">
        <v>41.953010450776397</v>
      </c>
      <c r="AF9">
        <v>-12.099549956624401</v>
      </c>
      <c r="AG9">
        <v>5900252406673.9004</v>
      </c>
      <c r="AH9">
        <v>4.5019459832958297E-2</v>
      </c>
      <c r="AI9">
        <v>597415</v>
      </c>
    </row>
    <row r="10" spans="1:35" x14ac:dyDescent="0.25">
      <c r="A10">
        <v>9</v>
      </c>
      <c r="B10">
        <v>0</v>
      </c>
      <c r="C10">
        <v>0.57748643200725402</v>
      </c>
      <c r="D10">
        <v>0.58289236911006503</v>
      </c>
      <c r="E10">
        <v>3.57305379133721E-2</v>
      </c>
      <c r="F10">
        <v>1.0526002990259501E-2</v>
      </c>
      <c r="G10">
        <v>9.2846386833196296E-3</v>
      </c>
      <c r="H10">
        <v>0.37090906133763102</v>
      </c>
      <c r="I10">
        <v>0.156442128185482</v>
      </c>
      <c r="J10">
        <v>6.8966309972728297</v>
      </c>
      <c r="K10">
        <v>4.2376218441902296</v>
      </c>
      <c r="L10">
        <v>88.737775903079296</v>
      </c>
      <c r="M10">
        <v>33.914102981662197</v>
      </c>
      <c r="N10">
        <v>48.887624314859103</v>
      </c>
      <c r="O10">
        <v>17.0639006765171</v>
      </c>
      <c r="P10">
        <v>2.0141193807494501E-4</v>
      </c>
      <c r="Q10">
        <v>48.8877323164674</v>
      </c>
      <c r="R10">
        <v>0.36932141176427102</v>
      </c>
      <c r="S10">
        <v>-11.8631493380731</v>
      </c>
      <c r="T10">
        <v>216.35820156197099</v>
      </c>
      <c r="U10">
        <v>98.091009133353893</v>
      </c>
      <c r="V10">
        <v>64.224162324830601</v>
      </c>
      <c r="W10">
        <v>274.90469212878202</v>
      </c>
      <c r="X10">
        <v>22.431684966835999</v>
      </c>
      <c r="Y10">
        <v>4.0123933788594703</v>
      </c>
      <c r="Z10">
        <v>757.52493311396199</v>
      </c>
      <c r="AA10">
        <v>17.8624752041578</v>
      </c>
      <c r="AB10">
        <v>0</v>
      </c>
      <c r="AC10">
        <v>138.18137243794499</v>
      </c>
      <c r="AD10">
        <v>106.57441428378</v>
      </c>
      <c r="AE10">
        <v>46.565471050883602</v>
      </c>
      <c r="AF10">
        <v>-8.8289772452896091</v>
      </c>
      <c r="AG10">
        <v>8626260720675.6797</v>
      </c>
      <c r="AH10">
        <v>4.9698580567087702E-2</v>
      </c>
      <c r="AI10">
        <v>953824</v>
      </c>
    </row>
    <row r="11" spans="1:35" x14ac:dyDescent="0.25">
      <c r="A11">
        <v>10</v>
      </c>
      <c r="B11">
        <v>25</v>
      </c>
      <c r="C11">
        <v>0.78016102347906402</v>
      </c>
      <c r="D11">
        <v>0.70010766713051897</v>
      </c>
      <c r="E11">
        <v>3.5474467115236302E-2</v>
      </c>
      <c r="F11">
        <v>1.21905858245114E-2</v>
      </c>
      <c r="G11">
        <v>1.08293046799206E-2</v>
      </c>
      <c r="H11">
        <v>0.371329924265005</v>
      </c>
      <c r="I11">
        <v>0.270283385245846</v>
      </c>
      <c r="J11">
        <v>6.55500447106688</v>
      </c>
      <c r="K11">
        <v>4.19538200569938</v>
      </c>
      <c r="L11">
        <v>89.127306234235604</v>
      </c>
      <c r="M11">
        <v>36.882372941757403</v>
      </c>
      <c r="N11">
        <v>45.564861932137397</v>
      </c>
      <c r="O11">
        <v>17.419032728623201</v>
      </c>
      <c r="P11">
        <v>5.2611622263161299E-4</v>
      </c>
      <c r="Q11">
        <v>45.565062396705699</v>
      </c>
      <c r="R11">
        <v>0.42303149343500102</v>
      </c>
      <c r="S11">
        <v>12.6358800616746</v>
      </c>
      <c r="T11">
        <v>386.73279794987701</v>
      </c>
      <c r="U11">
        <v>98.419721509350495</v>
      </c>
      <c r="V11">
        <v>65.053933804683496</v>
      </c>
      <c r="W11">
        <v>269.52475010373502</v>
      </c>
      <c r="X11">
        <v>22.550903973340102</v>
      </c>
      <c r="Y11">
        <v>4.1592346471823998</v>
      </c>
      <c r="Z11">
        <v>756.18971858797397</v>
      </c>
      <c r="AA11">
        <v>17.933408186326702</v>
      </c>
      <c r="AB11">
        <v>0</v>
      </c>
      <c r="AC11">
        <v>137.41586335940599</v>
      </c>
      <c r="AD11">
        <v>106.439318349928</v>
      </c>
      <c r="AE11">
        <v>50.879996166127597</v>
      </c>
      <c r="AF11">
        <v>-4.9326244877208696</v>
      </c>
      <c r="AG11">
        <v>10043718928694.9</v>
      </c>
      <c r="AH11">
        <v>5.4356666483897802E-2</v>
      </c>
      <c r="AI11">
        <v>1336856</v>
      </c>
    </row>
    <row r="12" spans="1:35" x14ac:dyDescent="0.25">
      <c r="A12">
        <v>11</v>
      </c>
      <c r="B12">
        <v>50</v>
      </c>
      <c r="C12">
        <v>1.11341334626438</v>
      </c>
      <c r="D12">
        <v>0.95299002519224796</v>
      </c>
      <c r="E12">
        <v>3.6388212401446997E-2</v>
      </c>
      <c r="F12">
        <v>1.55062999716E-2</v>
      </c>
      <c r="G12">
        <v>1.21960510246565E-2</v>
      </c>
      <c r="H12">
        <v>0.38130400049477398</v>
      </c>
      <c r="I12">
        <v>0.50759546129977096</v>
      </c>
      <c r="J12">
        <v>6.2070270109682699</v>
      </c>
      <c r="K12">
        <v>4.1833066596176902</v>
      </c>
      <c r="L12">
        <v>89.491586230074304</v>
      </c>
      <c r="M12">
        <v>37.898075921073897</v>
      </c>
      <c r="N12">
        <v>43.812505703806103</v>
      </c>
      <c r="O12">
        <v>18.157583087037398</v>
      </c>
      <c r="P12">
        <v>8.7565563889861699E-4</v>
      </c>
      <c r="Q12">
        <v>43.812685420462998</v>
      </c>
      <c r="R12">
        <v>0.50043363841390698</v>
      </c>
      <c r="S12">
        <v>37.317471294551197</v>
      </c>
      <c r="T12">
        <v>661.291558888444</v>
      </c>
      <c r="U12">
        <v>98.375445287450106</v>
      </c>
      <c r="V12">
        <v>65.617390567049796</v>
      </c>
      <c r="W12">
        <v>262.47472518222202</v>
      </c>
      <c r="X12">
        <v>23.478528104468001</v>
      </c>
      <c r="Y12">
        <v>4.3240865937166397</v>
      </c>
      <c r="Z12">
        <v>753.96576261699602</v>
      </c>
      <c r="AA12">
        <v>19.088718290057201</v>
      </c>
      <c r="AB12">
        <v>0</v>
      </c>
      <c r="AC12">
        <v>135.20661891459099</v>
      </c>
      <c r="AD12">
        <v>106.139345394887</v>
      </c>
      <c r="AE12">
        <v>54.8124801101496</v>
      </c>
      <c r="AF12">
        <v>-0.88528900012474199</v>
      </c>
      <c r="AG12">
        <v>10337203900186.301</v>
      </c>
      <c r="AH12">
        <v>6.1627704535297499E-2</v>
      </c>
      <c r="AI12">
        <v>1484804</v>
      </c>
    </row>
    <row r="13" spans="1:35" x14ac:dyDescent="0.25">
      <c r="A13">
        <v>12</v>
      </c>
      <c r="B13">
        <v>75</v>
      </c>
      <c r="C13">
        <v>1.4928763879521301</v>
      </c>
      <c r="D13">
        <v>1.3962068959954299</v>
      </c>
      <c r="E13">
        <v>3.84389177150153E-2</v>
      </c>
      <c r="F13">
        <v>2.07557668821611E-2</v>
      </c>
      <c r="G13">
        <v>1.4621954052227999E-2</v>
      </c>
      <c r="H13">
        <v>0.41819997306997803</v>
      </c>
      <c r="I13">
        <v>0.90419028427605097</v>
      </c>
      <c r="J13">
        <v>5.5091181913531404</v>
      </c>
      <c r="K13">
        <v>4.1092366952018802</v>
      </c>
      <c r="L13">
        <v>90.268303681183397</v>
      </c>
      <c r="M13">
        <v>38.097745364161803</v>
      </c>
      <c r="N13">
        <v>43.481945525318203</v>
      </c>
      <c r="O13">
        <v>18.2904345969323</v>
      </c>
      <c r="P13">
        <v>1.59346493079581E-3</v>
      </c>
      <c r="Q13">
        <v>43.482173185969899</v>
      </c>
      <c r="R13">
        <v>0.617668550373072</v>
      </c>
      <c r="S13">
        <v>61.9274656774056</v>
      </c>
      <c r="T13">
        <v>1133.20392335575</v>
      </c>
      <c r="U13">
        <v>98.671934329985802</v>
      </c>
      <c r="V13">
        <v>65.591075668434797</v>
      </c>
      <c r="W13">
        <v>251.56859013800499</v>
      </c>
      <c r="X13">
        <v>27.523186561067</v>
      </c>
      <c r="Y13">
        <v>4.4719474669761397</v>
      </c>
      <c r="Z13">
        <v>751.86669920416603</v>
      </c>
      <c r="AA13">
        <v>21.1675835194633</v>
      </c>
      <c r="AB13">
        <v>0</v>
      </c>
      <c r="AC13">
        <v>133.938865111702</v>
      </c>
      <c r="AD13">
        <v>106.24054580631299</v>
      </c>
      <c r="AE13">
        <v>57.263710865731298</v>
      </c>
      <c r="AF13">
        <v>2.9195194721719102</v>
      </c>
      <c r="AG13">
        <v>8722799889381.0996</v>
      </c>
      <c r="AH13">
        <v>6.8524538002594601E-2</v>
      </c>
      <c r="AI13">
        <v>1471564</v>
      </c>
    </row>
    <row r="14" spans="1:35" x14ac:dyDescent="0.25">
      <c r="A14">
        <v>13</v>
      </c>
      <c r="B14">
        <v>100</v>
      </c>
      <c r="C14">
        <v>1.83205518540474</v>
      </c>
      <c r="D14">
        <v>1.8174203173626999</v>
      </c>
      <c r="E14">
        <v>4.0610962003428099E-2</v>
      </c>
      <c r="F14">
        <v>2.7662176436747201E-2</v>
      </c>
      <c r="G14">
        <v>1.6677213316166201E-2</v>
      </c>
      <c r="H14">
        <v>0.45592172900936101</v>
      </c>
      <c r="I14">
        <v>1.276548236597</v>
      </c>
      <c r="J14">
        <v>4.7052854972397702</v>
      </c>
      <c r="K14">
        <v>4.0292927307446202</v>
      </c>
      <c r="L14">
        <v>91.156625709838906</v>
      </c>
      <c r="M14">
        <v>37.773256659115503</v>
      </c>
      <c r="N14">
        <v>44.344102095333596</v>
      </c>
      <c r="O14">
        <v>17.7548965132404</v>
      </c>
      <c r="P14">
        <v>2.0232227141481702E-3</v>
      </c>
      <c r="Q14">
        <v>44.344296237092102</v>
      </c>
      <c r="R14">
        <v>0.76287812374978703</v>
      </c>
      <c r="S14">
        <v>86.874264453774302</v>
      </c>
      <c r="T14">
        <v>1793.2856259324301</v>
      </c>
      <c r="U14">
        <v>98.740936894913403</v>
      </c>
      <c r="V14">
        <v>65.466915440814404</v>
      </c>
      <c r="W14">
        <v>241.43425501332101</v>
      </c>
      <c r="X14">
        <v>32.974643653591698</v>
      </c>
      <c r="Y14">
        <v>4.6170483023534201</v>
      </c>
      <c r="Z14">
        <v>750.18440898218205</v>
      </c>
      <c r="AA14">
        <v>23.523738942429301</v>
      </c>
      <c r="AB14">
        <v>0</v>
      </c>
      <c r="AC14">
        <v>133.120194231596</v>
      </c>
      <c r="AD14">
        <v>106.151139010183</v>
      </c>
      <c r="AE14">
        <v>59.481848404492503</v>
      </c>
      <c r="AF14">
        <v>5.9792854194102301</v>
      </c>
      <c r="AG14">
        <v>6764643194104.4805</v>
      </c>
      <c r="AH14">
        <v>7.6112991804150196E-2</v>
      </c>
      <c r="AI14">
        <v>1304005</v>
      </c>
    </row>
    <row r="15" spans="1:35" x14ac:dyDescent="0.25">
      <c r="A15">
        <v>14</v>
      </c>
      <c r="B15">
        <v>125</v>
      </c>
      <c r="C15">
        <v>2.0275335674649</v>
      </c>
      <c r="D15">
        <v>2.02427939117436</v>
      </c>
      <c r="E15">
        <v>4.2586782411226397E-2</v>
      </c>
      <c r="F15">
        <v>3.5075876849479097E-2</v>
      </c>
      <c r="G15">
        <v>1.80113165014513E-2</v>
      </c>
      <c r="H15">
        <v>0.49009946637914298</v>
      </c>
      <c r="I15">
        <v>1.4385059490330601</v>
      </c>
      <c r="J15">
        <v>3.89142617244425</v>
      </c>
      <c r="K15">
        <v>3.9465881352687</v>
      </c>
      <c r="L15">
        <v>92.057703081468006</v>
      </c>
      <c r="M15">
        <v>38.889817998371299</v>
      </c>
      <c r="N15">
        <v>44.474516854111599</v>
      </c>
      <c r="O15">
        <v>16.509931512599099</v>
      </c>
      <c r="P15">
        <v>3.2376031036968301E-3</v>
      </c>
      <c r="Q15">
        <v>44.474705993623999</v>
      </c>
      <c r="R15">
        <v>0.919642462800219</v>
      </c>
      <c r="S15">
        <v>111.67216282491</v>
      </c>
      <c r="T15">
        <v>2572.2204199610201</v>
      </c>
      <c r="U15">
        <v>98.963871910121298</v>
      </c>
      <c r="V15">
        <v>65.574599629793596</v>
      </c>
      <c r="W15">
        <v>233.03914485536899</v>
      </c>
      <c r="X15">
        <v>38.3232534946684</v>
      </c>
      <c r="Y15">
        <v>4.7425459030446104</v>
      </c>
      <c r="Z15">
        <v>748.63909995170195</v>
      </c>
      <c r="AA15">
        <v>25.008885238875401</v>
      </c>
      <c r="AB15">
        <v>0</v>
      </c>
      <c r="AC15">
        <v>133.394077101563</v>
      </c>
      <c r="AD15">
        <v>106.47060289250901</v>
      </c>
      <c r="AE15">
        <v>61.043238149014101</v>
      </c>
      <c r="AF15">
        <v>9.1724653434198995</v>
      </c>
      <c r="AG15">
        <v>4828452170290.46</v>
      </c>
      <c r="AH15">
        <v>8.2677328525225205E-2</v>
      </c>
      <c r="AI15">
        <v>1044023</v>
      </c>
    </row>
    <row r="16" spans="1:35" x14ac:dyDescent="0.25">
      <c r="A16">
        <v>15</v>
      </c>
      <c r="B16">
        <v>150</v>
      </c>
      <c r="C16">
        <v>2.3083884193255102</v>
      </c>
      <c r="D16">
        <v>2.1921341332514501</v>
      </c>
      <c r="E16">
        <v>4.3602388334701397E-2</v>
      </c>
      <c r="F16">
        <v>4.3109246424196702E-2</v>
      </c>
      <c r="G16">
        <v>1.88407705695759E-2</v>
      </c>
      <c r="H16">
        <v>0.50775242400942999</v>
      </c>
      <c r="I16">
        <v>1.5788293039135499</v>
      </c>
      <c r="J16">
        <v>3.4589098547951398</v>
      </c>
      <c r="K16">
        <v>3.9924040201882001</v>
      </c>
      <c r="L16">
        <v>92.448416060111896</v>
      </c>
      <c r="M16">
        <v>40.071483431210602</v>
      </c>
      <c r="N16">
        <v>43.5174486431114</v>
      </c>
      <c r="O16">
        <v>16.2830838981107</v>
      </c>
      <c r="P16">
        <v>7.3221288707258298E-3</v>
      </c>
      <c r="Q16">
        <v>43.517597336631901</v>
      </c>
      <c r="R16">
        <v>1.0920502832055099</v>
      </c>
      <c r="S16">
        <v>136.50989928304699</v>
      </c>
      <c r="T16">
        <v>3245.7397055710398</v>
      </c>
      <c r="U16">
        <v>99.075754713312307</v>
      </c>
      <c r="V16">
        <v>65.876817299382907</v>
      </c>
      <c r="W16">
        <v>227.59564132238401</v>
      </c>
      <c r="X16">
        <v>41.240981742491499</v>
      </c>
      <c r="Y16">
        <v>4.8697676857425503</v>
      </c>
      <c r="Z16">
        <v>747.01663237967296</v>
      </c>
      <c r="AA16">
        <v>24.779646605349399</v>
      </c>
      <c r="AB16">
        <v>0</v>
      </c>
      <c r="AC16">
        <v>131.741832424385</v>
      </c>
      <c r="AD16">
        <v>106.172365540597</v>
      </c>
      <c r="AE16">
        <v>64.280029393143096</v>
      </c>
      <c r="AF16">
        <v>12.894347332560301</v>
      </c>
      <c r="AG16">
        <v>3336181163699.4702</v>
      </c>
      <c r="AH16">
        <v>8.7884808273413204E-2</v>
      </c>
      <c r="AI16">
        <v>769161</v>
      </c>
    </row>
    <row r="17" spans="1:42" x14ac:dyDescent="0.25">
      <c r="A17">
        <v>16</v>
      </c>
      <c r="B17">
        <v>175</v>
      </c>
      <c r="C17">
        <v>2.4237493342367502</v>
      </c>
      <c r="D17">
        <v>2.2183744803902501</v>
      </c>
      <c r="E17">
        <v>4.4775633333662801E-2</v>
      </c>
      <c r="F17">
        <v>5.32716006111719E-2</v>
      </c>
      <c r="G17">
        <v>2.10493798282874E-2</v>
      </c>
      <c r="H17">
        <v>0.52640581830202104</v>
      </c>
      <c r="I17">
        <v>1.5728720483151</v>
      </c>
      <c r="J17">
        <v>2.9906402946936801</v>
      </c>
      <c r="K17">
        <v>3.9080340649035699</v>
      </c>
      <c r="L17">
        <v>93.009518819672806</v>
      </c>
      <c r="M17">
        <v>42.155917515212401</v>
      </c>
      <c r="N17">
        <v>41.782756353976801</v>
      </c>
      <c r="O17">
        <v>15.935880966439701</v>
      </c>
      <c r="P17">
        <v>8.3184506701893708E-3</v>
      </c>
      <c r="Q17">
        <v>41.782879586053902</v>
      </c>
      <c r="R17">
        <v>1.31787658350689</v>
      </c>
      <c r="S17">
        <v>160.908076934712</v>
      </c>
      <c r="T17">
        <v>4096.1455689308596</v>
      </c>
      <c r="U17">
        <v>99.194957116801206</v>
      </c>
      <c r="V17">
        <v>66.254008516862697</v>
      </c>
      <c r="W17">
        <v>221.19360579149799</v>
      </c>
      <c r="X17">
        <v>44.439122430429997</v>
      </c>
      <c r="Y17">
        <v>5.0031182840374004</v>
      </c>
      <c r="Z17">
        <v>743.33663624907001</v>
      </c>
      <c r="AA17">
        <v>24.716249540599101</v>
      </c>
      <c r="AB17">
        <v>0</v>
      </c>
      <c r="AC17">
        <v>132.82122999332699</v>
      </c>
      <c r="AD17">
        <v>106.502402231774</v>
      </c>
      <c r="AE17">
        <v>65.290396874423806</v>
      </c>
      <c r="AF17">
        <v>20.111441000113199</v>
      </c>
      <c r="AG17">
        <v>1908049179955.3</v>
      </c>
      <c r="AH17">
        <v>9.1464067809111593E-2</v>
      </c>
      <c r="AI17">
        <v>546271</v>
      </c>
    </row>
    <row r="18" spans="1:42" x14ac:dyDescent="0.25">
      <c r="A18">
        <v>17</v>
      </c>
      <c r="B18">
        <v>200</v>
      </c>
      <c r="C18">
        <v>2.5076068566049101</v>
      </c>
      <c r="D18">
        <v>2.2029781479905601</v>
      </c>
      <c r="E18">
        <v>4.6114518079035299E-2</v>
      </c>
      <c r="F18">
        <v>6.5034162043891494E-2</v>
      </c>
      <c r="G18">
        <v>2.4550021074728E-2</v>
      </c>
      <c r="H18">
        <v>0.54684524158607095</v>
      </c>
      <c r="I18">
        <v>1.52043420520683</v>
      </c>
      <c r="J18">
        <v>2.48364438283151</v>
      </c>
      <c r="K18">
        <v>3.72142345065769</v>
      </c>
      <c r="L18">
        <v>93.713958872946094</v>
      </c>
      <c r="M18">
        <v>44.808183102496798</v>
      </c>
      <c r="N18">
        <v>39.576211441365899</v>
      </c>
      <c r="O18">
        <v>15.4865285590146</v>
      </c>
      <c r="P18">
        <v>1.6748422182637199E-2</v>
      </c>
      <c r="Q18">
        <v>39.576393242071397</v>
      </c>
      <c r="R18">
        <v>1.60155853191342</v>
      </c>
      <c r="S18">
        <v>185.72189704513499</v>
      </c>
      <c r="T18">
        <v>4988.0433469629597</v>
      </c>
      <c r="U18">
        <v>99.294536233264395</v>
      </c>
      <c r="V18">
        <v>66.904055221110099</v>
      </c>
      <c r="W18">
        <v>214.13369057666</v>
      </c>
      <c r="X18">
        <v>47.725416136230699</v>
      </c>
      <c r="Y18">
        <v>5.1329751003497401</v>
      </c>
      <c r="Z18">
        <v>739.56754515635305</v>
      </c>
      <c r="AA18">
        <v>23.922463531533602</v>
      </c>
      <c r="AB18">
        <v>0</v>
      </c>
      <c r="AC18">
        <v>135.102185807891</v>
      </c>
      <c r="AD18">
        <v>106.84690435399099</v>
      </c>
      <c r="AE18">
        <v>66.179423515636202</v>
      </c>
      <c r="AF18">
        <v>28.070598835933598</v>
      </c>
      <c r="AG18">
        <v>932288699835.36401</v>
      </c>
      <c r="AH18">
        <v>9.5676387883858904E-2</v>
      </c>
      <c r="AI18">
        <v>374452</v>
      </c>
    </row>
    <row r="19" spans="1:42" x14ac:dyDescent="0.25">
      <c r="A19">
        <v>18</v>
      </c>
      <c r="B19">
        <v>225</v>
      </c>
      <c r="C19">
        <v>2.4667682522885701</v>
      </c>
      <c r="D19">
        <v>2.0754925046144099</v>
      </c>
      <c r="E19">
        <v>4.9441572718664901E-2</v>
      </c>
      <c r="F19">
        <v>7.7826525771225605E-2</v>
      </c>
      <c r="G19">
        <v>3.2702112250039002E-2</v>
      </c>
      <c r="H19">
        <v>0.57258696415990795</v>
      </c>
      <c r="I19">
        <v>1.3429353297145701</v>
      </c>
      <c r="J19">
        <v>2.75393166403805</v>
      </c>
      <c r="K19">
        <v>3.16344811461606</v>
      </c>
      <c r="L19">
        <v>94.019830379433202</v>
      </c>
      <c r="M19">
        <v>49.243487261615201</v>
      </c>
      <c r="N19">
        <v>36.895149379287801</v>
      </c>
      <c r="O19">
        <v>13.7279285167773</v>
      </c>
      <c r="P19">
        <v>3.0430537134203201E-2</v>
      </c>
      <c r="Q19">
        <v>36.895349874821903</v>
      </c>
      <c r="R19">
        <v>1.96834950520272</v>
      </c>
      <c r="S19">
        <v>210.31722174321499</v>
      </c>
      <c r="T19">
        <v>6176.7922453700703</v>
      </c>
      <c r="U19">
        <v>99.346151493705406</v>
      </c>
      <c r="V19">
        <v>67.242202308423302</v>
      </c>
      <c r="W19">
        <v>202.64704267817399</v>
      </c>
      <c r="X19">
        <v>55.1403600242312</v>
      </c>
      <c r="Y19">
        <v>5.2761575741959401</v>
      </c>
      <c r="Z19">
        <v>734.00991099334601</v>
      </c>
      <c r="AA19">
        <v>22.4380619977685</v>
      </c>
      <c r="AB19">
        <v>0</v>
      </c>
      <c r="AC19">
        <v>141.758195930418</v>
      </c>
      <c r="AD19">
        <v>108.0572374349</v>
      </c>
      <c r="AE19">
        <v>63.065620416882602</v>
      </c>
      <c r="AF19">
        <v>34.957398236762003</v>
      </c>
      <c r="AG19">
        <v>372707187413.12299</v>
      </c>
      <c r="AH19">
        <v>9.9211372609037604E-2</v>
      </c>
      <c r="AI19">
        <v>247598</v>
      </c>
    </row>
    <row r="20" spans="1:42" x14ac:dyDescent="0.25">
      <c r="A20">
        <v>19</v>
      </c>
      <c r="B20">
        <v>250</v>
      </c>
      <c r="C20">
        <v>2.1318445411525402</v>
      </c>
      <c r="D20">
        <v>1.9054506475104001</v>
      </c>
      <c r="E20">
        <v>6.3695917783898603E-2</v>
      </c>
      <c r="F20">
        <v>0.1438702365998</v>
      </c>
      <c r="G20">
        <v>7.1863786893446704E-2</v>
      </c>
      <c r="H20">
        <v>0.63589875498842396</v>
      </c>
      <c r="I20">
        <v>0.99012195124483404</v>
      </c>
      <c r="J20">
        <v>5.7966344837744996</v>
      </c>
      <c r="K20">
        <v>4.0315164700009998</v>
      </c>
      <c r="L20">
        <v>90.120532410601498</v>
      </c>
      <c r="M20">
        <v>51.944435307514702</v>
      </c>
      <c r="N20">
        <v>29.660629035329301</v>
      </c>
      <c r="O20">
        <v>18.0236724483558</v>
      </c>
      <c r="P20">
        <v>0.27402541280110598</v>
      </c>
      <c r="Q20">
        <v>29.663894340146602</v>
      </c>
      <c r="R20">
        <v>3.9611382347977901</v>
      </c>
      <c r="S20">
        <v>262.71419944659499</v>
      </c>
      <c r="T20">
        <v>8134.4604927973096</v>
      </c>
      <c r="U20">
        <v>99.2710105345747</v>
      </c>
      <c r="V20">
        <v>63.536562798354502</v>
      </c>
      <c r="W20">
        <v>171.79179029028799</v>
      </c>
      <c r="X20">
        <v>85.007187323698304</v>
      </c>
      <c r="Y20">
        <v>5.8452513350839199</v>
      </c>
      <c r="Z20">
        <v>720.69550231039602</v>
      </c>
      <c r="AA20">
        <v>14.9955137138254</v>
      </c>
      <c r="AB20">
        <v>0</v>
      </c>
      <c r="AC20">
        <v>157.48703895012599</v>
      </c>
      <c r="AD20">
        <v>110.21830528681301</v>
      </c>
      <c r="AE20">
        <v>51.078500546974901</v>
      </c>
      <c r="AF20">
        <v>39.601929313343597</v>
      </c>
      <c r="AG20">
        <v>293713793434.35999</v>
      </c>
      <c r="AH20">
        <v>0.10360439159867001</v>
      </c>
      <c r="AI20">
        <v>409051</v>
      </c>
    </row>
    <row r="25" spans="1:42" x14ac:dyDescent="0.25">
      <c r="A25" t="s">
        <v>56</v>
      </c>
      <c r="F25" t="s">
        <v>55</v>
      </c>
      <c r="P25" t="s">
        <v>57</v>
      </c>
    </row>
    <row r="26" spans="1:42" x14ac:dyDescent="0.25">
      <c r="A26" t="s">
        <v>45</v>
      </c>
      <c r="B26" t="s">
        <v>46</v>
      </c>
      <c r="C26" t="s">
        <v>47</v>
      </c>
      <c r="D26" t="s">
        <v>48</v>
      </c>
      <c r="G26" t="s">
        <v>0</v>
      </c>
      <c r="H26" t="s">
        <v>1</v>
      </c>
      <c r="I26" t="s">
        <v>31</v>
      </c>
      <c r="J26" t="s">
        <v>51</v>
      </c>
      <c r="L26" t="s">
        <v>31</v>
      </c>
      <c r="M26" t="s">
        <v>51</v>
      </c>
      <c r="P26" t="s">
        <v>52</v>
      </c>
      <c r="Q26" t="s">
        <v>53</v>
      </c>
      <c r="R26" t="s">
        <v>17</v>
      </c>
      <c r="S26" t="s">
        <v>54</v>
      </c>
      <c r="T26" t="s">
        <v>34</v>
      </c>
      <c r="V26" t="s">
        <v>31</v>
      </c>
      <c r="W26" t="s">
        <v>51</v>
      </c>
      <c r="Z26" t="s">
        <v>52</v>
      </c>
      <c r="AA26" t="s">
        <v>31</v>
      </c>
      <c r="AB26" t="s">
        <v>17</v>
      </c>
      <c r="AC26" t="s">
        <v>54</v>
      </c>
      <c r="AD26" t="s">
        <v>34</v>
      </c>
      <c r="AF26" t="s">
        <v>31</v>
      </c>
      <c r="AG26" t="s">
        <v>51</v>
      </c>
      <c r="AI26" t="s">
        <v>52</v>
      </c>
      <c r="AJ26" t="s">
        <v>31</v>
      </c>
      <c r="AK26" t="s">
        <v>17</v>
      </c>
      <c r="AL26" t="s">
        <v>54</v>
      </c>
      <c r="AM26" t="s">
        <v>34</v>
      </c>
      <c r="AO26" t="s">
        <v>31</v>
      </c>
      <c r="AP26" t="s">
        <v>51</v>
      </c>
    </row>
    <row r="27" spans="1:42" x14ac:dyDescent="0.25">
      <c r="A27" t="s">
        <v>49</v>
      </c>
      <c r="B27" s="2">
        <v>1417</v>
      </c>
      <c r="C27" s="2">
        <v>8739</v>
      </c>
      <c r="D27">
        <v>2.2999999999999998</v>
      </c>
      <c r="F27">
        <v>1</v>
      </c>
      <c r="G27">
        <v>-200</v>
      </c>
      <c r="H27">
        <v>0.19423407603287601</v>
      </c>
      <c r="I27">
        <v>1405460976.22296</v>
      </c>
      <c r="J27">
        <f>100*(1-(1-H27/100)^12)</f>
        <v>2.3060696842732042</v>
      </c>
      <c r="L27" s="3">
        <f>B27-I27/1000000</f>
        <v>11.539023777040029</v>
      </c>
      <c r="M27" s="4">
        <f>D27-J27</f>
        <v>-6.0696842732044232E-3</v>
      </c>
      <c r="P27">
        <v>-250</v>
      </c>
      <c r="Q27">
        <v>3416618.35</v>
      </c>
      <c r="R27">
        <v>-256.65933768247697</v>
      </c>
      <c r="S27">
        <v>4.24841129826513E-4</v>
      </c>
      <c r="T27">
        <f>100*(1-(1-S27)^12)</f>
        <v>0.5086198072259962</v>
      </c>
      <c r="Z27">
        <v>-250</v>
      </c>
      <c r="AA27">
        <v>3416618.35</v>
      </c>
      <c r="AB27">
        <v>-256.65933768247697</v>
      </c>
      <c r="AC27">
        <v>4.24841129826513E-4</v>
      </c>
      <c r="AD27">
        <f>100*(1-(1-AC27)^12)</f>
        <v>0.5086198072259962</v>
      </c>
      <c r="AI27">
        <v>-250</v>
      </c>
      <c r="AJ27" s="1">
        <v>3415074.5</v>
      </c>
      <c r="AK27">
        <v>-256.657218781376</v>
      </c>
      <c r="AL27">
        <v>4.2587645678181598E-4</v>
      </c>
      <c r="AM27">
        <f>100*(1-(1-AL27)^12)</f>
        <v>0.50985639883224243</v>
      </c>
    </row>
    <row r="28" spans="1:42" x14ac:dyDescent="0.25">
      <c r="A28">
        <f>-200--175</f>
        <v>-25</v>
      </c>
      <c r="B28" s="2">
        <v>10734</v>
      </c>
      <c r="C28" s="2">
        <v>57254</v>
      </c>
      <c r="D28">
        <v>2.6</v>
      </c>
      <c r="F28">
        <v>2</v>
      </c>
      <c r="G28">
        <v>-175</v>
      </c>
      <c r="H28">
        <v>0.22413187234556201</v>
      </c>
      <c r="I28">
        <v>10595845504.424801</v>
      </c>
      <c r="J28">
        <f t="shared" ref="J28:J45" si="0">100*(1-(1-H28/100)^12)</f>
        <v>2.6566737642530369</v>
      </c>
      <c r="L28" s="3">
        <f t="shared" ref="L28:L45" si="1">B28-I28/1000000</f>
        <v>138.15449557519969</v>
      </c>
      <c r="M28" s="4">
        <f t="shared" ref="M28:M45" si="2">D28-J28</f>
        <v>-5.6673764253036829E-2</v>
      </c>
      <c r="P28">
        <v>-200</v>
      </c>
      <c r="Q28">
        <v>1401745745.0999999</v>
      </c>
      <c r="R28">
        <v>-209.97277771838301</v>
      </c>
      <c r="S28">
        <v>1.9467448283963401E-3</v>
      </c>
      <c r="T28">
        <f t="shared" ref="T28:T52" si="3">100*(1-(1-S28)^12)</f>
        <v>2.3112426151926435</v>
      </c>
      <c r="V28" s="5">
        <f>B27-Q28/1000000</f>
        <v>15.254254900000205</v>
      </c>
      <c r="W28" s="4">
        <f>D27-T28</f>
        <v>-1.124261519264369E-2</v>
      </c>
      <c r="Z28">
        <v>-200</v>
      </c>
      <c r="AA28">
        <v>1401745745.0999999</v>
      </c>
      <c r="AB28">
        <v>-209.97277771838301</v>
      </c>
      <c r="AC28">
        <v>1.9467448283963401E-3</v>
      </c>
      <c r="AD28">
        <f t="shared" ref="AD28:AD52" si="4">100*(1-(1-AC28)^12)</f>
        <v>2.3112426151926435</v>
      </c>
      <c r="AF28" s="5">
        <f>B27-AA28/1000000</f>
        <v>15.254254900000205</v>
      </c>
      <c r="AG28" s="4">
        <f>D27-AD28</f>
        <v>-1.124261519264369E-2</v>
      </c>
      <c r="AI28">
        <v>-200</v>
      </c>
      <c r="AJ28" s="1">
        <v>1401597445.6600001</v>
      </c>
      <c r="AK28">
        <v>-209.97282825872099</v>
      </c>
      <c r="AL28">
        <v>1.95038473873369E-3</v>
      </c>
      <c r="AM28">
        <f t="shared" ref="AM28:AM52" si="5">100*(1-(1-AL28)^12)</f>
        <v>2.3155177920977987</v>
      </c>
      <c r="AO28" s="5">
        <f>B27-AJ28/1000000</f>
        <v>15.402554339999824</v>
      </c>
      <c r="AP28" s="4">
        <f>D27-AM28</f>
        <v>-1.551779209779891E-2</v>
      </c>
    </row>
    <row r="29" spans="1:42" x14ac:dyDescent="0.25">
      <c r="A29">
        <f>-175--150</f>
        <v>-25</v>
      </c>
      <c r="B29" s="2">
        <v>42642</v>
      </c>
      <c r="C29" s="2">
        <v>218712</v>
      </c>
      <c r="D29">
        <v>3</v>
      </c>
      <c r="F29">
        <v>3</v>
      </c>
      <c r="G29">
        <v>-150</v>
      </c>
      <c r="H29">
        <v>0.25379995132619498</v>
      </c>
      <c r="I29">
        <v>41838497999.694298</v>
      </c>
      <c r="J29">
        <f t="shared" si="0"/>
        <v>3.0034435205344434</v>
      </c>
      <c r="L29" s="3">
        <f t="shared" si="1"/>
        <v>803.50200030569977</v>
      </c>
      <c r="M29" s="4">
        <f t="shared" si="2"/>
        <v>-3.4435205344434117E-3</v>
      </c>
      <c r="P29">
        <v>-175</v>
      </c>
      <c r="Q29">
        <v>10616208671.26</v>
      </c>
      <c r="R29">
        <v>-184.16460245112501</v>
      </c>
      <c r="S29">
        <v>2.2376323455575498E-3</v>
      </c>
      <c r="T29">
        <f t="shared" si="3"/>
        <v>2.6523578720222596</v>
      </c>
      <c r="V29" s="5">
        <f t="shared" ref="V29:V46" si="6">B28-Q29/1000000</f>
        <v>117.79132874000061</v>
      </c>
      <c r="W29" s="4">
        <f t="shared" ref="W29:W46" si="7">D28-T29</f>
        <v>-5.23578720222595E-2</v>
      </c>
      <c r="Z29">
        <v>-175</v>
      </c>
      <c r="AA29">
        <v>10612765510</v>
      </c>
      <c r="AB29">
        <v>-184.16603534084501</v>
      </c>
      <c r="AC29">
        <v>2.2383568710357699E-3</v>
      </c>
      <c r="AD29">
        <f t="shared" si="4"/>
        <v>2.6532061369106352</v>
      </c>
      <c r="AF29" s="5">
        <f t="shared" ref="AF29:AF46" si="8">B28-AA29/1000000</f>
        <v>121.23449000000073</v>
      </c>
      <c r="AG29" s="4">
        <f t="shared" ref="AG29:AG46" si="9">D28-AD29</f>
        <v>-5.3206136910635138E-2</v>
      </c>
      <c r="AI29">
        <v>-175</v>
      </c>
      <c r="AJ29">
        <v>10611663179.790001</v>
      </c>
      <c r="AK29">
        <v>-184.166011480625</v>
      </c>
      <c r="AL29">
        <v>2.24236753908246E-3</v>
      </c>
      <c r="AM29">
        <f t="shared" si="5"/>
        <v>2.6579016516777743</v>
      </c>
      <c r="AO29" s="5">
        <f t="shared" ref="AO29:AO46" si="10">B28-AJ29/1000000</f>
        <v>122.33682020999913</v>
      </c>
      <c r="AP29" s="4">
        <f t="shared" ref="AP29:AP46" si="11">D28-AM29</f>
        <v>-5.7901651677774169E-2</v>
      </c>
    </row>
    <row r="30" spans="1:42" x14ac:dyDescent="0.25">
      <c r="A30">
        <f>-150--125</f>
        <v>-25</v>
      </c>
      <c r="B30" s="2">
        <v>135161</v>
      </c>
      <c r="C30" s="2">
        <v>668568</v>
      </c>
      <c r="D30">
        <v>3.1</v>
      </c>
      <c r="F30">
        <v>4</v>
      </c>
      <c r="G30">
        <v>-125</v>
      </c>
      <c r="H30">
        <v>0.260698401688159</v>
      </c>
      <c r="I30">
        <v>132269485773.481</v>
      </c>
      <c r="J30">
        <f t="shared" si="0"/>
        <v>3.0839123263144197</v>
      </c>
      <c r="L30" s="3">
        <f t="shared" si="1"/>
        <v>2891.5142265190079</v>
      </c>
      <c r="M30" s="4">
        <f t="shared" si="2"/>
        <v>1.6087673685580395E-2</v>
      </c>
      <c r="P30">
        <v>-150</v>
      </c>
      <c r="Q30">
        <v>42190619602.480003</v>
      </c>
      <c r="R30">
        <v>-159.88866849193701</v>
      </c>
      <c r="S30">
        <v>2.5262769986372701E-3</v>
      </c>
      <c r="T30">
        <f t="shared" si="3"/>
        <v>2.9897633957743475</v>
      </c>
      <c r="V30" s="5">
        <f t="shared" si="6"/>
        <v>451.38039751999895</v>
      </c>
      <c r="W30" s="4">
        <f t="shared" si="7"/>
        <v>1.0236604225652535E-2</v>
      </c>
      <c r="Z30">
        <v>-150</v>
      </c>
      <c r="AA30">
        <v>42098496648.129997</v>
      </c>
      <c r="AB30">
        <v>-159.895194635823</v>
      </c>
      <c r="AC30">
        <v>2.5314597994019702E-3</v>
      </c>
      <c r="AD30">
        <f t="shared" si="4"/>
        <v>2.9958119203467137</v>
      </c>
      <c r="AF30" s="5">
        <f t="shared" si="8"/>
        <v>543.50335187000019</v>
      </c>
      <c r="AG30" s="4">
        <f t="shared" si="9"/>
        <v>4.1880796532862696E-3</v>
      </c>
      <c r="AI30">
        <v>-150</v>
      </c>
      <c r="AJ30">
        <v>42093772321.489998</v>
      </c>
      <c r="AK30">
        <v>-159.89523614283101</v>
      </c>
      <c r="AL30">
        <v>2.5359302007747901E-3</v>
      </c>
      <c r="AM30">
        <f t="shared" si="5"/>
        <v>3.0010287701901617</v>
      </c>
      <c r="AO30" s="5">
        <f t="shared" si="10"/>
        <v>548.2276785100039</v>
      </c>
      <c r="AP30" s="4">
        <f t="shared" si="11"/>
        <v>-1.0287701901616764E-3</v>
      </c>
    </row>
    <row r="31" spans="1:42" x14ac:dyDescent="0.25">
      <c r="A31">
        <f>-125--100</f>
        <v>-25</v>
      </c>
      <c r="B31" s="2">
        <v>489214</v>
      </c>
      <c r="C31" s="2">
        <v>2277479</v>
      </c>
      <c r="D31">
        <v>3.1</v>
      </c>
      <c r="F31">
        <v>5</v>
      </c>
      <c r="G31">
        <v>-100</v>
      </c>
      <c r="H31">
        <v>0.26474088498229498</v>
      </c>
      <c r="I31">
        <v>481466572235.06097</v>
      </c>
      <c r="J31">
        <f t="shared" si="0"/>
        <v>3.1310385045567601</v>
      </c>
      <c r="L31" s="3">
        <f t="shared" si="1"/>
        <v>7747.4277649390278</v>
      </c>
      <c r="M31" s="4">
        <f t="shared" si="2"/>
        <v>-3.1038504556760049E-2</v>
      </c>
      <c r="P31">
        <v>-125</v>
      </c>
      <c r="Q31">
        <v>133795223393.39</v>
      </c>
      <c r="R31">
        <v>-135.06130846479201</v>
      </c>
      <c r="S31">
        <v>2.6357197133498101E-3</v>
      </c>
      <c r="T31">
        <f t="shared" si="3"/>
        <v>3.1174137843062666</v>
      </c>
      <c r="V31" s="5">
        <f t="shared" si="6"/>
        <v>1365.7766066099866</v>
      </c>
      <c r="W31" s="4">
        <f t="shared" si="7"/>
        <v>-1.74137843062665E-2</v>
      </c>
      <c r="Z31">
        <v>-125</v>
      </c>
      <c r="AA31">
        <v>132941559401.56</v>
      </c>
      <c r="AB31">
        <v>-135.07883146017701</v>
      </c>
      <c r="AC31">
        <v>2.6476985815006801E-3</v>
      </c>
      <c r="AD31">
        <f t="shared" si="4"/>
        <v>3.1313761900911508</v>
      </c>
      <c r="AF31" s="5">
        <f t="shared" si="8"/>
        <v>2219.4405984400073</v>
      </c>
      <c r="AG31" s="4">
        <f t="shared" si="9"/>
        <v>-3.1376190091150669E-2</v>
      </c>
      <c r="AI31">
        <v>-125</v>
      </c>
      <c r="AJ31">
        <v>132922149903.58</v>
      </c>
      <c r="AK31">
        <v>-135.078897560104</v>
      </c>
      <c r="AL31">
        <v>2.6523807641617501E-3</v>
      </c>
      <c r="AM31">
        <f t="shared" si="5"/>
        <v>3.1368331771077451</v>
      </c>
      <c r="AO31" s="5">
        <f t="shared" si="10"/>
        <v>2238.8500964200066</v>
      </c>
      <c r="AP31" s="4">
        <f t="shared" si="11"/>
        <v>-3.683317710774503E-2</v>
      </c>
    </row>
    <row r="32" spans="1:42" x14ac:dyDescent="0.25">
      <c r="A32">
        <f>-100--75</f>
        <v>-25</v>
      </c>
      <c r="B32" s="2">
        <v>1503649</v>
      </c>
      <c r="C32" s="2">
        <v>6763884</v>
      </c>
      <c r="D32">
        <v>3.5</v>
      </c>
      <c r="F32">
        <v>6</v>
      </c>
      <c r="G32">
        <v>-75</v>
      </c>
      <c r="H32">
        <v>0.30047624243041199</v>
      </c>
      <c r="I32">
        <v>1493209009878.8101</v>
      </c>
      <c r="J32">
        <f t="shared" si="0"/>
        <v>3.5467189851535852</v>
      </c>
      <c r="L32" s="3">
        <f t="shared" si="1"/>
        <v>10439.990121189971</v>
      </c>
      <c r="M32" s="4">
        <f t="shared" si="2"/>
        <v>-4.6718985153585191E-2</v>
      </c>
      <c r="P32">
        <v>-100</v>
      </c>
      <c r="Q32">
        <v>486404449946.87</v>
      </c>
      <c r="R32">
        <v>-110.054769903519</v>
      </c>
      <c r="S32">
        <v>2.6581862749636199E-3</v>
      </c>
      <c r="T32">
        <f t="shared" si="3"/>
        <v>3.1435989885141957</v>
      </c>
      <c r="V32" s="5">
        <f t="shared" si="6"/>
        <v>2809.5500531300204</v>
      </c>
      <c r="W32" s="4">
        <f t="shared" si="7"/>
        <v>-4.3598988514195636E-2</v>
      </c>
      <c r="Z32">
        <v>-100</v>
      </c>
      <c r="AA32">
        <v>482193666928.54999</v>
      </c>
      <c r="AB32">
        <v>-110.053799912174</v>
      </c>
      <c r="AC32">
        <v>2.6697398024946501E-3</v>
      </c>
      <c r="AD32">
        <f t="shared" si="4"/>
        <v>3.1570623181592206</v>
      </c>
      <c r="AF32" s="5">
        <f t="shared" si="8"/>
        <v>7020.3330714500044</v>
      </c>
      <c r="AG32" s="4">
        <f t="shared" si="9"/>
        <v>-5.7062318159220471E-2</v>
      </c>
      <c r="AI32">
        <v>-100</v>
      </c>
      <c r="AJ32">
        <v>482078020497</v>
      </c>
      <c r="AK32">
        <v>-110.053945941972</v>
      </c>
      <c r="AL32">
        <v>2.67473415386448E-3</v>
      </c>
      <c r="AM32">
        <f t="shared" si="5"/>
        <v>3.1628817064593084</v>
      </c>
      <c r="AO32" s="5">
        <f t="shared" si="10"/>
        <v>7135.9795029999805</v>
      </c>
      <c r="AP32" s="4">
        <f t="shared" si="11"/>
        <v>-6.2881706459308351E-2</v>
      </c>
    </row>
    <row r="33" spans="1:42" x14ac:dyDescent="0.25">
      <c r="A33">
        <f>-75--50</f>
        <v>-25</v>
      </c>
      <c r="B33" s="2">
        <v>3257299</v>
      </c>
      <c r="C33" s="2">
        <v>14581820</v>
      </c>
      <c r="D33">
        <v>4.4000000000000004</v>
      </c>
      <c r="F33">
        <v>7</v>
      </c>
      <c r="G33">
        <v>-50</v>
      </c>
      <c r="H33">
        <v>0.38707885521015001</v>
      </c>
      <c r="I33">
        <v>3214158744593.6802</v>
      </c>
      <c r="J33">
        <f t="shared" si="0"/>
        <v>4.5473233051477546</v>
      </c>
      <c r="L33" s="3">
        <f t="shared" si="1"/>
        <v>43140.255406319629</v>
      </c>
      <c r="M33" s="4">
        <f t="shared" si="2"/>
        <v>-0.14732330514775427</v>
      </c>
      <c r="P33">
        <v>-75</v>
      </c>
      <c r="Q33">
        <v>1511541647269.8799</v>
      </c>
      <c r="R33">
        <v>-85.912162325457302</v>
      </c>
      <c r="S33">
        <v>3.0254077343885399E-3</v>
      </c>
      <c r="T33">
        <f t="shared" si="3"/>
        <v>3.5706839676482027</v>
      </c>
      <c r="V33" s="5">
        <f t="shared" si="6"/>
        <v>-7892.6472698799334</v>
      </c>
      <c r="W33" s="4">
        <f t="shared" si="7"/>
        <v>-7.0683967648202728E-2</v>
      </c>
      <c r="Z33">
        <v>-75</v>
      </c>
      <c r="AA33">
        <v>1497893658870.8201</v>
      </c>
      <c r="AB33">
        <v>-85.916013510199804</v>
      </c>
      <c r="AC33">
        <v>3.0296675400386798E-3</v>
      </c>
      <c r="AD33">
        <f t="shared" si="4"/>
        <v>3.5756280514250394</v>
      </c>
      <c r="AF33" s="5">
        <f t="shared" si="8"/>
        <v>5755.3411291800439</v>
      </c>
      <c r="AG33" s="4">
        <f t="shared" si="9"/>
        <v>-7.5628051425039367E-2</v>
      </c>
      <c r="AI33">
        <v>-75</v>
      </c>
      <c r="AJ33" s="1">
        <v>1497378455166.3401</v>
      </c>
      <c r="AK33">
        <v>-85.916143066669605</v>
      </c>
      <c r="AL33">
        <v>3.0357050477812001E-3</v>
      </c>
      <c r="AM33">
        <f t="shared" si="5"/>
        <v>3.5826350021849085</v>
      </c>
      <c r="AO33" s="5">
        <f t="shared" si="10"/>
        <v>6270.5448336598929</v>
      </c>
      <c r="AP33" s="4">
        <f t="shared" si="11"/>
        <v>-8.263500218490849E-2</v>
      </c>
    </row>
    <row r="34" spans="1:42" x14ac:dyDescent="0.25">
      <c r="A34">
        <f>-50--25</f>
        <v>-25</v>
      </c>
      <c r="B34" s="2">
        <v>6150901</v>
      </c>
      <c r="C34" s="2">
        <v>27567046</v>
      </c>
      <c r="D34">
        <v>5.4</v>
      </c>
      <c r="F34">
        <v>8</v>
      </c>
      <c r="G34">
        <v>-25</v>
      </c>
      <c r="H34">
        <v>0.47999266148450598</v>
      </c>
      <c r="I34">
        <v>5900252406673.9004</v>
      </c>
      <c r="J34">
        <f t="shared" si="0"/>
        <v>5.6102594254829334</v>
      </c>
      <c r="L34" s="3">
        <f t="shared" si="1"/>
        <v>250648.59332609922</v>
      </c>
      <c r="M34" s="4">
        <f t="shared" si="2"/>
        <v>-0.21025942548293308</v>
      </c>
      <c r="P34">
        <v>-50</v>
      </c>
      <c r="Q34">
        <v>3324320248400.3901</v>
      </c>
      <c r="R34">
        <v>-61.133314255782203</v>
      </c>
      <c r="S34">
        <v>3.83147357997279E-3</v>
      </c>
      <c r="T34">
        <f t="shared" si="3"/>
        <v>4.5021058694928566</v>
      </c>
      <c r="V34" s="5">
        <f t="shared" si="6"/>
        <v>-67021.248400390148</v>
      </c>
      <c r="W34" s="4">
        <f t="shared" si="7"/>
        <v>-0.10210586949285627</v>
      </c>
      <c r="Z34">
        <v>-50</v>
      </c>
      <c r="AA34">
        <v>3303455231865.2998</v>
      </c>
      <c r="AB34">
        <v>-61.121630943600998</v>
      </c>
      <c r="AC34">
        <v>3.8341824976004801E-3</v>
      </c>
      <c r="AD34">
        <f t="shared" si="4"/>
        <v>4.5052221140178483</v>
      </c>
      <c r="AF34" s="5">
        <f t="shared" si="8"/>
        <v>-46156.231865299866</v>
      </c>
      <c r="AG34" s="4">
        <f t="shared" si="9"/>
        <v>-0.10522211401784798</v>
      </c>
      <c r="AI34">
        <v>-50</v>
      </c>
      <c r="AJ34" s="1">
        <v>3302107158604.3101</v>
      </c>
      <c r="AK34">
        <v>-61.121767778816498</v>
      </c>
      <c r="AL34">
        <v>3.8422082399035698E-3</v>
      </c>
      <c r="AM34">
        <f t="shared" si="5"/>
        <v>4.5144541013637296</v>
      </c>
      <c r="AO34" s="5">
        <f t="shared" si="10"/>
        <v>-44808.158604309894</v>
      </c>
      <c r="AP34" s="4">
        <f t="shared" si="11"/>
        <v>-0.11445410136372924</v>
      </c>
    </row>
    <row r="35" spans="1:42" x14ac:dyDescent="0.25">
      <c r="A35">
        <f>-25-0</f>
        <v>-25</v>
      </c>
      <c r="B35" s="2">
        <v>9088628</v>
      </c>
      <c r="C35" s="2">
        <v>41276215</v>
      </c>
      <c r="D35">
        <v>6.4</v>
      </c>
      <c r="F35">
        <v>9</v>
      </c>
      <c r="G35">
        <v>0</v>
      </c>
      <c r="H35">
        <v>0.57748643200725402</v>
      </c>
      <c r="I35">
        <v>8626260720675.6797</v>
      </c>
      <c r="J35">
        <f t="shared" si="0"/>
        <v>6.7139157534631178</v>
      </c>
      <c r="L35" s="3">
        <f t="shared" si="1"/>
        <v>462367.27932432108</v>
      </c>
      <c r="M35" s="4">
        <f t="shared" si="2"/>
        <v>-0.3139157534631174</v>
      </c>
      <c r="P35">
        <v>-25</v>
      </c>
      <c r="Q35">
        <v>6185296790866.2998</v>
      </c>
      <c r="R35">
        <v>-36.509833287127897</v>
      </c>
      <c r="S35">
        <v>4.7549134883737099E-3</v>
      </c>
      <c r="T35">
        <f t="shared" si="3"/>
        <v>5.5590154448338813</v>
      </c>
      <c r="V35" s="5">
        <f t="shared" si="6"/>
        <v>-34395.790866299532</v>
      </c>
      <c r="W35" s="4">
        <f t="shared" si="7"/>
        <v>-0.15901544483388097</v>
      </c>
      <c r="Z35">
        <v>-25</v>
      </c>
      <c r="AA35">
        <v>6159414402609.8799</v>
      </c>
      <c r="AB35">
        <v>-36.507270311050299</v>
      </c>
      <c r="AC35">
        <v>4.7579404463348202E-3</v>
      </c>
      <c r="AD35">
        <f t="shared" si="4"/>
        <v>5.5624622031692379</v>
      </c>
      <c r="AF35" s="5">
        <f t="shared" si="8"/>
        <v>-8513.4026098800823</v>
      </c>
      <c r="AG35" s="4">
        <f t="shared" si="9"/>
        <v>-0.16246220316923754</v>
      </c>
      <c r="AI35">
        <v>-25</v>
      </c>
      <c r="AJ35" s="1">
        <v>6156647503881.7598</v>
      </c>
      <c r="AK35">
        <v>-36.507333114674097</v>
      </c>
      <c r="AL35">
        <v>4.7681357070963101E-3</v>
      </c>
      <c r="AM35">
        <f t="shared" si="5"/>
        <v>5.5740705680188736</v>
      </c>
      <c r="AO35" s="5">
        <f t="shared" si="10"/>
        <v>-5746.5038817599416</v>
      </c>
      <c r="AP35" s="4">
        <f t="shared" si="11"/>
        <v>-0.17407056801887322</v>
      </c>
    </row>
    <row r="36" spans="1:42" x14ac:dyDescent="0.25">
      <c r="A36" t="s">
        <v>35</v>
      </c>
      <c r="B36" s="2">
        <v>10705627</v>
      </c>
      <c r="C36" s="2">
        <v>49878692</v>
      </c>
      <c r="D36" s="6">
        <v>8.5</v>
      </c>
      <c r="F36">
        <v>10</v>
      </c>
      <c r="G36">
        <v>25</v>
      </c>
      <c r="H36">
        <v>0.78016102347906402</v>
      </c>
      <c r="I36">
        <v>10043718928694.9</v>
      </c>
      <c r="J36">
        <f t="shared" si="0"/>
        <v>8.9704879784319296</v>
      </c>
      <c r="L36" s="3">
        <f t="shared" si="1"/>
        <v>661908.07130509987</v>
      </c>
      <c r="M36" s="4">
        <f t="shared" si="2"/>
        <v>-0.47048797843192958</v>
      </c>
      <c r="P36">
        <v>0</v>
      </c>
      <c r="Q36">
        <v>8903294431156.9004</v>
      </c>
      <c r="R36">
        <v>-11.936943875550799</v>
      </c>
      <c r="S36">
        <v>5.7492141044379998E-3</v>
      </c>
      <c r="T36">
        <f t="shared" si="3"/>
        <v>6.685031176130285</v>
      </c>
      <c r="V36" s="5">
        <f t="shared" si="6"/>
        <v>185333.56884310022</v>
      </c>
      <c r="W36" s="4">
        <f t="shared" si="7"/>
        <v>-0.28503117613028461</v>
      </c>
      <c r="Z36">
        <v>0</v>
      </c>
      <c r="AA36">
        <v>8868937901471.2305</v>
      </c>
      <c r="AB36">
        <v>-11.936179762759499</v>
      </c>
      <c r="AC36">
        <v>5.7446328491746303E-3</v>
      </c>
      <c r="AD36">
        <f t="shared" si="4"/>
        <v>6.6798713850723672</v>
      </c>
      <c r="AF36" s="5">
        <f t="shared" si="8"/>
        <v>219690.09852876887</v>
      </c>
      <c r="AG36" s="4">
        <f t="shared" si="9"/>
        <v>-0.27987138507236686</v>
      </c>
      <c r="AI36">
        <v>0</v>
      </c>
      <c r="AJ36" s="1">
        <v>8864818265184.6504</v>
      </c>
      <c r="AK36">
        <v>-11.936243391821501</v>
      </c>
      <c r="AL36">
        <v>5.7568156030293497E-3</v>
      </c>
      <c r="AM36">
        <f t="shared" si="5"/>
        <v>6.6935920396960835</v>
      </c>
      <c r="AO36" s="5">
        <f t="shared" si="10"/>
        <v>223809.7348153498</v>
      </c>
      <c r="AP36" s="4">
        <f t="shared" si="11"/>
        <v>-0.29359203969608316</v>
      </c>
    </row>
    <row r="37" spans="1:42" x14ac:dyDescent="0.25">
      <c r="A37" t="s">
        <v>36</v>
      </c>
      <c r="B37" s="2">
        <v>10719735</v>
      </c>
      <c r="C37" s="2">
        <v>51855917</v>
      </c>
      <c r="D37">
        <v>12.3</v>
      </c>
      <c r="F37">
        <v>11</v>
      </c>
      <c r="G37">
        <v>50</v>
      </c>
      <c r="H37">
        <v>1.11341334626438</v>
      </c>
      <c r="I37">
        <v>10337203900186.301</v>
      </c>
      <c r="J37">
        <f t="shared" si="0"/>
        <v>12.572384182715247</v>
      </c>
      <c r="L37" s="3">
        <f t="shared" si="1"/>
        <v>382531.09981369972</v>
      </c>
      <c r="M37" s="4">
        <f t="shared" si="2"/>
        <v>-0.27238418271524623</v>
      </c>
      <c r="P37">
        <v>25</v>
      </c>
      <c r="Q37">
        <v>10333928498966</v>
      </c>
      <c r="R37">
        <v>12.673527172459201</v>
      </c>
      <c r="S37">
        <v>7.73753784164187E-3</v>
      </c>
      <c r="T37">
        <f t="shared" si="3"/>
        <v>8.8999228490649998</v>
      </c>
      <c r="V37" s="5">
        <f t="shared" si="6"/>
        <v>371698.50103400089</v>
      </c>
      <c r="W37" s="4">
        <f t="shared" si="7"/>
        <v>-0.39992284906499975</v>
      </c>
      <c r="Z37">
        <v>25</v>
      </c>
      <c r="AA37">
        <v>10302802087390.699</v>
      </c>
      <c r="AB37">
        <v>12.674479818969999</v>
      </c>
      <c r="AC37">
        <v>7.7270301563875602E-3</v>
      </c>
      <c r="AD37" s="6">
        <f t="shared" si="4"/>
        <v>8.8883455892703189</v>
      </c>
      <c r="AF37" s="5">
        <f t="shared" si="8"/>
        <v>402824.91260930151</v>
      </c>
      <c r="AG37" s="4">
        <f t="shared" si="9"/>
        <v>-0.38834558927031892</v>
      </c>
      <c r="AI37">
        <v>25</v>
      </c>
      <c r="AJ37" s="1">
        <v>10297710599360.5</v>
      </c>
      <c r="AK37">
        <v>12.674376978881099</v>
      </c>
      <c r="AL37">
        <v>7.7433426048798496E-3</v>
      </c>
      <c r="AM37">
        <f t="shared" si="5"/>
        <v>8.9063178993825431</v>
      </c>
      <c r="AO37" s="5">
        <f t="shared" si="10"/>
        <v>407916.40063950047</v>
      </c>
      <c r="AP37" s="4">
        <f t="shared" si="11"/>
        <v>-0.40631789938254315</v>
      </c>
    </row>
    <row r="38" spans="1:42" x14ac:dyDescent="0.25">
      <c r="A38" t="s">
        <v>37</v>
      </c>
      <c r="B38" s="2">
        <v>8877237</v>
      </c>
      <c r="C38" s="2">
        <v>45246225</v>
      </c>
      <c r="D38">
        <v>16.5</v>
      </c>
      <c r="F38">
        <v>12</v>
      </c>
      <c r="G38">
        <v>75</v>
      </c>
      <c r="H38">
        <v>1.4928763879521301</v>
      </c>
      <c r="I38">
        <v>8722799889381.0996</v>
      </c>
      <c r="J38">
        <f t="shared" si="0"/>
        <v>16.514384120521875</v>
      </c>
      <c r="L38" s="3">
        <f t="shared" si="1"/>
        <v>154437.11061890051</v>
      </c>
      <c r="M38" s="4">
        <f t="shared" si="2"/>
        <v>-1.4384120521874877E-2</v>
      </c>
      <c r="P38">
        <v>50</v>
      </c>
      <c r="Q38">
        <v>10525353276439.801</v>
      </c>
      <c r="R38">
        <v>37.379971393050297</v>
      </c>
      <c r="S38">
        <v>1.1175368695569701E-2</v>
      </c>
      <c r="T38">
        <f t="shared" si="3"/>
        <v>12.616122426934339</v>
      </c>
      <c r="V38" s="5">
        <f t="shared" si="6"/>
        <v>194381.72356019914</v>
      </c>
      <c r="W38" s="4">
        <f t="shared" si="7"/>
        <v>-0.31612242693433856</v>
      </c>
      <c r="Z38">
        <v>50</v>
      </c>
      <c r="AA38">
        <v>10494804763986.801</v>
      </c>
      <c r="AB38">
        <v>37.379525172939601</v>
      </c>
      <c r="AC38">
        <v>1.11634329374977E-2</v>
      </c>
      <c r="AD38">
        <f t="shared" si="4"/>
        <v>12.603464222014772</v>
      </c>
      <c r="AF38" s="5">
        <f t="shared" si="8"/>
        <v>224930.23601320013</v>
      </c>
      <c r="AG38" s="4">
        <f t="shared" si="9"/>
        <v>-0.30346422201477097</v>
      </c>
      <c r="AI38">
        <v>50</v>
      </c>
      <c r="AJ38">
        <v>10489123904678.801</v>
      </c>
      <c r="AK38">
        <v>37.3794213807682</v>
      </c>
      <c r="AL38">
        <v>1.1187217875608399E-2</v>
      </c>
      <c r="AM38">
        <f t="shared" si="5"/>
        <v>12.628687151062657</v>
      </c>
      <c r="AO38" s="5">
        <f t="shared" si="10"/>
        <v>230611.09532119893</v>
      </c>
      <c r="AP38" s="4">
        <f t="shared" si="11"/>
        <v>-0.32868715106265611</v>
      </c>
    </row>
    <row r="39" spans="1:42" x14ac:dyDescent="0.25">
      <c r="A39" t="s">
        <v>38</v>
      </c>
      <c r="B39" s="2">
        <v>6833728</v>
      </c>
      <c r="C39" s="2">
        <v>36605481</v>
      </c>
      <c r="D39">
        <v>19.899999999999999</v>
      </c>
      <c r="F39">
        <v>13</v>
      </c>
      <c r="G39">
        <v>100</v>
      </c>
      <c r="H39">
        <v>1.83205518540474</v>
      </c>
      <c r="I39">
        <v>6764643194104.4805</v>
      </c>
      <c r="J39">
        <f t="shared" si="0"/>
        <v>19.899285960303569</v>
      </c>
      <c r="L39" s="3">
        <f t="shared" si="1"/>
        <v>69084.805895519443</v>
      </c>
      <c r="M39" s="4">
        <f t="shared" si="2"/>
        <v>7.1403969642958032E-4</v>
      </c>
      <c r="P39">
        <v>75</v>
      </c>
      <c r="Q39">
        <v>8870018673226.0098</v>
      </c>
      <c r="R39">
        <v>61.987305752777601</v>
      </c>
      <c r="S39">
        <v>1.50771433930958E-2</v>
      </c>
      <c r="T39">
        <f t="shared" si="3"/>
        <v>16.665162629586572</v>
      </c>
      <c r="V39" s="5">
        <f t="shared" si="6"/>
        <v>7218.3267739899457</v>
      </c>
      <c r="W39" s="4">
        <f t="shared" si="7"/>
        <v>-0.1651626295865718</v>
      </c>
      <c r="Z39">
        <v>75</v>
      </c>
      <c r="AA39">
        <v>8840218297978.2402</v>
      </c>
      <c r="AB39">
        <v>61.985130227966302</v>
      </c>
      <c r="AC39">
        <v>1.5066376433072501E-2</v>
      </c>
      <c r="AD39">
        <f t="shared" si="4"/>
        <v>16.654229994939652</v>
      </c>
      <c r="AF39" s="5">
        <f t="shared" si="8"/>
        <v>37018.702021759003</v>
      </c>
      <c r="AG39" s="4">
        <f t="shared" si="9"/>
        <v>-0.1542299949396515</v>
      </c>
      <c r="AI39">
        <v>75</v>
      </c>
      <c r="AJ39">
        <v>8835346852832.3906</v>
      </c>
      <c r="AK39">
        <v>61.985183816782303</v>
      </c>
      <c r="AL39">
        <v>1.50987237661347E-2</v>
      </c>
      <c r="AM39">
        <f t="shared" si="5"/>
        <v>16.687071108916196</v>
      </c>
      <c r="AO39" s="5">
        <f t="shared" si="10"/>
        <v>41890.147167610005</v>
      </c>
      <c r="AP39" s="4">
        <f t="shared" si="11"/>
        <v>-0.18707110891619649</v>
      </c>
    </row>
    <row r="40" spans="1:42" x14ac:dyDescent="0.25">
      <c r="A40" t="s">
        <v>39</v>
      </c>
      <c r="B40" s="2">
        <v>4828829</v>
      </c>
      <c r="C40" s="2">
        <v>26964786</v>
      </c>
      <c r="D40">
        <v>21.8</v>
      </c>
      <c r="F40">
        <v>14</v>
      </c>
      <c r="G40">
        <v>125</v>
      </c>
      <c r="H40">
        <v>2.0275335674649</v>
      </c>
      <c r="I40">
        <v>4828452170290.46</v>
      </c>
      <c r="J40">
        <f t="shared" si="0"/>
        <v>21.792483079473147</v>
      </c>
      <c r="L40" s="3">
        <f t="shared" si="1"/>
        <v>376.82970954012126</v>
      </c>
      <c r="M40" s="4">
        <f t="shared" si="2"/>
        <v>7.5169205268537098E-3</v>
      </c>
      <c r="P40">
        <v>100</v>
      </c>
      <c r="Q40">
        <v>6888062246353.2695</v>
      </c>
      <c r="R40">
        <v>86.947683459055099</v>
      </c>
      <c r="S40">
        <v>1.8361437047328899E-2</v>
      </c>
      <c r="T40">
        <f t="shared" si="3"/>
        <v>19.939309409253802</v>
      </c>
      <c r="V40" s="5">
        <f t="shared" si="6"/>
        <v>-54334.246353269555</v>
      </c>
      <c r="W40" s="4">
        <f t="shared" si="7"/>
        <v>-3.9309409253803551E-2</v>
      </c>
      <c r="Z40">
        <v>100</v>
      </c>
      <c r="AA40">
        <v>6856929973251.0303</v>
      </c>
      <c r="AB40">
        <v>86.945395747113295</v>
      </c>
      <c r="AC40">
        <v>1.8343865702009202E-2</v>
      </c>
      <c r="AD40">
        <f t="shared" si="4"/>
        <v>19.922110665040428</v>
      </c>
      <c r="AF40" s="5">
        <f t="shared" si="8"/>
        <v>-23201.973251029849</v>
      </c>
      <c r="AG40" s="4">
        <f t="shared" si="9"/>
        <v>-2.2110665040429467E-2</v>
      </c>
      <c r="AI40">
        <v>100</v>
      </c>
      <c r="AJ40" s="1">
        <v>6853093285749.2803</v>
      </c>
      <c r="AK40">
        <v>86.945358094656896</v>
      </c>
      <c r="AL40">
        <v>1.83838912751099E-2</v>
      </c>
      <c r="AM40">
        <f t="shared" si="5"/>
        <v>19.961282566001159</v>
      </c>
      <c r="AO40" s="5">
        <f t="shared" si="10"/>
        <v>-19365.285749279894</v>
      </c>
      <c r="AP40" s="4">
        <f t="shared" si="11"/>
        <v>-6.1282566001160887E-2</v>
      </c>
    </row>
    <row r="41" spans="1:42" x14ac:dyDescent="0.25">
      <c r="A41" t="s">
        <v>40</v>
      </c>
      <c r="B41" s="2">
        <v>3317619</v>
      </c>
      <c r="C41" s="2">
        <v>19081262</v>
      </c>
      <c r="D41">
        <v>24.4</v>
      </c>
      <c r="F41">
        <v>15</v>
      </c>
      <c r="G41">
        <v>150</v>
      </c>
      <c r="H41">
        <v>2.3083884193255102</v>
      </c>
      <c r="I41">
        <v>3336181163699.4702</v>
      </c>
      <c r="J41">
        <f t="shared" si="0"/>
        <v>24.440810870778527</v>
      </c>
      <c r="L41" s="3">
        <f t="shared" si="1"/>
        <v>-18562.163699469995</v>
      </c>
      <c r="M41" s="4">
        <f t="shared" si="2"/>
        <v>-4.0810870778528852E-2</v>
      </c>
      <c r="P41">
        <v>125</v>
      </c>
      <c r="Q41">
        <v>4879021571156.2998</v>
      </c>
      <c r="R41">
        <v>111.725889076158</v>
      </c>
      <c r="S41">
        <v>2.03023384166903E-2</v>
      </c>
      <c r="T41">
        <f t="shared" si="3"/>
        <v>21.818345414685847</v>
      </c>
      <c r="V41" s="5">
        <f t="shared" si="6"/>
        <v>-50192.571156299673</v>
      </c>
      <c r="W41" s="4">
        <f t="shared" si="7"/>
        <v>-1.8345414685846606E-2</v>
      </c>
      <c r="Z41">
        <v>125</v>
      </c>
      <c r="AA41">
        <v>4852453331468.2402</v>
      </c>
      <c r="AB41">
        <v>111.72614129463101</v>
      </c>
      <c r="AC41">
        <v>2.0278313007596398E-2</v>
      </c>
      <c r="AD41">
        <f t="shared" si="4"/>
        <v>21.795335055341212</v>
      </c>
      <c r="AF41" s="5">
        <f t="shared" si="8"/>
        <v>-23624.331468240358</v>
      </c>
      <c r="AG41" s="4">
        <f t="shared" si="9"/>
        <v>4.6649446587885279E-3</v>
      </c>
      <c r="AI41">
        <v>125</v>
      </c>
      <c r="AJ41" s="1">
        <v>4849780670448.9805</v>
      </c>
      <c r="AK41">
        <v>111.72619374329599</v>
      </c>
      <c r="AL41">
        <v>2.03229473139219E-2</v>
      </c>
      <c r="AM41">
        <f t="shared" si="5"/>
        <v>21.838078661105264</v>
      </c>
      <c r="AO41" s="5">
        <f t="shared" si="10"/>
        <v>-20951.670448980294</v>
      </c>
      <c r="AP41" s="4">
        <f t="shared" si="11"/>
        <v>-3.8078661105263478E-2</v>
      </c>
    </row>
    <row r="42" spans="1:42" x14ac:dyDescent="0.25">
      <c r="A42" t="s">
        <v>41</v>
      </c>
      <c r="B42" s="2">
        <v>1865115</v>
      </c>
      <c r="C42" s="2">
        <v>11142970</v>
      </c>
      <c r="D42">
        <v>25.6</v>
      </c>
      <c r="F42">
        <v>16</v>
      </c>
      <c r="G42">
        <v>175</v>
      </c>
      <c r="H42">
        <v>2.4237493342367502</v>
      </c>
      <c r="I42">
        <v>1908049179955.3</v>
      </c>
      <c r="J42">
        <f t="shared" si="0"/>
        <v>25.504589480401563</v>
      </c>
      <c r="L42" s="3">
        <f t="shared" si="1"/>
        <v>-42934.179955299944</v>
      </c>
      <c r="M42" s="4">
        <f t="shared" si="2"/>
        <v>9.541051959843827E-2</v>
      </c>
      <c r="P42">
        <v>150</v>
      </c>
      <c r="Q42">
        <v>3352787995913.5898</v>
      </c>
      <c r="R42">
        <v>136.56335152493099</v>
      </c>
      <c r="S42">
        <v>2.30817073288146E-2</v>
      </c>
      <c r="T42">
        <f t="shared" si="3"/>
        <v>24.438790421425828</v>
      </c>
      <c r="V42" s="5">
        <f t="shared" si="6"/>
        <v>-35168.995913589839</v>
      </c>
      <c r="W42" s="4">
        <f t="shared" si="7"/>
        <v>-3.8790421425829891E-2</v>
      </c>
      <c r="Z42">
        <v>150</v>
      </c>
      <c r="AA42">
        <v>3335244883918.6802</v>
      </c>
      <c r="AB42">
        <v>136.564126835591</v>
      </c>
      <c r="AC42">
        <v>2.3047206211291801E-2</v>
      </c>
      <c r="AD42">
        <f t="shared" si="4"/>
        <v>24.406761712908352</v>
      </c>
      <c r="AF42" s="5">
        <f t="shared" si="8"/>
        <v>-17625.883918680251</v>
      </c>
      <c r="AG42" s="4">
        <f t="shared" si="9"/>
        <v>-6.7617129083537009E-3</v>
      </c>
      <c r="AI42">
        <v>150</v>
      </c>
      <c r="AJ42" s="1">
        <v>3333380899343.1001</v>
      </c>
      <c r="AK42">
        <v>136.56406005788801</v>
      </c>
      <c r="AL42">
        <v>2.30981933749622E-2</v>
      </c>
      <c r="AM42">
        <f t="shared" si="5"/>
        <v>24.454090656661698</v>
      </c>
      <c r="AO42" s="5">
        <f t="shared" si="10"/>
        <v>-15761.899343099911</v>
      </c>
      <c r="AP42" s="4">
        <f t="shared" si="11"/>
        <v>-5.4090656661699654E-2</v>
      </c>
    </row>
    <row r="43" spans="1:42" x14ac:dyDescent="0.25">
      <c r="A43" t="s">
        <v>42</v>
      </c>
      <c r="B43" s="2">
        <v>899765</v>
      </c>
      <c r="C43" s="2">
        <v>5607049</v>
      </c>
      <c r="D43">
        <v>26.5</v>
      </c>
      <c r="F43">
        <v>17</v>
      </c>
      <c r="G43">
        <v>200</v>
      </c>
      <c r="H43">
        <v>2.5076068566049101</v>
      </c>
      <c r="I43">
        <v>932288699835.36401</v>
      </c>
      <c r="J43">
        <f t="shared" si="0"/>
        <v>26.269229285509187</v>
      </c>
      <c r="L43" s="3">
        <f t="shared" si="1"/>
        <v>-32523.699835364008</v>
      </c>
      <c r="M43" s="4">
        <f t="shared" si="2"/>
        <v>0.23077071449081288</v>
      </c>
      <c r="P43">
        <v>175</v>
      </c>
      <c r="Q43">
        <v>1881330019655.3501</v>
      </c>
      <c r="R43">
        <v>160.929926564097</v>
      </c>
      <c r="S43">
        <v>2.4384768669705199E-2</v>
      </c>
      <c r="T43">
        <f t="shared" si="3"/>
        <v>25.639403836830443</v>
      </c>
      <c r="V43" s="5">
        <f t="shared" si="6"/>
        <v>-16215.01965535013</v>
      </c>
      <c r="W43" s="4">
        <f t="shared" si="7"/>
        <v>-3.9403836830441463E-2</v>
      </c>
      <c r="Z43">
        <v>175</v>
      </c>
      <c r="AA43">
        <v>1872564330744.29</v>
      </c>
      <c r="AB43">
        <v>160.93283329645399</v>
      </c>
      <c r="AC43">
        <v>2.43687467727585E-2</v>
      </c>
      <c r="AD43">
        <f t="shared" si="4"/>
        <v>25.624748402350093</v>
      </c>
      <c r="AF43" s="5">
        <f t="shared" si="8"/>
        <v>-7449.3307442900259</v>
      </c>
      <c r="AG43" s="4">
        <f t="shared" si="9"/>
        <v>-2.4748402350091681E-2</v>
      </c>
      <c r="AI43">
        <v>175</v>
      </c>
      <c r="AJ43" s="1">
        <v>1871517404762.1001</v>
      </c>
      <c r="AK43">
        <v>160.93287322851501</v>
      </c>
      <c r="AL43">
        <v>2.4422692757405599E-2</v>
      </c>
      <c r="AM43">
        <f t="shared" si="5"/>
        <v>25.674082937868882</v>
      </c>
      <c r="AO43" s="5">
        <f t="shared" si="10"/>
        <v>-6402.4047621001955</v>
      </c>
      <c r="AP43" s="4">
        <f t="shared" si="11"/>
        <v>-7.4082937868880094E-2</v>
      </c>
    </row>
    <row r="44" spans="1:42" x14ac:dyDescent="0.25">
      <c r="A44" t="s">
        <v>43</v>
      </c>
      <c r="B44" s="2">
        <v>339032</v>
      </c>
      <c r="C44" s="2">
        <v>2225196</v>
      </c>
      <c r="D44">
        <v>26.6</v>
      </c>
      <c r="F44">
        <v>18</v>
      </c>
      <c r="G44">
        <v>225</v>
      </c>
      <c r="H44">
        <v>2.4667682522885701</v>
      </c>
      <c r="I44">
        <v>372707187413.12299</v>
      </c>
      <c r="J44">
        <f t="shared" si="0"/>
        <v>25.897753086123132</v>
      </c>
      <c r="L44" s="3">
        <f t="shared" si="1"/>
        <v>-33675.187413122971</v>
      </c>
      <c r="M44" s="4">
        <f t="shared" si="2"/>
        <v>0.70224691387686988</v>
      </c>
      <c r="P44">
        <v>200</v>
      </c>
      <c r="Q44">
        <v>906387367428.57996</v>
      </c>
      <c r="R44">
        <v>185.72637486535001</v>
      </c>
      <c r="S44">
        <v>2.5372397934043701E-2</v>
      </c>
      <c r="T44">
        <f t="shared" si="3"/>
        <v>26.537706904823722</v>
      </c>
      <c r="V44" s="5">
        <f t="shared" si="6"/>
        <v>-6622.3674285799498</v>
      </c>
      <c r="W44" s="4">
        <f t="shared" si="7"/>
        <v>-3.7706904823721743E-2</v>
      </c>
      <c r="Z44">
        <v>200</v>
      </c>
      <c r="AA44">
        <v>902334298785</v>
      </c>
      <c r="AB44">
        <v>185.72490183504101</v>
      </c>
      <c r="AC44">
        <v>2.5375107185750201E-2</v>
      </c>
      <c r="AD44">
        <f t="shared" si="4"/>
        <v>26.540157376773955</v>
      </c>
      <c r="AF44" s="5">
        <f t="shared" si="8"/>
        <v>-2569.2987849999918</v>
      </c>
      <c r="AG44" s="4">
        <f t="shared" si="9"/>
        <v>-4.0157376773954923E-2</v>
      </c>
      <c r="AI44">
        <v>200</v>
      </c>
      <c r="AJ44" s="1">
        <v>901818058302.21997</v>
      </c>
      <c r="AK44">
        <v>185.72485744611899</v>
      </c>
      <c r="AL44">
        <v>2.5431571845076301E-2</v>
      </c>
      <c r="AM44">
        <f t="shared" si="5"/>
        <v>26.591211647027137</v>
      </c>
      <c r="AO44" s="5">
        <f t="shared" si="10"/>
        <v>-2053.0583022199571</v>
      </c>
      <c r="AP44" s="4">
        <f t="shared" si="11"/>
        <v>-9.1211647027137133E-2</v>
      </c>
    </row>
    <row r="45" spans="1:42" x14ac:dyDescent="0.25">
      <c r="A45" t="s">
        <v>44</v>
      </c>
      <c r="B45" s="2">
        <v>118614</v>
      </c>
      <c r="C45" s="2">
        <v>816061</v>
      </c>
      <c r="D45">
        <v>26.7</v>
      </c>
      <c r="F45">
        <v>19</v>
      </c>
      <c r="G45">
        <v>250</v>
      </c>
      <c r="H45">
        <v>2.1318445411525402</v>
      </c>
      <c r="I45">
        <v>293713793434.35999</v>
      </c>
      <c r="J45">
        <f t="shared" si="0"/>
        <v>22.785860140619739</v>
      </c>
      <c r="L45" s="3">
        <f t="shared" si="1"/>
        <v>-175099.79343436001</v>
      </c>
      <c r="M45" s="4">
        <f t="shared" si="2"/>
        <v>3.9141398593802599</v>
      </c>
      <c r="P45">
        <v>225</v>
      </c>
      <c r="Q45">
        <v>341616745311.98999</v>
      </c>
      <c r="R45">
        <v>210.23235503028201</v>
      </c>
      <c r="S45">
        <v>2.5474403242720201E-2</v>
      </c>
      <c r="T45">
        <f t="shared" si="3"/>
        <v>26.62991728544598</v>
      </c>
      <c r="V45" s="5">
        <f t="shared" si="6"/>
        <v>-2584.7453119899728</v>
      </c>
      <c r="W45" s="4">
        <f t="shared" si="7"/>
        <v>-2.9917285445979047E-2</v>
      </c>
      <c r="Z45">
        <v>225</v>
      </c>
      <c r="AA45">
        <v>339803082345.66998</v>
      </c>
      <c r="AB45">
        <v>210.230466065005</v>
      </c>
      <c r="AC45">
        <v>2.5472588219515199E-2</v>
      </c>
      <c r="AD45">
        <f t="shared" si="4"/>
        <v>26.628277475052997</v>
      </c>
      <c r="AF45" s="5">
        <f t="shared" si="8"/>
        <v>-771.08234566997271</v>
      </c>
      <c r="AG45" s="4">
        <f t="shared" si="9"/>
        <v>-2.8277475052995271E-2</v>
      </c>
      <c r="AI45">
        <v>225</v>
      </c>
      <c r="AJ45" s="1">
        <v>339595124746.25</v>
      </c>
      <c r="AK45">
        <v>210.230444862958</v>
      </c>
      <c r="AL45">
        <v>2.5530922740091101E-2</v>
      </c>
      <c r="AM45">
        <f t="shared" si="5"/>
        <v>26.680963879125464</v>
      </c>
      <c r="AO45" s="5">
        <f t="shared" si="10"/>
        <v>-563.12474624998868</v>
      </c>
      <c r="AP45" s="4">
        <f t="shared" si="11"/>
        <v>-8.0963879125462768E-2</v>
      </c>
    </row>
    <row r="46" spans="1:42" x14ac:dyDescent="0.25">
      <c r="A46" t="s">
        <v>50</v>
      </c>
      <c r="B46" s="2">
        <v>53721</v>
      </c>
      <c r="C46" s="2">
        <v>392469</v>
      </c>
      <c r="D46">
        <v>26.7</v>
      </c>
      <c r="P46">
        <v>250</v>
      </c>
      <c r="Q46">
        <v>119424251472.67</v>
      </c>
      <c r="R46">
        <v>235.31199052436099</v>
      </c>
      <c r="S46">
        <v>2.5666733773698099E-2</v>
      </c>
      <c r="T46">
        <f t="shared" si="3"/>
        <v>26.803490967130315</v>
      </c>
      <c r="V46" s="5">
        <f t="shared" si="6"/>
        <v>-810.25147267000284</v>
      </c>
      <c r="W46" s="4">
        <f t="shared" si="7"/>
        <v>-0.10349096713031614</v>
      </c>
      <c r="Z46">
        <v>250</v>
      </c>
      <c r="AA46">
        <v>118720804703.19</v>
      </c>
      <c r="AB46">
        <v>235.313703081254</v>
      </c>
      <c r="AC46">
        <v>2.56370438455275E-2</v>
      </c>
      <c r="AD46">
        <f t="shared" si="4"/>
        <v>26.77672111215902</v>
      </c>
      <c r="AF46" s="5">
        <f t="shared" si="8"/>
        <v>-106.80470319000597</v>
      </c>
      <c r="AG46" s="4">
        <f t="shared" si="9"/>
        <v>-7.6721112159020777E-2</v>
      </c>
      <c r="AI46">
        <v>250</v>
      </c>
      <c r="AJ46" s="1">
        <v>118640112092.50999</v>
      </c>
      <c r="AK46">
        <v>235.313678604796</v>
      </c>
      <c r="AL46">
        <v>2.5698357501634201E-2</v>
      </c>
      <c r="AM46">
        <f t="shared" si="5"/>
        <v>26.831994561146733</v>
      </c>
      <c r="AO46" s="5">
        <f t="shared" si="10"/>
        <v>-26.112092509996728</v>
      </c>
      <c r="AP46" s="4">
        <f t="shared" si="11"/>
        <v>-0.13199456114673325</v>
      </c>
    </row>
    <row r="47" spans="1:42" x14ac:dyDescent="0.25">
      <c r="P47">
        <v>275</v>
      </c>
      <c r="Q47">
        <v>38810567322.860001</v>
      </c>
      <c r="R47">
        <v>260.04103484779898</v>
      </c>
      <c r="S47">
        <v>2.5567049822691899E-2</v>
      </c>
      <c r="T47">
        <f t="shared" si="3"/>
        <v>26.713575641558794</v>
      </c>
      <c r="Z47">
        <v>275</v>
      </c>
      <c r="AA47">
        <v>38648231179.720001</v>
      </c>
      <c r="AB47">
        <v>260.04378006796497</v>
      </c>
      <c r="AC47">
        <v>2.5547199451875401E-2</v>
      </c>
      <c r="AD47">
        <f t="shared" si="4"/>
        <v>26.695658443203506</v>
      </c>
      <c r="AI47">
        <v>275</v>
      </c>
      <c r="AJ47" s="1">
        <v>38619044075.849998</v>
      </c>
      <c r="AK47">
        <v>260.04327202292598</v>
      </c>
      <c r="AL47">
        <v>2.56112590530389E-2</v>
      </c>
      <c r="AM47">
        <f t="shared" si="5"/>
        <v>26.753465032504288</v>
      </c>
    </row>
    <row r="48" spans="1:42" x14ac:dyDescent="0.25">
      <c r="P48">
        <v>300</v>
      </c>
      <c r="Q48">
        <v>11206644303.25</v>
      </c>
      <c r="R48">
        <v>284.70873796551302</v>
      </c>
      <c r="S48">
        <v>2.6152778995136201E-2</v>
      </c>
      <c r="T48">
        <f t="shared" si="3"/>
        <v>27.240458880749685</v>
      </c>
      <c r="Z48">
        <v>300</v>
      </c>
      <c r="AA48">
        <v>11167436386</v>
      </c>
      <c r="AB48">
        <v>284.71136630282598</v>
      </c>
      <c r="AC48">
        <v>2.60857284475065E-2</v>
      </c>
      <c r="AD48">
        <f t="shared" si="4"/>
        <v>27.180321132409002</v>
      </c>
      <c r="AI48">
        <v>300</v>
      </c>
      <c r="AJ48" s="1">
        <v>11157547897.26</v>
      </c>
      <c r="AK48">
        <v>284.71128917148599</v>
      </c>
      <c r="AL48">
        <v>2.61558889045925E-2</v>
      </c>
      <c r="AM48">
        <f t="shared" si="5"/>
        <v>27.243247058679685</v>
      </c>
    </row>
    <row r="49" spans="1:39" x14ac:dyDescent="0.25">
      <c r="P49">
        <v>350</v>
      </c>
      <c r="Q49">
        <v>3433340359.75</v>
      </c>
      <c r="R49">
        <v>314.29954599299202</v>
      </c>
      <c r="S49">
        <v>2.64884729537045E-2</v>
      </c>
      <c r="T49">
        <f t="shared" si="3"/>
        <v>27.540859400917117</v>
      </c>
      <c r="Z49">
        <v>350</v>
      </c>
      <c r="AA49">
        <v>3421061275.5500002</v>
      </c>
      <c r="AB49">
        <v>314.29466560141202</v>
      </c>
      <c r="AC49">
        <v>2.6501328031759398E-2</v>
      </c>
      <c r="AD49">
        <f t="shared" si="4"/>
        <v>27.552340315965651</v>
      </c>
      <c r="AI49">
        <v>350</v>
      </c>
      <c r="AJ49">
        <v>3417909704.6399999</v>
      </c>
      <c r="AK49">
        <v>314.29499520026098</v>
      </c>
      <c r="AL49">
        <v>2.6572146469604201E-2</v>
      </c>
      <c r="AM49">
        <f t="shared" si="5"/>
        <v>27.615558618450276</v>
      </c>
    </row>
    <row r="50" spans="1:39" x14ac:dyDescent="0.25">
      <c r="P50">
        <v>400</v>
      </c>
      <c r="Q50">
        <v>223202051.34999999</v>
      </c>
      <c r="R50">
        <v>366.94731562229902</v>
      </c>
      <c r="S50">
        <v>3.5295358632912402E-2</v>
      </c>
      <c r="T50">
        <f t="shared" si="3"/>
        <v>35.027075392810346</v>
      </c>
      <c r="Z50">
        <v>400</v>
      </c>
      <c r="AA50">
        <v>221549692.36000001</v>
      </c>
      <c r="AB50">
        <v>367.00412685502698</v>
      </c>
      <c r="AC50">
        <v>3.5551786626728199E-2</v>
      </c>
      <c r="AD50">
        <f t="shared" si="4"/>
        <v>35.234017996295528</v>
      </c>
      <c r="AI50">
        <v>400</v>
      </c>
      <c r="AJ50">
        <v>221387401.31999999</v>
      </c>
      <c r="AK50">
        <v>367.004981507043</v>
      </c>
      <c r="AL50">
        <v>3.5622333581609697E-2</v>
      </c>
      <c r="AM50">
        <f t="shared" si="5"/>
        <v>35.290844749893459</v>
      </c>
    </row>
    <row r="51" spans="1:39" x14ac:dyDescent="0.25">
      <c r="P51">
        <v>450</v>
      </c>
      <c r="Q51">
        <v>61866769.149999999</v>
      </c>
      <c r="R51">
        <v>422.82242900788498</v>
      </c>
      <c r="S51">
        <v>2.22892937346801E-2</v>
      </c>
      <c r="T51">
        <f t="shared" si="3"/>
        <v>23.700015347044211</v>
      </c>
      <c r="Z51">
        <v>450</v>
      </c>
      <c r="AA51">
        <v>61866769.149999999</v>
      </c>
      <c r="AB51">
        <v>422.82242900788498</v>
      </c>
      <c r="AC51">
        <v>2.22892937346801E-2</v>
      </c>
      <c r="AD51">
        <f t="shared" si="4"/>
        <v>23.700015347044211</v>
      </c>
      <c r="AI51">
        <v>450</v>
      </c>
      <c r="AJ51">
        <v>61849725.829999998</v>
      </c>
      <c r="AK51">
        <v>422.82253968067101</v>
      </c>
      <c r="AL51">
        <v>2.2324544392897501E-2</v>
      </c>
      <c r="AM51">
        <f t="shared" si="5"/>
        <v>23.733020096352998</v>
      </c>
    </row>
    <row r="52" spans="1:39" x14ac:dyDescent="0.25">
      <c r="P52">
        <v>500</v>
      </c>
      <c r="Q52">
        <v>38645344.460000001</v>
      </c>
      <c r="R52">
        <v>486.25744275305902</v>
      </c>
      <c r="S52">
        <v>4.2619452692542997E-2</v>
      </c>
      <c r="T52">
        <f t="shared" si="3"/>
        <v>40.705394025252062</v>
      </c>
      <c r="Z52">
        <v>500</v>
      </c>
      <c r="AA52">
        <v>38645344.460000001</v>
      </c>
      <c r="AB52">
        <v>486.25744275305902</v>
      </c>
      <c r="AC52">
        <v>4.2619452692542997E-2</v>
      </c>
      <c r="AD52">
        <f t="shared" si="4"/>
        <v>40.705394025252062</v>
      </c>
      <c r="AI52">
        <v>500</v>
      </c>
      <c r="AJ52">
        <v>38591946.869999997</v>
      </c>
      <c r="AK52">
        <v>486.18437959268698</v>
      </c>
      <c r="AL52">
        <v>4.2678291501074397E-2</v>
      </c>
      <c r="AM52">
        <f t="shared" si="5"/>
        <v>40.749108866897899</v>
      </c>
    </row>
    <row r="54" spans="1:39" x14ac:dyDescent="0.25">
      <c r="A54" t="s">
        <v>56</v>
      </c>
      <c r="F54" t="s">
        <v>59</v>
      </c>
    </row>
    <row r="55" spans="1:39" x14ac:dyDescent="0.25">
      <c r="A55" t="s">
        <v>45</v>
      </c>
      <c r="B55" t="s">
        <v>46</v>
      </c>
      <c r="C55" t="s">
        <v>47</v>
      </c>
      <c r="D55" t="s">
        <v>48</v>
      </c>
      <c r="F55" t="s">
        <v>52</v>
      </c>
      <c r="G55" t="s">
        <v>31</v>
      </c>
      <c r="H55" t="s">
        <v>58</v>
      </c>
      <c r="I55" t="s">
        <v>17</v>
      </c>
      <c r="J55" t="s">
        <v>54</v>
      </c>
      <c r="K55" t="s">
        <v>51</v>
      </c>
      <c r="L55" t="s">
        <v>31</v>
      </c>
      <c r="M55" t="s">
        <v>51</v>
      </c>
    </row>
    <row r="56" spans="1:39" x14ac:dyDescent="0.25">
      <c r="F56">
        <v>-250</v>
      </c>
      <c r="G56" s="1">
        <v>3647894.28</v>
      </c>
      <c r="H56">
        <v>27</v>
      </c>
      <c r="I56">
        <v>-256.99693497301598</v>
      </c>
      <c r="J56">
        <v>3.9868917091686999E-4</v>
      </c>
      <c r="K56" s="7">
        <v>0.47737930789032401</v>
      </c>
    </row>
    <row r="57" spans="1:39" x14ac:dyDescent="0.25">
      <c r="A57" t="s">
        <v>49</v>
      </c>
      <c r="B57" s="2">
        <v>1415</v>
      </c>
      <c r="C57" s="2">
        <v>8730</v>
      </c>
      <c r="D57">
        <v>2.2999999999999998</v>
      </c>
      <c r="F57">
        <v>-200</v>
      </c>
      <c r="G57">
        <v>1414424677.55</v>
      </c>
      <c r="H57">
        <v>8705</v>
      </c>
      <c r="I57">
        <v>-209.99274041315101</v>
      </c>
      <c r="J57">
        <v>1.9331725323171399E-3</v>
      </c>
      <c r="K57" s="7">
        <v>2.2953000602014</v>
      </c>
      <c r="L57" s="5">
        <f>B57-G57/1000000</f>
        <v>0.57532245000015791</v>
      </c>
      <c r="M57" s="4">
        <f>D57-K57</f>
        <v>4.6999397985998392E-3</v>
      </c>
    </row>
    <row r="58" spans="1:39" x14ac:dyDescent="0.25">
      <c r="A58">
        <f>-200--175</f>
        <v>-25</v>
      </c>
      <c r="B58" s="2">
        <v>10720</v>
      </c>
      <c r="C58" s="2">
        <v>57173</v>
      </c>
      <c r="D58">
        <v>2.6</v>
      </c>
      <c r="F58">
        <v>-175</v>
      </c>
      <c r="G58">
        <v>10738057956.25</v>
      </c>
      <c r="H58">
        <v>57171</v>
      </c>
      <c r="I58">
        <v>-184.15986290795601</v>
      </c>
      <c r="J58">
        <v>2.2174092388306402E-3</v>
      </c>
      <c r="K58" s="7">
        <v>2.628678190819</v>
      </c>
      <c r="L58" s="5">
        <f t="shared" ref="L58:L81" si="12">B58-G58/1000000</f>
        <v>-18.057956250000643</v>
      </c>
      <c r="M58" s="4">
        <f t="shared" ref="M58:M81" si="13">D58-K58</f>
        <v>-2.8678190818999916E-2</v>
      </c>
    </row>
    <row r="59" spans="1:39" x14ac:dyDescent="0.25">
      <c r="A59">
        <f>-175--150</f>
        <v>-25</v>
      </c>
      <c r="B59" s="2">
        <v>42582</v>
      </c>
      <c r="C59" s="2">
        <v>218433</v>
      </c>
      <c r="D59">
        <v>3</v>
      </c>
      <c r="F59">
        <v>-150</v>
      </c>
      <c r="G59">
        <v>42652190052.730003</v>
      </c>
      <c r="H59">
        <v>218433</v>
      </c>
      <c r="I59">
        <v>-159.89258768533199</v>
      </c>
      <c r="J59">
        <v>2.50466260349605E-3</v>
      </c>
      <c r="K59" s="7">
        <v>2.9645348514348702</v>
      </c>
      <c r="L59" s="5">
        <f t="shared" si="12"/>
        <v>-70.190052730002208</v>
      </c>
      <c r="M59" s="4">
        <f t="shared" si="13"/>
        <v>3.5465148565129834E-2</v>
      </c>
    </row>
    <row r="60" spans="1:39" x14ac:dyDescent="0.25">
      <c r="A60">
        <f>-150--125</f>
        <v>-25</v>
      </c>
      <c r="B60" s="2">
        <v>135084</v>
      </c>
      <c r="C60" s="2">
        <v>668627</v>
      </c>
      <c r="D60">
        <v>3.1</v>
      </c>
      <c r="F60">
        <v>-125</v>
      </c>
      <c r="G60" s="1">
        <v>135303312190.50999</v>
      </c>
      <c r="H60">
        <v>668627</v>
      </c>
      <c r="I60">
        <v>-135.04538014341699</v>
      </c>
      <c r="J60">
        <v>2.6171657332023398E-3</v>
      </c>
      <c r="K60" s="7">
        <v>3.0957838757783298</v>
      </c>
      <c r="L60" s="5">
        <f t="shared" si="12"/>
        <v>-219.31219050998334</v>
      </c>
      <c r="M60" s="4">
        <f t="shared" si="13"/>
        <v>4.216124221670281E-3</v>
      </c>
    </row>
    <row r="61" spans="1:39" x14ac:dyDescent="0.25">
      <c r="A61">
        <f>-125--100</f>
        <v>-25</v>
      </c>
      <c r="B61" s="2">
        <v>491203</v>
      </c>
      <c r="C61" s="2">
        <v>2288123</v>
      </c>
      <c r="D61">
        <v>3.1</v>
      </c>
      <c r="F61">
        <v>-100</v>
      </c>
      <c r="G61" s="1">
        <v>492004031140.31</v>
      </c>
      <c r="H61">
        <v>2288123</v>
      </c>
      <c r="I61">
        <v>-110.05204041019699</v>
      </c>
      <c r="J61">
        <v>2.6325935347376699E-3</v>
      </c>
      <c r="K61" s="7">
        <v>3.1137696495042202</v>
      </c>
      <c r="L61" s="5">
        <f t="shared" si="12"/>
        <v>-801.03114030999132</v>
      </c>
      <c r="M61" s="4">
        <f t="shared" si="13"/>
        <v>-1.3769649504220105E-2</v>
      </c>
    </row>
    <row r="62" spans="1:39" x14ac:dyDescent="0.25">
      <c r="A62">
        <f>-100--75</f>
        <v>-25</v>
      </c>
      <c r="B62" s="2">
        <v>1525975</v>
      </c>
      <c r="C62" s="2">
        <v>6863136</v>
      </c>
      <c r="D62">
        <v>3.5</v>
      </c>
      <c r="F62">
        <v>-75</v>
      </c>
      <c r="G62" s="1">
        <v>1528491866342.3601</v>
      </c>
      <c r="H62">
        <v>6863136</v>
      </c>
      <c r="I62">
        <v>-85.905722963084003</v>
      </c>
      <c r="J62">
        <v>2.9859844929435802E-3</v>
      </c>
      <c r="K62" s="7">
        <v>3.5249169064051</v>
      </c>
      <c r="L62" s="5">
        <f t="shared" si="12"/>
        <v>-2516.8663423601538</v>
      </c>
      <c r="M62" s="4">
        <f t="shared" si="13"/>
        <v>-2.4916906405100026E-2</v>
      </c>
    </row>
    <row r="63" spans="1:39" x14ac:dyDescent="0.25">
      <c r="A63">
        <f>-75--50</f>
        <v>-25</v>
      </c>
      <c r="B63" s="2">
        <v>3380110</v>
      </c>
      <c r="C63" s="2">
        <v>15108720</v>
      </c>
      <c r="D63">
        <v>4.4000000000000004</v>
      </c>
      <c r="F63">
        <v>-50</v>
      </c>
      <c r="G63" s="1">
        <v>3385800940538.9102</v>
      </c>
      <c r="H63">
        <v>15108721</v>
      </c>
      <c r="I63">
        <v>-61.110057155078202</v>
      </c>
      <c r="J63">
        <v>3.76276437977213E-3</v>
      </c>
      <c r="K63" s="7">
        <v>4.4230340238542496</v>
      </c>
      <c r="L63" s="5">
        <f t="shared" si="12"/>
        <v>-5690.9405389102176</v>
      </c>
      <c r="M63" s="4">
        <f t="shared" si="13"/>
        <v>-2.3034023854249241E-2</v>
      </c>
    </row>
    <row r="64" spans="1:39" x14ac:dyDescent="0.25">
      <c r="A64">
        <f>-50--25</f>
        <v>-25</v>
      </c>
      <c r="B64" s="2">
        <v>6368738</v>
      </c>
      <c r="C64" s="2">
        <v>28519064</v>
      </c>
      <c r="D64">
        <v>5.4</v>
      </c>
      <c r="F64">
        <v>-25</v>
      </c>
      <c r="G64">
        <v>6379496976819.9902</v>
      </c>
      <c r="H64">
        <v>28519004</v>
      </c>
      <c r="I64">
        <v>-36.484959671739801</v>
      </c>
      <c r="J64">
        <v>4.6272798272356799E-3</v>
      </c>
      <c r="K64" s="7">
        <v>5.4135756394837502</v>
      </c>
      <c r="L64" s="5">
        <f t="shared" si="12"/>
        <v>-10758.976819990203</v>
      </c>
      <c r="M64" s="4">
        <f t="shared" si="13"/>
        <v>-1.3575639483749846E-2</v>
      </c>
    </row>
    <row r="65" spans="1:13" x14ac:dyDescent="0.25">
      <c r="A65">
        <f>-25-0</f>
        <v>-25</v>
      </c>
      <c r="B65" s="2">
        <v>9332422</v>
      </c>
      <c r="C65" s="2">
        <v>42408773</v>
      </c>
      <c r="D65">
        <v>6.4</v>
      </c>
      <c r="F65">
        <v>0</v>
      </c>
      <c r="G65" s="1">
        <v>9347738214418.6406</v>
      </c>
      <c r="H65">
        <v>42408137</v>
      </c>
      <c r="I65">
        <v>-11.8984639910512</v>
      </c>
      <c r="J65">
        <v>5.5135724690304902E-3</v>
      </c>
      <c r="K65" s="7">
        <v>6.4192924567458496</v>
      </c>
      <c r="L65" s="5">
        <f t="shared" si="12"/>
        <v>-15316.21441864036</v>
      </c>
      <c r="M65" s="4">
        <f t="shared" si="13"/>
        <v>-1.9292456745849229E-2</v>
      </c>
    </row>
    <row r="66" spans="1:13" x14ac:dyDescent="0.25">
      <c r="A66" t="s">
        <v>35</v>
      </c>
      <c r="B66" s="2">
        <v>10902883</v>
      </c>
      <c r="C66" s="2">
        <v>50857103</v>
      </c>
      <c r="D66">
        <v>8.5</v>
      </c>
      <c r="F66">
        <v>25</v>
      </c>
      <c r="G66" s="1">
        <v>10920186290876.699</v>
      </c>
      <c r="H66">
        <v>50855345</v>
      </c>
      <c r="I66">
        <v>12.641449248775</v>
      </c>
      <c r="J66">
        <v>7.3868069013741898E-3</v>
      </c>
      <c r="K66" s="7">
        <v>8.5127615148180098</v>
      </c>
      <c r="L66" s="5">
        <f t="shared" si="12"/>
        <v>-17303.290876699612</v>
      </c>
      <c r="M66" s="4">
        <f t="shared" si="13"/>
        <v>-1.27615148180098E-2</v>
      </c>
    </row>
    <row r="67" spans="1:13" x14ac:dyDescent="0.25">
      <c r="A67" t="s">
        <v>36</v>
      </c>
      <c r="B67" s="2">
        <v>10850361</v>
      </c>
      <c r="C67" s="2">
        <v>52549549</v>
      </c>
      <c r="D67">
        <v>12.3</v>
      </c>
      <c r="F67">
        <v>50</v>
      </c>
      <c r="G67">
        <v>10867371522059.5</v>
      </c>
      <c r="H67">
        <v>52548038</v>
      </c>
      <c r="I67">
        <v>37.326322239051798</v>
      </c>
      <c r="J67">
        <v>1.086573939973E-2</v>
      </c>
      <c r="K67" s="7">
        <v>12.287207631909499</v>
      </c>
      <c r="L67" s="5">
        <f t="shared" si="12"/>
        <v>-17010.522059500217</v>
      </c>
      <c r="M67" s="4">
        <f t="shared" si="13"/>
        <v>1.2792368090501327E-2</v>
      </c>
    </row>
    <row r="68" spans="1:13" x14ac:dyDescent="0.25">
      <c r="A68" t="s">
        <v>37</v>
      </c>
      <c r="B68" s="2">
        <v>8966063</v>
      </c>
      <c r="C68" s="2">
        <v>45750767</v>
      </c>
      <c r="D68">
        <v>16.5</v>
      </c>
      <c r="F68">
        <v>75</v>
      </c>
      <c r="G68">
        <v>8980276156426.3301</v>
      </c>
      <c r="H68">
        <v>45750034</v>
      </c>
      <c r="I68">
        <v>61.960005489866397</v>
      </c>
      <c r="J68">
        <v>1.48968382105266E-2</v>
      </c>
      <c r="K68" s="7">
        <v>16.481909604643501</v>
      </c>
      <c r="L68" s="5">
        <f t="shared" si="12"/>
        <v>-14213.156426329166</v>
      </c>
      <c r="M68" s="4">
        <f t="shared" si="13"/>
        <v>1.809039535649859E-2</v>
      </c>
    </row>
    <row r="69" spans="1:13" x14ac:dyDescent="0.25">
      <c r="A69" t="s">
        <v>38</v>
      </c>
      <c r="B69" s="2">
        <v>6897763</v>
      </c>
      <c r="C69" s="2">
        <v>36980891</v>
      </c>
      <c r="D69">
        <v>19.8</v>
      </c>
      <c r="F69">
        <v>100</v>
      </c>
      <c r="G69" s="1">
        <v>6908913118369.9102</v>
      </c>
      <c r="H69">
        <v>36980497</v>
      </c>
      <c r="I69">
        <v>86.936239268880399</v>
      </c>
      <c r="J69">
        <v>1.8262428346201402E-2</v>
      </c>
      <c r="K69" s="7">
        <v>19.842355960511501</v>
      </c>
      <c r="L69" s="5">
        <f t="shared" si="12"/>
        <v>-11150.118369909935</v>
      </c>
      <c r="M69" s="4">
        <f t="shared" si="13"/>
        <v>-4.2355960511500257E-2</v>
      </c>
    </row>
    <row r="70" spans="1:13" x14ac:dyDescent="0.25">
      <c r="A70" t="s">
        <v>39</v>
      </c>
      <c r="B70" s="2">
        <v>4867084</v>
      </c>
      <c r="C70" s="2">
        <v>27196299</v>
      </c>
      <c r="D70">
        <v>21.8</v>
      </c>
      <c r="F70">
        <v>125</v>
      </c>
      <c r="G70">
        <v>4875100858646.8604</v>
      </c>
      <c r="H70">
        <v>27196082</v>
      </c>
      <c r="I70">
        <v>111.72291888613699</v>
      </c>
      <c r="J70">
        <v>2.0235253726952999E-2</v>
      </c>
      <c r="K70" s="7">
        <v>21.754079452456001</v>
      </c>
      <c r="L70" s="5">
        <f t="shared" si="12"/>
        <v>-8016.8586468603462</v>
      </c>
      <c r="M70" s="4">
        <f t="shared" si="13"/>
        <v>4.5920547544000101E-2</v>
      </c>
    </row>
    <row r="71" spans="1:13" x14ac:dyDescent="0.25">
      <c r="A71" t="s">
        <v>40</v>
      </c>
      <c r="B71" s="2">
        <v>3340353</v>
      </c>
      <c r="C71" s="2">
        <v>19221505</v>
      </c>
      <c r="D71">
        <v>24.4</v>
      </c>
      <c r="F71">
        <v>150</v>
      </c>
      <c r="G71">
        <v>3345874150528.5098</v>
      </c>
      <c r="H71">
        <v>19221387</v>
      </c>
      <c r="I71">
        <v>136.56271216947999</v>
      </c>
      <c r="J71">
        <v>2.30226397466569E-2</v>
      </c>
      <c r="K71" s="7">
        <v>24.383948138063399</v>
      </c>
      <c r="L71" s="5">
        <f t="shared" si="12"/>
        <v>-5521.1505285096355</v>
      </c>
      <c r="M71" s="4">
        <f t="shared" si="13"/>
        <v>1.6051861936599465E-2</v>
      </c>
    </row>
    <row r="72" spans="1:13" x14ac:dyDescent="0.25">
      <c r="A72" t="s">
        <v>41</v>
      </c>
      <c r="B72" s="2">
        <v>1875068</v>
      </c>
      <c r="C72" s="2">
        <v>11204664</v>
      </c>
      <c r="D72">
        <v>25.6</v>
      </c>
      <c r="F72">
        <v>175</v>
      </c>
      <c r="G72" s="1">
        <v>1878161342498.24</v>
      </c>
      <c r="H72">
        <v>11204566</v>
      </c>
      <c r="I72">
        <v>160.93417157917699</v>
      </c>
      <c r="J72">
        <v>2.43429667407844E-2</v>
      </c>
      <c r="K72" s="7">
        <v>25.601161518994399</v>
      </c>
      <c r="L72" s="5">
        <f t="shared" si="12"/>
        <v>-3093.3424982400611</v>
      </c>
      <c r="M72" s="4">
        <f t="shared" si="13"/>
        <v>-1.1615189943974258E-3</v>
      </c>
    </row>
    <row r="73" spans="1:13" x14ac:dyDescent="0.25">
      <c r="A73" t="s">
        <v>42</v>
      </c>
      <c r="B73" s="2">
        <v>904025</v>
      </c>
      <c r="C73" s="2">
        <v>5634465</v>
      </c>
      <c r="D73">
        <v>26.5</v>
      </c>
      <c r="F73">
        <v>200</v>
      </c>
      <c r="G73" s="1">
        <v>905513647763.25</v>
      </c>
      <c r="H73">
        <v>5634404</v>
      </c>
      <c r="I73">
        <v>185.727085961309</v>
      </c>
      <c r="J73">
        <v>2.53343653742025E-2</v>
      </c>
      <c r="K73" s="7">
        <v>26.503299193209099</v>
      </c>
      <c r="L73" s="5">
        <f t="shared" si="12"/>
        <v>-1488.6477632500464</v>
      </c>
      <c r="M73" s="4">
        <f t="shared" si="13"/>
        <v>-3.2991932090986609E-3</v>
      </c>
    </row>
    <row r="74" spans="1:13" x14ac:dyDescent="0.25">
      <c r="A74" t="s">
        <v>43</v>
      </c>
      <c r="B74" s="2">
        <v>340864</v>
      </c>
      <c r="C74" s="2">
        <v>2237181</v>
      </c>
      <c r="D74">
        <v>26.6</v>
      </c>
      <c r="F74">
        <v>225</v>
      </c>
      <c r="G74" s="1">
        <v>341429622185.87</v>
      </c>
      <c r="H74">
        <v>2237133</v>
      </c>
      <c r="I74">
        <v>210.23327367343001</v>
      </c>
      <c r="J74">
        <v>2.5403476574338599E-2</v>
      </c>
      <c r="K74" s="7">
        <v>26.565812504990401</v>
      </c>
      <c r="L74" s="5">
        <f t="shared" si="12"/>
        <v>-565.62218587001553</v>
      </c>
      <c r="M74" s="4">
        <f t="shared" si="13"/>
        <v>3.418749500960061E-2</v>
      </c>
    </row>
    <row r="75" spans="1:13" x14ac:dyDescent="0.25">
      <c r="A75" t="s">
        <v>44</v>
      </c>
      <c r="B75" s="2">
        <v>119279</v>
      </c>
      <c r="C75" s="2">
        <v>820464</v>
      </c>
      <c r="D75">
        <v>26.7</v>
      </c>
      <c r="F75">
        <v>250</v>
      </c>
      <c r="G75" s="1">
        <v>119477301583.57001</v>
      </c>
      <c r="H75">
        <v>820428</v>
      </c>
      <c r="I75">
        <v>235.31733521484</v>
      </c>
      <c r="J75">
        <v>2.5538492135647801E-2</v>
      </c>
      <c r="K75" s="7">
        <v>26.687797841409299</v>
      </c>
      <c r="L75" s="5">
        <f t="shared" si="12"/>
        <v>-198.30158357000619</v>
      </c>
      <c r="M75" s="4">
        <f t="shared" si="13"/>
        <v>1.2202158590699952E-2</v>
      </c>
    </row>
    <row r="76" spans="1:13" x14ac:dyDescent="0.25">
      <c r="A76" t="s">
        <v>50</v>
      </c>
      <c r="B76" s="2">
        <v>53994</v>
      </c>
      <c r="C76" s="2">
        <v>394401</v>
      </c>
      <c r="D76">
        <v>26.7</v>
      </c>
      <c r="F76">
        <v>275</v>
      </c>
      <c r="G76" s="1">
        <v>38998380706.040001</v>
      </c>
      <c r="H76">
        <v>279329</v>
      </c>
      <c r="I76">
        <v>260.04726912217802</v>
      </c>
      <c r="J76">
        <v>2.5377291860760001E-2</v>
      </c>
      <c r="K76" s="7">
        <v>26.5421333234797</v>
      </c>
      <c r="M76" s="4"/>
    </row>
    <row r="77" spans="1:13" x14ac:dyDescent="0.25">
      <c r="F77">
        <v>300</v>
      </c>
      <c r="G77" s="1">
        <v>11287430024.860001</v>
      </c>
      <c r="H77">
        <v>85203</v>
      </c>
      <c r="I77">
        <v>284.71213853276299</v>
      </c>
      <c r="J77">
        <v>2.5870978248359201E-2</v>
      </c>
      <c r="K77" s="7">
        <v>26.987404525740899</v>
      </c>
      <c r="M77" s="4"/>
    </row>
    <row r="78" spans="1:13" x14ac:dyDescent="0.25">
      <c r="F78">
        <v>350</v>
      </c>
      <c r="G78" s="1">
        <v>3467868938.1500001</v>
      </c>
      <c r="H78">
        <v>27173</v>
      </c>
      <c r="I78">
        <v>314.325825012878</v>
      </c>
      <c r="J78">
        <v>2.61928411855273E-2</v>
      </c>
      <c r="K78" s="7">
        <v>27.276368995910499</v>
      </c>
      <c r="M78" s="4"/>
    </row>
    <row r="79" spans="1:13" x14ac:dyDescent="0.25">
      <c r="F79">
        <v>400</v>
      </c>
      <c r="G79" s="1">
        <v>222955090.28</v>
      </c>
      <c r="H79">
        <v>1850</v>
      </c>
      <c r="I79">
        <v>366.96293228027901</v>
      </c>
      <c r="J79">
        <v>3.5376199511722502E-2</v>
      </c>
      <c r="K79" s="7">
        <v>35.092380954161598</v>
      </c>
      <c r="M79" s="4"/>
    </row>
    <row r="80" spans="1:13" x14ac:dyDescent="0.25">
      <c r="F80">
        <v>450</v>
      </c>
      <c r="G80">
        <v>61849725.829999998</v>
      </c>
      <c r="H80">
        <v>472</v>
      </c>
      <c r="I80">
        <v>422.82253968067101</v>
      </c>
      <c r="J80">
        <v>2.2324544392897501E-2</v>
      </c>
      <c r="K80" s="7">
        <v>23.733020096352899</v>
      </c>
      <c r="M80" s="4"/>
    </row>
    <row r="81" spans="6:13" x14ac:dyDescent="0.25">
      <c r="F81">
        <v>500</v>
      </c>
      <c r="G81">
        <v>38591946.869999997</v>
      </c>
      <c r="H81">
        <v>286</v>
      </c>
      <c r="I81">
        <v>486.18437959268698</v>
      </c>
      <c r="J81">
        <v>4.2678291501074397E-2</v>
      </c>
      <c r="K81" s="7">
        <v>40.749108866897899</v>
      </c>
      <c r="M81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"/>
  <sheetViews>
    <sheetView workbookViewId="0">
      <selection sqref="A1:F27"/>
    </sheetView>
  </sheetViews>
  <sheetFormatPr defaultRowHeight="15" x14ac:dyDescent="0.25"/>
  <sheetData>
    <row r="1" spans="1:6" x14ac:dyDescent="0.25">
      <c r="A1" t="s">
        <v>52</v>
      </c>
      <c r="B1" t="s">
        <v>31</v>
      </c>
      <c r="C1" t="s">
        <v>58</v>
      </c>
      <c r="D1" t="s">
        <v>17</v>
      </c>
      <c r="E1" t="s">
        <v>54</v>
      </c>
      <c r="F1" t="s">
        <v>51</v>
      </c>
    </row>
    <row r="2" spans="1:6" x14ac:dyDescent="0.25">
      <c r="A2">
        <v>-250</v>
      </c>
      <c r="B2" s="1">
        <v>3647894.28</v>
      </c>
      <c r="C2">
        <v>27</v>
      </c>
      <c r="D2">
        <v>-256.99693497301598</v>
      </c>
      <c r="E2">
        <v>3.9868917091686999E-4</v>
      </c>
      <c r="F2">
        <v>0.47737930789032401</v>
      </c>
    </row>
    <row r="3" spans="1:6" x14ac:dyDescent="0.25">
      <c r="A3">
        <v>-200</v>
      </c>
      <c r="B3">
        <v>1414424677.55</v>
      </c>
      <c r="C3">
        <v>8705</v>
      </c>
      <c r="D3">
        <v>-209.99274041315101</v>
      </c>
      <c r="E3">
        <v>1.9331725323171399E-3</v>
      </c>
      <c r="F3">
        <v>2.2953000602014</v>
      </c>
    </row>
    <row r="4" spans="1:6" x14ac:dyDescent="0.25">
      <c r="A4">
        <v>-175</v>
      </c>
      <c r="B4">
        <v>10738057956.25</v>
      </c>
      <c r="C4">
        <v>57171</v>
      </c>
      <c r="D4">
        <v>-184.15986290795601</v>
      </c>
      <c r="E4">
        <v>2.2174092388306402E-3</v>
      </c>
      <c r="F4">
        <v>2.628678190819</v>
      </c>
    </row>
    <row r="5" spans="1:6" x14ac:dyDescent="0.25">
      <c r="A5">
        <v>-150</v>
      </c>
      <c r="B5">
        <v>42652190052.730003</v>
      </c>
      <c r="C5">
        <v>218433</v>
      </c>
      <c r="D5">
        <v>-159.89258768533199</v>
      </c>
      <c r="E5">
        <v>2.50466260349605E-3</v>
      </c>
      <c r="F5">
        <v>2.9645348514348702</v>
      </c>
    </row>
    <row r="6" spans="1:6" x14ac:dyDescent="0.25">
      <c r="A6">
        <v>-125</v>
      </c>
      <c r="B6" s="1">
        <v>135303312190.50999</v>
      </c>
      <c r="C6">
        <v>668627</v>
      </c>
      <c r="D6">
        <v>-135.04538014341699</v>
      </c>
      <c r="E6">
        <v>2.6171657332023398E-3</v>
      </c>
      <c r="F6">
        <v>3.0957838757783298</v>
      </c>
    </row>
    <row r="7" spans="1:6" x14ac:dyDescent="0.25">
      <c r="A7">
        <v>-100</v>
      </c>
      <c r="B7" s="1">
        <v>492004031140.31</v>
      </c>
      <c r="C7">
        <v>2288123</v>
      </c>
      <c r="D7">
        <v>-110.05204041019699</v>
      </c>
      <c r="E7">
        <v>2.6325935347376699E-3</v>
      </c>
      <c r="F7">
        <v>3.1137696495042202</v>
      </c>
    </row>
    <row r="8" spans="1:6" x14ac:dyDescent="0.25">
      <c r="A8">
        <v>-75</v>
      </c>
      <c r="B8" s="1">
        <v>1528491866342.3601</v>
      </c>
      <c r="C8">
        <v>6863136</v>
      </c>
      <c r="D8">
        <v>-85.905722963084003</v>
      </c>
      <c r="E8">
        <v>2.9859844929435802E-3</v>
      </c>
      <c r="F8">
        <v>3.5249169064051</v>
      </c>
    </row>
    <row r="9" spans="1:6" x14ac:dyDescent="0.25">
      <c r="A9">
        <v>-50</v>
      </c>
      <c r="B9" s="1">
        <v>3385800940538.9102</v>
      </c>
      <c r="C9">
        <v>15108721</v>
      </c>
      <c r="D9">
        <v>-61.110057155078202</v>
      </c>
      <c r="E9">
        <v>3.76276437977213E-3</v>
      </c>
      <c r="F9">
        <v>4.4230340238542496</v>
      </c>
    </row>
    <row r="10" spans="1:6" x14ac:dyDescent="0.25">
      <c r="A10">
        <v>-25</v>
      </c>
      <c r="B10">
        <v>6379496976819.9902</v>
      </c>
      <c r="C10">
        <v>28519004</v>
      </c>
      <c r="D10">
        <v>-36.484959671739801</v>
      </c>
      <c r="E10">
        <v>4.6272798272356799E-3</v>
      </c>
      <c r="F10">
        <v>5.4135756394837502</v>
      </c>
    </row>
    <row r="11" spans="1:6" x14ac:dyDescent="0.25">
      <c r="A11">
        <v>0</v>
      </c>
      <c r="B11" s="1">
        <v>9347738214418.6406</v>
      </c>
      <c r="C11">
        <v>42408137</v>
      </c>
      <c r="D11">
        <v>-11.8984639910512</v>
      </c>
      <c r="E11">
        <v>5.5135724690304902E-3</v>
      </c>
      <c r="F11">
        <v>6.4192924567458496</v>
      </c>
    </row>
    <row r="12" spans="1:6" x14ac:dyDescent="0.25">
      <c r="A12">
        <v>25</v>
      </c>
      <c r="B12" s="1">
        <v>10920186290876.699</v>
      </c>
      <c r="C12">
        <v>50855345</v>
      </c>
      <c r="D12">
        <v>12.641449248775</v>
      </c>
      <c r="E12">
        <v>7.3868069013741898E-3</v>
      </c>
      <c r="F12">
        <v>8.5127615148180098</v>
      </c>
    </row>
    <row r="13" spans="1:6" x14ac:dyDescent="0.25">
      <c r="A13">
        <v>50</v>
      </c>
      <c r="B13">
        <v>10867371522059.5</v>
      </c>
      <c r="C13">
        <v>52548038</v>
      </c>
      <c r="D13">
        <v>37.326322239051798</v>
      </c>
      <c r="E13">
        <v>1.086573939973E-2</v>
      </c>
      <c r="F13">
        <v>12.287207631909499</v>
      </c>
    </row>
    <row r="14" spans="1:6" x14ac:dyDescent="0.25">
      <c r="A14">
        <v>75</v>
      </c>
      <c r="B14">
        <v>8980276156426.3301</v>
      </c>
      <c r="C14">
        <v>45750034</v>
      </c>
      <c r="D14">
        <v>61.960005489866397</v>
      </c>
      <c r="E14">
        <v>1.48968382105266E-2</v>
      </c>
      <c r="F14">
        <v>16.481909604643501</v>
      </c>
    </row>
    <row r="15" spans="1:6" x14ac:dyDescent="0.25">
      <c r="A15">
        <v>100</v>
      </c>
      <c r="B15" s="1">
        <v>6908913118369.9102</v>
      </c>
      <c r="C15">
        <v>36980497</v>
      </c>
      <c r="D15">
        <v>86.936239268880399</v>
      </c>
      <c r="E15">
        <v>1.8262428346201402E-2</v>
      </c>
      <c r="F15">
        <v>19.842355960511501</v>
      </c>
    </row>
    <row r="16" spans="1:6" x14ac:dyDescent="0.25">
      <c r="A16">
        <v>125</v>
      </c>
      <c r="B16">
        <v>4875100858646.8604</v>
      </c>
      <c r="C16">
        <v>27196082</v>
      </c>
      <c r="D16">
        <v>111.72291888613699</v>
      </c>
      <c r="E16">
        <v>2.0235253726952999E-2</v>
      </c>
      <c r="F16">
        <v>21.754079452456001</v>
      </c>
    </row>
    <row r="17" spans="1:6" x14ac:dyDescent="0.25">
      <c r="A17">
        <v>150</v>
      </c>
      <c r="B17">
        <v>3345874150528.5098</v>
      </c>
      <c r="C17">
        <v>19221387</v>
      </c>
      <c r="D17">
        <v>136.56271216947999</v>
      </c>
      <c r="E17">
        <v>2.30226397466569E-2</v>
      </c>
      <c r="F17">
        <v>24.383948138063399</v>
      </c>
    </row>
    <row r="18" spans="1:6" x14ac:dyDescent="0.25">
      <c r="A18">
        <v>175</v>
      </c>
      <c r="B18" s="1">
        <v>1878161342498.24</v>
      </c>
      <c r="C18">
        <v>11204566</v>
      </c>
      <c r="D18">
        <v>160.93417157917699</v>
      </c>
      <c r="E18">
        <v>2.43429667407844E-2</v>
      </c>
      <c r="F18">
        <v>25.601161518994399</v>
      </c>
    </row>
    <row r="19" spans="1:6" x14ac:dyDescent="0.25">
      <c r="A19">
        <v>200</v>
      </c>
      <c r="B19" s="1">
        <v>905513647763.25</v>
      </c>
      <c r="C19">
        <v>5634404</v>
      </c>
      <c r="D19">
        <v>185.727085961309</v>
      </c>
      <c r="E19">
        <v>2.53343653742025E-2</v>
      </c>
      <c r="F19">
        <v>26.503299193209099</v>
      </c>
    </row>
    <row r="20" spans="1:6" x14ac:dyDescent="0.25">
      <c r="A20">
        <v>225</v>
      </c>
      <c r="B20" s="1">
        <v>341429622185.87</v>
      </c>
      <c r="C20">
        <v>2237133</v>
      </c>
      <c r="D20">
        <v>210.23327367343001</v>
      </c>
      <c r="E20">
        <v>2.5403476574338599E-2</v>
      </c>
      <c r="F20">
        <v>26.565812504990401</v>
      </c>
    </row>
    <row r="21" spans="1:6" x14ac:dyDescent="0.25">
      <c r="A21">
        <v>250</v>
      </c>
      <c r="B21" s="1">
        <v>119477301583.57001</v>
      </c>
      <c r="C21">
        <v>820428</v>
      </c>
      <c r="D21">
        <v>235.31733521484</v>
      </c>
      <c r="E21">
        <v>2.5538492135647801E-2</v>
      </c>
      <c r="F21">
        <v>26.687797841409299</v>
      </c>
    </row>
    <row r="22" spans="1:6" x14ac:dyDescent="0.25">
      <c r="A22">
        <v>275</v>
      </c>
      <c r="B22" s="1">
        <v>38998380706.040001</v>
      </c>
      <c r="C22">
        <v>279329</v>
      </c>
      <c r="D22">
        <v>260.04726912217802</v>
      </c>
      <c r="E22">
        <v>2.5377291860760001E-2</v>
      </c>
      <c r="F22">
        <v>26.5421333234797</v>
      </c>
    </row>
    <row r="23" spans="1:6" x14ac:dyDescent="0.25">
      <c r="A23">
        <v>300</v>
      </c>
      <c r="B23" s="1">
        <v>11287430024.860001</v>
      </c>
      <c r="C23">
        <v>85203</v>
      </c>
      <c r="D23">
        <v>284.71213853276299</v>
      </c>
      <c r="E23">
        <v>2.5870978248359201E-2</v>
      </c>
      <c r="F23">
        <v>26.987404525740899</v>
      </c>
    </row>
    <row r="24" spans="1:6" x14ac:dyDescent="0.25">
      <c r="A24">
        <v>350</v>
      </c>
      <c r="B24" s="1">
        <v>3467868938.1500001</v>
      </c>
      <c r="C24">
        <v>27173</v>
      </c>
      <c r="D24">
        <v>314.325825012878</v>
      </c>
      <c r="E24">
        <v>2.61928411855273E-2</v>
      </c>
      <c r="F24">
        <v>27.276368995910499</v>
      </c>
    </row>
    <row r="25" spans="1:6" x14ac:dyDescent="0.25">
      <c r="A25">
        <v>400</v>
      </c>
      <c r="B25" s="1">
        <v>222955090.28</v>
      </c>
      <c r="C25">
        <v>1850</v>
      </c>
      <c r="D25">
        <v>366.96293228027901</v>
      </c>
      <c r="E25">
        <v>3.5376199511722502E-2</v>
      </c>
      <c r="F25">
        <v>35.092380954161598</v>
      </c>
    </row>
    <row r="26" spans="1:6" x14ac:dyDescent="0.25">
      <c r="A26">
        <v>450</v>
      </c>
      <c r="B26">
        <v>61849725.829999998</v>
      </c>
      <c r="C26">
        <v>472</v>
      </c>
      <c r="D26">
        <v>422.82253968067101</v>
      </c>
      <c r="E26">
        <v>2.2324544392897501E-2</v>
      </c>
      <c r="F26">
        <v>23.733020096352899</v>
      </c>
    </row>
    <row r="27" spans="1:6" x14ac:dyDescent="0.25">
      <c r="A27">
        <v>500</v>
      </c>
      <c r="B27">
        <v>38591946.869999997</v>
      </c>
      <c r="C27">
        <v>286</v>
      </c>
      <c r="D27">
        <v>486.18437959268698</v>
      </c>
      <c r="E27">
        <v>4.2678291501074397E-2</v>
      </c>
      <c r="F27">
        <v>40.749108866897899</v>
      </c>
    </row>
  </sheetData>
  <sortState ref="A2:F27">
    <sortCondition ref="A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Tracking_aggData_by_incentive_1</vt:lpstr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Lien Chen</dc:creator>
  <cp:lastModifiedBy>Lien Chen</cp:lastModifiedBy>
  <dcterms:created xsi:type="dcterms:W3CDTF">2018-04-21T13:20:42Z</dcterms:created>
  <dcterms:modified xsi:type="dcterms:W3CDTF">2018-04-24T14:48:35Z</dcterms:modified>
</cp:coreProperties>
</file>