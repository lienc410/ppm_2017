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45" windowWidth="35235" windowHeight="19695"/>
  </bookViews>
  <sheets>
    <sheet name="Tracking_aggData_by_wacls_26_04" sheetId="1" r:id="rId1"/>
  </sheets>
  <calcPr calcId="145621"/>
</workbook>
</file>

<file path=xl/calcChain.xml><?xml version="1.0" encoding="utf-8"?>
<calcChain xmlns="http://schemas.openxmlformats.org/spreadsheetml/2006/main">
  <c r="U23" i="1" l="1"/>
  <c r="T22" i="1"/>
  <c r="U21" i="1"/>
  <c r="T28" i="1"/>
  <c r="T29" i="1"/>
  <c r="T24" i="1"/>
  <c r="T25" i="1"/>
  <c r="T26" i="1"/>
  <c r="T27" i="1"/>
  <c r="S23" i="1"/>
  <c r="P22" i="1" l="1"/>
  <c r="P23" i="1"/>
  <c r="P24" i="1"/>
  <c r="P25" i="1"/>
  <c r="P26" i="1"/>
  <c r="P27" i="1"/>
  <c r="P28" i="1"/>
  <c r="P29" i="1"/>
  <c r="P21" i="1"/>
  <c r="B31" i="1"/>
  <c r="C31" i="1"/>
  <c r="D31" i="1"/>
  <c r="E31" i="1"/>
  <c r="F31" i="1"/>
  <c r="B32" i="1"/>
  <c r="C32" i="1"/>
  <c r="D32" i="1"/>
  <c r="F32" i="1"/>
  <c r="B33" i="1"/>
  <c r="C33" i="1"/>
  <c r="D33" i="1"/>
  <c r="E33" i="1" s="1"/>
  <c r="F33" i="1"/>
  <c r="B34" i="1"/>
  <c r="C34" i="1"/>
  <c r="E34" i="1" s="1"/>
  <c r="G34" i="1" s="1"/>
  <c r="D34" i="1"/>
  <c r="F34" i="1"/>
  <c r="B35" i="1"/>
  <c r="C35" i="1"/>
  <c r="D35" i="1"/>
  <c r="F35" i="1"/>
  <c r="B29" i="1"/>
  <c r="C29" i="1"/>
  <c r="D29" i="1"/>
  <c r="F29" i="1"/>
  <c r="B30" i="1"/>
  <c r="C30" i="1"/>
  <c r="D30" i="1"/>
  <c r="F30" i="1"/>
  <c r="F22" i="1"/>
  <c r="F23" i="1"/>
  <c r="F24" i="1"/>
  <c r="F25" i="1"/>
  <c r="F26" i="1"/>
  <c r="F27" i="1"/>
  <c r="F28" i="1"/>
  <c r="F21" i="1"/>
  <c r="D21" i="1"/>
  <c r="D22" i="1"/>
  <c r="D23" i="1"/>
  <c r="D24" i="1"/>
  <c r="D25" i="1"/>
  <c r="D26" i="1"/>
  <c r="D27" i="1"/>
  <c r="D28" i="1"/>
  <c r="B22" i="1"/>
  <c r="C22" i="1"/>
  <c r="B23" i="1"/>
  <c r="C23" i="1"/>
  <c r="B24" i="1"/>
  <c r="C24" i="1"/>
  <c r="B25" i="1"/>
  <c r="C25" i="1"/>
  <c r="B26" i="1"/>
  <c r="C26" i="1"/>
  <c r="E26" i="1" s="1"/>
  <c r="G26" i="1" s="1"/>
  <c r="J26" i="1" s="1"/>
  <c r="B27" i="1"/>
  <c r="C27" i="1"/>
  <c r="B28" i="1"/>
  <c r="C28" i="1"/>
  <c r="B21" i="1"/>
  <c r="C21" i="1"/>
  <c r="E30" i="1" l="1"/>
  <c r="G30" i="1" s="1"/>
  <c r="J30" i="1" s="1"/>
  <c r="E35" i="1"/>
  <c r="G35" i="1" s="1"/>
  <c r="J35" i="1" s="1"/>
  <c r="G31" i="1"/>
  <c r="E24" i="1"/>
  <c r="G24" i="1" s="1"/>
  <c r="J24" i="1" s="1"/>
  <c r="E21" i="1"/>
  <c r="G21" i="1" s="1"/>
  <c r="E28" i="1"/>
  <c r="G28" i="1" s="1"/>
  <c r="J28" i="1" s="1"/>
  <c r="E22" i="1"/>
  <c r="G22" i="1" s="1"/>
  <c r="J22" i="1" s="1"/>
  <c r="E25" i="1"/>
  <c r="G25" i="1" s="1"/>
  <c r="E27" i="1"/>
  <c r="G27" i="1" s="1"/>
  <c r="E23" i="1"/>
  <c r="G23" i="1" s="1"/>
  <c r="J23" i="1" s="1"/>
  <c r="E32" i="1"/>
  <c r="G32" i="1" s="1"/>
  <c r="G33" i="1"/>
  <c r="E29" i="1"/>
  <c r="G29" i="1" s="1"/>
</calcChain>
</file>

<file path=xl/sharedStrings.xml><?xml version="1.0" encoding="utf-8"?>
<sst xmlns="http://schemas.openxmlformats.org/spreadsheetml/2006/main" count="49" uniqueCount="46">
  <si>
    <t>x</t>
  </si>
  <si>
    <t>actual.smm</t>
  </si>
  <si>
    <t>model.smm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</si>
  <si>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</si>
  <si>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</si>
  <si>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</si>
  <si>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</si>
  <si>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</si>
  <si>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</si>
  <si>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</si>
  <si>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</si>
  <si>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</si>
  <si>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</si>
  <si>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</si>
  <si>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</si>
  <si>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</si>
  <si>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</si>
  <si>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</si>
  <si>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</si>
  <si>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</si>
  <si>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</si>
  <si>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</si>
  <si>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</si>
  <si>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</si>
  <si>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</si>
  <si>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</si>
  <si>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</si>
  <si>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</si>
  <si>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</si>
  <si>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</si>
  <si>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</si>
  <si>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</si>
  <si>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</si>
  <si>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</si>
  <si>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</si>
  <si>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w/o Turn</t>
  </si>
  <si>
    <t>act turn</t>
  </si>
  <si>
    <t>model</t>
  </si>
  <si>
    <t>ratio</t>
  </si>
  <si>
    <t>Json</t>
  </si>
  <si>
    <t>new Json</t>
  </si>
  <si>
    <t>finalized</t>
  </si>
  <si>
    <t>prod</t>
  </si>
  <si>
    <t>dev</t>
  </si>
  <si>
    <t>Tweak for OLS</t>
  </si>
  <si>
    <t>dev_v2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</si>
</sst>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Tracking_aggData_by_wacls_26_04!$G$20</c:f>
              <c:strCache>
                <c:ptCount val="1"/>
                <c:pt idx="0">
                  <c:v>ratio</c:v>
                </c:pt>
              </c:strCache>
            </c:strRef>
          </c:tx>
          <c:marker>
            <c:symbol val="none"/>
          </c:marker>
          <c:val>
            <c:numRef>
              <c:f>Tracking_aggData_by_wacls_26_04!$G$23:$G$35</c:f>
              <c:numCache>
                <c:formatCode>General</c:formatCode>
                <c:ptCount val="13"/>
                <c:pt idx="0">
                  <c:v>0.96713925837905756</c:v>
                </c:pt>
                <c:pt idx="1">
                  <c:v>1.1078386117372436</c:v>
                </c:pt>
                <c:pt idx="2">
                  <c:v>1.0105182957927097</c:v>
                </c:pt>
                <c:pt idx="3">
                  <c:v>1.0221240536475853</c:v>
                </c:pt>
                <c:pt idx="4">
                  <c:v>1.0022239957770587</c:v>
                </c:pt>
                <c:pt idx="5">
                  <c:v>0.99527893405851064</c:v>
                </c:pt>
                <c:pt idx="6">
                  <c:v>1.0165323246540201</c:v>
                </c:pt>
                <c:pt idx="7">
                  <c:v>1.0061581470561274</c:v>
                </c:pt>
                <c:pt idx="8">
                  <c:v>1.2425595705199375</c:v>
                </c:pt>
                <c:pt idx="9">
                  <c:v>1.08834253743359</c:v>
                </c:pt>
                <c:pt idx="10">
                  <c:v>1.0620650458305758</c:v>
                </c:pt>
                <c:pt idx="11">
                  <c:v>1.000982805562902</c:v>
                </c:pt>
                <c:pt idx="12">
                  <c:v>0.98288111797309774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515136"/>
        <c:axId val="199648768"/>
      </c:lineChart>
      <c:catAx>
        <c:axId val="131515136"/>
        <c:scaling>
          <c:orientation val="minMax"/>
        </c:scaling>
        <c:delete val="0"/>
        <c:axPos val="b"/>
        <c:majorTickMark val="out"/>
        <c:minorTickMark val="none"/>
        <c:tickLblPos val="nextTo"/>
        <c:crossAx val="199648768"/>
        <c:crosses val="autoZero"/>
        <c:auto val="1"/>
        <c:lblAlgn val="ctr"/>
        <c:lblOffset val="100"/>
        <c:noMultiLvlLbl val="0"/>
      </c:catAx>
      <c:valAx>
        <c:axId val="199648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15151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Tracking_aggData_by_wacls_26_04!$N$20</c:f>
              <c:strCache>
                <c:ptCount val="1"/>
                <c:pt idx="0">
                  <c:v>prod</c:v>
                </c:pt>
              </c:strCache>
            </c:strRef>
          </c:tx>
          <c:marker>
            <c:symbol val="none"/>
          </c:marker>
          <c:cat>
            <c:numRef>
              <c:f>Tracking_aggData_by_wacls_26_04!$M$21:$M$29</c:f>
              <c:numCache>
                <c:formatCode>General</c:formatCode>
                <c:ptCount val="9"/>
                <c:pt idx="0">
                  <c:v>0</c:v>
                </c:pt>
                <c:pt idx="1">
                  <c:v>60</c:v>
                </c:pt>
                <c:pt idx="2">
                  <c:v>80</c:v>
                </c:pt>
                <c:pt idx="3">
                  <c:v>120</c:v>
                </c:pt>
                <c:pt idx="4">
                  <c:v>160</c:v>
                </c:pt>
                <c:pt idx="5">
                  <c:v>200</c:v>
                </c:pt>
                <c:pt idx="6">
                  <c:v>300</c:v>
                </c:pt>
                <c:pt idx="7">
                  <c:v>600</c:v>
                </c:pt>
                <c:pt idx="8">
                  <c:v>800</c:v>
                </c:pt>
              </c:numCache>
            </c:numRef>
          </c:cat>
          <c:val>
            <c:numRef>
              <c:f>Tracking_aggData_by_wacls_26_04!$N$21:$N$29</c:f>
              <c:numCache>
                <c:formatCode>General</c:formatCode>
                <c:ptCount val="9"/>
                <c:pt idx="0">
                  <c:v>1.32</c:v>
                </c:pt>
                <c:pt idx="1">
                  <c:v>1.1314998699613299</c:v>
                </c:pt>
                <c:pt idx="2">
                  <c:v>1.0636188494648799</c:v>
                </c:pt>
                <c:pt idx="3">
                  <c:v>0.935428274197323</c:v>
                </c:pt>
                <c:pt idx="4">
                  <c:v>0.834158465953176</c:v>
                </c:pt>
                <c:pt idx="5">
                  <c:v>0.78</c:v>
                </c:pt>
                <c:pt idx="6">
                  <c:v>0.74662311035888396</c:v>
                </c:pt>
                <c:pt idx="7">
                  <c:v>0.72</c:v>
                </c:pt>
                <c:pt idx="8">
                  <c:v>0.69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Tracking_aggData_by_wacls_26_04!$O$20</c:f>
              <c:strCache>
                <c:ptCount val="1"/>
                <c:pt idx="0">
                  <c:v>dev</c:v>
                </c:pt>
              </c:strCache>
            </c:strRef>
          </c:tx>
          <c:marker>
            <c:symbol val="none"/>
          </c:marker>
          <c:cat>
            <c:numRef>
              <c:f>Tracking_aggData_by_wacls_26_04!$M$21:$M$29</c:f>
              <c:numCache>
                <c:formatCode>General</c:formatCode>
                <c:ptCount val="9"/>
                <c:pt idx="0">
                  <c:v>0</c:v>
                </c:pt>
                <c:pt idx="1">
                  <c:v>60</c:v>
                </c:pt>
                <c:pt idx="2">
                  <c:v>80</c:v>
                </c:pt>
                <c:pt idx="3">
                  <c:v>120</c:v>
                </c:pt>
                <c:pt idx="4">
                  <c:v>160</c:v>
                </c:pt>
                <c:pt idx="5">
                  <c:v>200</c:v>
                </c:pt>
                <c:pt idx="6">
                  <c:v>300</c:v>
                </c:pt>
                <c:pt idx="7">
                  <c:v>600</c:v>
                </c:pt>
                <c:pt idx="8">
                  <c:v>800</c:v>
                </c:pt>
              </c:numCache>
            </c:numRef>
          </c:cat>
          <c:val>
            <c:numRef>
              <c:f>Tracking_aggData_by_wacls_26_04!$O$21:$O$29</c:f>
              <c:numCache>
                <c:formatCode>General</c:formatCode>
                <c:ptCount val="9"/>
                <c:pt idx="0">
                  <c:v>5.1890000000000001</c:v>
                </c:pt>
                <c:pt idx="1">
                  <c:v>1.307637333</c:v>
                </c:pt>
                <c:pt idx="2">
                  <c:v>1.184352243</c:v>
                </c:pt>
                <c:pt idx="3">
                  <c:v>1.113</c:v>
                </c:pt>
                <c:pt idx="4">
                  <c:v>0.98399999999999999</c:v>
                </c:pt>
                <c:pt idx="5">
                  <c:v>0.90300000000000002</c:v>
                </c:pt>
                <c:pt idx="6">
                  <c:v>0.67400000000000004</c:v>
                </c:pt>
                <c:pt idx="7">
                  <c:v>0.67400000000000004</c:v>
                </c:pt>
                <c:pt idx="8">
                  <c:v>0.67400000000000004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4348288"/>
        <c:axId val="254391040"/>
      </c:lineChart>
      <c:catAx>
        <c:axId val="254348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4391040"/>
        <c:crosses val="autoZero"/>
        <c:auto val="1"/>
        <c:lblAlgn val="ctr"/>
        <c:lblOffset val="100"/>
        <c:noMultiLvlLbl val="0"/>
      </c:catAx>
      <c:valAx>
        <c:axId val="254391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43482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Tracking_aggData_by_wacls_26_04!$N$20</c:f>
              <c:strCache>
                <c:ptCount val="1"/>
                <c:pt idx="0">
                  <c:v>prod</c:v>
                </c:pt>
              </c:strCache>
            </c:strRef>
          </c:tx>
          <c:marker>
            <c:symbol val="none"/>
          </c:marker>
          <c:cat>
            <c:numRef>
              <c:f>Tracking_aggData_by_wacls_26_04!$M$21:$M$29</c:f>
              <c:numCache>
                <c:formatCode>General</c:formatCode>
                <c:ptCount val="9"/>
                <c:pt idx="0">
                  <c:v>0</c:v>
                </c:pt>
                <c:pt idx="1">
                  <c:v>60</c:v>
                </c:pt>
                <c:pt idx="2">
                  <c:v>80</c:v>
                </c:pt>
                <c:pt idx="3">
                  <c:v>120</c:v>
                </c:pt>
                <c:pt idx="4">
                  <c:v>160</c:v>
                </c:pt>
                <c:pt idx="5">
                  <c:v>200</c:v>
                </c:pt>
                <c:pt idx="6">
                  <c:v>300</c:v>
                </c:pt>
                <c:pt idx="7">
                  <c:v>600</c:v>
                </c:pt>
                <c:pt idx="8">
                  <c:v>800</c:v>
                </c:pt>
              </c:numCache>
            </c:numRef>
          </c:cat>
          <c:val>
            <c:numRef>
              <c:f>Tracking_aggData_by_wacls_26_04!$N$21:$N$29</c:f>
              <c:numCache>
                <c:formatCode>General</c:formatCode>
                <c:ptCount val="9"/>
                <c:pt idx="0">
                  <c:v>1.32</c:v>
                </c:pt>
                <c:pt idx="1">
                  <c:v>1.1314998699613299</c:v>
                </c:pt>
                <c:pt idx="2">
                  <c:v>1.0636188494648799</c:v>
                </c:pt>
                <c:pt idx="3">
                  <c:v>0.935428274197323</c:v>
                </c:pt>
                <c:pt idx="4">
                  <c:v>0.834158465953176</c:v>
                </c:pt>
                <c:pt idx="5">
                  <c:v>0.78</c:v>
                </c:pt>
                <c:pt idx="6">
                  <c:v>0.74662311035888396</c:v>
                </c:pt>
                <c:pt idx="7">
                  <c:v>0.72</c:v>
                </c:pt>
                <c:pt idx="8">
                  <c:v>0.69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Tracking_aggData_by_wacls_26_04!$T$20</c:f>
              <c:strCache>
                <c:ptCount val="1"/>
                <c:pt idx="0">
                  <c:v>dev_v2</c:v>
                </c:pt>
              </c:strCache>
            </c:strRef>
          </c:tx>
          <c:marker>
            <c:symbol val="none"/>
          </c:marker>
          <c:cat>
            <c:numRef>
              <c:f>Tracking_aggData_by_wacls_26_04!$M$21:$M$29</c:f>
              <c:numCache>
                <c:formatCode>General</c:formatCode>
                <c:ptCount val="9"/>
                <c:pt idx="0">
                  <c:v>0</c:v>
                </c:pt>
                <c:pt idx="1">
                  <c:v>60</c:v>
                </c:pt>
                <c:pt idx="2">
                  <c:v>80</c:v>
                </c:pt>
                <c:pt idx="3">
                  <c:v>120</c:v>
                </c:pt>
                <c:pt idx="4">
                  <c:v>160</c:v>
                </c:pt>
                <c:pt idx="5">
                  <c:v>200</c:v>
                </c:pt>
                <c:pt idx="6">
                  <c:v>300</c:v>
                </c:pt>
                <c:pt idx="7">
                  <c:v>600</c:v>
                </c:pt>
                <c:pt idx="8">
                  <c:v>800</c:v>
                </c:pt>
              </c:numCache>
            </c:numRef>
          </c:cat>
          <c:val>
            <c:numRef>
              <c:f>Tracking_aggData_by_wacls_26_04!$T$21:$T$29</c:f>
              <c:numCache>
                <c:formatCode>General</c:formatCode>
                <c:ptCount val="9"/>
                <c:pt idx="0">
                  <c:v>1.6</c:v>
                </c:pt>
                <c:pt idx="1">
                  <c:v>1.2672798543566897</c:v>
                </c:pt>
                <c:pt idx="2">
                  <c:v>1.17</c:v>
                </c:pt>
                <c:pt idx="3">
                  <c:v>1.113</c:v>
                </c:pt>
                <c:pt idx="4">
                  <c:v>0.98399999999999999</c:v>
                </c:pt>
                <c:pt idx="5">
                  <c:v>0.90300000000000002</c:v>
                </c:pt>
                <c:pt idx="6">
                  <c:v>0.72118000000000004</c:v>
                </c:pt>
                <c:pt idx="7">
                  <c:v>0.72118000000000004</c:v>
                </c:pt>
                <c:pt idx="8">
                  <c:v>0.72118000000000004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134464"/>
        <c:axId val="371136000"/>
      </c:lineChart>
      <c:catAx>
        <c:axId val="371134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71136000"/>
        <c:crosses val="autoZero"/>
        <c:auto val="1"/>
        <c:lblAlgn val="ctr"/>
        <c:lblOffset val="100"/>
        <c:noMultiLvlLbl val="0"/>
      </c:catAx>
      <c:valAx>
        <c:axId val="371136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11344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</xdr:colOff>
      <xdr:row>38</xdr:row>
      <xdr:rowOff>66675</xdr:rowOff>
    </xdr:from>
    <xdr:to>
      <xdr:col>9</xdr:col>
      <xdr:colOff>328612</xdr:colOff>
      <xdr:row>52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119062</xdr:colOff>
      <xdr:row>38</xdr:row>
      <xdr:rowOff>38100</xdr:rowOff>
    </xdr:from>
    <xdr:to>
      <xdr:col>19</xdr:col>
      <xdr:colOff>423862</xdr:colOff>
      <xdr:row>52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23812</xdr:colOff>
      <xdr:row>38</xdr:row>
      <xdr:rowOff>57150</xdr:rowOff>
    </xdr:from>
    <xdr:to>
      <xdr:col>26</xdr:col>
      <xdr:colOff>323850</xdr:colOff>
      <xdr:row>52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5"/>
  <sheetViews>
    <sheetView tabSelected="1" workbookViewId="0">
      <selection activeCell="U33" sqref="U33"/>
    </sheetView>
  </sheetViews>
  <sheetFormatPr defaultRowHeight="15" x14ac:dyDescent="0.25"/>
  <cols>
    <col min="34" max="34" width="19" style="2" bestFit="1" customWidth="1"/>
  </cols>
  <sheetData>
    <row r="1" spans="1:3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s="2" t="s">
        <v>32</v>
      </c>
      <c r="AI1" t="s">
        <v>33</v>
      </c>
      <c r="AJ1" t="s">
        <v>34</v>
      </c>
    </row>
    <row r="2" spans="1:36" x14ac:dyDescent="0.25">
      <c r="A2">
        <v>1</v>
      </c>
      <c r="B2">
        <v>20</v>
      </c>
      <c r="C2">
        <v>10.736215766636899</v>
      </c>
      <c r="D2">
        <v>2.6823127480009101</v>
      </c>
      <c r="E2">
        <v>-8.0539030186360296</v>
      </c>
      <c r="F2">
        <v>4.97704252477238E-2</v>
      </c>
      <c r="G2">
        <v>1.5398952430910899E-2</v>
      </c>
      <c r="H2">
        <v>4.97704252477238E-2</v>
      </c>
      <c r="I2">
        <v>2.56737194070742</v>
      </c>
      <c r="J2" s="1">
        <v>1.00436712870276E-6</v>
      </c>
      <c r="K2">
        <v>31.020031376959601</v>
      </c>
      <c r="L2">
        <v>11.800260124436599</v>
      </c>
      <c r="M2">
        <v>57.179708498603802</v>
      </c>
      <c r="N2">
        <v>60.196965542515599</v>
      </c>
      <c r="O2">
        <v>25.7711261884638</v>
      </c>
      <c r="P2">
        <v>14.031908269020599</v>
      </c>
      <c r="Q2">
        <v>0</v>
      </c>
      <c r="R2">
        <v>25.7711261884638</v>
      </c>
      <c r="S2">
        <v>0.63986910737948299</v>
      </c>
      <c r="T2">
        <v>-30.862992193714401</v>
      </c>
      <c r="U2">
        <v>389.23736738528203</v>
      </c>
      <c r="V2">
        <v>99.920991613352001</v>
      </c>
      <c r="W2">
        <v>8.2612213205998106</v>
      </c>
      <c r="X2">
        <v>15.0994118514548</v>
      </c>
      <c r="Y2">
        <v>57.799411784792802</v>
      </c>
      <c r="Z2">
        <v>3.73593797071719</v>
      </c>
      <c r="AA2">
        <v>762.13898982502201</v>
      </c>
      <c r="AB2">
        <v>9.7862248394375602</v>
      </c>
      <c r="AC2">
        <v>0</v>
      </c>
      <c r="AD2">
        <v>171.68573400551901</v>
      </c>
      <c r="AE2">
        <v>112.072245351747</v>
      </c>
      <c r="AF2">
        <v>29.820191958651701</v>
      </c>
      <c r="AG2">
        <v>-10.1498059651218</v>
      </c>
      <c r="AH2">
        <v>85955938.200000003</v>
      </c>
      <c r="AI2">
        <v>0.26554415694956701</v>
      </c>
      <c r="AJ2">
        <v>5053</v>
      </c>
    </row>
    <row r="3" spans="1:36" x14ac:dyDescent="0.25">
      <c r="A3">
        <v>2</v>
      </c>
      <c r="B3">
        <v>40</v>
      </c>
      <c r="C3">
        <v>3.3651838352118499</v>
      </c>
      <c r="D3">
        <v>1.67207849287457</v>
      </c>
      <c r="E3">
        <v>-1.6931053423372699</v>
      </c>
      <c r="F3">
        <v>4.9432505189075999E-2</v>
      </c>
      <c r="G3">
        <v>1.73458182330706E-2</v>
      </c>
      <c r="H3">
        <v>4.9432505189075999E-2</v>
      </c>
      <c r="I3">
        <v>1.5544672039243099</v>
      </c>
      <c r="J3">
        <v>1.4004603390374601E-3</v>
      </c>
      <c r="K3">
        <v>29.209070469258499</v>
      </c>
      <c r="L3">
        <v>7.0575669543557398</v>
      </c>
      <c r="M3">
        <v>63.733362576385801</v>
      </c>
      <c r="N3">
        <v>53.925259840700399</v>
      </c>
      <c r="O3">
        <v>32.691374684924398</v>
      </c>
      <c r="P3">
        <v>13.3833654743752</v>
      </c>
      <c r="Q3">
        <v>0</v>
      </c>
      <c r="R3">
        <v>32.691374684924398</v>
      </c>
      <c r="S3">
        <v>0.70159735215820895</v>
      </c>
      <c r="T3">
        <v>-31.239094833445801</v>
      </c>
      <c r="U3">
        <v>388.62232041885397</v>
      </c>
      <c r="V3">
        <v>99.874995360798195</v>
      </c>
      <c r="W3">
        <v>25.1991862871031</v>
      </c>
      <c r="X3">
        <v>35.4390002935965</v>
      </c>
      <c r="Y3">
        <v>57.040469296397802</v>
      </c>
      <c r="Z3">
        <v>3.7179407207210402</v>
      </c>
      <c r="AA3">
        <v>765.09561640936704</v>
      </c>
      <c r="AB3">
        <v>13.0014530097012</v>
      </c>
      <c r="AC3">
        <v>0</v>
      </c>
      <c r="AD3">
        <v>172.182359119794</v>
      </c>
      <c r="AE3">
        <v>112.101887896661</v>
      </c>
      <c r="AF3">
        <v>29.709467073587799</v>
      </c>
      <c r="AG3">
        <v>-7.4816638763709804</v>
      </c>
      <c r="AH3">
        <v>2197813426.4000001</v>
      </c>
      <c r="AI3">
        <v>0.12165618702754501</v>
      </c>
      <c r="AJ3">
        <v>21823</v>
      </c>
    </row>
    <row r="4" spans="1:36" x14ac:dyDescent="0.25">
      <c r="A4">
        <v>3</v>
      </c>
      <c r="B4">
        <v>60</v>
      </c>
      <c r="C4">
        <v>1.26432326482535</v>
      </c>
      <c r="D4">
        <v>1.3029945428958201</v>
      </c>
      <c r="E4">
        <v>3.8671278070473901E-2</v>
      </c>
      <c r="F4">
        <v>4.9294074929573301E-2</v>
      </c>
      <c r="G4">
        <v>2.06472977910599E-2</v>
      </c>
      <c r="H4">
        <v>4.9294074929573301E-2</v>
      </c>
      <c r="I4">
        <v>1.1768230466785501</v>
      </c>
      <c r="J4">
        <v>6.9360485670674904E-3</v>
      </c>
      <c r="K4">
        <v>30.993239436227299</v>
      </c>
      <c r="L4">
        <v>6.5826855508955502</v>
      </c>
      <c r="M4">
        <v>62.424075012877204</v>
      </c>
      <c r="N4">
        <v>43.712989512082302</v>
      </c>
      <c r="O4">
        <v>38.135726115145097</v>
      </c>
      <c r="P4">
        <v>18.151284372772601</v>
      </c>
      <c r="Q4">
        <v>0</v>
      </c>
      <c r="R4">
        <v>38.135726115145097</v>
      </c>
      <c r="S4">
        <v>0.80610814848863699</v>
      </c>
      <c r="T4">
        <v>-30.1455555161149</v>
      </c>
      <c r="U4">
        <v>378.14098916982198</v>
      </c>
      <c r="V4">
        <v>99.763549257118399</v>
      </c>
      <c r="W4">
        <v>38.922190750028101</v>
      </c>
      <c r="X4">
        <v>45.630370169814199</v>
      </c>
      <c r="Y4">
        <v>56.7149443145737</v>
      </c>
      <c r="Z4">
        <v>3.7446063904276601</v>
      </c>
      <c r="AA4">
        <v>760.07556477710295</v>
      </c>
      <c r="AB4">
        <v>17.955914959497601</v>
      </c>
      <c r="AC4">
        <v>0</v>
      </c>
      <c r="AD4">
        <v>171.67959162879299</v>
      </c>
      <c r="AE4">
        <v>112.07443359526501</v>
      </c>
      <c r="AF4">
        <v>29.838257344753998</v>
      </c>
      <c r="AG4">
        <v>-5.0158212993909999</v>
      </c>
      <c r="AH4">
        <v>6727344572</v>
      </c>
      <c r="AI4">
        <v>9.3728291517849699E-2</v>
      </c>
      <c r="AJ4">
        <v>43682</v>
      </c>
    </row>
    <row r="5" spans="1:36" x14ac:dyDescent="0.25">
      <c r="A5">
        <v>4</v>
      </c>
      <c r="B5">
        <v>80</v>
      </c>
      <c r="C5">
        <v>0.94224044431079401</v>
      </c>
      <c r="D5">
        <v>0.86424990955848502</v>
      </c>
      <c r="E5">
        <v>-7.7990534752309396E-2</v>
      </c>
      <c r="F5">
        <v>4.9230825020907101E-2</v>
      </c>
      <c r="G5">
        <v>1.8262363048719001E-2</v>
      </c>
      <c r="H5">
        <v>4.9230825020907101E-2</v>
      </c>
      <c r="I5">
        <v>0.72321530754067298</v>
      </c>
      <c r="J5">
        <v>2.4310588927277998E-2</v>
      </c>
      <c r="K5">
        <v>19.5404106478512</v>
      </c>
      <c r="L5">
        <v>4.6882875073183303</v>
      </c>
      <c r="M5">
        <v>75.771301844830504</v>
      </c>
      <c r="N5">
        <v>33.121070765030801</v>
      </c>
      <c r="O5">
        <v>49.275550481011699</v>
      </c>
      <c r="P5">
        <v>17.6033787539575</v>
      </c>
      <c r="Q5">
        <v>0</v>
      </c>
      <c r="R5">
        <v>49.275550481011699</v>
      </c>
      <c r="S5">
        <v>0.72466943472009704</v>
      </c>
      <c r="T5">
        <v>-29.9554861331391</v>
      </c>
      <c r="U5">
        <v>379.433440881389</v>
      </c>
      <c r="V5">
        <v>99.8691445032686</v>
      </c>
      <c r="W5">
        <v>40.419081205095701</v>
      </c>
      <c r="X5">
        <v>69.767053634926199</v>
      </c>
      <c r="Y5">
        <v>56.575501164491698</v>
      </c>
      <c r="Z5">
        <v>3.6783458058164702</v>
      </c>
      <c r="AA5">
        <v>767.70417821989997</v>
      </c>
      <c r="AB5">
        <v>21.834976140630999</v>
      </c>
      <c r="AC5">
        <v>0</v>
      </c>
      <c r="AD5">
        <v>172.41396571685601</v>
      </c>
      <c r="AE5">
        <v>112.120769080824</v>
      </c>
      <c r="AF5">
        <v>29.5152142176761</v>
      </c>
      <c r="AG5">
        <v>-8.7296463821861892</v>
      </c>
      <c r="AH5">
        <v>48592869651.099998</v>
      </c>
      <c r="AI5">
        <v>7.4525321670171493E-2</v>
      </c>
      <c r="AJ5">
        <v>79134</v>
      </c>
    </row>
    <row r="6" spans="1:36" x14ac:dyDescent="0.25">
      <c r="A6">
        <v>5</v>
      </c>
      <c r="B6">
        <v>100</v>
      </c>
      <c r="C6">
        <v>0.85799615480075098</v>
      </c>
      <c r="D6">
        <v>0.850649287859227</v>
      </c>
      <c r="E6">
        <v>-7.3468669415245897E-3</v>
      </c>
      <c r="F6">
        <v>4.8943370936764097E-2</v>
      </c>
      <c r="G6">
        <v>1.6241715377896902E-2</v>
      </c>
      <c r="H6">
        <v>4.8943370936764097E-2</v>
      </c>
      <c r="I6">
        <v>0.69848453459696003</v>
      </c>
      <c r="J6">
        <v>3.8036296010841901E-2</v>
      </c>
      <c r="K6">
        <v>18.029628370648599</v>
      </c>
      <c r="L6">
        <v>5.8502669879517697</v>
      </c>
      <c r="M6">
        <v>76.120104641399706</v>
      </c>
      <c r="N6">
        <v>34.849968674079697</v>
      </c>
      <c r="O6">
        <v>45.181688065210302</v>
      </c>
      <c r="P6">
        <v>19.96834326071</v>
      </c>
      <c r="Q6">
        <v>0</v>
      </c>
      <c r="R6">
        <v>45.181688065210302</v>
      </c>
      <c r="S6">
        <v>0.61983446481489901</v>
      </c>
      <c r="T6">
        <v>-30.319400865720102</v>
      </c>
      <c r="U6">
        <v>341.392211466741</v>
      </c>
      <c r="V6">
        <v>99.896178859175095</v>
      </c>
      <c r="W6">
        <v>45.037195587070897</v>
      </c>
      <c r="X6">
        <v>90.564494806355995</v>
      </c>
      <c r="Y6">
        <v>55.907107934772498</v>
      </c>
      <c r="Z6">
        <v>3.6697746625163701</v>
      </c>
      <c r="AA6">
        <v>763.93969006641203</v>
      </c>
      <c r="AB6">
        <v>16.5666947808621</v>
      </c>
      <c r="AC6">
        <v>0</v>
      </c>
      <c r="AD6">
        <v>171.74790128455999</v>
      </c>
      <c r="AE6">
        <v>112.086999412021</v>
      </c>
      <c r="AF6">
        <v>29.7640068565298</v>
      </c>
      <c r="AG6">
        <v>-10.092085627795001</v>
      </c>
      <c r="AH6">
        <v>56831896157</v>
      </c>
      <c r="AI6">
        <v>7.1960030506228706E-2</v>
      </c>
      <c r="AJ6">
        <v>88624</v>
      </c>
    </row>
    <row r="7" spans="1:36" x14ac:dyDescent="0.25">
      <c r="A7">
        <v>6</v>
      </c>
      <c r="B7">
        <v>120</v>
      </c>
      <c r="C7">
        <v>0.84865712143717198</v>
      </c>
      <c r="D7">
        <v>0.83377956702599598</v>
      </c>
      <c r="E7">
        <v>-1.4877554411176001E-2</v>
      </c>
      <c r="F7">
        <v>4.9438750480105403E-2</v>
      </c>
      <c r="G7">
        <v>1.4796450212473E-2</v>
      </c>
      <c r="H7">
        <v>4.9438750480105403E-2</v>
      </c>
      <c r="I7">
        <v>0.67246060094419502</v>
      </c>
      <c r="J7">
        <v>4.7645014909116302E-2</v>
      </c>
      <c r="K7">
        <v>16.257100636706401</v>
      </c>
      <c r="L7">
        <v>6.0782809861107303</v>
      </c>
      <c r="M7">
        <v>77.664618377182805</v>
      </c>
      <c r="N7">
        <v>32.831029332172101</v>
      </c>
      <c r="O7">
        <v>47.311494493292798</v>
      </c>
      <c r="P7">
        <v>19.857476174535101</v>
      </c>
      <c r="Q7">
        <v>0</v>
      </c>
      <c r="R7">
        <v>47.311494493292798</v>
      </c>
      <c r="S7">
        <v>0.55961988626609604</v>
      </c>
      <c r="T7">
        <v>-29.956490135138498</v>
      </c>
      <c r="U7">
        <v>364.19255694617101</v>
      </c>
      <c r="V7">
        <v>99.8982333135001</v>
      </c>
      <c r="W7">
        <v>44.467479772050503</v>
      </c>
      <c r="X7">
        <v>105.01112289753399</v>
      </c>
      <c r="Y7">
        <v>57.053402600777197</v>
      </c>
      <c r="Z7">
        <v>3.6650014533989999</v>
      </c>
      <c r="AA7">
        <v>765.10341349177997</v>
      </c>
      <c r="AB7">
        <v>15.151978072951801</v>
      </c>
      <c r="AC7">
        <v>0</v>
      </c>
      <c r="AD7">
        <v>172.082720231368</v>
      </c>
      <c r="AE7">
        <v>112.097213962117</v>
      </c>
      <c r="AF7">
        <v>29.6608945168818</v>
      </c>
      <c r="AG7">
        <v>-12.186730804067601</v>
      </c>
      <c r="AH7">
        <v>50232980223.800003</v>
      </c>
      <c r="AI7">
        <v>7.2714498788572501E-2</v>
      </c>
      <c r="AJ7">
        <v>64815</v>
      </c>
    </row>
    <row r="8" spans="1:36" x14ac:dyDescent="0.25">
      <c r="A8">
        <v>7</v>
      </c>
      <c r="B8">
        <v>140</v>
      </c>
      <c r="C8">
        <v>0.80279962390522497</v>
      </c>
      <c r="D8">
        <v>0.80139525669998302</v>
      </c>
      <c r="E8">
        <v>-1.4043672052416901E-3</v>
      </c>
      <c r="F8">
        <v>4.9206292773340099E-2</v>
      </c>
      <c r="G8">
        <v>1.24007449225766E-2</v>
      </c>
      <c r="H8">
        <v>4.9206292773340099E-2</v>
      </c>
      <c r="I8">
        <v>0.63146127332111301</v>
      </c>
      <c r="J8">
        <v>5.9120652909612902E-2</v>
      </c>
      <c r="K8">
        <v>10.651234501432199</v>
      </c>
      <c r="L8">
        <v>4.8612910900140696</v>
      </c>
      <c r="M8">
        <v>84.487474408553695</v>
      </c>
      <c r="N8">
        <v>30.570820346786999</v>
      </c>
      <c r="O8">
        <v>49.226833140221501</v>
      </c>
      <c r="P8">
        <v>20.202346512991401</v>
      </c>
      <c r="Q8">
        <v>0</v>
      </c>
      <c r="R8">
        <v>49.226833140221501</v>
      </c>
      <c r="S8">
        <v>0.47011465210672898</v>
      </c>
      <c r="T8">
        <v>-30.222191176245701</v>
      </c>
      <c r="U8">
        <v>353.00243219714901</v>
      </c>
      <c r="V8">
        <v>99.958037379329099</v>
      </c>
      <c r="W8">
        <v>43.781871225397602</v>
      </c>
      <c r="X8">
        <v>126.334672655519</v>
      </c>
      <c r="Y8">
        <v>56.520513489344403</v>
      </c>
      <c r="Z8">
        <v>3.6288971199865698</v>
      </c>
      <c r="AA8">
        <v>769.22461250153106</v>
      </c>
      <c r="AB8">
        <v>12.194429393449999</v>
      </c>
      <c r="AC8">
        <v>0</v>
      </c>
      <c r="AD8">
        <v>172.257758342447</v>
      </c>
      <c r="AE8">
        <v>112.11444284304601</v>
      </c>
      <c r="AF8">
        <v>29.5947358801875</v>
      </c>
      <c r="AG8">
        <v>-13.932754152736701</v>
      </c>
      <c r="AH8">
        <v>133831320835</v>
      </c>
      <c r="AI8">
        <v>6.1585935590094697E-2</v>
      </c>
      <c r="AJ8">
        <v>70038</v>
      </c>
    </row>
    <row r="9" spans="1:36" x14ac:dyDescent="0.25">
      <c r="A9">
        <v>8</v>
      </c>
      <c r="B9">
        <v>160</v>
      </c>
      <c r="C9">
        <v>0.77633977250074204</v>
      </c>
      <c r="D9">
        <v>0.77917075877097897</v>
      </c>
      <c r="E9">
        <v>2.8309862702369298E-3</v>
      </c>
      <c r="F9">
        <v>4.8754551231180103E-2</v>
      </c>
      <c r="G9">
        <v>1.15764081140889E-2</v>
      </c>
      <c r="H9">
        <v>4.8754551231180103E-2</v>
      </c>
      <c r="I9">
        <v>0.59964980479471197</v>
      </c>
      <c r="J9">
        <v>7.0435443399817999E-2</v>
      </c>
      <c r="K9">
        <v>11.6090395675905</v>
      </c>
      <c r="L9">
        <v>4.7807574714697498</v>
      </c>
      <c r="M9">
        <v>83.610202960939702</v>
      </c>
      <c r="N9">
        <v>26.855065357674899</v>
      </c>
      <c r="O9">
        <v>48.7774111969578</v>
      </c>
      <c r="P9">
        <v>24.367523445367301</v>
      </c>
      <c r="Q9">
        <v>0</v>
      </c>
      <c r="R9">
        <v>48.7774111969578</v>
      </c>
      <c r="S9">
        <v>0.42685063744829399</v>
      </c>
      <c r="T9">
        <v>-30.132959347907502</v>
      </c>
      <c r="U9">
        <v>326.14900172465599</v>
      </c>
      <c r="V9">
        <v>99.940249564054099</v>
      </c>
      <c r="W9">
        <v>47.566067832848297</v>
      </c>
      <c r="X9">
        <v>147.04211018067301</v>
      </c>
      <c r="Y9">
        <v>55.469087327212897</v>
      </c>
      <c r="Z9">
        <v>3.6366864234668701</v>
      </c>
      <c r="AA9">
        <v>764.81719600909298</v>
      </c>
      <c r="AB9">
        <v>10.7793937276554</v>
      </c>
      <c r="AC9">
        <v>0</v>
      </c>
      <c r="AD9">
        <v>171.62522568268599</v>
      </c>
      <c r="AE9">
        <v>112.08521306778201</v>
      </c>
      <c r="AF9">
        <v>29.7631674410936</v>
      </c>
      <c r="AG9">
        <v>-12.4117547196335</v>
      </c>
      <c r="AH9">
        <v>91259866729</v>
      </c>
      <c r="AI9">
        <v>6.6602264715024298E-2</v>
      </c>
      <c r="AJ9">
        <v>74591</v>
      </c>
    </row>
    <row r="10" spans="1:36" x14ac:dyDescent="0.25">
      <c r="A10">
        <v>9</v>
      </c>
      <c r="B10">
        <v>180</v>
      </c>
      <c r="C10">
        <v>0.74242859310355402</v>
      </c>
      <c r="D10">
        <v>0.73354782941503405</v>
      </c>
      <c r="E10">
        <v>-8.88076368852035E-3</v>
      </c>
      <c r="F10">
        <v>4.9359840927715101E-2</v>
      </c>
      <c r="G10">
        <v>8.9726141075101608E-3</v>
      </c>
      <c r="H10">
        <v>4.9359840927715101E-2</v>
      </c>
      <c r="I10">
        <v>0.53717573749437997</v>
      </c>
      <c r="J10">
        <v>8.86797959577139E-2</v>
      </c>
      <c r="K10">
        <v>6.8910121570784399</v>
      </c>
      <c r="L10">
        <v>4.0524932572266801</v>
      </c>
      <c r="M10">
        <v>89.056494585694907</v>
      </c>
      <c r="N10">
        <v>28.192178618380101</v>
      </c>
      <c r="O10">
        <v>52.465864500569097</v>
      </c>
      <c r="P10">
        <v>19.341956881050798</v>
      </c>
      <c r="Q10">
        <v>0</v>
      </c>
      <c r="R10">
        <v>52.465864500569097</v>
      </c>
      <c r="S10">
        <v>0.33107092605733002</v>
      </c>
      <c r="T10">
        <v>-29.6711296297823</v>
      </c>
      <c r="U10">
        <v>352.56323155424201</v>
      </c>
      <c r="V10">
        <v>99.9755902793041</v>
      </c>
      <c r="W10">
        <v>45.339764965262702</v>
      </c>
      <c r="X10">
        <v>177.68669492555401</v>
      </c>
      <c r="Y10">
        <v>56.872198457149203</v>
      </c>
      <c r="Z10">
        <v>3.6107088077389999</v>
      </c>
      <c r="AA10">
        <v>770.97869110577005</v>
      </c>
      <c r="AB10">
        <v>8.4099334357986208</v>
      </c>
      <c r="AC10">
        <v>0</v>
      </c>
      <c r="AD10">
        <v>172.74816774090999</v>
      </c>
      <c r="AE10">
        <v>112.15017714292</v>
      </c>
      <c r="AF10">
        <v>29.5412268837025</v>
      </c>
      <c r="AG10">
        <v>-15.659690307362199</v>
      </c>
      <c r="AH10">
        <v>205284383056.39999</v>
      </c>
      <c r="AI10">
        <v>5.8716723202492001E-2</v>
      </c>
      <c r="AJ10">
        <v>40705</v>
      </c>
    </row>
    <row r="11" spans="1:36" x14ac:dyDescent="0.25">
      <c r="A11">
        <v>10</v>
      </c>
      <c r="B11">
        <v>200</v>
      </c>
      <c r="C11">
        <v>0.75954895182264803</v>
      </c>
      <c r="D11">
        <v>0.75607429113201996</v>
      </c>
      <c r="E11">
        <v>-3.47466069062772E-3</v>
      </c>
      <c r="F11">
        <v>4.8185910597642601E-2</v>
      </c>
      <c r="G11">
        <v>1.1120900645619601E-2</v>
      </c>
      <c r="H11">
        <v>4.8185910597642601E-2</v>
      </c>
      <c r="I11">
        <v>0.56423801818285002</v>
      </c>
      <c r="J11">
        <v>8.4343551108265302E-2</v>
      </c>
      <c r="K11">
        <v>19.072341597113802</v>
      </c>
      <c r="L11">
        <v>10.525549545514</v>
      </c>
      <c r="M11">
        <v>70.402108857372198</v>
      </c>
      <c r="N11">
        <v>27.698426867764599</v>
      </c>
      <c r="O11">
        <v>43.331771915948302</v>
      </c>
      <c r="P11">
        <v>28.969801216287198</v>
      </c>
      <c r="Q11">
        <v>0</v>
      </c>
      <c r="R11">
        <v>43.331771915948302</v>
      </c>
      <c r="S11">
        <v>0.379515473981062</v>
      </c>
      <c r="T11">
        <v>-32.854520901235297</v>
      </c>
      <c r="U11">
        <v>280.65989660224301</v>
      </c>
      <c r="V11">
        <v>99.873582869877694</v>
      </c>
      <c r="W11">
        <v>47.4299064775484</v>
      </c>
      <c r="X11">
        <v>182.36742706268799</v>
      </c>
      <c r="Y11">
        <v>54.165277920966801</v>
      </c>
      <c r="Z11">
        <v>3.66890497068988</v>
      </c>
      <c r="AA11">
        <v>753.18275745376002</v>
      </c>
      <c r="AB11">
        <v>9.5921918255463705</v>
      </c>
      <c r="AC11">
        <v>0</v>
      </c>
      <c r="AD11">
        <v>169.19219653622901</v>
      </c>
      <c r="AE11">
        <v>111.91318463441699</v>
      </c>
      <c r="AF11">
        <v>30.3807849329751</v>
      </c>
      <c r="AG11">
        <v>-12.600634773167901</v>
      </c>
      <c r="AH11">
        <v>31181063520.799999</v>
      </c>
      <c r="AI11">
        <v>6.3477291540247005E-2</v>
      </c>
      <c r="AJ11">
        <v>23620</v>
      </c>
    </row>
    <row r="12" spans="1:36" x14ac:dyDescent="0.25">
      <c r="A12">
        <v>11</v>
      </c>
      <c r="B12">
        <v>220</v>
      </c>
      <c r="C12">
        <v>0.92205230454579201</v>
      </c>
      <c r="D12">
        <v>0.78520376940130798</v>
      </c>
      <c r="E12">
        <v>-0.136848535144484</v>
      </c>
      <c r="F12">
        <v>4.9749579068373698E-2</v>
      </c>
      <c r="G12">
        <v>1.8428095333469799E-2</v>
      </c>
      <c r="H12">
        <v>4.9749579068373698E-2</v>
      </c>
      <c r="I12">
        <v>0.564185263237166</v>
      </c>
      <c r="J12">
        <v>0.103091252693924</v>
      </c>
      <c r="K12">
        <v>42.5876359455388</v>
      </c>
      <c r="L12">
        <v>16.811824364917399</v>
      </c>
      <c r="M12">
        <v>40.600539689543801</v>
      </c>
      <c r="N12">
        <v>33.325613215380798</v>
      </c>
      <c r="O12">
        <v>37.759578281211702</v>
      </c>
      <c r="P12">
        <v>28.9148085034075</v>
      </c>
      <c r="Q12">
        <v>0</v>
      </c>
      <c r="R12">
        <v>37.759578281211702</v>
      </c>
      <c r="S12">
        <v>0.56878675788717503</v>
      </c>
      <c r="T12">
        <v>-31.290196263884599</v>
      </c>
      <c r="U12">
        <v>327.78783581130801</v>
      </c>
      <c r="V12">
        <v>98.922761436361895</v>
      </c>
      <c r="W12">
        <v>44.531203638207799</v>
      </c>
      <c r="X12">
        <v>211.590115390856</v>
      </c>
      <c r="Y12">
        <v>57.722476084963198</v>
      </c>
      <c r="Z12">
        <v>3.86844792906837</v>
      </c>
      <c r="AA12">
        <v>731.184571828049</v>
      </c>
      <c r="AB12">
        <v>13.7866444174783</v>
      </c>
      <c r="AC12">
        <v>0</v>
      </c>
      <c r="AD12">
        <v>163.844484651144</v>
      </c>
      <c r="AE12">
        <v>111.535750237024</v>
      </c>
      <c r="AF12">
        <v>32.253770427417997</v>
      </c>
      <c r="AG12">
        <v>-17.035753945220598</v>
      </c>
      <c r="AH12">
        <v>2449786836.0999999</v>
      </c>
      <c r="AI12">
        <v>8.9031742848157097E-2</v>
      </c>
      <c r="AJ12">
        <v>8618</v>
      </c>
    </row>
    <row r="13" spans="1:36" x14ac:dyDescent="0.25">
      <c r="A13">
        <v>12</v>
      </c>
      <c r="B13">
        <v>240</v>
      </c>
      <c r="C13">
        <v>0.785291728103787</v>
      </c>
      <c r="D13">
        <v>0.73969415119744297</v>
      </c>
      <c r="E13">
        <v>-4.5597576906343203E-2</v>
      </c>
      <c r="F13">
        <v>4.9147345676580197E-2</v>
      </c>
      <c r="G13">
        <v>1.41777900405413E-2</v>
      </c>
      <c r="H13">
        <v>4.9147345676580197E-2</v>
      </c>
      <c r="I13">
        <v>0.51614520287716903</v>
      </c>
      <c r="J13">
        <v>0.111076466926572</v>
      </c>
      <c r="K13">
        <v>36.869374734905698</v>
      </c>
      <c r="L13">
        <v>13.3568724059029</v>
      </c>
      <c r="M13">
        <v>49.773752859191397</v>
      </c>
      <c r="N13">
        <v>31.016452262416902</v>
      </c>
      <c r="O13">
        <v>42.997808220264197</v>
      </c>
      <c r="P13">
        <v>25.985739517318802</v>
      </c>
      <c r="Q13">
        <v>0</v>
      </c>
      <c r="R13">
        <v>42.997808220264197</v>
      </c>
      <c r="S13">
        <v>0.48997799514288898</v>
      </c>
      <c r="T13">
        <v>-31.478288032465599</v>
      </c>
      <c r="U13">
        <v>339.85758680166498</v>
      </c>
      <c r="V13">
        <v>99.732875206575599</v>
      </c>
      <c r="W13">
        <v>43.161836176353802</v>
      </c>
      <c r="X13">
        <v>234.32113309668901</v>
      </c>
      <c r="Y13">
        <v>56.378894494124197</v>
      </c>
      <c r="Z13">
        <v>3.7970789638034699</v>
      </c>
      <c r="AA13">
        <v>741.85644444794502</v>
      </c>
      <c r="AB13">
        <v>13.1119804395336</v>
      </c>
      <c r="AC13">
        <v>0</v>
      </c>
      <c r="AD13">
        <v>169.35642014863399</v>
      </c>
      <c r="AE13">
        <v>111.894909793938</v>
      </c>
      <c r="AF13">
        <v>30.198255722912101</v>
      </c>
      <c r="AG13">
        <v>-6.50879011067431</v>
      </c>
      <c r="AH13">
        <v>14893288211.1</v>
      </c>
      <c r="AI13">
        <v>6.0330962575034501E-2</v>
      </c>
      <c r="AJ13">
        <v>14280</v>
      </c>
    </row>
    <row r="14" spans="1:36" x14ac:dyDescent="0.25">
      <c r="A14">
        <v>13</v>
      </c>
      <c r="B14">
        <v>260</v>
      </c>
      <c r="C14">
        <v>0.67802408478050702</v>
      </c>
      <c r="D14">
        <v>0.65119556630606401</v>
      </c>
      <c r="E14">
        <v>-2.6828518474443099E-2</v>
      </c>
      <c r="F14">
        <v>4.9015409567550898E-2</v>
      </c>
      <c r="G14">
        <v>8.6103397825852204E-3</v>
      </c>
      <c r="H14">
        <v>4.9015409567550898E-2</v>
      </c>
      <c r="I14">
        <v>0.43226453981326302</v>
      </c>
      <c r="J14">
        <v>0.112289867575114</v>
      </c>
      <c r="K14">
        <v>5.6977843668926296</v>
      </c>
      <c r="L14">
        <v>3.9712073200838001</v>
      </c>
      <c r="M14">
        <v>90.331008313023602</v>
      </c>
      <c r="N14">
        <v>25.548424827060501</v>
      </c>
      <c r="O14">
        <v>54.383755407304797</v>
      </c>
      <c r="P14">
        <v>20.067819765634699</v>
      </c>
      <c r="Q14">
        <v>0</v>
      </c>
      <c r="R14">
        <v>54.383755407304797</v>
      </c>
      <c r="S14">
        <v>0.31571595171828898</v>
      </c>
      <c r="T14">
        <v>-32.785320457352</v>
      </c>
      <c r="U14">
        <v>287.73894027991798</v>
      </c>
      <c r="V14">
        <v>99.992057252390097</v>
      </c>
      <c r="W14">
        <v>46.094722152087101</v>
      </c>
      <c r="X14">
        <v>249.09014173235099</v>
      </c>
      <c r="Y14">
        <v>56.077212307694701</v>
      </c>
      <c r="Z14">
        <v>3.5764054597553199</v>
      </c>
      <c r="AA14">
        <v>770.05379757017602</v>
      </c>
      <c r="AB14">
        <v>5.7871348411175898</v>
      </c>
      <c r="AC14">
        <v>0</v>
      </c>
      <c r="AD14">
        <v>172.580583894744</v>
      </c>
      <c r="AE14">
        <v>112.147524336915</v>
      </c>
      <c r="AF14">
        <v>29.5383886964959</v>
      </c>
      <c r="AG14">
        <v>-17.199196872932699</v>
      </c>
      <c r="AH14">
        <v>479610643823</v>
      </c>
      <c r="AI14">
        <v>4.1930959824737199E-2</v>
      </c>
      <c r="AJ14">
        <v>31357</v>
      </c>
    </row>
    <row r="15" spans="1:36" x14ac:dyDescent="0.25">
      <c r="A15">
        <v>14</v>
      </c>
      <c r="B15">
        <v>280</v>
      </c>
      <c r="C15">
        <v>0.66853572306037801</v>
      </c>
      <c r="D15">
        <v>0.66810360642955002</v>
      </c>
      <c r="E15">
        <v>-4.3211663082815102E-4</v>
      </c>
      <c r="F15">
        <v>4.9074269939281198E-2</v>
      </c>
      <c r="G15">
        <v>1.43761461288656E-2</v>
      </c>
      <c r="H15">
        <v>4.9074269939281198E-2</v>
      </c>
      <c r="I15">
        <v>0.439676622863232</v>
      </c>
      <c r="J15">
        <v>0.11590229755889001</v>
      </c>
      <c r="K15">
        <v>26.880937664413</v>
      </c>
      <c r="L15">
        <v>21.9933595393796</v>
      </c>
      <c r="M15">
        <v>51.125702796207399</v>
      </c>
      <c r="N15">
        <v>26.131737904736799</v>
      </c>
      <c r="O15">
        <v>42.8034156619781</v>
      </c>
      <c r="P15">
        <v>31.064846433285101</v>
      </c>
      <c r="Q15">
        <v>0</v>
      </c>
      <c r="R15">
        <v>42.8034156619781</v>
      </c>
      <c r="S15">
        <v>0.45453490052942502</v>
      </c>
      <c r="T15">
        <v>-34.338186590912201</v>
      </c>
      <c r="U15">
        <v>296.02529493519302</v>
      </c>
      <c r="V15">
        <v>99.851041544268199</v>
      </c>
      <c r="W15">
        <v>43.6706788478714</v>
      </c>
      <c r="X15">
        <v>266.17277343006702</v>
      </c>
      <c r="Y15">
        <v>56.215880617526899</v>
      </c>
      <c r="Z15">
        <v>3.72980387403233</v>
      </c>
      <c r="AA15">
        <v>737.71960430761396</v>
      </c>
      <c r="AB15">
        <v>8.7512778682476799</v>
      </c>
      <c r="AC15">
        <v>0</v>
      </c>
      <c r="AD15">
        <v>166.69339940962399</v>
      </c>
      <c r="AE15">
        <v>111.691854764116</v>
      </c>
      <c r="AF15">
        <v>31.087219429691402</v>
      </c>
      <c r="AG15">
        <v>-18.367436697102399</v>
      </c>
      <c r="AH15">
        <v>7107391655.1999998</v>
      </c>
      <c r="AI15">
        <v>5.8839580674232797E-2</v>
      </c>
      <c r="AJ15">
        <v>8869</v>
      </c>
    </row>
    <row r="16" spans="1:36" x14ac:dyDescent="0.25">
      <c r="A16">
        <v>15</v>
      </c>
      <c r="B16">
        <v>300</v>
      </c>
      <c r="C16">
        <v>0.61865842239060898</v>
      </c>
      <c r="D16">
        <v>0.62519368688560395</v>
      </c>
      <c r="E16">
        <v>6.5352644949948696E-3</v>
      </c>
      <c r="F16">
        <v>4.8873828310274398E-2</v>
      </c>
      <c r="G16">
        <v>8.4546500853560896E-3</v>
      </c>
      <c r="H16">
        <v>4.8873828310274398E-2</v>
      </c>
      <c r="I16">
        <v>0.38175766879664103</v>
      </c>
      <c r="J16">
        <v>0.13723371138305801</v>
      </c>
      <c r="K16">
        <v>6.5708080369816404</v>
      </c>
      <c r="L16">
        <v>4.2637013220442199</v>
      </c>
      <c r="M16">
        <v>89.165490640974099</v>
      </c>
      <c r="N16">
        <v>25.680330769232</v>
      </c>
      <c r="O16">
        <v>56.8925465587471</v>
      </c>
      <c r="P16">
        <v>17.4271226720209</v>
      </c>
      <c r="Q16">
        <v>0</v>
      </c>
      <c r="R16">
        <v>56.8925465587471</v>
      </c>
      <c r="S16">
        <v>0.31261609511053201</v>
      </c>
      <c r="T16">
        <v>-35.864580270012397</v>
      </c>
      <c r="U16">
        <v>251.00300030538699</v>
      </c>
      <c r="V16">
        <v>99.986380484761099</v>
      </c>
      <c r="W16">
        <v>44.2418058991667</v>
      </c>
      <c r="X16">
        <v>379.98304778874802</v>
      </c>
      <c r="Y16">
        <v>55.749705029479102</v>
      </c>
      <c r="Z16">
        <v>3.56707496031171</v>
      </c>
      <c r="AA16">
        <v>767.78871358791696</v>
      </c>
      <c r="AB16">
        <v>2.99326427238899</v>
      </c>
      <c r="AC16">
        <v>0</v>
      </c>
      <c r="AD16">
        <v>172.519941740126</v>
      </c>
      <c r="AE16">
        <v>112.145694693807</v>
      </c>
      <c r="AF16">
        <v>29.588381664010399</v>
      </c>
      <c r="AG16">
        <v>-17.476388218030301</v>
      </c>
      <c r="AH16">
        <v>615466695388</v>
      </c>
      <c r="AI16">
        <v>5.9862989022368501E-2</v>
      </c>
      <c r="AJ16">
        <v>96970</v>
      </c>
    </row>
    <row r="19" spans="2:21" x14ac:dyDescent="0.25">
      <c r="M19" t="s">
        <v>41</v>
      </c>
      <c r="R19" t="s">
        <v>44</v>
      </c>
    </row>
    <row r="20" spans="2:21" x14ac:dyDescent="0.25">
      <c r="D20" t="s">
        <v>35</v>
      </c>
      <c r="E20" t="s">
        <v>36</v>
      </c>
      <c r="F20" t="s">
        <v>37</v>
      </c>
      <c r="G20" t="s">
        <v>38</v>
      </c>
      <c r="I20" t="s">
        <v>39</v>
      </c>
      <c r="J20" t="s">
        <v>40</v>
      </c>
      <c r="N20" t="s">
        <v>42</v>
      </c>
      <c r="O20" t="s">
        <v>43</v>
      </c>
      <c r="P20" t="s">
        <v>38</v>
      </c>
      <c r="R20" t="s">
        <v>43</v>
      </c>
      <c r="S20" t="s">
        <v>38</v>
      </c>
      <c r="T20" t="s">
        <v>45</v>
      </c>
    </row>
    <row r="21" spans="2:21" x14ac:dyDescent="0.25">
      <c r="B21">
        <f>B2</f>
        <v>20</v>
      </c>
      <c r="C21">
        <f>C2</f>
        <v>10.736215766636899</v>
      </c>
      <c r="D21">
        <f>F2+G2+H2+J2</f>
        <v>0.1149408072934872</v>
      </c>
      <c r="E21">
        <f>C21-D21</f>
        <v>10.621274959343411</v>
      </c>
      <c r="F21">
        <f>I2</f>
        <v>2.56737194070742</v>
      </c>
      <c r="G21">
        <f>E21/F21</f>
        <v>4.1370222954204285</v>
      </c>
      <c r="I21">
        <v>1.26221426713733</v>
      </c>
      <c r="M21">
        <v>0</v>
      </c>
      <c r="N21">
        <v>1.32</v>
      </c>
      <c r="O21">
        <v>5.1890000000000001</v>
      </c>
      <c r="P21" s="2">
        <f>O21/N21</f>
        <v>3.9310606060606057</v>
      </c>
      <c r="R21">
        <v>5.1890000000000001</v>
      </c>
      <c r="T21">
        <v>1.6</v>
      </c>
      <c r="U21">
        <f>T21/N21</f>
        <v>1.2121212121212122</v>
      </c>
    </row>
    <row r="22" spans="2:21" x14ac:dyDescent="0.25">
      <c r="B22">
        <f t="shared" ref="B22:C22" si="0">B3</f>
        <v>40</v>
      </c>
      <c r="C22">
        <f t="shared" si="0"/>
        <v>3.3651838352118499</v>
      </c>
      <c r="D22">
        <f t="shared" ref="D22:D28" si="1">F3+G3+H3+J3</f>
        <v>0.11761128895026005</v>
      </c>
      <c r="E22">
        <f t="shared" ref="E22:E28" si="2">C22-D22</f>
        <v>3.2475725462615901</v>
      </c>
      <c r="F22">
        <f t="shared" ref="F22:F28" si="3">I3</f>
        <v>1.5544672039243099</v>
      </c>
      <c r="G22">
        <f t="shared" ref="G22:G30" si="4">E22/F22</f>
        <v>2.0891869175901383</v>
      </c>
      <c r="I22">
        <v>1.19853961648829</v>
      </c>
      <c r="J22">
        <f t="shared" ref="J22:J30" si="5">G22*I22</f>
        <v>2.5039732869808371</v>
      </c>
      <c r="M22">
        <v>60</v>
      </c>
      <c r="N22">
        <v>1.1314998699613299</v>
      </c>
      <c r="O22">
        <v>1.307637333</v>
      </c>
      <c r="P22" s="2">
        <f t="shared" ref="P22:P29" si="6">O22/N22</f>
        <v>1.1556672410794795</v>
      </c>
      <c r="R22">
        <v>1.307637333</v>
      </c>
      <c r="T22">
        <f>N22*1.12</f>
        <v>1.2672798543566897</v>
      </c>
    </row>
    <row r="23" spans="2:21" x14ac:dyDescent="0.25">
      <c r="B23">
        <f t="shared" ref="B23:C23" si="7">B4</f>
        <v>60</v>
      </c>
      <c r="C23">
        <f t="shared" si="7"/>
        <v>1.26432326482535</v>
      </c>
      <c r="D23">
        <f t="shared" si="1"/>
        <v>0.12617149621727397</v>
      </c>
      <c r="E23">
        <f t="shared" si="2"/>
        <v>1.138151768608076</v>
      </c>
      <c r="F23">
        <f t="shared" si="3"/>
        <v>1.1768230466785501</v>
      </c>
      <c r="G23">
        <f t="shared" si="4"/>
        <v>0.96713925837905756</v>
      </c>
      <c r="I23">
        <v>1.307637333</v>
      </c>
      <c r="J23">
        <f t="shared" si="5"/>
        <v>1.2646674004663887</v>
      </c>
      <c r="M23">
        <v>80</v>
      </c>
      <c r="N23">
        <v>1.0636188494648799</v>
      </c>
      <c r="O23">
        <v>1.184352243</v>
      </c>
      <c r="P23" s="2">
        <f t="shared" si="6"/>
        <v>1.1135118972326059</v>
      </c>
      <c r="R23">
        <v>1.184352243</v>
      </c>
      <c r="S23">
        <f>0.97*0.97</f>
        <v>0.94089999999999996</v>
      </c>
      <c r="T23">
        <v>1.17</v>
      </c>
      <c r="U23">
        <f t="shared" ref="U22:U23" si="8">T23/N23</f>
        <v>1.1000181132448354</v>
      </c>
    </row>
    <row r="24" spans="2:21" x14ac:dyDescent="0.25">
      <c r="B24">
        <f t="shared" ref="B24:C24" si="9">B5</f>
        <v>80</v>
      </c>
      <c r="C24">
        <f t="shared" si="9"/>
        <v>0.94224044431079401</v>
      </c>
      <c r="D24">
        <f t="shared" si="1"/>
        <v>0.14103460201781121</v>
      </c>
      <c r="E24">
        <f t="shared" si="2"/>
        <v>0.80120584229298286</v>
      </c>
      <c r="F24">
        <f t="shared" si="3"/>
        <v>0.72321530754067298</v>
      </c>
      <c r="G24">
        <f t="shared" si="4"/>
        <v>1.1078386117372436</v>
      </c>
      <c r="I24">
        <v>1.184352243</v>
      </c>
      <c r="J24">
        <f t="shared" si="5"/>
        <v>1.3120711446930107</v>
      </c>
      <c r="M24">
        <v>120</v>
      </c>
      <c r="N24">
        <v>0.935428274197323</v>
      </c>
      <c r="O24">
        <v>1.113</v>
      </c>
      <c r="P24" s="2">
        <f t="shared" si="6"/>
        <v>1.1898293334730006</v>
      </c>
      <c r="R24">
        <v>1.113</v>
      </c>
      <c r="S24">
        <v>1</v>
      </c>
      <c r="T24">
        <f t="shared" ref="T24:T26" si="10">R24*S24</f>
        <v>1.113</v>
      </c>
    </row>
    <row r="25" spans="2:21" x14ac:dyDescent="0.25">
      <c r="B25">
        <f t="shared" ref="B25:C25" si="11">B6</f>
        <v>100</v>
      </c>
      <c r="C25">
        <f t="shared" si="11"/>
        <v>0.85799615480075098</v>
      </c>
      <c r="D25">
        <f t="shared" si="1"/>
        <v>0.152164753262267</v>
      </c>
      <c r="E25">
        <f t="shared" si="2"/>
        <v>0.705831401538484</v>
      </c>
      <c r="F25">
        <f t="shared" si="3"/>
        <v>0.69848453459696003</v>
      </c>
      <c r="G25">
        <f t="shared" si="4"/>
        <v>1.0105182957927097</v>
      </c>
      <c r="M25">
        <v>160</v>
      </c>
      <c r="N25">
        <v>0.834158465953176</v>
      </c>
      <c r="O25">
        <v>0.98399999999999999</v>
      </c>
      <c r="P25" s="2">
        <f t="shared" si="6"/>
        <v>1.1796319766120256</v>
      </c>
      <c r="R25">
        <v>0.98399999999999999</v>
      </c>
      <c r="S25">
        <v>1</v>
      </c>
      <c r="T25">
        <f t="shared" si="10"/>
        <v>0.98399999999999999</v>
      </c>
    </row>
    <row r="26" spans="2:21" x14ac:dyDescent="0.25">
      <c r="B26">
        <f t="shared" ref="B26:C26" si="12">B7</f>
        <v>120</v>
      </c>
      <c r="C26">
        <f t="shared" si="12"/>
        <v>0.84865712143717198</v>
      </c>
      <c r="D26">
        <f t="shared" si="1"/>
        <v>0.1613189660818001</v>
      </c>
      <c r="E26">
        <f t="shared" si="2"/>
        <v>0.6873381553553719</v>
      </c>
      <c r="F26">
        <f t="shared" si="3"/>
        <v>0.67246060094419502</v>
      </c>
      <c r="G26">
        <f t="shared" si="4"/>
        <v>1.0221240536475853</v>
      </c>
      <c r="I26">
        <v>0.935428274197323</v>
      </c>
      <c r="J26">
        <f t="shared" si="5"/>
        <v>0.95612373951913265</v>
      </c>
      <c r="M26">
        <v>200</v>
      </c>
      <c r="N26">
        <v>0.78</v>
      </c>
      <c r="O26">
        <v>0.90300000000000002</v>
      </c>
      <c r="P26" s="2">
        <f t="shared" si="6"/>
        <v>1.1576923076923076</v>
      </c>
      <c r="R26">
        <v>0.90300000000000002</v>
      </c>
      <c r="S26">
        <v>1</v>
      </c>
      <c r="T26">
        <f t="shared" si="10"/>
        <v>0.90300000000000002</v>
      </c>
    </row>
    <row r="27" spans="2:21" x14ac:dyDescent="0.25">
      <c r="B27">
        <f t="shared" ref="B27:C27" si="13">B8</f>
        <v>140</v>
      </c>
      <c r="C27">
        <f t="shared" si="13"/>
        <v>0.80279962390522497</v>
      </c>
      <c r="D27">
        <f t="shared" si="1"/>
        <v>0.1699339833788697</v>
      </c>
      <c r="E27">
        <f t="shared" si="2"/>
        <v>0.6328656405263553</v>
      </c>
      <c r="F27">
        <f t="shared" si="3"/>
        <v>0.63146127332111301</v>
      </c>
      <c r="G27">
        <f t="shared" si="4"/>
        <v>1.0022239957770587</v>
      </c>
      <c r="M27">
        <v>300</v>
      </c>
      <c r="N27">
        <v>0.74662311035888396</v>
      </c>
      <c r="O27">
        <v>0.67400000000000004</v>
      </c>
      <c r="P27" s="2">
        <f t="shared" si="6"/>
        <v>0.90273123165987224</v>
      </c>
      <c r="R27">
        <v>0.67400000000000004</v>
      </c>
      <c r="S27">
        <v>1.07</v>
      </c>
      <c r="T27">
        <f>R27*S27</f>
        <v>0.72118000000000004</v>
      </c>
    </row>
    <row r="28" spans="2:21" x14ac:dyDescent="0.25">
      <c r="B28">
        <f t="shared" ref="B28:C28" si="14">B9</f>
        <v>160</v>
      </c>
      <c r="C28">
        <f t="shared" si="14"/>
        <v>0.77633977250074204</v>
      </c>
      <c r="D28">
        <f t="shared" si="1"/>
        <v>0.17952095397626711</v>
      </c>
      <c r="E28">
        <f t="shared" si="2"/>
        <v>0.59681881852447494</v>
      </c>
      <c r="F28">
        <f t="shared" si="3"/>
        <v>0.59964980479471197</v>
      </c>
      <c r="G28">
        <f t="shared" si="4"/>
        <v>0.99527893405851064</v>
      </c>
      <c r="I28">
        <v>0.834158465953176</v>
      </c>
      <c r="J28">
        <f t="shared" si="5"/>
        <v>0.83022034882975948</v>
      </c>
      <c r="M28">
        <v>600</v>
      </c>
      <c r="N28">
        <v>0.72</v>
      </c>
      <c r="O28">
        <v>0.67400000000000004</v>
      </c>
      <c r="P28" s="2">
        <f t="shared" si="6"/>
        <v>0.93611111111111123</v>
      </c>
      <c r="R28">
        <v>0.67400000000000004</v>
      </c>
      <c r="S28">
        <v>1.07</v>
      </c>
      <c r="T28">
        <f t="shared" ref="T28:T29" si="15">R28*S28</f>
        <v>0.72118000000000004</v>
      </c>
    </row>
    <row r="29" spans="2:21" x14ac:dyDescent="0.25">
      <c r="B29">
        <f t="shared" ref="B29:C29" si="16">B10</f>
        <v>180</v>
      </c>
      <c r="C29">
        <f t="shared" si="16"/>
        <v>0.74242859310355402</v>
      </c>
      <c r="D29">
        <f t="shared" ref="D29:D30" si="17">F10+G10+H10+J10</f>
        <v>0.19637209192065425</v>
      </c>
      <c r="E29">
        <f t="shared" ref="E29:E30" si="18">C29-D29</f>
        <v>0.54605650118289972</v>
      </c>
      <c r="F29">
        <f t="shared" ref="F29:F30" si="19">I10</f>
        <v>0.53717573749437997</v>
      </c>
      <c r="G29">
        <f t="shared" si="4"/>
        <v>1.0165323246540201</v>
      </c>
      <c r="M29">
        <v>800</v>
      </c>
      <c r="N29">
        <v>0.69</v>
      </c>
      <c r="O29">
        <v>0.67400000000000004</v>
      </c>
      <c r="P29" s="2">
        <f t="shared" si="6"/>
        <v>0.97681159420289865</v>
      </c>
      <c r="R29">
        <v>0.67400000000000004</v>
      </c>
      <c r="S29">
        <v>1.07</v>
      </c>
      <c r="T29">
        <f t="shared" si="15"/>
        <v>0.72118000000000004</v>
      </c>
    </row>
    <row r="30" spans="2:21" x14ac:dyDescent="0.25">
      <c r="B30">
        <f t="shared" ref="B30:C30" si="20">B11</f>
        <v>200</v>
      </c>
      <c r="C30">
        <f t="shared" si="20"/>
        <v>0.75954895182264803</v>
      </c>
      <c r="D30">
        <f t="shared" si="17"/>
        <v>0.19183627294917011</v>
      </c>
      <c r="E30">
        <f t="shared" si="18"/>
        <v>0.56771267887347787</v>
      </c>
      <c r="F30">
        <f t="shared" si="19"/>
        <v>0.56423801818285002</v>
      </c>
      <c r="G30">
        <f t="shared" si="4"/>
        <v>1.0061581470561274</v>
      </c>
      <c r="I30">
        <v>0.78</v>
      </c>
      <c r="J30">
        <f t="shared" si="5"/>
        <v>0.78480335470377938</v>
      </c>
    </row>
    <row r="31" spans="2:21" x14ac:dyDescent="0.25">
      <c r="B31">
        <f t="shared" ref="B31:C31" si="21">B12</f>
        <v>220</v>
      </c>
      <c r="C31">
        <f t="shared" si="21"/>
        <v>0.92205230454579201</v>
      </c>
      <c r="D31">
        <f t="shared" ref="D31:D35" si="22">F12+G12+H12+J12</f>
        <v>0.2210185061641412</v>
      </c>
      <c r="E31">
        <f t="shared" ref="E31:E35" si="23">C31-D31</f>
        <v>0.70103379838165081</v>
      </c>
      <c r="F31">
        <f t="shared" ref="F31:F35" si="24">I12</f>
        <v>0.564185263237166</v>
      </c>
      <c r="G31">
        <f t="shared" ref="G31:G35" si="25">E31/F31</f>
        <v>1.2425595705199375</v>
      </c>
    </row>
    <row r="32" spans="2:21" x14ac:dyDescent="0.25">
      <c r="B32">
        <f t="shared" ref="B32:C32" si="26">B13</f>
        <v>240</v>
      </c>
      <c r="C32">
        <f t="shared" si="26"/>
        <v>0.785291728103787</v>
      </c>
      <c r="D32">
        <f t="shared" si="22"/>
        <v>0.22354894832027369</v>
      </c>
      <c r="E32">
        <f t="shared" si="23"/>
        <v>0.56174277978351328</v>
      </c>
      <c r="F32">
        <f t="shared" si="24"/>
        <v>0.51614520287716903</v>
      </c>
      <c r="G32">
        <f t="shared" si="25"/>
        <v>1.08834253743359</v>
      </c>
    </row>
    <row r="33" spans="2:10" x14ac:dyDescent="0.25">
      <c r="B33">
        <f t="shared" ref="B33:C33" si="27">B14</f>
        <v>260</v>
      </c>
      <c r="C33">
        <f t="shared" si="27"/>
        <v>0.67802408478050702</v>
      </c>
      <c r="D33">
        <f t="shared" si="22"/>
        <v>0.21893102649280102</v>
      </c>
      <c r="E33">
        <f t="shared" si="23"/>
        <v>0.45909305828770597</v>
      </c>
      <c r="F33">
        <f t="shared" si="24"/>
        <v>0.43226453981326302</v>
      </c>
      <c r="G33">
        <f t="shared" si="25"/>
        <v>1.0620650458305758</v>
      </c>
    </row>
    <row r="34" spans="2:10" x14ac:dyDescent="0.25">
      <c r="B34">
        <f t="shared" ref="B34:C34" si="28">B15</f>
        <v>280</v>
      </c>
      <c r="C34">
        <f t="shared" si="28"/>
        <v>0.66853572306037801</v>
      </c>
      <c r="D34">
        <f t="shared" si="22"/>
        <v>0.22842698356631802</v>
      </c>
      <c r="E34">
        <f t="shared" si="23"/>
        <v>0.44010873949405999</v>
      </c>
      <c r="F34">
        <f t="shared" si="24"/>
        <v>0.439676622863232</v>
      </c>
      <c r="G34">
        <f t="shared" si="25"/>
        <v>1.000982805562902</v>
      </c>
    </row>
    <row r="35" spans="2:10" x14ac:dyDescent="0.25">
      <c r="B35">
        <f t="shared" ref="B35:C35" si="29">B16</f>
        <v>300</v>
      </c>
      <c r="C35">
        <f t="shared" si="29"/>
        <v>0.61865842239060898</v>
      </c>
      <c r="D35">
        <f t="shared" si="22"/>
        <v>0.2434360180889629</v>
      </c>
      <c r="E35">
        <f t="shared" si="23"/>
        <v>0.37522240430164611</v>
      </c>
      <c r="F35">
        <f t="shared" si="24"/>
        <v>0.38175766879664103</v>
      </c>
      <c r="G35">
        <f t="shared" si="25"/>
        <v>0.98288111797309774</v>
      </c>
      <c r="I35">
        <v>0.747</v>
      </c>
      <c r="J35">
        <f t="shared" ref="J35" si="30">G35*I35</f>
        <v>0.73421219512590397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Tracking_aggData_by_wacls_26_04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2018-04-26T20:17:07Z</dcterms:created>
  <dcterms:modified xsi:type="dcterms:W3CDTF">2018-04-27T19:33:46Z</dcterms:modified>
</cp:coreProperties>
</file>