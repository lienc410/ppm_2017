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5475" windowHeight="19980"/>
  </bookViews>
  <sheets>
    <sheet name="Tracking_aggData_by_incentive_2" sheetId="1" r:id="rId1"/>
  </sheets>
  <calcPr calcId="0"/>
</workbook>
</file>

<file path=xl/calcChain.xml><?xml version="1.0" encoding="utf-8"?>
<calcChain xmlns="http://schemas.openxmlformats.org/spreadsheetml/2006/main">
  <c r="L17" i="1" l="1"/>
  <c r="L18" i="1"/>
  <c r="L16" i="1"/>
  <c r="J16" i="1"/>
  <c r="L12" i="1"/>
  <c r="M13" i="1"/>
  <c r="M14" i="1"/>
  <c r="M15" i="1"/>
  <c r="M16" i="1"/>
  <c r="M17" i="1"/>
  <c r="M18" i="1"/>
  <c r="M12" i="1"/>
  <c r="L13" i="1"/>
  <c r="L14" i="1"/>
  <c r="L15" i="1"/>
  <c r="I12" i="1"/>
  <c r="I13" i="1"/>
  <c r="I14" i="1"/>
  <c r="I15" i="1"/>
  <c r="I16" i="1"/>
  <c r="I17" i="1"/>
  <c r="I18" i="1"/>
  <c r="H13" i="1"/>
  <c r="H14" i="1"/>
  <c r="H15" i="1"/>
  <c r="H16" i="1"/>
  <c r="H17" i="1"/>
  <c r="H18" i="1"/>
  <c r="H12" i="1"/>
  <c r="J13" i="1"/>
  <c r="J14" i="1"/>
  <c r="J15" i="1"/>
  <c r="J17" i="1"/>
  <c r="J18" i="1"/>
  <c r="J12" i="1"/>
  <c r="E13" i="1"/>
  <c r="E14" i="1"/>
  <c r="E15" i="1"/>
  <c r="E16" i="1"/>
  <c r="E17" i="1"/>
  <c r="E18" i="1"/>
  <c r="E12" i="1"/>
</calcChain>
</file>

<file path=xl/sharedStrings.xml><?xml version="1.0" encoding="utf-8"?>
<sst xmlns="http://schemas.openxmlformats.org/spreadsheetml/2006/main" count="42" uniqueCount="39">
  <si>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</si>
  <si>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</si>
  <si>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</si>
  <si>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</si>
  <si>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</si>
  <si>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</si>
  <si>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</si>
  <si>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</si>
  <si>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</si>
  <si>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</si>
  <si>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</si>
  <si>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</si>
  <si>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</si>
  <si>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</si>
  <si>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</si>
  <si>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</si>
  <si>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</si>
  <si>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</si>
  <si>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</si>
  <si>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</si>
  <si>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</si>
  <si>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</si>
  <si>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</si>
  <si>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</si>
  <si>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</si>
  <si>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</si>
  <si>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</si>
  <si>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</si>
  <si>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</si>
  <si>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</si>
  <si>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</si>
  <si>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</si>
  <si>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</si>
  <si>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</si>
  <si>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</si>
  <si>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</si>
  <si>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act</t>
  </si>
  <si>
    <t>model</t>
  </si>
  <si>
    <t>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</si>
</sst>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_(* #,##0_);_(* \(#,##0\);_(* &quot;-&quot;??_);_(@_)"/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8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tabSelected="1" workbookViewId="0">
      <selection activeCell="R17" sqref="R17"/>
    </sheetView>
  </sheetViews>
  <sheetFormatPr defaultRowHeight="15" x14ac:dyDescent="0.25"/>
  <cols>
    <col min="6" max="6" width="16.28515625" bestFit="1" customWidth="1"/>
    <col min="34" max="34" width="19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1" t="s">
        <v>32</v>
      </c>
      <c r="AI1" t="s">
        <v>33</v>
      </c>
      <c r="AJ1" t="s">
        <v>34</v>
      </c>
    </row>
    <row r="2" spans="1:36" x14ac:dyDescent="0.25">
      <c r="A2">
        <v>1</v>
      </c>
      <c r="B2">
        <v>-150</v>
      </c>
      <c r="C2">
        <v>0.29680000000000001</v>
      </c>
      <c r="D2">
        <v>0.35454489581805099</v>
      </c>
      <c r="E2">
        <v>5.7744895818051097E-2</v>
      </c>
      <c r="F2">
        <v>4.9867027633101801E-2</v>
      </c>
      <c r="G2">
        <v>9.67946920556866E-4</v>
      </c>
      <c r="H2">
        <v>4.08124495254592E-4</v>
      </c>
      <c r="I2">
        <v>0.30002533487170302</v>
      </c>
      <c r="J2">
        <v>3.2764618974351302E-3</v>
      </c>
      <c r="K2">
        <v>0</v>
      </c>
      <c r="L2">
        <v>0</v>
      </c>
      <c r="M2">
        <v>100</v>
      </c>
      <c r="N2">
        <v>0</v>
      </c>
      <c r="O2">
        <v>100</v>
      </c>
      <c r="P2">
        <v>0</v>
      </c>
      <c r="Q2">
        <v>0</v>
      </c>
      <c r="R2">
        <v>100</v>
      </c>
      <c r="S2">
        <v>0</v>
      </c>
      <c r="T2">
        <v>-160.9</v>
      </c>
      <c r="U2">
        <v>0</v>
      </c>
      <c r="V2">
        <v>100</v>
      </c>
      <c r="W2">
        <v>48.4</v>
      </c>
      <c r="X2">
        <v>362</v>
      </c>
      <c r="Y2">
        <v>58</v>
      </c>
      <c r="Z2">
        <v>2.7</v>
      </c>
      <c r="AA2">
        <v>766</v>
      </c>
      <c r="AB2">
        <v>0</v>
      </c>
      <c r="AC2">
        <v>0</v>
      </c>
      <c r="AD2">
        <v>179.2</v>
      </c>
      <c r="AE2">
        <v>112.2</v>
      </c>
      <c r="AF2">
        <v>20.9</v>
      </c>
      <c r="AG2">
        <v>-106.7</v>
      </c>
      <c r="AH2" s="1">
        <v>362036.9</v>
      </c>
      <c r="AI2" t="s">
        <v>35</v>
      </c>
      <c r="AJ2">
        <v>1</v>
      </c>
    </row>
    <row r="3" spans="1:36" x14ac:dyDescent="0.25">
      <c r="A3">
        <v>2</v>
      </c>
      <c r="B3">
        <v>-125</v>
      </c>
      <c r="C3">
        <v>2.1811383899843099E-2</v>
      </c>
      <c r="D3">
        <v>0.406378411358777</v>
      </c>
      <c r="E3">
        <v>0.38456702745893401</v>
      </c>
      <c r="F3">
        <v>4.8074853360855402E-2</v>
      </c>
      <c r="G3">
        <v>5.0261360408010297E-3</v>
      </c>
      <c r="H3">
        <v>5.1005769866637003E-3</v>
      </c>
      <c r="I3">
        <v>0.33664096505295898</v>
      </c>
      <c r="J3">
        <v>1.1535879917497599E-2</v>
      </c>
      <c r="K3">
        <v>0</v>
      </c>
      <c r="L3">
        <v>6.65667265185576</v>
      </c>
      <c r="M3">
        <v>93.337694293411104</v>
      </c>
      <c r="N3">
        <v>0</v>
      </c>
      <c r="O3">
        <v>100</v>
      </c>
      <c r="P3">
        <v>0</v>
      </c>
      <c r="Q3">
        <v>0</v>
      </c>
      <c r="R3">
        <v>100</v>
      </c>
      <c r="S3">
        <v>0.13922604959224</v>
      </c>
      <c r="T3">
        <v>-131.70786940072799</v>
      </c>
      <c r="U3">
        <v>0</v>
      </c>
      <c r="V3">
        <v>100</v>
      </c>
      <c r="W3">
        <v>50.302524047588399</v>
      </c>
      <c r="X3">
        <v>346.850537246084</v>
      </c>
      <c r="Y3">
        <v>53.942323879993801</v>
      </c>
      <c r="Z3">
        <v>2.7852703316090701</v>
      </c>
      <c r="AA3">
        <v>753.93733413496705</v>
      </c>
      <c r="AB3">
        <v>5.4026760824804603</v>
      </c>
      <c r="AC3">
        <v>0</v>
      </c>
      <c r="AD3">
        <v>172.10973369582999</v>
      </c>
      <c r="AE3">
        <v>111.900461346916</v>
      </c>
      <c r="AF3">
        <v>24.4103103848019</v>
      </c>
      <c r="AG3">
        <v>-85.906183260787898</v>
      </c>
      <c r="AH3" s="1">
        <v>28153997.699999999</v>
      </c>
      <c r="AI3">
        <v>1.22270561564543E-3</v>
      </c>
      <c r="AJ3">
        <v>81</v>
      </c>
    </row>
    <row r="4" spans="1:36" x14ac:dyDescent="0.25">
      <c r="A4">
        <v>3</v>
      </c>
      <c r="B4">
        <v>-100</v>
      </c>
      <c r="C4">
        <v>0.33472617015295397</v>
      </c>
      <c r="D4">
        <v>0.42931456320521</v>
      </c>
      <c r="E4">
        <v>9.4588393052256095E-2</v>
      </c>
      <c r="F4">
        <v>4.79849510942357E-2</v>
      </c>
      <c r="G4">
        <v>4.3263974475593204E-3</v>
      </c>
      <c r="H4">
        <v>4.2105635128198704E-3</v>
      </c>
      <c r="I4">
        <v>0.35036820519251299</v>
      </c>
      <c r="J4">
        <v>2.2424445958081799E-2</v>
      </c>
      <c r="K4">
        <v>0</v>
      </c>
      <c r="L4">
        <v>4.8943628165156303</v>
      </c>
      <c r="M4">
        <v>95.060732763827502</v>
      </c>
      <c r="N4">
        <v>0</v>
      </c>
      <c r="O4">
        <v>100</v>
      </c>
      <c r="P4">
        <v>0</v>
      </c>
      <c r="Q4">
        <v>0</v>
      </c>
      <c r="R4">
        <v>100</v>
      </c>
      <c r="S4">
        <v>0.141965264843043</v>
      </c>
      <c r="T4">
        <v>-108.22552162020401</v>
      </c>
      <c r="U4">
        <v>6.1312449256727402E-4</v>
      </c>
      <c r="V4">
        <v>100</v>
      </c>
      <c r="W4">
        <v>46.902140159704103</v>
      </c>
      <c r="X4">
        <v>308.93730462689501</v>
      </c>
      <c r="Y4">
        <v>53.731005281561899</v>
      </c>
      <c r="Z4">
        <v>2.9374347162443399</v>
      </c>
      <c r="AA4">
        <v>774.037165165386</v>
      </c>
      <c r="AB4">
        <v>4.0258294496349398</v>
      </c>
      <c r="AC4">
        <v>0</v>
      </c>
      <c r="AD4">
        <v>171.39194580318301</v>
      </c>
      <c r="AE4">
        <v>111.886239924615</v>
      </c>
      <c r="AF4">
        <v>24.962466901838599</v>
      </c>
      <c r="AG4">
        <v>-66.519204815146296</v>
      </c>
      <c r="AH4" s="1">
        <v>783579364.10000002</v>
      </c>
      <c r="AI4">
        <v>4.3845838017128699E-2</v>
      </c>
      <c r="AJ4">
        <v>599</v>
      </c>
    </row>
    <row r="5" spans="1:36" x14ac:dyDescent="0.25">
      <c r="A5">
        <v>4</v>
      </c>
      <c r="B5">
        <v>-75</v>
      </c>
      <c r="C5">
        <v>0.38310563172793699</v>
      </c>
      <c r="D5">
        <v>0.49663117446593602</v>
      </c>
      <c r="E5">
        <v>0.113525542737999</v>
      </c>
      <c r="F5">
        <v>4.81290575650015E-2</v>
      </c>
      <c r="G5">
        <v>6.1320437898975703E-3</v>
      </c>
      <c r="H5">
        <v>4.2789464957886797E-3</v>
      </c>
      <c r="I5">
        <v>0.395956991280421</v>
      </c>
      <c r="J5">
        <v>4.2134135334827599E-2</v>
      </c>
      <c r="K5">
        <v>0</v>
      </c>
      <c r="L5">
        <v>3.32785130593548</v>
      </c>
      <c r="M5">
        <v>96.590363145392999</v>
      </c>
      <c r="N5">
        <v>0</v>
      </c>
      <c r="O5">
        <v>100</v>
      </c>
      <c r="P5">
        <v>0</v>
      </c>
      <c r="Q5">
        <v>0</v>
      </c>
      <c r="R5">
        <v>100</v>
      </c>
      <c r="S5">
        <v>0.22501235252261401</v>
      </c>
      <c r="T5">
        <v>-83.051213908793997</v>
      </c>
      <c r="U5">
        <v>0.41058578775680099</v>
      </c>
      <c r="V5">
        <v>99.997181476864</v>
      </c>
      <c r="W5">
        <v>44.030801350856898</v>
      </c>
      <c r="X5">
        <v>314.58602464194399</v>
      </c>
      <c r="Y5">
        <v>54.065876357297299</v>
      </c>
      <c r="Z5">
        <v>3.1823490578329299</v>
      </c>
      <c r="AA5">
        <v>774.62445133985602</v>
      </c>
      <c r="AB5">
        <v>2.1698088776595799</v>
      </c>
      <c r="AC5">
        <v>0</v>
      </c>
      <c r="AD5">
        <v>172.082944317456</v>
      </c>
      <c r="AE5">
        <v>111.92086949767101</v>
      </c>
      <c r="AF5">
        <v>24.975349132600002</v>
      </c>
      <c r="AG5">
        <v>-43.709836734973898</v>
      </c>
      <c r="AH5" s="1">
        <v>12959301108.4</v>
      </c>
      <c r="AI5">
        <v>3.9585380138725701E-2</v>
      </c>
      <c r="AJ5">
        <v>1770</v>
      </c>
    </row>
    <row r="6" spans="1:36" x14ac:dyDescent="0.25">
      <c r="A6">
        <v>5</v>
      </c>
      <c r="B6">
        <v>-50</v>
      </c>
      <c r="C6">
        <v>0.53620367230599397</v>
      </c>
      <c r="D6">
        <v>0.58932162465855698</v>
      </c>
      <c r="E6">
        <v>5.3117952352563703E-2</v>
      </c>
      <c r="F6">
        <v>4.8736643470771598E-2</v>
      </c>
      <c r="G6">
        <v>7.1873120659749403E-3</v>
      </c>
      <c r="H6">
        <v>5.58975207297674E-3</v>
      </c>
      <c r="I6">
        <v>0.46023254725199397</v>
      </c>
      <c r="J6">
        <v>6.7575369796840104E-2</v>
      </c>
      <c r="K6">
        <v>0</v>
      </c>
      <c r="L6">
        <v>3.1201845003481501</v>
      </c>
      <c r="M6">
        <v>96.788148903961599</v>
      </c>
      <c r="N6">
        <v>0</v>
      </c>
      <c r="O6">
        <v>100</v>
      </c>
      <c r="P6">
        <v>0</v>
      </c>
      <c r="Q6">
        <v>0</v>
      </c>
      <c r="R6">
        <v>100</v>
      </c>
      <c r="S6">
        <v>0.27060709603251398</v>
      </c>
      <c r="T6">
        <v>-59.904226427928798</v>
      </c>
      <c r="U6">
        <v>46.465330052361701</v>
      </c>
      <c r="V6">
        <v>99.999606797868907</v>
      </c>
      <c r="W6">
        <v>42.830999949682997</v>
      </c>
      <c r="X6">
        <v>310.74632334559999</v>
      </c>
      <c r="Y6">
        <v>55.438230613298501</v>
      </c>
      <c r="Z6">
        <v>3.3596999269569898</v>
      </c>
      <c r="AA6">
        <v>774.18356524218598</v>
      </c>
      <c r="AB6">
        <v>3.1009375650570199</v>
      </c>
      <c r="AC6">
        <v>0</v>
      </c>
      <c r="AD6">
        <v>172.73483147842401</v>
      </c>
      <c r="AE6">
        <v>112.058848714067</v>
      </c>
      <c r="AF6">
        <v>26.2510632584804</v>
      </c>
      <c r="AG6">
        <v>-29.629900317133799</v>
      </c>
      <c r="AH6" s="1">
        <v>101606875540.89999</v>
      </c>
      <c r="AI6">
        <v>4.3309515332494802E-2</v>
      </c>
      <c r="AJ6">
        <v>5095</v>
      </c>
    </row>
    <row r="7" spans="1:36" x14ac:dyDescent="0.25">
      <c r="A7">
        <v>6</v>
      </c>
      <c r="B7">
        <v>-25</v>
      </c>
      <c r="C7">
        <v>0.62177460436394905</v>
      </c>
      <c r="D7">
        <v>0.70964824950696104</v>
      </c>
      <c r="E7">
        <v>8.78736451430117E-2</v>
      </c>
      <c r="F7">
        <v>4.9086033288118697E-2</v>
      </c>
      <c r="G7">
        <v>7.6180535469321901E-3</v>
      </c>
      <c r="H7">
        <v>8.4862262244348001E-3</v>
      </c>
      <c r="I7">
        <v>0.53214376352621695</v>
      </c>
      <c r="J7">
        <v>0.112314172921259</v>
      </c>
      <c r="K7">
        <v>0</v>
      </c>
      <c r="L7">
        <v>3.4500901000182602</v>
      </c>
      <c r="M7">
        <v>96.458055177636894</v>
      </c>
      <c r="N7">
        <v>0</v>
      </c>
      <c r="O7">
        <v>100</v>
      </c>
      <c r="P7">
        <v>0</v>
      </c>
      <c r="Q7">
        <v>0</v>
      </c>
      <c r="R7">
        <v>100</v>
      </c>
      <c r="S7">
        <v>0.28570473030732602</v>
      </c>
      <c r="T7">
        <v>-36.485794442309199</v>
      </c>
      <c r="U7">
        <v>171.758792226808</v>
      </c>
      <c r="V7">
        <v>99.997262236309098</v>
      </c>
      <c r="W7">
        <v>43.035907010713302</v>
      </c>
      <c r="X7">
        <v>309.93307995559798</v>
      </c>
      <c r="Y7">
        <v>56.229995922511499</v>
      </c>
      <c r="Z7">
        <v>3.5068740203315998</v>
      </c>
      <c r="AA7">
        <v>771.51001300655105</v>
      </c>
      <c r="AB7">
        <v>6.2217985190939702</v>
      </c>
      <c r="AC7">
        <v>0</v>
      </c>
      <c r="AD7">
        <v>173.47828516426699</v>
      </c>
      <c r="AE7">
        <v>112.241983462365</v>
      </c>
      <c r="AF7">
        <v>29.638045577306901</v>
      </c>
      <c r="AG7">
        <v>-20.217383597172201</v>
      </c>
      <c r="AH7" s="1">
        <v>250386439257.20001</v>
      </c>
      <c r="AI7">
        <v>5.0207002595583798E-2</v>
      </c>
      <c r="AJ7">
        <v>12375</v>
      </c>
    </row>
    <row r="8" spans="1:36" x14ac:dyDescent="0.25">
      <c r="A8">
        <v>7</v>
      </c>
      <c r="B8">
        <v>0</v>
      </c>
      <c r="C8">
        <v>0.71408599102349501</v>
      </c>
      <c r="D8">
        <v>0.80593950171405904</v>
      </c>
      <c r="E8">
        <v>9.1853510690564605E-2</v>
      </c>
      <c r="F8">
        <v>4.9821146630339E-2</v>
      </c>
      <c r="G8">
        <v>9.6075056401873898E-3</v>
      </c>
      <c r="H8">
        <v>1.2926003250828599E-2</v>
      </c>
      <c r="I8">
        <v>0.54641760041940401</v>
      </c>
      <c r="J8">
        <v>0.18716724577330099</v>
      </c>
      <c r="K8">
        <v>0</v>
      </c>
      <c r="L8">
        <v>3.8662047485798201</v>
      </c>
      <c r="M8">
        <v>96.044398829224093</v>
      </c>
      <c r="N8">
        <v>0</v>
      </c>
      <c r="O8">
        <v>100</v>
      </c>
      <c r="P8">
        <v>0</v>
      </c>
      <c r="Q8">
        <v>0</v>
      </c>
      <c r="R8">
        <v>100</v>
      </c>
      <c r="S8">
        <v>0.34956214124117502</v>
      </c>
      <c r="T8">
        <v>-12.680698828763401</v>
      </c>
      <c r="U8">
        <v>587.96389222578603</v>
      </c>
      <c r="V8">
        <v>99.991567158988502</v>
      </c>
      <c r="W8">
        <v>43.632453601914797</v>
      </c>
      <c r="X8">
        <v>307.23589186167101</v>
      </c>
      <c r="Y8">
        <v>57.937982674727998</v>
      </c>
      <c r="Z8">
        <v>3.7165006402544698</v>
      </c>
      <c r="AA8">
        <v>767.67219475872298</v>
      </c>
      <c r="AB8">
        <v>12.0456733433544</v>
      </c>
      <c r="AC8">
        <v>0</v>
      </c>
      <c r="AD8">
        <v>172.21901802097901</v>
      </c>
      <c r="AE8">
        <v>112.15506005175899</v>
      </c>
      <c r="AF8">
        <v>31.156562883691901</v>
      </c>
      <c r="AG8">
        <v>-12.7042738861667</v>
      </c>
      <c r="AH8" s="1">
        <v>299146480857.5</v>
      </c>
      <c r="AI8">
        <v>6.1445334059235301E-2</v>
      </c>
      <c r="AJ8">
        <v>23246</v>
      </c>
    </row>
    <row r="11" spans="1:36" x14ac:dyDescent="0.25">
      <c r="C11" t="s">
        <v>1</v>
      </c>
      <c r="D11" t="s">
        <v>2</v>
      </c>
      <c r="F11" s="1" t="s">
        <v>32</v>
      </c>
      <c r="H11" t="s">
        <v>36</v>
      </c>
      <c r="I11" t="s">
        <v>37</v>
      </c>
      <c r="J11" t="s">
        <v>38</v>
      </c>
    </row>
    <row r="12" spans="1:36" x14ac:dyDescent="0.25">
      <c r="B12">
        <v>-150</v>
      </c>
      <c r="C12">
        <v>0.29680000000000001</v>
      </c>
      <c r="D12">
        <v>0.35454489581805099</v>
      </c>
      <c r="E12">
        <f>C12/D12</f>
        <v>0.83712952435878496</v>
      </c>
      <c r="F12" s="1">
        <v>362036.9</v>
      </c>
      <c r="H12">
        <f>100*(1-(1-C12/100)^12)</f>
        <v>3.5040318126631664</v>
      </c>
      <c r="I12">
        <f>100*(1-(1-D12/100)^12)</f>
        <v>4.1725480723250996</v>
      </c>
      <c r="J12">
        <f>100*(1-(1-J2/100)^12)</f>
        <v>3.9310458309338436E-2</v>
      </c>
      <c r="L12">
        <f>D2-J2</f>
        <v>0.35126843392061585</v>
      </c>
      <c r="M12" s="2">
        <f>C12/L12</f>
        <v>0.84493786329538134</v>
      </c>
    </row>
    <row r="13" spans="1:36" x14ac:dyDescent="0.25">
      <c r="B13">
        <v>-125</v>
      </c>
      <c r="C13">
        <v>2.1811383899843099E-2</v>
      </c>
      <c r="D13">
        <v>0.406378411358777</v>
      </c>
      <c r="E13">
        <f t="shared" ref="E13:E18" si="0">C13/D13</f>
        <v>5.367259502519834E-2</v>
      </c>
      <c r="F13" s="1">
        <v>28153997.699999999</v>
      </c>
      <c r="H13">
        <f t="shared" ref="H13:I18" si="1">100*(1-(1-C13/100)^12)</f>
        <v>0.26142284889978384</v>
      </c>
      <c r="I13">
        <f t="shared" si="1"/>
        <v>4.7690093069251986</v>
      </c>
      <c r="J13">
        <f t="shared" ref="J13:J18" si="2">100*(1-(1-J3/100)^12)</f>
        <v>0.13834276226786235</v>
      </c>
      <c r="L13">
        <f t="shared" ref="L13:L18" si="3">D3-J3</f>
        <v>0.3948425314412794</v>
      </c>
      <c r="M13" s="2">
        <f t="shared" ref="M13:M18" si="4">C13/L13</f>
        <v>5.524071538146054E-2</v>
      </c>
    </row>
    <row r="14" spans="1:36" x14ac:dyDescent="0.25">
      <c r="B14">
        <v>-100</v>
      </c>
      <c r="C14">
        <v>0.33472617015295397</v>
      </c>
      <c r="D14">
        <v>0.42931456320521</v>
      </c>
      <c r="E14">
        <f t="shared" si="0"/>
        <v>0.77967578750166155</v>
      </c>
      <c r="F14" s="1">
        <v>783579364.10000002</v>
      </c>
      <c r="H14">
        <f t="shared" si="1"/>
        <v>3.9435854708512186</v>
      </c>
      <c r="I14">
        <f t="shared" si="1"/>
        <v>5.0318536044814284</v>
      </c>
      <c r="J14">
        <f t="shared" si="2"/>
        <v>0.26876171463706688</v>
      </c>
      <c r="L14">
        <f t="shared" si="3"/>
        <v>0.4068901172471282</v>
      </c>
      <c r="M14" s="2">
        <f t="shared" si="4"/>
        <v>0.82264512202358353</v>
      </c>
    </row>
    <row r="15" spans="1:36" x14ac:dyDescent="0.25">
      <c r="B15">
        <v>-75</v>
      </c>
      <c r="C15">
        <v>0.38310563172793699</v>
      </c>
      <c r="D15">
        <v>0.49663117446593602</v>
      </c>
      <c r="E15">
        <f t="shared" si="0"/>
        <v>0.771408746420155</v>
      </c>
      <c r="F15" s="1">
        <v>12959301108.4</v>
      </c>
      <c r="H15">
        <f t="shared" si="1"/>
        <v>4.5016258567328276</v>
      </c>
      <c r="I15">
        <f t="shared" si="1"/>
        <v>5.7994549419561281</v>
      </c>
      <c r="J15">
        <f t="shared" si="2"/>
        <v>0.5044395797234924</v>
      </c>
      <c r="L15">
        <f t="shared" si="3"/>
        <v>0.45449703913110839</v>
      </c>
      <c r="M15" s="2">
        <f t="shared" si="4"/>
        <v>0.84292217273922176</v>
      </c>
    </row>
    <row r="16" spans="1:36" x14ac:dyDescent="0.25">
      <c r="B16">
        <v>-50</v>
      </c>
      <c r="C16">
        <v>0.53620367230599397</v>
      </c>
      <c r="D16">
        <v>0.58932162465855698</v>
      </c>
      <c r="E16">
        <f t="shared" si="0"/>
        <v>0.90986593715555808</v>
      </c>
      <c r="F16" s="1">
        <v>101606875540.89999</v>
      </c>
      <c r="H16">
        <f t="shared" si="1"/>
        <v>6.2480356658348501</v>
      </c>
      <c r="I16">
        <f t="shared" si="1"/>
        <v>6.8470851349725077</v>
      </c>
      <c r="J16">
        <f>100*(1-(1-J6/2/100)^12)</f>
        <v>0.40469960567695029</v>
      </c>
      <c r="L16">
        <f>D6-J6/2</f>
        <v>0.55553393976013687</v>
      </c>
      <c r="M16" s="2">
        <f t="shared" si="4"/>
        <v>0.96520416473116089</v>
      </c>
    </row>
    <row r="17" spans="2:13" x14ac:dyDescent="0.25">
      <c r="B17">
        <v>-25</v>
      </c>
      <c r="C17">
        <v>0.62177460436394905</v>
      </c>
      <c r="D17">
        <v>0.70964824950696104</v>
      </c>
      <c r="E17">
        <f t="shared" si="0"/>
        <v>0.87617295582133325</v>
      </c>
      <c r="F17" s="1">
        <v>250386439257.20001</v>
      </c>
      <c r="H17">
        <f t="shared" si="1"/>
        <v>7.2113519519093838</v>
      </c>
      <c r="I17">
        <f t="shared" si="1"/>
        <v>8.1911407927820807</v>
      </c>
      <c r="J17">
        <f t="shared" si="2"/>
        <v>1.3394756132111718</v>
      </c>
      <c r="L17">
        <f t="shared" ref="L17:L18" si="5">D7-J7/2</f>
        <v>0.65349116304633159</v>
      </c>
      <c r="M17" s="2">
        <f t="shared" si="4"/>
        <v>0.95146597157560353</v>
      </c>
    </row>
    <row r="18" spans="2:13" x14ac:dyDescent="0.25">
      <c r="B18">
        <v>0</v>
      </c>
      <c r="C18">
        <v>0.71408599102349501</v>
      </c>
      <c r="D18">
        <v>0.80593950171405904</v>
      </c>
      <c r="E18">
        <f t="shared" si="0"/>
        <v>0.88602927329506564</v>
      </c>
      <c r="F18" s="1">
        <v>299146480857.5</v>
      </c>
      <c r="H18">
        <f t="shared" si="1"/>
        <v>8.2403690016582658</v>
      </c>
      <c r="I18">
        <f t="shared" si="1"/>
        <v>9.2538892025546993</v>
      </c>
      <c r="J18">
        <f t="shared" si="2"/>
        <v>2.2230297510243524</v>
      </c>
      <c r="L18">
        <f t="shared" si="5"/>
        <v>0.71235587882740858</v>
      </c>
      <c r="M18" s="2">
        <f t="shared" si="4"/>
        <v>1.0024287189135497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Tracking_aggData_by_incentive_2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2018-04-24T14:17:56Z</dcterms:created>
  <dcterms:modified xsi:type="dcterms:W3CDTF">2018-04-24T14:17:56Z</dcterms:modified>
</cp:coreProperties>
</file>