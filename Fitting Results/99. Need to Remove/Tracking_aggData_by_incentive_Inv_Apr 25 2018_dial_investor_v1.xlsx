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45" windowWidth="35235" windowHeight="19695" activeTab="2"/>
  </bookViews>
  <sheets>
    <sheet name="Tracking_aggData_by_incentive_n" sheetId="1" r:id="rId1"/>
    <sheet name="Pivot" sheetId="2" r:id="rId2"/>
    <sheet name="Sheet2" sheetId="3" r:id="rId3"/>
  </sheets>
  <calcPr calcId="145621"/>
  <pivotCaches>
    <pivotCache cacheId="82" r:id="rId4"/>
  </pivotCaches>
</workbook>
</file>

<file path=xl/calcChain.xml><?xml version="1.0" encoding="utf-8"?>
<calcChain xmlns="http://schemas.openxmlformats.org/spreadsheetml/2006/main">
  <c r="W15" i="3" l="1"/>
  <c r="W16" i="3"/>
  <c r="W17" i="3"/>
  <c r="W18" i="3"/>
  <c r="W19" i="3"/>
  <c r="W20" i="3"/>
  <c r="W14" i="3"/>
  <c r="V14" i="3"/>
  <c r="V15" i="3"/>
  <c r="V16" i="3"/>
  <c r="V17" i="3"/>
  <c r="V18" i="3"/>
  <c r="V19" i="3"/>
  <c r="V20" i="3"/>
  <c r="U15" i="3"/>
  <c r="U16" i="3"/>
  <c r="U17" i="3"/>
  <c r="U18" i="3"/>
  <c r="U19" i="3"/>
  <c r="U20" i="3"/>
  <c r="U14" i="3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28" i="1"/>
  <c r="C29" i="1"/>
  <c r="C30" i="1"/>
  <c r="C31" i="1"/>
  <c r="C32" i="1"/>
  <c r="C33" i="1"/>
  <c r="C34" i="1"/>
  <c r="C35" i="1"/>
  <c r="C36" i="1"/>
  <c r="E36" i="1" s="1"/>
  <c r="C37" i="1"/>
  <c r="C38" i="1"/>
  <c r="C39" i="1"/>
  <c r="C40" i="1"/>
  <c r="E40" i="1" s="1"/>
  <c r="C41" i="1"/>
  <c r="C42" i="1"/>
  <c r="C43" i="1"/>
  <c r="E43" i="1" s="1"/>
  <c r="C44" i="1"/>
  <c r="C45" i="1"/>
  <c r="C46" i="1"/>
  <c r="C47" i="1"/>
  <c r="C48" i="1"/>
  <c r="C49" i="1"/>
  <c r="C50" i="1"/>
  <c r="E50" i="1" s="1"/>
  <c r="C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28" i="1"/>
  <c r="E48" i="1" l="1"/>
  <c r="E49" i="1"/>
  <c r="E47" i="1"/>
  <c r="E35" i="1"/>
  <c r="E42" i="1"/>
  <c r="E41" i="1"/>
  <c r="E34" i="1"/>
  <c r="E33" i="1"/>
  <c r="AK24" i="1"/>
  <c r="E20" i="3" l="1"/>
  <c r="E19" i="3"/>
  <c r="E18" i="3"/>
  <c r="E17" i="3"/>
  <c r="E16" i="3"/>
  <c r="E15" i="3"/>
  <c r="E14" i="3"/>
  <c r="K20" i="3"/>
  <c r="J20" i="3"/>
  <c r="I20" i="3"/>
  <c r="K19" i="3"/>
  <c r="J19" i="3"/>
  <c r="I19" i="3"/>
  <c r="K18" i="3"/>
  <c r="J18" i="3"/>
  <c r="I18" i="3"/>
  <c r="K17" i="3"/>
  <c r="J17" i="3"/>
  <c r="I17" i="3"/>
  <c r="K16" i="3"/>
  <c r="J16" i="3"/>
  <c r="I16" i="3"/>
  <c r="K15" i="3"/>
  <c r="J15" i="3"/>
  <c r="I15" i="3"/>
  <c r="K14" i="3"/>
  <c r="J14" i="3"/>
  <c r="I14" i="3"/>
  <c r="P15" i="3"/>
  <c r="P16" i="3"/>
  <c r="P17" i="3"/>
  <c r="P18" i="3"/>
  <c r="P19" i="3"/>
  <c r="P20" i="3"/>
  <c r="P14" i="3"/>
  <c r="C13" i="3" l="1"/>
  <c r="D13" i="3"/>
  <c r="I13" i="3"/>
  <c r="O13" i="3"/>
  <c r="C14" i="3"/>
  <c r="D14" i="3"/>
  <c r="O14" i="3"/>
  <c r="Q14" i="3"/>
  <c r="C15" i="3"/>
  <c r="D15" i="3"/>
  <c r="O15" i="3"/>
  <c r="Q15" i="3"/>
  <c r="C16" i="3"/>
  <c r="D16" i="3"/>
  <c r="O16" i="3"/>
  <c r="Q16" i="3"/>
  <c r="C17" i="3"/>
  <c r="D17" i="3"/>
  <c r="O17" i="3"/>
  <c r="Q17" i="3"/>
  <c r="C18" i="3"/>
  <c r="D18" i="3"/>
  <c r="O18" i="3"/>
  <c r="Q18" i="3"/>
  <c r="C19" i="3"/>
  <c r="D19" i="3"/>
  <c r="O19" i="3"/>
  <c r="Q19" i="3"/>
  <c r="C20" i="3"/>
  <c r="D20" i="3"/>
  <c r="O20" i="3"/>
  <c r="Q20" i="3"/>
  <c r="AL3" i="1" l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" i="1"/>
</calcChain>
</file>

<file path=xl/sharedStrings.xml><?xml version="1.0" encoding="utf-8"?>
<sst xmlns="http://schemas.openxmlformats.org/spreadsheetml/2006/main" count="120" uniqueCount="57">
  <si>
    <t>x</t>
  </si>
  <si>
    <t>actual.smm</t>
  </si>
  <si>
    <t>model.smm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</si>
  <si>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</si>
  <si>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</si>
  <si>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</si>
  <si>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</si>
  <si>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</si>
  <si>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</si>
  <si>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</si>
  <si>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</si>
  <si>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</si>
  <si>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</si>
  <si>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</si>
  <si>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</si>
  <si>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</si>
  <si>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</si>
  <si>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</si>
  <si>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</si>
  <si>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</si>
  <si>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</si>
  <si>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</si>
  <si>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</si>
  <si>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wala</t>
  </si>
  <si>
    <t>wac</t>
  </si>
  <si>
    <t>fico</t>
  </si>
  <si>
    <t>pct_HARPed</t>
  </si>
  <si>
    <t>pct_tpo</t>
  </si>
  <si>
    <t>cai</t>
  </si>
  <si>
    <t>hpa2yr</t>
  </si>
  <si>
    <t>media_effect</t>
  </si>
  <si>
    <t>sato</t>
  </si>
  <si>
    <t>bal</t>
  </si>
  <si>
    <t>std</t>
  </si>
  <si>
    <t>n</t>
  </si>
  <si>
    <t>NA</t>
  </si>
  <si>
    <t>purpose</t>
  </si>
  <si>
    <t>REFI_NCO</t>
  </si>
  <si>
    <t>PURCH</t>
  </si>
  <si>
    <t>REFI_CO</t>
  </si>
  <si>
    <t>Row Labels</t>
  </si>
  <si>
    <t>Column Labels</t>
  </si>
  <si>
    <t>Ratio</t>
  </si>
  <si>
    <t>Ratio w/o refi</t>
  </si>
  <si>
    <t>'bal</t>
  </si>
  <si>
    <t>'actual.smm</t>
  </si>
  <si>
    <t>'model.smm</t>
  </si>
  <si>
    <t>'Ratio</t>
  </si>
  <si>
    <t>'Ratio w/o refi</t>
  </si>
  <si>
    <t>model w/o refi</t>
  </si>
  <si>
    <t>'model w/o refi</t>
  </si>
  <si>
    <t>actual</t>
  </si>
  <si>
    <t>model</t>
  </si>
  <si>
    <t>ratio</t>
  </si>
  <si>
    <t>Actual</t>
  </si>
  <si>
    <t>Model</t>
  </si>
  <si>
    <t>aggregate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</si>
</sst>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&quot;$&quot;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33" borderId="0" xfId="0" applyFill="1" applyAlignment="1">
      <alignment horizontal="left"/>
    </xf>
    <xf numFmtId="164" fontId="0" fillId="33" borderId="0" xfId="0" applyNumberFormat="1" applyFill="1"/>
    <xf numFmtId="0" fontId="0" fillId="0" borderId="0" xfId="0" applyBorder="1"/>
    <xf numFmtId="165" fontId="0" fillId="0" borderId="0" xfId="0" applyNumberFormat="1"/>
    <xf numFmtId="165" fontId="0" fillId="33" borderId="0" xfId="0" applyNumberFormat="1" applyFill="1"/>
    <xf numFmtId="2" fontId="0" fillId="0" borderId="0" xfId="0" applyNumberFormat="1"/>
    <xf numFmtId="2" fontId="0" fillId="33" borderId="0" xfId="0" applyNumberFormat="1" applyFill="1"/>
    <xf numFmtId="164" fontId="0" fillId="0" borderId="0" xfId="1" applyNumberFormat="1" applyFont="1"/>
    <xf numFmtId="0" fontId="0" fillId="33" borderId="0" xfId="0" applyFill="1"/>
    <xf numFmtId="166" fontId="0" fillId="0" borderId="0" xfId="0" applyNumberFormat="1"/>
    <xf numFmtId="0" fontId="16" fillId="34" borderId="10" xfId="0" applyFont="1" applyFill="1" applyBorder="1"/>
    <xf numFmtId="0" fontId="0" fillId="0" borderId="0" xfId="0"/>
    <xf numFmtId="0" fontId="0" fillId="0" borderId="0" xfId="0"/>
    <xf numFmtId="11" fontId="0" fillId="0" borderId="0" xfId="0" applyNumberForma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2">
    <dxf>
      <numFmt numFmtId="167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2" formatCode="0.00"/>
    </dxf>
    <dxf>
      <numFmt numFmtId="164" formatCode="_(* #,##0_);_(* \(#,##0\);_(* &quot;-&quot;??_);_(@_)"/>
    </dxf>
    <dxf>
      <border>
        <left/>
      </border>
    </dxf>
    <dxf>
      <border>
        <left/>
      </border>
    </dxf>
    <dxf>
      <fill>
        <patternFill patternType="solid">
          <bgColor theme="0" tint="-4.9989318521683403E-2"/>
        </patternFill>
      </fill>
    </dxf>
    <dxf>
      <numFmt numFmtId="167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Tracking_aggData_by_incentive_n!$B$27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Tracking_aggData_by_incentive_n!$A$28:$A$50</c:f>
              <c:numCache>
                <c:formatCode>General</c:formatCode>
                <c:ptCount val="23"/>
                <c:pt idx="0">
                  <c:v>-200</c:v>
                </c:pt>
                <c:pt idx="1">
                  <c:v>-175</c:v>
                </c:pt>
                <c:pt idx="2">
                  <c:v>-150</c:v>
                </c:pt>
                <c:pt idx="3">
                  <c:v>-125</c:v>
                </c:pt>
                <c:pt idx="4">
                  <c:v>-100</c:v>
                </c:pt>
                <c:pt idx="5">
                  <c:v>-75</c:v>
                </c:pt>
                <c:pt idx="6">
                  <c:v>-50</c:v>
                </c:pt>
                <c:pt idx="7">
                  <c:v>-25</c:v>
                </c:pt>
                <c:pt idx="8">
                  <c:v>0</c:v>
                </c:pt>
                <c:pt idx="9">
                  <c:v>-150</c:v>
                </c:pt>
                <c:pt idx="10">
                  <c:v>-125</c:v>
                </c:pt>
                <c:pt idx="11">
                  <c:v>-100</c:v>
                </c:pt>
                <c:pt idx="12">
                  <c:v>-75</c:v>
                </c:pt>
                <c:pt idx="13">
                  <c:v>-50</c:v>
                </c:pt>
                <c:pt idx="14">
                  <c:v>-25</c:v>
                </c:pt>
                <c:pt idx="15">
                  <c:v>0</c:v>
                </c:pt>
                <c:pt idx="16">
                  <c:v>-150</c:v>
                </c:pt>
                <c:pt idx="17">
                  <c:v>-125</c:v>
                </c:pt>
                <c:pt idx="18">
                  <c:v>-100</c:v>
                </c:pt>
                <c:pt idx="19">
                  <c:v>-75</c:v>
                </c:pt>
                <c:pt idx="20">
                  <c:v>-50</c:v>
                </c:pt>
                <c:pt idx="21">
                  <c:v>-25</c:v>
                </c:pt>
                <c:pt idx="22">
                  <c:v>0</c:v>
                </c:pt>
              </c:numCache>
            </c:numRef>
          </c:cat>
          <c:val>
            <c:numRef>
              <c:f>Tracking_aggData_by_incentive_n!$B$28:$B$50</c:f>
              <c:numCache>
                <c:formatCode>_(* #,##0.00_);_(* \(#,##0.00\);_(* "-"??_);_(@_)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5.5572375733499201E-5</c:v>
                </c:pt>
                <c:pt idx="3">
                  <c:v>0.41510695537835102</c:v>
                </c:pt>
                <c:pt idx="4">
                  <c:v>0.46846535216858298</c:v>
                </c:pt>
                <c:pt idx="5">
                  <c:v>0.52455306974748195</c:v>
                </c:pt>
                <c:pt idx="6">
                  <c:v>0.59950006507356501</c:v>
                </c:pt>
                <c:pt idx="7">
                  <c:v>0.74569711503826697</c:v>
                </c:pt>
                <c:pt idx="8">
                  <c:v>0.87314315969019396</c:v>
                </c:pt>
                <c:pt idx="9">
                  <c:v>0</c:v>
                </c:pt>
                <c:pt idx="10">
                  <c:v>1.22674663901127E-2</c:v>
                </c:pt>
                <c:pt idx="11">
                  <c:v>0.373094352361517</c:v>
                </c:pt>
                <c:pt idx="12">
                  <c:v>0.53143383739832994</c:v>
                </c:pt>
                <c:pt idx="13">
                  <c:v>0.67262927227810998</c:v>
                </c:pt>
                <c:pt idx="14">
                  <c:v>0.877772756865422</c:v>
                </c:pt>
                <c:pt idx="15">
                  <c:v>0.74099615512200501</c:v>
                </c:pt>
                <c:pt idx="16">
                  <c:v>2.0121542736784099E-4</c:v>
                </c:pt>
                <c:pt idx="17">
                  <c:v>0.99827087349131005</c:v>
                </c:pt>
                <c:pt idx="18">
                  <c:v>0.514219258128777</c:v>
                </c:pt>
                <c:pt idx="19">
                  <c:v>0.47347536459125</c:v>
                </c:pt>
                <c:pt idx="20">
                  <c:v>0.56954574737923702</c:v>
                </c:pt>
                <c:pt idx="21">
                  <c:v>0.53300753333866002</c:v>
                </c:pt>
                <c:pt idx="22">
                  <c:v>0.88449947281217201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Tracking_aggData_by_incentive_n!$C$27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cat>
            <c:numRef>
              <c:f>Tracking_aggData_by_incentive_n!$A$28:$A$50</c:f>
              <c:numCache>
                <c:formatCode>General</c:formatCode>
                <c:ptCount val="23"/>
                <c:pt idx="0">
                  <c:v>-200</c:v>
                </c:pt>
                <c:pt idx="1">
                  <c:v>-175</c:v>
                </c:pt>
                <c:pt idx="2">
                  <c:v>-150</c:v>
                </c:pt>
                <c:pt idx="3">
                  <c:v>-125</c:v>
                </c:pt>
                <c:pt idx="4">
                  <c:v>-100</c:v>
                </c:pt>
                <c:pt idx="5">
                  <c:v>-75</c:v>
                </c:pt>
                <c:pt idx="6">
                  <c:v>-50</c:v>
                </c:pt>
                <c:pt idx="7">
                  <c:v>-25</c:v>
                </c:pt>
                <c:pt idx="8">
                  <c:v>0</c:v>
                </c:pt>
                <c:pt idx="9">
                  <c:v>-150</c:v>
                </c:pt>
                <c:pt idx="10">
                  <c:v>-125</c:v>
                </c:pt>
                <c:pt idx="11">
                  <c:v>-100</c:v>
                </c:pt>
                <c:pt idx="12">
                  <c:v>-75</c:v>
                </c:pt>
                <c:pt idx="13">
                  <c:v>-50</c:v>
                </c:pt>
                <c:pt idx="14">
                  <c:v>-25</c:v>
                </c:pt>
                <c:pt idx="15">
                  <c:v>0</c:v>
                </c:pt>
                <c:pt idx="16">
                  <c:v>-150</c:v>
                </c:pt>
                <c:pt idx="17">
                  <c:v>-125</c:v>
                </c:pt>
                <c:pt idx="18">
                  <c:v>-100</c:v>
                </c:pt>
                <c:pt idx="19">
                  <c:v>-75</c:v>
                </c:pt>
                <c:pt idx="20">
                  <c:v>-50</c:v>
                </c:pt>
                <c:pt idx="21">
                  <c:v>-25</c:v>
                </c:pt>
                <c:pt idx="22">
                  <c:v>0</c:v>
                </c:pt>
              </c:numCache>
            </c:numRef>
          </c:cat>
          <c:val>
            <c:numRef>
              <c:f>Tracking_aggData_by_incentive_n!$C$28:$C$50</c:f>
              <c:numCache>
                <c:formatCode>_(* #,##0.00_);_(* \(#,##0.00\);_(* "-"??_);_(@_)</c:formatCode>
                <c:ptCount val="23"/>
                <c:pt idx="0">
                  <c:v>0.3915450643065933</c:v>
                </c:pt>
                <c:pt idx="1">
                  <c:v>0.39711931039383769</c:v>
                </c:pt>
                <c:pt idx="2">
                  <c:v>0.42113757654757422</c:v>
                </c:pt>
                <c:pt idx="3">
                  <c:v>0.41536800614295327</c:v>
                </c:pt>
                <c:pt idx="4">
                  <c:v>0.45580425016285936</c:v>
                </c:pt>
                <c:pt idx="5">
                  <c:v>0.5077488790140281</c:v>
                </c:pt>
                <c:pt idx="6">
                  <c:v>0.59665509497139391</c:v>
                </c:pt>
                <c:pt idx="7">
                  <c:v>0.73111543207520824</c:v>
                </c:pt>
                <c:pt idx="8">
                  <c:v>0.81835398844049534</c:v>
                </c:pt>
                <c:pt idx="9">
                  <c:v>0.46275844123115017</c:v>
                </c:pt>
                <c:pt idx="10">
                  <c:v>0.46438868286750296</c:v>
                </c:pt>
                <c:pt idx="11">
                  <c:v>0.50426746657857691</c:v>
                </c:pt>
                <c:pt idx="12">
                  <c:v>0.56182077401814945</c:v>
                </c:pt>
                <c:pt idx="13">
                  <c:v>0.66520198430792621</c:v>
                </c:pt>
                <c:pt idx="14">
                  <c:v>0.81108828475794681</c:v>
                </c:pt>
                <c:pt idx="15">
                  <c:v>0.90187265634479452</c:v>
                </c:pt>
                <c:pt idx="16">
                  <c:v>0.40346443215973665</c:v>
                </c:pt>
                <c:pt idx="17">
                  <c:v>0.41880196299350153</c:v>
                </c:pt>
                <c:pt idx="18">
                  <c:v>0.45854260911899247</c:v>
                </c:pt>
                <c:pt idx="19">
                  <c:v>0.5076411201334865</c:v>
                </c:pt>
                <c:pt idx="20">
                  <c:v>0.60104318475438501</c:v>
                </c:pt>
                <c:pt idx="21">
                  <c:v>0.73725612884282943</c:v>
                </c:pt>
                <c:pt idx="22">
                  <c:v>0.82671566107145478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7508096"/>
        <c:axId val="277509632"/>
      </c:lineChart>
      <c:catAx>
        <c:axId val="277508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77509632"/>
        <c:crosses val="autoZero"/>
        <c:auto val="1"/>
        <c:lblAlgn val="ctr"/>
        <c:lblOffset val="100"/>
        <c:noMultiLvlLbl val="0"/>
      </c:catAx>
      <c:valAx>
        <c:axId val="277509632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2775080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Actual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Purch</c:v>
          </c:tx>
          <c:marker>
            <c:symbol val="none"/>
          </c:marker>
          <c:val>
            <c:numRef>
              <c:f>Sheet2!$C$17:$C$20</c:f>
              <c:numCache>
                <c:formatCode>_(* #,##0.00_);_(* \(#,##0.00\);_(* "-"??_);_(@_)</c:formatCode>
                <c:ptCount val="4"/>
                <c:pt idx="0">
                  <c:v>6.1940703790964724</c:v>
                </c:pt>
                <c:pt idx="1">
                  <c:v>7.7795421257919939</c:v>
                </c:pt>
                <c:pt idx="2">
                  <c:v>10.039342040310695</c:v>
                </c:pt>
                <c:pt idx="3">
                  <c:v>8.5383676610233614</c:v>
                </c:pt>
              </c:numCache>
            </c:numRef>
          </c:val>
          <c:smooth val="0"/>
        </c:ser>
        <c:ser>
          <c:idx val="1"/>
          <c:order val="1"/>
          <c:tx>
            <c:v>NCO</c:v>
          </c:tx>
          <c:marker>
            <c:symbol val="none"/>
          </c:marker>
          <c:val>
            <c:numRef>
              <c:f>Sheet2!$O$17:$O$20</c:f>
              <c:numCache>
                <c:formatCode>_(* #,##0.00_);_(* \(#,##0.00\);_(* "-"??_);_(@_)</c:formatCode>
                <c:ptCount val="4"/>
                <c:pt idx="0">
                  <c:v>6.1161721090353343</c:v>
                </c:pt>
                <c:pt idx="1">
                  <c:v>6.9614733664035704</c:v>
                </c:pt>
                <c:pt idx="2">
                  <c:v>8.5903341896324434</c:v>
                </c:pt>
                <c:pt idx="3">
                  <c:v>9.9889087169522828</c:v>
                </c:pt>
              </c:numCache>
            </c:numRef>
          </c:val>
          <c:smooth val="0"/>
        </c:ser>
        <c:ser>
          <c:idx val="2"/>
          <c:order val="2"/>
          <c:tx>
            <c:v>CO</c:v>
          </c:tx>
          <c:marker>
            <c:symbol val="none"/>
          </c:marker>
          <c:val>
            <c:numRef>
              <c:f>Sheet2!$I$17:$I$20</c:f>
              <c:numCache>
                <c:formatCode>_(* #,##0.00_);_(* \(#,##0.00\);_(* "-"??_);_(@_)</c:formatCode>
                <c:ptCount val="4"/>
                <c:pt idx="0">
                  <c:v>5.5360567482428795</c:v>
                </c:pt>
                <c:pt idx="1">
                  <c:v>6.6244695107428697</c:v>
                </c:pt>
                <c:pt idx="2">
                  <c:v>6.2118781153364893</c:v>
                </c:pt>
                <c:pt idx="3">
                  <c:v>10.112574532510299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034496"/>
        <c:axId val="131299200"/>
      </c:lineChart>
      <c:catAx>
        <c:axId val="131034496"/>
        <c:scaling>
          <c:orientation val="minMax"/>
        </c:scaling>
        <c:delete val="0"/>
        <c:axPos val="b"/>
        <c:majorTickMark val="out"/>
        <c:minorTickMark val="none"/>
        <c:tickLblPos val="nextTo"/>
        <c:crossAx val="131299200"/>
        <c:crosses val="autoZero"/>
        <c:auto val="1"/>
        <c:lblAlgn val="ctr"/>
        <c:lblOffset val="100"/>
        <c:noMultiLvlLbl val="0"/>
      </c:catAx>
      <c:valAx>
        <c:axId val="131299200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310344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Purchase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Purch</c:v>
          </c:tx>
          <c:marker>
            <c:symbol val="none"/>
          </c:marker>
          <c:val>
            <c:numRef>
              <c:f>Sheet2!$C$17:$C$20</c:f>
              <c:numCache>
                <c:formatCode>_(* #,##0.00_);_(* \(#,##0.00\);_(* "-"??_);_(@_)</c:formatCode>
                <c:ptCount val="4"/>
                <c:pt idx="0">
                  <c:v>6.1940703790964724</c:v>
                </c:pt>
                <c:pt idx="1">
                  <c:v>7.7795421257919939</c:v>
                </c:pt>
                <c:pt idx="2">
                  <c:v>10.039342040310695</c:v>
                </c:pt>
                <c:pt idx="3">
                  <c:v>8.5383676610233614</c:v>
                </c:pt>
              </c:numCache>
            </c:numRef>
          </c:val>
          <c:smooth val="0"/>
        </c:ser>
        <c:ser>
          <c:idx val="1"/>
          <c:order val="1"/>
          <c:tx>
            <c:v>Purchase Model</c:v>
          </c:tx>
          <c:marker>
            <c:symbol val="none"/>
          </c:marker>
          <c:val>
            <c:numRef>
              <c:f>Sheet2!$D$17:$D$20</c:f>
              <c:numCache>
                <c:formatCode>_(* #,##0.00_);_(* \(#,##0.00\);_(* "-"??_);_(@_)</c:formatCode>
                <c:ptCount val="4"/>
                <c:pt idx="0">
                  <c:v>6.5373776677916107</c:v>
                </c:pt>
                <c:pt idx="1">
                  <c:v>7.6967577340405597</c:v>
                </c:pt>
                <c:pt idx="2">
                  <c:v>9.3103964575350631</c:v>
                </c:pt>
                <c:pt idx="3">
                  <c:v>10.301460361764715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379584"/>
        <c:axId val="199414528"/>
      </c:lineChart>
      <c:catAx>
        <c:axId val="199379584"/>
        <c:scaling>
          <c:orientation val="minMax"/>
        </c:scaling>
        <c:delete val="0"/>
        <c:axPos val="b"/>
        <c:majorTickMark val="out"/>
        <c:minorTickMark val="none"/>
        <c:tickLblPos val="nextTo"/>
        <c:crossAx val="199414528"/>
        <c:crosses val="autoZero"/>
        <c:auto val="1"/>
        <c:lblAlgn val="ctr"/>
        <c:lblOffset val="100"/>
        <c:noMultiLvlLbl val="0"/>
      </c:catAx>
      <c:valAx>
        <c:axId val="199414528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99379584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Sheet2!$I$12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val>
            <c:numRef>
              <c:f>Sheet2!$I$17:$I$20</c:f>
              <c:numCache>
                <c:formatCode>_(* #,##0.00_);_(* \(#,##0.00\);_(* "-"??_);_(@_)</c:formatCode>
                <c:ptCount val="4"/>
                <c:pt idx="0">
                  <c:v>5.5360567482428795</c:v>
                </c:pt>
                <c:pt idx="1">
                  <c:v>6.6244695107428697</c:v>
                </c:pt>
                <c:pt idx="2">
                  <c:v>6.2118781153364893</c:v>
                </c:pt>
                <c:pt idx="3">
                  <c:v>10.112574532510299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Sheet2!$J$12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val>
            <c:numRef>
              <c:f>Sheet2!$J$17:$J$20</c:f>
              <c:numCache>
                <c:formatCode>_(* #,##0.00_);_(* \(#,##0.00\);_(* "-"??_);_(@_)</c:formatCode>
                <c:ptCount val="4"/>
                <c:pt idx="0">
                  <c:v>5.9244571750910469</c:v>
                </c:pt>
                <c:pt idx="1">
                  <c:v>6.9788041432648606</c:v>
                </c:pt>
                <c:pt idx="2">
                  <c:v>8.4970043839210252</c:v>
                </c:pt>
                <c:pt idx="3">
                  <c:v>9.4817075158355362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835008"/>
        <c:axId val="199957888"/>
      </c:lineChart>
      <c:catAx>
        <c:axId val="199835008"/>
        <c:scaling>
          <c:orientation val="minMax"/>
        </c:scaling>
        <c:delete val="0"/>
        <c:axPos val="b"/>
        <c:majorTickMark val="out"/>
        <c:minorTickMark val="none"/>
        <c:tickLblPos val="nextTo"/>
        <c:crossAx val="199957888"/>
        <c:crosses val="autoZero"/>
        <c:auto val="1"/>
        <c:lblAlgn val="ctr"/>
        <c:lblOffset val="100"/>
        <c:noMultiLvlLbl val="0"/>
      </c:catAx>
      <c:valAx>
        <c:axId val="199957888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99835008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NCO 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Sheet2!$O$12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val>
            <c:numRef>
              <c:f>Sheet2!$O$17:$O$20</c:f>
              <c:numCache>
                <c:formatCode>_(* #,##0.00_);_(* \(#,##0.00\);_(* "-"??_);_(@_)</c:formatCode>
                <c:ptCount val="4"/>
                <c:pt idx="0">
                  <c:v>6.1161721090353343</c:v>
                </c:pt>
                <c:pt idx="1">
                  <c:v>6.9614733664035704</c:v>
                </c:pt>
                <c:pt idx="2">
                  <c:v>8.5903341896324434</c:v>
                </c:pt>
                <c:pt idx="3">
                  <c:v>9.9889087169522828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Sheet2!$P$12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val>
            <c:numRef>
              <c:f>Sheet2!$P$17:$P$20</c:f>
              <c:numCache>
                <c:formatCode>_(* #,##0.00_);_(* \(#,##0.00\);_(* "-"??_);_(@_)</c:formatCode>
                <c:ptCount val="4"/>
                <c:pt idx="0">
                  <c:v>5.9256798717773007</c:v>
                </c:pt>
                <c:pt idx="1">
                  <c:v>6.9295137487618614</c:v>
                </c:pt>
                <c:pt idx="2">
                  <c:v>8.4290534066747806</c:v>
                </c:pt>
                <c:pt idx="3">
                  <c:v>9.3900817818348798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789312"/>
        <c:axId val="253830656"/>
      </c:lineChart>
      <c:catAx>
        <c:axId val="253789312"/>
        <c:scaling>
          <c:orientation val="minMax"/>
        </c:scaling>
        <c:delete val="0"/>
        <c:axPos val="b"/>
        <c:majorTickMark val="out"/>
        <c:minorTickMark val="none"/>
        <c:tickLblPos val="nextTo"/>
        <c:crossAx val="253830656"/>
        <c:crosses val="autoZero"/>
        <c:auto val="1"/>
        <c:lblAlgn val="ctr"/>
        <c:lblOffset val="100"/>
        <c:noMultiLvlLbl val="0"/>
      </c:catAx>
      <c:valAx>
        <c:axId val="25383065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25378931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Weighted Mean - invstor dial 1.18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Sheet2!$U$12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val>
            <c:numRef>
              <c:f>Sheet2!$U$17:$U$20</c:f>
              <c:numCache>
                <c:formatCode>_(* #,##0.00_);_(* \(#,##0.00\);_(* "-"??_);_(@_)</c:formatCode>
                <c:ptCount val="4"/>
                <c:pt idx="0">
                  <c:v>6.0332952582431982</c:v>
                </c:pt>
                <c:pt idx="1">
                  <c:v>7.13148657579403</c:v>
                </c:pt>
                <c:pt idx="2">
                  <c:v>8.4830646159108554</c:v>
                </c:pt>
                <c:pt idx="3">
                  <c:v>9.6447846042579961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Sheet2!$V$12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val>
            <c:numRef>
              <c:f>Sheet2!$V$17:$V$20</c:f>
              <c:numCache>
                <c:formatCode>_(* #,##0.00_);_(* \(#,##0.00\);_(* "-"??_);_(@_)</c:formatCode>
                <c:ptCount val="4"/>
                <c:pt idx="0">
                  <c:v>6.1019365767326983</c:v>
                </c:pt>
                <c:pt idx="1">
                  <c:v>7.1548929850146701</c:v>
                </c:pt>
                <c:pt idx="2">
                  <c:v>8.6711186518600059</c:v>
                </c:pt>
                <c:pt idx="3">
                  <c:v>9.6422294778083621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6704640"/>
        <c:axId val="356706176"/>
      </c:lineChart>
      <c:catAx>
        <c:axId val="356704640"/>
        <c:scaling>
          <c:orientation val="minMax"/>
        </c:scaling>
        <c:delete val="0"/>
        <c:axPos val="b"/>
        <c:majorTickMark val="out"/>
        <c:minorTickMark val="none"/>
        <c:tickLblPos val="nextTo"/>
        <c:crossAx val="356706176"/>
        <c:crosses val="autoZero"/>
        <c:auto val="1"/>
        <c:lblAlgn val="ctr"/>
        <c:lblOffset val="100"/>
        <c:noMultiLvlLbl val="0"/>
      </c:catAx>
      <c:valAx>
        <c:axId val="35670617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356704640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4762</xdr:colOff>
      <xdr:row>25</xdr:row>
      <xdr:rowOff>171450</xdr:rowOff>
    </xdr:from>
    <xdr:to>
      <xdr:col>21</xdr:col>
      <xdr:colOff>309562</xdr:colOff>
      <xdr:row>40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214312</xdr:colOff>
      <xdr:row>20</xdr:row>
      <xdr:rowOff>100012</xdr:rowOff>
    </xdr:from>
    <xdr:to>
      <xdr:col>7</xdr:col>
      <xdr:colOff>519112</xdr:colOff>
      <xdr:row>34</xdr:row>
      <xdr:rowOff>176212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37</xdr:row>
      <xdr:rowOff>57150</xdr:rowOff>
    </xdr:from>
    <xdr:to>
      <xdr:col>7</xdr:col>
      <xdr:colOff>495300</xdr:colOff>
      <xdr:row>51</xdr:row>
      <xdr:rowOff>133350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80961</xdr:colOff>
      <xdr:row>37</xdr:row>
      <xdr:rowOff>95250</xdr:rowOff>
    </xdr:from>
    <xdr:to>
      <xdr:col>15</xdr:col>
      <xdr:colOff>361949</xdr:colOff>
      <xdr:row>51</xdr:row>
      <xdr:rowOff>171450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157162</xdr:colOff>
      <xdr:row>37</xdr:row>
      <xdr:rowOff>57150</xdr:rowOff>
    </xdr:from>
    <xdr:to>
      <xdr:col>23</xdr:col>
      <xdr:colOff>461962</xdr:colOff>
      <xdr:row>51</xdr:row>
      <xdr:rowOff>133350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138112</xdr:colOff>
      <xdr:row>37</xdr:row>
      <xdr:rowOff>66675</xdr:rowOff>
    </xdr:from>
    <xdr:to>
      <xdr:col>31</xdr:col>
      <xdr:colOff>442912</xdr:colOff>
      <xdr:row>51</xdr:row>
      <xdr:rowOff>142875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15.727462499999" createdVersion="4" refreshedVersion="4" minRefreshableVersion="3" recordCount="23">
  <cacheSource type="worksheet">
    <worksheetSource ref="A1:AM24" sheet="Tracking_aggData_by_incentive_n"/>
  </cacheSource>
  <cacheFields count="39">
    <cacheField name="x" numFmtId="0">
      <sharedItems containsSemiMixedTypes="0" containsString="0" containsNumber="1" containsInteger="1" minValue="-200" maxValue="0" count="9">
        <n v="-200"/>
        <n v="-175"/>
        <n v="-150"/>
        <n v="-125"/>
        <n v="-100"/>
        <n v="-75"/>
        <n v="-50"/>
        <n v="-25"/>
        <n v="0"/>
      </sharedItems>
    </cacheField>
    <cacheField name="actual.smm" numFmtId="0">
      <sharedItems containsSemiMixedTypes="0" containsString="0" containsNumber="1" minValue="0" maxValue="0.99827087349131005"/>
    </cacheField>
    <cacheField name="model.smm" numFmtId="0">
      <sharedItems containsSemiMixedTypes="0" containsString="0" containsNumber="1" minValue="0.39154506430659303" maxValue="0.90187265634479397"/>
    </cacheField>
    <cacheField name="track.err" numFmtId="0">
      <sharedItems containsSemiMixedTypes="0" containsString="0" containsNumber="1" minValue="-0.57946891049780902" maxValue="0.46275844123115001"/>
    </cacheField>
    <cacheField name="curt.smm" numFmtId="0">
      <sharedItems containsSemiMixedTypes="0" containsString="0" containsNumber="1" minValue="4.7118420177359101E-2" maxValue="5.2374562962963001E-2"/>
    </cacheField>
    <cacheField name="dflt.smm" numFmtId="0">
      <sharedItems containsSemiMixedTypes="0" containsString="0" containsNumber="1" minValue="1.2533938390408301E-3" maxValue="1.49662938926484E-2"/>
    </cacheField>
    <cacheField name="cout.smm" numFmtId="0">
      <sharedItems containsSemiMixedTypes="0" containsString="0" containsNumber="1" minValue="4.7118420177359101E-2" maxValue="5.2374562962963001E-2"/>
    </cacheField>
    <cacheField name="turn.smm" numFmtId="0">
      <sharedItems containsSemiMixedTypes="0" containsString="0" containsNumber="1" minValue="0.28553545652288798" maxValue="0.60361063021060501"/>
    </cacheField>
    <cacheField name="refi.smm" numFmtId="0">
      <sharedItems containsSemiMixedTypes="0" containsString="0" containsNumber="1" minValue="6.3537206517031198E-6" maxValue="0.18527240575130499"/>
    </cacheField>
    <cacheField name="pct_inv" numFmtId="0">
      <sharedItems containsSemiMixedTypes="0" containsString="0" containsNumber="1" containsInteger="1" minValue="100" maxValue="100"/>
    </cacheField>
    <cacheField name="pct_2nd" numFmtId="0">
      <sharedItems containsSemiMixedTypes="0" containsString="0" containsNumber="1" containsInteger="1" minValue="0" maxValue="0"/>
    </cacheField>
    <cacheField name="pct_owner" numFmtId="0">
      <sharedItems containsSemiMixedTypes="0" containsString="0" containsNumber="1" containsInteger="1" minValue="0" maxValue="0"/>
    </cacheField>
    <cacheField name="pct_purchase" numFmtId="0">
      <sharedItems containsSemiMixedTypes="0" containsString="0" containsNumber="1" containsInteger="1" minValue="0" maxValue="100"/>
    </cacheField>
    <cacheField name="pct_REFI_NCO" numFmtId="0">
      <sharedItems containsSemiMixedTypes="0" containsString="0" containsNumber="1" containsInteger="1" minValue="0" maxValue="100"/>
    </cacheField>
    <cacheField name="pct_REFI_CO" numFmtId="0">
      <sharedItems containsSemiMixedTypes="0" containsString="0" containsNumber="1" containsInteger="1" minValue="0" maxValue="100"/>
    </cacheField>
    <cacheField name="pct_REFI_other" numFmtId="0">
      <sharedItems containsSemiMixedTypes="0" containsString="0" containsNumber="1" containsInteger="1" minValue="0" maxValue="0"/>
    </cacheField>
    <cacheField name="pct_REFI" numFmtId="0">
      <sharedItems containsSemiMixedTypes="0" containsString="0" containsNumber="1" containsInteger="1" minValue="0" maxValue="100"/>
    </cacheField>
    <cacheField name="pct_dq" numFmtId="0">
      <sharedItems containsSemiMixedTypes="0" containsString="0" containsNumber="1" minValue="0" maxValue="0.56901548697035298"/>
    </cacheField>
    <cacheField name="incentive" numFmtId="0">
      <sharedItems containsSemiMixedTypes="0" containsString="0" containsNumber="1" minValue="-202.1" maxValue="-14.459114872495901"/>
    </cacheField>
    <cacheField name="burnout" numFmtId="0">
      <sharedItems containsSemiMixedTypes="0" containsString="0" containsNumber="1" minValue="0" maxValue="446.24766805810799"/>
    </cacheField>
    <cacheField name="refi_elig_pct" numFmtId="0">
      <sharedItems containsSemiMixedTypes="0" containsString="0" containsNumber="1" minValue="81.645731699158205" maxValue="100"/>
    </cacheField>
    <cacheField name="cltv" numFmtId="0">
      <sharedItems containsSemiMixedTypes="0" containsString="0" containsNumber="1" minValue="33.200000000000003" maxValue="53.602938087334202"/>
    </cacheField>
    <cacheField name="wacls" numFmtId="0">
      <sharedItems containsSemiMixedTypes="0" containsString="0" containsNumber="1" minValue="256.60000000000002" maxValue="416.57643959357398"/>
    </cacheField>
    <cacheField name="wala" numFmtId="0">
      <sharedItems containsSemiMixedTypes="0" containsString="0" containsNumber="1" minValue="51.751870698888297" maxValue="64"/>
    </cacheField>
    <cacheField name="wac" numFmtId="0">
      <sharedItems containsSemiMixedTypes="0" containsString="0" containsNumber="1" minValue="2.6" maxValue="4.2118879004076097"/>
    </cacheField>
    <cacheField name="fico" numFmtId="0">
      <sharedItems containsSemiMixedTypes="0" containsString="0" containsNumber="1" minValue="719.69485603858197" maxValue="775.53371259970504"/>
    </cacheField>
    <cacheField name="pct_HARPed" numFmtId="0">
      <sharedItems containsSemiMixedTypes="0" containsString="0" containsNumber="1" minValue="0" maxValue="100"/>
    </cacheField>
    <cacheField name="pct_tpo" numFmtId="0">
      <sharedItems containsSemiMixedTypes="0" containsString="0" containsNumber="1" containsInteger="1" minValue="0" maxValue="0"/>
    </cacheField>
    <cacheField name="cai" numFmtId="0">
      <sharedItems containsSemiMixedTypes="0" containsString="0" containsNumber="1" minValue="169.79929156855999" maxValue="179.2"/>
    </cacheField>
    <cacheField name="hpa2yr" numFmtId="0">
      <sharedItems containsSemiMixedTypes="0" containsString="0" containsNumber="1" minValue="111.83705665407901" maxValue="112.24820845889499"/>
    </cacheField>
    <cacheField name="media_effect" numFmtId="0">
      <sharedItems containsSemiMixedTypes="0" containsString="0" containsNumber="1" minValue="20.9" maxValue="34.243289839154002"/>
    </cacheField>
    <cacheField name="sato" numFmtId="0">
      <sharedItems containsSemiMixedTypes="0" containsString="0" containsNumber="1" minValue="-107" maxValue="30.2047920617206"/>
    </cacheField>
    <cacheField name="bal" numFmtId="0">
      <sharedItems containsSemiMixedTypes="0" containsString="0" containsNumber="1" minValue="256666.2" maxValue="13066329059.9"/>
    </cacheField>
    <cacheField name="std" numFmtId="0">
      <sharedItems containsMixedTypes="1" containsNumber="1" minValue="0" maxValue="9.4908827328748002E-2"/>
    </cacheField>
    <cacheField name="n" numFmtId="0">
      <sharedItems containsSemiMixedTypes="0" containsString="0" containsNumber="1" containsInteger="1" minValue="1" maxValue="9086"/>
    </cacheField>
    <cacheField name="purpose" numFmtId="0">
      <sharedItems count="3">
        <s v="REFI_NCO"/>
        <s v="PURCH"/>
        <s v="REFI_CO"/>
      </sharedItems>
    </cacheField>
    <cacheField name="Ratio" numFmtId="0">
      <sharedItems containsSemiMixedTypes="0" containsString="0" containsNumber="1" minValue="0" maxValue="2.3836346571919038"/>
    </cacheField>
    <cacheField name="model w/o refi" numFmtId="0">
      <sharedItems containsString="0" containsBlank="1" containsNumber="1" minValue="0.39153797628785453" maxValue="0.71660025059348897"/>
    </cacheField>
    <cacheField name="Ratio w/o refi" numFmtId="0">
      <sharedItems containsString="0" containsBlank="1" containsNumber="1" minValue="0" maxValue="2.38369609127452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">
  <r>
    <x v="0"/>
    <n v="0"/>
    <n v="0.39154506430659303"/>
    <n v="0.39154506430659303"/>
    <n v="5.2374562962963001E-2"/>
    <n v="1.2533938390408301E-3"/>
    <n v="5.2374562962963001E-2"/>
    <n v="0.28553545652288798"/>
    <n v="7.08801873852613E-6"/>
    <n v="100"/>
    <n v="0"/>
    <n v="0"/>
    <n v="0"/>
    <n v="100"/>
    <n v="0"/>
    <n v="0"/>
    <n v="100"/>
    <n v="0"/>
    <n v="-202.1"/>
    <n v="0"/>
    <n v="100"/>
    <n v="33.200000000000003"/>
    <n v="256.60000000000002"/>
    <n v="64"/>
    <n v="2.6"/>
    <n v="726"/>
    <n v="100"/>
    <n v="0"/>
    <n v="179.2"/>
    <n v="112.2"/>
    <n v="20.9"/>
    <n v="-107"/>
    <n v="256666.2"/>
    <s v="NA"/>
    <n v="1"/>
    <x v="0"/>
    <n v="0"/>
    <n v="0.39153797628785453"/>
    <n v="0"/>
  </r>
  <r>
    <x v="1"/>
    <n v="0"/>
    <n v="0.39711931039383802"/>
    <n v="0.39711931039383802"/>
    <n v="4.8099953016545099E-2"/>
    <n v="1.3238753591557899E-3"/>
    <n v="4.8099953016545099E-2"/>
    <n v="0.29958917528093998"/>
    <n v="6.3537206517031198E-6"/>
    <n v="100"/>
    <n v="0"/>
    <n v="0"/>
    <n v="0"/>
    <n v="100"/>
    <n v="0"/>
    <n v="0"/>
    <n v="100"/>
    <n v="0"/>
    <n v="-188.59116013484501"/>
    <n v="0"/>
    <n v="100"/>
    <n v="36.328659208537204"/>
    <n v="262.70819349635099"/>
    <n v="53.963030635998003"/>
    <n v="2.6"/>
    <n v="726"/>
    <n v="100"/>
    <n v="0"/>
    <n v="170.00675512650099"/>
    <n v="111.897400666181"/>
    <n v="26.679556356105799"/>
    <n v="-107"/>
    <n v="1839290.5"/>
    <n v="0"/>
    <n v="7"/>
    <x v="0"/>
    <n v="0"/>
    <n v="0.3971129566731863"/>
    <n v="0"/>
  </r>
  <r>
    <x v="2"/>
    <n v="5.5572375733499201E-5"/>
    <n v="0.421137576547574"/>
    <n v="0.421082004171841"/>
    <n v="4.8503081453702301E-2"/>
    <n v="4.55680570037205E-3"/>
    <n v="4.8503081453702301E-2"/>
    <n v="0.319567474410337"/>
    <n v="7.1335294605614796E-6"/>
    <n v="100"/>
    <n v="0"/>
    <n v="0"/>
    <n v="0"/>
    <n v="100"/>
    <n v="0"/>
    <n v="0"/>
    <n v="100"/>
    <n v="0.15715818350632699"/>
    <n v="-161.315105320143"/>
    <n v="0"/>
    <n v="81.645731699158205"/>
    <n v="35.166546498085197"/>
    <n v="321.81808929608701"/>
    <n v="54.926685103274103"/>
    <n v="2.8977830914206"/>
    <n v="735.80594499492099"/>
    <n v="52.763448074191601"/>
    <n v="0"/>
    <n v="172.99510074502601"/>
    <n v="112.081733479165"/>
    <n v="27.212945226742399"/>
    <n v="-76.821396234713106"/>
    <n v="5283799.3"/>
    <n v="2.1828206253269999E-6"/>
    <n v="17"/>
    <x v="0"/>
    <n v="1.3195777063892906E-4"/>
    <n v="0.42113044301811342"/>
    <n v="1.3196000587188363E-4"/>
  </r>
  <r>
    <x v="3"/>
    <n v="0.41510695537835102"/>
    <n v="0.41536800614295299"/>
    <n v="2.6105076460239201E-4"/>
    <n v="4.8477697455183703E-2"/>
    <n v="6.0158552132611601E-3"/>
    <n v="4.8477697455183703E-2"/>
    <n v="0.31238664393943899"/>
    <n v="1.01120798856936E-5"/>
    <n v="100"/>
    <n v="0"/>
    <n v="0"/>
    <n v="0"/>
    <n v="100"/>
    <n v="0"/>
    <n v="0"/>
    <n v="100"/>
    <n v="0.22739450502668701"/>
    <n v="-132.05946887703101"/>
    <n v="7.0388949211479196E-3"/>
    <n v="98.247758487163907"/>
    <n v="39.504033166826197"/>
    <n v="378.056153685163"/>
    <n v="54.891861680560901"/>
    <n v="3.2742674042534801"/>
    <n v="771.08245733900003"/>
    <n v="13.5510499870754"/>
    <n v="0"/>
    <n v="172.70639537475901"/>
    <n v="111.91843179476299"/>
    <n v="24.160245223604299"/>
    <n v="-32.728598664162099"/>
    <n v="110185918.2"/>
    <n v="7.3303377558737601E-2"/>
    <n v="187"/>
    <x v="0"/>
    <n v="0.99937151932565516"/>
    <n v="0.41535789406306728"/>
    <n v="0.99939584948714577"/>
  </r>
  <r>
    <x v="4"/>
    <n v="0.46846535216858298"/>
    <n v="0.45580425016286003"/>
    <n v="-1.2661102005723899E-2"/>
    <n v="4.86664376389443E-2"/>
    <n v="6.0214382339850402E-3"/>
    <n v="4.86664376389443E-2"/>
    <n v="0.35244034466837798"/>
    <n v="9.5919826077704306E-6"/>
    <n v="100"/>
    <n v="0"/>
    <n v="0"/>
    <n v="0"/>
    <n v="100"/>
    <n v="0"/>
    <n v="0"/>
    <n v="100"/>
    <n v="0.23036865397912401"/>
    <n v="-108.178305524783"/>
    <n v="1.0219777435796299E-2"/>
    <n v="99.856879365307506"/>
    <n v="39.029307802717398"/>
    <n v="325.625996049398"/>
    <n v="55.304569698681902"/>
    <n v="3.45166472111111"/>
    <n v="773.646253916506"/>
    <n v="9.1334280764126206"/>
    <n v="0"/>
    <n v="172.78834036843401"/>
    <n v="111.973600672773"/>
    <n v="24.611848161462198"/>
    <n v="-16.113250302683799"/>
    <n v="1290521526.8"/>
    <n v="3.0251936667264601E-2"/>
    <n v="753"/>
    <x v="0"/>
    <n v="1.0277774987863739"/>
    <n v="0.45579465818025228"/>
    <n v="1.0277991278768341"/>
  </r>
  <r>
    <x v="5"/>
    <n v="0.52455306974748195"/>
    <n v="0.50774887901402799"/>
    <n v="-1.6804190733453302E-2"/>
    <n v="4.88247656985294E-2"/>
    <n v="7.2281141214279396E-3"/>
    <n v="4.88247656985294E-2"/>
    <n v="0.40254817002797399"/>
    <n v="3.2306346756740402E-4"/>
    <n v="100"/>
    <n v="0"/>
    <n v="0"/>
    <n v="0"/>
    <n v="100"/>
    <n v="0"/>
    <n v="0"/>
    <n v="100"/>
    <n v="0.28124183528559399"/>
    <n v="-85.216135810450794"/>
    <n v="1.7029350658281199"/>
    <n v="99.906737503789898"/>
    <n v="39.2010186320203"/>
    <n v="321.23549902590702"/>
    <n v="55.643251676477902"/>
    <n v="3.61597981746046"/>
    <n v="772.35851861937795"/>
    <n v="7.9686660833405698"/>
    <n v="0"/>
    <n v="173.367793443934"/>
    <n v="112.130037330311"/>
    <n v="26.982423646815199"/>
    <n v="-2.48355185985245"/>
    <n v="5161209539.1000004"/>
    <n v="6.3990204358878894E-2"/>
    <n v="1752"/>
    <x v="0"/>
    <n v="1.0330954757912714"/>
    <n v="0.5074258155464606"/>
    <n v="1.0337532180592282"/>
  </r>
  <r>
    <x v="6"/>
    <n v="0.59950006507356501"/>
    <n v="0.59665509497139402"/>
    <n v="-2.84497010217151E-3"/>
    <n v="4.8951746663451798E-2"/>
    <n v="9.6735973544712292E-3"/>
    <n v="4.8951746663451798E-2"/>
    <n v="0.45550423383889899"/>
    <n v="3.3573770451120102E-2"/>
    <n v="100"/>
    <n v="0"/>
    <n v="0"/>
    <n v="0"/>
    <n v="100"/>
    <n v="0"/>
    <n v="0"/>
    <n v="100"/>
    <n v="0.382080330816575"/>
    <n v="-61.656765922561299"/>
    <n v="30.572153669255499"/>
    <n v="99.815794242034698"/>
    <n v="39.570440642781399"/>
    <n v="314.04208197895599"/>
    <n v="55.914320745164801"/>
    <n v="3.7834095839170701"/>
    <n v="771.68093291662206"/>
    <n v="10.558472849608201"/>
    <n v="0"/>
    <n v="173.47124388330201"/>
    <n v="112.22547407978"/>
    <n v="29.923796670835198"/>
    <n v="7.4976823945942899"/>
    <n v="11642768878.4"/>
    <n v="5.1409316510080197E-2"/>
    <n v="3802"/>
    <x v="0"/>
    <n v="1.0047681987904711"/>
    <n v="0.56308132452027393"/>
    <n v="1.0646775855766812"/>
  </r>
  <r>
    <x v="7"/>
    <n v="0.74569711503826697"/>
    <n v="0.73111543207520802"/>
    <n v="-1.4581682963058999E-2"/>
    <n v="4.92903011716294E-2"/>
    <n v="1.2929087054252501E-2"/>
    <n v="4.92903011716294E-2"/>
    <n v="0.51448896523316401"/>
    <n v="0.105116777444533"/>
    <n v="100"/>
    <n v="0"/>
    <n v="0"/>
    <n v="0"/>
    <n v="100"/>
    <n v="0"/>
    <n v="0"/>
    <n v="100"/>
    <n v="0.50836607831004998"/>
    <n v="-38.004450559555998"/>
    <n v="148.70545641561199"/>
    <n v="99.526463542756005"/>
    <n v="39.966617399071303"/>
    <n v="313.97465695773502"/>
    <n v="56.704330544915898"/>
    <n v="3.9938793727355701"/>
    <n v="767.66488222956605"/>
    <n v="18.2774358223914"/>
    <n v="0"/>
    <n v="172.81777358339099"/>
    <n v="112.20957297069999"/>
    <n v="31.300072679053599"/>
    <n v="20.465101808314401"/>
    <n v="13066329059.9"/>
    <n v="7.4363353497011897E-2"/>
    <n v="7514"/>
    <x v="0"/>
    <n v="1.0199444332910197"/>
    <n v="0.62599865463067506"/>
    <n v="1.1912120090389193"/>
  </r>
  <r>
    <x v="8"/>
    <n v="0.87314315969019396"/>
    <n v="0.81835398844049501"/>
    <n v="-5.4789171249699002E-2"/>
    <n v="4.9377025018334998E-2"/>
    <n v="1.49662938926484E-2"/>
    <n v="4.9377025018334998E-2"/>
    <n v="0.53578722748925101"/>
    <n v="0.16884641702192599"/>
    <n v="100"/>
    <n v="0"/>
    <n v="0"/>
    <n v="0"/>
    <n v="100"/>
    <n v="0"/>
    <n v="0"/>
    <n v="100"/>
    <n v="0.56901548697035298"/>
    <n v="-14.4661654300201"/>
    <n v="407.23122626786699"/>
    <n v="99.215288806799094"/>
    <n v="41.342511341028199"/>
    <n v="297.12623434475302"/>
    <n v="56.8950986406618"/>
    <n v="4.2008341347428999"/>
    <n v="762.74206873055095"/>
    <n v="29.121011575565099"/>
    <n v="0"/>
    <n v="170.79404025591899"/>
    <n v="112.111383872158"/>
    <n v="33.6752261800752"/>
    <n v="30.2047920617206"/>
    <n v="11056448407.700001"/>
    <n v="7.0957950175363202E-2"/>
    <n v="9086"/>
    <x v="0"/>
    <n v="1.0669504542332695"/>
    <n v="0.64950757141856896"/>
    <n v="1.3443155986360398"/>
  </r>
  <r>
    <x v="2"/>
    <n v="0"/>
    <n v="0.46275844123115001"/>
    <n v="0.46275844123115001"/>
    <n v="4.8465923220117398E-2"/>
    <n v="3.92726502937173E-3"/>
    <n v="4.8465923220117398E-2"/>
    <n v="0.36188812126029701"/>
    <n v="1.12085012466515E-5"/>
    <n v="100"/>
    <n v="0"/>
    <n v="0"/>
    <n v="100"/>
    <n v="0"/>
    <n v="0"/>
    <n v="0"/>
    <n v="0"/>
    <n v="0.10195946612326801"/>
    <n v="-153.297878448007"/>
    <n v="0"/>
    <n v="100"/>
    <n v="40.705426518274002"/>
    <n v="416.57643959357398"/>
    <n v="54.876576183764698"/>
    <n v="3.1"/>
    <n v="719.69485603858197"/>
    <n v="0"/>
    <n v="0"/>
    <n v="172.44652611616999"/>
    <n v="111.83705665407901"/>
    <n v="23.238108789053801"/>
    <n v="-49.7143060478518"/>
    <n v="2304704.2999999998"/>
    <n v="0"/>
    <n v="6"/>
    <x v="1"/>
    <n v="0"/>
    <n v="0.46274723272990337"/>
    <n v="0"/>
  </r>
  <r>
    <x v="3"/>
    <n v="1.22674663901127E-2"/>
    <n v="0.46438868286750301"/>
    <n v="0.45212121647739001"/>
    <n v="4.8504592792116497E-2"/>
    <n v="5.2085519567055798E-3"/>
    <n v="4.8504592792116497E-2"/>
    <n v="0.36216043312791302"/>
    <n v="1.0512198651386001E-5"/>
    <n v="100"/>
    <n v="0"/>
    <n v="0"/>
    <n v="100"/>
    <n v="0"/>
    <n v="0"/>
    <n v="0"/>
    <n v="0"/>
    <n v="0.178134394866857"/>
    <n v="-133.88326392540199"/>
    <n v="1.3381433942792001E-2"/>
    <n v="100"/>
    <n v="46.356786125037502"/>
    <n v="383.10134359619798"/>
    <n v="54.939540711518397"/>
    <n v="3.2791547459096102"/>
    <n v="767.93489779566801"/>
    <n v="0"/>
    <n v="0"/>
    <n v="172.40599898917699"/>
    <n v="111.920726422511"/>
    <n v="24.116051191213799"/>
    <n v="-33.269401842147801"/>
    <n v="58438926.899999999"/>
    <n v="1.7091765844248701E-4"/>
    <n v="108"/>
    <x v="1"/>
    <n v="2.6416376717803846E-2"/>
    <n v="0.46437817066885162"/>
    <n v="2.6416974709305704E-2"/>
  </r>
  <r>
    <x v="4"/>
    <n v="0.373094352361517"/>
    <n v="0.50426746657857702"/>
    <n v="0.13117311421706099"/>
    <n v="4.8678278417769498E-2"/>
    <n v="5.6599800850989403E-3"/>
    <n v="4.8678278417769498E-2"/>
    <n v="0.40124077411555897"/>
    <n v="1.0155542379913001E-5"/>
    <n v="100"/>
    <n v="0"/>
    <n v="0"/>
    <n v="100"/>
    <n v="0"/>
    <n v="0"/>
    <n v="0"/>
    <n v="0"/>
    <n v="0.20749570265560499"/>
    <n v="-108.270210661878"/>
    <n v="2.9288078071623501E-2"/>
    <n v="100"/>
    <n v="46.150182215560598"/>
    <n v="347.87152679885401"/>
    <n v="55.329239223787098"/>
    <n v="3.4653753280974202"/>
    <n v="775.53371259970504"/>
    <n v="0"/>
    <n v="0"/>
    <n v="173.096637114"/>
    <n v="111.997798533875"/>
    <n v="24.768638439976002"/>
    <n v="-15.239569841525601"/>
    <n v="632344129.39999998"/>
    <n v="3.0705109259182298E-2"/>
    <n v="444"/>
    <x v="1"/>
    <n v="0.73987393018419112"/>
    <n v="0.50425731103619709"/>
    <n v="0.73988883095189306"/>
  </r>
  <r>
    <x v="5"/>
    <n v="0.53143383739832994"/>
    <n v="0.56182077401814901"/>
    <n v="3.03869366198193E-2"/>
    <n v="4.8669004361695502E-2"/>
    <n v="7.1365979696044997E-3"/>
    <n v="4.8669004361695502E-2"/>
    <n v="0.456897234708603"/>
    <n v="4.4893261655101698E-4"/>
    <n v="100"/>
    <n v="0"/>
    <n v="0"/>
    <n v="100"/>
    <n v="0"/>
    <n v="0"/>
    <n v="0"/>
    <n v="0"/>
    <n v="0.26822163037589902"/>
    <n v="-85.342407321853202"/>
    <n v="0.92403859829864399"/>
    <n v="99.984425599607306"/>
    <n v="45.898549091635601"/>
    <n v="326.14076045789199"/>
    <n v="55.281523595045101"/>
    <n v="3.63257090820415"/>
    <n v="774.006403705499"/>
    <n v="0"/>
    <n v="0"/>
    <n v="172.94739165984001"/>
    <n v="112.086667312579"/>
    <n v="26.8439997585218"/>
    <n v="-1.5655976502604201"/>
    <n v="2810096626.3000002"/>
    <n v="3.38373402507164E-2"/>
    <n v="1229"/>
    <x v="1"/>
    <n v="0.94591346916118579"/>
    <n v="0.56137184140159802"/>
    <n v="0.94666992215263102"/>
  </r>
  <r>
    <x v="6"/>
    <n v="0.67262927227810998"/>
    <n v="0.66520198430792599"/>
    <n v="-7.4272879701831997E-3"/>
    <n v="4.8974476392460303E-2"/>
    <n v="8.9536709585674099E-3"/>
    <n v="4.8974476392460303E-2"/>
    <n v="0.52424110786071398"/>
    <n v="3.4058252703724201E-2"/>
    <n v="100"/>
    <n v="0"/>
    <n v="0"/>
    <n v="100"/>
    <n v="0"/>
    <n v="0"/>
    <n v="0"/>
    <n v="0"/>
    <n v="0.34331511111808899"/>
    <n v="-61.843806963000603"/>
    <n v="20.4840782823164"/>
    <n v="99.992865957986695"/>
    <n v="45.971260338509097"/>
    <n v="316.37907818589201"/>
    <n v="55.969126833593599"/>
    <n v="3.7764526570496701"/>
    <n v="772.49747875499997"/>
    <n v="0"/>
    <n v="0"/>
    <n v="173.490584899222"/>
    <n v="112.24820845889499"/>
    <n v="30.1492882758285"/>
    <n v="6.3968463756037703"/>
    <n v="6113073054.3000002"/>
    <n v="5.2764277433320197E-2"/>
    <n v="2699"/>
    <x v="1"/>
    <n v="1.0111654627397291"/>
    <n v="0.63114373160420179"/>
    <n v="1.0657307338986999"/>
  </r>
  <r>
    <x v="7"/>
    <n v="0.877772756865422"/>
    <n v="0.81108828475794703"/>
    <n v="-6.6684472107474496E-2"/>
    <n v="4.9470602462859503E-2"/>
    <n v="1.13921638760208E-2"/>
    <n v="4.9470602462859503E-2"/>
    <n v="0.59026534674835995"/>
    <n v="0.110489569207847"/>
    <n v="100"/>
    <n v="0"/>
    <n v="0"/>
    <n v="100"/>
    <n v="0"/>
    <n v="0"/>
    <n v="0"/>
    <n v="0"/>
    <n v="0.434080032605967"/>
    <n v="-38.088257370250297"/>
    <n v="121.208900050248"/>
    <n v="99.973262066664006"/>
    <n v="46.584550613813697"/>
    <n v="315.709065739967"/>
    <n v="57.122516580143497"/>
    <n v="3.9899319175574202"/>
    <n v="770.26050540574204"/>
    <n v="0"/>
    <n v="0"/>
    <n v="172.942981039171"/>
    <n v="112.232817472604"/>
    <n v="31.408679248346001"/>
    <n v="18.766956217167898"/>
    <n v="6289507041.8000002"/>
    <n v="7.4705012039235602E-2"/>
    <n v="4734"/>
    <x v="1"/>
    <n v="1.0822160464657378"/>
    <n v="0.7005987155501"/>
    <n v="1.2528894749346029"/>
  </r>
  <r>
    <x v="8"/>
    <n v="0.74099615512200501"/>
    <n v="0.90187265634479397"/>
    <n v="0.16087650122278899"/>
    <n v="4.96580769344473E-2"/>
    <n v="1.36734665139899E-2"/>
    <n v="4.96580769344473E-2"/>
    <n v="0.60361063021060501"/>
    <n v="0.18527240575130499"/>
    <n v="100"/>
    <n v="0"/>
    <n v="0"/>
    <n v="100"/>
    <n v="0"/>
    <n v="0"/>
    <n v="0"/>
    <n v="0"/>
    <n v="0.50556664412477803"/>
    <n v="-14.467361000847401"/>
    <n v="367.89627074319202"/>
    <n v="99.956222882494899"/>
    <n v="47.941031891542799"/>
    <n v="300.03751036252999"/>
    <n v="57.548354024183098"/>
    <n v="4.2022608607601999"/>
    <n v="767.434297257048"/>
    <n v="0"/>
    <n v="0"/>
    <n v="170.57595400602301"/>
    <n v="112.09323092064101"/>
    <n v="34.243289839154002"/>
    <n v="25.186159555793399"/>
    <n v="5301984306.6000004"/>
    <n v="6.4379866346470097E-2"/>
    <n v="5594"/>
    <x v="1"/>
    <n v="0.821619493516073"/>
    <n v="0.71660025059348897"/>
    <n v="1.0340439519917992"/>
  </r>
  <r>
    <x v="2"/>
    <n v="2.0121542736784099E-4"/>
    <n v="0.40346443215973599"/>
    <n v="0.40326321673236898"/>
    <n v="4.7118420177359101E-2"/>
    <n v="2.9668126288329502E-3"/>
    <n v="4.7118420177359101E-2"/>
    <n v="0.30625052218634002"/>
    <n v="1.0256989845479099E-5"/>
    <n v="100"/>
    <n v="0"/>
    <n v="0"/>
    <n v="0"/>
    <n v="0"/>
    <n v="100"/>
    <n v="0"/>
    <n v="0"/>
    <n v="5.8800454705948198E-2"/>
    <n v="-157.973138043278"/>
    <n v="0"/>
    <n v="100"/>
    <n v="53.602938087334202"/>
    <n v="352.99693957333199"/>
    <n v="51.751870698888297"/>
    <n v="3"/>
    <n v="745"/>
    <n v="0"/>
    <n v="0"/>
    <n v="170.695118477596"/>
    <n v="111.837685211541"/>
    <n v="24.175716455351399"/>
    <n v="-62"/>
    <n v="1765008.8"/>
    <n v="4.4721359549995799E-6"/>
    <n v="5"/>
    <x v="2"/>
    <n v="4.9871912200720979E-4"/>
    <n v="0.40345417516989052"/>
    <n v="4.9873180091174218E-4"/>
  </r>
  <r>
    <x v="3"/>
    <n v="0.99827087349131005"/>
    <n v="0.41880196299350098"/>
    <n v="-0.57946891049780902"/>
    <n v="4.8869765332847197E-2"/>
    <n v="6.3043725635491699E-3"/>
    <n v="4.8869765332847197E-2"/>
    <n v="0.31474726614233101"/>
    <n v="1.07936219269596E-5"/>
    <n v="100"/>
    <n v="0"/>
    <n v="0"/>
    <n v="0"/>
    <n v="0"/>
    <n v="100"/>
    <n v="0"/>
    <n v="0"/>
    <n v="0.22969987375312101"/>
    <n v="-133.41523429502499"/>
    <n v="1.3107782442133E-3"/>
    <n v="100"/>
    <n v="40.849232431681102"/>
    <n v="392.715652205472"/>
    <n v="55.7753059727414"/>
    <n v="3.26056943055548"/>
    <n v="762.76850408259997"/>
    <n v="0"/>
    <n v="0"/>
    <n v="172.788697081002"/>
    <n v="111.932694732892"/>
    <n v="24.0532012100735"/>
    <n v="-40.588543391755799"/>
    <n v="48210855.100000001"/>
    <n v="9.4908827328748002E-2"/>
    <n v="111"/>
    <x v="2"/>
    <n v="2.3836346571919038"/>
    <n v="0.41879116937157401"/>
    <n v="2.3836960912745284"/>
  </r>
  <r>
    <x v="4"/>
    <n v="0.514219258128777"/>
    <n v="0.45854260911899197"/>
    <n v="-5.5676649009784702E-2"/>
    <n v="4.8664338430169901E-2"/>
    <n v="6.1312317450723797E-3"/>
    <n v="4.8664338430169901E-2"/>
    <n v="0.35507249068625302"/>
    <n v="1.0209827327229801E-5"/>
    <n v="100"/>
    <n v="0"/>
    <n v="0"/>
    <n v="0"/>
    <n v="0"/>
    <n v="100"/>
    <n v="0"/>
    <n v="0"/>
    <n v="0.23158041732072099"/>
    <n v="-108.37601059444999"/>
    <n v="1.48375239119071E-2"/>
    <n v="100"/>
    <n v="39.281738909485597"/>
    <n v="354.91314825536898"/>
    <n v="55.298584096528501"/>
    <n v="3.45919592445345"/>
    <n v="767.99107109477302"/>
    <n v="0"/>
    <n v="0"/>
    <n v="172.94361447563"/>
    <n v="112.00517769680199"/>
    <n v="24.943102464858601"/>
    <n v="-18.3417690840941"/>
    <n v="452689948.80000001"/>
    <n v="6.7759865604944902E-2"/>
    <n v="504"/>
    <x v="2"/>
    <n v="1.1214208841284299"/>
    <n v="0.45853239929166473"/>
    <n v="1.1214458540402743"/>
  </r>
  <r>
    <x v="5"/>
    <n v="0.47347536459125"/>
    <n v="0.50764112013348694"/>
    <n v="3.4165755542236102E-2"/>
    <n v="4.8760766081342097E-2"/>
    <n v="6.8547854997385903E-3"/>
    <n v="4.8760766081342097E-2"/>
    <n v="0.40285355061178901"/>
    <n v="4.1125185927473802E-4"/>
    <n v="100"/>
    <n v="0"/>
    <n v="0"/>
    <n v="0"/>
    <n v="0"/>
    <n v="100"/>
    <n v="0"/>
    <n v="0"/>
    <n v="0.26398740123997599"/>
    <n v="-85.183982783500895"/>
    <n v="2.1203614677820899"/>
    <n v="100"/>
    <n v="38.9602025550343"/>
    <n v="326.72419169850599"/>
    <n v="55.493788486997197"/>
    <n v="3.6171014145646998"/>
    <n v="768.70676715330399"/>
    <n v="0"/>
    <n v="0"/>
    <n v="173.07426421528299"/>
    <n v="112.107146500821"/>
    <n v="27.254271956764299"/>
    <n v="-4.2535107093037103"/>
    <n v="1768846137"/>
    <n v="4.4213084335619698E-2"/>
    <n v="1173"/>
    <x v="2"/>
    <n v="0.93269702908768926"/>
    <n v="0.50722986827421224"/>
    <n v="0.93345324123398365"/>
  </r>
  <r>
    <x v="6"/>
    <n v="0.56954574737923702"/>
    <n v="0.60104318475438501"/>
    <n v="3.1497437375148103E-2"/>
    <n v="4.89893224230196E-2"/>
    <n v="9.0236782525263404E-3"/>
    <n v="4.89893224230196E-2"/>
    <n v="0.45965051265572199"/>
    <n v="3.4390349000097499E-2"/>
    <n v="100"/>
    <n v="0"/>
    <n v="0"/>
    <n v="0"/>
    <n v="0"/>
    <n v="100"/>
    <n v="0"/>
    <n v="0"/>
    <n v="0.35323398482038498"/>
    <n v="-61.797294305129597"/>
    <n v="34.004938393139398"/>
    <n v="100"/>
    <n v="39.004905810102102"/>
    <n v="315.47983266810797"/>
    <n v="55.999177588707703"/>
    <n v="3.78602786362744"/>
    <n v="768.22789615646298"/>
    <n v="0"/>
    <n v="0"/>
    <n v="173.146458337664"/>
    <n v="112.201881188904"/>
    <n v="29.794339988440399"/>
    <n v="6.7378771812865299"/>
    <n v="3909506314.0999999"/>
    <n v="5.5659508399930502E-2"/>
    <n v="2653"/>
    <x v="2"/>
    <n v="0.94759538386909858"/>
    <n v="0.56665283575428749"/>
    <n v="1.0051052627683381"/>
  </r>
  <r>
    <x v="7"/>
    <n v="0.53300753333866002"/>
    <n v="0.73725612884282898"/>
    <n v="0.20424859550416899"/>
    <n v="4.9357051949856498E-2"/>
    <n v="1.27069741609314E-2"/>
    <n v="4.9357051949856498E-2"/>
    <n v="0.51593344829700205"/>
    <n v="0.10990160248518301"/>
    <n v="100"/>
    <n v="0"/>
    <n v="0"/>
    <n v="0"/>
    <n v="0"/>
    <n v="100"/>
    <n v="0"/>
    <n v="0"/>
    <n v="0.50228022009489903"/>
    <n v="-37.924502576058401"/>
    <n v="156.60745781094801"/>
    <n v="100"/>
    <n v="39.453938253520597"/>
    <n v="310.51348071991498"/>
    <n v="56.854868810023703"/>
    <n v="3.9963173262079801"/>
    <n v="765.84626716170703"/>
    <n v="0"/>
    <n v="0"/>
    <n v="172.53163651827899"/>
    <n v="112.185051361524"/>
    <n v="31.288661966454502"/>
    <n v="18.945603647546601"/>
    <n v="4926868562"/>
    <n v="6.1068987779521897E-2"/>
    <n v="4890"/>
    <x v="2"/>
    <n v="0.72296114265641942"/>
    <n v="0.62735452635764599"/>
    <n v="0.84961136159046369"/>
  </r>
  <r>
    <x v="8"/>
    <n v="0.88449947281217201"/>
    <n v="0.826715661071455"/>
    <n v="-5.7783811740716902E-2"/>
    <n v="4.9555146854162201E-2"/>
    <n v="1.4275221057864501E-2"/>
    <n v="4.9555146854162201E-2"/>
    <n v="0.53069012889880995"/>
    <n v="0.182640017406456"/>
    <n v="100"/>
    <n v="0"/>
    <n v="0"/>
    <n v="0"/>
    <n v="0"/>
    <n v="100"/>
    <n v="0"/>
    <n v="0"/>
    <n v="0.53332906090000198"/>
    <n v="-14.459114872495901"/>
    <n v="446.24766805810799"/>
    <n v="100"/>
    <n v="40.4158690244873"/>
    <n v="295.34015604093997"/>
    <n v="57.291974090771397"/>
    <n v="4.2118879004076097"/>
    <n v="763.02871637415603"/>
    <n v="0"/>
    <n v="0"/>
    <n v="169.79929156855999"/>
    <n v="112.03257039298001"/>
    <n v="33.621519152469098"/>
    <n v="26.2986553762135"/>
    <n v="4406710463.8999996"/>
    <n v="7.6497284324942905E-2"/>
    <n v="5875"/>
    <x v="2"/>
    <n v="1.069895629732993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82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3:S14" firstHeaderRow="1" firstDataRow="3" firstDataCol="1"/>
  <pivotFields count="39">
    <pivotField axis="axisRow" showAll="0" defaultSubtotal="0">
      <items count="9">
        <item x="1"/>
        <item x="2"/>
        <item x="3"/>
        <item x="4"/>
        <item x="5"/>
        <item x="6"/>
        <item x="7"/>
        <item x="8"/>
        <item x="0"/>
      </items>
    </pivotField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axis="axisCol" showAll="0" defaultSubtotal="0">
      <items count="3">
        <item x="1"/>
        <item x="2"/>
        <item x="0"/>
      </items>
    </pivotField>
    <pivotField dataField="1" showAll="0" defaultSubtotal="0"/>
    <pivotField dataField="1" numFmtId="11" showAll="0" defaultSubtotal="0"/>
    <pivotField dataField="1" numFmtId="11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2">
    <field x="35"/>
    <field x="-2"/>
  </colFields>
  <colItems count="18">
    <i>
      <x/>
      <x/>
    </i>
    <i r="1" i="1">
      <x v="1"/>
    </i>
    <i r="1" i="2">
      <x v="2"/>
    </i>
    <i r="1" i="3">
      <x v="3"/>
    </i>
    <i r="1" i="4">
      <x v="4"/>
    </i>
    <i r="1" i="5">
      <x v="5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>
      <x v="2"/>
      <x/>
    </i>
    <i r="1" i="1">
      <x v="1"/>
    </i>
    <i r="1" i="2">
      <x v="2"/>
    </i>
    <i r="1" i="3">
      <x v="3"/>
    </i>
    <i r="1" i="4">
      <x v="4"/>
    </i>
    <i r="1" i="5">
      <x v="5"/>
    </i>
  </colItems>
  <dataFields count="6">
    <dataField name="'bal" fld="32" baseField="0" baseItem="0" numFmtId="164"/>
    <dataField name="'actual.smm" fld="1" subtotal="average" baseField="0" baseItem="0" numFmtId="2"/>
    <dataField name="'model.smm" fld="2" subtotal="average" baseField="0" baseItem="0" numFmtId="2"/>
    <dataField name="'model w/o refi" fld="37" subtotal="average" baseField="0" baseItem="0" numFmtId="2"/>
    <dataField name="'Ratio" fld="36" subtotal="average" baseField="0" baseItem="0" numFmtId="2"/>
    <dataField name="'Ratio w/o refi" fld="38" subtotal="average" baseField="0" baseItem="0" numFmtId="2"/>
  </dataFields>
  <formats count="6">
    <format dxfId="11">
      <pivotArea outline="0" collapsedLevelsAreSubtotals="1" fieldPosition="0"/>
    </format>
    <format dxfId="10">
      <pivotArea dataOnly="0" fieldPosition="0">
        <references count="1">
          <reference field="0" count="1">
            <x v="4"/>
          </reference>
        </references>
      </pivotArea>
    </format>
    <format dxfId="9">
      <pivotArea type="topRight" dataOnly="0" labelOnly="1" outline="0" offset="B1" fieldPosition="0"/>
    </format>
    <format dxfId="8">
      <pivotArea type="topRight" dataOnly="0" labelOnly="1" outline="0" offset="G1" fieldPosition="0"/>
    </format>
    <format dxfId="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">
      <pivotArea outline="0" collapsedLevelsAreSubtotals="1" fieldPosition="0">
        <references count="1">
          <reference field="4294967294" count="5" selected="0">
            <x v="1"/>
            <x v="2"/>
            <x v="3"/>
            <x v="4"/>
            <x v="5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7"/>
  <sheetViews>
    <sheetView workbookViewId="0">
      <selection activeCell="G31" sqref="G31"/>
    </sheetView>
  </sheetViews>
  <sheetFormatPr defaultRowHeight="15" x14ac:dyDescent="0.25"/>
  <cols>
    <col min="4" max="4" width="18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36</v>
      </c>
      <c r="AK1" t="s">
        <v>42</v>
      </c>
      <c r="AL1" t="s">
        <v>49</v>
      </c>
      <c r="AM1" t="s">
        <v>43</v>
      </c>
    </row>
    <row r="2" spans="1:39" x14ac:dyDescent="0.25">
      <c r="A2" s="17">
        <v>-200</v>
      </c>
      <c r="B2" s="17">
        <v>0</v>
      </c>
      <c r="C2" s="17">
        <v>0.39154506430659303</v>
      </c>
      <c r="D2" s="17">
        <v>0.39154506430659303</v>
      </c>
      <c r="E2" s="17">
        <v>5.2374562962963001E-2</v>
      </c>
      <c r="F2" s="17">
        <v>1.2533938390408301E-3</v>
      </c>
      <c r="G2" s="17">
        <v>5.2374562962963001E-2</v>
      </c>
      <c r="H2" s="17">
        <v>0.28553545652288798</v>
      </c>
      <c r="I2" s="18">
        <v>7.08801873852613E-6</v>
      </c>
      <c r="J2" s="17">
        <v>100</v>
      </c>
      <c r="K2" s="17">
        <v>0</v>
      </c>
      <c r="L2" s="17">
        <v>0</v>
      </c>
      <c r="M2" s="17">
        <v>0</v>
      </c>
      <c r="N2" s="17">
        <v>100</v>
      </c>
      <c r="O2" s="17">
        <v>0</v>
      </c>
      <c r="P2" s="17">
        <v>0</v>
      </c>
      <c r="Q2" s="17">
        <v>100</v>
      </c>
      <c r="R2" s="17">
        <v>0</v>
      </c>
      <c r="S2" s="17">
        <v>-202.1</v>
      </c>
      <c r="T2" s="17">
        <v>0</v>
      </c>
      <c r="U2" s="17">
        <v>100</v>
      </c>
      <c r="V2" s="17">
        <v>33.200000000000003</v>
      </c>
      <c r="W2" s="17">
        <v>256.60000000000002</v>
      </c>
      <c r="X2" s="17">
        <v>64</v>
      </c>
      <c r="Y2" s="17">
        <v>2.6</v>
      </c>
      <c r="Z2" s="17">
        <v>726</v>
      </c>
      <c r="AA2" s="17">
        <v>100</v>
      </c>
      <c r="AB2" s="17">
        <v>0</v>
      </c>
      <c r="AC2" s="17">
        <v>179.2</v>
      </c>
      <c r="AD2" s="17">
        <v>112.2</v>
      </c>
      <c r="AE2" s="17">
        <v>20.9</v>
      </c>
      <c r="AF2" s="17">
        <v>-107</v>
      </c>
      <c r="AG2" s="17">
        <v>256666.2</v>
      </c>
      <c r="AH2" s="17" t="s">
        <v>35</v>
      </c>
      <c r="AI2" s="17">
        <v>1</v>
      </c>
      <c r="AJ2" t="s">
        <v>37</v>
      </c>
      <c r="AK2">
        <f>B2/C2</f>
        <v>0</v>
      </c>
      <c r="AL2" s="1">
        <f>C2-I2</f>
        <v>0.39153797628785453</v>
      </c>
      <c r="AM2" s="1">
        <f>B2/(C2-I2)</f>
        <v>0</v>
      </c>
    </row>
    <row r="3" spans="1:39" x14ac:dyDescent="0.25">
      <c r="A3" s="17">
        <v>-175</v>
      </c>
      <c r="B3" s="17">
        <v>0</v>
      </c>
      <c r="C3" s="17">
        <v>0.39711931039383802</v>
      </c>
      <c r="D3" s="17">
        <v>0.39711931039383802</v>
      </c>
      <c r="E3" s="17">
        <v>4.8099953016545099E-2</v>
      </c>
      <c r="F3" s="17">
        <v>1.3238753591557899E-3</v>
      </c>
      <c r="G3" s="17">
        <v>4.8099953016545099E-2</v>
      </c>
      <c r="H3" s="17">
        <v>0.29958917528093998</v>
      </c>
      <c r="I3" s="18">
        <v>6.3537206517031198E-6</v>
      </c>
      <c r="J3" s="17">
        <v>100</v>
      </c>
      <c r="K3" s="17">
        <v>0</v>
      </c>
      <c r="L3" s="17">
        <v>0</v>
      </c>
      <c r="M3" s="17">
        <v>0</v>
      </c>
      <c r="N3" s="17">
        <v>100</v>
      </c>
      <c r="O3" s="17">
        <v>0</v>
      </c>
      <c r="P3" s="17">
        <v>0</v>
      </c>
      <c r="Q3" s="17">
        <v>100</v>
      </c>
      <c r="R3" s="17">
        <v>0</v>
      </c>
      <c r="S3" s="17">
        <v>-188.59116013484501</v>
      </c>
      <c r="T3" s="17">
        <v>0</v>
      </c>
      <c r="U3" s="17">
        <v>100</v>
      </c>
      <c r="V3" s="17">
        <v>36.328659208537204</v>
      </c>
      <c r="W3" s="17">
        <v>262.70819349635099</v>
      </c>
      <c r="X3" s="17">
        <v>53.963030635998003</v>
      </c>
      <c r="Y3" s="17">
        <v>2.6</v>
      </c>
      <c r="Z3" s="17">
        <v>726</v>
      </c>
      <c r="AA3" s="17">
        <v>100</v>
      </c>
      <c r="AB3" s="17">
        <v>0</v>
      </c>
      <c r="AC3" s="17">
        <v>170.00675512650099</v>
      </c>
      <c r="AD3" s="17">
        <v>111.897400666181</v>
      </c>
      <c r="AE3" s="17">
        <v>26.679556356105799</v>
      </c>
      <c r="AF3" s="17">
        <v>-107</v>
      </c>
      <c r="AG3" s="17">
        <v>1839290.5</v>
      </c>
      <c r="AH3" s="17">
        <v>0</v>
      </c>
      <c r="AI3" s="17">
        <v>7</v>
      </c>
      <c r="AJ3" t="s">
        <v>37</v>
      </c>
      <c r="AK3">
        <f t="shared" ref="AK3:AK24" si="0">B3/C3</f>
        <v>0</v>
      </c>
      <c r="AL3" s="1">
        <f t="shared" ref="AL3:AL23" si="1">C3-I3</f>
        <v>0.3971129566731863</v>
      </c>
      <c r="AM3" s="1">
        <f t="shared" ref="AM3:AM23" si="2">B3/(C3-I3)</f>
        <v>0</v>
      </c>
    </row>
    <row r="4" spans="1:39" x14ac:dyDescent="0.25">
      <c r="A4" s="17">
        <v>-150</v>
      </c>
      <c r="B4" s="18">
        <v>5.5572375733499201E-5</v>
      </c>
      <c r="C4" s="17">
        <v>0.421137576547574</v>
      </c>
      <c r="D4" s="17">
        <v>0.421082004171841</v>
      </c>
      <c r="E4" s="17">
        <v>4.8503081453702301E-2</v>
      </c>
      <c r="F4" s="17">
        <v>4.55680570037205E-3</v>
      </c>
      <c r="G4" s="17">
        <v>4.8503081453702301E-2</v>
      </c>
      <c r="H4" s="17">
        <v>0.319567474410337</v>
      </c>
      <c r="I4" s="18">
        <v>7.1335294605614796E-6</v>
      </c>
      <c r="J4" s="17">
        <v>100</v>
      </c>
      <c r="K4" s="17">
        <v>0</v>
      </c>
      <c r="L4" s="17">
        <v>0</v>
      </c>
      <c r="M4" s="17">
        <v>0</v>
      </c>
      <c r="N4" s="17">
        <v>100</v>
      </c>
      <c r="O4" s="17">
        <v>0</v>
      </c>
      <c r="P4" s="17">
        <v>0</v>
      </c>
      <c r="Q4" s="17">
        <v>100</v>
      </c>
      <c r="R4" s="17">
        <v>0.15715818350632699</v>
      </c>
      <c r="S4" s="17">
        <v>-161.315105320143</v>
      </c>
      <c r="T4" s="17">
        <v>0</v>
      </c>
      <c r="U4" s="17">
        <v>81.645731699158205</v>
      </c>
      <c r="V4" s="17">
        <v>35.166546498085197</v>
      </c>
      <c r="W4" s="17">
        <v>321.81808929608701</v>
      </c>
      <c r="X4" s="17">
        <v>54.926685103274103</v>
      </c>
      <c r="Y4" s="17">
        <v>2.8977830914206</v>
      </c>
      <c r="Z4" s="17">
        <v>735.80594499492099</v>
      </c>
      <c r="AA4" s="17">
        <v>52.763448074191601</v>
      </c>
      <c r="AB4" s="17">
        <v>0</v>
      </c>
      <c r="AC4" s="17">
        <v>172.99510074502601</v>
      </c>
      <c r="AD4" s="17">
        <v>112.081733479165</v>
      </c>
      <c r="AE4" s="17">
        <v>27.212945226742399</v>
      </c>
      <c r="AF4" s="17">
        <v>-76.821396234713106</v>
      </c>
      <c r="AG4" s="17">
        <v>5283799.3</v>
      </c>
      <c r="AH4" s="18">
        <v>2.1828206253269999E-6</v>
      </c>
      <c r="AI4" s="17">
        <v>17</v>
      </c>
      <c r="AJ4" t="s">
        <v>37</v>
      </c>
      <c r="AK4">
        <f t="shared" si="0"/>
        <v>1.3195777063892906E-4</v>
      </c>
      <c r="AL4" s="1">
        <f t="shared" si="1"/>
        <v>0.42113044301811342</v>
      </c>
      <c r="AM4" s="1">
        <f t="shared" si="2"/>
        <v>1.3196000587188363E-4</v>
      </c>
    </row>
    <row r="5" spans="1:39" x14ac:dyDescent="0.25">
      <c r="A5" s="17">
        <v>-125</v>
      </c>
      <c r="B5" s="17">
        <v>0.41510695537835102</v>
      </c>
      <c r="C5" s="17">
        <v>0.41536800614295299</v>
      </c>
      <c r="D5" s="17">
        <v>2.6105076460239201E-4</v>
      </c>
      <c r="E5" s="17">
        <v>4.8477697455183703E-2</v>
      </c>
      <c r="F5" s="17">
        <v>6.0158552132611601E-3</v>
      </c>
      <c r="G5" s="17">
        <v>4.8477697455183703E-2</v>
      </c>
      <c r="H5" s="17">
        <v>0.31238664393943899</v>
      </c>
      <c r="I5" s="18">
        <v>1.01120798856936E-5</v>
      </c>
      <c r="J5" s="17">
        <v>100</v>
      </c>
      <c r="K5" s="17">
        <v>0</v>
      </c>
      <c r="L5" s="17">
        <v>0</v>
      </c>
      <c r="M5" s="17">
        <v>0</v>
      </c>
      <c r="N5" s="17">
        <v>100</v>
      </c>
      <c r="O5" s="17">
        <v>0</v>
      </c>
      <c r="P5" s="17">
        <v>0</v>
      </c>
      <c r="Q5" s="17">
        <v>100</v>
      </c>
      <c r="R5" s="17">
        <v>0.22739450502668701</v>
      </c>
      <c r="S5" s="17">
        <v>-132.05946887703101</v>
      </c>
      <c r="T5" s="17">
        <v>7.0388949211479196E-3</v>
      </c>
      <c r="U5" s="17">
        <v>98.247758487163907</v>
      </c>
      <c r="V5" s="17">
        <v>39.504033166826197</v>
      </c>
      <c r="W5" s="17">
        <v>378.056153685163</v>
      </c>
      <c r="X5" s="17">
        <v>54.891861680560901</v>
      </c>
      <c r="Y5" s="17">
        <v>3.2742674042534801</v>
      </c>
      <c r="Z5" s="17">
        <v>771.08245733900003</v>
      </c>
      <c r="AA5" s="17">
        <v>13.5510499870754</v>
      </c>
      <c r="AB5" s="17">
        <v>0</v>
      </c>
      <c r="AC5" s="17">
        <v>172.70639537475901</v>
      </c>
      <c r="AD5" s="17">
        <v>111.91843179476299</v>
      </c>
      <c r="AE5" s="17">
        <v>24.160245223604299</v>
      </c>
      <c r="AF5" s="17">
        <v>-32.728598664162099</v>
      </c>
      <c r="AG5" s="17">
        <v>110185918.2</v>
      </c>
      <c r="AH5" s="17">
        <v>7.3303377558737601E-2</v>
      </c>
      <c r="AI5" s="17">
        <v>187</v>
      </c>
      <c r="AJ5" t="s">
        <v>37</v>
      </c>
      <c r="AK5">
        <f t="shared" si="0"/>
        <v>0.99937151932565516</v>
      </c>
      <c r="AL5" s="1">
        <f t="shared" si="1"/>
        <v>0.41535789406306728</v>
      </c>
      <c r="AM5" s="1">
        <f t="shared" si="2"/>
        <v>0.99939584948714577</v>
      </c>
    </row>
    <row r="6" spans="1:39" x14ac:dyDescent="0.25">
      <c r="A6" s="17">
        <v>-100</v>
      </c>
      <c r="B6" s="17">
        <v>0.46846535216858298</v>
      </c>
      <c r="C6" s="17">
        <v>0.45580425016286003</v>
      </c>
      <c r="D6" s="17">
        <v>-1.2661102005723899E-2</v>
      </c>
      <c r="E6" s="17">
        <v>4.86664376389443E-2</v>
      </c>
      <c r="F6" s="17">
        <v>6.0214382339850402E-3</v>
      </c>
      <c r="G6" s="17">
        <v>4.86664376389443E-2</v>
      </c>
      <c r="H6" s="17">
        <v>0.35244034466837798</v>
      </c>
      <c r="I6" s="18">
        <v>9.5919826077704306E-6</v>
      </c>
      <c r="J6" s="17">
        <v>100</v>
      </c>
      <c r="K6" s="17">
        <v>0</v>
      </c>
      <c r="L6" s="17">
        <v>0</v>
      </c>
      <c r="M6" s="17">
        <v>0</v>
      </c>
      <c r="N6" s="17">
        <v>100</v>
      </c>
      <c r="O6" s="17">
        <v>0</v>
      </c>
      <c r="P6" s="17">
        <v>0</v>
      </c>
      <c r="Q6" s="17">
        <v>100</v>
      </c>
      <c r="R6" s="17">
        <v>0.23036865397912401</v>
      </c>
      <c r="S6" s="17">
        <v>-108.178305524783</v>
      </c>
      <c r="T6" s="17">
        <v>1.0219777435796299E-2</v>
      </c>
      <c r="U6" s="17">
        <v>99.856879365307506</v>
      </c>
      <c r="V6" s="17">
        <v>39.029307802717398</v>
      </c>
      <c r="W6" s="17">
        <v>325.625996049398</v>
      </c>
      <c r="X6" s="17">
        <v>55.304569698681902</v>
      </c>
      <c r="Y6" s="17">
        <v>3.45166472111111</v>
      </c>
      <c r="Z6" s="17">
        <v>773.646253916506</v>
      </c>
      <c r="AA6" s="17">
        <v>9.1334280764126206</v>
      </c>
      <c r="AB6" s="17">
        <v>0</v>
      </c>
      <c r="AC6" s="17">
        <v>172.78834036843401</v>
      </c>
      <c r="AD6" s="17">
        <v>111.973600672773</v>
      </c>
      <c r="AE6" s="17">
        <v>24.611848161462198</v>
      </c>
      <c r="AF6" s="17">
        <v>-16.113250302683799</v>
      </c>
      <c r="AG6" s="17">
        <v>1290521526.8</v>
      </c>
      <c r="AH6" s="17">
        <v>3.0251936667264601E-2</v>
      </c>
      <c r="AI6" s="17">
        <v>753</v>
      </c>
      <c r="AJ6" t="s">
        <v>37</v>
      </c>
      <c r="AK6">
        <f t="shared" si="0"/>
        <v>1.0277774987863739</v>
      </c>
      <c r="AL6" s="1">
        <f t="shared" si="1"/>
        <v>0.45579465818025228</v>
      </c>
      <c r="AM6" s="1">
        <f t="shared" si="2"/>
        <v>1.0277991278768341</v>
      </c>
    </row>
    <row r="7" spans="1:39" x14ac:dyDescent="0.25">
      <c r="A7" s="17">
        <v>-75</v>
      </c>
      <c r="B7" s="17">
        <v>0.52455306974748195</v>
      </c>
      <c r="C7" s="17">
        <v>0.50774887901402799</v>
      </c>
      <c r="D7" s="17">
        <v>-1.6804190733453302E-2</v>
      </c>
      <c r="E7" s="17">
        <v>4.88247656985294E-2</v>
      </c>
      <c r="F7" s="17">
        <v>7.2281141214279396E-3</v>
      </c>
      <c r="G7" s="17">
        <v>4.88247656985294E-2</v>
      </c>
      <c r="H7" s="17">
        <v>0.40254817002797399</v>
      </c>
      <c r="I7" s="17">
        <v>3.2306346756740402E-4</v>
      </c>
      <c r="J7" s="17">
        <v>100</v>
      </c>
      <c r="K7" s="17">
        <v>0</v>
      </c>
      <c r="L7" s="17">
        <v>0</v>
      </c>
      <c r="M7" s="17">
        <v>0</v>
      </c>
      <c r="N7" s="17">
        <v>100</v>
      </c>
      <c r="O7" s="17">
        <v>0</v>
      </c>
      <c r="P7" s="17">
        <v>0</v>
      </c>
      <c r="Q7" s="17">
        <v>100</v>
      </c>
      <c r="R7" s="17">
        <v>0.28124183528559399</v>
      </c>
      <c r="S7" s="17">
        <v>-85.216135810450794</v>
      </c>
      <c r="T7" s="17">
        <v>1.7029350658281199</v>
      </c>
      <c r="U7" s="17">
        <v>99.906737503789898</v>
      </c>
      <c r="V7" s="17">
        <v>39.2010186320203</v>
      </c>
      <c r="W7" s="17">
        <v>321.23549902590702</v>
      </c>
      <c r="X7" s="17">
        <v>55.643251676477902</v>
      </c>
      <c r="Y7" s="17">
        <v>3.61597981746046</v>
      </c>
      <c r="Z7" s="17">
        <v>772.35851861937795</v>
      </c>
      <c r="AA7" s="17">
        <v>7.9686660833405698</v>
      </c>
      <c r="AB7" s="17">
        <v>0</v>
      </c>
      <c r="AC7" s="17">
        <v>173.367793443934</v>
      </c>
      <c r="AD7" s="17">
        <v>112.130037330311</v>
      </c>
      <c r="AE7" s="17">
        <v>26.982423646815199</v>
      </c>
      <c r="AF7" s="17">
        <v>-2.48355185985245</v>
      </c>
      <c r="AG7" s="17">
        <v>5161209539.1000004</v>
      </c>
      <c r="AH7" s="17">
        <v>6.3990204358878894E-2</v>
      </c>
      <c r="AI7" s="17">
        <v>1752</v>
      </c>
      <c r="AJ7" t="s">
        <v>37</v>
      </c>
      <c r="AK7">
        <f t="shared" si="0"/>
        <v>1.0330954757912714</v>
      </c>
      <c r="AL7" s="1">
        <f t="shared" si="1"/>
        <v>0.5074258155464606</v>
      </c>
      <c r="AM7" s="1">
        <f t="shared" si="2"/>
        <v>1.0337532180592282</v>
      </c>
    </row>
    <row r="8" spans="1:39" x14ac:dyDescent="0.25">
      <c r="A8" s="17">
        <v>-50</v>
      </c>
      <c r="B8" s="17">
        <v>0.59950006507356501</v>
      </c>
      <c r="C8" s="17">
        <v>0.59665509497139402</v>
      </c>
      <c r="D8" s="17">
        <v>-2.84497010217151E-3</v>
      </c>
      <c r="E8" s="17">
        <v>4.8951746663451798E-2</v>
      </c>
      <c r="F8" s="17">
        <v>9.6735973544712292E-3</v>
      </c>
      <c r="G8" s="17">
        <v>4.8951746663451798E-2</v>
      </c>
      <c r="H8" s="17">
        <v>0.45550423383889899</v>
      </c>
      <c r="I8" s="17">
        <v>3.3573770451120102E-2</v>
      </c>
      <c r="J8" s="17">
        <v>100</v>
      </c>
      <c r="K8" s="17">
        <v>0</v>
      </c>
      <c r="L8" s="17">
        <v>0</v>
      </c>
      <c r="M8" s="17">
        <v>0</v>
      </c>
      <c r="N8" s="17">
        <v>100</v>
      </c>
      <c r="O8" s="17">
        <v>0</v>
      </c>
      <c r="P8" s="17">
        <v>0</v>
      </c>
      <c r="Q8" s="17">
        <v>100</v>
      </c>
      <c r="R8" s="17">
        <v>0.382080330816575</v>
      </c>
      <c r="S8" s="17">
        <v>-61.656765922561299</v>
      </c>
      <c r="T8" s="17">
        <v>30.572153669255499</v>
      </c>
      <c r="U8" s="17">
        <v>99.815794242034698</v>
      </c>
      <c r="V8" s="17">
        <v>39.570440642781399</v>
      </c>
      <c r="W8" s="17">
        <v>314.04208197895599</v>
      </c>
      <c r="X8" s="17">
        <v>55.914320745164801</v>
      </c>
      <c r="Y8" s="17">
        <v>3.7834095839170701</v>
      </c>
      <c r="Z8" s="17">
        <v>771.68093291662206</v>
      </c>
      <c r="AA8" s="17">
        <v>10.558472849608201</v>
      </c>
      <c r="AB8" s="17">
        <v>0</v>
      </c>
      <c r="AC8" s="17">
        <v>173.47124388330201</v>
      </c>
      <c r="AD8" s="17">
        <v>112.22547407978</v>
      </c>
      <c r="AE8" s="17">
        <v>29.923796670835198</v>
      </c>
      <c r="AF8" s="17">
        <v>7.4976823945942899</v>
      </c>
      <c r="AG8" s="17">
        <v>11642768878.4</v>
      </c>
      <c r="AH8" s="17">
        <v>5.1409316510080197E-2</v>
      </c>
      <c r="AI8" s="17">
        <v>3802</v>
      </c>
      <c r="AJ8" t="s">
        <v>37</v>
      </c>
      <c r="AK8">
        <f t="shared" si="0"/>
        <v>1.0047681987904711</v>
      </c>
      <c r="AL8" s="1">
        <f t="shared" si="1"/>
        <v>0.56308132452027393</v>
      </c>
      <c r="AM8" s="1">
        <f t="shared" si="2"/>
        <v>1.0646775855766812</v>
      </c>
    </row>
    <row r="9" spans="1:39" x14ac:dyDescent="0.25">
      <c r="A9" s="17">
        <v>-25</v>
      </c>
      <c r="B9" s="17">
        <v>0.74569711503826697</v>
      </c>
      <c r="C9" s="17">
        <v>0.73111543207520802</v>
      </c>
      <c r="D9" s="17">
        <v>-1.4581682963058999E-2</v>
      </c>
      <c r="E9" s="17">
        <v>4.92903011716294E-2</v>
      </c>
      <c r="F9" s="17">
        <v>1.2929087054252501E-2</v>
      </c>
      <c r="G9" s="17">
        <v>4.92903011716294E-2</v>
      </c>
      <c r="H9" s="17">
        <v>0.51448896523316401</v>
      </c>
      <c r="I9" s="17">
        <v>0.105116777444533</v>
      </c>
      <c r="J9" s="17">
        <v>100</v>
      </c>
      <c r="K9" s="17">
        <v>0</v>
      </c>
      <c r="L9" s="17">
        <v>0</v>
      </c>
      <c r="M9" s="17">
        <v>0</v>
      </c>
      <c r="N9" s="17">
        <v>100</v>
      </c>
      <c r="O9" s="17">
        <v>0</v>
      </c>
      <c r="P9" s="17">
        <v>0</v>
      </c>
      <c r="Q9" s="17">
        <v>100</v>
      </c>
      <c r="R9" s="17">
        <v>0.50836607831004998</v>
      </c>
      <c r="S9" s="17">
        <v>-38.004450559555998</v>
      </c>
      <c r="T9" s="17">
        <v>148.70545641561199</v>
      </c>
      <c r="U9" s="17">
        <v>99.526463542756005</v>
      </c>
      <c r="V9" s="17">
        <v>39.966617399071303</v>
      </c>
      <c r="W9" s="17">
        <v>313.97465695773502</v>
      </c>
      <c r="X9" s="17">
        <v>56.704330544915898</v>
      </c>
      <c r="Y9" s="17">
        <v>3.9938793727355701</v>
      </c>
      <c r="Z9" s="17">
        <v>767.66488222956605</v>
      </c>
      <c r="AA9" s="17">
        <v>18.2774358223914</v>
      </c>
      <c r="AB9" s="17">
        <v>0</v>
      </c>
      <c r="AC9" s="17">
        <v>172.81777358339099</v>
      </c>
      <c r="AD9" s="17">
        <v>112.20957297069999</v>
      </c>
      <c r="AE9" s="17">
        <v>31.300072679053599</v>
      </c>
      <c r="AF9" s="17">
        <v>20.465101808314401</v>
      </c>
      <c r="AG9" s="17">
        <v>13066329059.9</v>
      </c>
      <c r="AH9" s="17">
        <v>7.4363353497011897E-2</v>
      </c>
      <c r="AI9" s="17">
        <v>7514</v>
      </c>
      <c r="AJ9" t="s">
        <v>37</v>
      </c>
      <c r="AK9">
        <f t="shared" si="0"/>
        <v>1.0199444332910197</v>
      </c>
      <c r="AL9" s="1">
        <f t="shared" si="1"/>
        <v>0.62599865463067506</v>
      </c>
      <c r="AM9" s="1">
        <f t="shared" si="2"/>
        <v>1.1912120090389193</v>
      </c>
    </row>
    <row r="10" spans="1:39" x14ac:dyDescent="0.25">
      <c r="A10" s="17">
        <v>0</v>
      </c>
      <c r="B10" s="17">
        <v>0.87314315969019396</v>
      </c>
      <c r="C10" s="17">
        <v>0.81835398844049501</v>
      </c>
      <c r="D10" s="17">
        <v>-5.4789171249699002E-2</v>
      </c>
      <c r="E10" s="17">
        <v>4.9377025018334998E-2</v>
      </c>
      <c r="F10" s="17">
        <v>1.49662938926484E-2</v>
      </c>
      <c r="G10" s="17">
        <v>4.9377025018334998E-2</v>
      </c>
      <c r="H10" s="17">
        <v>0.53578722748925101</v>
      </c>
      <c r="I10" s="17">
        <v>0.16884641702192599</v>
      </c>
      <c r="J10" s="17">
        <v>100</v>
      </c>
      <c r="K10" s="17">
        <v>0</v>
      </c>
      <c r="L10" s="17">
        <v>0</v>
      </c>
      <c r="M10" s="17">
        <v>0</v>
      </c>
      <c r="N10" s="17">
        <v>100</v>
      </c>
      <c r="O10" s="17">
        <v>0</v>
      </c>
      <c r="P10" s="17">
        <v>0</v>
      </c>
      <c r="Q10" s="17">
        <v>100</v>
      </c>
      <c r="R10" s="17">
        <v>0.56901548697035298</v>
      </c>
      <c r="S10" s="17">
        <v>-14.4661654300201</v>
      </c>
      <c r="T10" s="17">
        <v>407.23122626786699</v>
      </c>
      <c r="U10" s="17">
        <v>99.215288806799094</v>
      </c>
      <c r="V10" s="17">
        <v>41.342511341028199</v>
      </c>
      <c r="W10" s="17">
        <v>297.12623434475302</v>
      </c>
      <c r="X10" s="17">
        <v>56.8950986406618</v>
      </c>
      <c r="Y10" s="17">
        <v>4.2008341347428999</v>
      </c>
      <c r="Z10" s="17">
        <v>762.74206873055095</v>
      </c>
      <c r="AA10" s="17">
        <v>29.121011575565099</v>
      </c>
      <c r="AB10" s="17">
        <v>0</v>
      </c>
      <c r="AC10" s="17">
        <v>170.79404025591899</v>
      </c>
      <c r="AD10" s="17">
        <v>112.111383872158</v>
      </c>
      <c r="AE10" s="17">
        <v>33.6752261800752</v>
      </c>
      <c r="AF10" s="17">
        <v>30.2047920617206</v>
      </c>
      <c r="AG10" s="17">
        <v>11056448407.700001</v>
      </c>
      <c r="AH10" s="17">
        <v>7.0957950175363202E-2</v>
      </c>
      <c r="AI10" s="17">
        <v>9086</v>
      </c>
      <c r="AJ10" t="s">
        <v>37</v>
      </c>
      <c r="AK10">
        <f t="shared" si="0"/>
        <v>1.0669504542332695</v>
      </c>
      <c r="AL10" s="1">
        <f t="shared" si="1"/>
        <v>0.64950757141856896</v>
      </c>
      <c r="AM10" s="1">
        <f t="shared" si="2"/>
        <v>1.3443155986360398</v>
      </c>
    </row>
    <row r="11" spans="1:39" x14ac:dyDescent="0.25">
      <c r="A11" s="17">
        <v>-150</v>
      </c>
      <c r="B11" s="17">
        <v>0</v>
      </c>
      <c r="C11" s="17">
        <v>0.46275844123115001</v>
      </c>
      <c r="D11" s="17">
        <v>0.46275844123115001</v>
      </c>
      <c r="E11" s="17">
        <v>4.8465923220117398E-2</v>
      </c>
      <c r="F11" s="17">
        <v>3.92726502937173E-3</v>
      </c>
      <c r="G11" s="17">
        <v>4.8465923220117398E-2</v>
      </c>
      <c r="H11" s="17">
        <v>0.36188812126029701</v>
      </c>
      <c r="I11" s="18">
        <v>1.12085012466515E-5</v>
      </c>
      <c r="J11" s="17">
        <v>100</v>
      </c>
      <c r="K11" s="17">
        <v>0</v>
      </c>
      <c r="L11" s="17">
        <v>0</v>
      </c>
      <c r="M11" s="17">
        <v>100</v>
      </c>
      <c r="N11" s="17">
        <v>0</v>
      </c>
      <c r="O11" s="17">
        <v>0</v>
      </c>
      <c r="P11" s="17">
        <v>0</v>
      </c>
      <c r="Q11" s="17">
        <v>0</v>
      </c>
      <c r="R11" s="17">
        <v>0.10195946612326801</v>
      </c>
      <c r="S11" s="17">
        <v>-153.297878448007</v>
      </c>
      <c r="T11" s="17">
        <v>0</v>
      </c>
      <c r="U11" s="17">
        <v>100</v>
      </c>
      <c r="V11" s="17">
        <v>40.705426518274002</v>
      </c>
      <c r="W11" s="17">
        <v>416.57643959357398</v>
      </c>
      <c r="X11" s="17">
        <v>54.876576183764698</v>
      </c>
      <c r="Y11" s="17">
        <v>3.1</v>
      </c>
      <c r="Z11" s="17">
        <v>719.69485603858197</v>
      </c>
      <c r="AA11" s="17">
        <v>0</v>
      </c>
      <c r="AB11" s="17">
        <v>0</v>
      </c>
      <c r="AC11" s="17">
        <v>172.44652611616999</v>
      </c>
      <c r="AD11" s="17">
        <v>111.83705665407901</v>
      </c>
      <c r="AE11" s="17">
        <v>23.238108789053801</v>
      </c>
      <c r="AF11" s="17">
        <v>-49.7143060478518</v>
      </c>
      <c r="AG11" s="17">
        <v>2304704.2999999998</v>
      </c>
      <c r="AH11" s="17">
        <v>0</v>
      </c>
      <c r="AI11" s="17">
        <v>6</v>
      </c>
      <c r="AJ11" t="s">
        <v>38</v>
      </c>
      <c r="AK11">
        <f t="shared" si="0"/>
        <v>0</v>
      </c>
      <c r="AL11" s="1">
        <f t="shared" si="1"/>
        <v>0.46274723272990337</v>
      </c>
      <c r="AM11" s="1">
        <f t="shared" si="2"/>
        <v>0</v>
      </c>
    </row>
    <row r="12" spans="1:39" x14ac:dyDescent="0.25">
      <c r="A12" s="17">
        <v>-125</v>
      </c>
      <c r="B12" s="17">
        <v>1.22674663901127E-2</v>
      </c>
      <c r="C12" s="17">
        <v>0.46438868286750301</v>
      </c>
      <c r="D12" s="17">
        <v>0.45212121647739001</v>
      </c>
      <c r="E12" s="17">
        <v>4.8504592792116497E-2</v>
      </c>
      <c r="F12" s="17">
        <v>5.2085519567055798E-3</v>
      </c>
      <c r="G12" s="17">
        <v>4.8504592792116497E-2</v>
      </c>
      <c r="H12" s="17">
        <v>0.36216043312791302</v>
      </c>
      <c r="I12" s="18">
        <v>1.0512198651386001E-5</v>
      </c>
      <c r="J12" s="17">
        <v>100</v>
      </c>
      <c r="K12" s="17">
        <v>0</v>
      </c>
      <c r="L12" s="17">
        <v>0</v>
      </c>
      <c r="M12" s="17">
        <v>100</v>
      </c>
      <c r="N12" s="17">
        <v>0</v>
      </c>
      <c r="O12" s="17">
        <v>0</v>
      </c>
      <c r="P12" s="17">
        <v>0</v>
      </c>
      <c r="Q12" s="17">
        <v>0</v>
      </c>
      <c r="R12" s="17">
        <v>0.178134394866857</v>
      </c>
      <c r="S12" s="17">
        <v>-133.88326392540199</v>
      </c>
      <c r="T12" s="17">
        <v>1.3381433942792001E-2</v>
      </c>
      <c r="U12" s="17">
        <v>100</v>
      </c>
      <c r="V12" s="17">
        <v>46.356786125037502</v>
      </c>
      <c r="W12" s="17">
        <v>383.10134359619798</v>
      </c>
      <c r="X12" s="17">
        <v>54.939540711518397</v>
      </c>
      <c r="Y12" s="17">
        <v>3.2791547459096102</v>
      </c>
      <c r="Z12" s="17">
        <v>767.93489779566801</v>
      </c>
      <c r="AA12" s="17">
        <v>0</v>
      </c>
      <c r="AB12" s="17">
        <v>0</v>
      </c>
      <c r="AC12" s="17">
        <v>172.40599898917699</v>
      </c>
      <c r="AD12" s="17">
        <v>111.920726422511</v>
      </c>
      <c r="AE12" s="17">
        <v>24.116051191213799</v>
      </c>
      <c r="AF12" s="17">
        <v>-33.269401842147801</v>
      </c>
      <c r="AG12" s="17">
        <v>58438926.899999999</v>
      </c>
      <c r="AH12" s="17">
        <v>1.7091765844248701E-4</v>
      </c>
      <c r="AI12" s="17">
        <v>108</v>
      </c>
      <c r="AJ12" t="s">
        <v>38</v>
      </c>
      <c r="AK12">
        <f t="shared" si="0"/>
        <v>2.6416376717803846E-2</v>
      </c>
      <c r="AL12" s="1">
        <f t="shared" si="1"/>
        <v>0.46437817066885162</v>
      </c>
      <c r="AM12" s="1">
        <f t="shared" si="2"/>
        <v>2.6416974709305704E-2</v>
      </c>
    </row>
    <row r="13" spans="1:39" x14ac:dyDescent="0.25">
      <c r="A13" s="17">
        <v>-100</v>
      </c>
      <c r="B13" s="17">
        <v>0.373094352361517</v>
      </c>
      <c r="C13" s="17">
        <v>0.50426746657857702</v>
      </c>
      <c r="D13" s="17">
        <v>0.13117311421706099</v>
      </c>
      <c r="E13" s="17">
        <v>4.8678278417769498E-2</v>
      </c>
      <c r="F13" s="17">
        <v>5.6599800850989403E-3</v>
      </c>
      <c r="G13" s="17">
        <v>4.8678278417769498E-2</v>
      </c>
      <c r="H13" s="17">
        <v>0.40124077411555897</v>
      </c>
      <c r="I13" s="18">
        <v>1.0155542379913001E-5</v>
      </c>
      <c r="J13" s="17">
        <v>100</v>
      </c>
      <c r="K13" s="17">
        <v>0</v>
      </c>
      <c r="L13" s="17">
        <v>0</v>
      </c>
      <c r="M13" s="17">
        <v>100</v>
      </c>
      <c r="N13" s="17">
        <v>0</v>
      </c>
      <c r="O13" s="17">
        <v>0</v>
      </c>
      <c r="P13" s="17">
        <v>0</v>
      </c>
      <c r="Q13" s="17">
        <v>0</v>
      </c>
      <c r="R13" s="17">
        <v>0.20749570265560499</v>
      </c>
      <c r="S13" s="17">
        <v>-108.270210661878</v>
      </c>
      <c r="T13" s="17">
        <v>2.9288078071623501E-2</v>
      </c>
      <c r="U13" s="17">
        <v>100</v>
      </c>
      <c r="V13" s="17">
        <v>46.150182215560598</v>
      </c>
      <c r="W13" s="17">
        <v>347.87152679885401</v>
      </c>
      <c r="X13" s="17">
        <v>55.329239223787098</v>
      </c>
      <c r="Y13" s="17">
        <v>3.4653753280974202</v>
      </c>
      <c r="Z13" s="17">
        <v>775.53371259970504</v>
      </c>
      <c r="AA13" s="17">
        <v>0</v>
      </c>
      <c r="AB13" s="17">
        <v>0</v>
      </c>
      <c r="AC13" s="17">
        <v>173.096637114</v>
      </c>
      <c r="AD13" s="17">
        <v>111.997798533875</v>
      </c>
      <c r="AE13" s="17">
        <v>24.768638439976002</v>
      </c>
      <c r="AF13" s="17">
        <v>-15.239569841525601</v>
      </c>
      <c r="AG13" s="17">
        <v>632344129.39999998</v>
      </c>
      <c r="AH13" s="17">
        <v>3.0705109259182298E-2</v>
      </c>
      <c r="AI13" s="17">
        <v>444</v>
      </c>
      <c r="AJ13" t="s">
        <v>38</v>
      </c>
      <c r="AK13">
        <f t="shared" si="0"/>
        <v>0.73987393018419112</v>
      </c>
      <c r="AL13" s="1">
        <f t="shared" si="1"/>
        <v>0.50425731103619709</v>
      </c>
      <c r="AM13" s="1">
        <f t="shared" si="2"/>
        <v>0.73988883095189306</v>
      </c>
    </row>
    <row r="14" spans="1:39" x14ac:dyDescent="0.25">
      <c r="A14" s="17">
        <v>-75</v>
      </c>
      <c r="B14" s="17">
        <v>0.53143383739832994</v>
      </c>
      <c r="C14" s="17">
        <v>0.56182077401814901</v>
      </c>
      <c r="D14" s="17">
        <v>3.03869366198193E-2</v>
      </c>
      <c r="E14" s="17">
        <v>4.8669004361695502E-2</v>
      </c>
      <c r="F14" s="17">
        <v>7.1365979696044997E-3</v>
      </c>
      <c r="G14" s="17">
        <v>4.8669004361695502E-2</v>
      </c>
      <c r="H14" s="17">
        <v>0.456897234708603</v>
      </c>
      <c r="I14" s="17">
        <v>4.4893261655101698E-4</v>
      </c>
      <c r="J14" s="17">
        <v>100</v>
      </c>
      <c r="K14" s="17">
        <v>0</v>
      </c>
      <c r="L14" s="17">
        <v>0</v>
      </c>
      <c r="M14" s="17">
        <v>100</v>
      </c>
      <c r="N14" s="17">
        <v>0</v>
      </c>
      <c r="O14" s="17">
        <v>0</v>
      </c>
      <c r="P14" s="17">
        <v>0</v>
      </c>
      <c r="Q14" s="17">
        <v>0</v>
      </c>
      <c r="R14" s="17">
        <v>0.26822163037589902</v>
      </c>
      <c r="S14" s="17">
        <v>-85.342407321853202</v>
      </c>
      <c r="T14" s="17">
        <v>0.92403859829864399</v>
      </c>
      <c r="U14" s="17">
        <v>99.984425599607306</v>
      </c>
      <c r="V14" s="17">
        <v>45.898549091635601</v>
      </c>
      <c r="W14" s="17">
        <v>326.14076045789199</v>
      </c>
      <c r="X14" s="17">
        <v>55.281523595045101</v>
      </c>
      <c r="Y14" s="17">
        <v>3.63257090820415</v>
      </c>
      <c r="Z14" s="17">
        <v>774.006403705499</v>
      </c>
      <c r="AA14" s="17">
        <v>0</v>
      </c>
      <c r="AB14" s="17">
        <v>0</v>
      </c>
      <c r="AC14" s="17">
        <v>172.94739165984001</v>
      </c>
      <c r="AD14" s="17">
        <v>112.086667312579</v>
      </c>
      <c r="AE14" s="17">
        <v>26.8439997585218</v>
      </c>
      <c r="AF14" s="17">
        <v>-1.5655976502604201</v>
      </c>
      <c r="AG14" s="17">
        <v>2810096626.3000002</v>
      </c>
      <c r="AH14" s="17">
        <v>3.38373402507164E-2</v>
      </c>
      <c r="AI14" s="17">
        <v>1229</v>
      </c>
      <c r="AJ14" t="s">
        <v>38</v>
      </c>
      <c r="AK14">
        <f t="shared" si="0"/>
        <v>0.94591346916118579</v>
      </c>
      <c r="AL14" s="1">
        <f t="shared" si="1"/>
        <v>0.56137184140159802</v>
      </c>
      <c r="AM14" s="1">
        <f t="shared" si="2"/>
        <v>0.94666992215263102</v>
      </c>
    </row>
    <row r="15" spans="1:39" x14ac:dyDescent="0.25">
      <c r="A15" s="17">
        <v>-50</v>
      </c>
      <c r="B15" s="17">
        <v>0.67262927227810998</v>
      </c>
      <c r="C15" s="17">
        <v>0.66520198430792599</v>
      </c>
      <c r="D15" s="17">
        <v>-7.4272879701831997E-3</v>
      </c>
      <c r="E15" s="17">
        <v>4.8974476392460303E-2</v>
      </c>
      <c r="F15" s="17">
        <v>8.9536709585674099E-3</v>
      </c>
      <c r="G15" s="17">
        <v>4.8974476392460303E-2</v>
      </c>
      <c r="H15" s="17">
        <v>0.52424110786071398</v>
      </c>
      <c r="I15" s="17">
        <v>3.4058252703724201E-2</v>
      </c>
      <c r="J15" s="17">
        <v>100</v>
      </c>
      <c r="K15" s="17">
        <v>0</v>
      </c>
      <c r="L15" s="17">
        <v>0</v>
      </c>
      <c r="M15" s="17">
        <v>100</v>
      </c>
      <c r="N15" s="17">
        <v>0</v>
      </c>
      <c r="O15" s="17">
        <v>0</v>
      </c>
      <c r="P15" s="17">
        <v>0</v>
      </c>
      <c r="Q15" s="17">
        <v>0</v>
      </c>
      <c r="R15" s="17">
        <v>0.34331511111808899</v>
      </c>
      <c r="S15" s="17">
        <v>-61.843806963000603</v>
      </c>
      <c r="T15" s="17">
        <v>20.4840782823164</v>
      </c>
      <c r="U15" s="17">
        <v>99.992865957986695</v>
      </c>
      <c r="V15" s="17">
        <v>45.971260338509097</v>
      </c>
      <c r="W15" s="17">
        <v>316.37907818589201</v>
      </c>
      <c r="X15" s="17">
        <v>55.969126833593599</v>
      </c>
      <c r="Y15" s="17">
        <v>3.7764526570496701</v>
      </c>
      <c r="Z15" s="17">
        <v>772.49747875499997</v>
      </c>
      <c r="AA15" s="17">
        <v>0</v>
      </c>
      <c r="AB15" s="17">
        <v>0</v>
      </c>
      <c r="AC15" s="17">
        <v>173.490584899222</v>
      </c>
      <c r="AD15" s="17">
        <v>112.24820845889499</v>
      </c>
      <c r="AE15" s="17">
        <v>30.1492882758285</v>
      </c>
      <c r="AF15" s="17">
        <v>6.3968463756037703</v>
      </c>
      <c r="AG15" s="17">
        <v>6113073054.3000002</v>
      </c>
      <c r="AH15" s="17">
        <v>5.2764277433320197E-2</v>
      </c>
      <c r="AI15" s="17">
        <v>2699</v>
      </c>
      <c r="AJ15" t="s">
        <v>38</v>
      </c>
      <c r="AK15">
        <f t="shared" si="0"/>
        <v>1.0111654627397291</v>
      </c>
      <c r="AL15" s="1">
        <f t="shared" si="1"/>
        <v>0.63114373160420179</v>
      </c>
      <c r="AM15" s="1">
        <f t="shared" si="2"/>
        <v>1.0657307338986999</v>
      </c>
    </row>
    <row r="16" spans="1:39" x14ac:dyDescent="0.25">
      <c r="A16" s="17">
        <v>-25</v>
      </c>
      <c r="B16" s="17">
        <v>0.877772756865422</v>
      </c>
      <c r="C16" s="17">
        <v>0.81108828475794703</v>
      </c>
      <c r="D16" s="17">
        <v>-6.6684472107474496E-2</v>
      </c>
      <c r="E16" s="17">
        <v>4.9470602462859503E-2</v>
      </c>
      <c r="F16" s="17">
        <v>1.13921638760208E-2</v>
      </c>
      <c r="G16" s="17">
        <v>4.9470602462859503E-2</v>
      </c>
      <c r="H16" s="17">
        <v>0.59026534674835995</v>
      </c>
      <c r="I16" s="17">
        <v>0.110489569207847</v>
      </c>
      <c r="J16" s="17">
        <v>100</v>
      </c>
      <c r="K16" s="17">
        <v>0</v>
      </c>
      <c r="L16" s="17">
        <v>0</v>
      </c>
      <c r="M16" s="17">
        <v>100</v>
      </c>
      <c r="N16" s="17">
        <v>0</v>
      </c>
      <c r="O16" s="17">
        <v>0</v>
      </c>
      <c r="P16" s="17">
        <v>0</v>
      </c>
      <c r="Q16" s="17">
        <v>0</v>
      </c>
      <c r="R16" s="17">
        <v>0.434080032605967</v>
      </c>
      <c r="S16" s="17">
        <v>-38.088257370250297</v>
      </c>
      <c r="T16" s="17">
        <v>121.208900050248</v>
      </c>
      <c r="U16" s="17">
        <v>99.973262066664006</v>
      </c>
      <c r="V16" s="17">
        <v>46.584550613813697</v>
      </c>
      <c r="W16" s="17">
        <v>315.709065739967</v>
      </c>
      <c r="X16" s="17">
        <v>57.122516580143497</v>
      </c>
      <c r="Y16" s="17">
        <v>3.9899319175574202</v>
      </c>
      <c r="Z16" s="17">
        <v>770.26050540574204</v>
      </c>
      <c r="AA16" s="17">
        <v>0</v>
      </c>
      <c r="AB16" s="17">
        <v>0</v>
      </c>
      <c r="AC16" s="17">
        <v>172.942981039171</v>
      </c>
      <c r="AD16" s="17">
        <v>112.232817472604</v>
      </c>
      <c r="AE16" s="17">
        <v>31.408679248346001</v>
      </c>
      <c r="AF16" s="17">
        <v>18.766956217167898</v>
      </c>
      <c r="AG16" s="17">
        <v>6289507041.8000002</v>
      </c>
      <c r="AH16" s="17">
        <v>7.4705012039235602E-2</v>
      </c>
      <c r="AI16" s="17">
        <v>4734</v>
      </c>
      <c r="AJ16" t="s">
        <v>38</v>
      </c>
      <c r="AK16">
        <f t="shared" si="0"/>
        <v>1.0822160464657378</v>
      </c>
      <c r="AL16" s="1">
        <f t="shared" si="1"/>
        <v>0.7005987155501</v>
      </c>
      <c r="AM16" s="1">
        <f t="shared" si="2"/>
        <v>1.2528894749346029</v>
      </c>
    </row>
    <row r="17" spans="1:39" x14ac:dyDescent="0.25">
      <c r="A17" s="17">
        <v>0</v>
      </c>
      <c r="B17" s="17">
        <v>0.74099615512200501</v>
      </c>
      <c r="C17" s="17">
        <v>0.90187265634479397</v>
      </c>
      <c r="D17" s="17">
        <v>0.16087650122278899</v>
      </c>
      <c r="E17" s="17">
        <v>4.96580769344473E-2</v>
      </c>
      <c r="F17" s="17">
        <v>1.36734665139899E-2</v>
      </c>
      <c r="G17" s="17">
        <v>4.96580769344473E-2</v>
      </c>
      <c r="H17" s="17">
        <v>0.60361063021060501</v>
      </c>
      <c r="I17" s="17">
        <v>0.18527240575130499</v>
      </c>
      <c r="J17" s="17">
        <v>100</v>
      </c>
      <c r="K17" s="17">
        <v>0</v>
      </c>
      <c r="L17" s="17">
        <v>0</v>
      </c>
      <c r="M17" s="17">
        <v>100</v>
      </c>
      <c r="N17" s="17">
        <v>0</v>
      </c>
      <c r="O17" s="17">
        <v>0</v>
      </c>
      <c r="P17" s="17">
        <v>0</v>
      </c>
      <c r="Q17" s="17">
        <v>0</v>
      </c>
      <c r="R17" s="17">
        <v>0.50556664412477803</v>
      </c>
      <c r="S17" s="17">
        <v>-14.467361000847401</v>
      </c>
      <c r="T17" s="17">
        <v>367.89627074319202</v>
      </c>
      <c r="U17" s="17">
        <v>99.956222882494899</v>
      </c>
      <c r="V17" s="17">
        <v>47.941031891542799</v>
      </c>
      <c r="W17" s="17">
        <v>300.03751036252999</v>
      </c>
      <c r="X17" s="17">
        <v>57.548354024183098</v>
      </c>
      <c r="Y17" s="17">
        <v>4.2022608607601999</v>
      </c>
      <c r="Z17" s="17">
        <v>767.434297257048</v>
      </c>
      <c r="AA17" s="17">
        <v>0</v>
      </c>
      <c r="AB17" s="17">
        <v>0</v>
      </c>
      <c r="AC17" s="17">
        <v>170.57595400602301</v>
      </c>
      <c r="AD17" s="17">
        <v>112.09323092064101</v>
      </c>
      <c r="AE17" s="17">
        <v>34.243289839154002</v>
      </c>
      <c r="AF17" s="17">
        <v>25.186159555793399</v>
      </c>
      <c r="AG17" s="17">
        <v>5301984306.6000004</v>
      </c>
      <c r="AH17" s="17">
        <v>6.4379866346470097E-2</v>
      </c>
      <c r="AI17" s="17">
        <v>5594</v>
      </c>
      <c r="AJ17" t="s">
        <v>38</v>
      </c>
      <c r="AK17">
        <f t="shared" si="0"/>
        <v>0.821619493516073</v>
      </c>
      <c r="AL17" s="1">
        <f t="shared" si="1"/>
        <v>0.71660025059348897</v>
      </c>
      <c r="AM17" s="1">
        <f t="shared" si="2"/>
        <v>1.0340439519917992</v>
      </c>
    </row>
    <row r="18" spans="1:39" x14ac:dyDescent="0.25">
      <c r="A18" s="17">
        <v>-150</v>
      </c>
      <c r="B18" s="17">
        <v>2.0121542736784099E-4</v>
      </c>
      <c r="C18" s="17">
        <v>0.40346443215973599</v>
      </c>
      <c r="D18" s="17">
        <v>0.40326321673236898</v>
      </c>
      <c r="E18" s="17">
        <v>4.7118420177359101E-2</v>
      </c>
      <c r="F18" s="17">
        <v>2.9668126288329502E-3</v>
      </c>
      <c r="G18" s="17">
        <v>4.7118420177359101E-2</v>
      </c>
      <c r="H18" s="17">
        <v>0.30625052218634002</v>
      </c>
      <c r="I18" s="18">
        <v>1.0256989845479099E-5</v>
      </c>
      <c r="J18" s="17">
        <v>100</v>
      </c>
      <c r="K18" s="17">
        <v>0</v>
      </c>
      <c r="L18" s="17">
        <v>0</v>
      </c>
      <c r="M18" s="17">
        <v>0</v>
      </c>
      <c r="N18" s="17">
        <v>0</v>
      </c>
      <c r="O18" s="17">
        <v>100</v>
      </c>
      <c r="P18" s="17">
        <v>0</v>
      </c>
      <c r="Q18" s="17">
        <v>0</v>
      </c>
      <c r="R18" s="17">
        <v>5.8800454705948198E-2</v>
      </c>
      <c r="S18" s="17">
        <v>-157.973138043278</v>
      </c>
      <c r="T18" s="17">
        <v>0</v>
      </c>
      <c r="U18" s="17">
        <v>100</v>
      </c>
      <c r="V18" s="17">
        <v>53.602938087334202</v>
      </c>
      <c r="W18" s="17">
        <v>352.99693957333199</v>
      </c>
      <c r="X18" s="17">
        <v>51.751870698888297</v>
      </c>
      <c r="Y18" s="17">
        <v>3</v>
      </c>
      <c r="Z18" s="17">
        <v>745</v>
      </c>
      <c r="AA18" s="17">
        <v>0</v>
      </c>
      <c r="AB18" s="17">
        <v>0</v>
      </c>
      <c r="AC18" s="17">
        <v>170.695118477596</v>
      </c>
      <c r="AD18" s="17">
        <v>111.837685211541</v>
      </c>
      <c r="AE18" s="17">
        <v>24.175716455351399</v>
      </c>
      <c r="AF18" s="17">
        <v>-62</v>
      </c>
      <c r="AG18" s="17">
        <v>1765008.8</v>
      </c>
      <c r="AH18" s="18">
        <v>4.4721359549995799E-6</v>
      </c>
      <c r="AI18" s="17">
        <v>5</v>
      </c>
      <c r="AJ18" t="s">
        <v>39</v>
      </c>
      <c r="AK18">
        <f t="shared" si="0"/>
        <v>4.9871912200720979E-4</v>
      </c>
      <c r="AL18" s="1">
        <f t="shared" si="1"/>
        <v>0.40345417516989052</v>
      </c>
      <c r="AM18" s="1">
        <f t="shared" si="2"/>
        <v>4.9873180091174218E-4</v>
      </c>
    </row>
    <row r="19" spans="1:39" x14ac:dyDescent="0.25">
      <c r="A19" s="17">
        <v>-125</v>
      </c>
      <c r="B19" s="17">
        <v>0.99827087349131005</v>
      </c>
      <c r="C19" s="17">
        <v>0.41880196299350098</v>
      </c>
      <c r="D19" s="17">
        <v>-0.57946891049780902</v>
      </c>
      <c r="E19" s="17">
        <v>4.8869765332847197E-2</v>
      </c>
      <c r="F19" s="17">
        <v>6.3043725635491699E-3</v>
      </c>
      <c r="G19" s="17">
        <v>4.8869765332847197E-2</v>
      </c>
      <c r="H19" s="17">
        <v>0.31474726614233101</v>
      </c>
      <c r="I19" s="18">
        <v>1.07936219269596E-5</v>
      </c>
      <c r="J19" s="17">
        <v>100</v>
      </c>
      <c r="K19" s="17">
        <v>0</v>
      </c>
      <c r="L19" s="17">
        <v>0</v>
      </c>
      <c r="M19" s="17">
        <v>0</v>
      </c>
      <c r="N19" s="17">
        <v>0</v>
      </c>
      <c r="O19" s="17">
        <v>100</v>
      </c>
      <c r="P19" s="17">
        <v>0</v>
      </c>
      <c r="Q19" s="17">
        <v>0</v>
      </c>
      <c r="R19" s="17">
        <v>0.22969987375312101</v>
      </c>
      <c r="S19" s="17">
        <v>-133.41523429502499</v>
      </c>
      <c r="T19" s="17">
        <v>1.3107782442133E-3</v>
      </c>
      <c r="U19" s="17">
        <v>100</v>
      </c>
      <c r="V19" s="17">
        <v>40.849232431681102</v>
      </c>
      <c r="W19" s="17">
        <v>392.715652205472</v>
      </c>
      <c r="X19" s="17">
        <v>55.7753059727414</v>
      </c>
      <c r="Y19" s="17">
        <v>3.26056943055548</v>
      </c>
      <c r="Z19" s="17">
        <v>762.76850408259997</v>
      </c>
      <c r="AA19" s="17">
        <v>0</v>
      </c>
      <c r="AB19" s="17">
        <v>0</v>
      </c>
      <c r="AC19" s="17">
        <v>172.788697081002</v>
      </c>
      <c r="AD19" s="17">
        <v>111.932694732892</v>
      </c>
      <c r="AE19" s="17">
        <v>24.0532012100735</v>
      </c>
      <c r="AF19" s="17">
        <v>-40.588543391755799</v>
      </c>
      <c r="AG19" s="17">
        <v>48210855.100000001</v>
      </c>
      <c r="AH19" s="17">
        <v>9.4908827328748002E-2</v>
      </c>
      <c r="AI19" s="17">
        <v>111</v>
      </c>
      <c r="AJ19" t="s">
        <v>39</v>
      </c>
      <c r="AK19">
        <f t="shared" si="0"/>
        <v>2.3836346571919038</v>
      </c>
      <c r="AL19" s="1">
        <f t="shared" si="1"/>
        <v>0.41879116937157401</v>
      </c>
      <c r="AM19" s="1">
        <f t="shared" si="2"/>
        <v>2.3836960912745284</v>
      </c>
    </row>
    <row r="20" spans="1:39" x14ac:dyDescent="0.25">
      <c r="A20" s="17">
        <v>-100</v>
      </c>
      <c r="B20" s="17">
        <v>0.514219258128777</v>
      </c>
      <c r="C20" s="17">
        <v>0.45854260911899197</v>
      </c>
      <c r="D20" s="17">
        <v>-5.5676649009784702E-2</v>
      </c>
      <c r="E20" s="17">
        <v>4.8664338430169901E-2</v>
      </c>
      <c r="F20" s="17">
        <v>6.1312317450723797E-3</v>
      </c>
      <c r="G20" s="17">
        <v>4.8664338430169901E-2</v>
      </c>
      <c r="H20" s="17">
        <v>0.35507249068625302</v>
      </c>
      <c r="I20" s="18">
        <v>1.0209827327229801E-5</v>
      </c>
      <c r="J20" s="17">
        <v>100</v>
      </c>
      <c r="K20" s="17">
        <v>0</v>
      </c>
      <c r="L20" s="17">
        <v>0</v>
      </c>
      <c r="M20" s="17">
        <v>0</v>
      </c>
      <c r="N20" s="17">
        <v>0</v>
      </c>
      <c r="O20" s="17">
        <v>100</v>
      </c>
      <c r="P20" s="17">
        <v>0</v>
      </c>
      <c r="Q20" s="17">
        <v>0</v>
      </c>
      <c r="R20" s="17">
        <v>0.23158041732072099</v>
      </c>
      <c r="S20" s="17">
        <v>-108.37601059444999</v>
      </c>
      <c r="T20" s="17">
        <v>1.48375239119071E-2</v>
      </c>
      <c r="U20" s="17">
        <v>100</v>
      </c>
      <c r="V20" s="17">
        <v>39.281738909485597</v>
      </c>
      <c r="W20" s="17">
        <v>354.91314825536898</v>
      </c>
      <c r="X20" s="17">
        <v>55.298584096528501</v>
      </c>
      <c r="Y20" s="17">
        <v>3.45919592445345</v>
      </c>
      <c r="Z20" s="17">
        <v>767.99107109477302</v>
      </c>
      <c r="AA20" s="17">
        <v>0</v>
      </c>
      <c r="AB20" s="17">
        <v>0</v>
      </c>
      <c r="AC20" s="17">
        <v>172.94361447563</v>
      </c>
      <c r="AD20" s="17">
        <v>112.00517769680199</v>
      </c>
      <c r="AE20" s="17">
        <v>24.943102464858601</v>
      </c>
      <c r="AF20" s="17">
        <v>-18.3417690840941</v>
      </c>
      <c r="AG20" s="17">
        <v>452689948.80000001</v>
      </c>
      <c r="AH20" s="17">
        <v>6.7759865604944902E-2</v>
      </c>
      <c r="AI20" s="17">
        <v>504</v>
      </c>
      <c r="AJ20" t="s">
        <v>39</v>
      </c>
      <c r="AK20">
        <f t="shared" si="0"/>
        <v>1.1214208841284299</v>
      </c>
      <c r="AL20" s="1">
        <f t="shared" si="1"/>
        <v>0.45853239929166473</v>
      </c>
      <c r="AM20" s="1">
        <f t="shared" si="2"/>
        <v>1.1214458540402743</v>
      </c>
    </row>
    <row r="21" spans="1:39" x14ac:dyDescent="0.25">
      <c r="A21" s="17">
        <v>-75</v>
      </c>
      <c r="B21" s="17">
        <v>0.47347536459125</v>
      </c>
      <c r="C21" s="17">
        <v>0.50764112013348694</v>
      </c>
      <c r="D21" s="17">
        <v>3.4165755542236102E-2</v>
      </c>
      <c r="E21" s="17">
        <v>4.8760766081342097E-2</v>
      </c>
      <c r="F21" s="17">
        <v>6.8547854997385903E-3</v>
      </c>
      <c r="G21" s="17">
        <v>4.8760766081342097E-2</v>
      </c>
      <c r="H21" s="17">
        <v>0.40285355061178901</v>
      </c>
      <c r="I21" s="17">
        <v>4.1125185927473802E-4</v>
      </c>
      <c r="J21" s="17">
        <v>100</v>
      </c>
      <c r="K21" s="17">
        <v>0</v>
      </c>
      <c r="L21" s="17">
        <v>0</v>
      </c>
      <c r="M21" s="17">
        <v>0</v>
      </c>
      <c r="N21" s="17">
        <v>0</v>
      </c>
      <c r="O21" s="17">
        <v>100</v>
      </c>
      <c r="P21" s="17">
        <v>0</v>
      </c>
      <c r="Q21" s="17">
        <v>0</v>
      </c>
      <c r="R21" s="17">
        <v>0.26398740123997599</v>
      </c>
      <c r="S21" s="17">
        <v>-85.183982783500895</v>
      </c>
      <c r="T21" s="17">
        <v>2.1203614677820899</v>
      </c>
      <c r="U21" s="17">
        <v>100</v>
      </c>
      <c r="V21" s="17">
        <v>38.9602025550343</v>
      </c>
      <c r="W21" s="17">
        <v>326.72419169850599</v>
      </c>
      <c r="X21" s="17">
        <v>55.493788486997197</v>
      </c>
      <c r="Y21" s="17">
        <v>3.6171014145646998</v>
      </c>
      <c r="Z21" s="17">
        <v>768.70676715330399</v>
      </c>
      <c r="AA21" s="17">
        <v>0</v>
      </c>
      <c r="AB21" s="17">
        <v>0</v>
      </c>
      <c r="AC21" s="17">
        <v>173.07426421528299</v>
      </c>
      <c r="AD21" s="17">
        <v>112.107146500821</v>
      </c>
      <c r="AE21" s="17">
        <v>27.254271956764299</v>
      </c>
      <c r="AF21" s="17">
        <v>-4.2535107093037103</v>
      </c>
      <c r="AG21" s="17">
        <v>1768846137</v>
      </c>
      <c r="AH21" s="17">
        <v>4.4213084335619698E-2</v>
      </c>
      <c r="AI21" s="17">
        <v>1173</v>
      </c>
      <c r="AJ21" t="s">
        <v>39</v>
      </c>
      <c r="AK21">
        <f t="shared" si="0"/>
        <v>0.93269702908768926</v>
      </c>
      <c r="AL21" s="1">
        <f t="shared" si="1"/>
        <v>0.50722986827421224</v>
      </c>
      <c r="AM21" s="1">
        <f t="shared" si="2"/>
        <v>0.93345324123398365</v>
      </c>
    </row>
    <row r="22" spans="1:39" x14ac:dyDescent="0.25">
      <c r="A22" s="17">
        <v>-50</v>
      </c>
      <c r="B22" s="17">
        <v>0.56954574737923702</v>
      </c>
      <c r="C22" s="17">
        <v>0.60104318475438501</v>
      </c>
      <c r="D22" s="17">
        <v>3.1497437375148103E-2</v>
      </c>
      <c r="E22" s="17">
        <v>4.89893224230196E-2</v>
      </c>
      <c r="F22" s="17">
        <v>9.0236782525263404E-3</v>
      </c>
      <c r="G22" s="17">
        <v>4.89893224230196E-2</v>
      </c>
      <c r="H22" s="17">
        <v>0.45965051265572199</v>
      </c>
      <c r="I22" s="17">
        <v>3.4390349000097499E-2</v>
      </c>
      <c r="J22" s="17">
        <v>100</v>
      </c>
      <c r="K22" s="17">
        <v>0</v>
      </c>
      <c r="L22" s="17">
        <v>0</v>
      </c>
      <c r="M22" s="17">
        <v>0</v>
      </c>
      <c r="N22" s="17">
        <v>0</v>
      </c>
      <c r="O22" s="17">
        <v>100</v>
      </c>
      <c r="P22" s="17">
        <v>0</v>
      </c>
      <c r="Q22" s="17">
        <v>0</v>
      </c>
      <c r="R22" s="17">
        <v>0.35323398482038498</v>
      </c>
      <c r="S22" s="17">
        <v>-61.797294305129597</v>
      </c>
      <c r="T22" s="17">
        <v>34.004938393139398</v>
      </c>
      <c r="U22" s="17">
        <v>100</v>
      </c>
      <c r="V22" s="17">
        <v>39.004905810102102</v>
      </c>
      <c r="W22" s="17">
        <v>315.47983266810797</v>
      </c>
      <c r="X22" s="17">
        <v>55.999177588707703</v>
      </c>
      <c r="Y22" s="17">
        <v>3.78602786362744</v>
      </c>
      <c r="Z22" s="17">
        <v>768.22789615646298</v>
      </c>
      <c r="AA22" s="17">
        <v>0</v>
      </c>
      <c r="AB22" s="17">
        <v>0</v>
      </c>
      <c r="AC22" s="17">
        <v>173.146458337664</v>
      </c>
      <c r="AD22" s="17">
        <v>112.201881188904</v>
      </c>
      <c r="AE22" s="17">
        <v>29.794339988440399</v>
      </c>
      <c r="AF22" s="17">
        <v>6.7378771812865299</v>
      </c>
      <c r="AG22" s="17">
        <v>3909506314.0999999</v>
      </c>
      <c r="AH22" s="17">
        <v>5.5659508399930502E-2</v>
      </c>
      <c r="AI22" s="17">
        <v>2653</v>
      </c>
      <c r="AJ22" t="s">
        <v>39</v>
      </c>
      <c r="AK22">
        <f t="shared" si="0"/>
        <v>0.94759538386909858</v>
      </c>
      <c r="AL22" s="1">
        <f t="shared" si="1"/>
        <v>0.56665283575428749</v>
      </c>
      <c r="AM22" s="1">
        <f t="shared" si="2"/>
        <v>1.0051052627683381</v>
      </c>
    </row>
    <row r="23" spans="1:39" x14ac:dyDescent="0.25">
      <c r="A23" s="17">
        <v>-25</v>
      </c>
      <c r="B23" s="17">
        <v>0.53300753333866002</v>
      </c>
      <c r="C23" s="17">
        <v>0.73725612884282898</v>
      </c>
      <c r="D23" s="17">
        <v>0.20424859550416899</v>
      </c>
      <c r="E23" s="17">
        <v>4.9357051949856498E-2</v>
      </c>
      <c r="F23" s="17">
        <v>1.27069741609314E-2</v>
      </c>
      <c r="G23" s="17">
        <v>4.9357051949856498E-2</v>
      </c>
      <c r="H23" s="17">
        <v>0.51593344829700205</v>
      </c>
      <c r="I23" s="17">
        <v>0.10990160248518301</v>
      </c>
      <c r="J23" s="17">
        <v>100</v>
      </c>
      <c r="K23" s="17">
        <v>0</v>
      </c>
      <c r="L23" s="17">
        <v>0</v>
      </c>
      <c r="M23" s="17">
        <v>0</v>
      </c>
      <c r="N23" s="17">
        <v>0</v>
      </c>
      <c r="O23" s="17">
        <v>100</v>
      </c>
      <c r="P23" s="17">
        <v>0</v>
      </c>
      <c r="Q23" s="17">
        <v>0</v>
      </c>
      <c r="R23" s="17">
        <v>0.50228022009489903</v>
      </c>
      <c r="S23" s="17">
        <v>-37.924502576058401</v>
      </c>
      <c r="T23" s="17">
        <v>156.60745781094801</v>
      </c>
      <c r="U23" s="17">
        <v>100</v>
      </c>
      <c r="V23" s="17">
        <v>39.453938253520597</v>
      </c>
      <c r="W23" s="17">
        <v>310.51348071991498</v>
      </c>
      <c r="X23" s="17">
        <v>56.854868810023703</v>
      </c>
      <c r="Y23" s="17">
        <v>3.9963173262079801</v>
      </c>
      <c r="Z23" s="17">
        <v>765.84626716170703</v>
      </c>
      <c r="AA23" s="17">
        <v>0</v>
      </c>
      <c r="AB23" s="17">
        <v>0</v>
      </c>
      <c r="AC23" s="17">
        <v>172.53163651827899</v>
      </c>
      <c r="AD23" s="17">
        <v>112.185051361524</v>
      </c>
      <c r="AE23" s="17">
        <v>31.288661966454502</v>
      </c>
      <c r="AF23" s="17">
        <v>18.945603647546601</v>
      </c>
      <c r="AG23" s="17">
        <v>4926868562</v>
      </c>
      <c r="AH23" s="17">
        <v>6.1068987779521897E-2</v>
      </c>
      <c r="AI23" s="17">
        <v>4890</v>
      </c>
      <c r="AJ23" t="s">
        <v>39</v>
      </c>
      <c r="AK23">
        <f t="shared" si="0"/>
        <v>0.72296114265641942</v>
      </c>
      <c r="AL23" s="1">
        <f t="shared" si="1"/>
        <v>0.62735452635764599</v>
      </c>
      <c r="AM23" s="1">
        <f t="shared" si="2"/>
        <v>0.84961136159046369</v>
      </c>
    </row>
    <row r="24" spans="1:39" x14ac:dyDescent="0.25">
      <c r="A24" s="17">
        <v>0</v>
      </c>
      <c r="B24" s="17">
        <v>0.88449947281217201</v>
      </c>
      <c r="C24" s="17">
        <v>0.826715661071455</v>
      </c>
      <c r="D24" s="17">
        <v>-5.7783811740716902E-2</v>
      </c>
      <c r="E24" s="17">
        <v>4.9555146854162201E-2</v>
      </c>
      <c r="F24" s="17">
        <v>1.4275221057864501E-2</v>
      </c>
      <c r="G24" s="17">
        <v>4.9555146854162201E-2</v>
      </c>
      <c r="H24" s="17">
        <v>0.53069012889880995</v>
      </c>
      <c r="I24" s="17">
        <v>0.182640017406456</v>
      </c>
      <c r="J24" s="17">
        <v>100</v>
      </c>
      <c r="K24" s="17">
        <v>0</v>
      </c>
      <c r="L24" s="17">
        <v>0</v>
      </c>
      <c r="M24" s="17">
        <v>0</v>
      </c>
      <c r="N24" s="17">
        <v>0</v>
      </c>
      <c r="O24" s="17">
        <v>100</v>
      </c>
      <c r="P24" s="17">
        <v>0</v>
      </c>
      <c r="Q24" s="17">
        <v>0</v>
      </c>
      <c r="R24" s="17">
        <v>0.53332906090000198</v>
      </c>
      <c r="S24" s="17">
        <v>-14.459114872495901</v>
      </c>
      <c r="T24" s="17">
        <v>446.24766805810799</v>
      </c>
      <c r="U24" s="17">
        <v>100</v>
      </c>
      <c r="V24" s="17">
        <v>40.4158690244873</v>
      </c>
      <c r="W24" s="17">
        <v>295.34015604093997</v>
      </c>
      <c r="X24" s="17">
        <v>57.291974090771397</v>
      </c>
      <c r="Y24" s="17">
        <v>4.2118879004076097</v>
      </c>
      <c r="Z24" s="17">
        <v>763.02871637415603</v>
      </c>
      <c r="AA24" s="17">
        <v>0</v>
      </c>
      <c r="AB24" s="17">
        <v>0</v>
      </c>
      <c r="AC24" s="17">
        <v>169.79929156855999</v>
      </c>
      <c r="AD24" s="17">
        <v>112.03257039298001</v>
      </c>
      <c r="AE24" s="17">
        <v>33.621519152469098</v>
      </c>
      <c r="AF24" s="17">
        <v>26.2986553762135</v>
      </c>
      <c r="AG24" s="17">
        <v>4406710463.8999996</v>
      </c>
      <c r="AH24" s="17">
        <v>7.6497284324942905E-2</v>
      </c>
      <c r="AI24" s="17">
        <v>5875</v>
      </c>
      <c r="AJ24" t="s">
        <v>39</v>
      </c>
      <c r="AK24">
        <f t="shared" si="0"/>
        <v>1.0698956297329931</v>
      </c>
    </row>
    <row r="26" spans="1:39" s="17" customFormat="1" x14ac:dyDescent="0.25">
      <c r="C26" s="17">
        <v>1</v>
      </c>
    </row>
    <row r="27" spans="1:39" x14ac:dyDescent="0.25">
      <c r="B27" t="s">
        <v>54</v>
      </c>
      <c r="C27" t="s">
        <v>55</v>
      </c>
    </row>
    <row r="28" spans="1:39" x14ac:dyDescent="0.25">
      <c r="A28" s="17">
        <v>-200</v>
      </c>
      <c r="B28" s="19">
        <f>B2</f>
        <v>0</v>
      </c>
      <c r="C28" s="19">
        <f>E2+F2+G2+H2*$C$26+I2</f>
        <v>0.3915450643065933</v>
      </c>
      <c r="D28" s="12">
        <f>AG2</f>
        <v>256666.2</v>
      </c>
    </row>
    <row r="29" spans="1:39" x14ac:dyDescent="0.25">
      <c r="A29" s="17">
        <v>-175</v>
      </c>
      <c r="B29" s="19">
        <f>B3</f>
        <v>0</v>
      </c>
      <c r="C29" s="19">
        <f t="shared" ref="C29:C50" si="3">E3+F3+G3+H3*$C$26+I3</f>
        <v>0.39711931039383769</v>
      </c>
      <c r="D29" s="12">
        <f t="shared" ref="D29:D50" si="4">AG3</f>
        <v>1839290.5</v>
      </c>
    </row>
    <row r="30" spans="1:39" x14ac:dyDescent="0.25">
      <c r="A30" s="17">
        <v>-150</v>
      </c>
      <c r="B30" s="19">
        <f>B4</f>
        <v>5.5572375733499201E-5</v>
      </c>
      <c r="C30" s="19">
        <f t="shared" si="3"/>
        <v>0.42113757654757422</v>
      </c>
      <c r="D30" s="12">
        <f t="shared" si="4"/>
        <v>5283799.3</v>
      </c>
    </row>
    <row r="31" spans="1:39" x14ac:dyDescent="0.25">
      <c r="A31" s="17">
        <v>-125</v>
      </c>
      <c r="B31" s="19">
        <f>B5</f>
        <v>0.41510695537835102</v>
      </c>
      <c r="C31" s="19">
        <f t="shared" si="3"/>
        <v>0.41536800614295327</v>
      </c>
      <c r="D31" s="12">
        <f t="shared" si="4"/>
        <v>110185918.2</v>
      </c>
    </row>
    <row r="32" spans="1:39" x14ac:dyDescent="0.25">
      <c r="A32" s="17">
        <v>-100</v>
      </c>
      <c r="B32" s="19">
        <f>B6</f>
        <v>0.46846535216858298</v>
      </c>
      <c r="C32" s="19">
        <f t="shared" si="3"/>
        <v>0.45580425016285936</v>
      </c>
      <c r="D32" s="12">
        <f t="shared" si="4"/>
        <v>1290521526.8</v>
      </c>
    </row>
    <row r="33" spans="1:5" x14ac:dyDescent="0.25">
      <c r="A33" s="17">
        <v>-75</v>
      </c>
      <c r="B33" s="19">
        <f>B7</f>
        <v>0.52455306974748195</v>
      </c>
      <c r="C33" s="19">
        <f t="shared" si="3"/>
        <v>0.5077488790140281</v>
      </c>
      <c r="D33" s="12">
        <f t="shared" si="4"/>
        <v>5161209539.1000004</v>
      </c>
      <c r="E33" s="8">
        <f>B33/C33</f>
        <v>1.0330954757912711</v>
      </c>
    </row>
    <row r="34" spans="1:5" x14ac:dyDescent="0.25">
      <c r="A34" s="17">
        <v>-50</v>
      </c>
      <c r="B34" s="19">
        <f>B8</f>
        <v>0.59950006507356501</v>
      </c>
      <c r="C34" s="19">
        <f t="shared" si="3"/>
        <v>0.59665509497139391</v>
      </c>
      <c r="D34" s="12">
        <f t="shared" si="4"/>
        <v>11642768878.4</v>
      </c>
      <c r="E34" s="8">
        <f t="shared" ref="E34:E50" si="5">B34/C34</f>
        <v>1.0047681987904713</v>
      </c>
    </row>
    <row r="35" spans="1:5" x14ac:dyDescent="0.25">
      <c r="A35" s="17">
        <v>-25</v>
      </c>
      <c r="B35" s="19">
        <f>B9</f>
        <v>0.74569711503826697</v>
      </c>
      <c r="C35" s="19">
        <f t="shared" si="3"/>
        <v>0.73111543207520824</v>
      </c>
      <c r="D35" s="12">
        <f t="shared" si="4"/>
        <v>13066329059.9</v>
      </c>
      <c r="E35" s="8">
        <f t="shared" si="5"/>
        <v>1.0199444332910192</v>
      </c>
    </row>
    <row r="36" spans="1:5" x14ac:dyDescent="0.25">
      <c r="A36" s="17">
        <v>0</v>
      </c>
      <c r="B36" s="19">
        <f>B10</f>
        <v>0.87314315969019396</v>
      </c>
      <c r="C36" s="19">
        <f t="shared" si="3"/>
        <v>0.81835398844049534</v>
      </c>
      <c r="D36" s="12">
        <f t="shared" si="4"/>
        <v>11056448407.700001</v>
      </c>
      <c r="E36" s="8">
        <f t="shared" si="5"/>
        <v>1.0669504542332691</v>
      </c>
    </row>
    <row r="37" spans="1:5" x14ac:dyDescent="0.25">
      <c r="A37" s="17">
        <v>-150</v>
      </c>
      <c r="B37" s="19">
        <f>B11</f>
        <v>0</v>
      </c>
      <c r="C37" s="19">
        <f t="shared" si="3"/>
        <v>0.46275844123115017</v>
      </c>
      <c r="D37" s="12">
        <f t="shared" si="4"/>
        <v>2304704.2999999998</v>
      </c>
      <c r="E37" s="8"/>
    </row>
    <row r="38" spans="1:5" x14ac:dyDescent="0.25">
      <c r="A38" s="17">
        <v>-125</v>
      </c>
      <c r="B38" s="19">
        <f>B12</f>
        <v>1.22674663901127E-2</v>
      </c>
      <c r="C38" s="19">
        <f t="shared" si="3"/>
        <v>0.46438868286750296</v>
      </c>
      <c r="D38" s="12">
        <f t="shared" si="4"/>
        <v>58438926.899999999</v>
      </c>
      <c r="E38" s="8"/>
    </row>
    <row r="39" spans="1:5" x14ac:dyDescent="0.25">
      <c r="A39" s="17">
        <v>-100</v>
      </c>
      <c r="B39" s="19">
        <f>B13</f>
        <v>0.373094352361517</v>
      </c>
      <c r="C39" s="19">
        <f t="shared" si="3"/>
        <v>0.50426746657857691</v>
      </c>
      <c r="D39" s="12">
        <f t="shared" si="4"/>
        <v>632344129.39999998</v>
      </c>
      <c r="E39" s="8"/>
    </row>
    <row r="40" spans="1:5" x14ac:dyDescent="0.25">
      <c r="A40" s="17">
        <v>-75</v>
      </c>
      <c r="B40" s="19">
        <f>B14</f>
        <v>0.53143383739832994</v>
      </c>
      <c r="C40" s="19">
        <f t="shared" si="3"/>
        <v>0.56182077401814945</v>
      </c>
      <c r="D40" s="12">
        <f t="shared" si="4"/>
        <v>2810096626.3000002</v>
      </c>
      <c r="E40" s="8">
        <f t="shared" si="5"/>
        <v>0.94591346916118513</v>
      </c>
    </row>
    <row r="41" spans="1:5" x14ac:dyDescent="0.25">
      <c r="A41" s="17">
        <v>-50</v>
      </c>
      <c r="B41" s="19">
        <f>B15</f>
        <v>0.67262927227810998</v>
      </c>
      <c r="C41" s="19">
        <f t="shared" si="3"/>
        <v>0.66520198430792621</v>
      </c>
      <c r="D41" s="12">
        <f t="shared" si="4"/>
        <v>6113073054.3000002</v>
      </c>
      <c r="E41" s="8">
        <f t="shared" si="5"/>
        <v>1.0111654627397288</v>
      </c>
    </row>
    <row r="42" spans="1:5" x14ac:dyDescent="0.25">
      <c r="A42" s="17">
        <v>-25</v>
      </c>
      <c r="B42" s="19">
        <f>B16</f>
        <v>0.877772756865422</v>
      </c>
      <c r="C42" s="19">
        <f t="shared" si="3"/>
        <v>0.81108828475794681</v>
      </c>
      <c r="D42" s="12">
        <f t="shared" si="4"/>
        <v>6289507041.8000002</v>
      </c>
      <c r="E42" s="8">
        <f t="shared" si="5"/>
        <v>1.0822160464657382</v>
      </c>
    </row>
    <row r="43" spans="1:5" x14ac:dyDescent="0.25">
      <c r="A43" s="17">
        <v>0</v>
      </c>
      <c r="B43" s="19">
        <f>B17</f>
        <v>0.74099615512200501</v>
      </c>
      <c r="C43" s="19">
        <f t="shared" si="3"/>
        <v>0.90187265634479452</v>
      </c>
      <c r="D43" s="12">
        <f t="shared" si="4"/>
        <v>5301984306.6000004</v>
      </c>
      <c r="E43" s="8">
        <f t="shared" si="5"/>
        <v>0.82161949351607255</v>
      </c>
    </row>
    <row r="44" spans="1:5" x14ac:dyDescent="0.25">
      <c r="A44" s="17">
        <v>-150</v>
      </c>
      <c r="B44" s="19">
        <f>B18</f>
        <v>2.0121542736784099E-4</v>
      </c>
      <c r="C44" s="19">
        <f t="shared" si="3"/>
        <v>0.40346443215973665</v>
      </c>
      <c r="D44" s="12">
        <f t="shared" si="4"/>
        <v>1765008.8</v>
      </c>
      <c r="E44" s="8"/>
    </row>
    <row r="45" spans="1:5" x14ac:dyDescent="0.25">
      <c r="A45" s="17">
        <v>-125</v>
      </c>
      <c r="B45" s="19">
        <f>B19</f>
        <v>0.99827087349131005</v>
      </c>
      <c r="C45" s="19">
        <f t="shared" si="3"/>
        <v>0.41880196299350153</v>
      </c>
      <c r="D45" s="12">
        <f t="shared" si="4"/>
        <v>48210855.100000001</v>
      </c>
      <c r="E45" s="8"/>
    </row>
    <row r="46" spans="1:5" x14ac:dyDescent="0.25">
      <c r="A46" s="17">
        <v>-100</v>
      </c>
      <c r="B46" s="19">
        <f>B20</f>
        <v>0.514219258128777</v>
      </c>
      <c r="C46" s="19">
        <f t="shared" si="3"/>
        <v>0.45854260911899247</v>
      </c>
      <c r="D46" s="12">
        <f t="shared" si="4"/>
        <v>452689948.80000001</v>
      </c>
      <c r="E46" s="8"/>
    </row>
    <row r="47" spans="1:5" x14ac:dyDescent="0.25">
      <c r="A47" s="17">
        <v>-75</v>
      </c>
      <c r="B47" s="19">
        <f>B21</f>
        <v>0.47347536459125</v>
      </c>
      <c r="C47" s="19">
        <f t="shared" si="3"/>
        <v>0.5076411201334865</v>
      </c>
      <c r="D47" s="12">
        <f t="shared" si="4"/>
        <v>1768846137</v>
      </c>
      <c r="E47" s="8">
        <f t="shared" si="5"/>
        <v>0.93269702908769003</v>
      </c>
    </row>
    <row r="48" spans="1:5" x14ac:dyDescent="0.25">
      <c r="A48" s="17">
        <v>-50</v>
      </c>
      <c r="B48" s="19">
        <f>B22</f>
        <v>0.56954574737923702</v>
      </c>
      <c r="C48" s="19">
        <f t="shared" si="3"/>
        <v>0.60104318475438501</v>
      </c>
      <c r="D48" s="12">
        <f t="shared" si="4"/>
        <v>3909506314.0999999</v>
      </c>
      <c r="E48" s="8">
        <f t="shared" si="5"/>
        <v>0.94759538386909858</v>
      </c>
    </row>
    <row r="49" spans="1:5" x14ac:dyDescent="0.25">
      <c r="A49" s="17">
        <v>-25</v>
      </c>
      <c r="B49" s="19">
        <f>B23</f>
        <v>0.53300753333866002</v>
      </c>
      <c r="C49" s="19">
        <f t="shared" si="3"/>
        <v>0.73725612884282943</v>
      </c>
      <c r="D49" s="12">
        <f t="shared" si="4"/>
        <v>4926868562</v>
      </c>
      <c r="E49" s="8">
        <f t="shared" si="5"/>
        <v>0.72296114265641898</v>
      </c>
    </row>
    <row r="50" spans="1:5" x14ac:dyDescent="0.25">
      <c r="A50" s="17">
        <v>0</v>
      </c>
      <c r="B50" s="19">
        <f>B24</f>
        <v>0.88449947281217201</v>
      </c>
      <c r="C50" s="19">
        <f t="shared" si="3"/>
        <v>0.82671566107145478</v>
      </c>
      <c r="D50" s="12">
        <f t="shared" si="4"/>
        <v>4406710463.8999996</v>
      </c>
      <c r="E50" s="8">
        <f t="shared" si="5"/>
        <v>1.0698956297329933</v>
      </c>
    </row>
    <row r="51" spans="1:5" x14ac:dyDescent="0.25">
      <c r="B51" s="17"/>
    </row>
    <row r="52" spans="1:5" x14ac:dyDescent="0.25">
      <c r="B52" s="17"/>
    </row>
    <row r="53" spans="1:5" x14ac:dyDescent="0.25">
      <c r="B53" s="17"/>
    </row>
    <row r="54" spans="1:5" x14ac:dyDescent="0.25">
      <c r="B54" s="17"/>
    </row>
    <row r="55" spans="1:5" x14ac:dyDescent="0.25">
      <c r="B55" s="17"/>
    </row>
    <row r="56" spans="1:5" x14ac:dyDescent="0.25">
      <c r="B56" s="17"/>
    </row>
    <row r="57" spans="1:5" x14ac:dyDescent="0.25">
      <c r="B57" s="1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44"/>
  <sheetViews>
    <sheetView workbookViewId="0">
      <selection activeCell="A5" sqref="A5:S13"/>
    </sheetView>
  </sheetViews>
  <sheetFormatPr defaultRowHeight="15" x14ac:dyDescent="0.25"/>
  <cols>
    <col min="1" max="1" width="13.140625" bestFit="1" customWidth="1"/>
    <col min="2" max="2" width="16.28515625" customWidth="1"/>
    <col min="3" max="3" width="11.7109375" bestFit="1" customWidth="1"/>
    <col min="4" max="4" width="12.140625" bestFit="1" customWidth="1"/>
    <col min="5" max="5" width="15" bestFit="1" customWidth="1"/>
    <col min="6" max="6" width="6.140625" customWidth="1"/>
    <col min="7" max="7" width="13.85546875" bestFit="1" customWidth="1"/>
    <col min="8" max="8" width="14.28515625" customWidth="1"/>
    <col min="9" max="9" width="11.7109375" customWidth="1"/>
    <col min="10" max="10" width="12.140625" customWidth="1"/>
    <col min="11" max="11" width="15" customWidth="1"/>
    <col min="12" max="12" width="6.140625" customWidth="1"/>
    <col min="13" max="13" width="13.85546875" customWidth="1"/>
    <col min="14" max="14" width="15.28515625" customWidth="1"/>
    <col min="15" max="15" width="11.7109375" customWidth="1"/>
    <col min="16" max="16" width="12.140625" customWidth="1"/>
    <col min="17" max="17" width="15" customWidth="1"/>
    <col min="18" max="18" width="6.140625" customWidth="1"/>
    <col min="19" max="19" width="13.85546875" customWidth="1"/>
    <col min="20" max="20" width="6.140625" customWidth="1"/>
    <col min="21" max="21" width="13.85546875" bestFit="1" customWidth="1"/>
    <col min="22" max="22" width="16" bestFit="1" customWidth="1"/>
  </cols>
  <sheetData>
    <row r="3" spans="1:19" x14ac:dyDescent="0.25">
      <c r="B3" s="2" t="s">
        <v>41</v>
      </c>
      <c r="E3" s="7"/>
      <c r="J3" s="7"/>
    </row>
    <row r="4" spans="1:19" x14ac:dyDescent="0.25">
      <c r="B4" s="17" t="s">
        <v>38</v>
      </c>
      <c r="H4" s="17" t="s">
        <v>39</v>
      </c>
      <c r="N4" s="17" t="s">
        <v>37</v>
      </c>
    </row>
    <row r="5" spans="1:19" x14ac:dyDescent="0.25">
      <c r="A5" s="2" t="s">
        <v>40</v>
      </c>
      <c r="B5" s="17" t="s">
        <v>44</v>
      </c>
      <c r="C5" s="17" t="s">
        <v>45</v>
      </c>
      <c r="D5" s="17" t="s">
        <v>46</v>
      </c>
      <c r="E5" s="17" t="s">
        <v>50</v>
      </c>
      <c r="F5" s="17" t="s">
        <v>47</v>
      </c>
      <c r="G5" s="17" t="s">
        <v>48</v>
      </c>
      <c r="H5" s="17" t="s">
        <v>44</v>
      </c>
      <c r="I5" s="17" t="s">
        <v>45</v>
      </c>
      <c r="J5" s="17" t="s">
        <v>46</v>
      </c>
      <c r="K5" s="17" t="s">
        <v>50</v>
      </c>
      <c r="L5" s="17" t="s">
        <v>47</v>
      </c>
      <c r="M5" s="17" t="s">
        <v>48</v>
      </c>
      <c r="N5" s="17" t="s">
        <v>44</v>
      </c>
      <c r="O5" s="17" t="s">
        <v>45</v>
      </c>
      <c r="P5" s="17" t="s">
        <v>46</v>
      </c>
      <c r="Q5" s="17" t="s">
        <v>50</v>
      </c>
      <c r="R5" s="17" t="s">
        <v>47</v>
      </c>
      <c r="S5" s="17" t="s">
        <v>48</v>
      </c>
    </row>
    <row r="6" spans="1:19" x14ac:dyDescent="0.25">
      <c r="A6" s="3">
        <v>-175</v>
      </c>
      <c r="B6" s="4"/>
      <c r="C6" s="10"/>
      <c r="D6" s="10"/>
      <c r="E6" s="10"/>
      <c r="F6" s="10"/>
      <c r="G6" s="10"/>
      <c r="H6" s="4"/>
      <c r="I6" s="10"/>
      <c r="J6" s="10"/>
      <c r="K6" s="10"/>
      <c r="L6" s="10"/>
      <c r="M6" s="10"/>
      <c r="N6" s="4">
        <v>1839290.5</v>
      </c>
      <c r="O6" s="10">
        <v>0</v>
      </c>
      <c r="P6" s="10">
        <v>0.39711931039383802</v>
      </c>
      <c r="Q6" s="10">
        <v>0.3971129566731863</v>
      </c>
      <c r="R6" s="10">
        <v>0</v>
      </c>
      <c r="S6" s="10">
        <v>0</v>
      </c>
    </row>
    <row r="7" spans="1:19" x14ac:dyDescent="0.25">
      <c r="A7" s="3">
        <v>-150</v>
      </c>
      <c r="B7" s="4">
        <v>2304704.2999999998</v>
      </c>
      <c r="C7" s="10">
        <v>0</v>
      </c>
      <c r="D7" s="10">
        <v>0.46275844123115001</v>
      </c>
      <c r="E7" s="10">
        <v>0.46274723272990337</v>
      </c>
      <c r="F7" s="10">
        <v>0</v>
      </c>
      <c r="G7" s="10">
        <v>0</v>
      </c>
      <c r="H7" s="4">
        <v>1765008.8</v>
      </c>
      <c r="I7" s="10">
        <v>2.0121542736784099E-4</v>
      </c>
      <c r="J7" s="10">
        <v>0.40346443215973599</v>
      </c>
      <c r="K7" s="10">
        <v>0.40345417516989052</v>
      </c>
      <c r="L7" s="10">
        <v>4.9871912200720979E-4</v>
      </c>
      <c r="M7" s="10">
        <v>4.9873180091174218E-4</v>
      </c>
      <c r="N7" s="4">
        <v>5283799.3</v>
      </c>
      <c r="O7" s="10">
        <v>5.5572375733499201E-5</v>
      </c>
      <c r="P7" s="10">
        <v>0.421137576547574</v>
      </c>
      <c r="Q7" s="10">
        <v>0.42113044301811342</v>
      </c>
      <c r="R7" s="10">
        <v>1.3195777063892906E-4</v>
      </c>
      <c r="S7" s="10">
        <v>1.3196000587188363E-4</v>
      </c>
    </row>
    <row r="8" spans="1:19" x14ac:dyDescent="0.25">
      <c r="A8" s="3">
        <v>-125</v>
      </c>
      <c r="B8" s="4">
        <v>58438926.899999999</v>
      </c>
      <c r="C8" s="10">
        <v>1.22674663901127E-2</v>
      </c>
      <c r="D8" s="10">
        <v>0.46438868286750301</v>
      </c>
      <c r="E8" s="10">
        <v>0.46437817066885162</v>
      </c>
      <c r="F8" s="10">
        <v>2.6416376717803846E-2</v>
      </c>
      <c r="G8" s="10">
        <v>2.6416974709305704E-2</v>
      </c>
      <c r="H8" s="4">
        <v>48210855.100000001</v>
      </c>
      <c r="I8" s="10">
        <v>0.99827087349131005</v>
      </c>
      <c r="J8" s="10">
        <v>0.41880196299350098</v>
      </c>
      <c r="K8" s="10">
        <v>0.41879116937157401</v>
      </c>
      <c r="L8" s="10">
        <v>2.3836346571919038</v>
      </c>
      <c r="M8" s="10">
        <v>2.3836960912745284</v>
      </c>
      <c r="N8" s="4">
        <v>110185918.2</v>
      </c>
      <c r="O8" s="10">
        <v>0.41510695537835102</v>
      </c>
      <c r="P8" s="10">
        <v>0.41536800614295299</v>
      </c>
      <c r="Q8" s="10">
        <v>0.41535789406306728</v>
      </c>
      <c r="R8" s="10">
        <v>0.99937151932565516</v>
      </c>
      <c r="S8" s="10">
        <v>0.99939584948714577</v>
      </c>
    </row>
    <row r="9" spans="1:19" x14ac:dyDescent="0.25">
      <c r="A9" s="3">
        <v>-100</v>
      </c>
      <c r="B9" s="4">
        <v>632344129.39999998</v>
      </c>
      <c r="C9" s="10">
        <v>0.373094352361517</v>
      </c>
      <c r="D9" s="10">
        <v>0.50426746657857702</v>
      </c>
      <c r="E9" s="10">
        <v>0.50425731103619709</v>
      </c>
      <c r="F9" s="10">
        <v>0.73987393018419112</v>
      </c>
      <c r="G9" s="10">
        <v>0.73988883095189306</v>
      </c>
      <c r="H9" s="4">
        <v>452689948.80000001</v>
      </c>
      <c r="I9" s="10">
        <v>0.514219258128777</v>
      </c>
      <c r="J9" s="10">
        <v>0.45854260911899197</v>
      </c>
      <c r="K9" s="10">
        <v>0.45853239929166473</v>
      </c>
      <c r="L9" s="10">
        <v>1.1214208841284299</v>
      </c>
      <c r="M9" s="10">
        <v>1.1214458540402743</v>
      </c>
      <c r="N9" s="4">
        <v>1290521526.8</v>
      </c>
      <c r="O9" s="10">
        <v>0.46846535216858298</v>
      </c>
      <c r="P9" s="10">
        <v>0.45580425016286003</v>
      </c>
      <c r="Q9" s="10">
        <v>0.45579465818025228</v>
      </c>
      <c r="R9" s="10">
        <v>1.0277774987863739</v>
      </c>
      <c r="S9" s="10">
        <v>1.0277991278768341</v>
      </c>
    </row>
    <row r="10" spans="1:19" x14ac:dyDescent="0.25">
      <c r="A10" s="5">
        <v>-75</v>
      </c>
      <c r="B10" s="6">
        <v>2810096626.3000002</v>
      </c>
      <c r="C10" s="11">
        <v>0.53143383739832994</v>
      </c>
      <c r="D10" s="11">
        <v>0.56182077401814901</v>
      </c>
      <c r="E10" s="11">
        <v>0.56137184140159802</v>
      </c>
      <c r="F10" s="11">
        <v>0.94591346916118579</v>
      </c>
      <c r="G10" s="11">
        <v>0.94666992215263102</v>
      </c>
      <c r="H10" s="6">
        <v>1768846137</v>
      </c>
      <c r="I10" s="11">
        <v>0.47347536459125</v>
      </c>
      <c r="J10" s="11">
        <v>0.50764112013348694</v>
      </c>
      <c r="K10" s="11">
        <v>0.50722986827421224</v>
      </c>
      <c r="L10" s="11">
        <v>0.93269702908768926</v>
      </c>
      <c r="M10" s="11">
        <v>0.93345324123398365</v>
      </c>
      <c r="N10" s="6">
        <v>5161209539.1000004</v>
      </c>
      <c r="O10" s="11">
        <v>0.52455306974748195</v>
      </c>
      <c r="P10" s="11">
        <v>0.50774887901402799</v>
      </c>
      <c r="Q10" s="11">
        <v>0.5074258155464606</v>
      </c>
      <c r="R10" s="11">
        <v>1.0330954757912714</v>
      </c>
      <c r="S10" s="11">
        <v>1.0337532180592282</v>
      </c>
    </row>
    <row r="11" spans="1:19" x14ac:dyDescent="0.25">
      <c r="A11" s="3">
        <v>-50</v>
      </c>
      <c r="B11" s="4">
        <v>6113073054.3000002</v>
      </c>
      <c r="C11" s="10">
        <v>0.67262927227810998</v>
      </c>
      <c r="D11" s="10">
        <v>0.66520198430792599</v>
      </c>
      <c r="E11" s="10">
        <v>0.63114373160420179</v>
      </c>
      <c r="F11" s="10">
        <v>1.0111654627397291</v>
      </c>
      <c r="G11" s="10">
        <v>1.0657307338986999</v>
      </c>
      <c r="H11" s="4">
        <v>3909506314.0999999</v>
      </c>
      <c r="I11" s="10">
        <v>0.56954574737923702</v>
      </c>
      <c r="J11" s="10">
        <v>0.60104318475438501</v>
      </c>
      <c r="K11" s="10">
        <v>0.56665283575428749</v>
      </c>
      <c r="L11" s="10">
        <v>0.94759538386909858</v>
      </c>
      <c r="M11" s="10">
        <v>1.0051052627683381</v>
      </c>
      <c r="N11" s="4">
        <v>11642768878.4</v>
      </c>
      <c r="O11" s="10">
        <v>0.59950006507356501</v>
      </c>
      <c r="P11" s="10">
        <v>0.59665509497139402</v>
      </c>
      <c r="Q11" s="10">
        <v>0.56308132452027393</v>
      </c>
      <c r="R11" s="10">
        <v>1.0047681987904711</v>
      </c>
      <c r="S11" s="10">
        <v>1.0646775855766812</v>
      </c>
    </row>
    <row r="12" spans="1:19" x14ac:dyDescent="0.25">
      <c r="A12" s="3">
        <v>-25</v>
      </c>
      <c r="B12" s="4">
        <v>6289507041.8000002</v>
      </c>
      <c r="C12" s="10">
        <v>0.877772756865422</v>
      </c>
      <c r="D12" s="10">
        <v>0.81108828475794703</v>
      </c>
      <c r="E12" s="10">
        <v>0.7005987155501</v>
      </c>
      <c r="F12" s="10">
        <v>1.0822160464657378</v>
      </c>
      <c r="G12" s="10">
        <v>1.2528894749346029</v>
      </c>
      <c r="H12" s="4">
        <v>4926868562</v>
      </c>
      <c r="I12" s="10">
        <v>0.53300753333866002</v>
      </c>
      <c r="J12" s="10">
        <v>0.73725612884282898</v>
      </c>
      <c r="K12" s="10">
        <v>0.62735452635764599</v>
      </c>
      <c r="L12" s="10">
        <v>0.72296114265641942</v>
      </c>
      <c r="M12" s="10">
        <v>0.84961136159046369</v>
      </c>
      <c r="N12" s="4">
        <v>13066329059.9</v>
      </c>
      <c r="O12" s="10">
        <v>0.74569711503826697</v>
      </c>
      <c r="P12" s="10">
        <v>0.73111543207520802</v>
      </c>
      <c r="Q12" s="10">
        <v>0.62599865463067506</v>
      </c>
      <c r="R12" s="10">
        <v>1.0199444332910197</v>
      </c>
      <c r="S12" s="10">
        <v>1.1912120090389193</v>
      </c>
    </row>
    <row r="13" spans="1:19" x14ac:dyDescent="0.25">
      <c r="A13" s="3">
        <v>0</v>
      </c>
      <c r="B13" s="4">
        <v>5301984306.6000004</v>
      </c>
      <c r="C13" s="10">
        <v>0.74099615512200501</v>
      </c>
      <c r="D13" s="10">
        <v>0.90187265634479397</v>
      </c>
      <c r="E13" s="10">
        <v>0.71660025059348897</v>
      </c>
      <c r="F13" s="10">
        <v>0.821619493516073</v>
      </c>
      <c r="G13" s="10">
        <v>1.0340439519917992</v>
      </c>
      <c r="H13" s="4">
        <v>4406710463.8999996</v>
      </c>
      <c r="I13" s="10">
        <v>0.88449947281217201</v>
      </c>
      <c r="J13" s="10">
        <v>0.826715661071455</v>
      </c>
      <c r="K13" s="10"/>
      <c r="L13" s="10">
        <v>1.0698956297329931</v>
      </c>
      <c r="M13" s="10"/>
      <c r="N13" s="4">
        <v>11056448407.700001</v>
      </c>
      <c r="O13" s="10">
        <v>0.87314315969019396</v>
      </c>
      <c r="P13" s="10">
        <v>0.81835398844049501</v>
      </c>
      <c r="Q13" s="10">
        <v>0.64950757141856896</v>
      </c>
      <c r="R13" s="10">
        <v>1.0669504542332695</v>
      </c>
      <c r="S13" s="10">
        <v>1.3443155986360398</v>
      </c>
    </row>
    <row r="14" spans="1:19" x14ac:dyDescent="0.25">
      <c r="A14" s="3">
        <v>-200</v>
      </c>
      <c r="B14" s="4"/>
      <c r="C14" s="10"/>
      <c r="D14" s="10"/>
      <c r="E14" s="10"/>
      <c r="F14" s="10"/>
      <c r="G14" s="10"/>
      <c r="H14" s="4"/>
      <c r="I14" s="10"/>
      <c r="J14" s="10"/>
      <c r="K14" s="10"/>
      <c r="L14" s="10"/>
      <c r="M14" s="10"/>
      <c r="N14" s="4">
        <v>256666.2</v>
      </c>
      <c r="O14" s="10">
        <v>0</v>
      </c>
      <c r="P14" s="10">
        <v>0.39154506430659303</v>
      </c>
      <c r="Q14" s="10">
        <v>0.39153797628785453</v>
      </c>
      <c r="R14" s="10">
        <v>0</v>
      </c>
      <c r="S14" s="10">
        <v>0</v>
      </c>
    </row>
    <row r="37" spans="6:13" x14ac:dyDescent="0.25">
      <c r="F37" s="12"/>
    </row>
    <row r="38" spans="6:13" x14ac:dyDescent="0.25">
      <c r="F38" s="12"/>
      <c r="M38" s="8"/>
    </row>
    <row r="39" spans="6:13" x14ac:dyDescent="0.25">
      <c r="F39" s="12"/>
      <c r="M39" s="8"/>
    </row>
    <row r="40" spans="6:13" x14ac:dyDescent="0.25">
      <c r="F40" s="12"/>
      <c r="M40" s="8"/>
    </row>
    <row r="41" spans="6:13" x14ac:dyDescent="0.25">
      <c r="F41" s="12"/>
      <c r="L41" s="13"/>
      <c r="M41" s="9"/>
    </row>
    <row r="42" spans="6:13" x14ac:dyDescent="0.25">
      <c r="F42" s="12"/>
      <c r="M42" s="8"/>
    </row>
    <row r="43" spans="6:13" x14ac:dyDescent="0.25">
      <c r="F43" s="12"/>
      <c r="M43" s="8"/>
    </row>
    <row r="44" spans="6:13" x14ac:dyDescent="0.25">
      <c r="F44" s="12"/>
      <c r="M44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"/>
  <sheetViews>
    <sheetView tabSelected="1" workbookViewId="0">
      <selection activeCell="F56" sqref="F56"/>
    </sheetView>
  </sheetViews>
  <sheetFormatPr defaultRowHeight="15" x14ac:dyDescent="0.25"/>
  <cols>
    <col min="2" max="2" width="15.85546875" style="14" bestFit="1" customWidth="1"/>
    <col min="8" max="8" width="15.85546875" style="14" bestFit="1" customWidth="1"/>
    <col min="14" max="14" width="15.85546875" style="14" bestFit="1" customWidth="1"/>
    <col min="21" max="21" width="9.7109375" bestFit="1" customWidth="1"/>
    <col min="22" max="22" width="10.140625" customWidth="1"/>
  </cols>
  <sheetData>
    <row r="1" spans="1:23" x14ac:dyDescent="0.25">
      <c r="A1" s="15" t="s">
        <v>40</v>
      </c>
      <c r="B1" s="15" t="s">
        <v>44</v>
      </c>
      <c r="C1" s="15" t="s">
        <v>45</v>
      </c>
      <c r="D1" s="15" t="s">
        <v>46</v>
      </c>
      <c r="E1" s="15" t="s">
        <v>50</v>
      </c>
      <c r="F1" s="15" t="s">
        <v>47</v>
      </c>
      <c r="G1" s="15" t="s">
        <v>48</v>
      </c>
      <c r="H1" s="15" t="s">
        <v>44</v>
      </c>
      <c r="I1" s="15" t="s">
        <v>45</v>
      </c>
      <c r="J1" s="15" t="s">
        <v>46</v>
      </c>
      <c r="K1" s="15" t="s">
        <v>50</v>
      </c>
      <c r="L1" s="15" t="s">
        <v>47</v>
      </c>
      <c r="M1" s="15" t="s">
        <v>48</v>
      </c>
      <c r="N1" s="15" t="s">
        <v>44</v>
      </c>
      <c r="O1" s="15" t="s">
        <v>45</v>
      </c>
      <c r="P1" s="15" t="s">
        <v>46</v>
      </c>
      <c r="Q1" s="15" t="s">
        <v>50</v>
      </c>
      <c r="R1" s="15" t="s">
        <v>47</v>
      </c>
      <c r="S1" s="15" t="s">
        <v>48</v>
      </c>
    </row>
    <row r="2" spans="1:23" x14ac:dyDescent="0.25">
      <c r="A2" s="3">
        <v>-175</v>
      </c>
      <c r="B2" s="4"/>
      <c r="C2" s="10"/>
      <c r="D2" s="10"/>
      <c r="E2" s="10"/>
      <c r="F2" s="10"/>
      <c r="G2" s="10"/>
      <c r="H2" s="4"/>
      <c r="I2" s="10"/>
      <c r="J2" s="10"/>
      <c r="K2" s="10"/>
      <c r="L2" s="10"/>
      <c r="M2" s="10"/>
      <c r="N2" s="4">
        <v>1839290.5</v>
      </c>
      <c r="O2" s="10">
        <v>0</v>
      </c>
      <c r="P2" s="10">
        <v>0.39711931039383802</v>
      </c>
      <c r="Q2" s="10">
        <v>0.3971129566731863</v>
      </c>
      <c r="R2" s="10">
        <v>0</v>
      </c>
      <c r="S2" s="10">
        <v>0</v>
      </c>
    </row>
    <row r="3" spans="1:23" x14ac:dyDescent="0.25">
      <c r="A3" s="3">
        <v>-150</v>
      </c>
      <c r="B3" s="4">
        <v>2304704.2999999998</v>
      </c>
      <c r="C3" s="10">
        <v>0</v>
      </c>
      <c r="D3" s="10">
        <v>0.46275844123115001</v>
      </c>
      <c r="E3" s="10">
        <v>0.46274723272990337</v>
      </c>
      <c r="F3" s="10">
        <v>0</v>
      </c>
      <c r="G3" s="10">
        <v>0</v>
      </c>
      <c r="H3" s="4">
        <v>1765008.8</v>
      </c>
      <c r="I3" s="10">
        <v>2.0121542736784099E-4</v>
      </c>
      <c r="J3" s="10">
        <v>0.40346443215973599</v>
      </c>
      <c r="K3" s="10">
        <v>0.40345417516989052</v>
      </c>
      <c r="L3" s="10">
        <v>4.9871912200720979E-4</v>
      </c>
      <c r="M3" s="10">
        <v>4.9873180091174218E-4</v>
      </c>
      <c r="N3" s="4">
        <v>5283799.3</v>
      </c>
      <c r="O3" s="10">
        <v>5.5572375733499201E-5</v>
      </c>
      <c r="P3" s="10">
        <v>0.421137576547574</v>
      </c>
      <c r="Q3" s="10">
        <v>0.42113044301811342</v>
      </c>
      <c r="R3" s="10">
        <v>1.3195777063892906E-4</v>
      </c>
      <c r="S3" s="10">
        <v>1.3196000587188363E-4</v>
      </c>
    </row>
    <row r="4" spans="1:23" x14ac:dyDescent="0.25">
      <c r="A4" s="3">
        <v>-125</v>
      </c>
      <c r="B4" s="4">
        <v>58438926.899999999</v>
      </c>
      <c r="C4" s="10">
        <v>1.22674663901127E-2</v>
      </c>
      <c r="D4" s="10">
        <v>0.46438868286750301</v>
      </c>
      <c r="E4" s="10">
        <v>0.46437817066885162</v>
      </c>
      <c r="F4" s="10">
        <v>2.6416376717803846E-2</v>
      </c>
      <c r="G4" s="10">
        <v>2.6416974709305704E-2</v>
      </c>
      <c r="H4" s="4">
        <v>48210855.100000001</v>
      </c>
      <c r="I4" s="10">
        <v>0.99827087349131005</v>
      </c>
      <c r="J4" s="10">
        <v>0.41880196299350098</v>
      </c>
      <c r="K4" s="10">
        <v>0.41879116937157401</v>
      </c>
      <c r="L4" s="10">
        <v>2.3836346571919038</v>
      </c>
      <c r="M4" s="10">
        <v>2.3836960912745284</v>
      </c>
      <c r="N4" s="4">
        <v>110185918.2</v>
      </c>
      <c r="O4" s="10">
        <v>0.41510695537835102</v>
      </c>
      <c r="P4" s="10">
        <v>0.41536800614295299</v>
      </c>
      <c r="Q4" s="10">
        <v>0.41535789406306728</v>
      </c>
      <c r="R4" s="10">
        <v>0.99937151932565516</v>
      </c>
      <c r="S4" s="10">
        <v>0.99939584948714577</v>
      </c>
    </row>
    <row r="5" spans="1:23" x14ac:dyDescent="0.25">
      <c r="A5" s="3">
        <v>-100</v>
      </c>
      <c r="B5" s="4">
        <v>632344129.39999998</v>
      </c>
      <c r="C5" s="10">
        <v>0.373094352361517</v>
      </c>
      <c r="D5" s="10">
        <v>0.50426746657857702</v>
      </c>
      <c r="E5" s="10">
        <v>0.50425731103619709</v>
      </c>
      <c r="F5" s="10">
        <v>0.73987393018419112</v>
      </c>
      <c r="G5" s="10">
        <v>0.73988883095189306</v>
      </c>
      <c r="H5" s="4">
        <v>452689948.80000001</v>
      </c>
      <c r="I5" s="10">
        <v>0.514219258128777</v>
      </c>
      <c r="J5" s="10">
        <v>0.45854260911899197</v>
      </c>
      <c r="K5" s="10">
        <v>0.45853239929166473</v>
      </c>
      <c r="L5" s="10">
        <v>1.1214208841284299</v>
      </c>
      <c r="M5" s="10">
        <v>1.1214458540402743</v>
      </c>
      <c r="N5" s="4">
        <v>1290521526.8</v>
      </c>
      <c r="O5" s="10">
        <v>0.46846535216858298</v>
      </c>
      <c r="P5" s="10">
        <v>0.45580425016286003</v>
      </c>
      <c r="Q5" s="10">
        <v>0.45579465818025228</v>
      </c>
      <c r="R5" s="10">
        <v>1.0277774987863739</v>
      </c>
      <c r="S5" s="10">
        <v>1.0277991278768341</v>
      </c>
    </row>
    <row r="6" spans="1:23" x14ac:dyDescent="0.25">
      <c r="A6" s="5">
        <v>-75</v>
      </c>
      <c r="B6" s="6">
        <v>2810096626.3000002</v>
      </c>
      <c r="C6" s="11">
        <v>0.53143383739832994</v>
      </c>
      <c r="D6" s="11">
        <v>0.56182077401814901</v>
      </c>
      <c r="E6" s="11">
        <v>0.56137184140159802</v>
      </c>
      <c r="F6" s="11">
        <v>0.94591346916118579</v>
      </c>
      <c r="G6" s="11">
        <v>0.94666992215263102</v>
      </c>
      <c r="H6" s="6">
        <v>1768846137</v>
      </c>
      <c r="I6" s="11">
        <v>0.47347536459125</v>
      </c>
      <c r="J6" s="11">
        <v>0.50764112013348694</v>
      </c>
      <c r="K6" s="11">
        <v>0.50722986827421224</v>
      </c>
      <c r="L6" s="11">
        <v>0.93269702908768926</v>
      </c>
      <c r="M6" s="11">
        <v>0.93345324123398365</v>
      </c>
      <c r="N6" s="6">
        <v>5161209539.1000004</v>
      </c>
      <c r="O6" s="11">
        <v>0.52455306974748195</v>
      </c>
      <c r="P6" s="11">
        <v>0.50774887901402799</v>
      </c>
      <c r="Q6" s="11">
        <v>0.5074258155464606</v>
      </c>
      <c r="R6" s="11">
        <v>1.0330954757912714</v>
      </c>
      <c r="S6" s="11">
        <v>1.0337532180592282</v>
      </c>
    </row>
    <row r="7" spans="1:23" x14ac:dyDescent="0.25">
      <c r="A7" s="3">
        <v>-50</v>
      </c>
      <c r="B7" s="4">
        <v>6113073054.3000002</v>
      </c>
      <c r="C7" s="10">
        <v>0.67262927227810998</v>
      </c>
      <c r="D7" s="10">
        <v>0.66520198430792599</v>
      </c>
      <c r="E7" s="10">
        <v>0.63114373160420179</v>
      </c>
      <c r="F7" s="10">
        <v>1.0111654627397291</v>
      </c>
      <c r="G7" s="10">
        <v>1.0657307338986999</v>
      </c>
      <c r="H7" s="4">
        <v>3909506314.0999999</v>
      </c>
      <c r="I7" s="10">
        <v>0.56954574737923702</v>
      </c>
      <c r="J7" s="10">
        <v>0.60104318475438501</v>
      </c>
      <c r="K7" s="10">
        <v>0.56665283575428749</v>
      </c>
      <c r="L7" s="10">
        <v>0.94759538386909858</v>
      </c>
      <c r="M7" s="10">
        <v>1.0051052627683381</v>
      </c>
      <c r="N7" s="4">
        <v>11642768878.4</v>
      </c>
      <c r="O7" s="10">
        <v>0.59950006507356501</v>
      </c>
      <c r="P7" s="10">
        <v>0.59665509497139402</v>
      </c>
      <c r="Q7" s="10">
        <v>0.56308132452027393</v>
      </c>
      <c r="R7" s="10">
        <v>1.0047681987904711</v>
      </c>
      <c r="S7" s="10">
        <v>1.0646775855766812</v>
      </c>
    </row>
    <row r="8" spans="1:23" x14ac:dyDescent="0.25">
      <c r="A8" s="3">
        <v>-25</v>
      </c>
      <c r="B8" s="4">
        <v>6289507041.8000002</v>
      </c>
      <c r="C8" s="10">
        <v>0.877772756865422</v>
      </c>
      <c r="D8" s="10">
        <v>0.81108828475794703</v>
      </c>
      <c r="E8" s="10">
        <v>0.7005987155501</v>
      </c>
      <c r="F8" s="10">
        <v>1.0822160464657378</v>
      </c>
      <c r="G8" s="10">
        <v>1.2528894749346029</v>
      </c>
      <c r="H8" s="4">
        <v>4926868562</v>
      </c>
      <c r="I8" s="10">
        <v>0.53300753333866002</v>
      </c>
      <c r="J8" s="10">
        <v>0.73725612884282898</v>
      </c>
      <c r="K8" s="10">
        <v>0.62735452635764599</v>
      </c>
      <c r="L8" s="10">
        <v>0.72296114265641942</v>
      </c>
      <c r="M8" s="10">
        <v>0.84961136159046369</v>
      </c>
      <c r="N8" s="4">
        <v>13066329059.9</v>
      </c>
      <c r="O8" s="10">
        <v>0.74569711503826697</v>
      </c>
      <c r="P8" s="10">
        <v>0.73111543207520802</v>
      </c>
      <c r="Q8" s="10">
        <v>0.62599865463067506</v>
      </c>
      <c r="R8" s="10">
        <v>1.0199444332910197</v>
      </c>
      <c r="S8" s="10">
        <v>1.1912120090389193</v>
      </c>
    </row>
    <row r="9" spans="1:23" x14ac:dyDescent="0.25">
      <c r="A9" s="3">
        <v>0</v>
      </c>
      <c r="B9" s="4">
        <v>5301984306.6000004</v>
      </c>
      <c r="C9" s="10">
        <v>0.74099615512200501</v>
      </c>
      <c r="D9" s="10">
        <v>0.90187265634479397</v>
      </c>
      <c r="E9" s="10">
        <v>0.71660025059348897</v>
      </c>
      <c r="F9" s="10">
        <v>0.821619493516073</v>
      </c>
      <c r="G9" s="10">
        <v>1.0340439519917992</v>
      </c>
      <c r="H9" s="4">
        <v>4406710463.8999996</v>
      </c>
      <c r="I9" s="10">
        <v>0.88449947281217201</v>
      </c>
      <c r="J9" s="10">
        <v>0.826715661071455</v>
      </c>
      <c r="K9" s="10"/>
      <c r="L9" s="10">
        <v>1.0698956297329931</v>
      </c>
      <c r="M9" s="10"/>
      <c r="N9" s="4">
        <v>11056448407.700001</v>
      </c>
      <c r="O9" s="10">
        <v>0.87314315969019396</v>
      </c>
      <c r="P9" s="10">
        <v>0.81835398844049501</v>
      </c>
      <c r="Q9" s="10">
        <v>0.64950757141856896</v>
      </c>
      <c r="R9" s="10">
        <v>1.0669504542332695</v>
      </c>
      <c r="S9" s="10">
        <v>1.3443155986360398</v>
      </c>
    </row>
    <row r="11" spans="1:23" x14ac:dyDescent="0.25">
      <c r="U11" t="s">
        <v>56</v>
      </c>
    </row>
    <row r="12" spans="1:23" x14ac:dyDescent="0.25">
      <c r="C12" t="s">
        <v>51</v>
      </c>
      <c r="D12" t="s">
        <v>52</v>
      </c>
      <c r="E12" t="s">
        <v>53</v>
      </c>
      <c r="I12" t="s">
        <v>51</v>
      </c>
      <c r="J12" t="s">
        <v>52</v>
      </c>
      <c r="K12" t="s">
        <v>53</v>
      </c>
      <c r="O12" t="s">
        <v>51</v>
      </c>
      <c r="P12" t="s">
        <v>52</v>
      </c>
      <c r="Q12" t="s">
        <v>53</v>
      </c>
      <c r="U12" s="17" t="s">
        <v>51</v>
      </c>
      <c r="V12" s="17" t="s">
        <v>52</v>
      </c>
      <c r="W12" s="17" t="s">
        <v>53</v>
      </c>
    </row>
    <row r="13" spans="1:23" x14ac:dyDescent="0.25">
      <c r="A13">
        <v>-175</v>
      </c>
      <c r="C13" s="19">
        <f t="shared" ref="C13:D20" si="0">100*(1-(1-C2/100)^12)</f>
        <v>0</v>
      </c>
      <c r="D13" s="19">
        <f t="shared" si="0"/>
        <v>0</v>
      </c>
      <c r="E13" s="19"/>
      <c r="F13" s="19"/>
      <c r="G13" s="19"/>
      <c r="H13" s="19"/>
      <c r="I13" s="19">
        <f t="shared" ref="I13" si="1">100*(1-(1-I2/100)^12)</f>
        <v>0</v>
      </c>
      <c r="J13" s="19"/>
      <c r="K13" s="19"/>
      <c r="L13" s="19"/>
      <c r="M13" s="19"/>
      <c r="N13" s="19"/>
      <c r="O13" s="19">
        <f t="shared" ref="O13:P20" si="2">100*(1-(1-O2/100)^12)</f>
        <v>0</v>
      </c>
      <c r="P13" s="19"/>
      <c r="Q13" s="19"/>
    </row>
    <row r="14" spans="1:23" x14ac:dyDescent="0.25">
      <c r="A14">
        <v>-150</v>
      </c>
      <c r="C14" s="19">
        <f t="shared" si="0"/>
        <v>0</v>
      </c>
      <c r="D14" s="19">
        <f t="shared" si="0"/>
        <v>5.4139229614165174</v>
      </c>
      <c r="E14" s="19">
        <f t="shared" ref="E14:E20" si="3">C3/D3</f>
        <v>0</v>
      </c>
      <c r="F14" s="19"/>
      <c r="G14" s="19"/>
      <c r="H14" s="19"/>
      <c r="I14" s="19">
        <f t="shared" ref="I14" si="4">100*(1-(1-I3/100)^12)</f>
        <v>2.414558406704792E-3</v>
      </c>
      <c r="J14" s="19">
        <f>100*(1-(1-J3/100)^12)</f>
        <v>4.7355679139315932</v>
      </c>
      <c r="K14" s="19">
        <f t="shared" ref="K14:K20" si="5">I3/J3</f>
        <v>4.9871912200720979E-4</v>
      </c>
      <c r="L14" s="19"/>
      <c r="M14" s="19"/>
      <c r="N14" s="19"/>
      <c r="O14" s="19">
        <f t="shared" si="2"/>
        <v>6.6686647051117376E-4</v>
      </c>
      <c r="P14" s="19">
        <f>100*(1-(1-P3/100)^12)</f>
        <v>4.9382231420181384</v>
      </c>
      <c r="Q14" s="19">
        <f t="shared" ref="Q14:Q20" si="6">O3/P3</f>
        <v>1.3195777063892906E-4</v>
      </c>
      <c r="S14" s="16"/>
      <c r="U14" s="19">
        <f>(C14*$B3+I14*$H3+O14*$N3)/($B3+$H3+$N3)</f>
        <v>8.3234031164895327E-4</v>
      </c>
      <c r="V14" s="19">
        <f>(D14*$B3+J14*$H3+P14*$N3)/($B3+$H3+$N3)</f>
        <v>5.0171944553333283</v>
      </c>
      <c r="W14" s="19">
        <f>U14/V14</f>
        <v>1.658975586972052E-4</v>
      </c>
    </row>
    <row r="15" spans="1:23" x14ac:dyDescent="0.25">
      <c r="A15">
        <v>-125</v>
      </c>
      <c r="C15" s="19">
        <f t="shared" si="0"/>
        <v>0.14711031340234326</v>
      </c>
      <c r="D15" s="19">
        <f t="shared" si="0"/>
        <v>5.4325110921493724</v>
      </c>
      <c r="E15" s="19">
        <f t="shared" si="3"/>
        <v>2.6416376717803846E-2</v>
      </c>
      <c r="F15" s="19"/>
      <c r="G15" s="19"/>
      <c r="H15" s="19"/>
      <c r="I15" s="19">
        <f t="shared" ref="I15:J15" si="7">100*(1-(1-I4/100)^12)</f>
        <v>11.342933206331962</v>
      </c>
      <c r="J15" s="19">
        <f t="shared" si="7"/>
        <v>4.9114637017098399</v>
      </c>
      <c r="K15" s="19">
        <f t="shared" si="5"/>
        <v>2.3836346571919038</v>
      </c>
      <c r="L15" s="19"/>
      <c r="M15" s="19"/>
      <c r="N15" s="19"/>
      <c r="O15" s="19">
        <f t="shared" si="2"/>
        <v>4.8691153967289509</v>
      </c>
      <c r="P15" s="19">
        <f t="shared" si="2"/>
        <v>4.8721078544835201</v>
      </c>
      <c r="Q15" s="19">
        <f t="shared" si="6"/>
        <v>0.99937151932565516</v>
      </c>
      <c r="S15" s="16"/>
      <c r="T15" s="16"/>
      <c r="U15" s="19">
        <f t="shared" ref="U15:V20" si="8">(C15*$B4+I15*$H4+O15*$N4)/($B4+$H4+$N4)</f>
        <v>5.035874756203734</v>
      </c>
      <c r="V15" s="19">
        <f t="shared" si="8"/>
        <v>5.0318912428115832</v>
      </c>
      <c r="W15" s="19">
        <f t="shared" ref="W15:W20" si="9">U15/V15</f>
        <v>1.0007916533168004</v>
      </c>
    </row>
    <row r="16" spans="1:23" x14ac:dyDescent="0.25">
      <c r="A16">
        <v>-100</v>
      </c>
      <c r="C16" s="19">
        <f t="shared" si="0"/>
        <v>4.3863936519726421</v>
      </c>
      <c r="D16" s="19">
        <f t="shared" si="0"/>
        <v>5.8861703168765818</v>
      </c>
      <c r="E16" s="19">
        <f t="shared" si="3"/>
        <v>0.73987393018419112</v>
      </c>
      <c r="F16" s="19"/>
      <c r="G16" s="19"/>
      <c r="H16" s="19"/>
      <c r="I16" s="19">
        <f t="shared" ref="I16:J16" si="10">100*(1-(1-I5/100)^12)</f>
        <v>5.9990699700446353</v>
      </c>
      <c r="J16" s="19">
        <f t="shared" si="10"/>
        <v>5.3658382142529941</v>
      </c>
      <c r="K16" s="19">
        <f t="shared" si="5"/>
        <v>1.1214208841284299</v>
      </c>
      <c r="L16" s="19"/>
      <c r="M16" s="19"/>
      <c r="N16" s="19"/>
      <c r="O16" s="19">
        <f t="shared" si="2"/>
        <v>5.4789789091114427</v>
      </c>
      <c r="P16" s="19">
        <f t="shared" si="2"/>
        <v>5.3345931603004937</v>
      </c>
      <c r="Q16" s="19">
        <f t="shared" si="6"/>
        <v>1.0277774987863739</v>
      </c>
      <c r="S16" s="16"/>
      <c r="T16" s="16"/>
      <c r="U16" s="19">
        <f t="shared" si="8"/>
        <v>5.2872553912460187</v>
      </c>
      <c r="V16" s="19">
        <f t="shared" si="8"/>
        <v>5.4873704297452317</v>
      </c>
      <c r="W16" s="19">
        <f t="shared" si="9"/>
        <v>0.96353170593068493</v>
      </c>
    </row>
    <row r="17" spans="1:23" x14ac:dyDescent="0.25">
      <c r="A17">
        <v>-75</v>
      </c>
      <c r="C17" s="19">
        <f t="shared" si="0"/>
        <v>6.1940703790964724</v>
      </c>
      <c r="D17" s="19">
        <f t="shared" si="0"/>
        <v>6.5373776677916107</v>
      </c>
      <c r="E17" s="19">
        <f t="shared" si="3"/>
        <v>0.94591346916118579</v>
      </c>
      <c r="F17" s="19"/>
      <c r="G17" s="19"/>
      <c r="H17" s="19"/>
      <c r="I17" s="19">
        <f t="shared" ref="I17:J17" si="11">100*(1-(1-I6/100)^12)</f>
        <v>5.5360567482428795</v>
      </c>
      <c r="J17" s="19">
        <f t="shared" si="11"/>
        <v>5.9244571750910469</v>
      </c>
      <c r="K17" s="19">
        <f t="shared" si="5"/>
        <v>0.93269702908768926</v>
      </c>
      <c r="L17" s="19"/>
      <c r="M17" s="19"/>
      <c r="N17" s="19"/>
      <c r="O17" s="19">
        <f t="shared" si="2"/>
        <v>6.1161721090353343</v>
      </c>
      <c r="P17" s="19">
        <f t="shared" si="2"/>
        <v>5.9256798717773007</v>
      </c>
      <c r="Q17" s="19">
        <f t="shared" si="6"/>
        <v>1.0330954757912714</v>
      </c>
      <c r="S17" s="16"/>
      <c r="T17" s="16"/>
      <c r="U17" s="19">
        <f t="shared" si="8"/>
        <v>6.0332952582431982</v>
      </c>
      <c r="V17" s="19">
        <f t="shared" si="8"/>
        <v>6.1019365767326983</v>
      </c>
      <c r="W17" s="19">
        <f t="shared" si="9"/>
        <v>0.98875089610874745</v>
      </c>
    </row>
    <row r="18" spans="1:23" x14ac:dyDescent="0.25">
      <c r="A18">
        <v>-50</v>
      </c>
      <c r="C18" s="19">
        <f t="shared" si="0"/>
        <v>7.7795421257919939</v>
      </c>
      <c r="D18" s="19">
        <f t="shared" si="0"/>
        <v>7.6967577340405597</v>
      </c>
      <c r="E18" s="19">
        <f t="shared" si="3"/>
        <v>1.0111654627397291</v>
      </c>
      <c r="F18" s="19"/>
      <c r="G18" s="19"/>
      <c r="H18" s="19"/>
      <c r="I18" s="19">
        <f t="shared" ref="I18:J18" si="12">100*(1-(1-I7/100)^12)</f>
        <v>6.6244695107428697</v>
      </c>
      <c r="J18" s="19">
        <f t="shared" si="12"/>
        <v>6.9788041432648606</v>
      </c>
      <c r="K18" s="19">
        <f t="shared" si="5"/>
        <v>0.94759538386909858</v>
      </c>
      <c r="L18" s="19"/>
      <c r="M18" s="19"/>
      <c r="N18" s="19"/>
      <c r="O18" s="19">
        <f t="shared" si="2"/>
        <v>6.9614733664035704</v>
      </c>
      <c r="P18" s="19">
        <f t="shared" si="2"/>
        <v>6.9295137487618614</v>
      </c>
      <c r="Q18" s="19">
        <f t="shared" si="6"/>
        <v>1.0047681987904711</v>
      </c>
      <c r="S18" s="16"/>
      <c r="T18" s="16"/>
      <c r="U18" s="19">
        <f t="shared" si="8"/>
        <v>7.13148657579403</v>
      </c>
      <c r="V18" s="19">
        <f t="shared" si="8"/>
        <v>7.1548929850146701</v>
      </c>
      <c r="W18" s="19">
        <f t="shared" si="9"/>
        <v>0.99672861505131338</v>
      </c>
    </row>
    <row r="19" spans="1:23" x14ac:dyDescent="0.25">
      <c r="A19">
        <v>-25</v>
      </c>
      <c r="C19" s="19">
        <f t="shared" si="0"/>
        <v>10.039342040310695</v>
      </c>
      <c r="D19" s="19">
        <f t="shared" si="0"/>
        <v>9.3103964575350631</v>
      </c>
      <c r="E19" s="19">
        <f t="shared" si="3"/>
        <v>1.0822160464657378</v>
      </c>
      <c r="F19" s="19"/>
      <c r="G19" s="19"/>
      <c r="H19" s="19"/>
      <c r="I19" s="19">
        <f t="shared" ref="I19:J19" si="13">100*(1-(1-I8/100)^12)</f>
        <v>6.2118781153364893</v>
      </c>
      <c r="J19" s="19">
        <f t="shared" si="13"/>
        <v>8.4970043839210252</v>
      </c>
      <c r="K19" s="19">
        <f t="shared" si="5"/>
        <v>0.72296114265641942</v>
      </c>
      <c r="L19" s="19"/>
      <c r="M19" s="19"/>
      <c r="N19" s="19"/>
      <c r="O19" s="19">
        <f t="shared" si="2"/>
        <v>8.5903341896324434</v>
      </c>
      <c r="P19" s="19">
        <f t="shared" si="2"/>
        <v>8.4290534066747806</v>
      </c>
      <c r="Q19" s="19">
        <f t="shared" si="6"/>
        <v>1.0199444332910197</v>
      </c>
      <c r="S19" s="16"/>
      <c r="T19" s="16"/>
      <c r="U19" s="19">
        <f t="shared" si="8"/>
        <v>8.4830646159108554</v>
      </c>
      <c r="V19" s="19">
        <f t="shared" si="8"/>
        <v>8.6711186518600059</v>
      </c>
      <c r="W19" s="19">
        <f t="shared" si="9"/>
        <v>0.97831259800500925</v>
      </c>
    </row>
    <row r="20" spans="1:23" x14ac:dyDescent="0.25">
      <c r="A20">
        <v>0</v>
      </c>
      <c r="C20" s="19">
        <f t="shared" si="0"/>
        <v>8.5383676610233614</v>
      </c>
      <c r="D20" s="19">
        <f t="shared" si="0"/>
        <v>10.301460361764715</v>
      </c>
      <c r="E20" s="19">
        <f t="shared" si="3"/>
        <v>0.821619493516073</v>
      </c>
      <c r="F20" s="19"/>
      <c r="G20" s="19"/>
      <c r="H20" s="19"/>
      <c r="I20" s="19">
        <f t="shared" ref="I20:J20" si="14">100*(1-(1-I9/100)^12)</f>
        <v>10.112574532510299</v>
      </c>
      <c r="J20" s="19">
        <f t="shared" si="14"/>
        <v>9.4817075158355362</v>
      </c>
      <c r="K20" s="19">
        <f t="shared" si="5"/>
        <v>1.0698956297329931</v>
      </c>
      <c r="L20" s="19"/>
      <c r="M20" s="19"/>
      <c r="N20" s="19"/>
      <c r="O20" s="19">
        <f t="shared" si="2"/>
        <v>9.9889087169522828</v>
      </c>
      <c r="P20" s="19">
        <f t="shared" si="2"/>
        <v>9.3900817818348798</v>
      </c>
      <c r="Q20" s="19">
        <f t="shared" si="6"/>
        <v>1.0669504542332695</v>
      </c>
      <c r="S20" s="16"/>
      <c r="T20" s="16"/>
      <c r="U20" s="19">
        <f t="shared" si="8"/>
        <v>9.6447846042579961</v>
      </c>
      <c r="V20" s="19">
        <f t="shared" si="8"/>
        <v>9.6422294778083621</v>
      </c>
      <c r="W20" s="19">
        <f t="shared" si="9"/>
        <v>1.0002649933249892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Tracking_aggData_by_incentive_n</vt:lpstr>
      <vt:lpstr>Pivot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2018-04-24T17:00:00Z</dcterms:created>
  <dcterms:modified xsi:type="dcterms:W3CDTF">2018-04-25T21:45:28Z</dcterms:modified>
</cp:coreProperties>
</file>