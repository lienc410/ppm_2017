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32595" windowHeight="19470"/>
  </bookViews>
  <sheets>
    <sheet name="Fitting" sheetId="1" r:id="rId1"/>
  </sheets>
  <calcPr calcId="145621"/>
  <fileRecoveryPr repairLoad="1"/>
</workbook>
</file>

<file path=xl/calcChain.xml><?xml version="1.0" encoding="utf-8"?>
<calcChain xmlns="http://schemas.openxmlformats.org/spreadsheetml/2006/main">
  <c r="N19" i="1" l="1"/>
  <c r="N20" i="1"/>
  <c r="N21" i="1"/>
  <c r="N22" i="1"/>
  <c r="N23" i="1"/>
  <c r="N24" i="1"/>
  <c r="N18" i="1"/>
  <c r="F19" i="1"/>
  <c r="F20" i="1"/>
  <c r="F21" i="1"/>
  <c r="F22" i="1"/>
  <c r="F23" i="1"/>
  <c r="F24" i="1"/>
  <c r="F18" i="1"/>
  <c r="E19" i="1"/>
  <c r="E20" i="1"/>
  <c r="E21" i="1"/>
  <c r="E22" i="1"/>
  <c r="E23" i="1"/>
  <c r="E24" i="1"/>
  <c r="E18" i="1"/>
  <c r="D19" i="1"/>
  <c r="D20" i="1"/>
  <c r="D21" i="1"/>
  <c r="D22" i="1"/>
  <c r="D23" i="1"/>
  <c r="D24" i="1"/>
  <c r="D18" i="1"/>
  <c r="C18" i="1" l="1"/>
  <c r="C19" i="1"/>
  <c r="C20" i="1"/>
  <c r="C21" i="1"/>
  <c r="C22" i="1"/>
  <c r="C23" i="1"/>
  <c r="C24" i="1"/>
  <c r="C17" i="1"/>
  <c r="M20" i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18" i="1"/>
  <c r="K18" i="1" s="1"/>
  <c r="G18" i="1"/>
  <c r="G19" i="1"/>
  <c r="G20" i="1"/>
  <c r="G21" i="1"/>
  <c r="G22" i="1"/>
  <c r="G23" i="1"/>
  <c r="G24" i="1"/>
  <c r="F17" i="1"/>
  <c r="B19" i="1" l="1"/>
  <c r="B20" i="1"/>
  <c r="B21" i="1"/>
  <c r="B22" i="1"/>
  <c r="B23" i="1"/>
  <c r="B24" i="1"/>
  <c r="B18" i="1"/>
  <c r="B17" i="1"/>
</calcChain>
</file>

<file path=xl/sharedStrings.xml><?xml version="1.0" encoding="utf-8"?>
<sst xmlns="http://schemas.openxmlformats.org/spreadsheetml/2006/main" count="65" uniqueCount="63">
  <si>
    <t>grp</t>
  </si>
  <si>
    <t>x</t>
  </si>
  <si>
    <t>actual.smm</t>
  </si>
  <si>
    <t>model.smm</t>
  </si>
  <si>
    <t>actual.cpr</t>
  </si>
  <si>
    <t>model.cpr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</si>
  <si>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</si>
  <si>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</si>
  <si>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</si>
  <si>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</si>
  <si>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</si>
  <si>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</si>
  <si>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</si>
  <si>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</si>
  <si>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</si>
  <si>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</si>
  <si>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</si>
  <si>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</si>
  <si>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</si>
  <si>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</si>
  <si>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</si>
  <si>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</si>
  <si>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</si>
  <si>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</si>
  <si>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</si>
  <si>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</si>
  <si>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</si>
  <si>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</si>
  <si>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</si>
  <si>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</si>
  <si>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</si>
  <si>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</si>
  <si>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</si>
  <si>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</si>
  <si>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</si>
  <si>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media_effect</t>
  </si>
  <si>
    <t>sato</t>
  </si>
  <si>
    <t>hpa_annual</t>
  </si>
  <si>
    <t>hpa_cum</t>
  </si>
  <si>
    <t>turn_cai_mult</t>
  </si>
  <si>
    <t>turn_hpa_annual_mult</t>
  </si>
  <si>
    <t>turn_lohpa_wala_mult</t>
  </si>
  <si>
    <t>turn_hihpa_wala_mult</t>
  </si>
  <si>
    <t>turn_pct_hihpa_wala_mult</t>
  </si>
  <si>
    <t>turn_incentive_mult</t>
  </si>
  <si>
    <t>turn_cltv_mult</t>
  </si>
  <si>
    <t>turn_acls_mult</t>
  </si>
  <si>
    <t>turn_fico_mult</t>
  </si>
  <si>
    <t>turn_tax_mult</t>
  </si>
  <si>
    <t>turn_sato_mult</t>
  </si>
  <si>
    <t>turn_pct_HARPed_mult</t>
  </si>
  <si>
    <t>turn_HARP_eligible_mult</t>
  </si>
  <si>
    <t>turn_pct_purchase_mult</t>
  </si>
  <si>
    <t>turn_pct_inv_mult</t>
  </si>
  <si>
    <t>turn_pct_second_lien_mult</t>
  </si>
  <si>
    <t>bal</t>
  </si>
  <si>
    <t>std</t>
  </si>
  <si>
    <t>n</t>
  </si>
  <si>
    <t>adj ration</t>
  </si>
  <si>
    <t>model</t>
  </si>
  <si>
    <t>ratio act_mdl</t>
  </si>
  <si>
    <t>knots</t>
  </si>
  <si>
    <t>dev knots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</si>
</sst>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42" applyFont="1"/>
    <xf numFmtId="11" fontId="0" fillId="0" borderId="0" xfId="0" applyNumberFormat="1"/>
    <xf numFmtId="0" fontId="0" fillId="0" borderId="0" xfId="0" applyFill="1"/>
    <xf numFmtId="43" fontId="0" fillId="0" borderId="0" xfId="42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Fitting!$M$17</c:f>
              <c:strCache>
                <c:ptCount val="1"/>
                <c:pt idx="0">
                  <c:v>knots</c:v>
                </c:pt>
              </c:strCache>
            </c:strRef>
          </c:tx>
          <c:marker>
            <c:symbol val="none"/>
          </c:marker>
          <c:cat>
            <c:numRef>
              <c:f>Fitting!$D$18:$D$25</c:f>
              <c:numCache>
                <c:formatCode>General</c:formatCode>
                <c:ptCount val="8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</c:numCache>
            </c:numRef>
          </c:cat>
          <c:val>
            <c:numRef>
              <c:f>Fitting!$M$18:$M$24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8.5599999999999996E-2</c:v>
                </c:pt>
                <c:pt idx="3">
                  <c:v>0.17119999999999999</c:v>
                </c:pt>
                <c:pt idx="4">
                  <c:v>0.4143</c:v>
                </c:pt>
                <c:pt idx="5">
                  <c:v>0.68140000000000001</c:v>
                </c:pt>
                <c:pt idx="6">
                  <c:v>1.4035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Fitting!$N$17</c:f>
              <c:strCache>
                <c:ptCount val="1"/>
                <c:pt idx="0">
                  <c:v>dev knots</c:v>
                </c:pt>
              </c:strCache>
            </c:strRef>
          </c:tx>
          <c:marker>
            <c:symbol val="none"/>
          </c:marker>
          <c:cat>
            <c:numRef>
              <c:f>Fitting!$D$18:$D$25</c:f>
              <c:numCache>
                <c:formatCode>General</c:formatCode>
                <c:ptCount val="8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</c:numCache>
            </c:numRef>
          </c:cat>
          <c:val>
            <c:numRef>
              <c:f>Fitting!$N$18:$N$25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8.5599999999999996E-2</c:v>
                </c:pt>
                <c:pt idx="3">
                  <c:v>0.17119999999999999</c:v>
                </c:pt>
                <c:pt idx="4">
                  <c:v>0.26929500000000001</c:v>
                </c:pt>
                <c:pt idx="5">
                  <c:v>0.3407</c:v>
                </c:pt>
                <c:pt idx="6">
                  <c:v>1.45964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1948160"/>
        <c:axId val="354289920"/>
      </c:lineChart>
      <c:catAx>
        <c:axId val="351948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54289920"/>
        <c:crosses val="autoZero"/>
        <c:auto val="1"/>
        <c:lblAlgn val="ctr"/>
        <c:lblOffset val="100"/>
        <c:noMultiLvlLbl val="0"/>
      </c:catAx>
      <c:valAx>
        <c:axId val="354289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19481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233362</xdr:colOff>
      <xdr:row>33</xdr:row>
      <xdr:rowOff>138112</xdr:rowOff>
    </xdr:from>
    <xdr:to>
      <xdr:col>13</xdr:col>
      <xdr:colOff>538162</xdr:colOff>
      <xdr:row>48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5"/>
  <sheetViews>
    <sheetView tabSelected="1" workbookViewId="0">
      <selection activeCell="N23" sqref="N23"/>
    </sheetView>
  </sheetViews>
  <sheetFormatPr defaultRowHeight="15" x14ac:dyDescent="0.25"/>
  <sheetData>
    <row r="1" spans="1:5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 spans="1:59" x14ac:dyDescent="0.25">
      <c r="A2">
        <v>1</v>
      </c>
      <c r="B2">
        <v>10</v>
      </c>
      <c r="C2">
        <v>-75</v>
      </c>
      <c r="D2">
        <v>0.51214048311435301</v>
      </c>
      <c r="E2">
        <v>0.46115543450023799</v>
      </c>
      <c r="F2">
        <v>5.97549724538377</v>
      </c>
      <c r="G2">
        <v>5.3956420993241396</v>
      </c>
      <c r="H2">
        <v>1.1105593576477499</v>
      </c>
      <c r="I2">
        <v>-5.0985048614114403E-2</v>
      </c>
      <c r="J2">
        <v>3.98276777514475E-2</v>
      </c>
      <c r="K2">
        <v>1.04520222634772E-2</v>
      </c>
      <c r="L2">
        <v>0</v>
      </c>
      <c r="M2">
        <v>0.410875734485314</v>
      </c>
      <c r="N2">
        <v>0</v>
      </c>
      <c r="O2">
        <v>0</v>
      </c>
      <c r="P2">
        <v>5.2389922385541698</v>
      </c>
      <c r="Q2">
        <v>94.761007761445796</v>
      </c>
      <c r="R2">
        <v>46.457404866013398</v>
      </c>
      <c r="S2">
        <v>35.005254410888803</v>
      </c>
      <c r="T2">
        <v>18.537340723097799</v>
      </c>
      <c r="U2">
        <v>0</v>
      </c>
      <c r="V2">
        <v>53.542595133986602</v>
      </c>
      <c r="W2">
        <v>0.50870396367123605</v>
      </c>
      <c r="X2">
        <v>-84.635973923099201</v>
      </c>
      <c r="Y2">
        <v>38.663660018001302</v>
      </c>
      <c r="Z2">
        <v>100</v>
      </c>
      <c r="AA2">
        <v>63.632063646893698</v>
      </c>
      <c r="AB2">
        <v>277.05857493248902</v>
      </c>
      <c r="AC2">
        <v>274.88698993592999</v>
      </c>
      <c r="AD2">
        <v>23.473266479500499</v>
      </c>
      <c r="AE2">
        <v>329.998198728467</v>
      </c>
      <c r="AF2">
        <v>3.5085922861850101</v>
      </c>
      <c r="AG2">
        <v>780.38555088933799</v>
      </c>
      <c r="AH2">
        <v>5.06991389371826</v>
      </c>
      <c r="AI2">
        <v>46.8474963860752</v>
      </c>
      <c r="AJ2">
        <v>178.39600777595399</v>
      </c>
      <c r="AK2">
        <v>17.9674780920035</v>
      </c>
      <c r="AL2">
        <v>-27.234529938649398</v>
      </c>
      <c r="AM2">
        <v>4.2868037107586003</v>
      </c>
      <c r="AN2">
        <v>7.1792395594454499</v>
      </c>
      <c r="AO2">
        <v>0.9</v>
      </c>
      <c r="AP2">
        <v>1.2078467999000999</v>
      </c>
      <c r="AQ2">
        <v>0.92076279739158895</v>
      </c>
      <c r="AR2">
        <v>1.23840021177988</v>
      </c>
      <c r="AS2">
        <v>0.19217252995301501</v>
      </c>
      <c r="AT2">
        <v>1.2176441087009799</v>
      </c>
      <c r="AU2">
        <v>0.99686147225039201</v>
      </c>
      <c r="AV2">
        <v>0.88300714711702</v>
      </c>
      <c r="AW2">
        <v>0.83908111018420295</v>
      </c>
      <c r="AX2">
        <v>1</v>
      </c>
      <c r="AY2">
        <v>0.99618537178064104</v>
      </c>
      <c r="AZ2">
        <v>1</v>
      </c>
      <c r="BA2">
        <v>1</v>
      </c>
      <c r="BB2">
        <v>0.93039462632581704</v>
      </c>
      <c r="BC2">
        <v>1</v>
      </c>
      <c r="BD2">
        <v>0.98976803039318895</v>
      </c>
      <c r="BE2">
        <v>33820007753.799999</v>
      </c>
      <c r="BF2">
        <v>7.6896096399067901E-2</v>
      </c>
      <c r="BG2">
        <v>13011</v>
      </c>
    </row>
    <row r="3" spans="1:59" x14ac:dyDescent="0.25">
      <c r="A3">
        <v>2</v>
      </c>
      <c r="B3">
        <v>10</v>
      </c>
      <c r="C3">
        <v>-50</v>
      </c>
      <c r="D3">
        <v>0.45517270619504402</v>
      </c>
      <c r="E3">
        <v>0.45189584020170498</v>
      </c>
      <c r="F3">
        <v>5.3273858145710697</v>
      </c>
      <c r="G3">
        <v>5.2899812821081502</v>
      </c>
      <c r="H3">
        <v>1.0072513745465701</v>
      </c>
      <c r="I3">
        <v>-3.2768659933392402E-3</v>
      </c>
      <c r="J3">
        <v>3.9790480966768897E-2</v>
      </c>
      <c r="K3">
        <v>9.7773266320162495E-3</v>
      </c>
      <c r="L3">
        <v>0</v>
      </c>
      <c r="M3">
        <v>0.40232803260291999</v>
      </c>
      <c r="N3">
        <v>0</v>
      </c>
      <c r="O3">
        <v>0</v>
      </c>
      <c r="P3">
        <v>5.4538080133050801</v>
      </c>
      <c r="Q3">
        <v>94.546191986694893</v>
      </c>
      <c r="R3">
        <v>46.7559148677054</v>
      </c>
      <c r="S3">
        <v>35.5399446526893</v>
      </c>
      <c r="T3">
        <v>17.7041404796054</v>
      </c>
      <c r="U3">
        <v>0</v>
      </c>
      <c r="V3">
        <v>53.2440851322946</v>
      </c>
      <c r="W3">
        <v>0.47396136298406999</v>
      </c>
      <c r="X3">
        <v>-59.7895145916372</v>
      </c>
      <c r="Y3">
        <v>93.775963166303299</v>
      </c>
      <c r="Z3">
        <v>100</v>
      </c>
      <c r="AA3">
        <v>63.278583283488999</v>
      </c>
      <c r="AB3">
        <v>281.46758279795898</v>
      </c>
      <c r="AC3">
        <v>279.41634922180799</v>
      </c>
      <c r="AD3">
        <v>23.7938013829217</v>
      </c>
      <c r="AE3">
        <v>329.97836007621697</v>
      </c>
      <c r="AF3">
        <v>3.5585976269019199</v>
      </c>
      <c r="AG3">
        <v>780.58888241326395</v>
      </c>
      <c r="AH3">
        <v>4.0725095097548696</v>
      </c>
      <c r="AI3">
        <v>47.014546804434602</v>
      </c>
      <c r="AJ3">
        <v>176.05692012172801</v>
      </c>
      <c r="AK3">
        <v>25.299551090452301</v>
      </c>
      <c r="AL3">
        <v>-27.9582485310758</v>
      </c>
      <c r="AM3">
        <v>4.3928355402329302</v>
      </c>
      <c r="AN3">
        <v>7.1169750242849403</v>
      </c>
      <c r="AO3">
        <v>0.9</v>
      </c>
      <c r="AP3">
        <v>1.1996466477388099</v>
      </c>
      <c r="AQ3">
        <v>0.91883717461023895</v>
      </c>
      <c r="AR3">
        <v>1.21620822382233</v>
      </c>
      <c r="AS3">
        <v>0.23920302769232499</v>
      </c>
      <c r="AT3">
        <v>1.2828533197257901</v>
      </c>
      <c r="AU3">
        <v>0.99706668445308499</v>
      </c>
      <c r="AV3">
        <v>0.87868114161979605</v>
      </c>
      <c r="AW3">
        <v>0.83863885797263005</v>
      </c>
      <c r="AX3">
        <v>1</v>
      </c>
      <c r="AY3">
        <v>0.99397713508191898</v>
      </c>
      <c r="AZ3">
        <v>1</v>
      </c>
      <c r="BA3">
        <v>1</v>
      </c>
      <c r="BB3">
        <v>0.930782689328017</v>
      </c>
      <c r="BC3">
        <v>1</v>
      </c>
      <c r="BD3">
        <v>0.99123781712953496</v>
      </c>
      <c r="BE3">
        <v>68128451306.599998</v>
      </c>
      <c r="BF3">
        <v>6.3604626940265294E-2</v>
      </c>
      <c r="BG3">
        <v>29522</v>
      </c>
    </row>
    <row r="4" spans="1:59" x14ac:dyDescent="0.25">
      <c r="A4">
        <v>3</v>
      </c>
      <c r="B4">
        <v>10</v>
      </c>
      <c r="C4">
        <v>-25</v>
      </c>
      <c r="D4">
        <v>0.48448090447284797</v>
      </c>
      <c r="E4">
        <v>0.48445252274197798</v>
      </c>
      <c r="F4">
        <v>5.6613292398131598</v>
      </c>
      <c r="G4">
        <v>5.6610063757225202</v>
      </c>
      <c r="H4">
        <v>1.0000585851647701</v>
      </c>
      <c r="I4" s="2">
        <v>-2.8381730869763502E-5</v>
      </c>
      <c r="J4">
        <v>3.7703821190520702E-2</v>
      </c>
      <c r="K4">
        <v>8.6770957013463292E-3</v>
      </c>
      <c r="L4">
        <v>0</v>
      </c>
      <c r="M4">
        <v>0.42276600220636001</v>
      </c>
      <c r="N4">
        <v>1.5305603643751799E-2</v>
      </c>
      <c r="O4">
        <v>0</v>
      </c>
      <c r="P4">
        <v>5.4888470595054502</v>
      </c>
      <c r="Q4">
        <v>94.511152940494597</v>
      </c>
      <c r="R4">
        <v>48.224318420653802</v>
      </c>
      <c r="S4">
        <v>32.228751115361099</v>
      </c>
      <c r="T4">
        <v>19.546930463985099</v>
      </c>
      <c r="U4">
        <v>0</v>
      </c>
      <c r="V4">
        <v>51.775681579346198</v>
      </c>
      <c r="W4">
        <v>0.45757854764552802</v>
      </c>
      <c r="X4">
        <v>-36.0342981290202</v>
      </c>
      <c r="Y4">
        <v>168.01898269541499</v>
      </c>
      <c r="Z4">
        <v>100</v>
      </c>
      <c r="AA4">
        <v>63.368266856377303</v>
      </c>
      <c r="AB4">
        <v>292.09966973159902</v>
      </c>
      <c r="AC4">
        <v>289.964367982841</v>
      </c>
      <c r="AD4">
        <v>19.333410791885701</v>
      </c>
      <c r="AE4">
        <v>335.681990381324</v>
      </c>
      <c r="AF4">
        <v>3.6618795467867198</v>
      </c>
      <c r="AG4">
        <v>780.06113633274197</v>
      </c>
      <c r="AH4">
        <v>3.9474368439029499</v>
      </c>
      <c r="AI4">
        <v>48.513881076945999</v>
      </c>
      <c r="AJ4">
        <v>174.81714959432401</v>
      </c>
      <c r="AK4">
        <v>30.296300602428399</v>
      </c>
      <c r="AL4">
        <v>-22.181495214071902</v>
      </c>
      <c r="AM4">
        <v>5.2942878989165099</v>
      </c>
      <c r="AN4">
        <v>7.3652532234996899</v>
      </c>
      <c r="AO4">
        <v>0.9</v>
      </c>
      <c r="AP4">
        <v>1.2361802794829799</v>
      </c>
      <c r="AQ4">
        <v>0.85284162236456496</v>
      </c>
      <c r="AR4">
        <v>1.19081318229564</v>
      </c>
      <c r="AS4">
        <v>0.39320275337973898</v>
      </c>
      <c r="AT4">
        <v>1.2869999999999999</v>
      </c>
      <c r="AU4">
        <v>0.99694848662042901</v>
      </c>
      <c r="AV4">
        <v>0.86680983166232894</v>
      </c>
      <c r="AW4">
        <v>0.83971867723162896</v>
      </c>
      <c r="AX4">
        <v>1</v>
      </c>
      <c r="AY4">
        <v>1.0057308903687301</v>
      </c>
      <c r="AZ4">
        <v>1</v>
      </c>
      <c r="BA4">
        <v>1</v>
      </c>
      <c r="BB4">
        <v>0.93269161394684996</v>
      </c>
      <c r="BC4">
        <v>1</v>
      </c>
      <c r="BD4">
        <v>0.99092122599690902</v>
      </c>
      <c r="BE4">
        <v>159141027159.29999</v>
      </c>
      <c r="BF4">
        <v>6.0783192905143203E-2</v>
      </c>
      <c r="BG4">
        <v>52657</v>
      </c>
    </row>
    <row r="5" spans="1:59" x14ac:dyDescent="0.25">
      <c r="A5">
        <v>4</v>
      </c>
      <c r="B5">
        <v>10</v>
      </c>
      <c r="C5">
        <v>0</v>
      </c>
      <c r="D5">
        <v>0.63042637661194101</v>
      </c>
      <c r="E5">
        <v>0.61911035879458198</v>
      </c>
      <c r="F5">
        <v>7.3082426296696896</v>
      </c>
      <c r="G5">
        <v>7.1814965346077901</v>
      </c>
      <c r="H5">
        <v>1.0182778686491201</v>
      </c>
      <c r="I5">
        <v>-1.13160178173586E-2</v>
      </c>
      <c r="J5">
        <v>3.8176340747337799E-2</v>
      </c>
      <c r="K5">
        <v>9.7586441909627095E-3</v>
      </c>
      <c r="L5">
        <v>0</v>
      </c>
      <c r="M5">
        <v>0.456051477641578</v>
      </c>
      <c r="N5">
        <v>0.11512389621470399</v>
      </c>
      <c r="O5">
        <v>0</v>
      </c>
      <c r="P5">
        <v>5.6795237692408103</v>
      </c>
      <c r="Q5">
        <v>94.320476230759198</v>
      </c>
      <c r="R5">
        <v>46.475268371692799</v>
      </c>
      <c r="S5">
        <v>26.930803635551101</v>
      </c>
      <c r="T5">
        <v>26.5939279927561</v>
      </c>
      <c r="U5">
        <v>0</v>
      </c>
      <c r="V5">
        <v>53.524731628307201</v>
      </c>
      <c r="W5">
        <v>0.47926625181037302</v>
      </c>
      <c r="X5">
        <v>-13.3987533489678</v>
      </c>
      <c r="Y5">
        <v>423.32967613089198</v>
      </c>
      <c r="Z5">
        <v>100</v>
      </c>
      <c r="AA5">
        <v>63.354815766532099</v>
      </c>
      <c r="AB5">
        <v>294.60512995399802</v>
      </c>
      <c r="AC5">
        <v>292.59520304875798</v>
      </c>
      <c r="AD5">
        <v>21.252864442591001</v>
      </c>
      <c r="AE5">
        <v>333.85713866152599</v>
      </c>
      <c r="AF5">
        <v>3.8792632673893999</v>
      </c>
      <c r="AG5">
        <v>778.786032207792</v>
      </c>
      <c r="AH5">
        <v>3.2176064018646402</v>
      </c>
      <c r="AI5">
        <v>46.0207444050682</v>
      </c>
      <c r="AJ5">
        <v>173.760278706625</v>
      </c>
      <c r="AK5">
        <v>30.843150363774299</v>
      </c>
      <c r="AL5">
        <v>-12.9725464192764</v>
      </c>
      <c r="AM5">
        <v>5.0104557599989397</v>
      </c>
      <c r="AN5">
        <v>7.5825761771717897</v>
      </c>
      <c r="AO5">
        <v>0.9</v>
      </c>
      <c r="AP5">
        <v>1.22679466391838</v>
      </c>
      <c r="AQ5">
        <v>0.89247713452146804</v>
      </c>
      <c r="AR5">
        <v>1.20895408351295</v>
      </c>
      <c r="AS5">
        <v>0.35336467639312202</v>
      </c>
      <c r="AT5">
        <v>1.2869999999999999</v>
      </c>
      <c r="AU5">
        <v>0.99706752991550196</v>
      </c>
      <c r="AV5">
        <v>0.86412518920579995</v>
      </c>
      <c r="AW5">
        <v>0.84223834466217995</v>
      </c>
      <c r="AX5">
        <v>1</v>
      </c>
      <c r="AY5">
        <v>1.0237946448078299</v>
      </c>
      <c r="AZ5">
        <v>1</v>
      </c>
      <c r="BA5">
        <v>1</v>
      </c>
      <c r="BB5">
        <v>0.930417848883201</v>
      </c>
      <c r="BC5">
        <v>1</v>
      </c>
      <c r="BD5">
        <v>1.0011604703937</v>
      </c>
      <c r="BE5">
        <v>124957515363.10001</v>
      </c>
      <c r="BF5">
        <v>6.1807483568151599E-2</v>
      </c>
      <c r="BG5">
        <v>58101</v>
      </c>
    </row>
    <row r="6" spans="1:59" x14ac:dyDescent="0.25">
      <c r="A6">
        <v>5</v>
      </c>
      <c r="B6">
        <v>10</v>
      </c>
      <c r="C6">
        <v>25</v>
      </c>
      <c r="D6">
        <v>0.80774514498576799</v>
      </c>
      <c r="E6">
        <v>0.95685567978573205</v>
      </c>
      <c r="F6">
        <v>9.2737095869417399</v>
      </c>
      <c r="G6">
        <v>10.896855014272401</v>
      </c>
      <c r="H6">
        <v>0.84416611830808697</v>
      </c>
      <c r="I6">
        <v>0.149110534799965</v>
      </c>
      <c r="J6">
        <v>3.9555199609437798E-2</v>
      </c>
      <c r="K6">
        <v>1.4960550673496E-2</v>
      </c>
      <c r="L6">
        <v>0</v>
      </c>
      <c r="M6">
        <v>0.47957751143292499</v>
      </c>
      <c r="N6">
        <v>0.42276241806987402</v>
      </c>
      <c r="O6">
        <v>0</v>
      </c>
      <c r="P6">
        <v>6.1949642463265597</v>
      </c>
      <c r="Q6">
        <v>93.805035753673394</v>
      </c>
      <c r="R6">
        <v>48.388664826589398</v>
      </c>
      <c r="S6">
        <v>22.068025234421501</v>
      </c>
      <c r="T6">
        <v>29.5433099389892</v>
      </c>
      <c r="U6">
        <v>0</v>
      </c>
      <c r="V6">
        <v>51.611335173410602</v>
      </c>
      <c r="W6">
        <v>0.674476852220246</v>
      </c>
      <c r="X6">
        <v>10.829987634033699</v>
      </c>
      <c r="Y6">
        <v>866.99164415929897</v>
      </c>
      <c r="Z6">
        <v>100</v>
      </c>
      <c r="AA6">
        <v>63.8856044759398</v>
      </c>
      <c r="AB6">
        <v>290.56309027194197</v>
      </c>
      <c r="AC6">
        <v>288.70433866370598</v>
      </c>
      <c r="AD6">
        <v>25.650645747294</v>
      </c>
      <c r="AE6">
        <v>329.05953731165602</v>
      </c>
      <c r="AF6">
        <v>4.1122977994441303</v>
      </c>
      <c r="AG6">
        <v>777.55746408697803</v>
      </c>
      <c r="AH6">
        <v>3.6525281351391201</v>
      </c>
      <c r="AI6">
        <v>44.339842086607398</v>
      </c>
      <c r="AJ6">
        <v>173.93103969389401</v>
      </c>
      <c r="AK6">
        <v>31.489048830231201</v>
      </c>
      <c r="AL6">
        <v>-5.0583471716688697</v>
      </c>
      <c r="AM6">
        <v>4.2331186398347098</v>
      </c>
      <c r="AN6">
        <v>7.7804433711794498</v>
      </c>
      <c r="AO6">
        <v>0.9</v>
      </c>
      <c r="AP6">
        <v>1.19920547028883</v>
      </c>
      <c r="AQ6">
        <v>0.99087677179043498</v>
      </c>
      <c r="AR6">
        <v>1.2305970017860699</v>
      </c>
      <c r="AS6">
        <v>0.22557005517280601</v>
      </c>
      <c r="AT6">
        <v>1.2869999999999999</v>
      </c>
      <c r="AU6">
        <v>0.99681822356738703</v>
      </c>
      <c r="AV6">
        <v>0.86828062838488196</v>
      </c>
      <c r="AW6">
        <v>0.84458084979534398</v>
      </c>
      <c r="AX6">
        <v>1</v>
      </c>
      <c r="AY6">
        <v>1.0356628486669499</v>
      </c>
      <c r="AZ6">
        <v>1</v>
      </c>
      <c r="BA6">
        <v>1</v>
      </c>
      <c r="BB6">
        <v>0.93290526427456599</v>
      </c>
      <c r="BC6">
        <v>1</v>
      </c>
      <c r="BD6">
        <v>1.0065334977931599</v>
      </c>
      <c r="BE6">
        <v>48679324835.300003</v>
      </c>
      <c r="BF6">
        <v>7.2187041778798103E-2</v>
      </c>
      <c r="BG6">
        <v>34691</v>
      </c>
    </row>
    <row r="7" spans="1:59" x14ac:dyDescent="0.25">
      <c r="A7">
        <v>6</v>
      </c>
      <c r="B7">
        <v>10</v>
      </c>
      <c r="C7">
        <v>50</v>
      </c>
      <c r="D7">
        <v>1.01372095723654</v>
      </c>
      <c r="E7">
        <v>1.3666017934596399</v>
      </c>
      <c r="F7">
        <v>11.508819281367099</v>
      </c>
      <c r="G7">
        <v>15.2210657023496</v>
      </c>
      <c r="H7">
        <v>0.74178225294893196</v>
      </c>
      <c r="I7">
        <v>0.35288083622309702</v>
      </c>
      <c r="J7">
        <v>4.0019311086912597E-2</v>
      </c>
      <c r="K7">
        <v>1.8703295711391999E-2</v>
      </c>
      <c r="L7">
        <v>0</v>
      </c>
      <c r="M7">
        <v>0.48973749179133602</v>
      </c>
      <c r="N7">
        <v>0.81814169486999799</v>
      </c>
      <c r="O7">
        <v>0</v>
      </c>
      <c r="P7">
        <v>6.3330637968089798</v>
      </c>
      <c r="Q7">
        <v>93.666936203191</v>
      </c>
      <c r="R7">
        <v>41.336691420866003</v>
      </c>
      <c r="S7">
        <v>23.195170654623301</v>
      </c>
      <c r="T7">
        <v>35.4681379245106</v>
      </c>
      <c r="U7">
        <v>0</v>
      </c>
      <c r="V7">
        <v>58.663308579133997</v>
      </c>
      <c r="W7">
        <v>0.84493214504783098</v>
      </c>
      <c r="X7">
        <v>33.172147329993997</v>
      </c>
      <c r="Y7">
        <v>1236.54077791853</v>
      </c>
      <c r="Z7">
        <v>100</v>
      </c>
      <c r="AA7">
        <v>63.936454525525498</v>
      </c>
      <c r="AB7">
        <v>299.90778450479399</v>
      </c>
      <c r="AC7">
        <v>298.41413873161503</v>
      </c>
      <c r="AD7">
        <v>27.350097821706399</v>
      </c>
      <c r="AE7">
        <v>327.71001359198902</v>
      </c>
      <c r="AF7">
        <v>4.2748815407052003</v>
      </c>
      <c r="AG7">
        <v>774.91172395640604</v>
      </c>
      <c r="AH7">
        <v>6.3508956431436001</v>
      </c>
      <c r="AI7">
        <v>44.2261013326154</v>
      </c>
      <c r="AJ7">
        <v>174.72085119793201</v>
      </c>
      <c r="AK7">
        <v>33.679957625574801</v>
      </c>
      <c r="AL7">
        <v>7.7250931599093704</v>
      </c>
      <c r="AM7">
        <v>4.0799326174169197</v>
      </c>
      <c r="AN7">
        <v>7.9440692449800796</v>
      </c>
      <c r="AO7">
        <v>0.9</v>
      </c>
      <c r="AP7">
        <v>1.1900734885778499</v>
      </c>
      <c r="AQ7">
        <v>1.02027447168199</v>
      </c>
      <c r="AR7">
        <v>1.2332080126691201</v>
      </c>
      <c r="AS7">
        <v>0.20477600664353901</v>
      </c>
      <c r="AT7">
        <v>1.2869999999999999</v>
      </c>
      <c r="AU7">
        <v>0.99684713609703901</v>
      </c>
      <c r="AV7">
        <v>0.85808151796313104</v>
      </c>
      <c r="AW7">
        <v>0.84964154316496099</v>
      </c>
      <c r="AX7">
        <v>1</v>
      </c>
      <c r="AY7">
        <v>1.0494922291400099</v>
      </c>
      <c r="AZ7">
        <v>1</v>
      </c>
      <c r="BA7">
        <v>1</v>
      </c>
      <c r="BB7">
        <v>0.92373769884712598</v>
      </c>
      <c r="BC7">
        <v>1</v>
      </c>
      <c r="BD7">
        <v>1.0230804515968099</v>
      </c>
      <c r="BE7">
        <v>8456027145.5</v>
      </c>
      <c r="BF7">
        <v>9.7534931077292206E-2</v>
      </c>
      <c r="BG7">
        <v>10212</v>
      </c>
    </row>
    <row r="8" spans="1:59" x14ac:dyDescent="0.25">
      <c r="A8">
        <v>7</v>
      </c>
      <c r="B8">
        <v>10</v>
      </c>
      <c r="C8">
        <v>75</v>
      </c>
      <c r="D8">
        <v>1.8661932596301001</v>
      </c>
      <c r="E8">
        <v>1.784533750067</v>
      </c>
      <c r="F8">
        <v>20.232909337922798</v>
      </c>
      <c r="G8">
        <v>19.432740357297</v>
      </c>
      <c r="H8">
        <v>1.0457595770099799</v>
      </c>
      <c r="I8">
        <v>-8.1659509563099697E-2</v>
      </c>
      <c r="J8">
        <v>3.8137746076641499E-2</v>
      </c>
      <c r="K8">
        <v>2.63692946555894E-2</v>
      </c>
      <c r="L8">
        <v>0</v>
      </c>
      <c r="M8">
        <v>0.49291685638385702</v>
      </c>
      <c r="N8">
        <v>1.2271098529509099</v>
      </c>
      <c r="O8">
        <v>0</v>
      </c>
      <c r="P8">
        <v>8.4349339771135305</v>
      </c>
      <c r="Q8">
        <v>91.565066022886498</v>
      </c>
      <c r="R8">
        <v>21.618197086525001</v>
      </c>
      <c r="S8">
        <v>29.308213568843001</v>
      </c>
      <c r="T8">
        <v>49.073589344632097</v>
      </c>
      <c r="U8">
        <v>0</v>
      </c>
      <c r="V8">
        <v>78.381802913474999</v>
      </c>
      <c r="W8">
        <v>1.43244887105152</v>
      </c>
      <c r="X8">
        <v>58.064658616316898</v>
      </c>
      <c r="Y8">
        <v>1414.7490166868999</v>
      </c>
      <c r="Z8">
        <v>100</v>
      </c>
      <c r="AA8">
        <v>64.851354255056194</v>
      </c>
      <c r="AB8">
        <v>295.76672596565999</v>
      </c>
      <c r="AC8">
        <v>295.081142307721</v>
      </c>
      <c r="AD8">
        <v>20.413298717990301</v>
      </c>
      <c r="AE8">
        <v>334.84793757852799</v>
      </c>
      <c r="AF8">
        <v>4.55388454248562</v>
      </c>
      <c r="AG8">
        <v>770.84482291359996</v>
      </c>
      <c r="AH8">
        <v>15.083950036938599</v>
      </c>
      <c r="AI8">
        <v>44.011325666707002</v>
      </c>
      <c r="AJ8">
        <v>174.55982005075199</v>
      </c>
      <c r="AK8">
        <v>32.981804459944797</v>
      </c>
      <c r="AL8">
        <v>46.636237114451703</v>
      </c>
      <c r="AM8">
        <v>5.2430959871865399</v>
      </c>
      <c r="AN8">
        <v>7.9983211977242599</v>
      </c>
      <c r="AO8">
        <v>0.9</v>
      </c>
      <c r="AP8">
        <v>1.24685521209786</v>
      </c>
      <c r="AQ8">
        <v>0.88550634610732304</v>
      </c>
      <c r="AR8">
        <v>1.2133580980633301</v>
      </c>
      <c r="AS8">
        <v>0.35957281752007803</v>
      </c>
      <c r="AT8">
        <v>1.2869999999999999</v>
      </c>
      <c r="AU8">
        <v>0.99617926090032605</v>
      </c>
      <c r="AV8">
        <v>0.86311773100080702</v>
      </c>
      <c r="AW8">
        <v>0.85695677751210098</v>
      </c>
      <c r="AX8">
        <v>1</v>
      </c>
      <c r="AY8">
        <v>1.07593983396707</v>
      </c>
      <c r="AZ8">
        <v>1</v>
      </c>
      <c r="BA8">
        <v>1</v>
      </c>
      <c r="BB8">
        <v>0.898103656212482</v>
      </c>
      <c r="BC8">
        <v>1</v>
      </c>
      <c r="BD8">
        <v>1.0313005915001201</v>
      </c>
      <c r="BE8">
        <v>426584477.10000002</v>
      </c>
      <c r="BF8">
        <v>0.13697673387378501</v>
      </c>
      <c r="BG8">
        <v>1175</v>
      </c>
    </row>
    <row r="9" spans="1:59" x14ac:dyDescent="0.25">
      <c r="A9">
        <v>8</v>
      </c>
      <c r="B9">
        <v>10</v>
      </c>
      <c r="C9">
        <v>100</v>
      </c>
      <c r="D9">
        <v>3.5536672943875498</v>
      </c>
      <c r="E9">
        <v>1.9850898926416001</v>
      </c>
      <c r="F9">
        <v>35.221837723232802</v>
      </c>
      <c r="G9">
        <v>21.384939795458099</v>
      </c>
      <c r="H9">
        <v>1.79017953169799</v>
      </c>
      <c r="I9">
        <v>-1.56857740174595</v>
      </c>
      <c r="J9">
        <v>4.1778033015723401E-2</v>
      </c>
      <c r="K9">
        <v>3.2545984588622803E-2</v>
      </c>
      <c r="L9">
        <v>0</v>
      </c>
      <c r="M9">
        <v>0.51966799711776201</v>
      </c>
      <c r="N9">
        <v>1.39109787791949</v>
      </c>
      <c r="O9">
        <v>0</v>
      </c>
      <c r="P9">
        <v>9.5061873435806703</v>
      </c>
      <c r="Q9">
        <v>90.493812656419294</v>
      </c>
      <c r="R9">
        <v>28.284095800561001</v>
      </c>
      <c r="S9">
        <v>40.960870599345398</v>
      </c>
      <c r="T9">
        <v>30.755033600093601</v>
      </c>
      <c r="U9">
        <v>0</v>
      </c>
      <c r="V9">
        <v>71.715904199438995</v>
      </c>
      <c r="W9">
        <v>1.6914290751055501</v>
      </c>
      <c r="X9">
        <v>83.006271456596394</v>
      </c>
      <c r="Y9">
        <v>1432.29562709536</v>
      </c>
      <c r="Z9">
        <v>100</v>
      </c>
      <c r="AA9">
        <v>63.878988245433298</v>
      </c>
      <c r="AB9">
        <v>294.44870864139102</v>
      </c>
      <c r="AC9">
        <v>294.26860236337598</v>
      </c>
      <c r="AD9">
        <v>21.965933725146201</v>
      </c>
      <c r="AE9">
        <v>330.19558191253498</v>
      </c>
      <c r="AF9">
        <v>4.6945965739349704</v>
      </c>
      <c r="AG9">
        <v>774.42856447280803</v>
      </c>
      <c r="AH9">
        <v>32.629376169508703</v>
      </c>
      <c r="AI9">
        <v>48.885323334476602</v>
      </c>
      <c r="AJ9">
        <v>174.77858780735801</v>
      </c>
      <c r="AK9">
        <v>32.829638874400402</v>
      </c>
      <c r="AL9">
        <v>70.352462647068606</v>
      </c>
      <c r="AM9">
        <v>5.7616337157815298</v>
      </c>
      <c r="AN9">
        <v>8.1904677090782005</v>
      </c>
      <c r="AO9">
        <v>0.9</v>
      </c>
      <c r="AP9">
        <v>1.23345916595254</v>
      </c>
      <c r="AQ9">
        <v>0.85480955893611299</v>
      </c>
      <c r="AR9">
        <v>1.1945187258768899</v>
      </c>
      <c r="AS9">
        <v>0.52198005404933401</v>
      </c>
      <c r="AT9">
        <v>1.2869999999999999</v>
      </c>
      <c r="AU9">
        <v>0.99661891688471704</v>
      </c>
      <c r="AV9">
        <v>0.86383312893153896</v>
      </c>
      <c r="AW9">
        <v>0.849900950145422</v>
      </c>
      <c r="AX9">
        <v>1</v>
      </c>
      <c r="AY9">
        <v>1.0733965055719801</v>
      </c>
      <c r="AZ9">
        <v>1</v>
      </c>
      <c r="BA9">
        <v>1</v>
      </c>
      <c r="BB9">
        <v>0.906769324540729</v>
      </c>
      <c r="BC9">
        <v>1</v>
      </c>
      <c r="BD9">
        <v>1.0741568949865401</v>
      </c>
      <c r="BE9">
        <v>35235735.200000003</v>
      </c>
      <c r="BF9">
        <v>0.156998010432226</v>
      </c>
      <c r="BG9">
        <v>125</v>
      </c>
    </row>
    <row r="17" spans="2:14" x14ac:dyDescent="0.25">
      <c r="B17" t="str">
        <f>BE1</f>
        <v>bal</v>
      </c>
      <c r="C17" s="1" t="str">
        <f>X1</f>
        <v>incentive</v>
      </c>
      <c r="E17" t="s">
        <v>2</v>
      </c>
      <c r="F17" t="str">
        <f>E1</f>
        <v>model.smm</v>
      </c>
      <c r="G17" t="s">
        <v>6</v>
      </c>
      <c r="I17" t="s">
        <v>58</v>
      </c>
      <c r="J17" t="s">
        <v>59</v>
      </c>
      <c r="K17" t="s">
        <v>60</v>
      </c>
      <c r="M17" t="s">
        <v>61</v>
      </c>
      <c r="N17" t="s">
        <v>62</v>
      </c>
    </row>
    <row r="18" spans="2:14" x14ac:dyDescent="0.25">
      <c r="B18" s="1">
        <f>BE2/1000000000</f>
        <v>33.820007753799999</v>
      </c>
      <c r="C18" s="1">
        <f>X2</f>
        <v>-84.635973923099201</v>
      </c>
      <c r="D18">
        <f>C2</f>
        <v>-75</v>
      </c>
      <c r="E18" s="1">
        <f>D2</f>
        <v>0.51214048311435301</v>
      </c>
      <c r="F18" s="1">
        <f>E2</f>
        <v>0.46115543450023799</v>
      </c>
      <c r="G18" s="1">
        <f>E18/F18</f>
        <v>1.1105593576477493</v>
      </c>
      <c r="I18">
        <v>1</v>
      </c>
      <c r="J18" s="1">
        <f>J2+K2+L2+M2+N2*I18</f>
        <v>0.46115543450023871</v>
      </c>
      <c r="K18" s="1">
        <f>E18/J18</f>
        <v>1.1105593576477475</v>
      </c>
      <c r="M18">
        <v>0</v>
      </c>
      <c r="N18">
        <f>M18*I18</f>
        <v>0</v>
      </c>
    </row>
    <row r="19" spans="2:14" x14ac:dyDescent="0.25">
      <c r="B19" s="1">
        <f>BE3/1000000000</f>
        <v>68.128451306599999</v>
      </c>
      <c r="C19" s="1">
        <f>X3</f>
        <v>-59.7895145916372</v>
      </c>
      <c r="D19">
        <f t="shared" ref="D19:F25" si="0">C3</f>
        <v>-50</v>
      </c>
      <c r="E19" s="1">
        <f t="shared" si="0"/>
        <v>0.45517270619504402</v>
      </c>
      <c r="F19" s="1">
        <f t="shared" si="0"/>
        <v>0.45189584020170498</v>
      </c>
      <c r="G19" s="1">
        <f t="shared" ref="G19:G25" si="1">E19/F19</f>
        <v>1.007251374546569</v>
      </c>
      <c r="I19">
        <v>1</v>
      </c>
      <c r="J19" s="1">
        <f>J3+K3+L3+M3+N3*I19</f>
        <v>0.45189584020170515</v>
      </c>
      <c r="K19" s="1">
        <f t="shared" ref="K19:K25" si="2">E19/J19</f>
        <v>1.0072513745465685</v>
      </c>
      <c r="M19">
        <v>0</v>
      </c>
      <c r="N19">
        <f t="shared" ref="N19:N25" si="3">M19*I19</f>
        <v>0</v>
      </c>
    </row>
    <row r="20" spans="2:14" x14ac:dyDescent="0.25">
      <c r="B20" s="1">
        <f>BE4/1000000000</f>
        <v>159.14102715929999</v>
      </c>
      <c r="C20" s="1">
        <f>X4</f>
        <v>-36.0342981290202</v>
      </c>
      <c r="D20">
        <f t="shared" si="0"/>
        <v>-25</v>
      </c>
      <c r="E20" s="1">
        <f t="shared" si="0"/>
        <v>0.48448090447284797</v>
      </c>
      <c r="F20" s="1">
        <f t="shared" si="0"/>
        <v>0.48445252274197798</v>
      </c>
      <c r="G20" s="1">
        <f t="shared" si="1"/>
        <v>1.0000585851647739</v>
      </c>
      <c r="I20">
        <v>1</v>
      </c>
      <c r="J20" s="1">
        <f>J4+K4+L4+M4+N4*I20</f>
        <v>0.48445252274197881</v>
      </c>
      <c r="K20" s="1">
        <f t="shared" si="2"/>
        <v>1.0000585851647723</v>
      </c>
      <c r="M20">
        <f>(M21+M19)/2</f>
        <v>8.5599999999999996E-2</v>
      </c>
      <c r="N20">
        <f t="shared" si="3"/>
        <v>8.5599999999999996E-2</v>
      </c>
    </row>
    <row r="21" spans="2:14" x14ac:dyDescent="0.25">
      <c r="B21" s="1">
        <f>BE5/1000000000</f>
        <v>124.9575153631</v>
      </c>
      <c r="C21" s="1">
        <f>X5</f>
        <v>-13.3987533489678</v>
      </c>
      <c r="D21">
        <f t="shared" si="0"/>
        <v>0</v>
      </c>
      <c r="E21" s="1">
        <f t="shared" si="0"/>
        <v>0.63042637661194101</v>
      </c>
      <c r="F21" s="1">
        <f t="shared" si="0"/>
        <v>0.61911035879458198</v>
      </c>
      <c r="G21" s="1">
        <f t="shared" si="1"/>
        <v>1.0182778686491234</v>
      </c>
      <c r="I21">
        <v>1</v>
      </c>
      <c r="J21" s="1">
        <f>J5+K5+L5+M5+N5*I21</f>
        <v>0.61911035879458243</v>
      </c>
      <c r="K21" s="1">
        <f t="shared" si="2"/>
        <v>1.0182778686491227</v>
      </c>
      <c r="M21">
        <v>0.17119999999999999</v>
      </c>
      <c r="N21">
        <f t="shared" si="3"/>
        <v>0.17119999999999999</v>
      </c>
    </row>
    <row r="22" spans="2:14" s="3" customFormat="1" x14ac:dyDescent="0.25">
      <c r="B22" s="4">
        <f>BE6/1000000000</f>
        <v>48.679324835300001</v>
      </c>
      <c r="C22" s="4">
        <f>X6</f>
        <v>10.829987634033699</v>
      </c>
      <c r="D22" s="3">
        <f t="shared" si="0"/>
        <v>25</v>
      </c>
      <c r="E22" s="4">
        <f t="shared" si="0"/>
        <v>0.80774514498576799</v>
      </c>
      <c r="F22" s="4">
        <f t="shared" si="0"/>
        <v>0.95685567978573205</v>
      </c>
      <c r="G22" s="4">
        <f t="shared" si="1"/>
        <v>0.84416611830808774</v>
      </c>
      <c r="I22" s="3">
        <v>0.65</v>
      </c>
      <c r="J22" s="4">
        <f>J6+K6+L6+M6+N6*I22</f>
        <v>0.80888883346127693</v>
      </c>
      <c r="K22" s="4">
        <f t="shared" si="2"/>
        <v>0.99858609931526066</v>
      </c>
      <c r="M22" s="3">
        <v>0.4143</v>
      </c>
      <c r="N22" s="3">
        <f t="shared" si="3"/>
        <v>0.26929500000000001</v>
      </c>
    </row>
    <row r="23" spans="2:14" s="3" customFormat="1" x14ac:dyDescent="0.25">
      <c r="B23" s="4">
        <f>BE7/1000000000</f>
        <v>8.4560271455000002</v>
      </c>
      <c r="C23" s="4">
        <f>X7</f>
        <v>33.172147329993997</v>
      </c>
      <c r="D23" s="3">
        <f t="shared" si="0"/>
        <v>50</v>
      </c>
      <c r="E23" s="4">
        <f t="shared" si="0"/>
        <v>1.01372095723654</v>
      </c>
      <c r="F23" s="4">
        <f t="shared" si="0"/>
        <v>1.3666017934596399</v>
      </c>
      <c r="G23" s="4">
        <f t="shared" si="1"/>
        <v>0.74178225294892997</v>
      </c>
      <c r="I23" s="3">
        <v>0.5</v>
      </c>
      <c r="J23" s="4">
        <f>J7+K7+L7+M7+N7*I23</f>
        <v>0.95753094602463962</v>
      </c>
      <c r="K23" s="4">
        <f t="shared" si="2"/>
        <v>1.0586821882312871</v>
      </c>
      <c r="M23" s="3">
        <v>0.68140000000000001</v>
      </c>
      <c r="N23" s="3">
        <f t="shared" si="3"/>
        <v>0.3407</v>
      </c>
    </row>
    <row r="24" spans="2:14" s="3" customFormat="1" x14ac:dyDescent="0.25">
      <c r="B24" s="4">
        <f>BE8/1000000000</f>
        <v>0.42658447710000003</v>
      </c>
      <c r="C24" s="4">
        <f>X8</f>
        <v>58.064658616316898</v>
      </c>
      <c r="D24" s="3">
        <f t="shared" si="0"/>
        <v>75</v>
      </c>
      <c r="E24" s="4">
        <f t="shared" si="0"/>
        <v>1.8661932596301001</v>
      </c>
      <c r="F24" s="4">
        <f t="shared" si="0"/>
        <v>1.784533750067</v>
      </c>
      <c r="G24" s="4">
        <f t="shared" si="1"/>
        <v>1.0457595770099803</v>
      </c>
      <c r="I24" s="3">
        <v>1.04</v>
      </c>
      <c r="J24" s="4">
        <f>J8+K8+L8+M8+N8*I24</f>
        <v>1.8336181441850341</v>
      </c>
      <c r="K24" s="4">
        <f t="shared" si="2"/>
        <v>1.0177654848957356</v>
      </c>
      <c r="M24" s="3">
        <v>1.4035</v>
      </c>
      <c r="N24" s="3">
        <f t="shared" si="3"/>
        <v>1.45964</v>
      </c>
    </row>
    <row r="25" spans="2:14" x14ac:dyDescent="0.25">
      <c r="B25" s="1"/>
      <c r="C25" s="1"/>
      <c r="E25" s="1"/>
      <c r="F25" s="1"/>
      <c r="G25" s="1"/>
      <c r="J25" s="1"/>
      <c r="K2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Fitting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2018-07-03T18:11:28Z</dcterms:created>
  <dcterms:modified xsi:type="dcterms:W3CDTF">2018-07-09T13:24:30Z</dcterms:modified>
</cp:coreProperties>
</file>